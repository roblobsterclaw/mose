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sket" sheetId="1" state="visible" r:id="rId3"/>
    <sheet name="Categories" sheetId="2" state="visible" r:id="rId4"/>
    <sheet name="Overlap vs S&amp;P 500" sheetId="3" state="visible" r:id="rId5"/>
    <sheet name="No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<sst xmlns="http://schemas.openxmlformats.org/spreadsheetml/2006/main" count="229" uniqueCount="150">
  <si>
    <t xml:space="preserve">Rank</t>
  </si>
  <si>
    <t xml:space="preserve">Ticker (Yahoo)</t>
  </si>
  <si>
    <t xml:space="preserve">Company</t>
  </si>
  <si>
    <t xml:space="preserve">Category</t>
  </si>
  <si>
    <t xml:space="preserve">Role</t>
  </si>
  <si>
    <t xml:space="preserve">Suggested weight of sleeve</t>
  </si>
  <si>
    <t xml:space="preserve">Cumulative</t>
  </si>
  <si>
    <t xml:space="preserve">Exchange</t>
  </si>
  <si>
    <t xml:space="preserve">US ADR / OTC alternative</t>
  </si>
  <si>
    <t xml:space="preserve">P/E (TTM)</t>
  </si>
  <si>
    <t xml:space="preserve">EPS (TTM)</t>
  </si>
  <si>
    <t xml:space="preserve">Mkt Cap ($B, USD listings)</t>
  </si>
  <si>
    <t xml:space="preserve">Price/Sales</t>
  </si>
  <si>
    <t xml:space="preserve">In S&amp;P 500? (index wt)</t>
  </si>
  <si>
    <t xml:space="preserve">Weight in ARKQ</t>
  </si>
  <si>
    <t xml:space="preserve">Weight in BOTZ</t>
  </si>
  <si>
    <t xml:space="preserve">Notes</t>
  </si>
  <si>
    <t xml:space="preserve">NVDA</t>
  </si>
  <si>
    <t xml:space="preserve">NVIDIA Corporation</t>
  </si>
  <si>
    <t xml:space="preserve">Vision &amp; AI enablers</t>
  </si>
  <si>
    <t xml:space="preserve">GPUs and the software stack every robot and AV runs on</t>
  </si>
  <si>
    <t xml:space="preserve">NASDAQ</t>
  </si>
  <si>
    <t xml:space="preserve">yes (7.73%)</t>
  </si>
  <si>
    <t xml:space="preserve">TSLA</t>
  </si>
  <si>
    <t xml:space="preserve">Tesla, Inc.</t>
  </si>
  <si>
    <t xml:space="preserve">Autonomous vehicles &amp; physical AI</t>
  </si>
  <si>
    <t xml:space="preserve">FSD, robotaxi, Optimus humanoid</t>
  </si>
  <si>
    <t xml:space="preserve">yes (2.08%)</t>
  </si>
  <si>
    <t xml:space="preserve">P/E reflects near-zero earnings</t>
  </si>
  <si>
    <t xml:space="preserve">GOOGL</t>
  </si>
  <si>
    <t xml:space="preserve">Alphabet Inc.</t>
  </si>
  <si>
    <t xml:space="preserve">Waymo, the only scaled robotaxi; Gemini robotics models</t>
  </si>
  <si>
    <t xml:space="preserve">yes (3.16%)</t>
  </si>
  <si>
    <t xml:space="preserve">ISRG</t>
  </si>
  <si>
    <t xml:space="preserve">Intuitive Surgical, Inc.</t>
  </si>
  <si>
    <t xml:space="preserve">Surgical robotics</t>
  </si>
  <si>
    <t xml:space="preserve">da Vinci; ~10,000 systems installed</t>
  </si>
  <si>
    <t xml:space="preserve">yes (0.20%)</t>
  </si>
  <si>
    <t xml:space="preserve">6861.T</t>
  </si>
  <si>
    <t xml:space="preserve">Keyence Corporation</t>
  </si>
  <si>
    <t xml:space="preserve">Industrial robotics &amp; machine vision</t>
  </si>
  <si>
    <t xml:space="preserve">Machine-vision sensors and controllers; ~50% operating margin</t>
  </si>
  <si>
    <t xml:space="preserve">Tokyo</t>
  </si>
  <si>
    <t xml:space="preserve">KYCCF (OTC)</t>
  </si>
  <si>
    <t xml:space="preserve">no</t>
  </si>
  <si>
    <t xml:space="preserve">Local listing in JPY; market cap not converted</t>
  </si>
  <si>
    <t xml:space="preserve">6954.T</t>
  </si>
  <si>
    <t xml:space="preserve">Fanuc Corporation</t>
  </si>
  <si>
    <t xml:space="preserve">Largest industrial-robot and CNC maker</t>
  </si>
  <si>
    <t xml:space="preserve">FANUY (OTC)</t>
  </si>
  <si>
    <t xml:space="preserve">ABBN.SW</t>
  </si>
  <si>
    <t xml:space="preserve">ABB Ltd</t>
  </si>
  <si>
    <t xml:space="preserve">Robotics &amp; discrete automation, electrification</t>
  </si>
  <si>
    <t xml:space="preserve">Zurich</t>
  </si>
  <si>
    <t xml:space="preserve">ABBNY (OTC)</t>
  </si>
  <si>
    <t xml:space="preserve">Local listing in CHF; market cap not converted</t>
  </si>
  <si>
    <t xml:space="preserve">6273.T</t>
  </si>
  <si>
    <t xml:space="preserve">SMC Corporation</t>
  </si>
  <si>
    <t xml:space="preserve">Pneumatic components in nearly every factory robot cell</t>
  </si>
  <si>
    <t xml:space="preserve">SMCAY (OTC)</t>
  </si>
  <si>
    <t xml:space="preserve">TSM</t>
  </si>
  <si>
    <t xml:space="preserve">Taiwan Semiconductor Manufacturing Company Limited</t>
  </si>
  <si>
    <t xml:space="preserve">Makes the chips for Nvidia, AMD, Tesla, Horizon</t>
  </si>
  <si>
    <t xml:space="preserve">NYSE (ADR)</t>
  </si>
  <si>
    <t xml:space="preserve">AMZN</t>
  </si>
  <si>
    <t xml:space="preserve">Amazon.com, Inc.</t>
  </si>
  <si>
    <t xml:space="preserve">Kiva/Proteus warehouse robots (750k+), Zoox robotaxi</t>
  </si>
  <si>
    <t xml:space="preserve">yes (3.94%)</t>
  </si>
  <si>
    <t xml:space="preserve">DE</t>
  </si>
  <si>
    <t xml:space="preserve">Deere &amp; Company</t>
  </si>
  <si>
    <t xml:space="preserve">Autonomous tractors, See &amp; Spray vision</t>
  </si>
  <si>
    <t xml:space="preserve">NYSE</t>
  </si>
  <si>
    <t xml:space="preserve">yes (0.26%)</t>
  </si>
  <si>
    <t xml:space="preserve">TER</t>
  </si>
  <si>
    <t xml:space="preserve">Teradyne, Inc.</t>
  </si>
  <si>
    <t xml:space="preserve">Universal Robots cobots, MiR mobile robots, chip test</t>
  </si>
  <si>
    <t xml:space="preserve">yes (0.08%)</t>
  </si>
  <si>
    <t xml:space="preserve">SPCX</t>
  </si>
  <si>
    <t xml:space="preserve">Space Exploration Technologies Corp.</t>
  </si>
  <si>
    <t xml:space="preserve">Space, defense &amp; aerial autonomy</t>
  </si>
  <si>
    <t xml:space="preserve">SpaceX: reusable launch, Starlink, Starship (confirm ticker; MOSE notes say it may be SPCK)</t>
  </si>
  <si>
    <t xml:space="preserve">verify listing</t>
  </si>
  <si>
    <t xml:space="preserve">Negative trailing EPS; Confirm the listing and ticker before buying</t>
  </si>
  <si>
    <t xml:space="preserve">AMD</t>
  </si>
  <si>
    <t xml:space="preserve">Advanced Micro Devices, Inc.</t>
  </si>
  <si>
    <t xml:space="preserve">Second-source AI compute; Xilinx adaptive chips in vision systems</t>
  </si>
  <si>
    <t xml:space="preserve">yes (1.34%)</t>
  </si>
  <si>
    <t xml:space="preserve">ROK</t>
  </si>
  <si>
    <t xml:space="preserve">Rockwell Automation, Inc.</t>
  </si>
  <si>
    <t xml:space="preserve">Factory automation software and controls (US)</t>
  </si>
  <si>
    <t xml:space="preserve">yes (0.07%)</t>
  </si>
  <si>
    <t xml:space="preserve">CGNX</t>
  </si>
  <si>
    <t xml:space="preserve">Cognex Corporation</t>
  </si>
  <si>
    <t xml:space="preserve">Machine vision cameras and software for robot guidance</t>
  </si>
  <si>
    <t xml:space="preserve">6506.T</t>
  </si>
  <si>
    <t xml:space="preserve">YASKAWA Electric Corporation</t>
  </si>
  <si>
    <t xml:space="preserve">Motoman robots, servo motors</t>
  </si>
  <si>
    <t xml:space="preserve">YASKY (OTC)</t>
  </si>
  <si>
    <t xml:space="preserve">6383.T</t>
  </si>
  <si>
    <t xml:space="preserve">Daifuku Co., Ltd.</t>
  </si>
  <si>
    <t xml:space="preserve">Warehouse and airport automation systems</t>
  </si>
  <si>
    <t xml:space="preserve">DFKCY (OTC)</t>
  </si>
  <si>
    <t xml:space="preserve">KTOS</t>
  </si>
  <si>
    <t xml:space="preserve">Kratos Defense &amp; Security Solutions, Inc.</t>
  </si>
  <si>
    <t xml:space="preserve">Unmanned combat jets (Valkyrie), target drones</t>
  </si>
  <si>
    <t xml:space="preserve">RKLB</t>
  </si>
  <si>
    <t xml:space="preserve">Rocket Lab Corporation</t>
  </si>
  <si>
    <t xml:space="preserve">Electron/Neutron launch, satellite components</t>
  </si>
  <si>
    <t xml:space="preserve">Negative trailing EPS</t>
  </si>
  <si>
    <t xml:space="preserve">PLTR</t>
  </si>
  <si>
    <t xml:space="preserve">Palantir Technologies Inc.</t>
  </si>
  <si>
    <t xml:space="preserve">AI integration layer for defense and industry</t>
  </si>
  <si>
    <t xml:space="preserve">yes (0.61%)</t>
  </si>
  <si>
    <t xml:space="preserve">AVAV</t>
  </si>
  <si>
    <t xml:space="preserve">AeroVironment, Inc.</t>
  </si>
  <si>
    <t xml:space="preserve">Small military drones and loitering munitions</t>
  </si>
  <si>
    <t xml:space="preserve">ACHR</t>
  </si>
  <si>
    <t xml:space="preserve">Archer Aviation Inc.</t>
  </si>
  <si>
    <t xml:space="preserve">eVTOL air taxi; pre-revenue</t>
  </si>
  <si>
    <t xml:space="preserve">AUR</t>
  </si>
  <si>
    <t xml:space="preserve">Aurora Innovation, Inc.</t>
  </si>
  <si>
    <t xml:space="preserve">Driverless trucking; pre-profit</t>
  </si>
  <si>
    <t xml:space="preserve">SYM</t>
  </si>
  <si>
    <t xml:space="preserve">Symbotic Inc.</t>
  </si>
  <si>
    <t xml:space="preserve">Warehouse robotics for Walmart; pre-profit</t>
  </si>
  <si>
    <t xml:space="preserve">Total</t>
  </si>
  <si>
    <t xml:space="preserve">Weight of sleeve</t>
  </si>
  <si>
    <t xml:space="preserve"># of names</t>
  </si>
  <si>
    <t xml:space="preserve">Names</t>
  </si>
  <si>
    <t xml:space="preserve">TSLA, GOOGL, AMZN, DE, AUR</t>
  </si>
  <si>
    <t xml:space="preserve">6861.T, 6954.T, ABBN.SW, 6273.T, TER, ROK, CGNX, 6506.T, 6383.T, SYM</t>
  </si>
  <si>
    <t xml:space="preserve">SPCX, KTOS, RKLB, AVAV, ACHR</t>
  </si>
  <si>
    <t xml:space="preserve">NVDA, TSM, AMD, PLTR</t>
  </si>
  <si>
    <t xml:space="preserve">Basket names that are S&amp;P 500 members</t>
  </si>
  <si>
    <t xml:space="preserve">10 of 25 names</t>
  </si>
  <si>
    <t xml:space="preserve">Share of the basket (by suggested weight) inside the S&amp;P 500</t>
  </si>
  <si>
    <t xml:space="preserve">Share of the S&amp;P 500 those names represent</t>
  </si>
  <si>
    <t xml:space="preserve">Ticker</t>
  </si>
  <si>
    <t xml:space="preserve">Basket weight</t>
  </si>
  <si>
    <t xml:space="preserve">S&amp;P 500 weight</t>
  </si>
  <si>
    <t xml:space="preserve">Ratio</t>
  </si>
  <si>
    <t xml:space="preserve">Robotics, autonomy and physical-AI basket: 25 stocks drawn from the ARKQ and BOTZ holdings, to be bought directly instead of through the funds</t>
  </si>
  <si>
    <t xml:space="preserve">How the 25 were chosen (Sept 24, 2026): start from the union of ARKQ's 37 and BOTZ's 80 holdings (105 companies); keep the names that (a) are the largest and most established in their category, (b) have a robotics, autonomy or machine-vision business that is central rather than incidental, and (c) cover five roles: industrial robotics and machine vision, autonomous vehicles and physical AI, space/defense/aerial autonomy, surgical robotics, and the vision/AI enablers that supply all of them. Weights are tiered by conviction and size: 6% / 4% / 3% / 2.75% of the sleeve.</t>
  </si>
  <si>
    <t xml:space="preserve">What this replaces: the 20% robotics slot in the 60/20/10/10 plan (or the 10% ARKQ + 10% BOTZ alternative). Buying the names directly saves the funds' 0.68% to 0.75% a year, gives control over which names and how much, and lets Joe harvest losses lot by lot. It gives up ARK's active trading and the funds' automatic rebalancing, and it requires buying six Tokyo and Zurich listings.</t>
  </si>
  <si>
    <t xml:space="preserve">Foreign listings: Keyence, Fanuc, SMC, Yaskawa and Daifuku trade in Tokyo; ABB trades in Zurich. IBKR can buy all six directly in local currency (recommended: full liquidity, and the foreign tax credit applies in a taxable account). The OTC ADR alternatives in column I are thinly traded and priced off the home market; use them only if direct access is not available.</t>
  </si>
  <si>
    <t xml:space="preserve">Compared with the funds: this basket is more concentrated in profitable large companies (Keyence, Fanuc, ABB, SMC, Nvidia, Alphabet, Intuitive) and lighter in early-stage names than ARKQ. It deliberately omits the Chinese and Korean robotics names in BOTZ (Inovance, Horizon, Ubtech, Rainbow, Doosan), the nuclear names in ARKQ (Oklo, X-Energy, BWXT, Cameco), and DoorDash, L3Harris, Caterpillar and Komatsu, which are not robotics businesses at the core. Add or drop to taste; the weights renormalize on the Basket tab.</t>
  </si>
  <si>
    <t xml:space="preserve">Fundamentals: Yahoo Finance via yfinance, Sept 24, 2026. Local-currency market caps are blanked. P/E is blank where trailing EPS is negative (Aurora, Archer, Symbotic, Rocket Lab, AeroVironment, SpaceX).</t>
  </si>
  <si>
    <t xml:space="preserve">SpaceX: ARK carries it as SPCX. Confirm the public listing and ticker before buying; MOSE's notes say the ticker may have become SPCK.</t>
  </si>
  <si>
    <t xml:space="preserve">Overlap tab: names that also sit in the S&amp;P 500, with weights in each. Roughly half the basket by weight is S&amp;P members, the same as ARKQ; that is the nature of the theme, since the largest robotics and AI companies are index constituents.</t>
  </si>
  <si>
    <t xml:space="preserve">For information only; not investment advice.</t>
  </si>
</sst>
</file>

<file path=xl/styles.xml><?xml version="1.0" encoding="utf-8"?>
<styleSheet xmlns="http://schemas.openxmlformats.org/spreadsheetml/2006/main">
  <numFmts count="8">
    <numFmt numFmtId="164" formatCode="General"/>
    <numFmt numFmtId="165" formatCode="0.00%"/>
    <numFmt numFmtId="166" formatCode="#,##0.00"/>
    <numFmt numFmtId="167" formatCode="#,##0.0"/>
    <numFmt numFmtId="168" formatCode="0.00"/>
    <numFmt numFmtId="169" formatCode="0.0%"/>
    <numFmt numFmtId="170" formatCode="General"/>
    <numFmt numFmtId="171" formatCode="0.0\x"/>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1"/>
      <name val="Arial"/>
      <family val="0"/>
      <charset val="1"/>
    </font>
    <font>
      <sz val="11"/>
      <name val="Arial"/>
      <family val="0"/>
      <charset val="1"/>
    </font>
    <font>
      <b val="true"/>
      <sz val="12"/>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0"/>
    <col collapsed="false" customWidth="true" hidden="false" outlineLevel="0" max="4" min="4" style="0" width="34"/>
    <col collapsed="false" customWidth="true" hidden="false" outlineLevel="0" max="5" min="5" style="0" width="52"/>
    <col collapsed="false" customWidth="true" hidden="false" outlineLevel="0" max="6" min="6" style="0" width="14"/>
    <col collapsed="false" customWidth="true" hidden="false" outlineLevel="0" max="7" min="7" style="0" width="11"/>
    <col collapsed="false" customWidth="true" hidden="false" outlineLevel="0" max="8" min="8" style="0" width="14"/>
    <col collapsed="false" customWidth="true" hidden="false" outlineLevel="0" max="9" min="9" style="0" width="20"/>
    <col collapsed="false" customWidth="true" hidden="false" outlineLevel="0" max="11" min="10" style="0" width="9"/>
    <col collapsed="false" customWidth="true" hidden="false" outlineLevel="0" max="12" min="12" style="0" width="14"/>
    <col collapsed="false" customWidth="true" hidden="false" outlineLevel="0" max="13" min="13" style="0" width="10"/>
    <col collapsed="false" customWidth="true" hidden="false" outlineLevel="0" max="14" min="14" style="0" width="16"/>
    <col collapsed="false" customWidth="true" hidden="false" outlineLevel="0" max="16" min="15" style="0" width="10"/>
    <col collapsed="false" customWidth="true" hidden="false" outlineLevel="0" max="17" min="17" style="0" width="40"/>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1</v>
      </c>
      <c r="B2" s="2" t="s">
        <v>17</v>
      </c>
      <c r="C2" s="2" t="s">
        <v>18</v>
      </c>
      <c r="D2" s="2" t="s">
        <v>19</v>
      </c>
      <c r="E2" s="2" t="s">
        <v>20</v>
      </c>
      <c r="F2" s="3" t="n">
        <v>0.06</v>
      </c>
      <c r="G2" s="3" t="n">
        <f aca="false">SUM($F$2:F2)</f>
        <v>0.06</v>
      </c>
      <c r="H2" s="4" t="s">
        <v>21</v>
      </c>
      <c r="I2" s="5"/>
      <c r="J2" s="4" t="n">
        <v>28.47</v>
      </c>
      <c r="K2" s="5" t="n">
        <v>7.92</v>
      </c>
      <c r="L2" s="6" t="n">
        <v>5445.4</v>
      </c>
      <c r="M2" s="5" t="n">
        <v>17.97</v>
      </c>
      <c r="N2" s="2" t="s">
        <v>22</v>
      </c>
      <c r="O2" s="3" t="n">
        <v>0.049764694102333</v>
      </c>
      <c r="P2" s="3" t="n">
        <v>0.0796540279593684</v>
      </c>
      <c r="Q2" s="2"/>
    </row>
    <row r="3" customFormat="false" ht="15" hidden="false" customHeight="false" outlineLevel="0" collapsed="false">
      <c r="A3" s="2" t="n">
        <v>2</v>
      </c>
      <c r="B3" s="2" t="s">
        <v>23</v>
      </c>
      <c r="C3" s="2" t="s">
        <v>24</v>
      </c>
      <c r="D3" s="2" t="s">
        <v>25</v>
      </c>
      <c r="E3" s="2" t="s">
        <v>26</v>
      </c>
      <c r="F3" s="3" t="n">
        <v>0.06</v>
      </c>
      <c r="G3" s="3" t="n">
        <f aca="false">SUM($F$2:F3)</f>
        <v>0.12</v>
      </c>
      <c r="H3" s="4" t="s">
        <v>21</v>
      </c>
      <c r="I3" s="5"/>
      <c r="J3" s="4" t="n">
        <v>345.56</v>
      </c>
      <c r="K3" s="5" t="n">
        <v>1.1</v>
      </c>
      <c r="L3" s="6" t="n">
        <v>1501.3</v>
      </c>
      <c r="M3" s="5" t="n">
        <v>14.49</v>
      </c>
      <c r="N3" s="2" t="s">
        <v>27</v>
      </c>
      <c r="O3" s="3" t="n">
        <v>0.107940322419145</v>
      </c>
      <c r="P3" s="3" t="n">
        <v>0.0207180931308458</v>
      </c>
      <c r="Q3" s="2" t="s">
        <v>28</v>
      </c>
    </row>
    <row r="4" customFormat="false" ht="15" hidden="false" customHeight="false" outlineLevel="0" collapsed="false">
      <c r="A4" s="2" t="n">
        <v>3</v>
      </c>
      <c r="B4" s="2" t="s">
        <v>29</v>
      </c>
      <c r="C4" s="2" t="s">
        <v>30</v>
      </c>
      <c r="D4" s="2" t="s">
        <v>25</v>
      </c>
      <c r="E4" s="2" t="s">
        <v>31</v>
      </c>
      <c r="F4" s="3" t="n">
        <v>0.06</v>
      </c>
      <c r="G4" s="3" t="n">
        <f aca="false">SUM($F$2:F4)</f>
        <v>0.18</v>
      </c>
      <c r="H4" s="4" t="s">
        <v>21</v>
      </c>
      <c r="I4" s="5"/>
      <c r="J4" s="4" t="n">
        <v>16.93</v>
      </c>
      <c r="K4" s="5" t="n">
        <v>19.95</v>
      </c>
      <c r="L4" s="6" t="n">
        <v>4131.6</v>
      </c>
      <c r="M4" s="5" t="n">
        <v>9.27</v>
      </c>
      <c r="N4" s="2" t="s">
        <v>32</v>
      </c>
      <c r="O4" s="3" t="n">
        <v>0.00280364473815961</v>
      </c>
      <c r="P4" s="3" t="n">
        <v>0.020315800060344</v>
      </c>
      <c r="Q4" s="2"/>
    </row>
    <row r="5" customFormat="false" ht="15" hidden="false" customHeight="false" outlineLevel="0" collapsed="false">
      <c r="A5" s="2" t="n">
        <v>4</v>
      </c>
      <c r="B5" s="2" t="s">
        <v>33</v>
      </c>
      <c r="C5" s="2" t="s">
        <v>34</v>
      </c>
      <c r="D5" s="2" t="s">
        <v>35</v>
      </c>
      <c r="E5" s="2" t="s">
        <v>36</v>
      </c>
      <c r="F5" s="3" t="n">
        <v>0.06</v>
      </c>
      <c r="G5" s="3" t="n">
        <f aca="false">SUM($F$2:F5)</f>
        <v>0.24</v>
      </c>
      <c r="H5" s="4" t="s">
        <v>21</v>
      </c>
      <c r="I5" s="5"/>
      <c r="J5" s="4" t="n">
        <v>45.62</v>
      </c>
      <c r="K5" s="5" t="n">
        <v>8.73</v>
      </c>
      <c r="L5" s="6" t="n">
        <v>142.7</v>
      </c>
      <c r="M5" s="5" t="n">
        <v>12.93</v>
      </c>
      <c r="N5" s="2" t="s">
        <v>37</v>
      </c>
      <c r="O5" s="3" t="n">
        <v>0.0135175728446981</v>
      </c>
      <c r="P5" s="3" t="n">
        <v>0.0843809715377653</v>
      </c>
      <c r="Q5" s="2"/>
    </row>
    <row r="6" customFormat="false" ht="15" hidden="false" customHeight="false" outlineLevel="0" collapsed="false">
      <c r="A6" s="2" t="n">
        <v>5</v>
      </c>
      <c r="B6" s="2" t="s">
        <v>38</v>
      </c>
      <c r="C6" s="2" t="s">
        <v>39</v>
      </c>
      <c r="D6" s="2" t="s">
        <v>40</v>
      </c>
      <c r="E6" s="2" t="s">
        <v>41</v>
      </c>
      <c r="F6" s="3" t="n">
        <v>0.06</v>
      </c>
      <c r="G6" s="3" t="n">
        <f aca="false">SUM($F$2:F6)</f>
        <v>0.3</v>
      </c>
      <c r="H6" s="4" t="s">
        <v>42</v>
      </c>
      <c r="I6" s="5" t="s">
        <v>43</v>
      </c>
      <c r="J6" s="4" t="n">
        <v>42.04</v>
      </c>
      <c r="K6" s="5" t="n">
        <v>1837.92</v>
      </c>
      <c r="L6" s="6"/>
      <c r="M6" s="5" t="n">
        <v>14.93</v>
      </c>
      <c r="N6" s="2" t="s">
        <v>44</v>
      </c>
      <c r="O6" s="3"/>
      <c r="P6" s="3" t="n">
        <v>0.0776425626068591</v>
      </c>
      <c r="Q6" s="2" t="s">
        <v>45</v>
      </c>
    </row>
    <row r="7" customFormat="false" ht="15" hidden="false" customHeight="false" outlineLevel="0" collapsed="false">
      <c r="A7" s="2" t="n">
        <v>6</v>
      </c>
      <c r="B7" s="2" t="s">
        <v>46</v>
      </c>
      <c r="C7" s="2" t="s">
        <v>47</v>
      </c>
      <c r="D7" s="2" t="s">
        <v>40</v>
      </c>
      <c r="E7" s="2" t="s">
        <v>48</v>
      </c>
      <c r="F7" s="3" t="n">
        <v>0.06</v>
      </c>
      <c r="G7" s="3" t="n">
        <f aca="false">SUM($F$2:F7)</f>
        <v>0.36</v>
      </c>
      <c r="H7" s="4" t="s">
        <v>42</v>
      </c>
      <c r="I7" s="5" t="s">
        <v>49</v>
      </c>
      <c r="J7" s="4" t="n">
        <v>33.69</v>
      </c>
      <c r="K7" s="5" t="n">
        <v>178.49</v>
      </c>
      <c r="L7" s="6"/>
      <c r="M7" s="5" t="n">
        <v>6.26</v>
      </c>
      <c r="N7" s="2" t="s">
        <v>44</v>
      </c>
      <c r="O7" s="3"/>
      <c r="P7" s="3" t="n">
        <v>0.0805591873679976</v>
      </c>
      <c r="Q7" s="2" t="s">
        <v>45</v>
      </c>
    </row>
    <row r="8" customFormat="false" ht="15" hidden="false" customHeight="false" outlineLevel="0" collapsed="false">
      <c r="A8" s="2" t="n">
        <v>7</v>
      </c>
      <c r="B8" s="2" t="s">
        <v>50</v>
      </c>
      <c r="C8" s="2" t="s">
        <v>51</v>
      </c>
      <c r="D8" s="2" t="s">
        <v>40</v>
      </c>
      <c r="E8" s="2" t="s">
        <v>52</v>
      </c>
      <c r="F8" s="3" t="n">
        <v>0.04</v>
      </c>
      <c r="G8" s="3" t="n">
        <f aca="false">SUM($F$2:F8)</f>
        <v>0.4</v>
      </c>
      <c r="H8" s="4" t="s">
        <v>53</v>
      </c>
      <c r="I8" s="5" t="s">
        <v>54</v>
      </c>
      <c r="J8" s="4" t="n">
        <v>36.79</v>
      </c>
      <c r="K8" s="5" t="n">
        <v>2.24</v>
      </c>
      <c r="L8" s="6"/>
      <c r="M8" s="5" t="n">
        <v>4.17</v>
      </c>
      <c r="N8" s="2" t="s">
        <v>44</v>
      </c>
      <c r="O8" s="3"/>
      <c r="P8" s="3" t="n">
        <v>0.0829729457910088</v>
      </c>
      <c r="Q8" s="2" t="s">
        <v>55</v>
      </c>
    </row>
    <row r="9" customFormat="false" ht="15" hidden="false" customHeight="false" outlineLevel="0" collapsed="false">
      <c r="A9" s="2" t="n">
        <v>8</v>
      </c>
      <c r="B9" s="2" t="s">
        <v>56</v>
      </c>
      <c r="C9" s="2" t="s">
        <v>57</v>
      </c>
      <c r="D9" s="2" t="s">
        <v>40</v>
      </c>
      <c r="E9" s="2" t="s">
        <v>58</v>
      </c>
      <c r="F9" s="3" t="n">
        <v>0.04</v>
      </c>
      <c r="G9" s="3" t="n">
        <f aca="false">SUM($F$2:F9)</f>
        <v>0.44</v>
      </c>
      <c r="H9" s="4" t="s">
        <v>42</v>
      </c>
      <c r="I9" s="5" t="s">
        <v>59</v>
      </c>
      <c r="J9" s="4" t="n">
        <v>25.75</v>
      </c>
      <c r="K9" s="5" t="n">
        <v>2639.93</v>
      </c>
      <c r="L9" s="6"/>
      <c r="M9" s="5" t="n">
        <v>4.65</v>
      </c>
      <c r="N9" s="2" t="s">
        <v>44</v>
      </c>
      <c r="O9" s="3"/>
      <c r="P9" s="3" t="n">
        <v>0.0444533842904556</v>
      </c>
      <c r="Q9" s="2" t="s">
        <v>45</v>
      </c>
    </row>
    <row r="10" customFormat="false" ht="15" hidden="false" customHeight="false" outlineLevel="0" collapsed="false">
      <c r="A10" s="2" t="n">
        <v>9</v>
      </c>
      <c r="B10" s="2" t="s">
        <v>60</v>
      </c>
      <c r="C10" s="2" t="s">
        <v>61</v>
      </c>
      <c r="D10" s="2" t="s">
        <v>19</v>
      </c>
      <c r="E10" s="2" t="s">
        <v>62</v>
      </c>
      <c r="F10" s="3" t="n">
        <v>0.04</v>
      </c>
      <c r="G10" s="3" t="n">
        <f aca="false">SUM($F$2:F10)</f>
        <v>0.48</v>
      </c>
      <c r="H10" s="4" t="s">
        <v>63</v>
      </c>
      <c r="I10" s="5"/>
      <c r="J10" s="4" t="n">
        <v>33.23</v>
      </c>
      <c r="K10" s="5" t="n">
        <v>13.44</v>
      </c>
      <c r="L10" s="6" t="n">
        <v>2316.2</v>
      </c>
      <c r="M10" s="5" t="n">
        <v>0.52</v>
      </c>
      <c r="N10" s="2" t="s">
        <v>44</v>
      </c>
      <c r="O10" s="3" t="n">
        <v>0.0365475117652949</v>
      </c>
      <c r="P10" s="3"/>
      <c r="Q10" s="2"/>
    </row>
    <row r="11" customFormat="false" ht="15" hidden="false" customHeight="false" outlineLevel="0" collapsed="false">
      <c r="A11" s="2" t="n">
        <v>10</v>
      </c>
      <c r="B11" s="2" t="s">
        <v>64</v>
      </c>
      <c r="C11" s="2" t="s">
        <v>65</v>
      </c>
      <c r="D11" s="2" t="s">
        <v>25</v>
      </c>
      <c r="E11" s="2" t="s">
        <v>66</v>
      </c>
      <c r="F11" s="3" t="n">
        <v>0.04</v>
      </c>
      <c r="G11" s="3" t="n">
        <f aca="false">SUM($F$2:F11)</f>
        <v>0.52</v>
      </c>
      <c r="H11" s="4" t="s">
        <v>21</v>
      </c>
      <c r="I11" s="5"/>
      <c r="J11" s="4" t="n">
        <v>20.68</v>
      </c>
      <c r="K11" s="5" t="n">
        <v>12.43</v>
      </c>
      <c r="L11" s="6" t="n">
        <v>2772.8</v>
      </c>
      <c r="M11" s="5" t="n">
        <v>3.57</v>
      </c>
      <c r="N11" s="2" t="s">
        <v>67</v>
      </c>
      <c r="O11" s="3" t="n">
        <v>0.0348452988885551</v>
      </c>
      <c r="P11" s="3"/>
      <c r="Q11" s="2"/>
    </row>
    <row r="12" customFormat="false" ht="15" hidden="false" customHeight="false" outlineLevel="0" collapsed="false">
      <c r="A12" s="2" t="n">
        <v>11</v>
      </c>
      <c r="B12" s="2" t="s">
        <v>68</v>
      </c>
      <c r="C12" s="2" t="s">
        <v>69</v>
      </c>
      <c r="D12" s="2" t="s">
        <v>25</v>
      </c>
      <c r="E12" s="2" t="s">
        <v>70</v>
      </c>
      <c r="F12" s="3" t="n">
        <v>0.04</v>
      </c>
      <c r="G12" s="3" t="n">
        <f aca="false">SUM($F$2:F12)</f>
        <v>0.56</v>
      </c>
      <c r="H12" s="4" t="s">
        <v>71</v>
      </c>
      <c r="I12" s="5"/>
      <c r="J12" s="4" t="n">
        <v>39.42</v>
      </c>
      <c r="K12" s="5" t="n">
        <v>18</v>
      </c>
      <c r="L12" s="6" t="n">
        <v>191.3</v>
      </c>
      <c r="M12" s="5" t="n">
        <v>3.99</v>
      </c>
      <c r="N12" s="2" t="s">
        <v>72</v>
      </c>
      <c r="O12" s="3" t="n">
        <v>0.028837488735356</v>
      </c>
      <c r="P12" s="3" t="n">
        <v>0.0196117871869657</v>
      </c>
      <c r="Q12" s="2"/>
    </row>
    <row r="13" customFormat="false" ht="15" hidden="false" customHeight="false" outlineLevel="0" collapsed="false">
      <c r="A13" s="2" t="n">
        <v>12</v>
      </c>
      <c r="B13" s="2" t="s">
        <v>73</v>
      </c>
      <c r="C13" s="2" t="s">
        <v>74</v>
      </c>
      <c r="D13" s="2" t="s">
        <v>40</v>
      </c>
      <c r="E13" s="2" t="s">
        <v>75</v>
      </c>
      <c r="F13" s="3" t="n">
        <v>0.04</v>
      </c>
      <c r="G13" s="3" t="n">
        <f aca="false">SUM($F$2:F13)</f>
        <v>0.6</v>
      </c>
      <c r="H13" s="4" t="s">
        <v>21</v>
      </c>
      <c r="I13" s="5"/>
      <c r="J13" s="4" t="n">
        <v>52.98</v>
      </c>
      <c r="K13" s="5" t="n">
        <v>7.28</v>
      </c>
      <c r="L13" s="6" t="n">
        <v>60.3</v>
      </c>
      <c r="M13" s="5" t="n">
        <v>13.51</v>
      </c>
      <c r="N13" s="2" t="s">
        <v>76</v>
      </c>
      <c r="O13" s="3" t="n">
        <v>0.0631821367778111</v>
      </c>
      <c r="P13" s="3"/>
      <c r="Q13" s="2"/>
    </row>
    <row r="14" customFormat="false" ht="15" hidden="false" customHeight="false" outlineLevel="0" collapsed="false">
      <c r="A14" s="2" t="n">
        <v>13</v>
      </c>
      <c r="B14" s="2" t="s">
        <v>77</v>
      </c>
      <c r="C14" s="2" t="s">
        <v>78</v>
      </c>
      <c r="D14" s="2" t="s">
        <v>79</v>
      </c>
      <c r="E14" s="2" t="s">
        <v>80</v>
      </c>
      <c r="F14" s="3" t="n">
        <v>0.04</v>
      </c>
      <c r="G14" s="3" t="n">
        <f aca="false">SUM($F$2:F14)</f>
        <v>0.64</v>
      </c>
      <c r="H14" s="4" t="s">
        <v>81</v>
      </c>
      <c r="I14" s="5"/>
      <c r="J14" s="4"/>
      <c r="K14" s="5" t="n">
        <v>-1.1</v>
      </c>
      <c r="L14" s="6" t="n">
        <v>2017.2</v>
      </c>
      <c r="M14" s="5" t="n">
        <v>87.54</v>
      </c>
      <c r="N14" s="2" t="s">
        <v>44</v>
      </c>
      <c r="O14" s="3" t="n">
        <v>0.0815059577450686</v>
      </c>
      <c r="P14" s="3"/>
      <c r="Q14" s="2" t="s">
        <v>82</v>
      </c>
    </row>
    <row r="15" customFormat="false" ht="15" hidden="false" customHeight="false" outlineLevel="0" collapsed="false">
      <c r="A15" s="2" t="n">
        <v>14</v>
      </c>
      <c r="B15" s="2" t="s">
        <v>83</v>
      </c>
      <c r="C15" s="2" t="s">
        <v>84</v>
      </c>
      <c r="D15" s="2" t="s">
        <v>19</v>
      </c>
      <c r="E15" s="2" t="s">
        <v>85</v>
      </c>
      <c r="F15" s="3" t="n">
        <v>0.04</v>
      </c>
      <c r="G15" s="3" t="n">
        <f aca="false">SUM($F$2:F15)</f>
        <v>0.68</v>
      </c>
      <c r="H15" s="4" t="s">
        <v>21</v>
      </c>
      <c r="I15" s="5"/>
      <c r="J15" s="4" t="n">
        <v>157.32</v>
      </c>
      <c r="K15" s="5" t="n">
        <v>3.94</v>
      </c>
      <c r="L15" s="6" t="n">
        <v>1011.9</v>
      </c>
      <c r="M15" s="5" t="n">
        <v>24.5</v>
      </c>
      <c r="N15" s="2" t="s">
        <v>86</v>
      </c>
      <c r="O15" s="3" t="n">
        <v>0.0488635225793532</v>
      </c>
      <c r="P15" s="3"/>
      <c r="Q15" s="2"/>
    </row>
    <row r="16" customFormat="false" ht="15" hidden="false" customHeight="false" outlineLevel="0" collapsed="false">
      <c r="A16" s="2" t="n">
        <v>15</v>
      </c>
      <c r="B16" s="2" t="s">
        <v>87</v>
      </c>
      <c r="C16" s="2" t="s">
        <v>88</v>
      </c>
      <c r="D16" s="2" t="s">
        <v>40</v>
      </c>
      <c r="E16" s="2" t="s">
        <v>89</v>
      </c>
      <c r="F16" s="3" t="n">
        <v>0.03</v>
      </c>
      <c r="G16" s="3" t="n">
        <f aca="false">SUM($F$2:F16)</f>
        <v>0.71</v>
      </c>
      <c r="H16" s="4" t="s">
        <v>71</v>
      </c>
      <c r="I16" s="5"/>
      <c r="J16" s="4" t="n">
        <v>40.53</v>
      </c>
      <c r="K16" s="5" t="n">
        <v>10.68</v>
      </c>
      <c r="L16" s="6" t="n">
        <v>48.2</v>
      </c>
      <c r="M16" s="5" t="n">
        <v>5.37</v>
      </c>
      <c r="N16" s="2" t="s">
        <v>90</v>
      </c>
      <c r="O16" s="3"/>
      <c r="P16" s="3" t="n">
        <v>0.0103590465654229</v>
      </c>
      <c r="Q16" s="2"/>
    </row>
    <row r="17" customFormat="false" ht="15" hidden="false" customHeight="false" outlineLevel="0" collapsed="false">
      <c r="A17" s="2" t="n">
        <v>16</v>
      </c>
      <c r="B17" s="2" t="s">
        <v>91</v>
      </c>
      <c r="C17" s="2" t="s">
        <v>92</v>
      </c>
      <c r="D17" s="2" t="s">
        <v>40</v>
      </c>
      <c r="E17" s="2" t="s">
        <v>93</v>
      </c>
      <c r="F17" s="3" t="n">
        <v>0.03</v>
      </c>
      <c r="G17" s="3" t="n">
        <f aca="false">SUM($F$2:F17)</f>
        <v>0.74</v>
      </c>
      <c r="H17" s="4" t="s">
        <v>21</v>
      </c>
      <c r="I17" s="5"/>
      <c r="J17" s="4" t="n">
        <v>55.95</v>
      </c>
      <c r="K17" s="5" t="n">
        <v>1.04</v>
      </c>
      <c r="L17" s="6" t="n">
        <v>9.8</v>
      </c>
      <c r="M17" s="5" t="n">
        <v>8.99</v>
      </c>
      <c r="N17" s="2" t="s">
        <v>44</v>
      </c>
      <c r="O17" s="3"/>
      <c r="P17" s="3" t="n">
        <v>0.0249421703711154</v>
      </c>
      <c r="Q17" s="2"/>
    </row>
    <row r="18" customFormat="false" ht="15" hidden="false" customHeight="false" outlineLevel="0" collapsed="false">
      <c r="A18" s="2" t="n">
        <v>17</v>
      </c>
      <c r="B18" s="2" t="s">
        <v>94</v>
      </c>
      <c r="C18" s="2" t="s">
        <v>95</v>
      </c>
      <c r="D18" s="2" t="s">
        <v>40</v>
      </c>
      <c r="E18" s="2" t="s">
        <v>96</v>
      </c>
      <c r="F18" s="3" t="n">
        <v>0.03</v>
      </c>
      <c r="G18" s="3" t="n">
        <f aca="false">SUM($F$2:F18)</f>
        <v>0.77</v>
      </c>
      <c r="H18" s="4" t="s">
        <v>42</v>
      </c>
      <c r="I18" s="5" t="s">
        <v>97</v>
      </c>
      <c r="J18" s="4" t="n">
        <v>32.97</v>
      </c>
      <c r="K18" s="5" t="n">
        <v>135.87</v>
      </c>
      <c r="L18" s="6"/>
      <c r="M18" s="5" t="n">
        <v>2.09</v>
      </c>
      <c r="N18" s="2" t="s">
        <v>44</v>
      </c>
      <c r="O18" s="3"/>
      <c r="P18" s="3" t="n">
        <v>0.0186060545107111</v>
      </c>
      <c r="Q18" s="2" t="s">
        <v>45</v>
      </c>
    </row>
    <row r="19" customFormat="false" ht="15" hidden="false" customHeight="false" outlineLevel="0" collapsed="false">
      <c r="A19" s="2" t="n">
        <v>18</v>
      </c>
      <c r="B19" s="2" t="s">
        <v>98</v>
      </c>
      <c r="C19" s="2" t="s">
        <v>99</v>
      </c>
      <c r="D19" s="2" t="s">
        <v>40</v>
      </c>
      <c r="E19" s="2" t="s">
        <v>100</v>
      </c>
      <c r="F19" s="3" t="n">
        <v>0.03</v>
      </c>
      <c r="G19" s="3" t="n">
        <f aca="false">SUM($F$2:F19)</f>
        <v>0.8</v>
      </c>
      <c r="H19" s="4" t="s">
        <v>42</v>
      </c>
      <c r="I19" s="5" t="s">
        <v>101</v>
      </c>
      <c r="J19" s="4" t="n">
        <v>25.53</v>
      </c>
      <c r="K19" s="5" t="n">
        <v>216.87</v>
      </c>
      <c r="L19" s="6"/>
      <c r="M19" s="5" t="n">
        <v>2.98</v>
      </c>
      <c r="N19" s="2" t="s">
        <v>44</v>
      </c>
      <c r="O19" s="3"/>
      <c r="P19" s="3" t="n">
        <v>0.0328874585135271</v>
      </c>
      <c r="Q19" s="2" t="s">
        <v>45</v>
      </c>
    </row>
    <row r="20" customFormat="false" ht="15" hidden="false" customHeight="false" outlineLevel="0" collapsed="false">
      <c r="A20" s="2" t="n">
        <v>19</v>
      </c>
      <c r="B20" s="2" t="s">
        <v>102</v>
      </c>
      <c r="C20" s="2" t="s">
        <v>103</v>
      </c>
      <c r="D20" s="2" t="s">
        <v>79</v>
      </c>
      <c r="E20" s="2" t="s">
        <v>104</v>
      </c>
      <c r="F20" s="3" t="n">
        <v>0.03</v>
      </c>
      <c r="G20" s="3" t="n">
        <f aca="false">SUM($F$2:F20)</f>
        <v>0.83</v>
      </c>
      <c r="H20" s="4" t="s">
        <v>21</v>
      </c>
      <c r="I20" s="5"/>
      <c r="J20" s="4" t="n">
        <v>274.72</v>
      </c>
      <c r="K20" s="5" t="n">
        <v>0.17</v>
      </c>
      <c r="L20" s="6" t="n">
        <v>8.8</v>
      </c>
      <c r="M20" s="5" t="n">
        <v>5.76</v>
      </c>
      <c r="N20" s="2" t="s">
        <v>44</v>
      </c>
      <c r="O20" s="3" t="n">
        <v>0.0555722439170922</v>
      </c>
      <c r="P20" s="3"/>
      <c r="Q20" s="2"/>
    </row>
    <row r="21" customFormat="false" ht="15" hidden="false" customHeight="false" outlineLevel="0" collapsed="false">
      <c r="A21" s="2" t="n">
        <v>20</v>
      </c>
      <c r="B21" s="2" t="s">
        <v>105</v>
      </c>
      <c r="C21" s="2" t="s">
        <v>106</v>
      </c>
      <c r="D21" s="2" t="s">
        <v>79</v>
      </c>
      <c r="E21" s="2" t="s">
        <v>107</v>
      </c>
      <c r="F21" s="3" t="n">
        <v>0.03</v>
      </c>
      <c r="G21" s="3" t="n">
        <f aca="false">SUM($F$2:F21)</f>
        <v>0.86</v>
      </c>
      <c r="H21" s="4" t="s">
        <v>21</v>
      </c>
      <c r="I21" s="5"/>
      <c r="J21" s="4"/>
      <c r="K21" s="5" t="n">
        <v>-0.27</v>
      </c>
      <c r="L21" s="6" t="n">
        <v>45.6</v>
      </c>
      <c r="M21" s="5" t="n">
        <v>59.33</v>
      </c>
      <c r="N21" s="2" t="s">
        <v>44</v>
      </c>
      <c r="O21" s="3"/>
      <c r="P21" s="3"/>
      <c r="Q21" s="2" t="s">
        <v>108</v>
      </c>
    </row>
    <row r="22" customFormat="false" ht="15" hidden="false" customHeight="false" outlineLevel="0" collapsed="false">
      <c r="A22" s="2" t="n">
        <v>21</v>
      </c>
      <c r="B22" s="2" t="s">
        <v>109</v>
      </c>
      <c r="C22" s="2" t="s">
        <v>110</v>
      </c>
      <c r="D22" s="2" t="s">
        <v>19</v>
      </c>
      <c r="E22" s="2" t="s">
        <v>111</v>
      </c>
      <c r="F22" s="3" t="n">
        <v>0.03</v>
      </c>
      <c r="G22" s="3" t="n">
        <f aca="false">SUM($F$2:F22)</f>
        <v>0.89</v>
      </c>
      <c r="H22" s="4" t="s">
        <v>21</v>
      </c>
      <c r="I22" s="5"/>
      <c r="J22" s="4" t="n">
        <v>156.97</v>
      </c>
      <c r="K22" s="5" t="n">
        <v>1.17</v>
      </c>
      <c r="L22" s="6" t="n">
        <v>441.3</v>
      </c>
      <c r="M22" s="5" t="n">
        <v>71.69</v>
      </c>
      <c r="N22" s="2" t="s">
        <v>112</v>
      </c>
      <c r="O22" s="3" t="n">
        <v>0.0463602683488535</v>
      </c>
      <c r="P22" s="3"/>
      <c r="Q22" s="2"/>
    </row>
    <row r="23" customFormat="false" ht="15" hidden="false" customHeight="false" outlineLevel="0" collapsed="false">
      <c r="A23" s="2" t="n">
        <v>22</v>
      </c>
      <c r="B23" s="2" t="s">
        <v>113</v>
      </c>
      <c r="C23" s="2" t="s">
        <v>114</v>
      </c>
      <c r="D23" s="2" t="s">
        <v>79</v>
      </c>
      <c r="E23" s="2" t="s">
        <v>115</v>
      </c>
      <c r="F23" s="3" t="n">
        <v>0.0275</v>
      </c>
      <c r="G23" s="3" t="n">
        <f aca="false">SUM($F$2:F23)</f>
        <v>0.9175</v>
      </c>
      <c r="H23" s="4" t="s">
        <v>21</v>
      </c>
      <c r="I23" s="5"/>
      <c r="J23" s="4"/>
      <c r="K23" s="5" t="n">
        <v>-4.05</v>
      </c>
      <c r="L23" s="6" t="n">
        <v>7.9</v>
      </c>
      <c r="M23" s="5" t="n">
        <v>3.96</v>
      </c>
      <c r="N23" s="2" t="s">
        <v>44</v>
      </c>
      <c r="O23" s="3" t="n">
        <v>0.0280364473815961</v>
      </c>
      <c r="P23" s="3"/>
      <c r="Q23" s="2" t="s">
        <v>108</v>
      </c>
    </row>
    <row r="24" customFormat="false" ht="15" hidden="false" customHeight="false" outlineLevel="0" collapsed="false">
      <c r="A24" s="2" t="n">
        <v>23</v>
      </c>
      <c r="B24" s="2" t="s">
        <v>116</v>
      </c>
      <c r="C24" s="2" t="s">
        <v>117</v>
      </c>
      <c r="D24" s="2" t="s">
        <v>79</v>
      </c>
      <c r="E24" s="2" t="s">
        <v>118</v>
      </c>
      <c r="F24" s="3" t="n">
        <v>0.0275</v>
      </c>
      <c r="G24" s="3" t="n">
        <f aca="false">SUM($F$2:F24)</f>
        <v>0.945</v>
      </c>
      <c r="H24" s="4" t="s">
        <v>71</v>
      </c>
      <c r="I24" s="5"/>
      <c r="J24" s="4"/>
      <c r="K24" s="5" t="n">
        <v>-1.08</v>
      </c>
      <c r="L24" s="6" t="n">
        <v>4.3</v>
      </c>
      <c r="M24" s="5" t="n">
        <v>621.68</v>
      </c>
      <c r="N24" s="2" t="s">
        <v>44</v>
      </c>
      <c r="O24" s="3" t="n">
        <v>0.0247321517973365</v>
      </c>
      <c r="P24" s="3"/>
      <c r="Q24" s="2" t="s">
        <v>108</v>
      </c>
    </row>
    <row r="25" customFormat="false" ht="15" hidden="false" customHeight="false" outlineLevel="0" collapsed="false">
      <c r="A25" s="2" t="n">
        <v>24</v>
      </c>
      <c r="B25" s="2" t="s">
        <v>119</v>
      </c>
      <c r="C25" s="2" t="s">
        <v>120</v>
      </c>
      <c r="D25" s="2" t="s">
        <v>25</v>
      </c>
      <c r="E25" s="2" t="s">
        <v>121</v>
      </c>
      <c r="F25" s="3" t="n">
        <v>0.0275</v>
      </c>
      <c r="G25" s="3" t="n">
        <f aca="false">SUM($F$2:F25)</f>
        <v>0.9725</v>
      </c>
      <c r="H25" s="4" t="s">
        <v>21</v>
      </c>
      <c r="I25" s="5"/>
      <c r="J25" s="4"/>
      <c r="K25" s="5" t="n">
        <v>-0.46</v>
      </c>
      <c r="L25" s="6" t="n">
        <v>12.7</v>
      </c>
      <c r="M25" s="5" t="n">
        <v>2533.25</v>
      </c>
      <c r="N25" s="2" t="s">
        <v>44</v>
      </c>
      <c r="O25" s="3" t="n">
        <v>0.0168218684289576</v>
      </c>
      <c r="P25" s="3" t="n">
        <v>0.0277582218646284</v>
      </c>
      <c r="Q25" s="2" t="s">
        <v>108</v>
      </c>
    </row>
    <row r="26" customFormat="false" ht="15" hidden="false" customHeight="false" outlineLevel="0" collapsed="false">
      <c r="A26" s="2" t="n">
        <v>25</v>
      </c>
      <c r="B26" s="2" t="s">
        <v>122</v>
      </c>
      <c r="C26" s="2" t="s">
        <v>123</v>
      </c>
      <c r="D26" s="2" t="s">
        <v>40</v>
      </c>
      <c r="E26" s="2" t="s">
        <v>124</v>
      </c>
      <c r="F26" s="3" t="n">
        <v>0.0275</v>
      </c>
      <c r="G26" s="3" t="n">
        <f aca="false">SUM($F$2:F26)</f>
        <v>1</v>
      </c>
      <c r="H26" s="4" t="s">
        <v>21</v>
      </c>
      <c r="I26" s="5"/>
      <c r="J26" s="4" t="n">
        <v>1107.25</v>
      </c>
      <c r="K26" s="5" t="n">
        <v>0.04</v>
      </c>
      <c r="L26" s="6" t="n">
        <v>26.8</v>
      </c>
      <c r="M26" s="5" t="n">
        <v>10.13</v>
      </c>
      <c r="N26" s="2" t="s">
        <v>44</v>
      </c>
      <c r="O26" s="3"/>
      <c r="P26" s="3" t="n">
        <v>0.0146836970733179</v>
      </c>
      <c r="Q26" s="2" t="s">
        <v>28</v>
      </c>
    </row>
    <row r="27" customFormat="false" ht="15" hidden="false" customHeight="false" outlineLevel="0" collapsed="false">
      <c r="E27" s="7" t="s">
        <v>125</v>
      </c>
      <c r="F27" s="8" t="n">
        <f aca="false">SUM(F2:F26)</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8"/>
    <col collapsed="false" customWidth="true" hidden="false" outlineLevel="0" max="2" min="2" style="0" width="16"/>
    <col collapsed="false" customWidth="true" hidden="false" outlineLevel="0" max="3" min="3" style="0" width="10"/>
    <col collapsed="false" customWidth="true" hidden="false" outlineLevel="0" max="4" min="4" style="0" width="90"/>
  </cols>
  <sheetData>
    <row r="1" customFormat="false" ht="15" hidden="false" customHeight="false" outlineLevel="0" collapsed="false">
      <c r="A1" s="1" t="s">
        <v>3</v>
      </c>
      <c r="B1" s="1" t="s">
        <v>126</v>
      </c>
      <c r="C1" s="1" t="s">
        <v>127</v>
      </c>
      <c r="D1" s="1" t="s">
        <v>128</v>
      </c>
    </row>
    <row r="2" customFormat="false" ht="15" hidden="false" customHeight="false" outlineLevel="0" collapsed="false">
      <c r="A2" s="9" t="s">
        <v>25</v>
      </c>
      <c r="B2" s="10" t="n">
        <f aca="false">SUMIF(Basket!$D$2:$D$26,A2,Basket!$F$2:$F$26)</f>
        <v>0.2275</v>
      </c>
      <c r="C2" s="9" t="n">
        <f aca="false">COUNTIF(Basket!$D$2:$D$26,A2)</f>
        <v>5</v>
      </c>
      <c r="D2" s="9" t="s">
        <v>129</v>
      </c>
    </row>
    <row r="3" customFormat="false" ht="15" hidden="false" customHeight="false" outlineLevel="0" collapsed="false">
      <c r="A3" s="9" t="s">
        <v>40</v>
      </c>
      <c r="B3" s="10" t="n">
        <f aca="false">SUMIF(Basket!$D$2:$D$26,A3,Basket!$F$2:$F$26)</f>
        <v>0.3875</v>
      </c>
      <c r="C3" s="9" t="n">
        <f aca="false">COUNTIF(Basket!$D$2:$D$26,A3)</f>
        <v>10</v>
      </c>
      <c r="D3" s="9" t="s">
        <v>130</v>
      </c>
    </row>
    <row r="4" customFormat="false" ht="15" hidden="false" customHeight="false" outlineLevel="0" collapsed="false">
      <c r="A4" s="9" t="s">
        <v>79</v>
      </c>
      <c r="B4" s="10" t="n">
        <f aca="false">SUMIF(Basket!$D$2:$D$26,A4,Basket!$F$2:$F$26)</f>
        <v>0.155</v>
      </c>
      <c r="C4" s="9" t="n">
        <f aca="false">COUNTIF(Basket!$D$2:$D$26,A4)</f>
        <v>5</v>
      </c>
      <c r="D4" s="9" t="s">
        <v>131</v>
      </c>
    </row>
    <row r="5" customFormat="false" ht="15" hidden="false" customHeight="false" outlineLevel="0" collapsed="false">
      <c r="A5" s="9" t="s">
        <v>35</v>
      </c>
      <c r="B5" s="10" t="n">
        <f aca="false">SUMIF(Basket!$D$2:$D$26,A5,Basket!$F$2:$F$26)</f>
        <v>0.06</v>
      </c>
      <c r="C5" s="9" t="n">
        <f aca="false">COUNTIF(Basket!$D$2:$D$26,A5)</f>
        <v>1</v>
      </c>
      <c r="D5" s="9" t="s">
        <v>33</v>
      </c>
    </row>
    <row r="6" customFormat="false" ht="15" hidden="false" customHeight="false" outlineLevel="0" collapsed="false">
      <c r="A6" s="9" t="s">
        <v>19</v>
      </c>
      <c r="B6" s="10" t="n">
        <f aca="false">SUMIF(Basket!$D$2:$D$26,A6,Basket!$F$2:$F$26)</f>
        <v>0.17</v>
      </c>
      <c r="C6" s="9" t="n">
        <f aca="false">COUNTIF(Basket!$D$2:$D$26,A6)</f>
        <v>4</v>
      </c>
      <c r="D6" s="9" t="s">
        <v>132</v>
      </c>
    </row>
    <row r="7" customFormat="false" ht="15" hidden="false" customHeight="false" outlineLevel="0" collapsed="false">
      <c r="A7" s="7" t="s">
        <v>125</v>
      </c>
      <c r="B7" s="8" t="n">
        <f aca="false">SUM(B2:B6)</f>
        <v>1</v>
      </c>
      <c r="C7" s="11" t="n">
        <f aca="false">SUM(C2:C6)</f>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3" min="2" style="0" width="16"/>
    <col collapsed="false" customWidth="true" hidden="false" outlineLevel="0" max="4" min="4" style="0" width="12"/>
  </cols>
  <sheetData>
    <row r="1" customFormat="false" ht="15" hidden="false" customHeight="false" outlineLevel="0" collapsed="false">
      <c r="A1" s="7" t="s">
        <v>133</v>
      </c>
    </row>
    <row r="2" customFormat="false" ht="15" hidden="false" customHeight="false" outlineLevel="0" collapsed="false">
      <c r="A2" s="9" t="s">
        <v>134</v>
      </c>
    </row>
    <row r="3" customFormat="false" ht="15" hidden="false" customHeight="false" outlineLevel="0" collapsed="false">
      <c r="A3" s="9" t="s">
        <v>135</v>
      </c>
      <c r="B3" s="8" t="n">
        <v>0.46</v>
      </c>
    </row>
    <row r="4" customFormat="false" ht="15" hidden="false" customHeight="false" outlineLevel="0" collapsed="false">
      <c r="A4" s="9" t="s">
        <v>136</v>
      </c>
      <c r="B4" s="12" t="n">
        <v>0.1947</v>
      </c>
    </row>
    <row r="6" customFormat="false" ht="15" hidden="false" customHeight="false" outlineLevel="0" collapsed="false">
      <c r="A6" s="1" t="s">
        <v>137</v>
      </c>
      <c r="B6" s="1" t="s">
        <v>138</v>
      </c>
      <c r="C6" s="1" t="s">
        <v>139</v>
      </c>
      <c r="D6" s="1" t="s">
        <v>140</v>
      </c>
    </row>
    <row r="7" customFormat="false" ht="15" hidden="false" customHeight="false" outlineLevel="0" collapsed="false">
      <c r="A7" s="0" t="s">
        <v>17</v>
      </c>
      <c r="B7" s="12" t="n">
        <v>0.06</v>
      </c>
      <c r="C7" s="12" t="n">
        <v>0.0773</v>
      </c>
      <c r="D7" s="13" t="n">
        <f aca="false">IF(C7&gt;0,B7/C7,"")</f>
        <v>0.776196636481242</v>
      </c>
    </row>
    <row r="8" customFormat="false" ht="15" hidden="false" customHeight="false" outlineLevel="0" collapsed="false">
      <c r="A8" s="0" t="s">
        <v>23</v>
      </c>
      <c r="B8" s="12" t="n">
        <v>0.06</v>
      </c>
      <c r="C8" s="12" t="n">
        <v>0.0208</v>
      </c>
      <c r="D8" s="13" t="n">
        <f aca="false">IF(C8&gt;0,B8/C8,"")</f>
        <v>2.88461538461538</v>
      </c>
    </row>
    <row r="9" customFormat="false" ht="15" hidden="false" customHeight="false" outlineLevel="0" collapsed="false">
      <c r="A9" s="0" t="s">
        <v>29</v>
      </c>
      <c r="B9" s="12" t="n">
        <v>0.06</v>
      </c>
      <c r="C9" s="12" t="n">
        <v>0.0316</v>
      </c>
      <c r="D9" s="13" t="n">
        <f aca="false">IF(C9&gt;0,B9/C9,"")</f>
        <v>1.89873417721519</v>
      </c>
    </row>
    <row r="10" customFormat="false" ht="15" hidden="false" customHeight="false" outlineLevel="0" collapsed="false">
      <c r="A10" s="0" t="s">
        <v>33</v>
      </c>
      <c r="B10" s="12" t="n">
        <v>0.06</v>
      </c>
      <c r="C10" s="12" t="n">
        <v>0.002</v>
      </c>
      <c r="D10" s="13" t="n">
        <f aca="false">IF(C10&gt;0,B10/C10,"")</f>
        <v>30</v>
      </c>
    </row>
    <row r="11" customFormat="false" ht="15" hidden="false" customHeight="false" outlineLevel="0" collapsed="false">
      <c r="A11" s="0" t="s">
        <v>64</v>
      </c>
      <c r="B11" s="12" t="n">
        <v>0.04</v>
      </c>
      <c r="C11" s="12" t="n">
        <v>0.0394</v>
      </c>
      <c r="D11" s="13" t="n">
        <f aca="false">IF(C11&gt;0,B11/C11,"")</f>
        <v>1.01522842639594</v>
      </c>
    </row>
    <row r="12" customFormat="false" ht="15" hidden="false" customHeight="false" outlineLevel="0" collapsed="false">
      <c r="A12" s="0" t="s">
        <v>68</v>
      </c>
      <c r="B12" s="12" t="n">
        <v>0.04</v>
      </c>
      <c r="C12" s="12" t="n">
        <v>0.0026</v>
      </c>
      <c r="D12" s="13" t="n">
        <f aca="false">IF(C12&gt;0,B12/C12,"")</f>
        <v>15.3846153846154</v>
      </c>
    </row>
    <row r="13" customFormat="false" ht="15" hidden="false" customHeight="false" outlineLevel="0" collapsed="false">
      <c r="A13" s="0" t="s">
        <v>73</v>
      </c>
      <c r="B13" s="12" t="n">
        <v>0.04</v>
      </c>
      <c r="C13" s="12" t="n">
        <v>0.0008</v>
      </c>
      <c r="D13" s="13" t="n">
        <f aca="false">IF(C13&gt;0,B13/C13,"")</f>
        <v>50</v>
      </c>
    </row>
    <row r="14" customFormat="false" ht="15" hidden="false" customHeight="false" outlineLevel="0" collapsed="false">
      <c r="A14" s="0" t="s">
        <v>83</v>
      </c>
      <c r="B14" s="12" t="n">
        <v>0.04</v>
      </c>
      <c r="C14" s="12" t="n">
        <v>0.0134</v>
      </c>
      <c r="D14" s="13" t="n">
        <f aca="false">IF(C14&gt;0,B14/C14,"")</f>
        <v>2.98507462686567</v>
      </c>
    </row>
    <row r="15" customFormat="false" ht="15" hidden="false" customHeight="false" outlineLevel="0" collapsed="false">
      <c r="A15" s="0" t="s">
        <v>87</v>
      </c>
      <c r="B15" s="12" t="n">
        <v>0.03</v>
      </c>
      <c r="C15" s="12" t="n">
        <v>0.0007</v>
      </c>
      <c r="D15" s="13" t="n">
        <f aca="false">IF(C15&gt;0,B15/C15,"")</f>
        <v>42.8571428571429</v>
      </c>
    </row>
    <row r="16" customFormat="false" ht="15" hidden="false" customHeight="false" outlineLevel="0" collapsed="false">
      <c r="A16" s="0" t="s">
        <v>109</v>
      </c>
      <c r="B16" s="12" t="n">
        <v>0.03</v>
      </c>
      <c r="C16" s="12" t="n">
        <v>0.0061</v>
      </c>
      <c r="D16" s="13" t="n">
        <f aca="false">IF(C16&gt;0,B16/C16,"")</f>
        <v>4.91803278688525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0"/>
  </cols>
  <sheetData>
    <row r="1" customFormat="false" ht="26.85" hidden="false" customHeight="false" outlineLevel="0" collapsed="false">
      <c r="A1" s="14" t="s">
        <v>141</v>
      </c>
    </row>
    <row r="2" customFormat="false" ht="64.9" hidden="false" customHeight="false" outlineLevel="0" collapsed="false">
      <c r="A2" s="14" t="s">
        <v>142</v>
      </c>
    </row>
    <row r="3" customFormat="false" ht="39.55" hidden="false" customHeight="false" outlineLevel="0" collapsed="false">
      <c r="A3" s="14" t="s">
        <v>143</v>
      </c>
    </row>
    <row r="4" customFormat="false" ht="39.55" hidden="false" customHeight="false" outlineLevel="0" collapsed="false">
      <c r="A4" s="14" t="s">
        <v>144</v>
      </c>
    </row>
    <row r="5" customFormat="false" ht="52.2" hidden="false" customHeight="false" outlineLevel="0" collapsed="false">
      <c r="A5" s="14" t="s">
        <v>145</v>
      </c>
    </row>
    <row r="6" customFormat="false" ht="26.85" hidden="false" customHeight="false" outlineLevel="0" collapsed="false">
      <c r="A6" s="14" t="s">
        <v>146</v>
      </c>
    </row>
    <row r="7" customFormat="false" ht="15" hidden="false" customHeight="false" outlineLevel="0" collapsed="false">
      <c r="A7" s="14" t="s">
        <v>147</v>
      </c>
    </row>
    <row r="8" customFormat="false" ht="26.85" hidden="false" customHeight="false" outlineLevel="0" collapsed="false">
      <c r="A8" s="14" t="s">
        <v>148</v>
      </c>
    </row>
    <row r="9" customFormat="false" ht="15" hidden="false" customHeight="false" outlineLevel="0" collapsed="false">
      <c r="A9" s="14" t="s">
        <v>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2026-09-24T12:57:36Z</dcterms:created>
  <dc:creator>openpyxl</dc:creator>
  <dc:description/>
  <dc:language>en-US</dc:language>
  <cp:lastModifiedBy/>
  <dcterms:modified xsi:type="dcterms:W3CDTF">2026-09-24T12:57:36Z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