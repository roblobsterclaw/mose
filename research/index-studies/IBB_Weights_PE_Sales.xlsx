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Sectors" sheetId="2" state="visible" r:id="rId4"/>
    <sheet name="Overlap vs S&amp;P 500" sheetId="3" state="visible" r:id="rId5"/>
    <sheet name="Notes" sheetId="4" state="visible" r:id="rId6"/>
    <sheet name="Annual Returns" sheetId="5" state="visible" r:id="rId7"/>
    <sheet name="By Decade" sheetId="6" state="visible" r:id="rId8"/>
  </sheets>
  <definedNames>
    <definedName function="false" hidden="true" localSheetId="0" name="_xlnm._FilterDatabase" vbProcedure="false">Holdings!$A$1:$N$230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<sst xmlns="http://schemas.openxmlformats.org/spreadsheetml/2006/main" count="1223" uniqueCount="570">
  <si>
    <t xml:space="preserve">Rank</t>
  </si>
  <si>
    <t xml:space="preserve">Ticker</t>
  </si>
  <si>
    <t xml:space="preserve">Company</t>
  </si>
  <si>
    <t xml:space="preserve">GICS Sector</t>
  </si>
  <si>
    <t xml:space="preserve">Sub-Industry</t>
  </si>
  <si>
    <t xml:space="preserve">Weight</t>
  </si>
  <si>
    <t xml:space="preserve">Cumulative Weight</t>
  </si>
  <si>
    <t xml:space="preserve">Price ($)</t>
  </si>
  <si>
    <t xml:space="preserve">P/E (TTM)</t>
  </si>
  <si>
    <t xml:space="preserve">EPS (TTM)</t>
  </si>
  <si>
    <t xml:space="preserve">Mkt Cap ($B)</t>
  </si>
  <si>
    <t xml:space="preserve">Price/Sales</t>
  </si>
  <si>
    <t xml:space="preserve">Revenue TTM ($B)</t>
  </si>
  <si>
    <t xml:space="preserve">Notes</t>
  </si>
  <si>
    <t xml:space="preserve">GILD</t>
  </si>
  <si>
    <t xml:space="preserve">Gilead Sciences, Inc.</t>
  </si>
  <si>
    <t xml:space="preserve">Health Care</t>
  </si>
  <si>
    <t xml:space="preserve">Drug Manufacturers - General</t>
  </si>
  <si>
    <t xml:space="preserve">Negative trailing EPS; P/E blank</t>
  </si>
  <si>
    <t xml:space="preserve">VRTX</t>
  </si>
  <si>
    <t xml:space="preserve">Vertex Pharmaceuticals Incorporated</t>
  </si>
  <si>
    <t xml:space="preserve">Biotechnology</t>
  </si>
  <si>
    <t xml:space="preserve">AMGN</t>
  </si>
  <si>
    <t xml:space="preserve">Amgen Inc.</t>
  </si>
  <si>
    <t xml:space="preserve">REGN</t>
  </si>
  <si>
    <t xml:space="preserve">Regeneron Pharmaceuticals, Inc.</t>
  </si>
  <si>
    <t xml:space="preserve">MRNA</t>
  </si>
  <si>
    <t xml:space="preserve">Moderna, Inc.</t>
  </si>
  <si>
    <t xml:space="preserve">ARGX</t>
  </si>
  <si>
    <t xml:space="preserve">argenx SE</t>
  </si>
  <si>
    <t xml:space="preserve">NTRA</t>
  </si>
  <si>
    <t xml:space="preserve">Natera, Inc.</t>
  </si>
  <si>
    <t xml:space="preserve">Diagnostics &amp; Research</t>
  </si>
  <si>
    <t xml:space="preserve">RVMD</t>
  </si>
  <si>
    <t xml:space="preserve">Revolution Medicines, Inc.</t>
  </si>
  <si>
    <t xml:space="preserve">ILMN</t>
  </si>
  <si>
    <t xml:space="preserve">Illumina, Inc.</t>
  </si>
  <si>
    <t xml:space="preserve">ALNY</t>
  </si>
  <si>
    <t xml:space="preserve">Alnylam Pharmaceuticals, Inc.</t>
  </si>
  <si>
    <t xml:space="preserve">BIIB</t>
  </si>
  <si>
    <t xml:space="preserve">Biogen Inc.</t>
  </si>
  <si>
    <t xml:space="preserve">ONC</t>
  </si>
  <si>
    <t xml:space="preserve">BeOne Medicines AG</t>
  </si>
  <si>
    <t xml:space="preserve">INSM</t>
  </si>
  <si>
    <t xml:space="preserve">Insmed Incorporated</t>
  </si>
  <si>
    <t xml:space="preserve">INCY</t>
  </si>
  <si>
    <t xml:space="preserve">Incyte Corporation</t>
  </si>
  <si>
    <t xml:space="preserve">UTHR</t>
  </si>
  <si>
    <t xml:space="preserve">United Therapeutics Corporation</t>
  </si>
  <si>
    <t xml:space="preserve">Drug Manufacturers - Specialty &amp; Generic</t>
  </si>
  <si>
    <t xml:space="preserve">ROIV</t>
  </si>
  <si>
    <t xml:space="preserve">Roivant Sciences Ltd.</t>
  </si>
  <si>
    <t xml:space="preserve">GMAB</t>
  </si>
  <si>
    <t xml:space="preserve">Genmab A/S</t>
  </si>
  <si>
    <t xml:space="preserve">ASND</t>
  </si>
  <si>
    <t xml:space="preserve">Ascendis Pharma A/S</t>
  </si>
  <si>
    <t xml:space="preserve">ADR: Yahoo mixes USD price with EUR earnings; P/E, EPS, P/S blanked</t>
  </si>
  <si>
    <t xml:space="preserve">NBIX</t>
  </si>
  <si>
    <t xml:space="preserve">Neurocrine Biosciences, Inc.</t>
  </si>
  <si>
    <t xml:space="preserve">MEDP</t>
  </si>
  <si>
    <t xml:space="preserve">Medpace Holdings, Inc.</t>
  </si>
  <si>
    <t xml:space="preserve">EXEL</t>
  </si>
  <si>
    <t xml:space="preserve">Exelixis, Inc.</t>
  </si>
  <si>
    <t xml:space="preserve">CRL</t>
  </si>
  <si>
    <t xml:space="preserve">Charles River Laboratories International, Inc.</t>
  </si>
  <si>
    <t xml:space="preserve">HALO</t>
  </si>
  <si>
    <t xml:space="preserve">Halozyme Therapeutics, Inc.</t>
  </si>
  <si>
    <t xml:space="preserve">BMRN</t>
  </si>
  <si>
    <t xml:space="preserve">BioMarin Pharmaceutical Inc.</t>
  </si>
  <si>
    <t xml:space="preserve">BBIO</t>
  </si>
  <si>
    <t xml:space="preserve">BridgeBio Pharma, Inc.</t>
  </si>
  <si>
    <t xml:space="preserve">TECH</t>
  </si>
  <si>
    <t xml:space="preserve">Bio-Techne Corporation</t>
  </si>
  <si>
    <t xml:space="preserve">MDGL</t>
  </si>
  <si>
    <t xml:space="preserve">Madrigal Pharmaceuticals, Inc.</t>
  </si>
  <si>
    <t xml:space="preserve">TWST</t>
  </si>
  <si>
    <t xml:space="preserve">Twist Bioscience Corporation</t>
  </si>
  <si>
    <t xml:space="preserve">RGEN</t>
  </si>
  <si>
    <t xml:space="preserve">Repligen Corporation</t>
  </si>
  <si>
    <t xml:space="preserve">Medical Instruments &amp; Supplies</t>
  </si>
  <si>
    <t xml:space="preserve">BNTX</t>
  </si>
  <si>
    <t xml:space="preserve">BioNTech SE</t>
  </si>
  <si>
    <t xml:space="preserve">TXG</t>
  </si>
  <si>
    <t xml:space="preserve">10x Genomics, Inc.</t>
  </si>
  <si>
    <t xml:space="preserve">Medical Devices</t>
  </si>
  <si>
    <t xml:space="preserve">ARWR</t>
  </si>
  <si>
    <t xml:space="preserve">Arrowhead Pharmaceuticals, Inc.</t>
  </si>
  <si>
    <t xml:space="preserve">AXSM</t>
  </si>
  <si>
    <t xml:space="preserve">Axsome Therapeutics, Inc.</t>
  </si>
  <si>
    <t xml:space="preserve">CYTK</t>
  </si>
  <si>
    <t xml:space="preserve">Cytokinetics, Incorporated</t>
  </si>
  <si>
    <t xml:space="preserve">PTGX</t>
  </si>
  <si>
    <t xml:space="preserve">Protagonist Therapeutics, Inc.</t>
  </si>
  <si>
    <t xml:space="preserve">KYMR</t>
  </si>
  <si>
    <t xml:space="preserve">Kymera Therapeutics, Inc.</t>
  </si>
  <si>
    <t xml:space="preserve">KRYS</t>
  </si>
  <si>
    <t xml:space="preserve">Krystal Biotech, Inc.</t>
  </si>
  <si>
    <t xml:space="preserve">PCVX</t>
  </si>
  <si>
    <t xml:space="preserve">Vaxcyte, Inc.</t>
  </si>
  <si>
    <t xml:space="preserve">TEM</t>
  </si>
  <si>
    <t xml:space="preserve">Tempus AI, Inc.</t>
  </si>
  <si>
    <t xml:space="preserve">Health Information Services</t>
  </si>
  <si>
    <t xml:space="preserve">PRAX</t>
  </si>
  <si>
    <t xml:space="preserve">Praxis Precision Medicines, Inc.</t>
  </si>
  <si>
    <t xml:space="preserve">ABVX</t>
  </si>
  <si>
    <t xml:space="preserve">ABIVAX Société Anonyme</t>
  </si>
  <si>
    <t xml:space="preserve">IONS</t>
  </si>
  <si>
    <t xml:space="preserve">Ionis Pharmaceuticals, Inc.</t>
  </si>
  <si>
    <t xml:space="preserve">SYRE</t>
  </si>
  <si>
    <t xml:space="preserve">Spyre Therapeutics, Inc.</t>
  </si>
  <si>
    <t xml:space="preserve">ALKS</t>
  </si>
  <si>
    <t xml:space="preserve">Alkermes plc</t>
  </si>
  <si>
    <t xml:space="preserve">BRKR</t>
  </si>
  <si>
    <t xml:space="preserve">Bruker Corporation</t>
  </si>
  <si>
    <t xml:space="preserve">RYTM</t>
  </si>
  <si>
    <t xml:space="preserve">Rhythm Pharmaceuticals, Inc.</t>
  </si>
  <si>
    <t xml:space="preserve">TVTX</t>
  </si>
  <si>
    <t xml:space="preserve">Travere Therapeutics, Inc.</t>
  </si>
  <si>
    <t xml:space="preserve">ORKA</t>
  </si>
  <si>
    <t xml:space="preserve">Oruka Therapeutics, Inc.</t>
  </si>
  <si>
    <t xml:space="preserve">CRSP</t>
  </si>
  <si>
    <t xml:space="preserve">CRISPR Therapeutics AG</t>
  </si>
  <si>
    <t xml:space="preserve">PTCT</t>
  </si>
  <si>
    <t xml:space="preserve">PTC Therapeutics, Inc.</t>
  </si>
  <si>
    <t xml:space="preserve">DFTX</t>
  </si>
  <si>
    <t xml:space="preserve">Definium Therapeutics, Inc.</t>
  </si>
  <si>
    <t xml:space="preserve">COGT</t>
  </si>
  <si>
    <t xml:space="preserve">Cogent Biosciences, Inc.</t>
  </si>
  <si>
    <t xml:space="preserve">MIRM</t>
  </si>
  <si>
    <t xml:space="preserve">Mirum Pharmaceuticals, Inc.</t>
  </si>
  <si>
    <t xml:space="preserve">SRRK</t>
  </si>
  <si>
    <t xml:space="preserve">Scholar Rock Holding Corporation</t>
  </si>
  <si>
    <t xml:space="preserve">CGON</t>
  </si>
  <si>
    <t xml:space="preserve">CG Oncology, Inc.</t>
  </si>
  <si>
    <t xml:space="preserve">GRAL</t>
  </si>
  <si>
    <t xml:space="preserve">GRAIL, Inc.</t>
  </si>
  <si>
    <t xml:space="preserve">ACAD</t>
  </si>
  <si>
    <t xml:space="preserve">ACADIA Pharmaceuticals Inc.</t>
  </si>
  <si>
    <t xml:space="preserve">ADPT</t>
  </si>
  <si>
    <t xml:space="preserve">Adaptive Biotechnologies Corporation</t>
  </si>
  <si>
    <t xml:space="preserve">IOVA</t>
  </si>
  <si>
    <t xml:space="preserve">Iovance Biotherapeutics, Inc.</t>
  </si>
  <si>
    <t xml:space="preserve">CAI</t>
  </si>
  <si>
    <t xml:space="preserve">Caris Life Sciences, Inc.</t>
  </si>
  <si>
    <t xml:space="preserve">ERAS</t>
  </si>
  <si>
    <t xml:space="preserve">Erasca, Inc.</t>
  </si>
  <si>
    <t xml:space="preserve">EWTX</t>
  </si>
  <si>
    <t xml:space="preserve">Edgewise Therapeutics, Inc.</t>
  </si>
  <si>
    <t xml:space="preserve">XENE</t>
  </si>
  <si>
    <t xml:space="preserve">Xenon Pharmaceuticals Inc.</t>
  </si>
  <si>
    <t xml:space="preserve">IDYA</t>
  </si>
  <si>
    <t xml:space="preserve">IDEAYA Biosciences, Inc.</t>
  </si>
  <si>
    <t xml:space="preserve">AMLX</t>
  </si>
  <si>
    <t xml:space="preserve">Amylyx Pharmaceuticals, Inc.</t>
  </si>
  <si>
    <t xml:space="preserve">IBRX</t>
  </si>
  <si>
    <t xml:space="preserve">ImmunityBio, Inc.</t>
  </si>
  <si>
    <t xml:space="preserve">VCYT</t>
  </si>
  <si>
    <t xml:space="preserve">Veracyte, Inc.</t>
  </si>
  <si>
    <t xml:space="preserve">TARS</t>
  </si>
  <si>
    <t xml:space="preserve">Tarsus Pharmaceuticals, Inc.</t>
  </si>
  <si>
    <t xml:space="preserve">ABCL</t>
  </si>
  <si>
    <t xml:space="preserve">AbCellera Biologics Inc.</t>
  </si>
  <si>
    <t xml:space="preserve">IMVT</t>
  </si>
  <si>
    <t xml:space="preserve">Immunovant, Inc.</t>
  </si>
  <si>
    <t xml:space="preserve">RLAY</t>
  </si>
  <si>
    <t xml:space="preserve">Relay Therapeutics, Inc.</t>
  </si>
  <si>
    <t xml:space="preserve">TNGX</t>
  </si>
  <si>
    <t xml:space="preserve">Tango Therapeutics, Inc.</t>
  </si>
  <si>
    <t xml:space="preserve">DNLI</t>
  </si>
  <si>
    <t xml:space="preserve">Denali Therapeutics Inc.</t>
  </si>
  <si>
    <t xml:space="preserve">LEGN</t>
  </si>
  <si>
    <t xml:space="preserve">Legend Biotech Corporation</t>
  </si>
  <si>
    <t xml:space="preserve">ELVN</t>
  </si>
  <si>
    <t xml:space="preserve">Enliven Therapeutics, Inc.</t>
  </si>
  <si>
    <t xml:space="preserve">QURE</t>
  </si>
  <si>
    <t xml:space="preserve">uniQure N.V.</t>
  </si>
  <si>
    <t xml:space="preserve">ARQT</t>
  </si>
  <si>
    <t xml:space="preserve">Arcutis Biotherapeutics, Inc.</t>
  </si>
  <si>
    <t xml:space="preserve">DYN</t>
  </si>
  <si>
    <t xml:space="preserve">Dyne Therapeutics, Inc.</t>
  </si>
  <si>
    <t xml:space="preserve">SMMT</t>
  </si>
  <si>
    <t xml:space="preserve">Summit Therapeutics Inc.</t>
  </si>
  <si>
    <t xml:space="preserve">CDNA</t>
  </si>
  <si>
    <t xml:space="preserve">CareDx, Inc.</t>
  </si>
  <si>
    <t xml:space="preserve">NRIX</t>
  </si>
  <si>
    <t xml:space="preserve">Nurix Therapeutics, Inc.</t>
  </si>
  <si>
    <t xml:space="preserve">ZLAB</t>
  </si>
  <si>
    <t xml:space="preserve">Zai Lab Limited</t>
  </si>
  <si>
    <t xml:space="preserve">BEAM</t>
  </si>
  <si>
    <t xml:space="preserve">Beam Therapeutics Inc.</t>
  </si>
  <si>
    <t xml:space="preserve">GPCR</t>
  </si>
  <si>
    <t xml:space="preserve">Structure Therapeutics Inc.</t>
  </si>
  <si>
    <t xml:space="preserve">RCUS</t>
  </si>
  <si>
    <t xml:space="preserve">Arcus Biosciences, Inc.</t>
  </si>
  <si>
    <t xml:space="preserve">ADMA</t>
  </si>
  <si>
    <t xml:space="preserve">ADMA Biologics, Inc.</t>
  </si>
  <si>
    <t xml:space="preserve">SRPT</t>
  </si>
  <si>
    <t xml:space="preserve">Sarepta Therapeutics, Inc.</t>
  </si>
  <si>
    <t xml:space="preserve">VERA</t>
  </si>
  <si>
    <t xml:space="preserve">Vera Therapeutics, Inc.</t>
  </si>
  <si>
    <t xml:space="preserve">VCEL</t>
  </si>
  <si>
    <t xml:space="preserve">Vericel Corporation</t>
  </si>
  <si>
    <t xml:space="preserve">AGIO</t>
  </si>
  <si>
    <t xml:space="preserve">Agios Pharmaceuticals, Inc.</t>
  </si>
  <si>
    <t xml:space="preserve">AUPH</t>
  </si>
  <si>
    <t xml:space="preserve">Aurinia Pharmaceuticals Inc.</t>
  </si>
  <si>
    <t xml:space="preserve">IRON</t>
  </si>
  <si>
    <t xml:space="preserve">Disc Medicine, Inc.</t>
  </si>
  <si>
    <t xml:space="preserve">BCRX</t>
  </si>
  <si>
    <t xml:space="preserve">BioCryst Pharmaceuticals, Inc.</t>
  </si>
  <si>
    <t xml:space="preserve">RXRX</t>
  </si>
  <si>
    <t xml:space="preserve">Recursion Pharmaceuticals, Inc.</t>
  </si>
  <si>
    <t xml:space="preserve">KOD</t>
  </si>
  <si>
    <t xml:space="preserve">Kodiak Sciences Inc.</t>
  </si>
  <si>
    <t xml:space="preserve">FTRE</t>
  </si>
  <si>
    <t xml:space="preserve">Fortrea Holdings Inc.</t>
  </si>
  <si>
    <t xml:space="preserve">MBX</t>
  </si>
  <si>
    <t xml:space="preserve">MBX Biosciences, Inc.</t>
  </si>
  <si>
    <t xml:space="preserve">ZYME</t>
  </si>
  <si>
    <t xml:space="preserve">Zymeworks Inc.</t>
  </si>
  <si>
    <t xml:space="preserve">BHVN</t>
  </si>
  <si>
    <t xml:space="preserve">Biohaven Ltd.</t>
  </si>
  <si>
    <t xml:space="preserve">URGN</t>
  </si>
  <si>
    <t xml:space="preserve">UroGen Pharma Ltd.</t>
  </si>
  <si>
    <t xml:space="preserve">XNCR</t>
  </si>
  <si>
    <t xml:space="preserve">Xencor, Inc.</t>
  </si>
  <si>
    <t xml:space="preserve">NAMS</t>
  </si>
  <si>
    <t xml:space="preserve">NewAmsterdam Pharma Company N.V.</t>
  </si>
  <si>
    <t xml:space="preserve">NVCR</t>
  </si>
  <si>
    <t xml:space="preserve">NovoCure Limited</t>
  </si>
  <si>
    <t xml:space="preserve">MLYS</t>
  </si>
  <si>
    <t xml:space="preserve">Mineralys Therapeutics, Inc.</t>
  </si>
  <si>
    <t xml:space="preserve">GRFS</t>
  </si>
  <si>
    <t xml:space="preserve">Grifols, S.A.</t>
  </si>
  <si>
    <t xml:space="preserve">CMPS</t>
  </si>
  <si>
    <t xml:space="preserve">COMPASS Pathways plc</t>
  </si>
  <si>
    <t xml:space="preserve">Medical Care Facilities</t>
  </si>
  <si>
    <t xml:space="preserve">NTLA</t>
  </si>
  <si>
    <t xml:space="preserve">Intellia Therapeutics, Inc.</t>
  </si>
  <si>
    <t xml:space="preserve">NVAX</t>
  </si>
  <si>
    <t xml:space="preserve">Novavax, Inc.</t>
  </si>
  <si>
    <t xml:space="preserve">NUVB</t>
  </si>
  <si>
    <t xml:space="preserve">Nuvation Bio Inc.</t>
  </si>
  <si>
    <t xml:space="preserve">ANAB</t>
  </si>
  <si>
    <t xml:space="preserve">AnaptysBio, Inc.</t>
  </si>
  <si>
    <t xml:space="preserve">STOK</t>
  </si>
  <si>
    <t xml:space="preserve">Stoke Therapeutics, Inc.</t>
  </si>
  <si>
    <t xml:space="preserve">SNDX</t>
  </si>
  <si>
    <t xml:space="preserve">Syndax Pharmaceuticals, Inc.</t>
  </si>
  <si>
    <t xml:space="preserve">IMCR</t>
  </si>
  <si>
    <t xml:space="preserve">Immunocore Holdings plc</t>
  </si>
  <si>
    <t xml:space="preserve">VIR</t>
  </si>
  <si>
    <t xml:space="preserve">Vir Biotechnology, Inc.</t>
  </si>
  <si>
    <t xml:space="preserve">ABSI</t>
  </si>
  <si>
    <t xml:space="preserve">Absci Corporation</t>
  </si>
  <si>
    <t xml:space="preserve">TRVI</t>
  </si>
  <si>
    <t xml:space="preserve">Trevi Therapeutics, Inc.</t>
  </si>
  <si>
    <t xml:space="preserve">GHRS</t>
  </si>
  <si>
    <t xml:space="preserve">GH Research PLC</t>
  </si>
  <si>
    <t xml:space="preserve">TSHA</t>
  </si>
  <si>
    <t xml:space="preserve">Taysha Gene Therapies, Inc.</t>
  </si>
  <si>
    <t xml:space="preserve">RARE</t>
  </si>
  <si>
    <t xml:space="preserve">Ultragenyx Pharmaceutical Inc.</t>
  </si>
  <si>
    <t xml:space="preserve">LKFT</t>
  </si>
  <si>
    <t xml:space="preserve">Lakefront Biotherapeutics NV</t>
  </si>
  <si>
    <t xml:space="preserve">PGEN</t>
  </si>
  <si>
    <t xml:space="preserve">Precigen, Inc.</t>
  </si>
  <si>
    <t xml:space="preserve">INBX</t>
  </si>
  <si>
    <t xml:space="preserve">Inhibrx Biosciences, Inc.</t>
  </si>
  <si>
    <t xml:space="preserve">PHVS</t>
  </si>
  <si>
    <t xml:space="preserve">Pharvaris N.V.</t>
  </si>
  <si>
    <t xml:space="preserve">PSNL</t>
  </si>
  <si>
    <t xml:space="preserve">Personalis, Inc.</t>
  </si>
  <si>
    <t xml:space="preserve">RAPP</t>
  </si>
  <si>
    <t xml:space="preserve">Rapport Therapeutics, Inc.</t>
  </si>
  <si>
    <t xml:space="preserve">MESO</t>
  </si>
  <si>
    <t xml:space="preserve">Mesoblast Limited</t>
  </si>
  <si>
    <t xml:space="preserve">REPL</t>
  </si>
  <si>
    <t xml:space="preserve">Replimune Group, Inc.</t>
  </si>
  <si>
    <t xml:space="preserve">SEPN</t>
  </si>
  <si>
    <t xml:space="preserve">Septerna, Inc.</t>
  </si>
  <si>
    <t xml:space="preserve">TYRA</t>
  </si>
  <si>
    <t xml:space="preserve">Tyra Biosciences, Inc.</t>
  </si>
  <si>
    <t xml:space="preserve">ZBIO</t>
  </si>
  <si>
    <t xml:space="preserve">Zenas BioPharma, Inc.</t>
  </si>
  <si>
    <t xml:space="preserve">ANRO</t>
  </si>
  <si>
    <t xml:space="preserve">Alto Neuroscience, Inc.</t>
  </si>
  <si>
    <t xml:space="preserve">MNKD</t>
  </si>
  <si>
    <t xml:space="preserve">MannKind Corporation</t>
  </si>
  <si>
    <t xml:space="preserve">STVN</t>
  </si>
  <si>
    <t xml:space="preserve">Stevanato Group S.p.A.</t>
  </si>
  <si>
    <t xml:space="preserve">CSTL</t>
  </si>
  <si>
    <t xml:space="preserve">Castle Biosciences, Inc.</t>
  </si>
  <si>
    <t xml:space="preserve">AVBP</t>
  </si>
  <si>
    <t xml:space="preserve">ArriVent BioPharma, Inc.</t>
  </si>
  <si>
    <t xml:space="preserve">ALVO</t>
  </si>
  <si>
    <t xml:space="preserve">Alvotech</t>
  </si>
  <si>
    <t xml:space="preserve">KURA</t>
  </si>
  <si>
    <t xml:space="preserve">Kura Oncology, Inc.</t>
  </si>
  <si>
    <t xml:space="preserve">CGEM</t>
  </si>
  <si>
    <t xml:space="preserve">Cullinan Therapeutics, Inc.</t>
  </si>
  <si>
    <t xml:space="preserve">JANX</t>
  </si>
  <si>
    <t xml:space="preserve">Janux Therapeutics, Inc.</t>
  </si>
  <si>
    <t xml:space="preserve">BCAX</t>
  </si>
  <si>
    <t xml:space="preserve">Bicara Therapeutics Inc.</t>
  </si>
  <si>
    <t xml:space="preserve">MGTX</t>
  </si>
  <si>
    <t xml:space="preserve">MeiraGTx Holdings plc</t>
  </si>
  <si>
    <t xml:space="preserve">ORIC</t>
  </si>
  <si>
    <t xml:space="preserve">ORIC Pharmaceuticals, Inc.</t>
  </si>
  <si>
    <t xml:space="preserve">RIGL</t>
  </si>
  <si>
    <t xml:space="preserve">Rigel Pharmaceuticals, Inc.</t>
  </si>
  <si>
    <t xml:space="preserve">TBPH</t>
  </si>
  <si>
    <t xml:space="preserve">Theravance Biopharma, Inc.</t>
  </si>
  <si>
    <t xml:space="preserve">GERN</t>
  </si>
  <si>
    <t xml:space="preserve">Geron Corporation</t>
  </si>
  <si>
    <t xml:space="preserve">ABUS</t>
  </si>
  <si>
    <t xml:space="preserve">Arbutus Biopharma Corporation</t>
  </si>
  <si>
    <t xml:space="preserve">CRVS</t>
  </si>
  <si>
    <t xml:space="preserve">Corvus Pharmaceuticals, Inc.</t>
  </si>
  <si>
    <t xml:space="preserve">MRVI</t>
  </si>
  <si>
    <t xml:space="preserve">Maravai LifeSciences Holdings, Inc.</t>
  </si>
  <si>
    <t xml:space="preserve">MAZE</t>
  </si>
  <si>
    <t xml:space="preserve">Maze Therapeutics, Inc.</t>
  </si>
  <si>
    <t xml:space="preserve">FDMT</t>
  </si>
  <si>
    <t xml:space="preserve">4D Molecular Therapeutics, Inc.</t>
  </si>
  <si>
    <t xml:space="preserve">ALMS</t>
  </si>
  <si>
    <t xml:space="preserve">Alumis Inc.</t>
  </si>
  <si>
    <t xml:space="preserve">SLDB</t>
  </si>
  <si>
    <t xml:space="preserve">Solid Biosciences Inc.</t>
  </si>
  <si>
    <t xml:space="preserve">GLUE</t>
  </si>
  <si>
    <t xml:space="preserve">Monte Rosa Therapeutics, Inc.</t>
  </si>
  <si>
    <t xml:space="preserve">IRWD</t>
  </si>
  <si>
    <t xml:space="preserve">Ironwood Pharmaceuticals, Inc.</t>
  </si>
  <si>
    <t xml:space="preserve">ANNX</t>
  </si>
  <si>
    <t xml:space="preserve">Annexon, Inc.</t>
  </si>
  <si>
    <t xml:space="preserve">ZVRA</t>
  </si>
  <si>
    <t xml:space="preserve">Zevra Therapeutics, Inc.</t>
  </si>
  <si>
    <t xml:space="preserve">WVE</t>
  </si>
  <si>
    <t xml:space="preserve">Wave Life Sciences, Inc.</t>
  </si>
  <si>
    <t xml:space="preserve">CADL</t>
  </si>
  <si>
    <t xml:space="preserve">Candel Therapeutics, Inc.</t>
  </si>
  <si>
    <t xml:space="preserve">OLMA</t>
  </si>
  <si>
    <t xml:space="preserve">Olema Pharmaceuticals, Inc.</t>
  </si>
  <si>
    <t xml:space="preserve">CTKB</t>
  </si>
  <si>
    <t xml:space="preserve">Cytek Biosciences, Inc.</t>
  </si>
  <si>
    <t xml:space="preserve">ACRS</t>
  </si>
  <si>
    <t xml:space="preserve">Aclaris Therapeutics, Inc.</t>
  </si>
  <si>
    <t xml:space="preserve">SGMT</t>
  </si>
  <si>
    <t xml:space="preserve">Sagimet Biosciences Inc.</t>
  </si>
  <si>
    <t xml:space="preserve">OPK</t>
  </si>
  <si>
    <t xml:space="preserve">OPKO Health, Inc.</t>
  </si>
  <si>
    <t xml:space="preserve">ALT</t>
  </si>
  <si>
    <t xml:space="preserve">Altimmune, Inc.</t>
  </si>
  <si>
    <t xml:space="preserve">SANA</t>
  </si>
  <si>
    <t xml:space="preserve">Sana Biotechnology, Inc.</t>
  </si>
  <si>
    <t xml:space="preserve">SVRA</t>
  </si>
  <si>
    <t xml:space="preserve">Savara Inc.</t>
  </si>
  <si>
    <t xml:space="preserve">OABI</t>
  </si>
  <si>
    <t xml:space="preserve">OmniAb, Inc.</t>
  </si>
  <si>
    <t xml:space="preserve">CTMX</t>
  </si>
  <si>
    <t xml:space="preserve">CytomX Therapeutics, Inc.</t>
  </si>
  <si>
    <t xml:space="preserve">NGNE</t>
  </si>
  <si>
    <t xml:space="preserve">Neurogene Inc.</t>
  </si>
  <si>
    <t xml:space="preserve">ARVN</t>
  </si>
  <si>
    <t xml:space="preserve">Arvinas, Inc.</t>
  </si>
  <si>
    <t xml:space="preserve">RGNX</t>
  </si>
  <si>
    <t xml:space="preserve">REGENXBIO Inc.</t>
  </si>
  <si>
    <t xml:space="preserve">SLN</t>
  </si>
  <si>
    <t xml:space="preserve">Silence Therapeutics plc</t>
  </si>
  <si>
    <t xml:space="preserve">DSGN</t>
  </si>
  <si>
    <t xml:space="preserve">Design Therapeutics, Inc.</t>
  </si>
  <si>
    <t xml:space="preserve">AURA</t>
  </si>
  <si>
    <t xml:space="preserve">Aura Biosciences, Inc.</t>
  </si>
  <si>
    <t xml:space="preserve">CTNM</t>
  </si>
  <si>
    <t xml:space="preserve">Contineum Therapeutics, Inc.</t>
  </si>
  <si>
    <t xml:space="preserve">ALLO</t>
  </si>
  <si>
    <t xml:space="preserve">Allogene Therapeutics, Inc.</t>
  </si>
  <si>
    <t xml:space="preserve">PACB</t>
  </si>
  <si>
    <t xml:space="preserve">Pacific Biosciences of California, Inc.</t>
  </si>
  <si>
    <t xml:space="preserve">ARCT</t>
  </si>
  <si>
    <t xml:space="preserve">Arcturus Therapeutics Holdings Inc.</t>
  </si>
  <si>
    <t xml:space="preserve">EDIT</t>
  </si>
  <si>
    <t xml:space="preserve">Editas Medicine, Inc.</t>
  </si>
  <si>
    <t xml:space="preserve">DNA</t>
  </si>
  <si>
    <t xml:space="preserve">Ginkgo Bioworks Holdings, Inc.</t>
  </si>
  <si>
    <t xml:space="preserve">PRTA</t>
  </si>
  <si>
    <t xml:space="preserve">Prothena Corporation plc</t>
  </si>
  <si>
    <t xml:space="preserve">PHAT</t>
  </si>
  <si>
    <t xml:space="preserve">Phathom Pharmaceuticals, Inc.</t>
  </si>
  <si>
    <t xml:space="preserve">FLGT</t>
  </si>
  <si>
    <t xml:space="preserve">Fulgent Genetics, Inc.</t>
  </si>
  <si>
    <t xml:space="preserve">CCCC</t>
  </si>
  <si>
    <t xml:space="preserve">C4 Therapeutics, Inc.</t>
  </si>
  <si>
    <t xml:space="preserve">CABA</t>
  </si>
  <si>
    <t xml:space="preserve">Cabaletta Bio, Inc.</t>
  </si>
  <si>
    <t xml:space="preserve">MYGN</t>
  </si>
  <si>
    <t xml:space="preserve">Myriad Genetics, Inc.</t>
  </si>
  <si>
    <t xml:space="preserve">AVIR</t>
  </si>
  <si>
    <t xml:space="preserve">Atea Pharmaceuticals, Inc.</t>
  </si>
  <si>
    <t xml:space="preserve">RCKT</t>
  </si>
  <si>
    <t xml:space="preserve">Rocket Pharmaceuticals, Inc.</t>
  </si>
  <si>
    <t xml:space="preserve">ENTA</t>
  </si>
  <si>
    <t xml:space="preserve">Enanta Pharmaceuticals, Inc.</t>
  </si>
  <si>
    <t xml:space="preserve">AUTL</t>
  </si>
  <si>
    <t xml:space="preserve">Autolus Therapeutics plc</t>
  </si>
  <si>
    <t xml:space="preserve">EBS</t>
  </si>
  <si>
    <t xml:space="preserve">Emergent BioSolutions Inc.</t>
  </si>
  <si>
    <t xml:space="preserve">PRME</t>
  </si>
  <si>
    <t xml:space="preserve">Prime Medicine, Inc.</t>
  </si>
  <si>
    <t xml:space="preserve">VNDA</t>
  </si>
  <si>
    <t xml:space="preserve">Vanda Pharmaceuticals Inc.</t>
  </si>
  <si>
    <t xml:space="preserve">LXEO</t>
  </si>
  <si>
    <t xml:space="preserve">Lexeo Therapeutics, Inc.</t>
  </si>
  <si>
    <t xml:space="preserve">FULC</t>
  </si>
  <si>
    <t xml:space="preserve">Fulcrum Therapeutics, Inc.</t>
  </si>
  <si>
    <t xml:space="preserve">LAB</t>
  </si>
  <si>
    <t xml:space="preserve">Standard BioTools Inc.</t>
  </si>
  <si>
    <t xml:space="preserve">SPRY</t>
  </si>
  <si>
    <t xml:space="preserve">ARS Pharmaceuticals, Inc.</t>
  </si>
  <si>
    <t xml:space="preserve">KYTX</t>
  </si>
  <si>
    <t xml:space="preserve">Kyverna Therapeutics, Inc.</t>
  </si>
  <si>
    <t xml:space="preserve">CATX</t>
  </si>
  <si>
    <t xml:space="preserve">Perspective Therapeutics, Inc.</t>
  </si>
  <si>
    <t xml:space="preserve">BIOA</t>
  </si>
  <si>
    <t xml:space="preserve">BioAge Labs, Inc.</t>
  </si>
  <si>
    <t xml:space="preserve">IMRX</t>
  </si>
  <si>
    <t xml:space="preserve">Immuneering Corporation</t>
  </si>
  <si>
    <t xml:space="preserve">TECX</t>
  </si>
  <si>
    <t xml:space="preserve">Tectonic Therapeutic, Inc.</t>
  </si>
  <si>
    <t xml:space="preserve">BBOT</t>
  </si>
  <si>
    <t xml:space="preserve">BridgeBio Oncology Therapeutics, Inc.</t>
  </si>
  <si>
    <t xml:space="preserve">PYXS</t>
  </si>
  <si>
    <t xml:space="preserve">Pyxis Oncology, Inc.</t>
  </si>
  <si>
    <t xml:space="preserve">AVXL</t>
  </si>
  <si>
    <t xml:space="preserve">Anavex Life Sciences Corp.</t>
  </si>
  <si>
    <t xml:space="preserve">KROS</t>
  </si>
  <si>
    <t xml:space="preserve">Keros Therapeutics, Inc.</t>
  </si>
  <si>
    <t xml:space="preserve">UPB</t>
  </si>
  <si>
    <t xml:space="preserve">Upstream Bio, Inc.</t>
  </si>
  <si>
    <t xml:space="preserve">LCTX</t>
  </si>
  <si>
    <t xml:space="preserve">Lineage Cell Therapeutics, Inc.</t>
  </si>
  <si>
    <t xml:space="preserve">LRMR</t>
  </si>
  <si>
    <t xml:space="preserve">Larimar Therapeutics, Inc.</t>
  </si>
  <si>
    <t xml:space="preserve">PEPG</t>
  </si>
  <si>
    <t xml:space="preserve">PepGen Inc.</t>
  </si>
  <si>
    <t xml:space="preserve">ACIU</t>
  </si>
  <si>
    <t xml:space="preserve">AC Immune SA</t>
  </si>
  <si>
    <t xml:space="preserve">ADR: Yahoo mixes USD price with CHF earnings; P/E, EPS, P/S blanked</t>
  </si>
  <si>
    <t xml:space="preserve">SION</t>
  </si>
  <si>
    <t xml:space="preserve">Sionna Therapeutics, Inc.</t>
  </si>
  <si>
    <t xml:space="preserve">TRDA</t>
  </si>
  <si>
    <t xml:space="preserve">Entrada Therapeutics, Inc.</t>
  </si>
  <si>
    <t xml:space="preserve">VYGR</t>
  </si>
  <si>
    <t xml:space="preserve">Voyager Therapeutics, Inc.</t>
  </si>
  <si>
    <t xml:space="preserve">HUMA</t>
  </si>
  <si>
    <t xml:space="preserve">Humacyte, Inc.</t>
  </si>
  <si>
    <t xml:space="preserve">TNYA</t>
  </si>
  <si>
    <t xml:space="preserve">Tenaya Therapeutics, Inc.</t>
  </si>
  <si>
    <t xml:space="preserve">CDXS</t>
  </si>
  <si>
    <t xml:space="preserve">Codexis, Inc.</t>
  </si>
  <si>
    <t xml:space="preserve">BCYC</t>
  </si>
  <si>
    <t xml:space="preserve">Bicycle Therapeutics plc</t>
  </si>
  <si>
    <t xml:space="preserve">NBP</t>
  </si>
  <si>
    <t xml:space="preserve">NovaBridge Biosciences</t>
  </si>
  <si>
    <t xml:space="preserve">FHTX</t>
  </si>
  <si>
    <t xml:space="preserve">Foghorn Therapeutics Inc.</t>
  </si>
  <si>
    <t xml:space="preserve">QSI</t>
  </si>
  <si>
    <t xml:space="preserve">Quantum-Si incorporated</t>
  </si>
  <si>
    <t xml:space="preserve">QTRX</t>
  </si>
  <si>
    <t xml:space="preserve">Quanterix Corporation</t>
  </si>
  <si>
    <t xml:space="preserve">CRBU</t>
  </si>
  <si>
    <t xml:space="preserve">Caribou Biosciences, Inc.</t>
  </si>
  <si>
    <t xml:space="preserve">LENZ</t>
  </si>
  <si>
    <t xml:space="preserve">LENZ Therapeutics, Inc.</t>
  </si>
  <si>
    <t xml:space="preserve">ADCT</t>
  </si>
  <si>
    <t xml:space="preserve">ADC Therapeutics SA</t>
  </si>
  <si>
    <t xml:space="preserve">BDTX</t>
  </si>
  <si>
    <t xml:space="preserve">Black Diamond Therapeutics, Inc.</t>
  </si>
  <si>
    <t xml:space="preserve">TKNO</t>
  </si>
  <si>
    <t xml:space="preserve">Alpha Teknova, Inc.</t>
  </si>
  <si>
    <t xml:space="preserve">LYEL</t>
  </si>
  <si>
    <t xml:space="preserve">Lyell Immunopharma, Inc.</t>
  </si>
  <si>
    <t xml:space="preserve">AARD</t>
  </si>
  <si>
    <t xml:space="preserve">Aardvark Therapeutics, Inc.</t>
  </si>
  <si>
    <t xml:space="preserve">Approx. Weight</t>
  </si>
  <si>
    <t xml:space="preserve"># of Tickers</t>
  </si>
  <si>
    <t xml:space="preserve">Avg P/E (simple, P/E&lt;=100)</t>
  </si>
  <si>
    <t xml:space="preserve">Communication Services</t>
  </si>
  <si>
    <t xml:space="preserve">Consumer Discretionary</t>
  </si>
  <si>
    <t xml:space="preserve">Consumer Staples</t>
  </si>
  <si>
    <t xml:space="preserve">Energy</t>
  </si>
  <si>
    <t xml:space="preserve">Financials</t>
  </si>
  <si>
    <t xml:space="preserve">Industrials</t>
  </si>
  <si>
    <t xml:space="preserve">Information Technology</t>
  </si>
  <si>
    <t xml:space="preserve">Materials</t>
  </si>
  <si>
    <t xml:space="preserve">Real Estate</t>
  </si>
  <si>
    <t xml:space="preserve">Utilities</t>
  </si>
  <si>
    <t xml:space="preserve">Unclassified (no sector retrieved)</t>
  </si>
  <si>
    <t xml:space="preserve">Total</t>
  </si>
  <si>
    <t xml:space="preserve">Holdings shared with the S&amp;P 500 (S&amp;P weights from the companion S&amp;P 500 workbook, Sept 2026)</t>
  </si>
  <si>
    <t xml:space="preserve">10 of 229 holdings are S&amp;P 500 members</t>
  </si>
  <si>
    <t xml:space="preserve">Share of this fund's weight that is inside the S&amp;P 500</t>
  </si>
  <si>
    <t xml:space="preserve">Share of the S&amp;P 500 that those names represent</t>
  </si>
  <si>
    <t xml:space="preserve">Weight in this fund</t>
  </si>
  <si>
    <t xml:space="preserve">Weight in S&amp;P 500</t>
  </si>
  <si>
    <t xml:space="preserve">Ratio (fund ÷ S&amp;P)</t>
  </si>
  <si>
    <t xml:space="preserve">Total (shared names)</t>
  </si>
  <si>
    <t xml:space="preserve">IBB: iShares Biotechnology ETF, constituents, weights, trailing P/E and fund history</t>
  </si>
  <si>
    <t xml:space="preserve">Holdings and weights: iShares' published holdings file (ishares.com, 'latest holdings'). Cash and derivative lines are removed and weights rescaled to 100%. IBB tracks the NYSE Biotechnology Index (it tracked the NASDAQ Biotechnology Index before 2021): US-listed biotech and pharma companies, cap-weighted with caps on the largest names. The file's own Sector column is used where Yahoo had no data. As of Sep 21, 2026.</t>
  </si>
  <si>
    <t xml:space="preserve">P/E (TTM), EPS (TTM), Market Cap, Price/Sales, Price, Company name, GICS sector and Sub-Industry: Yahoo Finance via the yfinance library, retrieved Sept 23, 2026. Yahoo's sectors are mapped to GICS sector names; Yahoo's industry label stands in for the GICS sub-industry.</t>
  </si>
  <si>
    <t xml:space="preserve">Revenue TTM ($B) is derived as Market Cap / Price-to-Sales, so it is approximate. Blank where either input is missing.</t>
  </si>
  <si>
    <t xml:space="preserve">Most biotech companies are pre-profit. Where trailing EPS is negative, P/E is left blank; roughly two-thirds of the names will be blank and the fund's earnings are concentrated in the handful of large profitable companies at the top. The Sectors tab average excludes blanks and P/Es above 100.</t>
  </si>
  <si>
    <t xml:space="preserve">Cumulative Weight assumes the default sort by rank; after re-sorting it shows the running weight in the new order.</t>
  </si>
  <si>
    <t xml:space="preserve">Overlap tab: every holding whose ticker also appears in the companion S&amp;P 500 workbook, with its weight in each. 'Ratio' shows how many times more concentrated the name is here than in the index.</t>
  </si>
  <si>
    <t xml:space="preserve">For information only; not investment advice.</t>
  </si>
  <si>
    <t xml:space="preserve">Historical tabs 'Annual Returns' (2002-2025) and 'By Decade': the fund launched February 5, 2001, so returns are the fund's own, from Yahoo Finance daily prices. Price Return uses closing prices on the last trading day of each year; Total Return uses dividend-adjusted closes (distributions reinvested). S&amp;P 500 total return (SPY, dividend-adjusted) is shown alongside for the same years. The launch year is a stub and is excluded; 2026 is incomplete and excluded.</t>
  </si>
  <si>
    <t xml:space="preserve">Real returns use December-over-December US CPI-U (NSA) from the BLS (series CUUR0000SA0).</t>
  </si>
  <si>
    <t xml:space="preserve">Fees: the fund's expense ratio is 0.45%; returns above are net of it. The index funds in the companion workbooks charge 0.03% to 0.05%.</t>
  </si>
  <si>
    <t xml:space="preserve">Year</t>
  </si>
  <si>
    <t xml:space="preserve">Decade</t>
  </si>
  <si>
    <t xml:space="preserve">Price Return</t>
  </si>
  <si>
    <t xml:space="preserve">Total Return
(w/ dividends)</t>
  </si>
  <si>
    <t xml:space="preserve">Real Price Return
(inflation-adj.)</t>
  </si>
  <si>
    <t xml:space="preserve">Real Total Return
(inflation-adj.)</t>
  </si>
  <si>
    <t xml:space="preserve">Up / Down
(Total Return)</t>
  </si>
  <si>
    <t xml:space="preserve">Growth of $1
(Total Return)</t>
  </si>
  <si>
    <t xml:space="preserve">Growth of $1
(Price only)</t>
  </si>
  <si>
    <t xml:space="preserve">S&amp;P 500 Total Return
(SPY, comparison)</t>
  </si>
  <si>
    <t xml:space="preserve">Summary</t>
  </si>
  <si>
    <t xml:space="preserve">Years</t>
  </si>
  <si>
    <t xml:space="preserve">Up years</t>
  </si>
  <si>
    <t xml:space="preserve">Down years</t>
  </si>
  <si>
    <t xml:space="preserve">Average annual total return</t>
  </si>
  <si>
    <t xml:space="preserve">Annualized (CAGR) total return</t>
  </si>
  <si>
    <t xml:space="preserve">Average annual real total return</t>
  </si>
  <si>
    <t xml:space="preserve">Best year (total)</t>
  </si>
  <si>
    <t xml:space="preserve">Worst year (total)</t>
  </si>
  <si>
    <t xml:space="preserve">Standard deviation of annual returns</t>
  </si>
  <si>
    <t xml:space="preserve">$1 grew to (total, 2002-2025)</t>
  </si>
  <si>
    <t xml:space="preserve">S&amp;P 500 (SPY) average annual total return</t>
  </si>
  <si>
    <t xml:space="preserve">S&amp;P 500 (SPY) CAGR, same years</t>
  </si>
  <si>
    <t xml:space="preserve">S&amp;P 500 (SPY) $1 grew to</t>
  </si>
  <si>
    <t xml:space="preserve">S&amp;P 500 (SPY) standard deviation</t>
  </si>
  <si>
    <t xml:space="preserve">Fund returns from Yahoo Finance daily data (last trading day of each year). Total return reinvests distributions. Real returns are CPI-adjusted. 'Average' is the simple mean; 'Annualized / CAGR' is the compound rate actually earned.</t>
  </si>
  <si>
    <t xml:space="preserve">2001 (launch year, partial) and 2026 (incomplete) are excluded. See the Notes tab.</t>
  </si>
  <si>
    <t xml:space="preserve">Years
Covered</t>
  </si>
  <si>
    <t xml:space="preserve"># of
Years</t>
  </si>
  <si>
    <t xml:space="preserve">Up
Years</t>
  </si>
  <si>
    <t xml:space="preserve">Down
Years</t>
  </si>
  <si>
    <t xml:space="preserve">Avg Annual
Total Return</t>
  </si>
  <si>
    <t xml:space="preserve">Annualized
(CAGR)
Total Return</t>
  </si>
  <si>
    <t xml:space="preserve">Cumulative
Total Return</t>
  </si>
  <si>
    <t xml:space="preserve">Avg Annual
Price Return</t>
  </si>
  <si>
    <t xml:space="preserve">Annualized
(CAGR)
Price Return</t>
  </si>
  <si>
    <t xml:space="preserve">Avg Annual
Real Total Return</t>
  </si>
  <si>
    <t xml:space="preserve">Best Year
(Total)</t>
  </si>
  <si>
    <t xml:space="preserve">Worst Year
(Total)</t>
  </si>
  <si>
    <t xml:space="preserve">$1 Grew To
(Total)</t>
  </si>
  <si>
    <t xml:space="preserve">S&amp;P 500 (SPY)
CAGR, same years</t>
  </si>
  <si>
    <t xml:space="preserve">2000s</t>
  </si>
  <si>
    <t xml:space="preserve">2002–2009 (partial)</t>
  </si>
  <si>
    <t xml:space="preserve">2010s</t>
  </si>
  <si>
    <t xml:space="preserve">2010–2019</t>
  </si>
  <si>
    <t xml:space="preserve">2020s</t>
  </si>
  <si>
    <t xml:space="preserve">2020–2025 (partial)</t>
  </si>
  <si>
    <t xml:space="preserve">All years</t>
  </si>
  <si>
    <t xml:space="preserve">2002–2025</t>
  </si>
  <si>
    <t xml:space="preserve">Decades are calendar decades; partial decades are marked.</t>
  </si>
  <si>
    <t xml:space="preserve">Avg Annual = simple average of the yearly returns. Annualized (CAGR) = the compound rate that turns the starting dollar into the ending dollar.</t>
  </si>
  <si>
    <t xml:space="preserve">All figures pull live from the 'Annual Returns' tab. Source and methodology: see the Notes tab.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</si>
</sst>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"/>
    <numFmt numFmtId="167" formatCode="#,##0.0"/>
    <numFmt numFmtId="168" formatCode="0.00"/>
    <numFmt numFmtId="169" formatCode="0.0"/>
    <numFmt numFmtId="170" formatCode="0.0%"/>
    <numFmt numFmtId="171" formatCode="0.0\x"/>
    <numFmt numFmtId="172" formatCode="0"/>
    <numFmt numFmtId="173" formatCode="0.00%;[RED]\-0.00%"/>
    <numFmt numFmtId="174" formatCode="\$#,##0.00"/>
    <numFmt numFmtId="175" formatCode="\$#,##0.00"/>
    <numFmt numFmtId="17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99"/>
    <col collapsed="false" customWidth="true" hidden="false" outlineLevel="0" max="2" min="2" style="0" width="9.01"/>
    <col collapsed="false" customWidth="true" hidden="false" outlineLevel="0" max="3" min="3" style="0" width="32.02"/>
    <col collapsed="false" customWidth="true" hidden="false" outlineLevel="0" max="4" min="4" style="0" width="23.94"/>
    <col collapsed="false" customWidth="true" hidden="false" outlineLevel="0" max="5" min="5" style="0" width="34.03"/>
    <col collapsed="false" customWidth="true" hidden="false" outlineLevel="0" max="6" min="6" style="0" width="9.95"/>
    <col collapsed="false" customWidth="true" hidden="false" outlineLevel="0" max="7" min="7" style="0" width="13.05"/>
    <col collapsed="false" customWidth="true" hidden="false" outlineLevel="0" max="8" min="8" style="0" width="11.03"/>
    <col collapsed="false" customWidth="true" hidden="false" outlineLevel="0" max="9" min="9" style="0" width="9.95"/>
    <col collapsed="false" customWidth="true" hidden="false" outlineLevel="0" max="10" min="10" style="0" width="13"/>
    <col collapsed="false" customWidth="true" hidden="false" outlineLevel="0" max="11" min="11" style="0" width="13.05"/>
    <col collapsed="false" customWidth="true" hidden="false" outlineLevel="0" max="12" min="12" style="0" width="11.03"/>
    <col collapsed="false" customWidth="true" hidden="false" outlineLevel="0" max="13" min="13" style="0" width="13.99"/>
    <col collapsed="false" customWidth="true" hidden="false" outlineLevel="0" max="14" min="14" style="0" width="59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0.083008</v>
      </c>
      <c r="G2" s="3" t="n">
        <f aca="false">SUM($F$2:F2)</f>
        <v>0.083008</v>
      </c>
      <c r="H2" s="4" t="n">
        <v>152.67</v>
      </c>
      <c r="I2" s="5"/>
      <c r="J2" s="4" t="n">
        <v>-2.69</v>
      </c>
      <c r="K2" s="5" t="n">
        <v>189.304</v>
      </c>
      <c r="L2" s="6" t="n">
        <v>6.2155</v>
      </c>
      <c r="M2" s="5" t="n">
        <f aca="false">IF(AND(N(K2)&gt;0,N(L2)&gt;0),K2/L2,"")</f>
        <v>30.4567613225002</v>
      </c>
      <c r="N2" s="2" t="s">
        <v>18</v>
      </c>
    </row>
    <row r="3" customFormat="false" ht="15" hidden="false" customHeight="false" outlineLevel="0" collapsed="false">
      <c r="A3" s="2" t="n">
        <v>2</v>
      </c>
      <c r="B3" s="2" t="s">
        <v>19</v>
      </c>
      <c r="C3" s="2" t="s">
        <v>20</v>
      </c>
      <c r="D3" s="2" t="s">
        <v>16</v>
      </c>
      <c r="E3" s="2" t="s">
        <v>21</v>
      </c>
      <c r="F3" s="3" t="n">
        <v>0.075698</v>
      </c>
      <c r="G3" s="3" t="n">
        <f aca="false">SUM($F$2:F3)</f>
        <v>0.158706</v>
      </c>
      <c r="H3" s="4" t="n">
        <v>514.99</v>
      </c>
      <c r="I3" s="5" t="n">
        <v>30.0111</v>
      </c>
      <c r="J3" s="4" t="n">
        <v>17.16</v>
      </c>
      <c r="K3" s="5" t="n">
        <v>130.5298</v>
      </c>
      <c r="L3" s="6" t="n">
        <v>10.37</v>
      </c>
      <c r="M3" s="5" t="n">
        <f aca="false">IF(AND(N(K3)&gt;0,N(L3)&gt;0),K3/L3,"")</f>
        <v>12.5872516875603</v>
      </c>
      <c r="N3" s="2"/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23</v>
      </c>
      <c r="D4" s="2" t="s">
        <v>16</v>
      </c>
      <c r="E4" s="2" t="s">
        <v>17</v>
      </c>
      <c r="F4" s="3" t="n">
        <v>0.073796</v>
      </c>
      <c r="G4" s="3" t="n">
        <f aca="false">SUM($F$2:F4)</f>
        <v>0.232502</v>
      </c>
      <c r="H4" s="4" t="n">
        <v>410.24</v>
      </c>
      <c r="I4" s="5" t="n">
        <v>24.39</v>
      </c>
      <c r="J4" s="4" t="n">
        <v>16.82</v>
      </c>
      <c r="K4" s="5" t="n">
        <v>221.7889</v>
      </c>
      <c r="L4" s="6" t="n">
        <v>5.822</v>
      </c>
      <c r="M4" s="5" t="n">
        <f aca="false">IF(AND(N(K4)&gt;0,N(L4)&gt;0),K4/L4,"")</f>
        <v>38.0949673651666</v>
      </c>
      <c r="N4" s="2"/>
    </row>
    <row r="5" customFormat="false" ht="15" hidden="false" customHeight="false" outlineLevel="0" collapsed="false">
      <c r="A5" s="2" t="n">
        <v>4</v>
      </c>
      <c r="B5" s="2" t="s">
        <v>24</v>
      </c>
      <c r="C5" s="2" t="s">
        <v>25</v>
      </c>
      <c r="D5" s="2" t="s">
        <v>16</v>
      </c>
      <c r="E5" s="2" t="s">
        <v>21</v>
      </c>
      <c r="F5" s="3" t="n">
        <v>0.056473</v>
      </c>
      <c r="G5" s="3" t="n">
        <f aca="false">SUM($F$2:F5)</f>
        <v>0.288975</v>
      </c>
      <c r="H5" s="4" t="n">
        <v>803.9</v>
      </c>
      <c r="I5" s="5" t="n">
        <v>19.7616</v>
      </c>
      <c r="J5" s="4" t="n">
        <v>40.68</v>
      </c>
      <c r="K5" s="5" t="n">
        <v>82.7655</v>
      </c>
      <c r="L5" s="6" t="n">
        <v>5.3278</v>
      </c>
      <c r="M5" s="5" t="n">
        <f aca="false">IF(AND(N(K5)&gt;0,N(L5)&gt;0),K5/L5,"")</f>
        <v>15.5346484477646</v>
      </c>
      <c r="N5" s="2"/>
    </row>
    <row r="6" customFormat="false" ht="15" hidden="false" customHeight="false" outlineLevel="0" collapsed="false">
      <c r="A6" s="2" t="n">
        <v>5</v>
      </c>
      <c r="B6" s="2" t="s">
        <v>26</v>
      </c>
      <c r="C6" s="2" t="s">
        <v>27</v>
      </c>
      <c r="D6" s="2" t="s">
        <v>16</v>
      </c>
      <c r="E6" s="2" t="s">
        <v>21</v>
      </c>
      <c r="F6" s="3" t="n">
        <v>0.045059</v>
      </c>
      <c r="G6" s="3" t="n">
        <f aca="false">SUM($F$2:F6)</f>
        <v>0.334034</v>
      </c>
      <c r="H6" s="4" t="n">
        <v>182.56</v>
      </c>
      <c r="I6" s="5"/>
      <c r="J6" s="4" t="n">
        <v>-8.42</v>
      </c>
      <c r="K6" s="5" t="n">
        <v>72.8845</v>
      </c>
      <c r="L6" s="6" t="n">
        <v>32.713</v>
      </c>
      <c r="M6" s="5" t="n">
        <f aca="false">IF(AND(N(K6)&gt;0,N(L6)&gt;0),K6/L6,"")</f>
        <v>2.22799804359123</v>
      </c>
      <c r="N6" s="2" t="s">
        <v>18</v>
      </c>
    </row>
    <row r="7" customFormat="false" ht="15" hidden="false" customHeight="false" outlineLevel="0" collapsed="false">
      <c r="A7" s="2" t="n">
        <v>6</v>
      </c>
      <c r="B7" s="2" t="s">
        <v>28</v>
      </c>
      <c r="C7" s="2" t="s">
        <v>29</v>
      </c>
      <c r="D7" s="2" t="s">
        <v>16</v>
      </c>
      <c r="E7" s="2" t="s">
        <v>21</v>
      </c>
      <c r="F7" s="3" t="n">
        <v>0.039251</v>
      </c>
      <c r="G7" s="3" t="n">
        <f aca="false">SUM($F$2:F7)</f>
        <v>0.373285</v>
      </c>
      <c r="H7" s="4" t="n">
        <v>963.79</v>
      </c>
      <c r="I7" s="5" t="n">
        <v>37.5893</v>
      </c>
      <c r="J7" s="4" t="n">
        <v>25.64</v>
      </c>
      <c r="K7" s="5" t="n">
        <v>59.936</v>
      </c>
      <c r="L7" s="6" t="n">
        <v>11.2758</v>
      </c>
      <c r="M7" s="5" t="n">
        <f aca="false">IF(AND(N(K7)&gt;0,N(L7)&gt;0),K7/L7,"")</f>
        <v>5.31545433583426</v>
      </c>
      <c r="N7" s="2"/>
    </row>
    <row r="8" customFormat="false" ht="15" hidden="false" customHeight="false" outlineLevel="0" collapsed="false">
      <c r="A8" s="2" t="n">
        <v>7</v>
      </c>
      <c r="B8" s="2" t="s">
        <v>30</v>
      </c>
      <c r="C8" s="2" t="s">
        <v>31</v>
      </c>
      <c r="D8" s="2" t="s">
        <v>16</v>
      </c>
      <c r="E8" s="2" t="s">
        <v>32</v>
      </c>
      <c r="F8" s="3" t="n">
        <v>0.035646</v>
      </c>
      <c r="G8" s="3" t="n">
        <f aca="false">SUM($F$2:F8)</f>
        <v>0.408931</v>
      </c>
      <c r="H8" s="4" t="n">
        <v>390.9</v>
      </c>
      <c r="I8" s="5"/>
      <c r="J8" s="4" t="n">
        <v>-1.41</v>
      </c>
      <c r="K8" s="5" t="n">
        <v>56.346</v>
      </c>
      <c r="L8" s="6" t="n">
        <v>20.8143</v>
      </c>
      <c r="M8" s="5" t="n">
        <f aca="false">IF(AND(N(K8)&gt;0,N(L8)&gt;0),K8/L8,"")</f>
        <v>2.70708118937461</v>
      </c>
      <c r="N8" s="2" t="s">
        <v>18</v>
      </c>
    </row>
    <row r="9" customFormat="false" ht="15" hidden="false" customHeight="false" outlineLevel="0" collapsed="false">
      <c r="A9" s="2" t="n">
        <v>8</v>
      </c>
      <c r="B9" s="2" t="s">
        <v>33</v>
      </c>
      <c r="C9" s="2" t="s">
        <v>34</v>
      </c>
      <c r="D9" s="2" t="s">
        <v>16</v>
      </c>
      <c r="E9" s="2" t="s">
        <v>21</v>
      </c>
      <c r="F9" s="3" t="n">
        <v>0.026534</v>
      </c>
      <c r="G9" s="3" t="n">
        <f aca="false">SUM($F$2:F9)</f>
        <v>0.435465</v>
      </c>
      <c r="H9" s="4" t="n">
        <v>192.86</v>
      </c>
      <c r="I9" s="5"/>
      <c r="J9" s="4" t="n">
        <v>-8.87</v>
      </c>
      <c r="K9" s="5" t="n">
        <v>41.3369</v>
      </c>
      <c r="L9" s="6"/>
      <c r="M9" s="5" t="str">
        <f aca="false">IF(AND(N(K9)&gt;0,N(L9)&gt;0),K9/L9,"")</f>
        <v/>
      </c>
      <c r="N9" s="2" t="s">
        <v>18</v>
      </c>
    </row>
    <row r="10" customFormat="false" ht="15" hidden="false" customHeight="false" outlineLevel="0" collapsed="false">
      <c r="A10" s="2" t="n">
        <v>9</v>
      </c>
      <c r="B10" s="2" t="s">
        <v>35</v>
      </c>
      <c r="C10" s="2" t="s">
        <v>36</v>
      </c>
      <c r="D10" s="2" t="s">
        <v>16</v>
      </c>
      <c r="E10" s="2" t="s">
        <v>32</v>
      </c>
      <c r="F10" s="3" t="n">
        <v>0.025633</v>
      </c>
      <c r="G10" s="3" t="n">
        <f aca="false">SUM($F$2:F10)</f>
        <v>0.461098</v>
      </c>
      <c r="H10" s="4" t="n">
        <v>247.46</v>
      </c>
      <c r="I10" s="5" t="n">
        <v>44.6679</v>
      </c>
      <c r="J10" s="4" t="n">
        <v>5.54</v>
      </c>
      <c r="K10" s="5" t="n">
        <v>37.3665</v>
      </c>
      <c r="L10" s="6" t="n">
        <v>8.3147</v>
      </c>
      <c r="M10" s="5" t="n">
        <f aca="false">IF(AND(N(K10)&gt;0,N(L10)&gt;0),K10/L10,"")</f>
        <v>4.49402864805706</v>
      </c>
      <c r="N10" s="2"/>
    </row>
    <row r="11" customFormat="false" ht="15" hidden="false" customHeight="false" outlineLevel="0" collapsed="false">
      <c r="A11" s="2" t="n">
        <v>10</v>
      </c>
      <c r="B11" s="2" t="s">
        <v>37</v>
      </c>
      <c r="C11" s="2" t="s">
        <v>38</v>
      </c>
      <c r="D11" s="2" t="s">
        <v>16</v>
      </c>
      <c r="E11" s="2" t="s">
        <v>21</v>
      </c>
      <c r="F11" s="3" t="n">
        <v>0.02323</v>
      </c>
      <c r="G11" s="3" t="n">
        <f aca="false">SUM($F$2:F11)</f>
        <v>0.484328</v>
      </c>
      <c r="H11" s="4" t="n">
        <v>251.65</v>
      </c>
      <c r="I11" s="5" t="n">
        <v>42.5804</v>
      </c>
      <c r="J11" s="4" t="n">
        <v>5.91</v>
      </c>
      <c r="K11" s="5" t="n">
        <v>33.6731</v>
      </c>
      <c r="L11" s="6" t="n">
        <v>7.0091</v>
      </c>
      <c r="M11" s="5" t="n">
        <f aca="false">IF(AND(N(K11)&gt;0,N(L11)&gt;0),K11/L11,"")</f>
        <v>4.80419740052218</v>
      </c>
      <c r="N11" s="2"/>
    </row>
    <row r="12" customFormat="false" ht="15" hidden="false" customHeight="false" outlineLevel="0" collapsed="false">
      <c r="A12" s="2" t="n">
        <v>11</v>
      </c>
      <c r="B12" s="2" t="s">
        <v>39</v>
      </c>
      <c r="C12" s="2" t="s">
        <v>40</v>
      </c>
      <c r="D12" s="2" t="s">
        <v>16</v>
      </c>
      <c r="E12" s="2" t="s">
        <v>17</v>
      </c>
      <c r="F12" s="3" t="n">
        <v>0.02293</v>
      </c>
      <c r="G12" s="3" t="n">
        <f aca="false">SUM($F$2:F12)</f>
        <v>0.507258</v>
      </c>
      <c r="H12" s="4" t="n">
        <v>225.36</v>
      </c>
      <c r="I12" s="5" t="n">
        <v>38.9223</v>
      </c>
      <c r="J12" s="4" t="n">
        <v>5.79</v>
      </c>
      <c r="K12" s="5" t="n">
        <v>33.2978</v>
      </c>
      <c r="L12" s="6" t="n">
        <v>3.3205</v>
      </c>
      <c r="M12" s="5" t="n">
        <f aca="false">IF(AND(N(K12)&gt;0,N(L12)&gt;0),K12/L12,"")</f>
        <v>10.0279475982533</v>
      </c>
      <c r="N12" s="2"/>
    </row>
    <row r="13" customFormat="false" ht="15" hidden="false" customHeight="false" outlineLevel="0" collapsed="false">
      <c r="A13" s="2" t="n">
        <v>12</v>
      </c>
      <c r="B13" s="2" t="s">
        <v>41</v>
      </c>
      <c r="C13" s="2" t="s">
        <v>42</v>
      </c>
      <c r="D13" s="2" t="s">
        <v>16</v>
      </c>
      <c r="E13" s="2" t="s">
        <v>21</v>
      </c>
      <c r="F13" s="3" t="n">
        <v>0.021929</v>
      </c>
      <c r="G13" s="3" t="n">
        <f aca="false">SUM($F$2:F13)</f>
        <v>0.529187</v>
      </c>
      <c r="H13" s="4" t="n">
        <v>368.08</v>
      </c>
      <c r="I13" s="5" t="n">
        <v>65.3783</v>
      </c>
      <c r="J13" s="4" t="n">
        <v>5.63</v>
      </c>
      <c r="K13" s="5" t="n">
        <v>41.638</v>
      </c>
      <c r="L13" s="6" t="n">
        <v>6.7936</v>
      </c>
      <c r="M13" s="5" t="n">
        <f aca="false">IF(AND(N(K13)&gt;0,N(L13)&gt;0),K13/L13,"")</f>
        <v>6.12900376825247</v>
      </c>
      <c r="N13" s="2"/>
    </row>
    <row r="14" customFormat="false" ht="15" hidden="false" customHeight="false" outlineLevel="0" collapsed="false">
      <c r="A14" s="2" t="n">
        <v>13</v>
      </c>
      <c r="B14" s="2" t="s">
        <v>43</v>
      </c>
      <c r="C14" s="2" t="s">
        <v>44</v>
      </c>
      <c r="D14" s="2" t="s">
        <v>16</v>
      </c>
      <c r="E14" s="2" t="s">
        <v>21</v>
      </c>
      <c r="F14" s="3" t="n">
        <v>0.018624</v>
      </c>
      <c r="G14" s="3" t="n">
        <f aca="false">SUM($F$2:F14)</f>
        <v>0.547811</v>
      </c>
      <c r="H14" s="4" t="n">
        <v>120.82</v>
      </c>
      <c r="I14" s="5"/>
      <c r="J14" s="4" t="n">
        <v>-4.11</v>
      </c>
      <c r="K14" s="5" t="n">
        <v>26.3849</v>
      </c>
      <c r="L14" s="6" t="n">
        <v>23.1927</v>
      </c>
      <c r="M14" s="5" t="n">
        <f aca="false">IF(AND(N(K14)&gt;0,N(L14)&gt;0),K14/L14,"")</f>
        <v>1.13763813613766</v>
      </c>
      <c r="N14" s="2" t="s">
        <v>18</v>
      </c>
    </row>
    <row r="15" customFormat="false" ht="15" hidden="false" customHeight="false" outlineLevel="0" collapsed="false">
      <c r="A15" s="2" t="n">
        <v>14</v>
      </c>
      <c r="B15" s="2" t="s">
        <v>45</v>
      </c>
      <c r="C15" s="2" t="s">
        <v>46</v>
      </c>
      <c r="D15" s="2" t="s">
        <v>16</v>
      </c>
      <c r="E15" s="2" t="s">
        <v>21</v>
      </c>
      <c r="F15" s="3" t="n">
        <v>0.017923</v>
      </c>
      <c r="G15" s="3" t="n">
        <f aca="false">SUM($F$2:F15)</f>
        <v>0.565734</v>
      </c>
      <c r="H15" s="4" t="n">
        <v>126.93</v>
      </c>
      <c r="I15" s="5" t="n">
        <v>15.8861</v>
      </c>
      <c r="J15" s="4" t="n">
        <v>7.99</v>
      </c>
      <c r="K15" s="5" t="n">
        <v>25.7284</v>
      </c>
      <c r="L15" s="6" t="n">
        <v>4.421</v>
      </c>
      <c r="M15" s="5" t="n">
        <f aca="false">IF(AND(N(K15)&gt;0,N(L15)&gt;0),K15/L15,"")</f>
        <v>5.81958832843248</v>
      </c>
      <c r="N15" s="2"/>
    </row>
    <row r="16" customFormat="false" ht="15" hidden="false" customHeight="false" outlineLevel="0" collapsed="false">
      <c r="A16" s="2" t="n">
        <v>15</v>
      </c>
      <c r="B16" s="2" t="s">
        <v>47</v>
      </c>
      <c r="C16" s="2" t="s">
        <v>48</v>
      </c>
      <c r="D16" s="2" t="s">
        <v>16</v>
      </c>
      <c r="E16" s="2" t="s">
        <v>49</v>
      </c>
      <c r="F16" s="3" t="n">
        <v>0.014619</v>
      </c>
      <c r="G16" s="3" t="n">
        <f aca="false">SUM($F$2:F16)</f>
        <v>0.580353</v>
      </c>
      <c r="H16" s="4" t="n">
        <v>497.59</v>
      </c>
      <c r="I16" s="5" t="n">
        <v>17.822</v>
      </c>
      <c r="J16" s="4" t="n">
        <v>27.92</v>
      </c>
      <c r="K16" s="5" t="n">
        <v>21.342</v>
      </c>
      <c r="L16" s="6" t="n">
        <v>6.7656</v>
      </c>
      <c r="M16" s="5" t="n">
        <f aca="false">IF(AND(N(K16)&gt;0,N(L16)&gt;0),K16/L16,"")</f>
        <v>3.15448740688187</v>
      </c>
      <c r="N16" s="2"/>
    </row>
    <row r="17" customFormat="false" ht="15" hidden="false" customHeight="false" outlineLevel="0" collapsed="false">
      <c r="A17" s="2" t="n">
        <v>16</v>
      </c>
      <c r="B17" s="2" t="s">
        <v>50</v>
      </c>
      <c r="C17" s="2" t="s">
        <v>51</v>
      </c>
      <c r="D17" s="2" t="s">
        <v>16</v>
      </c>
      <c r="E17" s="2" t="s">
        <v>21</v>
      </c>
      <c r="F17" s="3" t="n">
        <v>0.014619</v>
      </c>
      <c r="G17" s="3" t="n">
        <f aca="false">SUM($F$2:F17)</f>
        <v>0.594972</v>
      </c>
      <c r="H17" s="4" t="n">
        <v>38.22</v>
      </c>
      <c r="I17" s="5"/>
      <c r="J17" s="4" t="n">
        <v>-0.47</v>
      </c>
      <c r="K17" s="5" t="n">
        <v>27.6072</v>
      </c>
      <c r="L17" s="6" t="n">
        <v>3665.3193</v>
      </c>
      <c r="M17" s="5" t="n">
        <f aca="false">IF(AND(N(K17)&gt;0,N(L17)&gt;0),K17/L17,"")</f>
        <v>0.00753200410125252</v>
      </c>
      <c r="N17" s="2" t="s">
        <v>18</v>
      </c>
    </row>
    <row r="18" customFormat="false" ht="15" hidden="false" customHeight="false" outlineLevel="0" collapsed="false">
      <c r="A18" s="2" t="n">
        <v>17</v>
      </c>
      <c r="B18" s="2" t="s">
        <v>52</v>
      </c>
      <c r="C18" s="2" t="s">
        <v>53</v>
      </c>
      <c r="D18" s="2" t="s">
        <v>16</v>
      </c>
      <c r="E18" s="2" t="s">
        <v>21</v>
      </c>
      <c r="F18" s="3" t="n">
        <v>0.013718</v>
      </c>
      <c r="G18" s="3" t="n">
        <f aca="false">SUM($F$2:F18)</f>
        <v>0.60869</v>
      </c>
      <c r="H18" s="4" t="n">
        <v>35.22</v>
      </c>
      <c r="I18" s="5" t="n">
        <v>27.3023</v>
      </c>
      <c r="J18" s="4" t="n">
        <v>1.29</v>
      </c>
      <c r="K18" s="5" t="n">
        <v>21.6569</v>
      </c>
      <c r="L18" s="6" t="n">
        <v>5.2425</v>
      </c>
      <c r="M18" s="5" t="n">
        <f aca="false">IF(AND(N(K18)&gt;0,N(L18)&gt;0),K18/L18,"")</f>
        <v>4.13102527420124</v>
      </c>
      <c r="N18" s="2"/>
    </row>
    <row r="19" customFormat="false" ht="15" hidden="false" customHeight="false" outlineLevel="0" collapsed="false">
      <c r="A19" s="2" t="n">
        <v>18</v>
      </c>
      <c r="B19" s="2" t="s">
        <v>54</v>
      </c>
      <c r="C19" s="2" t="s">
        <v>55</v>
      </c>
      <c r="D19" s="2" t="s">
        <v>16</v>
      </c>
      <c r="E19" s="2" t="s">
        <v>21</v>
      </c>
      <c r="F19" s="3" t="n">
        <v>0.010414</v>
      </c>
      <c r="G19" s="3" t="n">
        <f aca="false">SUM($F$2:F19)</f>
        <v>0.619104</v>
      </c>
      <c r="H19" s="4" t="n">
        <v>237.57</v>
      </c>
      <c r="I19" s="5"/>
      <c r="J19" s="4"/>
      <c r="K19" s="5" t="n">
        <v>15.6282</v>
      </c>
      <c r="L19" s="6"/>
      <c r="M19" s="5" t="str">
        <f aca="false">IF(AND(N(K19)&gt;0,N(L19)&gt;0),K19/L19,"")</f>
        <v/>
      </c>
      <c r="N19" s="2" t="s">
        <v>56</v>
      </c>
    </row>
    <row r="20" customFormat="false" ht="15" hidden="false" customHeight="false" outlineLevel="0" collapsed="false">
      <c r="A20" s="2" t="n">
        <v>19</v>
      </c>
      <c r="B20" s="2" t="s">
        <v>57</v>
      </c>
      <c r="C20" s="2" t="s">
        <v>58</v>
      </c>
      <c r="D20" s="2" t="s">
        <v>16</v>
      </c>
      <c r="E20" s="2" t="s">
        <v>49</v>
      </c>
      <c r="F20" s="3" t="n">
        <v>0.010313</v>
      </c>
      <c r="G20" s="3" t="n">
        <f aca="false">SUM($F$2:F20)</f>
        <v>0.629417</v>
      </c>
      <c r="H20" s="4" t="n">
        <v>142.25</v>
      </c>
      <c r="I20" s="5" t="n">
        <v>21.1367</v>
      </c>
      <c r="J20" s="4" t="n">
        <v>6.73</v>
      </c>
      <c r="K20" s="5" t="n">
        <v>14.4596</v>
      </c>
      <c r="L20" s="6" t="n">
        <v>4.2857</v>
      </c>
      <c r="M20" s="5" t="n">
        <f aca="false">IF(AND(N(K20)&gt;0,N(L20)&gt;0),K20/L20,"")</f>
        <v>3.37391791305971</v>
      </c>
      <c r="N20" s="2"/>
    </row>
    <row r="21" customFormat="false" ht="15" hidden="false" customHeight="false" outlineLevel="0" collapsed="false">
      <c r="A21" s="2" t="n">
        <v>20</v>
      </c>
      <c r="B21" s="2" t="s">
        <v>59</v>
      </c>
      <c r="C21" s="2" t="s">
        <v>60</v>
      </c>
      <c r="D21" s="2" t="s">
        <v>16</v>
      </c>
      <c r="E21" s="2" t="s">
        <v>32</v>
      </c>
      <c r="F21" s="3" t="n">
        <v>0.010013</v>
      </c>
      <c r="G21" s="3" t="n">
        <f aca="false">SUM($F$2:F21)</f>
        <v>0.63943</v>
      </c>
      <c r="H21" s="4" t="n">
        <v>630.19</v>
      </c>
      <c r="I21" s="5" t="n">
        <v>36.5964</v>
      </c>
      <c r="J21" s="4" t="n">
        <v>17.22</v>
      </c>
      <c r="K21" s="5" t="n">
        <v>17.5896</v>
      </c>
      <c r="L21" s="6" t="n">
        <v>6.322</v>
      </c>
      <c r="M21" s="5" t="n">
        <f aca="false">IF(AND(N(K21)&gt;0,N(L21)&gt;0),K21/L21,"")</f>
        <v>2.78228408731414</v>
      </c>
      <c r="N21" s="2"/>
    </row>
    <row r="22" customFormat="false" ht="15" hidden="false" customHeight="false" outlineLevel="0" collapsed="false">
      <c r="A22" s="2" t="n">
        <v>21</v>
      </c>
      <c r="B22" s="2" t="s">
        <v>61</v>
      </c>
      <c r="C22" s="2" t="s">
        <v>62</v>
      </c>
      <c r="D22" s="2" t="s">
        <v>16</v>
      </c>
      <c r="E22" s="2" t="s">
        <v>21</v>
      </c>
      <c r="F22" s="3" t="n">
        <v>0.009813</v>
      </c>
      <c r="G22" s="3" t="n">
        <f aca="false">SUM($F$2:F22)</f>
        <v>0.649243</v>
      </c>
      <c r="H22" s="4" t="n">
        <v>58.15</v>
      </c>
      <c r="I22" s="5" t="n">
        <v>18.0031</v>
      </c>
      <c r="J22" s="4" t="n">
        <v>3.23</v>
      </c>
      <c r="K22" s="5" t="n">
        <v>14.4085</v>
      </c>
      <c r="L22" s="6" t="n">
        <v>5.915</v>
      </c>
      <c r="M22" s="5" t="n">
        <f aca="false">IF(AND(N(K22)&gt;0,N(L22)&gt;0),K22/L22,"")</f>
        <v>2.43592561284869</v>
      </c>
      <c r="N22" s="2"/>
    </row>
    <row r="23" customFormat="false" ht="15" hidden="false" customHeight="false" outlineLevel="0" collapsed="false">
      <c r="A23" s="2" t="n">
        <v>22</v>
      </c>
      <c r="B23" s="2" t="s">
        <v>63</v>
      </c>
      <c r="C23" s="2" t="s">
        <v>64</v>
      </c>
      <c r="D23" s="2" t="s">
        <v>16</v>
      </c>
      <c r="E23" s="2" t="s">
        <v>32</v>
      </c>
      <c r="F23" s="3" t="n">
        <v>0.009412</v>
      </c>
      <c r="G23" s="3" t="n">
        <f aca="false">SUM($F$2:F23)</f>
        <v>0.658655</v>
      </c>
      <c r="H23" s="4" t="n">
        <v>285.11</v>
      </c>
      <c r="I23" s="5"/>
      <c r="J23" s="4" t="n">
        <v>-4.9</v>
      </c>
      <c r="K23" s="5" t="n">
        <v>13.7331</v>
      </c>
      <c r="L23" s="6" t="n">
        <v>3.4341</v>
      </c>
      <c r="M23" s="5" t="n">
        <f aca="false">IF(AND(N(K23)&gt;0,N(L23)&gt;0),K23/L23,"")</f>
        <v>3.99903904953263</v>
      </c>
      <c r="N23" s="2" t="s">
        <v>18</v>
      </c>
    </row>
    <row r="24" customFormat="false" ht="15" hidden="false" customHeight="false" outlineLevel="0" collapsed="false">
      <c r="A24" s="2" t="n">
        <v>23</v>
      </c>
      <c r="B24" s="2" t="s">
        <v>65</v>
      </c>
      <c r="C24" s="2" t="s">
        <v>66</v>
      </c>
      <c r="D24" s="2" t="s">
        <v>16</v>
      </c>
      <c r="E24" s="2" t="s">
        <v>21</v>
      </c>
      <c r="F24" s="3" t="n">
        <v>0.008912</v>
      </c>
      <c r="G24" s="3" t="n">
        <f aca="false">SUM($F$2:F24)</f>
        <v>0.667567</v>
      </c>
      <c r="H24" s="4" t="n">
        <v>115.13</v>
      </c>
      <c r="I24" s="5" t="n">
        <v>32.7074</v>
      </c>
      <c r="J24" s="4" t="n">
        <v>3.52</v>
      </c>
      <c r="K24" s="5" t="n">
        <v>13.067</v>
      </c>
      <c r="L24" s="6" t="n">
        <v>7.854</v>
      </c>
      <c r="M24" s="5" t="n">
        <f aca="false">IF(AND(N(K24)&gt;0,N(L24)&gt;0),K24/L24,"")</f>
        <v>1.66373822256175</v>
      </c>
      <c r="N24" s="2"/>
    </row>
    <row r="25" customFormat="false" ht="15" hidden="false" customHeight="false" outlineLevel="0" collapsed="false">
      <c r="A25" s="2" t="n">
        <v>24</v>
      </c>
      <c r="B25" s="2" t="s">
        <v>67</v>
      </c>
      <c r="C25" s="2" t="s">
        <v>68</v>
      </c>
      <c r="D25" s="2" t="s">
        <v>16</v>
      </c>
      <c r="E25" s="2" t="s">
        <v>21</v>
      </c>
      <c r="F25" s="3" t="n">
        <v>0.008711</v>
      </c>
      <c r="G25" s="3" t="n">
        <f aca="false">SUM($F$2:F25)</f>
        <v>0.676278</v>
      </c>
      <c r="H25" s="4" t="n">
        <v>63.37</v>
      </c>
      <c r="I25" s="5" t="n">
        <v>171.2703</v>
      </c>
      <c r="J25" s="4" t="n">
        <v>0.37</v>
      </c>
      <c r="K25" s="5" t="n">
        <v>12.2668</v>
      </c>
      <c r="L25" s="6" t="n">
        <v>3.6009</v>
      </c>
      <c r="M25" s="5" t="n">
        <f aca="false">IF(AND(N(K25)&gt;0,N(L25)&gt;0),K25/L25,"")</f>
        <v>3.40659279624538</v>
      </c>
      <c r="N25" s="2"/>
    </row>
    <row r="26" customFormat="false" ht="15" hidden="false" customHeight="false" outlineLevel="0" collapsed="false">
      <c r="A26" s="2" t="n">
        <v>25</v>
      </c>
      <c r="B26" s="2" t="s">
        <v>69</v>
      </c>
      <c r="C26" s="2" t="s">
        <v>70</v>
      </c>
      <c r="D26" s="2" t="s">
        <v>16</v>
      </c>
      <c r="E26" s="2" t="s">
        <v>21</v>
      </c>
      <c r="F26" s="3" t="n">
        <v>0.008311</v>
      </c>
      <c r="G26" s="3" t="n">
        <f aca="false">SUM($F$2:F26)</f>
        <v>0.684589</v>
      </c>
      <c r="H26" s="4" t="n">
        <v>69.23</v>
      </c>
      <c r="I26" s="5"/>
      <c r="J26" s="4" t="n">
        <v>-3.7</v>
      </c>
      <c r="K26" s="5" t="n">
        <v>13.534</v>
      </c>
      <c r="L26" s="6" t="n">
        <v>18.9799</v>
      </c>
      <c r="M26" s="5" t="n">
        <f aca="false">IF(AND(N(K26)&gt;0,N(L26)&gt;0),K26/L26,"")</f>
        <v>0.713070142624566</v>
      </c>
      <c r="N26" s="2" t="s">
        <v>18</v>
      </c>
    </row>
    <row r="27" customFormat="false" ht="15" hidden="false" customHeight="false" outlineLevel="0" collapsed="false">
      <c r="A27" s="2" t="n">
        <v>26</v>
      </c>
      <c r="B27" s="2" t="s">
        <v>71</v>
      </c>
      <c r="C27" s="2" t="s">
        <v>72</v>
      </c>
      <c r="D27" s="2" t="s">
        <v>16</v>
      </c>
      <c r="E27" s="2" t="s">
        <v>21</v>
      </c>
      <c r="F27" s="3" t="n">
        <v>0.008111</v>
      </c>
      <c r="G27" s="3" t="n">
        <f aca="false">SUM($F$2:F27)</f>
        <v>0.6927</v>
      </c>
      <c r="H27" s="4" t="n">
        <v>72.55</v>
      </c>
      <c r="I27" s="5" t="n">
        <v>62.5431</v>
      </c>
      <c r="J27" s="4" t="n">
        <v>1.16</v>
      </c>
      <c r="K27" s="5" t="n">
        <v>11.3772</v>
      </c>
      <c r="L27" s="6" t="n">
        <v>9.3636</v>
      </c>
      <c r="M27" s="5" t="n">
        <f aca="false">IF(AND(N(K27)&gt;0,N(L27)&gt;0),K27/L27,"")</f>
        <v>1.21504549532231</v>
      </c>
      <c r="N27" s="2"/>
    </row>
    <row r="28" customFormat="false" ht="15" hidden="false" customHeight="false" outlineLevel="0" collapsed="false">
      <c r="A28" s="2" t="n">
        <v>27</v>
      </c>
      <c r="B28" s="2" t="s">
        <v>73</v>
      </c>
      <c r="C28" s="2" t="s">
        <v>74</v>
      </c>
      <c r="D28" s="2" t="s">
        <v>16</v>
      </c>
      <c r="E28" s="2" t="s">
        <v>21</v>
      </c>
      <c r="F28" s="3" t="n">
        <v>0.00801</v>
      </c>
      <c r="G28" s="3" t="n">
        <f aca="false">SUM($F$2:F28)</f>
        <v>0.70071</v>
      </c>
      <c r="H28" s="4" t="n">
        <v>518.83</v>
      </c>
      <c r="I28" s="5"/>
      <c r="J28" s="4" t="n">
        <v>-13.9</v>
      </c>
      <c r="K28" s="5" t="n">
        <v>11.9871</v>
      </c>
      <c r="L28" s="6" t="n">
        <v>9.3362</v>
      </c>
      <c r="M28" s="5" t="n">
        <f aca="false">IF(AND(N(K28)&gt;0,N(L28)&gt;0),K28/L28,"")</f>
        <v>1.28393779053576</v>
      </c>
      <c r="N28" s="2" t="s">
        <v>18</v>
      </c>
    </row>
    <row r="29" customFormat="false" ht="15" hidden="false" customHeight="false" outlineLevel="0" collapsed="false">
      <c r="A29" s="2" t="n">
        <v>28</v>
      </c>
      <c r="B29" s="2" t="s">
        <v>75</v>
      </c>
      <c r="C29" s="2" t="s">
        <v>76</v>
      </c>
      <c r="D29" s="2" t="s">
        <v>16</v>
      </c>
      <c r="E29" s="2" t="s">
        <v>21</v>
      </c>
      <c r="F29" s="3" t="n">
        <v>0.00751</v>
      </c>
      <c r="G29" s="3" t="n">
        <f aca="false">SUM($F$2:F29)</f>
        <v>0.70822</v>
      </c>
      <c r="H29" s="4" t="n">
        <v>164.6</v>
      </c>
      <c r="I29" s="5"/>
      <c r="J29" s="4" t="n">
        <v>-2.2</v>
      </c>
      <c r="K29" s="5" t="n">
        <v>10.9132</v>
      </c>
      <c r="L29" s="6" t="n">
        <v>25.2738</v>
      </c>
      <c r="M29" s="5" t="n">
        <f aca="false">IF(AND(N(K29)&gt;0,N(L29)&gt;0),K29/L29,"")</f>
        <v>0.431798938030688</v>
      </c>
      <c r="N29" s="2" t="s">
        <v>18</v>
      </c>
    </row>
    <row r="30" customFormat="false" ht="15" hidden="false" customHeight="false" outlineLevel="0" collapsed="false">
      <c r="A30" s="2" t="n">
        <v>29</v>
      </c>
      <c r="B30" s="2" t="s">
        <v>77</v>
      </c>
      <c r="C30" s="2" t="s">
        <v>78</v>
      </c>
      <c r="D30" s="2" t="s">
        <v>16</v>
      </c>
      <c r="E30" s="2" t="s">
        <v>79</v>
      </c>
      <c r="F30" s="3" t="n">
        <v>0.006909</v>
      </c>
      <c r="G30" s="3" t="n">
        <f aca="false">SUM($F$2:F30)</f>
        <v>0.715129</v>
      </c>
      <c r="H30" s="4" t="n">
        <v>186.75</v>
      </c>
      <c r="I30" s="5" t="n">
        <v>249</v>
      </c>
      <c r="J30" s="4" t="n">
        <v>0.75</v>
      </c>
      <c r="K30" s="5" t="n">
        <v>10.5394</v>
      </c>
      <c r="L30" s="6" t="n">
        <v>13.4242</v>
      </c>
      <c r="M30" s="5" t="n">
        <f aca="false">IF(AND(N(K30)&gt;0,N(L30)&gt;0),K30/L30,"")</f>
        <v>0.785104512745638</v>
      </c>
      <c r="N30" s="2"/>
    </row>
    <row r="31" customFormat="false" ht="15" hidden="false" customHeight="false" outlineLevel="0" collapsed="false">
      <c r="A31" s="2" t="n">
        <v>30</v>
      </c>
      <c r="B31" s="2" t="s">
        <v>80</v>
      </c>
      <c r="C31" s="2" t="s">
        <v>81</v>
      </c>
      <c r="D31" s="2" t="s">
        <v>16</v>
      </c>
      <c r="E31" s="2" t="s">
        <v>21</v>
      </c>
      <c r="F31" s="3" t="n">
        <v>0.006709</v>
      </c>
      <c r="G31" s="3" t="n">
        <f aca="false">SUM($F$2:F31)</f>
        <v>0.721838</v>
      </c>
      <c r="H31" s="4" t="n">
        <v>100.87</v>
      </c>
      <c r="I31" s="5"/>
      <c r="J31" s="4"/>
      <c r="K31" s="5" t="n">
        <v>25.339</v>
      </c>
      <c r="L31" s="6"/>
      <c r="M31" s="5" t="str">
        <f aca="false">IF(AND(N(K31)&gt;0,N(L31)&gt;0),K31/L31,"")</f>
        <v/>
      </c>
      <c r="N31" s="2" t="s">
        <v>56</v>
      </c>
    </row>
    <row r="32" customFormat="false" ht="15" hidden="false" customHeight="false" outlineLevel="0" collapsed="false">
      <c r="A32" s="2" t="n">
        <v>31</v>
      </c>
      <c r="B32" s="2" t="s">
        <v>82</v>
      </c>
      <c r="C32" s="2" t="s">
        <v>83</v>
      </c>
      <c r="D32" s="2" t="s">
        <v>16</v>
      </c>
      <c r="E32" s="2" t="s">
        <v>84</v>
      </c>
      <c r="F32" s="3" t="n">
        <v>0.006508</v>
      </c>
      <c r="G32" s="3" t="n">
        <f aca="false">SUM($F$2:F32)</f>
        <v>0.728346</v>
      </c>
      <c r="H32" s="4" t="n">
        <v>80.7</v>
      </c>
      <c r="I32" s="5"/>
      <c r="J32" s="4" t="n">
        <v>-0.59</v>
      </c>
      <c r="K32" s="5" t="n">
        <v>10.5145</v>
      </c>
      <c r="L32" s="6" t="n">
        <v>17.0438</v>
      </c>
      <c r="M32" s="5" t="n">
        <f aca="false">IF(AND(N(K32)&gt;0,N(L32)&gt;0),K32/L32,"")</f>
        <v>0.616910548117204</v>
      </c>
      <c r="N32" s="2" t="s">
        <v>18</v>
      </c>
    </row>
    <row r="33" customFormat="false" ht="15" hidden="false" customHeight="false" outlineLevel="0" collapsed="false">
      <c r="A33" s="2" t="n">
        <v>32</v>
      </c>
      <c r="B33" s="2" t="s">
        <v>85</v>
      </c>
      <c r="C33" s="2" t="s">
        <v>86</v>
      </c>
      <c r="D33" s="2" t="s">
        <v>16</v>
      </c>
      <c r="E33" s="2" t="s">
        <v>21</v>
      </c>
      <c r="F33" s="3" t="n">
        <v>0.006508</v>
      </c>
      <c r="G33" s="3" t="n">
        <f aca="false">SUM($F$2:F33)</f>
        <v>0.734854</v>
      </c>
      <c r="H33" s="4" t="n">
        <v>71.86</v>
      </c>
      <c r="I33" s="5"/>
      <c r="J33" s="4" t="n">
        <v>-2.38</v>
      </c>
      <c r="K33" s="5" t="n">
        <v>10.1505</v>
      </c>
      <c r="L33" s="6" t="n">
        <v>15.1615</v>
      </c>
      <c r="M33" s="5" t="n">
        <f aca="false">IF(AND(N(K33)&gt;0,N(L33)&gt;0),K33/L33,"")</f>
        <v>0.669491804900571</v>
      </c>
      <c r="N33" s="2" t="s">
        <v>18</v>
      </c>
    </row>
    <row r="34" customFormat="false" ht="15" hidden="false" customHeight="false" outlineLevel="0" collapsed="false">
      <c r="A34" s="2" t="n">
        <v>33</v>
      </c>
      <c r="B34" s="2" t="s">
        <v>87</v>
      </c>
      <c r="C34" s="2" t="s">
        <v>88</v>
      </c>
      <c r="D34" s="2" t="s">
        <v>16</v>
      </c>
      <c r="E34" s="2" t="s">
        <v>21</v>
      </c>
      <c r="F34" s="3" t="n">
        <v>0.006508</v>
      </c>
      <c r="G34" s="3" t="n">
        <f aca="false">SUM($F$2:F34)</f>
        <v>0.741362</v>
      </c>
      <c r="H34" s="4" t="n">
        <v>203.1</v>
      </c>
      <c r="I34" s="5"/>
      <c r="J34" s="4" t="n">
        <v>-3.7</v>
      </c>
      <c r="K34" s="5" t="n">
        <v>10.6385</v>
      </c>
      <c r="L34" s="6" t="n">
        <v>13.6994</v>
      </c>
      <c r="M34" s="5" t="n">
        <f aca="false">IF(AND(N(K34)&gt;0,N(L34)&gt;0),K34/L34,"")</f>
        <v>0.77656685694264</v>
      </c>
      <c r="N34" s="2" t="s">
        <v>18</v>
      </c>
    </row>
    <row r="35" customFormat="false" ht="15" hidden="false" customHeight="false" outlineLevel="0" collapsed="false">
      <c r="A35" s="2" t="n">
        <v>34</v>
      </c>
      <c r="B35" s="2" t="s">
        <v>89</v>
      </c>
      <c r="C35" s="2" t="s">
        <v>90</v>
      </c>
      <c r="D35" s="2" t="s">
        <v>16</v>
      </c>
      <c r="E35" s="2" t="s">
        <v>21</v>
      </c>
      <c r="F35" s="3" t="n">
        <v>0.006408</v>
      </c>
      <c r="G35" s="3" t="n">
        <f aca="false">SUM($F$2:F35)</f>
        <v>0.74777</v>
      </c>
      <c r="H35" s="4" t="n">
        <v>67.59</v>
      </c>
      <c r="I35" s="5"/>
      <c r="J35" s="4" t="n">
        <v>-7.23</v>
      </c>
      <c r="K35" s="5" t="n">
        <v>9.3966</v>
      </c>
      <c r="L35" s="6" t="n">
        <v>138.859</v>
      </c>
      <c r="M35" s="5" t="n">
        <f aca="false">IF(AND(N(K35)&gt;0,N(L35)&gt;0),K35/L35,"")</f>
        <v>0.0676700826017759</v>
      </c>
      <c r="N35" s="2" t="s">
        <v>18</v>
      </c>
    </row>
    <row r="36" customFormat="false" ht="15" hidden="false" customHeight="false" outlineLevel="0" collapsed="false">
      <c r="A36" s="2" t="n">
        <v>35</v>
      </c>
      <c r="B36" s="2" t="s">
        <v>91</v>
      </c>
      <c r="C36" s="2" t="s">
        <v>92</v>
      </c>
      <c r="D36" s="2" t="s">
        <v>16</v>
      </c>
      <c r="E36" s="2" t="s">
        <v>21</v>
      </c>
      <c r="F36" s="3" t="n">
        <v>0.006308</v>
      </c>
      <c r="G36" s="3" t="n">
        <f aca="false">SUM($F$2:F36)</f>
        <v>0.754078</v>
      </c>
      <c r="H36" s="4" t="n">
        <v>145.07</v>
      </c>
      <c r="I36" s="5" t="n">
        <v>140.8447</v>
      </c>
      <c r="J36" s="4" t="n">
        <v>1.03</v>
      </c>
      <c r="K36" s="5" t="n">
        <v>9.3872</v>
      </c>
      <c r="L36" s="6" t="n">
        <v>33.289</v>
      </c>
      <c r="M36" s="5" t="n">
        <f aca="false">IF(AND(N(K36)&gt;0,N(L36)&gt;0),K36/L36,"")</f>
        <v>0.281991048093965</v>
      </c>
      <c r="N36" s="2"/>
    </row>
    <row r="37" customFormat="false" ht="15" hidden="false" customHeight="false" outlineLevel="0" collapsed="false">
      <c r="A37" s="2" t="n">
        <v>36</v>
      </c>
      <c r="B37" s="2" t="s">
        <v>93</v>
      </c>
      <c r="C37" s="2" t="s">
        <v>94</v>
      </c>
      <c r="D37" s="2" t="s">
        <v>16</v>
      </c>
      <c r="E37" s="2" t="s">
        <v>21</v>
      </c>
      <c r="F37" s="3" t="n">
        <v>0.006308</v>
      </c>
      <c r="G37" s="3" t="n">
        <f aca="false">SUM($F$2:F37)</f>
        <v>0.760386</v>
      </c>
      <c r="H37" s="4" t="n">
        <v>122.06</v>
      </c>
      <c r="I37" s="5"/>
      <c r="J37" s="4" t="n">
        <v>-3.37</v>
      </c>
      <c r="K37" s="5" t="n">
        <v>10.0404</v>
      </c>
      <c r="L37" s="6" t="n">
        <v>95.6225</v>
      </c>
      <c r="M37" s="5" t="n">
        <f aca="false">IF(AND(N(K37)&gt;0,N(L37)&gt;0),K37/L37,"")</f>
        <v>0.105000392167115</v>
      </c>
      <c r="N37" s="2" t="s">
        <v>18</v>
      </c>
    </row>
    <row r="38" customFormat="false" ht="15" hidden="false" customHeight="false" outlineLevel="0" collapsed="false">
      <c r="A38" s="2" t="n">
        <v>37</v>
      </c>
      <c r="B38" s="2" t="s">
        <v>95</v>
      </c>
      <c r="C38" s="2" t="s">
        <v>96</v>
      </c>
      <c r="D38" s="2" t="s">
        <v>16</v>
      </c>
      <c r="E38" s="2" t="s">
        <v>21</v>
      </c>
      <c r="F38" s="3" t="n">
        <v>0.006208</v>
      </c>
      <c r="G38" s="3" t="n">
        <f aca="false">SUM($F$2:F38)</f>
        <v>0.766594</v>
      </c>
      <c r="H38" s="4" t="n">
        <v>350.88</v>
      </c>
      <c r="I38" s="5" t="n">
        <v>41.8212</v>
      </c>
      <c r="J38" s="4" t="n">
        <v>8.39</v>
      </c>
      <c r="K38" s="5" t="n">
        <v>10.3856</v>
      </c>
      <c r="L38" s="6" t="n">
        <v>23.5778</v>
      </c>
      <c r="M38" s="5" t="n">
        <f aca="false">IF(AND(N(K38)&gt;0,N(L38)&gt;0),K38/L38,"")</f>
        <v>0.440482148461689</v>
      </c>
      <c r="N38" s="2"/>
    </row>
    <row r="39" customFormat="false" ht="15" hidden="false" customHeight="false" outlineLevel="0" collapsed="false">
      <c r="A39" s="2" t="n">
        <v>38</v>
      </c>
      <c r="B39" s="2" t="s">
        <v>97</v>
      </c>
      <c r="C39" s="2" t="s">
        <v>98</v>
      </c>
      <c r="D39" s="2" t="s">
        <v>16</v>
      </c>
      <c r="E39" s="2" t="s">
        <v>21</v>
      </c>
      <c r="F39" s="3" t="n">
        <v>0.006108</v>
      </c>
      <c r="G39" s="3" t="n">
        <f aca="false">SUM($F$2:F39)</f>
        <v>0.772702</v>
      </c>
      <c r="H39" s="4" t="n">
        <v>59.02</v>
      </c>
      <c r="I39" s="5"/>
      <c r="J39" s="4" t="n">
        <v>-7.65</v>
      </c>
      <c r="K39" s="5" t="n">
        <v>8.7825</v>
      </c>
      <c r="L39" s="6"/>
      <c r="M39" s="5" t="str">
        <f aca="false">IF(AND(N(K39)&gt;0,N(L39)&gt;0),K39/L39,"")</f>
        <v/>
      </c>
      <c r="N39" s="2" t="s">
        <v>18</v>
      </c>
    </row>
    <row r="40" customFormat="false" ht="15" hidden="false" customHeight="false" outlineLevel="0" collapsed="false">
      <c r="A40" s="2" t="n">
        <v>39</v>
      </c>
      <c r="B40" s="2" t="s">
        <v>99</v>
      </c>
      <c r="C40" s="2" t="s">
        <v>100</v>
      </c>
      <c r="D40" s="2" t="s">
        <v>16</v>
      </c>
      <c r="E40" s="2" t="s">
        <v>101</v>
      </c>
      <c r="F40" s="3" t="n">
        <v>0.006008</v>
      </c>
      <c r="G40" s="3" t="n">
        <f aca="false">SUM($F$2:F40)</f>
        <v>0.77871</v>
      </c>
      <c r="H40" s="4" t="n">
        <v>77.19</v>
      </c>
      <c r="I40" s="5"/>
      <c r="J40" s="4" t="n">
        <v>-1.44</v>
      </c>
      <c r="K40" s="5" t="n">
        <v>13.9278</v>
      </c>
      <c r="L40" s="6" t="n">
        <v>9.726</v>
      </c>
      <c r="M40" s="5" t="n">
        <f aca="false">IF(AND(N(K40)&gt;0,N(L40)&gt;0),K40/L40,"")</f>
        <v>1.43201727328809</v>
      </c>
      <c r="N40" s="2" t="s">
        <v>18</v>
      </c>
    </row>
    <row r="41" customFormat="false" ht="15" hidden="false" customHeight="false" outlineLevel="0" collapsed="false">
      <c r="A41" s="2" t="n">
        <v>40</v>
      </c>
      <c r="B41" s="2" t="s">
        <v>102</v>
      </c>
      <c r="C41" s="2" t="s">
        <v>103</v>
      </c>
      <c r="D41" s="2" t="s">
        <v>16</v>
      </c>
      <c r="E41" s="2" t="s">
        <v>21</v>
      </c>
      <c r="F41" s="3" t="n">
        <v>0.005607</v>
      </c>
      <c r="G41" s="3" t="n">
        <f aca="false">SUM($F$2:F41)</f>
        <v>0.784317</v>
      </c>
      <c r="H41" s="4" t="n">
        <v>300.65</v>
      </c>
      <c r="I41" s="5"/>
      <c r="J41" s="4" t="n">
        <v>-13.03</v>
      </c>
      <c r="K41" s="5" t="n">
        <v>8.3941</v>
      </c>
      <c r="L41" s="6"/>
      <c r="M41" s="5" t="str">
        <f aca="false">IF(AND(N(K41)&gt;0,N(L41)&gt;0),K41/L41,"")</f>
        <v/>
      </c>
      <c r="N41" s="2" t="s">
        <v>18</v>
      </c>
    </row>
    <row r="42" customFormat="false" ht="15" hidden="false" customHeight="false" outlineLevel="0" collapsed="false">
      <c r="A42" s="2" t="n">
        <v>41</v>
      </c>
      <c r="B42" s="2" t="s">
        <v>104</v>
      </c>
      <c r="C42" s="2" t="s">
        <v>105</v>
      </c>
      <c r="D42" s="2" t="s">
        <v>16</v>
      </c>
      <c r="E42" s="2" t="s">
        <v>21</v>
      </c>
      <c r="F42" s="3" t="n">
        <v>0.005407</v>
      </c>
      <c r="G42" s="3" t="n">
        <f aca="false">SUM($F$2:F42)</f>
        <v>0.789724</v>
      </c>
      <c r="H42" s="4" t="n">
        <v>98.29</v>
      </c>
      <c r="I42" s="5"/>
      <c r="J42" s="4"/>
      <c r="K42" s="5" t="n">
        <v>8.5762</v>
      </c>
      <c r="L42" s="6"/>
      <c r="M42" s="5" t="str">
        <f aca="false">IF(AND(N(K42)&gt;0,N(L42)&gt;0),K42/L42,"")</f>
        <v/>
      </c>
      <c r="N42" s="2" t="s">
        <v>56</v>
      </c>
    </row>
    <row r="43" customFormat="false" ht="15" hidden="false" customHeight="false" outlineLevel="0" collapsed="false">
      <c r="A43" s="2" t="n">
        <v>42</v>
      </c>
      <c r="B43" s="2" t="s">
        <v>106</v>
      </c>
      <c r="C43" s="2" t="s">
        <v>107</v>
      </c>
      <c r="D43" s="2" t="s">
        <v>16</v>
      </c>
      <c r="E43" s="2" t="s">
        <v>21</v>
      </c>
      <c r="F43" s="3" t="n">
        <v>0.005207</v>
      </c>
      <c r="G43" s="3" t="n">
        <f aca="false">SUM($F$2:F43)</f>
        <v>0.794931</v>
      </c>
      <c r="H43" s="4" t="n">
        <v>45.75</v>
      </c>
      <c r="I43" s="5"/>
      <c r="J43" s="4" t="n">
        <v>-3.55</v>
      </c>
      <c r="K43" s="5" t="n">
        <v>7.6029</v>
      </c>
      <c r="L43" s="6" t="n">
        <v>8.6981</v>
      </c>
      <c r="M43" s="5" t="n">
        <f aca="false">IF(AND(N(K43)&gt;0,N(L43)&gt;0),K43/L43,"")</f>
        <v>0.874087444384406</v>
      </c>
      <c r="N43" s="2" t="s">
        <v>18</v>
      </c>
    </row>
    <row r="44" customFormat="false" ht="15" hidden="false" customHeight="false" outlineLevel="0" collapsed="false">
      <c r="A44" s="2" t="n">
        <v>43</v>
      </c>
      <c r="B44" s="2" t="s">
        <v>108</v>
      </c>
      <c r="C44" s="2" t="s">
        <v>109</v>
      </c>
      <c r="D44" s="2" t="s">
        <v>16</v>
      </c>
      <c r="E44" s="2" t="s">
        <v>21</v>
      </c>
      <c r="F44" s="3" t="n">
        <v>0.005207</v>
      </c>
      <c r="G44" s="3" t="n">
        <f aca="false">SUM($F$2:F44)</f>
        <v>0.800138</v>
      </c>
      <c r="H44" s="4" t="n">
        <v>91.97</v>
      </c>
      <c r="I44" s="5"/>
      <c r="J44" s="4" t="n">
        <v>-1.92</v>
      </c>
      <c r="K44" s="5" t="n">
        <v>8.1093</v>
      </c>
      <c r="L44" s="6"/>
      <c r="M44" s="5" t="str">
        <f aca="false">IF(AND(N(K44)&gt;0,N(L44)&gt;0),K44/L44,"")</f>
        <v/>
      </c>
      <c r="N44" s="2" t="s">
        <v>18</v>
      </c>
    </row>
    <row r="45" customFormat="false" ht="15" hidden="false" customHeight="false" outlineLevel="0" collapsed="false">
      <c r="A45" s="2" t="n">
        <v>44</v>
      </c>
      <c r="B45" s="2" t="s">
        <v>110</v>
      </c>
      <c r="C45" s="2" t="s">
        <v>111</v>
      </c>
      <c r="D45" s="2" t="s">
        <v>16</v>
      </c>
      <c r="E45" s="2" t="s">
        <v>49</v>
      </c>
      <c r="F45" s="3" t="n">
        <v>0.005107</v>
      </c>
      <c r="G45" s="3" t="n">
        <f aca="false">SUM($F$2:F45)</f>
        <v>0.805245</v>
      </c>
      <c r="H45" s="4" t="n">
        <v>43.29</v>
      </c>
      <c r="I45" s="5" t="n">
        <v>117</v>
      </c>
      <c r="J45" s="4" t="n">
        <v>0.37</v>
      </c>
      <c r="K45" s="5" t="n">
        <v>7.2625</v>
      </c>
      <c r="L45" s="6" t="n">
        <v>4.3549</v>
      </c>
      <c r="M45" s="5" t="n">
        <f aca="false">IF(AND(N(K45)&gt;0,N(L45)&gt;0),K45/L45,"")</f>
        <v>1.66766171439069</v>
      </c>
      <c r="N45" s="2"/>
    </row>
    <row r="46" customFormat="false" ht="15" hidden="false" customHeight="false" outlineLevel="0" collapsed="false">
      <c r="A46" s="2" t="n">
        <v>45</v>
      </c>
      <c r="B46" s="2" t="s">
        <v>112</v>
      </c>
      <c r="C46" s="2" t="s">
        <v>113</v>
      </c>
      <c r="D46" s="2" t="s">
        <v>16</v>
      </c>
      <c r="E46" s="2" t="s">
        <v>84</v>
      </c>
      <c r="F46" s="3" t="n">
        <v>0.004906</v>
      </c>
      <c r="G46" s="3" t="n">
        <f aca="false">SUM($F$2:F46)</f>
        <v>0.810151</v>
      </c>
      <c r="H46" s="4" t="n">
        <v>61.21</v>
      </c>
      <c r="I46" s="5"/>
      <c r="J46" s="4" t="n">
        <v>-0.7</v>
      </c>
      <c r="K46" s="5" t="n">
        <v>9.3259</v>
      </c>
      <c r="L46" s="6" t="n">
        <v>2.6649</v>
      </c>
      <c r="M46" s="5" t="n">
        <f aca="false">IF(AND(N(K46)&gt;0,N(L46)&gt;0),K46/L46,"")</f>
        <v>3.49953093924725</v>
      </c>
      <c r="N46" s="2" t="s">
        <v>18</v>
      </c>
    </row>
    <row r="47" customFormat="false" ht="15" hidden="false" customHeight="false" outlineLevel="0" collapsed="false">
      <c r="A47" s="2" t="n">
        <v>46</v>
      </c>
      <c r="B47" s="2" t="s">
        <v>114</v>
      </c>
      <c r="C47" s="2" t="s">
        <v>115</v>
      </c>
      <c r="D47" s="2" t="s">
        <v>16</v>
      </c>
      <c r="E47" s="2" t="s">
        <v>21</v>
      </c>
      <c r="F47" s="3" t="n">
        <v>0.004706</v>
      </c>
      <c r="G47" s="3" t="n">
        <f aca="false">SUM($F$2:F47)</f>
        <v>0.814857</v>
      </c>
      <c r="H47" s="4" t="n">
        <v>99.27</v>
      </c>
      <c r="I47" s="5"/>
      <c r="J47" s="4" t="n">
        <v>-3.14</v>
      </c>
      <c r="K47" s="5" t="n">
        <v>6.8349</v>
      </c>
      <c r="L47" s="6" t="n">
        <v>28.4887</v>
      </c>
      <c r="M47" s="5" t="n">
        <f aca="false">IF(AND(N(K47)&gt;0,N(L47)&gt;0),K47/L47,"")</f>
        <v>0.239916177291347</v>
      </c>
      <c r="N47" s="2" t="s">
        <v>18</v>
      </c>
    </row>
    <row r="48" customFormat="false" ht="15" hidden="false" customHeight="false" outlineLevel="0" collapsed="false">
      <c r="A48" s="2" t="n">
        <v>47</v>
      </c>
      <c r="B48" s="2" t="s">
        <v>116</v>
      </c>
      <c r="C48" s="2" t="s">
        <v>117</v>
      </c>
      <c r="D48" s="2" t="s">
        <v>16</v>
      </c>
      <c r="E48" s="2" t="s">
        <v>21</v>
      </c>
      <c r="F48" s="3" t="n">
        <v>0.004105</v>
      </c>
      <c r="G48" s="3" t="n">
        <f aca="false">SUM($F$2:F48)</f>
        <v>0.818962</v>
      </c>
      <c r="H48" s="4" t="n">
        <v>60.28</v>
      </c>
      <c r="I48" s="5"/>
      <c r="J48" s="4" t="n">
        <v>-0.73</v>
      </c>
      <c r="K48" s="5" t="n">
        <v>5.6821</v>
      </c>
      <c r="L48" s="6" t="n">
        <v>9.6089</v>
      </c>
      <c r="M48" s="5" t="n">
        <f aca="false">IF(AND(N(K48)&gt;0,N(L48)&gt;0),K48/L48,"")</f>
        <v>0.591337197806201</v>
      </c>
      <c r="N48" s="2" t="s">
        <v>18</v>
      </c>
    </row>
    <row r="49" customFormat="false" ht="15" hidden="false" customHeight="false" outlineLevel="0" collapsed="false">
      <c r="A49" s="2" t="n">
        <v>48</v>
      </c>
      <c r="B49" s="2" t="s">
        <v>118</v>
      </c>
      <c r="C49" s="2" t="s">
        <v>119</v>
      </c>
      <c r="D49" s="2" t="s">
        <v>16</v>
      </c>
      <c r="E49" s="2" t="s">
        <v>21</v>
      </c>
      <c r="F49" s="3" t="n">
        <v>0.003905</v>
      </c>
      <c r="G49" s="3" t="n">
        <f aca="false">SUM($F$2:F49)</f>
        <v>0.822867</v>
      </c>
      <c r="H49" s="4" t="n">
        <v>94.55</v>
      </c>
      <c r="I49" s="5"/>
      <c r="J49" s="4" t="n">
        <v>-2.06</v>
      </c>
      <c r="K49" s="5" t="n">
        <v>6.2601</v>
      </c>
      <c r="L49" s="6"/>
      <c r="M49" s="5" t="str">
        <f aca="false">IF(AND(N(K49)&gt;0,N(L49)&gt;0),K49/L49,"")</f>
        <v/>
      </c>
      <c r="N49" s="2" t="s">
        <v>18</v>
      </c>
    </row>
    <row r="50" customFormat="false" ht="15" hidden="false" customHeight="false" outlineLevel="0" collapsed="false">
      <c r="A50" s="2" t="n">
        <v>49</v>
      </c>
      <c r="B50" s="2" t="s">
        <v>120</v>
      </c>
      <c r="C50" s="2" t="s">
        <v>121</v>
      </c>
      <c r="D50" s="2" t="s">
        <v>16</v>
      </c>
      <c r="E50" s="2" t="s">
        <v>21</v>
      </c>
      <c r="F50" s="3" t="n">
        <v>0.003705</v>
      </c>
      <c r="G50" s="3" t="n">
        <f aca="false">SUM($F$2:F50)</f>
        <v>0.826572</v>
      </c>
      <c r="H50" s="4" t="n">
        <v>59.03</v>
      </c>
      <c r="I50" s="5"/>
      <c r="J50" s="4" t="n">
        <v>-4.76</v>
      </c>
      <c r="K50" s="5" t="n">
        <v>5.7078</v>
      </c>
      <c r="L50" s="6" t="n">
        <v>426.2072</v>
      </c>
      <c r="M50" s="5" t="n">
        <f aca="false">IF(AND(N(K50)&gt;0,N(L50)&gt;0),K50/L50,"")</f>
        <v>0.0133920778438281</v>
      </c>
      <c r="N50" s="2" t="s">
        <v>18</v>
      </c>
    </row>
    <row r="51" customFormat="false" ht="15" hidden="false" customHeight="false" outlineLevel="0" collapsed="false">
      <c r="A51" s="2" t="n">
        <v>50</v>
      </c>
      <c r="B51" s="2" t="s">
        <v>122</v>
      </c>
      <c r="C51" s="2" t="s">
        <v>123</v>
      </c>
      <c r="D51" s="2" t="s">
        <v>16</v>
      </c>
      <c r="E51" s="2" t="s">
        <v>21</v>
      </c>
      <c r="F51" s="3" t="n">
        <v>0.003705</v>
      </c>
      <c r="G51" s="3" t="n">
        <f aca="false">SUM($F$2:F51)</f>
        <v>0.830277</v>
      </c>
      <c r="H51" s="4" t="n">
        <v>65.96</v>
      </c>
      <c r="I51" s="5"/>
      <c r="J51" s="4" t="n">
        <v>-0.67</v>
      </c>
      <c r="K51" s="5" t="n">
        <v>5.5051</v>
      </c>
      <c r="L51" s="6" t="n">
        <v>5.4573</v>
      </c>
      <c r="M51" s="5" t="n">
        <f aca="false">IF(AND(N(K51)&gt;0,N(L51)&gt;0),K51/L51,"")</f>
        <v>1.00875891008374</v>
      </c>
      <c r="N51" s="2" t="s">
        <v>18</v>
      </c>
    </row>
    <row r="52" customFormat="false" ht="15" hidden="false" customHeight="false" outlineLevel="0" collapsed="false">
      <c r="A52" s="2" t="n">
        <v>51</v>
      </c>
      <c r="B52" s="2" t="s">
        <v>124</v>
      </c>
      <c r="C52" s="2" t="s">
        <v>125</v>
      </c>
      <c r="D52" s="2" t="s">
        <v>16</v>
      </c>
      <c r="E52" s="2" t="s">
        <v>21</v>
      </c>
      <c r="F52" s="3" t="n">
        <v>0.003605</v>
      </c>
      <c r="G52" s="3" t="n">
        <f aca="false">SUM($F$2:F52)</f>
        <v>0.833882</v>
      </c>
      <c r="H52" s="4" t="n">
        <v>40.32</v>
      </c>
      <c r="I52" s="5"/>
      <c r="J52" s="4" t="n">
        <v>-3.52</v>
      </c>
      <c r="K52" s="5" t="n">
        <v>5.4177</v>
      </c>
      <c r="L52" s="6"/>
      <c r="M52" s="5" t="str">
        <f aca="false">IF(AND(N(K52)&gt;0,N(L52)&gt;0),K52/L52,"")</f>
        <v/>
      </c>
      <c r="N52" s="2" t="s">
        <v>18</v>
      </c>
    </row>
    <row r="53" customFormat="false" ht="15" hidden="false" customHeight="false" outlineLevel="0" collapsed="false">
      <c r="A53" s="2" t="n">
        <v>52</v>
      </c>
      <c r="B53" s="2" t="s">
        <v>126</v>
      </c>
      <c r="C53" s="2" t="s">
        <v>127</v>
      </c>
      <c r="D53" s="2" t="s">
        <v>16</v>
      </c>
      <c r="E53" s="2" t="s">
        <v>21</v>
      </c>
      <c r="F53" s="3" t="n">
        <v>0.003605</v>
      </c>
      <c r="G53" s="3" t="n">
        <f aca="false">SUM($F$2:F53)</f>
        <v>0.837487</v>
      </c>
      <c r="H53" s="4" t="n">
        <v>32.63</v>
      </c>
      <c r="I53" s="5"/>
      <c r="J53" s="4" t="n">
        <v>-2.2</v>
      </c>
      <c r="K53" s="5" t="n">
        <v>5.6621</v>
      </c>
      <c r="L53" s="6"/>
      <c r="M53" s="5" t="str">
        <f aca="false">IF(AND(N(K53)&gt;0,N(L53)&gt;0),K53/L53,"")</f>
        <v/>
      </c>
      <c r="N53" s="2" t="s">
        <v>18</v>
      </c>
    </row>
    <row r="54" customFormat="false" ht="15" hidden="false" customHeight="false" outlineLevel="0" collapsed="false">
      <c r="A54" s="2" t="n">
        <v>53</v>
      </c>
      <c r="B54" s="2" t="s">
        <v>128</v>
      </c>
      <c r="C54" s="2" t="s">
        <v>129</v>
      </c>
      <c r="D54" s="2" t="s">
        <v>16</v>
      </c>
      <c r="E54" s="2" t="s">
        <v>21</v>
      </c>
      <c r="F54" s="3" t="n">
        <v>0.003505</v>
      </c>
      <c r="G54" s="3" t="n">
        <f aca="false">SUM($F$2:F54)</f>
        <v>0.840992</v>
      </c>
      <c r="H54" s="4" t="n">
        <v>91.39</v>
      </c>
      <c r="I54" s="5"/>
      <c r="J54" s="4" t="n">
        <v>-13.99</v>
      </c>
      <c r="K54" s="5" t="n">
        <v>5.9342</v>
      </c>
      <c r="L54" s="6" t="n">
        <v>9.6012</v>
      </c>
      <c r="M54" s="5" t="n">
        <f aca="false">IF(AND(N(K54)&gt;0,N(L54)&gt;0),K54/L54,"")</f>
        <v>0.618068574761488</v>
      </c>
      <c r="N54" s="2" t="s">
        <v>18</v>
      </c>
    </row>
    <row r="55" customFormat="false" ht="15" hidden="false" customHeight="false" outlineLevel="0" collapsed="false">
      <c r="A55" s="2" t="n">
        <v>54</v>
      </c>
      <c r="B55" s="2" t="s">
        <v>130</v>
      </c>
      <c r="C55" s="2" t="s">
        <v>131</v>
      </c>
      <c r="D55" s="2" t="s">
        <v>16</v>
      </c>
      <c r="E55" s="2" t="s">
        <v>21</v>
      </c>
      <c r="F55" s="3" t="n">
        <v>0.003404</v>
      </c>
      <c r="G55" s="3" t="n">
        <f aca="false">SUM($F$2:F55)</f>
        <v>0.844396</v>
      </c>
      <c r="H55" s="4" t="n">
        <v>51.19</v>
      </c>
      <c r="I55" s="5"/>
      <c r="J55" s="4" t="n">
        <v>-3.52</v>
      </c>
      <c r="K55" s="5" t="n">
        <v>6.2342</v>
      </c>
      <c r="L55" s="6"/>
      <c r="M55" s="5" t="str">
        <f aca="false">IF(AND(N(K55)&gt;0,N(L55)&gt;0),K55/L55,"")</f>
        <v/>
      </c>
      <c r="N55" s="2" t="s">
        <v>18</v>
      </c>
    </row>
    <row r="56" customFormat="false" ht="15" hidden="false" customHeight="false" outlineLevel="0" collapsed="false">
      <c r="A56" s="2" t="n">
        <v>55</v>
      </c>
      <c r="B56" s="2" t="s">
        <v>132</v>
      </c>
      <c r="C56" s="2" t="s">
        <v>133</v>
      </c>
      <c r="D56" s="2" t="s">
        <v>16</v>
      </c>
      <c r="E56" s="2" t="s">
        <v>21</v>
      </c>
      <c r="F56" s="3" t="n">
        <v>0.003304</v>
      </c>
      <c r="G56" s="3" t="n">
        <f aca="false">SUM($F$2:F56)</f>
        <v>0.8477</v>
      </c>
      <c r="H56" s="4" t="n">
        <v>77.74</v>
      </c>
      <c r="I56" s="5"/>
      <c r="J56" s="4" t="n">
        <v>-2.67</v>
      </c>
      <c r="K56" s="5" t="n">
        <v>6.8909</v>
      </c>
      <c r="L56" s="6" t="n">
        <v>1106.4391</v>
      </c>
      <c r="M56" s="5" t="n">
        <f aca="false">IF(AND(N(K56)&gt;0,N(L56)&gt;0),K56/L56,"")</f>
        <v>0.00622799754636292</v>
      </c>
      <c r="N56" s="2" t="s">
        <v>18</v>
      </c>
    </row>
    <row r="57" customFormat="false" ht="15" hidden="false" customHeight="false" outlineLevel="0" collapsed="false">
      <c r="A57" s="2" t="n">
        <v>56</v>
      </c>
      <c r="B57" s="2" t="s">
        <v>134</v>
      </c>
      <c r="C57" s="2" t="s">
        <v>135</v>
      </c>
      <c r="D57" s="2" t="s">
        <v>16</v>
      </c>
      <c r="E57" s="2" t="s">
        <v>32</v>
      </c>
      <c r="F57" s="3" t="n">
        <v>0.003204</v>
      </c>
      <c r="G57" s="3" t="n">
        <f aca="false">SUM($F$2:F57)</f>
        <v>0.850904</v>
      </c>
      <c r="H57" s="4" t="n">
        <v>108.52</v>
      </c>
      <c r="I57" s="5"/>
      <c r="J57" s="4" t="n">
        <v>-9.73</v>
      </c>
      <c r="K57" s="5" t="n">
        <v>4.8472</v>
      </c>
      <c r="L57" s="6" t="n">
        <v>29.3301</v>
      </c>
      <c r="M57" s="5" t="n">
        <f aca="false">IF(AND(N(K57)&gt;0,N(L57)&gt;0),K57/L57,"")</f>
        <v>0.165263671109202</v>
      </c>
      <c r="N57" s="2" t="s">
        <v>18</v>
      </c>
    </row>
    <row r="58" customFormat="false" ht="15" hidden="false" customHeight="false" outlineLevel="0" collapsed="false">
      <c r="A58" s="2" t="n">
        <v>57</v>
      </c>
      <c r="B58" s="2" t="s">
        <v>136</v>
      </c>
      <c r="C58" s="2" t="s">
        <v>137</v>
      </c>
      <c r="D58" s="2" t="s">
        <v>16</v>
      </c>
      <c r="E58" s="2" t="s">
        <v>21</v>
      </c>
      <c r="F58" s="3" t="n">
        <v>0.003204</v>
      </c>
      <c r="G58" s="3" t="n">
        <f aca="false">SUM($F$2:F58)</f>
        <v>0.854108</v>
      </c>
      <c r="H58" s="4" t="n">
        <v>26.41</v>
      </c>
      <c r="I58" s="5" t="n">
        <v>11.843</v>
      </c>
      <c r="J58" s="4" t="n">
        <v>2.23</v>
      </c>
      <c r="K58" s="5" t="n">
        <v>4.5506</v>
      </c>
      <c r="L58" s="6" t="n">
        <v>3.9965</v>
      </c>
      <c r="M58" s="5" t="n">
        <f aca="false">IF(AND(N(K58)&gt;0,N(L58)&gt;0),K58/L58,"")</f>
        <v>1.13864631552609</v>
      </c>
      <c r="N58" s="2"/>
    </row>
    <row r="59" customFormat="false" ht="15" hidden="false" customHeight="false" outlineLevel="0" collapsed="false">
      <c r="A59" s="2" t="n">
        <v>58</v>
      </c>
      <c r="B59" s="2" t="s">
        <v>138</v>
      </c>
      <c r="C59" s="2" t="s">
        <v>139</v>
      </c>
      <c r="D59" s="2" t="s">
        <v>16</v>
      </c>
      <c r="E59" s="2" t="s">
        <v>32</v>
      </c>
      <c r="F59" s="3" t="n">
        <v>0.003104</v>
      </c>
      <c r="G59" s="3" t="n">
        <f aca="false">SUM($F$2:F59)</f>
        <v>0.857212</v>
      </c>
      <c r="H59" s="4" t="n">
        <v>28.06</v>
      </c>
      <c r="I59" s="5"/>
      <c r="J59" s="4" t="n">
        <v>-0.4</v>
      </c>
      <c r="K59" s="5" t="n">
        <v>4.4783</v>
      </c>
      <c r="L59" s="6" t="n">
        <v>14.536</v>
      </c>
      <c r="M59" s="5" t="n">
        <f aca="false">IF(AND(N(K59)&gt;0,N(L59)&gt;0),K59/L59,"")</f>
        <v>0.308083379196478</v>
      </c>
      <c r="N59" s="2" t="s">
        <v>18</v>
      </c>
    </row>
    <row r="60" customFormat="false" ht="15" hidden="false" customHeight="false" outlineLevel="0" collapsed="false">
      <c r="A60" s="2" t="n">
        <v>59</v>
      </c>
      <c r="B60" s="2" t="s">
        <v>140</v>
      </c>
      <c r="C60" s="2" t="s">
        <v>141</v>
      </c>
      <c r="D60" s="2" t="s">
        <v>16</v>
      </c>
      <c r="E60" s="2" t="s">
        <v>21</v>
      </c>
      <c r="F60" s="3" t="n">
        <v>0.002904</v>
      </c>
      <c r="G60" s="3" t="n">
        <f aca="false">SUM($F$2:F60)</f>
        <v>0.860116</v>
      </c>
      <c r="H60" s="4" t="n">
        <v>10.64</v>
      </c>
      <c r="I60" s="5"/>
      <c r="J60" s="4" t="n">
        <v>-0.72</v>
      </c>
      <c r="K60" s="5" t="n">
        <v>4.8196</v>
      </c>
      <c r="L60" s="6" t="n">
        <v>14.831</v>
      </c>
      <c r="M60" s="5" t="n">
        <f aca="false">IF(AND(N(K60)&gt;0,N(L60)&gt;0),K60/L60,"")</f>
        <v>0.324967972490055</v>
      </c>
      <c r="N60" s="2" t="s">
        <v>18</v>
      </c>
    </row>
    <row r="61" customFormat="false" ht="15" hidden="false" customHeight="false" outlineLevel="0" collapsed="false">
      <c r="A61" s="2" t="n">
        <v>60</v>
      </c>
      <c r="B61" s="2" t="s">
        <v>142</v>
      </c>
      <c r="C61" s="2" t="s">
        <v>143</v>
      </c>
      <c r="D61" s="2" t="s">
        <v>16</v>
      </c>
      <c r="E61" s="2" t="s">
        <v>21</v>
      </c>
      <c r="F61" s="3" t="n">
        <v>0.002804</v>
      </c>
      <c r="G61" s="3" t="n">
        <f aca="false">SUM($F$2:F61)</f>
        <v>0.86292</v>
      </c>
      <c r="H61" s="4" t="n">
        <v>31.47</v>
      </c>
      <c r="I61" s="5" t="n">
        <v>3.2014</v>
      </c>
      <c r="J61" s="4" t="n">
        <v>9.83</v>
      </c>
      <c r="K61" s="5" t="n">
        <v>8.896</v>
      </c>
      <c r="L61" s="6" t="n">
        <v>8.9894</v>
      </c>
      <c r="M61" s="5" t="n">
        <f aca="false">IF(AND(N(K61)&gt;0,N(L61)&gt;0),K61/L61,"")</f>
        <v>0.989609985093555</v>
      </c>
      <c r="N61" s="2"/>
    </row>
    <row r="62" customFormat="false" ht="15" hidden="false" customHeight="false" outlineLevel="0" collapsed="false">
      <c r="A62" s="2" t="n">
        <v>61</v>
      </c>
      <c r="B62" s="2" t="s">
        <v>144</v>
      </c>
      <c r="C62" s="2" t="s">
        <v>145</v>
      </c>
      <c r="D62" s="2" t="s">
        <v>16</v>
      </c>
      <c r="E62" s="2" t="s">
        <v>21</v>
      </c>
      <c r="F62" s="3" t="n">
        <v>0.002603</v>
      </c>
      <c r="G62" s="3" t="n">
        <f aca="false">SUM($F$2:F62)</f>
        <v>0.865523</v>
      </c>
      <c r="H62" s="4" t="n">
        <v>15.55</v>
      </c>
      <c r="I62" s="5"/>
      <c r="J62" s="4" t="n">
        <v>-0.98</v>
      </c>
      <c r="K62" s="5" t="n">
        <v>5.4388</v>
      </c>
      <c r="L62" s="6"/>
      <c r="M62" s="5" t="str">
        <f aca="false">IF(AND(N(K62)&gt;0,N(L62)&gt;0),K62/L62,"")</f>
        <v/>
      </c>
      <c r="N62" s="2" t="s">
        <v>18</v>
      </c>
    </row>
    <row r="63" customFormat="false" ht="15" hidden="false" customHeight="false" outlineLevel="0" collapsed="false">
      <c r="A63" s="2" t="n">
        <v>62</v>
      </c>
      <c r="B63" s="2" t="s">
        <v>146</v>
      </c>
      <c r="C63" s="2" t="s">
        <v>147</v>
      </c>
      <c r="D63" s="2" t="s">
        <v>16</v>
      </c>
      <c r="E63" s="2" t="s">
        <v>21</v>
      </c>
      <c r="F63" s="3" t="n">
        <v>0.002603</v>
      </c>
      <c r="G63" s="3" t="n">
        <f aca="false">SUM($F$2:F63)</f>
        <v>0.868126</v>
      </c>
      <c r="H63" s="4" t="n">
        <v>44.51</v>
      </c>
      <c r="I63" s="5"/>
      <c r="J63" s="4" t="n">
        <v>-1.84</v>
      </c>
      <c r="K63" s="5" t="n">
        <v>4.834</v>
      </c>
      <c r="L63" s="6"/>
      <c r="M63" s="5" t="str">
        <f aca="false">IF(AND(N(K63)&gt;0,N(L63)&gt;0),K63/L63,"")</f>
        <v/>
      </c>
      <c r="N63" s="2" t="s">
        <v>18</v>
      </c>
    </row>
    <row r="64" customFormat="false" ht="15" hidden="false" customHeight="false" outlineLevel="0" collapsed="false">
      <c r="A64" s="2" t="n">
        <v>63</v>
      </c>
      <c r="B64" s="2" t="s">
        <v>148</v>
      </c>
      <c r="C64" s="2" t="s">
        <v>149</v>
      </c>
      <c r="D64" s="2" t="s">
        <v>16</v>
      </c>
      <c r="E64" s="2" t="s">
        <v>21</v>
      </c>
      <c r="F64" s="3" t="n">
        <v>0.002603</v>
      </c>
      <c r="G64" s="3" t="n">
        <f aca="false">SUM($F$2:F64)</f>
        <v>0.870729</v>
      </c>
      <c r="H64" s="4" t="n">
        <v>39.09</v>
      </c>
      <c r="I64" s="5"/>
      <c r="J64" s="4" t="n">
        <v>-4.75</v>
      </c>
      <c r="K64" s="5" t="n">
        <v>3.7855</v>
      </c>
      <c r="L64" s="6"/>
      <c r="M64" s="5" t="str">
        <f aca="false">IF(AND(N(K64)&gt;0,N(L64)&gt;0),K64/L64,"")</f>
        <v/>
      </c>
      <c r="N64" s="2" t="s">
        <v>18</v>
      </c>
    </row>
    <row r="65" customFormat="false" ht="15" hidden="false" customHeight="false" outlineLevel="0" collapsed="false">
      <c r="A65" s="2" t="n">
        <v>64</v>
      </c>
      <c r="B65" s="2" t="s">
        <v>150</v>
      </c>
      <c r="C65" s="2" t="s">
        <v>151</v>
      </c>
      <c r="D65" s="2" t="s">
        <v>16</v>
      </c>
      <c r="E65" s="2" t="s">
        <v>21</v>
      </c>
      <c r="F65" s="3" t="n">
        <v>0.002503</v>
      </c>
      <c r="G65" s="3" t="n">
        <f aca="false">SUM($F$2:F65)</f>
        <v>0.873232</v>
      </c>
      <c r="H65" s="4" t="n">
        <v>39.71</v>
      </c>
      <c r="I65" s="5"/>
      <c r="J65" s="4" t="n">
        <v>-1.96</v>
      </c>
      <c r="K65" s="5" t="n">
        <v>3.8316</v>
      </c>
      <c r="L65" s="6" t="n">
        <v>16.3655</v>
      </c>
      <c r="M65" s="5" t="n">
        <f aca="false">IF(AND(N(K65)&gt;0,N(L65)&gt;0),K65/L65,"")</f>
        <v>0.234126668907152</v>
      </c>
      <c r="N65" s="2" t="s">
        <v>18</v>
      </c>
    </row>
    <row r="66" customFormat="false" ht="15" hidden="false" customHeight="false" outlineLevel="0" collapsed="false">
      <c r="A66" s="2" t="n">
        <v>65</v>
      </c>
      <c r="B66" s="2" t="s">
        <v>152</v>
      </c>
      <c r="C66" s="2" t="s">
        <v>153</v>
      </c>
      <c r="D66" s="2" t="s">
        <v>16</v>
      </c>
      <c r="E66" s="2" t="s">
        <v>49</v>
      </c>
      <c r="F66" s="3" t="n">
        <v>0.002503</v>
      </c>
      <c r="G66" s="3" t="n">
        <f aca="false">SUM($F$2:F66)</f>
        <v>0.875735</v>
      </c>
      <c r="H66" s="4" t="n">
        <v>33</v>
      </c>
      <c r="I66" s="5"/>
      <c r="J66" s="4" t="n">
        <v>-1.44</v>
      </c>
      <c r="K66" s="5" t="n">
        <v>4.2117</v>
      </c>
      <c r="L66" s="6"/>
      <c r="M66" s="5" t="str">
        <f aca="false">IF(AND(N(K66)&gt;0,N(L66)&gt;0),K66/L66,"")</f>
        <v/>
      </c>
      <c r="N66" s="2" t="s">
        <v>18</v>
      </c>
    </row>
    <row r="67" customFormat="false" ht="15" hidden="false" customHeight="false" outlineLevel="0" collapsed="false">
      <c r="A67" s="2" t="n">
        <v>66</v>
      </c>
      <c r="B67" s="2" t="s">
        <v>154</v>
      </c>
      <c r="C67" s="2" t="s">
        <v>155</v>
      </c>
      <c r="D67" s="2" t="s">
        <v>16</v>
      </c>
      <c r="E67" s="2" t="s">
        <v>21</v>
      </c>
      <c r="F67" s="3" t="n">
        <v>0.002403</v>
      </c>
      <c r="G67" s="3" t="n">
        <f aca="false">SUM($F$2:F67)</f>
        <v>0.878138</v>
      </c>
      <c r="H67" s="4" t="n">
        <v>9.29</v>
      </c>
      <c r="I67" s="5"/>
      <c r="J67" s="4" t="n">
        <v>-1.04</v>
      </c>
      <c r="K67" s="5" t="n">
        <v>9.8459</v>
      </c>
      <c r="L67" s="6" t="n">
        <v>59.3869</v>
      </c>
      <c r="M67" s="5" t="n">
        <f aca="false">IF(AND(N(K67)&gt;0,N(L67)&gt;0),K67/L67,"")</f>
        <v>0.165792455911994</v>
      </c>
      <c r="N67" s="2" t="s">
        <v>18</v>
      </c>
    </row>
    <row r="68" customFormat="false" ht="15" hidden="false" customHeight="false" outlineLevel="0" collapsed="false">
      <c r="A68" s="2" t="n">
        <v>67</v>
      </c>
      <c r="B68" s="2" t="s">
        <v>156</v>
      </c>
      <c r="C68" s="2" t="s">
        <v>157</v>
      </c>
      <c r="D68" s="2" t="s">
        <v>16</v>
      </c>
      <c r="E68" s="2" t="s">
        <v>32</v>
      </c>
      <c r="F68" s="3" t="n">
        <v>0.002303</v>
      </c>
      <c r="G68" s="3" t="n">
        <f aca="false">SUM($F$2:F68)</f>
        <v>0.880441</v>
      </c>
      <c r="H68" s="4" t="n">
        <v>43.36</v>
      </c>
      <c r="I68" s="5" t="n">
        <v>29.6986</v>
      </c>
      <c r="J68" s="4" t="n">
        <v>1.46</v>
      </c>
      <c r="K68" s="5" t="n">
        <v>3.4857</v>
      </c>
      <c r="L68" s="6" t="n">
        <v>6.2035</v>
      </c>
      <c r="M68" s="5" t="n">
        <f aca="false">IF(AND(N(K68)&gt;0,N(L68)&gt;0),K68/L68,"")</f>
        <v>0.561892480051584</v>
      </c>
      <c r="N68" s="2"/>
    </row>
    <row r="69" customFormat="false" ht="15" hidden="false" customHeight="false" outlineLevel="0" collapsed="false">
      <c r="A69" s="2" t="n">
        <v>68</v>
      </c>
      <c r="B69" s="2" t="s">
        <v>158</v>
      </c>
      <c r="C69" s="2" t="s">
        <v>159</v>
      </c>
      <c r="D69" s="2" t="s">
        <v>16</v>
      </c>
      <c r="E69" s="2" t="s">
        <v>21</v>
      </c>
      <c r="F69" s="3" t="n">
        <v>0.002303</v>
      </c>
      <c r="G69" s="3" t="n">
        <f aca="false">SUM($F$2:F69)</f>
        <v>0.882744</v>
      </c>
      <c r="H69" s="4" t="n">
        <v>77.08</v>
      </c>
      <c r="I69" s="5"/>
      <c r="J69" s="4" t="n">
        <v>-1.06</v>
      </c>
      <c r="K69" s="5" t="n">
        <v>3.6067</v>
      </c>
      <c r="L69" s="6" t="n">
        <v>5.9484</v>
      </c>
      <c r="M69" s="5" t="n">
        <f aca="false">IF(AND(N(K69)&gt;0,N(L69)&gt;0),K69/L69,"")</f>
        <v>0.60633111424921</v>
      </c>
      <c r="N69" s="2" t="s">
        <v>18</v>
      </c>
    </row>
    <row r="70" customFormat="false" ht="15" hidden="false" customHeight="false" outlineLevel="0" collapsed="false">
      <c r="A70" s="2" t="n">
        <v>69</v>
      </c>
      <c r="B70" s="2" t="s">
        <v>160</v>
      </c>
      <c r="C70" s="2" t="s">
        <v>161</v>
      </c>
      <c r="D70" s="2" t="s">
        <v>16</v>
      </c>
      <c r="E70" s="2" t="s">
        <v>21</v>
      </c>
      <c r="F70" s="3" t="n">
        <v>0.002303</v>
      </c>
      <c r="G70" s="3" t="n">
        <f aca="false">SUM($F$2:F70)</f>
        <v>0.885047</v>
      </c>
      <c r="H70" s="4" t="n">
        <v>12.65</v>
      </c>
      <c r="I70" s="5"/>
      <c r="J70" s="4" t="n">
        <v>-0.54</v>
      </c>
      <c r="K70" s="5" t="n">
        <v>4.0992</v>
      </c>
      <c r="L70" s="6" t="n">
        <v>61.9495</v>
      </c>
      <c r="M70" s="5" t="n">
        <f aca="false">IF(AND(N(K70)&gt;0,N(L70)&gt;0),K70/L70,"")</f>
        <v>0.0661700255853558</v>
      </c>
      <c r="N70" s="2" t="s">
        <v>18</v>
      </c>
    </row>
    <row r="71" customFormat="false" ht="15" hidden="false" customHeight="false" outlineLevel="0" collapsed="false">
      <c r="A71" s="2" t="n">
        <v>70</v>
      </c>
      <c r="B71" s="2" t="s">
        <v>162</v>
      </c>
      <c r="C71" s="2" t="s">
        <v>163</v>
      </c>
      <c r="D71" s="2" t="s">
        <v>16</v>
      </c>
      <c r="E71" s="2" t="s">
        <v>21</v>
      </c>
      <c r="F71" s="3" t="n">
        <v>0.002203</v>
      </c>
      <c r="G71" s="3" t="n">
        <f aca="false">SUM($F$2:F71)</f>
        <v>0.88725</v>
      </c>
      <c r="H71" s="4" t="n">
        <v>37.29</v>
      </c>
      <c r="I71" s="5"/>
      <c r="J71" s="4" t="n">
        <v>-2.82</v>
      </c>
      <c r="K71" s="5" t="n">
        <v>7.7023</v>
      </c>
      <c r="L71" s="6"/>
      <c r="M71" s="5" t="str">
        <f aca="false">IF(AND(N(K71)&gt;0,N(L71)&gt;0),K71/L71,"")</f>
        <v/>
      </c>
      <c r="N71" s="2" t="s">
        <v>18</v>
      </c>
    </row>
    <row r="72" customFormat="false" ht="15" hidden="false" customHeight="false" outlineLevel="0" collapsed="false">
      <c r="A72" s="2" t="n">
        <v>71</v>
      </c>
      <c r="B72" s="2" t="s">
        <v>164</v>
      </c>
      <c r="C72" s="2" t="s">
        <v>165</v>
      </c>
      <c r="D72" s="2" t="s">
        <v>16</v>
      </c>
      <c r="E72" s="2" t="s">
        <v>21</v>
      </c>
      <c r="F72" s="3" t="n">
        <v>0.002203</v>
      </c>
      <c r="G72" s="3" t="n">
        <f aca="false">SUM($F$2:F72)</f>
        <v>0.889453</v>
      </c>
      <c r="H72" s="4" t="n">
        <v>19.35</v>
      </c>
      <c r="I72" s="5"/>
      <c r="J72" s="4" t="n">
        <v>-1.66</v>
      </c>
      <c r="K72" s="5" t="n">
        <v>4.2404</v>
      </c>
      <c r="L72" s="6" t="n">
        <v>409.6996</v>
      </c>
      <c r="M72" s="5" t="n">
        <f aca="false">IF(AND(N(K72)&gt;0,N(L72)&gt;0),K72/L72,"")</f>
        <v>0.0103500223090284</v>
      </c>
      <c r="N72" s="2" t="s">
        <v>18</v>
      </c>
    </row>
    <row r="73" customFormat="false" ht="15" hidden="false" customHeight="false" outlineLevel="0" collapsed="false">
      <c r="A73" s="2" t="n">
        <v>72</v>
      </c>
      <c r="B73" s="2" t="s">
        <v>166</v>
      </c>
      <c r="C73" s="2" t="s">
        <v>167</v>
      </c>
      <c r="D73" s="2" t="s">
        <v>16</v>
      </c>
      <c r="E73" s="2" t="s">
        <v>21</v>
      </c>
      <c r="F73" s="3" t="n">
        <v>0.002203</v>
      </c>
      <c r="G73" s="3" t="n">
        <f aca="false">SUM($F$2:F73)</f>
        <v>0.891656</v>
      </c>
      <c r="H73" s="4" t="n">
        <v>25.53</v>
      </c>
      <c r="I73" s="5"/>
      <c r="J73" s="4" t="n">
        <v>-0.84</v>
      </c>
      <c r="K73" s="5" t="n">
        <v>4.3046</v>
      </c>
      <c r="L73" s="6" t="n">
        <v>79.9952</v>
      </c>
      <c r="M73" s="5" t="n">
        <f aca="false">IF(AND(N(K73)&gt;0,N(L73)&gt;0),K73/L73,"")</f>
        <v>0.0538107286437186</v>
      </c>
      <c r="N73" s="2" t="s">
        <v>18</v>
      </c>
    </row>
    <row r="74" customFormat="false" ht="15" hidden="false" customHeight="false" outlineLevel="0" collapsed="false">
      <c r="A74" s="2" t="n">
        <v>73</v>
      </c>
      <c r="B74" s="2" t="s">
        <v>168</v>
      </c>
      <c r="C74" s="2" t="s">
        <v>169</v>
      </c>
      <c r="D74" s="2" t="s">
        <v>16</v>
      </c>
      <c r="E74" s="2" t="s">
        <v>21</v>
      </c>
      <c r="F74" s="3" t="n">
        <v>0.002203</v>
      </c>
      <c r="G74" s="3" t="n">
        <f aca="false">SUM($F$2:F74)</f>
        <v>0.893859</v>
      </c>
      <c r="H74" s="4" t="n">
        <v>21.6</v>
      </c>
      <c r="I74" s="5"/>
      <c r="J74" s="4" t="n">
        <v>-3</v>
      </c>
      <c r="K74" s="5" t="n">
        <v>3.4527</v>
      </c>
      <c r="L74" s="6" t="n">
        <v>958.02</v>
      </c>
      <c r="M74" s="5" t="n">
        <f aca="false">IF(AND(N(K74)&gt;0,N(L74)&gt;0),K74/L74,"")</f>
        <v>0.00360399574121626</v>
      </c>
      <c r="N74" s="2" t="s">
        <v>18</v>
      </c>
    </row>
    <row r="75" customFormat="false" ht="15" hidden="false" customHeight="false" outlineLevel="0" collapsed="false">
      <c r="A75" s="2" t="n">
        <v>74</v>
      </c>
      <c r="B75" s="2" t="s">
        <v>170</v>
      </c>
      <c r="C75" s="2" t="s">
        <v>171</v>
      </c>
      <c r="D75" s="2" t="s">
        <v>16</v>
      </c>
      <c r="E75" s="2" t="s">
        <v>21</v>
      </c>
      <c r="F75" s="3" t="n">
        <v>0.002203</v>
      </c>
      <c r="G75" s="3" t="n">
        <f aca="false">SUM($F$2:F75)</f>
        <v>0.896062</v>
      </c>
      <c r="H75" s="4" t="n">
        <v>18.64</v>
      </c>
      <c r="I75" s="5"/>
      <c r="J75" s="4" t="n">
        <v>-0.5</v>
      </c>
      <c r="K75" s="5" t="n">
        <v>3.6253</v>
      </c>
      <c r="L75" s="6" t="n">
        <v>2.8514</v>
      </c>
      <c r="M75" s="5" t="n">
        <f aca="false">IF(AND(N(K75)&gt;0,N(L75)&gt;0),K75/L75,"")</f>
        <v>1.2714105351757</v>
      </c>
      <c r="N75" s="2" t="s">
        <v>18</v>
      </c>
    </row>
    <row r="76" customFormat="false" ht="15" hidden="false" customHeight="false" outlineLevel="0" collapsed="false">
      <c r="A76" s="2" t="n">
        <v>75</v>
      </c>
      <c r="B76" s="2" t="s">
        <v>172</v>
      </c>
      <c r="C76" s="2" t="s">
        <v>173</v>
      </c>
      <c r="D76" s="2" t="s">
        <v>16</v>
      </c>
      <c r="E76" s="2" t="s">
        <v>21</v>
      </c>
      <c r="F76" s="3" t="n">
        <v>0.002103</v>
      </c>
      <c r="G76" s="3" t="n">
        <f aca="false">SUM($F$2:F76)</f>
        <v>0.898165</v>
      </c>
      <c r="H76" s="4" t="n">
        <v>48.19</v>
      </c>
      <c r="I76" s="5"/>
      <c r="J76" s="4" t="n">
        <v>-1.63</v>
      </c>
      <c r="K76" s="5" t="n">
        <v>3.5309</v>
      </c>
      <c r="L76" s="6"/>
      <c r="M76" s="5" t="str">
        <f aca="false">IF(AND(N(K76)&gt;0,N(L76)&gt;0),K76/L76,"")</f>
        <v/>
      </c>
      <c r="N76" s="2" t="s">
        <v>18</v>
      </c>
    </row>
    <row r="77" customFormat="false" ht="15" hidden="false" customHeight="false" outlineLevel="0" collapsed="false">
      <c r="A77" s="2" t="n">
        <v>76</v>
      </c>
      <c r="B77" s="2" t="s">
        <v>174</v>
      </c>
      <c r="C77" s="2" t="s">
        <v>175</v>
      </c>
      <c r="D77" s="2" t="s">
        <v>16</v>
      </c>
      <c r="E77" s="2" t="s">
        <v>21</v>
      </c>
      <c r="F77" s="3" t="n">
        <v>0.002003</v>
      </c>
      <c r="G77" s="3" t="n">
        <f aca="false">SUM($F$2:F77)</f>
        <v>0.900168</v>
      </c>
      <c r="H77" s="4" t="n">
        <v>45.28</v>
      </c>
      <c r="I77" s="5"/>
      <c r="J77" s="4" t="n">
        <v>-4.14</v>
      </c>
      <c r="K77" s="5" t="n">
        <v>3.1409</v>
      </c>
      <c r="L77" s="6" t="n">
        <v>168.215</v>
      </c>
      <c r="M77" s="5" t="n">
        <f aca="false">IF(AND(N(K77)&gt;0,N(L77)&gt;0),K77/L77,"")</f>
        <v>0.0186719376987783</v>
      </c>
      <c r="N77" s="2" t="s">
        <v>18</v>
      </c>
    </row>
    <row r="78" customFormat="false" ht="15" hidden="false" customHeight="false" outlineLevel="0" collapsed="false">
      <c r="A78" s="2" t="n">
        <v>77</v>
      </c>
      <c r="B78" s="2" t="s">
        <v>176</v>
      </c>
      <c r="C78" s="2" t="s">
        <v>177</v>
      </c>
      <c r="D78" s="2" t="s">
        <v>16</v>
      </c>
      <c r="E78" s="2" t="s">
        <v>21</v>
      </c>
      <c r="F78" s="3" t="n">
        <v>0.002003</v>
      </c>
      <c r="G78" s="3" t="n">
        <f aca="false">SUM($F$2:F78)</f>
        <v>0.902171</v>
      </c>
      <c r="H78" s="4" t="n">
        <v>27.78</v>
      </c>
      <c r="I78" s="5" t="n">
        <v>115.75</v>
      </c>
      <c r="J78" s="4" t="n">
        <v>0.24</v>
      </c>
      <c r="K78" s="5" t="n">
        <v>3.4917</v>
      </c>
      <c r="L78" s="6" t="n">
        <v>7.5256</v>
      </c>
      <c r="M78" s="5" t="n">
        <f aca="false">IF(AND(N(K78)&gt;0,N(L78)&gt;0),K78/L78,"")</f>
        <v>0.463976294248964</v>
      </c>
      <c r="N78" s="2"/>
    </row>
    <row r="79" customFormat="false" ht="15" hidden="false" customHeight="false" outlineLevel="0" collapsed="false">
      <c r="A79" s="2" t="n">
        <v>78</v>
      </c>
      <c r="B79" s="2" t="s">
        <v>178</v>
      </c>
      <c r="C79" s="2" t="s">
        <v>179</v>
      </c>
      <c r="D79" s="2" t="s">
        <v>16</v>
      </c>
      <c r="E79" s="2" t="s">
        <v>21</v>
      </c>
      <c r="F79" s="3" t="n">
        <v>0.001902</v>
      </c>
      <c r="G79" s="3" t="n">
        <f aca="false">SUM($F$2:F79)</f>
        <v>0.904073</v>
      </c>
      <c r="H79" s="4" t="n">
        <v>17.14</v>
      </c>
      <c r="I79" s="5"/>
      <c r="J79" s="4" t="n">
        <v>-3.26</v>
      </c>
      <c r="K79" s="5" t="n">
        <v>3.2008</v>
      </c>
      <c r="L79" s="6"/>
      <c r="M79" s="5" t="str">
        <f aca="false">IF(AND(N(K79)&gt;0,N(L79)&gt;0),K79/L79,"")</f>
        <v/>
      </c>
      <c r="N79" s="2" t="s">
        <v>18</v>
      </c>
    </row>
    <row r="80" customFormat="false" ht="15" hidden="false" customHeight="false" outlineLevel="0" collapsed="false">
      <c r="A80" s="2" t="n">
        <v>79</v>
      </c>
      <c r="B80" s="2" t="s">
        <v>180</v>
      </c>
      <c r="C80" s="2" t="s">
        <v>181</v>
      </c>
      <c r="D80" s="2" t="s">
        <v>16</v>
      </c>
      <c r="E80" s="2" t="s">
        <v>21</v>
      </c>
      <c r="F80" s="3" t="n">
        <v>0.001802</v>
      </c>
      <c r="G80" s="3" t="n">
        <f aca="false">SUM($F$2:F80)</f>
        <v>0.905875</v>
      </c>
      <c r="H80" s="4" t="n">
        <v>17.12</v>
      </c>
      <c r="I80" s="5"/>
      <c r="J80" s="4" t="n">
        <v>-1.12</v>
      </c>
      <c r="K80" s="5" t="n">
        <v>13.6575</v>
      </c>
      <c r="L80" s="6"/>
      <c r="M80" s="5" t="str">
        <f aca="false">IF(AND(N(K80)&gt;0,N(L80)&gt;0),K80/L80,"")</f>
        <v/>
      </c>
      <c r="N80" s="2" t="s">
        <v>18</v>
      </c>
    </row>
    <row r="81" customFormat="false" ht="15" hidden="false" customHeight="false" outlineLevel="0" collapsed="false">
      <c r="A81" s="2" t="n">
        <v>80</v>
      </c>
      <c r="B81" s="2" t="s">
        <v>182</v>
      </c>
      <c r="C81" s="2" t="s">
        <v>183</v>
      </c>
      <c r="D81" s="2" t="s">
        <v>16</v>
      </c>
      <c r="E81" s="2" t="s">
        <v>32</v>
      </c>
      <c r="F81" s="3" t="n">
        <v>0.001802</v>
      </c>
      <c r="G81" s="3" t="n">
        <f aca="false">SUM($F$2:F81)</f>
        <v>0.907677</v>
      </c>
      <c r="H81" s="4" t="n">
        <v>56.49</v>
      </c>
      <c r="I81" s="5" t="n">
        <v>26.1528</v>
      </c>
      <c r="J81" s="4" t="n">
        <v>2.16</v>
      </c>
      <c r="K81" s="5" t="n">
        <v>2.9225</v>
      </c>
      <c r="L81" s="6" t="n">
        <v>6.3797</v>
      </c>
      <c r="M81" s="5" t="n">
        <f aca="false">IF(AND(N(K81)&gt;0,N(L81)&gt;0),K81/L81,"")</f>
        <v>0.458093640766807</v>
      </c>
      <c r="N81" s="2"/>
    </row>
    <row r="82" customFormat="false" ht="15" hidden="false" customHeight="false" outlineLevel="0" collapsed="false">
      <c r="A82" s="2" t="n">
        <v>81</v>
      </c>
      <c r="B82" s="2" t="s">
        <v>184</v>
      </c>
      <c r="C82" s="2" t="s">
        <v>185</v>
      </c>
      <c r="D82" s="2" t="s">
        <v>16</v>
      </c>
      <c r="E82" s="2" t="s">
        <v>21</v>
      </c>
      <c r="F82" s="3" t="n">
        <v>0.001802</v>
      </c>
      <c r="G82" s="3" t="n">
        <f aca="false">SUM($F$2:F82)</f>
        <v>0.909479</v>
      </c>
      <c r="H82" s="4" t="n">
        <v>25.67</v>
      </c>
      <c r="I82" s="5"/>
      <c r="J82" s="4" t="n">
        <v>-3.5</v>
      </c>
      <c r="K82" s="5" t="n">
        <v>2.6641</v>
      </c>
      <c r="L82" s="6" t="n">
        <v>72.4603</v>
      </c>
      <c r="M82" s="5" t="n">
        <f aca="false">IF(AND(N(K82)&gt;0,N(L82)&gt;0),K82/L82,"")</f>
        <v>0.036766339637015</v>
      </c>
      <c r="N82" s="2" t="s">
        <v>18</v>
      </c>
    </row>
    <row r="83" customFormat="false" ht="15" hidden="false" customHeight="false" outlineLevel="0" collapsed="false">
      <c r="A83" s="2" t="n">
        <v>82</v>
      </c>
      <c r="B83" s="2" t="s">
        <v>186</v>
      </c>
      <c r="C83" s="2" t="s">
        <v>187</v>
      </c>
      <c r="D83" s="2" t="s">
        <v>16</v>
      </c>
      <c r="E83" s="2" t="s">
        <v>21</v>
      </c>
      <c r="F83" s="3" t="n">
        <v>0.001802</v>
      </c>
      <c r="G83" s="3" t="n">
        <f aca="false">SUM($F$2:F83)</f>
        <v>0.911281</v>
      </c>
      <c r="H83" s="4" t="n">
        <v>26.41</v>
      </c>
      <c r="I83" s="5"/>
      <c r="J83" s="4" t="n">
        <v>-1.7</v>
      </c>
      <c r="K83" s="5" t="n">
        <v>2.965</v>
      </c>
      <c r="L83" s="6" t="n">
        <v>6.5944</v>
      </c>
      <c r="M83" s="5" t="n">
        <f aca="false">IF(AND(N(K83)&gt;0,N(L83)&gt;0),K83/L83,"")</f>
        <v>0.449623923328885</v>
      </c>
      <c r="N83" s="2" t="s">
        <v>18</v>
      </c>
    </row>
    <row r="84" customFormat="false" ht="15" hidden="false" customHeight="false" outlineLevel="0" collapsed="false">
      <c r="A84" s="2" t="n">
        <v>83</v>
      </c>
      <c r="B84" s="2" t="s">
        <v>188</v>
      </c>
      <c r="C84" s="2" t="s">
        <v>189</v>
      </c>
      <c r="D84" s="2" t="s">
        <v>16</v>
      </c>
      <c r="E84" s="2" t="s">
        <v>21</v>
      </c>
      <c r="F84" s="3" t="n">
        <v>0.001702</v>
      </c>
      <c r="G84" s="3" t="n">
        <f aca="false">SUM($F$2:F84)</f>
        <v>0.912983</v>
      </c>
      <c r="H84" s="4" t="n">
        <v>25.93</v>
      </c>
      <c r="I84" s="5"/>
      <c r="J84" s="4" t="n">
        <v>-0.71</v>
      </c>
      <c r="K84" s="5" t="n">
        <v>2.6782</v>
      </c>
      <c r="L84" s="6" t="n">
        <v>17.1644</v>
      </c>
      <c r="M84" s="5" t="n">
        <f aca="false">IF(AND(N(K84)&gt;0,N(L84)&gt;0),K84/L84,"")</f>
        <v>0.156032252802312</v>
      </c>
      <c r="N84" s="2" t="s">
        <v>18</v>
      </c>
    </row>
    <row r="85" customFormat="false" ht="15" hidden="false" customHeight="false" outlineLevel="0" collapsed="false">
      <c r="A85" s="2" t="n">
        <v>84</v>
      </c>
      <c r="B85" s="2" t="s">
        <v>190</v>
      </c>
      <c r="C85" s="2" t="s">
        <v>191</v>
      </c>
      <c r="D85" s="2" t="s">
        <v>16</v>
      </c>
      <c r="E85" s="2" t="s">
        <v>21</v>
      </c>
      <c r="F85" s="3" t="n">
        <v>0.001602</v>
      </c>
      <c r="G85" s="3" t="n">
        <f aca="false">SUM($F$2:F85)</f>
        <v>0.914585</v>
      </c>
      <c r="H85" s="4" t="n">
        <v>36.91</v>
      </c>
      <c r="I85" s="5"/>
      <c r="J85" s="4" t="n">
        <v>-3.03</v>
      </c>
      <c r="K85" s="5" t="n">
        <v>2.632</v>
      </c>
      <c r="L85" s="6"/>
      <c r="M85" s="5" t="str">
        <f aca="false">IF(AND(N(K85)&gt;0,N(L85)&gt;0),K85/L85,"")</f>
        <v/>
      </c>
      <c r="N85" s="2" t="s">
        <v>18</v>
      </c>
    </row>
    <row r="86" customFormat="false" ht="15" hidden="false" customHeight="false" outlineLevel="0" collapsed="false">
      <c r="A86" s="2" t="n">
        <v>85</v>
      </c>
      <c r="B86" s="2" t="s">
        <v>192</v>
      </c>
      <c r="C86" s="2" t="s">
        <v>193</v>
      </c>
      <c r="D86" s="2" t="s">
        <v>16</v>
      </c>
      <c r="E86" s="2" t="s">
        <v>21</v>
      </c>
      <c r="F86" s="3" t="n">
        <v>0.001602</v>
      </c>
      <c r="G86" s="3" t="n">
        <f aca="false">SUM($F$2:F86)</f>
        <v>0.916187</v>
      </c>
      <c r="H86" s="4" t="n">
        <v>26.87</v>
      </c>
      <c r="I86" s="5"/>
      <c r="J86" s="4" t="n">
        <v>-4.08</v>
      </c>
      <c r="K86" s="5" t="n">
        <v>3.3795</v>
      </c>
      <c r="L86" s="6" t="n">
        <v>28.8848</v>
      </c>
      <c r="M86" s="5" t="n">
        <f aca="false">IF(AND(N(K86)&gt;0,N(L86)&gt;0),K86/L86,"")</f>
        <v>0.11699925220185</v>
      </c>
      <c r="N86" s="2" t="s">
        <v>18</v>
      </c>
    </row>
    <row r="87" customFormat="false" ht="15" hidden="false" customHeight="false" outlineLevel="0" collapsed="false">
      <c r="A87" s="2" t="n">
        <v>86</v>
      </c>
      <c r="B87" s="2" t="s">
        <v>194</v>
      </c>
      <c r="C87" s="2" t="s">
        <v>195</v>
      </c>
      <c r="D87" s="2" t="s">
        <v>16</v>
      </c>
      <c r="E87" s="2" t="s">
        <v>21</v>
      </c>
      <c r="F87" s="3" t="n">
        <v>0.001502</v>
      </c>
      <c r="G87" s="3" t="n">
        <f aca="false">SUM($F$2:F87)</f>
        <v>0.917689</v>
      </c>
      <c r="H87" s="4" t="n">
        <v>9.81</v>
      </c>
      <c r="I87" s="5" t="n">
        <v>13.625</v>
      </c>
      <c r="J87" s="4" t="n">
        <v>0.72</v>
      </c>
      <c r="K87" s="5" t="n">
        <v>2.1973</v>
      </c>
      <c r="L87" s="6" t="n">
        <v>4.2893</v>
      </c>
      <c r="M87" s="5" t="n">
        <f aca="false">IF(AND(N(K87)&gt;0,N(L87)&gt;0),K87/L87,"")</f>
        <v>0.512274730142447</v>
      </c>
      <c r="N87" s="2"/>
    </row>
    <row r="88" customFormat="false" ht="15" hidden="false" customHeight="false" outlineLevel="0" collapsed="false">
      <c r="A88" s="2" t="n">
        <v>87</v>
      </c>
      <c r="B88" s="2" t="s">
        <v>196</v>
      </c>
      <c r="C88" s="2" t="s">
        <v>197</v>
      </c>
      <c r="D88" s="2" t="s">
        <v>16</v>
      </c>
      <c r="E88" s="2" t="s">
        <v>21</v>
      </c>
      <c r="F88" s="3" t="n">
        <v>0.001502</v>
      </c>
      <c r="G88" s="3" t="n">
        <f aca="false">SUM($F$2:F88)</f>
        <v>0.919191</v>
      </c>
      <c r="H88" s="4" t="n">
        <v>20.81</v>
      </c>
      <c r="I88" s="5"/>
      <c r="J88" s="4" t="n">
        <v>-1.57</v>
      </c>
      <c r="K88" s="5" t="n">
        <v>2.1981</v>
      </c>
      <c r="L88" s="6" t="n">
        <v>1.1133</v>
      </c>
      <c r="M88" s="5" t="n">
        <f aca="false">IF(AND(N(K88)&gt;0,N(L88)&gt;0),K88/L88,"")</f>
        <v>1.97440043115063</v>
      </c>
      <c r="N88" s="2" t="s">
        <v>18</v>
      </c>
    </row>
    <row r="89" customFormat="false" ht="15" hidden="false" customHeight="false" outlineLevel="0" collapsed="false">
      <c r="A89" s="2" t="n">
        <v>88</v>
      </c>
      <c r="B89" s="2" t="s">
        <v>198</v>
      </c>
      <c r="C89" s="2" t="s">
        <v>199</v>
      </c>
      <c r="D89" s="2" t="s">
        <v>16</v>
      </c>
      <c r="E89" s="2" t="s">
        <v>21</v>
      </c>
      <c r="F89" s="3" t="n">
        <v>0.001402</v>
      </c>
      <c r="G89" s="3" t="n">
        <f aca="false">SUM($F$2:F89)</f>
        <v>0.920593</v>
      </c>
      <c r="H89" s="4" t="n">
        <v>36.26</v>
      </c>
      <c r="I89" s="5"/>
      <c r="J89" s="4" t="n">
        <v>-5.87</v>
      </c>
      <c r="K89" s="5" t="n">
        <v>2.613</v>
      </c>
      <c r="L89" s="6"/>
      <c r="M89" s="5" t="str">
        <f aca="false">IF(AND(N(K89)&gt;0,N(L89)&gt;0),K89/L89,"")</f>
        <v/>
      </c>
      <c r="N89" s="2" t="s">
        <v>18</v>
      </c>
    </row>
    <row r="90" customFormat="false" ht="15" hidden="false" customHeight="false" outlineLevel="0" collapsed="false">
      <c r="A90" s="2" t="n">
        <v>89</v>
      </c>
      <c r="B90" s="2" t="s">
        <v>200</v>
      </c>
      <c r="C90" s="2" t="s">
        <v>201</v>
      </c>
      <c r="D90" s="2" t="s">
        <v>16</v>
      </c>
      <c r="E90" s="2" t="s">
        <v>21</v>
      </c>
      <c r="F90" s="3" t="n">
        <v>0.001402</v>
      </c>
      <c r="G90" s="3" t="n">
        <f aca="false">SUM($F$2:F90)</f>
        <v>0.921995</v>
      </c>
      <c r="H90" s="4" t="n">
        <v>40.22</v>
      </c>
      <c r="I90" s="5" t="n">
        <v>82.0816</v>
      </c>
      <c r="J90" s="4" t="n">
        <v>0.49</v>
      </c>
      <c r="K90" s="5" t="n">
        <v>2.0595</v>
      </c>
      <c r="L90" s="6" t="n">
        <v>6.7238</v>
      </c>
      <c r="M90" s="5" t="n">
        <f aca="false">IF(AND(N(K90)&gt;0,N(L90)&gt;0),K90/L90,"")</f>
        <v>0.306300008923525</v>
      </c>
      <c r="N90" s="2"/>
    </row>
    <row r="91" customFormat="false" ht="15" hidden="false" customHeight="false" outlineLevel="0" collapsed="false">
      <c r="A91" s="2" t="n">
        <v>90</v>
      </c>
      <c r="B91" s="2" t="s">
        <v>202</v>
      </c>
      <c r="C91" s="2" t="s">
        <v>203</v>
      </c>
      <c r="D91" s="2" t="s">
        <v>16</v>
      </c>
      <c r="E91" s="2" t="s">
        <v>21</v>
      </c>
      <c r="F91" s="3" t="n">
        <v>0.001402</v>
      </c>
      <c r="G91" s="3" t="n">
        <f aca="false">SUM($F$2:F91)</f>
        <v>0.923397</v>
      </c>
      <c r="H91" s="4" t="n">
        <v>34.97</v>
      </c>
      <c r="I91" s="5"/>
      <c r="J91" s="4" t="n">
        <v>-7.22</v>
      </c>
      <c r="K91" s="5" t="n">
        <v>2.0878</v>
      </c>
      <c r="L91" s="6" t="n">
        <v>21.2306</v>
      </c>
      <c r="M91" s="5" t="n">
        <f aca="false">IF(AND(N(K91)&gt;0,N(L91)&gt;0),K91/L91,"")</f>
        <v>0.0983391896602075</v>
      </c>
      <c r="N91" s="2" t="s">
        <v>18</v>
      </c>
    </row>
    <row r="92" customFormat="false" ht="15" hidden="false" customHeight="false" outlineLevel="0" collapsed="false">
      <c r="A92" s="2" t="n">
        <v>91</v>
      </c>
      <c r="B92" s="2" t="s">
        <v>204</v>
      </c>
      <c r="C92" s="2" t="s">
        <v>205</v>
      </c>
      <c r="D92" s="2" t="s">
        <v>16</v>
      </c>
      <c r="E92" s="2" t="s">
        <v>21</v>
      </c>
      <c r="F92" s="3" t="n">
        <v>0.001402</v>
      </c>
      <c r="G92" s="3" t="n">
        <f aca="false">SUM($F$2:F92)</f>
        <v>0.924799</v>
      </c>
      <c r="H92" s="4" t="n">
        <v>16.67</v>
      </c>
      <c r="I92" s="5" t="n">
        <v>7.2795</v>
      </c>
      <c r="J92" s="4" t="n">
        <v>2.29</v>
      </c>
      <c r="K92" s="5" t="n">
        <v>2.218</v>
      </c>
      <c r="L92" s="6" t="n">
        <v>7.1201</v>
      </c>
      <c r="M92" s="5" t="n">
        <f aca="false">IF(AND(N(K92)&gt;0,N(L92)&gt;0),K92/L92,"")</f>
        <v>0.311512478757321</v>
      </c>
      <c r="N92" s="2"/>
    </row>
    <row r="93" customFormat="false" ht="15" hidden="false" customHeight="false" outlineLevel="0" collapsed="false">
      <c r="A93" s="2" t="n">
        <v>92</v>
      </c>
      <c r="B93" s="2" t="s">
        <v>206</v>
      </c>
      <c r="C93" s="2" t="s">
        <v>207</v>
      </c>
      <c r="D93" s="2" t="s">
        <v>16</v>
      </c>
      <c r="E93" s="2" t="s">
        <v>21</v>
      </c>
      <c r="F93" s="3" t="n">
        <v>0.001402</v>
      </c>
      <c r="G93" s="3" t="n">
        <f aca="false">SUM($F$2:F93)</f>
        <v>0.926201</v>
      </c>
      <c r="H93" s="4" t="n">
        <v>68.48</v>
      </c>
      <c r="I93" s="5"/>
      <c r="J93" s="4" t="n">
        <v>-6.59</v>
      </c>
      <c r="K93" s="5" t="n">
        <v>2.6291</v>
      </c>
      <c r="L93" s="6"/>
      <c r="M93" s="5" t="str">
        <f aca="false">IF(AND(N(K93)&gt;0,N(L93)&gt;0),K93/L93,"")</f>
        <v/>
      </c>
      <c r="N93" s="2" t="s">
        <v>18</v>
      </c>
    </row>
    <row r="94" customFormat="false" ht="15" hidden="false" customHeight="false" outlineLevel="0" collapsed="false">
      <c r="A94" s="2" t="n">
        <v>93</v>
      </c>
      <c r="B94" s="2" t="s">
        <v>208</v>
      </c>
      <c r="C94" s="2" t="s">
        <v>209</v>
      </c>
      <c r="D94" s="2" t="s">
        <v>16</v>
      </c>
      <c r="E94" s="2" t="s">
        <v>49</v>
      </c>
      <c r="F94" s="3" t="n">
        <v>0.001402</v>
      </c>
      <c r="G94" s="3" t="n">
        <f aca="false">SUM($F$2:F94)</f>
        <v>0.927603</v>
      </c>
      <c r="H94" s="4" t="n">
        <v>8.78</v>
      </c>
      <c r="I94" s="5"/>
      <c r="J94" s="4" t="n">
        <v>-1.4</v>
      </c>
      <c r="K94" s="5" t="n">
        <v>2.2436</v>
      </c>
      <c r="L94" s="6" t="n">
        <v>2.3853</v>
      </c>
      <c r="M94" s="5" t="n">
        <f aca="false">IF(AND(N(K94)&gt;0,N(L94)&gt;0),K94/L94,"")</f>
        <v>0.940594474489582</v>
      </c>
      <c r="N94" s="2" t="s">
        <v>18</v>
      </c>
    </row>
    <row r="95" customFormat="false" ht="15" hidden="false" customHeight="false" outlineLevel="0" collapsed="false">
      <c r="A95" s="2" t="n">
        <v>94</v>
      </c>
      <c r="B95" s="2" t="s">
        <v>210</v>
      </c>
      <c r="C95" s="2" t="s">
        <v>211</v>
      </c>
      <c r="D95" s="2" t="s">
        <v>16</v>
      </c>
      <c r="E95" s="2" t="s">
        <v>21</v>
      </c>
      <c r="F95" s="3" t="n">
        <v>0.001302</v>
      </c>
      <c r="G95" s="3" t="n">
        <f aca="false">SUM($F$2:F95)</f>
        <v>0.928905</v>
      </c>
      <c r="H95" s="4" t="n">
        <v>4.05</v>
      </c>
      <c r="I95" s="5"/>
      <c r="J95" s="4" t="n">
        <v>-1.02</v>
      </c>
      <c r="K95" s="5" t="n">
        <v>2.1719</v>
      </c>
      <c r="L95" s="6" t="n">
        <v>39.5927</v>
      </c>
      <c r="M95" s="5" t="n">
        <f aca="false">IF(AND(N(K95)&gt;0,N(L95)&gt;0),K95/L95,"")</f>
        <v>0.0548560719526579</v>
      </c>
      <c r="N95" s="2" t="s">
        <v>18</v>
      </c>
    </row>
    <row r="96" customFormat="false" ht="15" hidden="false" customHeight="false" outlineLevel="0" collapsed="false">
      <c r="A96" s="2" t="n">
        <v>95</v>
      </c>
      <c r="B96" s="2" t="s">
        <v>212</v>
      </c>
      <c r="C96" s="2" t="s">
        <v>213</v>
      </c>
      <c r="D96" s="2" t="s">
        <v>16</v>
      </c>
      <c r="E96" s="2" t="s">
        <v>21</v>
      </c>
      <c r="F96" s="3" t="n">
        <v>0.001302</v>
      </c>
      <c r="G96" s="3" t="n">
        <f aca="false">SUM($F$2:F96)</f>
        <v>0.930207</v>
      </c>
      <c r="H96" s="4" t="n">
        <v>33.8</v>
      </c>
      <c r="I96" s="5"/>
      <c r="J96" s="4" t="n">
        <v>-4.37</v>
      </c>
      <c r="K96" s="5" t="n">
        <v>2.1243</v>
      </c>
      <c r="L96" s="6"/>
      <c r="M96" s="5" t="str">
        <f aca="false">IF(AND(N(K96)&gt;0,N(L96)&gt;0),K96/L96,"")</f>
        <v/>
      </c>
      <c r="N96" s="2" t="s">
        <v>18</v>
      </c>
    </row>
    <row r="97" customFormat="false" ht="15" hidden="false" customHeight="false" outlineLevel="0" collapsed="false">
      <c r="A97" s="2" t="n">
        <v>96</v>
      </c>
      <c r="B97" s="2" t="s">
        <v>214</v>
      </c>
      <c r="C97" s="2" t="s">
        <v>215</v>
      </c>
      <c r="D97" s="2" t="s">
        <v>16</v>
      </c>
      <c r="E97" s="2" t="s">
        <v>21</v>
      </c>
      <c r="F97" s="3" t="n">
        <v>0.001302</v>
      </c>
      <c r="G97" s="3" t="n">
        <f aca="false">SUM($F$2:F97)</f>
        <v>0.931509</v>
      </c>
      <c r="H97" s="4" t="n">
        <v>20.43</v>
      </c>
      <c r="I97" s="5"/>
      <c r="J97" s="4" t="n">
        <v>-0.85</v>
      </c>
      <c r="K97" s="5" t="n">
        <v>1.9429</v>
      </c>
      <c r="L97" s="6" t="n">
        <v>0.7259</v>
      </c>
      <c r="M97" s="5" t="n">
        <f aca="false">IF(AND(N(K97)&gt;0,N(L97)&gt;0),K97/L97,"")</f>
        <v>2.67653946824632</v>
      </c>
      <c r="N97" s="2" t="s">
        <v>18</v>
      </c>
    </row>
    <row r="98" customFormat="false" ht="15" hidden="false" customHeight="false" outlineLevel="0" collapsed="false">
      <c r="A98" s="2" t="n">
        <v>97</v>
      </c>
      <c r="B98" s="2" t="s">
        <v>216</v>
      </c>
      <c r="C98" s="2" t="s">
        <v>217</v>
      </c>
      <c r="D98" s="2" t="s">
        <v>16</v>
      </c>
      <c r="E98" s="2" t="s">
        <v>21</v>
      </c>
      <c r="F98" s="3" t="n">
        <v>0.001302</v>
      </c>
      <c r="G98" s="3" t="n">
        <f aca="false">SUM($F$2:F98)</f>
        <v>0.932811</v>
      </c>
      <c r="H98" s="4" t="n">
        <v>61.98</v>
      </c>
      <c r="I98" s="5"/>
      <c r="J98" s="4" t="n">
        <v>-2.41</v>
      </c>
      <c r="K98" s="5" t="n">
        <v>2.985</v>
      </c>
      <c r="L98" s="6"/>
      <c r="M98" s="5" t="str">
        <f aca="false">IF(AND(N(K98)&gt;0,N(L98)&gt;0),K98/L98,"")</f>
        <v/>
      </c>
      <c r="N98" s="2" t="s">
        <v>18</v>
      </c>
    </row>
    <row r="99" customFormat="false" ht="15" hidden="false" customHeight="false" outlineLevel="0" collapsed="false">
      <c r="A99" s="2" t="n">
        <v>98</v>
      </c>
      <c r="B99" s="2" t="s">
        <v>218</v>
      </c>
      <c r="C99" s="2" t="s">
        <v>219</v>
      </c>
      <c r="D99" s="2" t="s">
        <v>16</v>
      </c>
      <c r="E99" s="2" t="s">
        <v>21</v>
      </c>
      <c r="F99" s="3" t="n">
        <v>0.001302</v>
      </c>
      <c r="G99" s="3" t="n">
        <f aca="false">SUM($F$2:F99)</f>
        <v>0.934113</v>
      </c>
      <c r="H99" s="4" t="n">
        <v>27.57</v>
      </c>
      <c r="I99" s="5"/>
      <c r="J99" s="4" t="n">
        <v>-2.08</v>
      </c>
      <c r="K99" s="5" t="n">
        <v>1.9712</v>
      </c>
      <c r="L99" s="6" t="n">
        <v>53.0921</v>
      </c>
      <c r="M99" s="5" t="n">
        <f aca="false">IF(AND(N(K99)&gt;0,N(L99)&gt;0),K99/L99,"")</f>
        <v>0.0371279342877754</v>
      </c>
      <c r="N99" s="2" t="s">
        <v>18</v>
      </c>
    </row>
    <row r="100" customFormat="false" ht="15" hidden="false" customHeight="false" outlineLevel="0" collapsed="false">
      <c r="A100" s="2" t="n">
        <v>99</v>
      </c>
      <c r="B100" s="2" t="s">
        <v>220</v>
      </c>
      <c r="C100" s="2" t="s">
        <v>221</v>
      </c>
      <c r="D100" s="2" t="s">
        <v>16</v>
      </c>
      <c r="E100" s="2" t="s">
        <v>21</v>
      </c>
      <c r="F100" s="3" t="n">
        <v>0.001302</v>
      </c>
      <c r="G100" s="3" t="n">
        <f aca="false">SUM($F$2:F100)</f>
        <v>0.935415</v>
      </c>
      <c r="H100" s="4" t="n">
        <v>14.85</v>
      </c>
      <c r="I100" s="5"/>
      <c r="J100" s="4" t="n">
        <v>-4.75</v>
      </c>
      <c r="K100" s="5" t="n">
        <v>2.243</v>
      </c>
      <c r="L100" s="6"/>
      <c r="M100" s="5" t="str">
        <f aca="false">IF(AND(N(K100)&gt;0,N(L100)&gt;0),K100/L100,"")</f>
        <v/>
      </c>
      <c r="N100" s="2" t="s">
        <v>18</v>
      </c>
    </row>
    <row r="101" customFormat="false" ht="15" hidden="false" customHeight="false" outlineLevel="0" collapsed="false">
      <c r="A101" s="2" t="n">
        <v>100</v>
      </c>
      <c r="B101" s="2" t="s">
        <v>222</v>
      </c>
      <c r="C101" s="2" t="s">
        <v>223</v>
      </c>
      <c r="D101" s="2" t="s">
        <v>16</v>
      </c>
      <c r="E101" s="2" t="s">
        <v>21</v>
      </c>
      <c r="F101" s="3" t="n">
        <v>0.001302</v>
      </c>
      <c r="G101" s="3" t="n">
        <f aca="false">SUM($F$2:F101)</f>
        <v>0.936717</v>
      </c>
      <c r="H101" s="4" t="n">
        <v>42.76</v>
      </c>
      <c r="I101" s="5"/>
      <c r="J101" s="4" t="n">
        <v>-1.95</v>
      </c>
      <c r="K101" s="5" t="n">
        <v>2.0901</v>
      </c>
      <c r="L101" s="6" t="n">
        <v>11.0745</v>
      </c>
      <c r="M101" s="5" t="n">
        <f aca="false">IF(AND(N(K101)&gt;0,N(L101)&gt;0),K101/L101,"")</f>
        <v>0.188730868210754</v>
      </c>
      <c r="N101" s="2" t="s">
        <v>18</v>
      </c>
    </row>
    <row r="102" customFormat="false" ht="15" hidden="false" customHeight="false" outlineLevel="0" collapsed="false">
      <c r="A102" s="2" t="n">
        <v>101</v>
      </c>
      <c r="B102" s="2" t="s">
        <v>224</v>
      </c>
      <c r="C102" s="2" t="s">
        <v>225</v>
      </c>
      <c r="D102" s="2" t="s">
        <v>16</v>
      </c>
      <c r="E102" s="2" t="s">
        <v>21</v>
      </c>
      <c r="F102" s="3" t="n">
        <v>0.001202</v>
      </c>
      <c r="G102" s="3" t="n">
        <f aca="false">SUM($F$2:F102)</f>
        <v>0.937919</v>
      </c>
      <c r="H102" s="4" t="n">
        <v>25.16</v>
      </c>
      <c r="I102" s="5"/>
      <c r="J102" s="4" t="n">
        <v>-2.17</v>
      </c>
      <c r="K102" s="5" t="n">
        <v>1.8707</v>
      </c>
      <c r="L102" s="6" t="n">
        <v>17.8211</v>
      </c>
      <c r="M102" s="5" t="n">
        <f aca="false">IF(AND(N(K102)&gt;0,N(L102)&gt;0),K102/L102,"")</f>
        <v>0.104971073614984</v>
      </c>
      <c r="N102" s="2" t="s">
        <v>18</v>
      </c>
    </row>
    <row r="103" customFormat="false" ht="15" hidden="false" customHeight="false" outlineLevel="0" collapsed="false">
      <c r="A103" s="2" t="n">
        <v>102</v>
      </c>
      <c r="B103" s="2" t="s">
        <v>226</v>
      </c>
      <c r="C103" s="2" t="s">
        <v>227</v>
      </c>
      <c r="D103" s="2" t="s">
        <v>16</v>
      </c>
      <c r="E103" s="2" t="s">
        <v>21</v>
      </c>
      <c r="F103" s="3" t="n">
        <v>0.001202</v>
      </c>
      <c r="G103" s="3" t="n">
        <f aca="false">SUM($F$2:F103)</f>
        <v>0.939121</v>
      </c>
      <c r="H103" s="4" t="n">
        <v>23.32</v>
      </c>
      <c r="I103" s="5"/>
      <c r="J103" s="4" t="n">
        <v>-2.16</v>
      </c>
      <c r="K103" s="5" t="n">
        <v>2.7262</v>
      </c>
      <c r="L103" s="6" t="n">
        <v>382.8396</v>
      </c>
      <c r="M103" s="5" t="n">
        <f aca="false">IF(AND(N(K103)&gt;0,N(L103)&gt;0),K103/L103,"")</f>
        <v>0.00712099793229332</v>
      </c>
      <c r="N103" s="2" t="s">
        <v>18</v>
      </c>
    </row>
    <row r="104" customFormat="false" ht="15" hidden="false" customHeight="false" outlineLevel="0" collapsed="false">
      <c r="A104" s="2" t="n">
        <v>103</v>
      </c>
      <c r="B104" s="2" t="s">
        <v>228</v>
      </c>
      <c r="C104" s="2" t="s">
        <v>229</v>
      </c>
      <c r="D104" s="2" t="s">
        <v>16</v>
      </c>
      <c r="E104" s="2" t="s">
        <v>84</v>
      </c>
      <c r="F104" s="3" t="n">
        <v>0.001202</v>
      </c>
      <c r="G104" s="3" t="n">
        <f aca="false">SUM($F$2:F104)</f>
        <v>0.940323</v>
      </c>
      <c r="H104" s="4" t="n">
        <v>16.67</v>
      </c>
      <c r="I104" s="5"/>
      <c r="J104" s="4" t="n">
        <v>-1.31</v>
      </c>
      <c r="K104" s="5" t="n">
        <v>1.9412</v>
      </c>
      <c r="L104" s="6" t="n">
        <v>2.7763</v>
      </c>
      <c r="M104" s="5" t="n">
        <f aca="false">IF(AND(N(K104)&gt;0,N(L104)&gt;0),K104/L104,"")</f>
        <v>0.699203976515506</v>
      </c>
      <c r="N104" s="2" t="s">
        <v>18</v>
      </c>
    </row>
    <row r="105" customFormat="false" ht="15" hidden="false" customHeight="false" outlineLevel="0" collapsed="false">
      <c r="A105" s="2" t="n">
        <v>104</v>
      </c>
      <c r="B105" s="2" t="s">
        <v>230</v>
      </c>
      <c r="C105" s="2" t="s">
        <v>231</v>
      </c>
      <c r="D105" s="2" t="s">
        <v>16</v>
      </c>
      <c r="E105" s="2" t="s">
        <v>21</v>
      </c>
      <c r="F105" s="3" t="n">
        <v>0.001202</v>
      </c>
      <c r="G105" s="3" t="n">
        <f aca="false">SUM($F$2:F105)</f>
        <v>0.941525</v>
      </c>
      <c r="H105" s="4" t="n">
        <v>29.4</v>
      </c>
      <c r="I105" s="5"/>
      <c r="J105" s="4" t="n">
        <v>-4.36</v>
      </c>
      <c r="K105" s="5" t="n">
        <v>2.5992</v>
      </c>
      <c r="L105" s="6"/>
      <c r="M105" s="5" t="str">
        <f aca="false">IF(AND(N(K105)&gt;0,N(L105)&gt;0),K105/L105,"")</f>
        <v/>
      </c>
      <c r="N105" s="2" t="s">
        <v>18</v>
      </c>
    </row>
    <row r="106" customFormat="false" ht="15" hidden="false" customHeight="false" outlineLevel="0" collapsed="false">
      <c r="A106" s="2" t="n">
        <v>105</v>
      </c>
      <c r="B106" s="2" t="s">
        <v>232</v>
      </c>
      <c r="C106" s="2" t="s">
        <v>233</v>
      </c>
      <c r="D106" s="2" t="s">
        <v>16</v>
      </c>
      <c r="E106" s="2" t="s">
        <v>17</v>
      </c>
      <c r="F106" s="3" t="n">
        <v>0.001202</v>
      </c>
      <c r="G106" s="3" t="n">
        <f aca="false">SUM($F$2:F106)</f>
        <v>0.942727</v>
      </c>
      <c r="H106" s="4" t="n">
        <v>7.44</v>
      </c>
      <c r="I106" s="5"/>
      <c r="J106" s="4"/>
      <c r="K106" s="5" t="n">
        <v>5.0635</v>
      </c>
      <c r="L106" s="6"/>
      <c r="M106" s="5" t="str">
        <f aca="false">IF(AND(N(K106)&gt;0,N(L106)&gt;0),K106/L106,"")</f>
        <v/>
      </c>
      <c r="N106" s="2" t="s">
        <v>56</v>
      </c>
    </row>
    <row r="107" customFormat="false" ht="15" hidden="false" customHeight="false" outlineLevel="0" collapsed="false">
      <c r="A107" s="2" t="n">
        <v>106</v>
      </c>
      <c r="B107" s="2" t="s">
        <v>234</v>
      </c>
      <c r="C107" s="2" t="s">
        <v>235</v>
      </c>
      <c r="D107" s="2" t="s">
        <v>16</v>
      </c>
      <c r="E107" s="2" t="s">
        <v>236</v>
      </c>
      <c r="F107" s="3" t="n">
        <v>0.001202</v>
      </c>
      <c r="G107" s="3" t="n">
        <f aca="false">SUM($F$2:F107)</f>
        <v>0.943929</v>
      </c>
      <c r="H107" s="4" t="n">
        <v>14.78</v>
      </c>
      <c r="I107" s="5"/>
      <c r="J107" s="4" t="n">
        <v>-3.73</v>
      </c>
      <c r="K107" s="5" t="n">
        <v>2.0467</v>
      </c>
      <c r="L107" s="6"/>
      <c r="M107" s="5" t="str">
        <f aca="false">IF(AND(N(K107)&gt;0,N(L107)&gt;0),K107/L107,"")</f>
        <v/>
      </c>
      <c r="N107" s="2" t="s">
        <v>18</v>
      </c>
    </row>
    <row r="108" customFormat="false" ht="15" hidden="false" customHeight="false" outlineLevel="0" collapsed="false">
      <c r="A108" s="2" t="n">
        <v>107</v>
      </c>
      <c r="B108" s="2" t="s">
        <v>237</v>
      </c>
      <c r="C108" s="2" t="s">
        <v>238</v>
      </c>
      <c r="D108" s="2" t="s">
        <v>16</v>
      </c>
      <c r="E108" s="2" t="s">
        <v>21</v>
      </c>
      <c r="F108" s="3" t="n">
        <v>0.001202</v>
      </c>
      <c r="G108" s="3" t="n">
        <f aca="false">SUM($F$2:F108)</f>
        <v>0.945131</v>
      </c>
      <c r="H108" s="4" t="n">
        <v>12.69</v>
      </c>
      <c r="I108" s="5"/>
      <c r="J108" s="4" t="n">
        <v>-3.47</v>
      </c>
      <c r="K108" s="5" t="n">
        <v>1.7782</v>
      </c>
      <c r="L108" s="6" t="n">
        <v>29.8828</v>
      </c>
      <c r="M108" s="5" t="n">
        <f aca="false">IF(AND(N(K108)&gt;0,N(L108)&gt;0),K108/L108,"")</f>
        <v>0.0595058026690939</v>
      </c>
      <c r="N108" s="2" t="s">
        <v>18</v>
      </c>
    </row>
    <row r="109" customFormat="false" ht="15" hidden="false" customHeight="false" outlineLevel="0" collapsed="false">
      <c r="A109" s="2" t="n">
        <v>108</v>
      </c>
      <c r="B109" s="2" t="s">
        <v>239</v>
      </c>
      <c r="C109" s="2" t="s">
        <v>240</v>
      </c>
      <c r="D109" s="2" t="s">
        <v>16</v>
      </c>
      <c r="E109" s="2" t="s">
        <v>21</v>
      </c>
      <c r="F109" s="3" t="n">
        <v>0.001202</v>
      </c>
      <c r="G109" s="3" t="n">
        <f aca="false">SUM($F$2:F109)</f>
        <v>0.946333</v>
      </c>
      <c r="H109" s="4" t="n">
        <v>10.83</v>
      </c>
      <c r="I109" s="5"/>
      <c r="J109" s="4" t="n">
        <v>-1.59</v>
      </c>
      <c r="K109" s="5" t="n">
        <v>1.7864</v>
      </c>
      <c r="L109" s="6" t="n">
        <v>4.317</v>
      </c>
      <c r="M109" s="5" t="n">
        <f aca="false">IF(AND(N(K109)&gt;0,N(L109)&gt;0),K109/L109,"")</f>
        <v>0.413805883715543</v>
      </c>
      <c r="N109" s="2" t="s">
        <v>18</v>
      </c>
    </row>
    <row r="110" customFormat="false" ht="15" hidden="false" customHeight="false" outlineLevel="0" collapsed="false">
      <c r="A110" s="2" t="n">
        <v>109</v>
      </c>
      <c r="B110" s="2" t="s">
        <v>241</v>
      </c>
      <c r="C110" s="2" t="s">
        <v>242</v>
      </c>
      <c r="D110" s="2" t="s">
        <v>16</v>
      </c>
      <c r="E110" s="2" t="s">
        <v>21</v>
      </c>
      <c r="F110" s="3" t="n">
        <v>0.001101</v>
      </c>
      <c r="G110" s="3" t="n">
        <f aca="false">SUM($F$2:F110)</f>
        <v>0.947434</v>
      </c>
      <c r="H110" s="4" t="n">
        <v>6.1</v>
      </c>
      <c r="I110" s="5"/>
      <c r="J110" s="4" t="n">
        <v>-0.44</v>
      </c>
      <c r="K110" s="5" t="n">
        <v>2.1419</v>
      </c>
      <c r="L110" s="6" t="n">
        <v>12.6065</v>
      </c>
      <c r="M110" s="5" t="n">
        <f aca="false">IF(AND(N(K110)&gt;0,N(L110)&gt;0),K110/L110,"")</f>
        <v>0.169904414389402</v>
      </c>
      <c r="N110" s="2" t="s">
        <v>18</v>
      </c>
    </row>
    <row r="111" customFormat="false" ht="15" hidden="false" customHeight="false" outlineLevel="0" collapsed="false">
      <c r="A111" s="2" t="n">
        <v>110</v>
      </c>
      <c r="B111" s="2" t="s">
        <v>243</v>
      </c>
      <c r="C111" s="2" t="s">
        <v>244</v>
      </c>
      <c r="D111" s="2" t="s">
        <v>16</v>
      </c>
      <c r="E111" s="2" t="s">
        <v>21</v>
      </c>
      <c r="F111" s="3" t="n">
        <v>0.001101</v>
      </c>
      <c r="G111" s="3" t="n">
        <f aca="false">SUM($F$2:F111)</f>
        <v>0.948535</v>
      </c>
      <c r="H111" s="4" t="n">
        <v>53.92</v>
      </c>
      <c r="I111" s="5"/>
      <c r="J111" s="4" t="n">
        <v>-1</v>
      </c>
      <c r="K111" s="5" t="n">
        <v>1.612</v>
      </c>
      <c r="L111" s="6" t="n">
        <v>6.9365</v>
      </c>
      <c r="M111" s="5" t="n">
        <f aca="false">IF(AND(N(K111)&gt;0,N(L111)&gt;0),K111/L111,"")</f>
        <v>0.232393858574209</v>
      </c>
      <c r="N111" s="2" t="s">
        <v>18</v>
      </c>
    </row>
    <row r="112" customFormat="false" ht="15" hidden="false" customHeight="false" outlineLevel="0" collapsed="false">
      <c r="A112" s="2" t="n">
        <v>111</v>
      </c>
      <c r="B112" s="2" t="s">
        <v>245</v>
      </c>
      <c r="C112" s="2" t="s">
        <v>246</v>
      </c>
      <c r="D112" s="2" t="s">
        <v>16</v>
      </c>
      <c r="E112" s="2" t="s">
        <v>21</v>
      </c>
      <c r="F112" s="3" t="n">
        <v>0.001101</v>
      </c>
      <c r="G112" s="3" t="n">
        <f aca="false">SUM($F$2:F112)</f>
        <v>0.949636</v>
      </c>
      <c r="H112" s="4" t="n">
        <v>29.2</v>
      </c>
      <c r="I112" s="5"/>
      <c r="J112" s="4" t="n">
        <v>-3.53</v>
      </c>
      <c r="K112" s="5" t="n">
        <v>1.8842</v>
      </c>
      <c r="L112" s="6" t="n">
        <v>68.2966</v>
      </c>
      <c r="M112" s="5" t="n">
        <f aca="false">IF(AND(N(K112)&gt;0,N(L112)&gt;0),K112/L112,"")</f>
        <v>0.0275884890316648</v>
      </c>
      <c r="N112" s="2" t="s">
        <v>18</v>
      </c>
    </row>
    <row r="113" customFormat="false" ht="15" hidden="false" customHeight="false" outlineLevel="0" collapsed="false">
      <c r="A113" s="2" t="n">
        <v>112</v>
      </c>
      <c r="B113" s="2" t="s">
        <v>247</v>
      </c>
      <c r="C113" s="2" t="s">
        <v>248</v>
      </c>
      <c r="D113" s="2" t="s">
        <v>16</v>
      </c>
      <c r="E113" s="2" t="s">
        <v>21</v>
      </c>
      <c r="F113" s="3" t="n">
        <v>0.001101</v>
      </c>
      <c r="G113" s="3" t="n">
        <f aca="false">SUM($F$2:F113)</f>
        <v>0.950737</v>
      </c>
      <c r="H113" s="4" t="n">
        <v>18.18</v>
      </c>
      <c r="I113" s="5"/>
      <c r="J113" s="4" t="n">
        <v>-2.53</v>
      </c>
      <c r="K113" s="5" t="n">
        <v>1.6239</v>
      </c>
      <c r="L113" s="6" t="n">
        <v>6.4375</v>
      </c>
      <c r="M113" s="5" t="n">
        <f aca="false">IF(AND(N(K113)&gt;0,N(L113)&gt;0),K113/L113,"")</f>
        <v>0.252256310679612</v>
      </c>
      <c r="N113" s="2" t="s">
        <v>18</v>
      </c>
    </row>
    <row r="114" customFormat="false" ht="15" hidden="false" customHeight="false" outlineLevel="0" collapsed="false">
      <c r="A114" s="2" t="n">
        <v>113</v>
      </c>
      <c r="B114" s="2" t="s">
        <v>249</v>
      </c>
      <c r="C114" s="2" t="s">
        <v>250</v>
      </c>
      <c r="D114" s="2" t="s">
        <v>16</v>
      </c>
      <c r="E114" s="2" t="s">
        <v>21</v>
      </c>
      <c r="F114" s="3" t="n">
        <v>0.001001</v>
      </c>
      <c r="G114" s="3" t="n">
        <f aca="false">SUM($F$2:F114)</f>
        <v>0.951738</v>
      </c>
      <c r="H114" s="4" t="n">
        <v>32.42</v>
      </c>
      <c r="I114" s="5"/>
      <c r="J114" s="4" t="n">
        <v>-0.36</v>
      </c>
      <c r="K114" s="5" t="n">
        <v>1.6696</v>
      </c>
      <c r="L114" s="6" t="n">
        <v>3.8758</v>
      </c>
      <c r="M114" s="5" t="n">
        <f aca="false">IF(AND(N(K114)&gt;0,N(L114)&gt;0),K114/L114,"")</f>
        <v>0.430775581815367</v>
      </c>
      <c r="N114" s="2" t="s">
        <v>18</v>
      </c>
    </row>
    <row r="115" customFormat="false" ht="15" hidden="false" customHeight="false" outlineLevel="0" collapsed="false">
      <c r="A115" s="2" t="n">
        <v>114</v>
      </c>
      <c r="B115" s="2" t="s">
        <v>251</v>
      </c>
      <c r="C115" s="2" t="s">
        <v>252</v>
      </c>
      <c r="D115" s="2" t="s">
        <v>16</v>
      </c>
      <c r="E115" s="2" t="s">
        <v>21</v>
      </c>
      <c r="F115" s="3" t="n">
        <v>0.001001</v>
      </c>
      <c r="G115" s="3" t="n">
        <f aca="false">SUM($F$2:F115)</f>
        <v>0.952739</v>
      </c>
      <c r="H115" s="4" t="n">
        <v>11.5</v>
      </c>
      <c r="I115" s="5"/>
      <c r="J115" s="4" t="n">
        <v>-1.87</v>
      </c>
      <c r="K115" s="5" t="n">
        <v>1.946</v>
      </c>
      <c r="L115" s="6" t="n">
        <v>6.4176</v>
      </c>
      <c r="M115" s="5" t="n">
        <f aca="false">IF(AND(N(K115)&gt;0,N(L115)&gt;0),K115/L115,"")</f>
        <v>0.303228621291449</v>
      </c>
      <c r="N115" s="2" t="s">
        <v>18</v>
      </c>
    </row>
    <row r="116" customFormat="false" ht="15" hidden="false" customHeight="false" outlineLevel="0" collapsed="false">
      <c r="A116" s="2" t="n">
        <v>115</v>
      </c>
      <c r="B116" s="2" t="s">
        <v>253</v>
      </c>
      <c r="C116" s="2" t="s">
        <v>254</v>
      </c>
      <c r="D116" s="2" t="s">
        <v>16</v>
      </c>
      <c r="E116" s="2" t="s">
        <v>21</v>
      </c>
      <c r="F116" s="3" t="n">
        <v>0.001001</v>
      </c>
      <c r="G116" s="3" t="n">
        <f aca="false">SUM($F$2:F116)</f>
        <v>0.95374</v>
      </c>
      <c r="H116" s="4" t="n">
        <v>10.71</v>
      </c>
      <c r="I116" s="5"/>
      <c r="J116" s="4" t="n">
        <v>-0.86</v>
      </c>
      <c r="K116" s="5" t="n">
        <v>1.838</v>
      </c>
      <c r="L116" s="6" t="n">
        <v>1177.4415</v>
      </c>
      <c r="M116" s="5" t="n">
        <f aca="false">IF(AND(N(K116)&gt;0,N(L116)&gt;0),K116/L116,"")</f>
        <v>0.00156101173603954</v>
      </c>
      <c r="N116" s="2" t="s">
        <v>18</v>
      </c>
    </row>
    <row r="117" customFormat="false" ht="15" hidden="false" customHeight="false" outlineLevel="0" collapsed="false">
      <c r="A117" s="2" t="n">
        <v>116</v>
      </c>
      <c r="B117" s="2" t="s">
        <v>255</v>
      </c>
      <c r="C117" s="2" t="s">
        <v>256</v>
      </c>
      <c r="D117" s="2" t="s">
        <v>16</v>
      </c>
      <c r="E117" s="2" t="s">
        <v>21</v>
      </c>
      <c r="F117" s="3" t="n">
        <v>0.001001</v>
      </c>
      <c r="G117" s="3" t="n">
        <f aca="false">SUM($F$2:F117)</f>
        <v>0.954741</v>
      </c>
      <c r="H117" s="4" t="n">
        <v>15.24</v>
      </c>
      <c r="I117" s="5"/>
      <c r="J117" s="4" t="n">
        <v>-0.36</v>
      </c>
      <c r="K117" s="5" t="n">
        <v>2.1713</v>
      </c>
      <c r="L117" s="6"/>
      <c r="M117" s="5" t="str">
        <f aca="false">IF(AND(N(K117)&gt;0,N(L117)&gt;0),K117/L117,"")</f>
        <v/>
      </c>
      <c r="N117" s="2" t="s">
        <v>18</v>
      </c>
    </row>
    <row r="118" customFormat="false" ht="15" hidden="false" customHeight="false" outlineLevel="0" collapsed="false">
      <c r="A118" s="2" t="n">
        <v>117</v>
      </c>
      <c r="B118" s="2" t="s">
        <v>257</v>
      </c>
      <c r="C118" s="2" t="s">
        <v>258</v>
      </c>
      <c r="D118" s="2" t="s">
        <v>16</v>
      </c>
      <c r="E118" s="2" t="s">
        <v>21</v>
      </c>
      <c r="F118" s="3" t="n">
        <v>0.001001</v>
      </c>
      <c r="G118" s="3" t="n">
        <f aca="false">SUM($F$2:F118)</f>
        <v>0.955742</v>
      </c>
      <c r="H118" s="4" t="n">
        <v>27.86</v>
      </c>
      <c r="I118" s="5"/>
      <c r="J118" s="4" t="n">
        <v>-0.99</v>
      </c>
      <c r="K118" s="5" t="n">
        <v>1.9124</v>
      </c>
      <c r="L118" s="6"/>
      <c r="M118" s="5" t="str">
        <f aca="false">IF(AND(N(K118)&gt;0,N(L118)&gt;0),K118/L118,"")</f>
        <v/>
      </c>
      <c r="N118" s="2" t="s">
        <v>18</v>
      </c>
    </row>
    <row r="119" customFormat="false" ht="15" hidden="false" customHeight="false" outlineLevel="0" collapsed="false">
      <c r="A119" s="2" t="n">
        <v>118</v>
      </c>
      <c r="B119" s="2" t="s">
        <v>259</v>
      </c>
      <c r="C119" s="2" t="s">
        <v>260</v>
      </c>
      <c r="D119" s="2" t="s">
        <v>16</v>
      </c>
      <c r="E119" s="2" t="s">
        <v>21</v>
      </c>
      <c r="F119" s="3" t="n">
        <v>0.001001</v>
      </c>
      <c r="G119" s="3" t="n">
        <f aca="false">SUM($F$2:F119)</f>
        <v>0.956743</v>
      </c>
      <c r="H119" s="4" t="n">
        <v>5.16</v>
      </c>
      <c r="I119" s="5"/>
      <c r="J119" s="4" t="n">
        <v>-0.42</v>
      </c>
      <c r="K119" s="5" t="n">
        <v>1.6813</v>
      </c>
      <c r="L119" s="6" t="n">
        <v>306.5271</v>
      </c>
      <c r="M119" s="5" t="n">
        <f aca="false">IF(AND(N(K119)&gt;0,N(L119)&gt;0),K119/L119,"")</f>
        <v>0.00548499626949787</v>
      </c>
      <c r="N119" s="2" t="s">
        <v>18</v>
      </c>
    </row>
    <row r="120" customFormat="false" ht="15" hidden="false" customHeight="false" outlineLevel="0" collapsed="false">
      <c r="A120" s="2" t="n">
        <v>119</v>
      </c>
      <c r="B120" s="2" t="s">
        <v>261</v>
      </c>
      <c r="C120" s="2" t="s">
        <v>262</v>
      </c>
      <c r="D120" s="2" t="s">
        <v>16</v>
      </c>
      <c r="E120" s="2" t="s">
        <v>21</v>
      </c>
      <c r="F120" s="3" t="n">
        <v>0.000901</v>
      </c>
      <c r="G120" s="3" t="n">
        <f aca="false">SUM($F$2:F120)</f>
        <v>0.957644</v>
      </c>
      <c r="H120" s="4" t="n">
        <v>15.62</v>
      </c>
      <c r="I120" s="5"/>
      <c r="J120" s="4" t="n">
        <v>-6.21</v>
      </c>
      <c r="K120" s="5" t="n">
        <v>1.5395</v>
      </c>
      <c r="L120" s="6" t="n">
        <v>2.1471</v>
      </c>
      <c r="M120" s="5" t="n">
        <f aca="false">IF(AND(N(K120)&gt;0,N(L120)&gt;0),K120/L120,"")</f>
        <v>0.717013646313632</v>
      </c>
      <c r="N120" s="2" t="s">
        <v>18</v>
      </c>
    </row>
    <row r="121" customFormat="false" ht="15" hidden="false" customHeight="false" outlineLevel="0" collapsed="false">
      <c r="A121" s="2" t="n">
        <v>120</v>
      </c>
      <c r="B121" s="2" t="s">
        <v>263</v>
      </c>
      <c r="C121" s="2" t="s">
        <v>264</v>
      </c>
      <c r="D121" s="2" t="s">
        <v>16</v>
      </c>
      <c r="E121" s="2" t="s">
        <v>21</v>
      </c>
      <c r="F121" s="3" t="n">
        <v>0.000901</v>
      </c>
      <c r="G121" s="3" t="n">
        <f aca="false">SUM($F$2:F121)</f>
        <v>0.958545</v>
      </c>
      <c r="H121" s="4" t="n">
        <v>30.19</v>
      </c>
      <c r="I121" s="5"/>
      <c r="J121" s="4"/>
      <c r="K121" s="5" t="n">
        <v>1.977</v>
      </c>
      <c r="L121" s="6"/>
      <c r="M121" s="5" t="str">
        <f aca="false">IF(AND(N(K121)&gt;0,N(L121)&gt;0),K121/L121,"")</f>
        <v/>
      </c>
      <c r="N121" s="2" t="s">
        <v>56</v>
      </c>
    </row>
    <row r="122" customFormat="false" ht="15" hidden="false" customHeight="false" outlineLevel="0" collapsed="false">
      <c r="A122" s="2" t="n">
        <v>121</v>
      </c>
      <c r="B122" s="2" t="s">
        <v>265</v>
      </c>
      <c r="C122" s="2" t="s">
        <v>266</v>
      </c>
      <c r="D122" s="2" t="s">
        <v>16</v>
      </c>
      <c r="E122" s="2" t="s">
        <v>21</v>
      </c>
      <c r="F122" s="3" t="n">
        <v>0.000901</v>
      </c>
      <c r="G122" s="3" t="n">
        <f aca="false">SUM($F$2:F122)</f>
        <v>0.959446</v>
      </c>
      <c r="H122" s="4" t="n">
        <v>7.89</v>
      </c>
      <c r="I122" s="5"/>
      <c r="J122" s="4" t="n">
        <v>-1.1</v>
      </c>
      <c r="K122" s="5" t="n">
        <v>2.8249</v>
      </c>
      <c r="L122" s="6" t="n">
        <v>32.9561</v>
      </c>
      <c r="M122" s="5" t="n">
        <f aca="false">IF(AND(N(K122)&gt;0,N(L122)&gt;0),K122/L122,"")</f>
        <v>0.0857170599676539</v>
      </c>
      <c r="N122" s="2" t="s">
        <v>18</v>
      </c>
    </row>
    <row r="123" customFormat="false" ht="15" hidden="false" customHeight="false" outlineLevel="0" collapsed="false">
      <c r="A123" s="2" t="n">
        <v>122</v>
      </c>
      <c r="B123" s="2" t="s">
        <v>267</v>
      </c>
      <c r="C123" s="2" t="s">
        <v>268</v>
      </c>
      <c r="D123" s="2" t="s">
        <v>16</v>
      </c>
      <c r="E123" s="2" t="s">
        <v>21</v>
      </c>
      <c r="F123" s="3" t="n">
        <v>0.000901</v>
      </c>
      <c r="G123" s="3" t="n">
        <f aca="false">SUM($F$2:F123)</f>
        <v>0.960347</v>
      </c>
      <c r="H123" s="4" t="n">
        <v>110.67</v>
      </c>
      <c r="I123" s="5"/>
      <c r="J123" s="4" t="n">
        <v>-8.74</v>
      </c>
      <c r="K123" s="5" t="n">
        <v>1.6288</v>
      </c>
      <c r="L123" s="6"/>
      <c r="M123" s="5" t="str">
        <f aca="false">IF(AND(N(K123)&gt;0,N(L123)&gt;0),K123/L123,"")</f>
        <v/>
      </c>
      <c r="N123" s="2" t="s">
        <v>18</v>
      </c>
    </row>
    <row r="124" customFormat="false" ht="15" hidden="false" customHeight="false" outlineLevel="0" collapsed="false">
      <c r="A124" s="2" t="n">
        <v>123</v>
      </c>
      <c r="B124" s="2" t="s">
        <v>269</v>
      </c>
      <c r="C124" s="2" t="s">
        <v>270</v>
      </c>
      <c r="D124" s="2" t="s">
        <v>16</v>
      </c>
      <c r="E124" s="2" t="s">
        <v>21</v>
      </c>
      <c r="F124" s="3" t="n">
        <v>0.000801</v>
      </c>
      <c r="G124" s="3" t="n">
        <f aca="false">SUM($F$2:F124)</f>
        <v>0.961148</v>
      </c>
      <c r="H124" s="4" t="n">
        <v>35.2</v>
      </c>
      <c r="I124" s="5"/>
      <c r="J124" s="4"/>
      <c r="K124" s="5" t="n">
        <v>2.4712</v>
      </c>
      <c r="L124" s="6"/>
      <c r="M124" s="5" t="str">
        <f aca="false">IF(AND(N(K124)&gt;0,N(L124)&gt;0),K124/L124,"")</f>
        <v/>
      </c>
      <c r="N124" s="2" t="s">
        <v>56</v>
      </c>
    </row>
    <row r="125" customFormat="false" ht="15" hidden="false" customHeight="false" outlineLevel="0" collapsed="false">
      <c r="A125" s="2" t="n">
        <v>124</v>
      </c>
      <c r="B125" s="2" t="s">
        <v>271</v>
      </c>
      <c r="C125" s="2" t="s">
        <v>272</v>
      </c>
      <c r="D125" s="2" t="s">
        <v>16</v>
      </c>
      <c r="E125" s="2" t="s">
        <v>32</v>
      </c>
      <c r="F125" s="3" t="n">
        <v>0.000801</v>
      </c>
      <c r="G125" s="3" t="n">
        <f aca="false">SUM($F$2:F125)</f>
        <v>0.961949</v>
      </c>
      <c r="H125" s="4" t="n">
        <v>16.36</v>
      </c>
      <c r="I125" s="5"/>
      <c r="J125" s="4" t="n">
        <v>-1.1</v>
      </c>
      <c r="K125" s="5" t="n">
        <v>1.7472</v>
      </c>
      <c r="L125" s="6" t="n">
        <v>25.0792</v>
      </c>
      <c r="M125" s="5" t="n">
        <f aca="false">IF(AND(N(K125)&gt;0,N(L125)&gt;0),K125/L125,"")</f>
        <v>0.0696672940125682</v>
      </c>
      <c r="N125" s="2" t="s">
        <v>18</v>
      </c>
    </row>
    <row r="126" customFormat="false" ht="15" hidden="false" customHeight="false" outlineLevel="0" collapsed="false">
      <c r="A126" s="2" t="n">
        <v>125</v>
      </c>
      <c r="B126" s="2" t="s">
        <v>273</v>
      </c>
      <c r="C126" s="2" t="s">
        <v>274</v>
      </c>
      <c r="D126" s="2" t="s">
        <v>16</v>
      </c>
      <c r="E126" s="2" t="s">
        <v>21</v>
      </c>
      <c r="F126" s="3" t="n">
        <v>0.000801</v>
      </c>
      <c r="G126" s="3" t="n">
        <f aca="false">SUM($F$2:F126)</f>
        <v>0.96275</v>
      </c>
      <c r="H126" s="4" t="n">
        <v>41.47</v>
      </c>
      <c r="I126" s="5"/>
      <c r="J126" s="4" t="n">
        <v>-3.17</v>
      </c>
      <c r="K126" s="5" t="n">
        <v>1.9897</v>
      </c>
      <c r="L126" s="6" t="n">
        <v>99.483</v>
      </c>
      <c r="M126" s="5" t="n">
        <f aca="false">IF(AND(N(K126)&gt;0,N(L126)&gt;0),K126/L126,"")</f>
        <v>0.0200004020787471</v>
      </c>
      <c r="N126" s="2" t="s">
        <v>18</v>
      </c>
    </row>
    <row r="127" customFormat="false" ht="15" hidden="false" customHeight="false" outlineLevel="0" collapsed="false">
      <c r="A127" s="2" t="n">
        <v>126</v>
      </c>
      <c r="B127" s="2" t="s">
        <v>275</v>
      </c>
      <c r="C127" s="2" t="s">
        <v>276</v>
      </c>
      <c r="D127" s="2" t="s">
        <v>16</v>
      </c>
      <c r="E127" s="2" t="s">
        <v>21</v>
      </c>
      <c r="F127" s="3" t="n">
        <v>0.000801</v>
      </c>
      <c r="G127" s="3" t="n">
        <f aca="false">SUM($F$2:F127)</f>
        <v>0.963551</v>
      </c>
      <c r="H127" s="4" t="n">
        <v>15.92</v>
      </c>
      <c r="I127" s="5"/>
      <c r="J127" s="4" t="n">
        <v>-0.46</v>
      </c>
      <c r="K127" s="5" t="n">
        <v>2.0673</v>
      </c>
      <c r="L127" s="6" t="n">
        <v>17.1916</v>
      </c>
      <c r="M127" s="5" t="n">
        <f aca="false">IF(AND(N(K127)&gt;0,N(L127)&gt;0),K127/L127,"")</f>
        <v>0.120250587496219</v>
      </c>
      <c r="N127" s="2" t="s">
        <v>18</v>
      </c>
    </row>
    <row r="128" customFormat="false" ht="15" hidden="false" customHeight="false" outlineLevel="0" collapsed="false">
      <c r="A128" s="2" t="n">
        <v>127</v>
      </c>
      <c r="B128" s="2" t="s">
        <v>277</v>
      </c>
      <c r="C128" s="2" t="s">
        <v>278</v>
      </c>
      <c r="D128" s="2" t="s">
        <v>16</v>
      </c>
      <c r="E128" s="2" t="s">
        <v>21</v>
      </c>
      <c r="F128" s="3" t="n">
        <v>0.000801</v>
      </c>
      <c r="G128" s="3" t="n">
        <f aca="false">SUM($F$2:F128)</f>
        <v>0.964352</v>
      </c>
      <c r="H128" s="4" t="n">
        <v>13.47</v>
      </c>
      <c r="I128" s="5"/>
      <c r="J128" s="4" t="n">
        <v>-3.3</v>
      </c>
      <c r="K128" s="5" t="n">
        <v>1.2691</v>
      </c>
      <c r="L128" s="6"/>
      <c r="M128" s="5" t="str">
        <f aca="false">IF(AND(N(K128)&gt;0,N(L128)&gt;0),K128/L128,"")</f>
        <v/>
      </c>
      <c r="N128" s="2" t="s">
        <v>18</v>
      </c>
    </row>
    <row r="129" customFormat="false" ht="15" hidden="false" customHeight="false" outlineLevel="0" collapsed="false">
      <c r="A129" s="2" t="n">
        <v>128</v>
      </c>
      <c r="B129" s="2" t="s">
        <v>279</v>
      </c>
      <c r="C129" s="2" t="s">
        <v>280</v>
      </c>
      <c r="D129" s="2" t="s">
        <v>16</v>
      </c>
      <c r="E129" s="2" t="s">
        <v>21</v>
      </c>
      <c r="F129" s="3" t="n">
        <v>0.000801</v>
      </c>
      <c r="G129" s="3" t="n">
        <f aca="false">SUM($F$2:F129)</f>
        <v>0.965153</v>
      </c>
      <c r="H129" s="4" t="n">
        <v>40.38</v>
      </c>
      <c r="I129" s="5"/>
      <c r="J129" s="4" t="n">
        <v>-0.56</v>
      </c>
      <c r="K129" s="5" t="n">
        <v>1.8848</v>
      </c>
      <c r="L129" s="6" t="n">
        <v>19.0613</v>
      </c>
      <c r="M129" s="5" t="n">
        <f aca="false">IF(AND(N(K129)&gt;0,N(L129)&gt;0),K129/L129,"")</f>
        <v>0.0988809787370222</v>
      </c>
      <c r="N129" s="2" t="s">
        <v>18</v>
      </c>
    </row>
    <row r="130" customFormat="false" ht="15" hidden="false" customHeight="false" outlineLevel="0" collapsed="false">
      <c r="A130" s="2" t="n">
        <v>129</v>
      </c>
      <c r="B130" s="2" t="s">
        <v>281</v>
      </c>
      <c r="C130" s="2" t="s">
        <v>282</v>
      </c>
      <c r="D130" s="2" t="s">
        <v>16</v>
      </c>
      <c r="E130" s="2" t="s">
        <v>21</v>
      </c>
      <c r="F130" s="3" t="n">
        <v>0.000801</v>
      </c>
      <c r="G130" s="3" t="n">
        <f aca="false">SUM($F$2:F130)</f>
        <v>0.965954</v>
      </c>
      <c r="H130" s="4" t="n">
        <v>25.57</v>
      </c>
      <c r="I130" s="5"/>
      <c r="J130" s="4" t="n">
        <v>-2.39</v>
      </c>
      <c r="K130" s="5" t="n">
        <v>1.7581</v>
      </c>
      <c r="L130" s="6"/>
      <c r="M130" s="5" t="str">
        <f aca="false">IF(AND(N(K130)&gt;0,N(L130)&gt;0),K130/L130,"")</f>
        <v/>
      </c>
      <c r="N130" s="2" t="s">
        <v>18</v>
      </c>
    </row>
    <row r="131" customFormat="false" ht="15" hidden="false" customHeight="false" outlineLevel="0" collapsed="false">
      <c r="A131" s="2" t="n">
        <v>130</v>
      </c>
      <c r="B131" s="2" t="s">
        <v>283</v>
      </c>
      <c r="C131" s="2" t="s">
        <v>284</v>
      </c>
      <c r="D131" s="2" t="s">
        <v>16</v>
      </c>
      <c r="E131" s="2" t="s">
        <v>21</v>
      </c>
      <c r="F131" s="3" t="n">
        <v>0.000801</v>
      </c>
      <c r="G131" s="3" t="n">
        <f aca="false">SUM($F$2:F131)</f>
        <v>0.966755</v>
      </c>
      <c r="H131" s="4" t="n">
        <v>33.05</v>
      </c>
      <c r="I131" s="5"/>
      <c r="J131" s="4" t="n">
        <v>-9.63</v>
      </c>
      <c r="K131" s="5" t="n">
        <v>2.1541</v>
      </c>
      <c r="L131" s="6" t="n">
        <v>2154.0908</v>
      </c>
      <c r="M131" s="5" t="n">
        <f aca="false">IF(AND(N(K131)&gt;0,N(L131)&gt;0),K131/L131,"")</f>
        <v>0.00100000427094345</v>
      </c>
      <c r="N131" s="2" t="s">
        <v>18</v>
      </c>
    </row>
    <row r="132" customFormat="false" ht="15" hidden="false" customHeight="false" outlineLevel="0" collapsed="false">
      <c r="A132" s="2" t="n">
        <v>131</v>
      </c>
      <c r="B132" s="2" t="s">
        <v>285</v>
      </c>
      <c r="C132" s="2" t="s">
        <v>286</v>
      </c>
      <c r="D132" s="2" t="s">
        <v>16</v>
      </c>
      <c r="E132" s="2" t="s">
        <v>21</v>
      </c>
      <c r="F132" s="3" t="n">
        <v>0.000801</v>
      </c>
      <c r="G132" s="3" t="n">
        <f aca="false">SUM($F$2:F132)</f>
        <v>0.967556</v>
      </c>
      <c r="H132" s="4" t="n">
        <v>30.78</v>
      </c>
      <c r="I132" s="5"/>
      <c r="J132" s="4" t="n">
        <v>-2.33</v>
      </c>
      <c r="K132" s="5" t="n">
        <v>1.2079</v>
      </c>
      <c r="L132" s="6"/>
      <c r="M132" s="5" t="str">
        <f aca="false">IF(AND(N(K132)&gt;0,N(L132)&gt;0),K132/L132,"")</f>
        <v/>
      </c>
      <c r="N132" s="2" t="s">
        <v>18</v>
      </c>
    </row>
    <row r="133" customFormat="false" ht="15" hidden="false" customHeight="false" outlineLevel="0" collapsed="false">
      <c r="A133" s="2" t="n">
        <v>132</v>
      </c>
      <c r="B133" s="2" t="s">
        <v>287</v>
      </c>
      <c r="C133" s="2" t="s">
        <v>288</v>
      </c>
      <c r="D133" s="2" t="s">
        <v>16</v>
      </c>
      <c r="E133" s="2" t="s">
        <v>21</v>
      </c>
      <c r="F133" s="3" t="n">
        <v>0.000801</v>
      </c>
      <c r="G133" s="3" t="n">
        <f aca="false">SUM($F$2:F133)</f>
        <v>0.968357</v>
      </c>
      <c r="H133" s="4" t="n">
        <v>3.49</v>
      </c>
      <c r="I133" s="5"/>
      <c r="J133" s="4" t="n">
        <v>-0.15</v>
      </c>
      <c r="K133" s="5" t="n">
        <v>1.1222</v>
      </c>
      <c r="L133" s="6" t="n">
        <v>2.8509</v>
      </c>
      <c r="M133" s="5" t="n">
        <f aca="false">IF(AND(N(K133)&gt;0,N(L133)&gt;0),K133/L133,"")</f>
        <v>0.393630081728577</v>
      </c>
      <c r="N133" s="2" t="s">
        <v>18</v>
      </c>
    </row>
    <row r="134" customFormat="false" ht="15" hidden="false" customHeight="false" outlineLevel="0" collapsed="false">
      <c r="A134" s="2" t="n">
        <v>133</v>
      </c>
      <c r="B134" s="2" t="s">
        <v>289</v>
      </c>
      <c r="C134" s="2" t="s">
        <v>290</v>
      </c>
      <c r="D134" s="2" t="s">
        <v>16</v>
      </c>
      <c r="E134" s="2" t="s">
        <v>79</v>
      </c>
      <c r="F134" s="3" t="n">
        <v>0.000801</v>
      </c>
      <c r="G134" s="3" t="n">
        <f aca="false">SUM($F$2:F134)</f>
        <v>0.969158</v>
      </c>
      <c r="H134" s="4" t="n">
        <v>21.7</v>
      </c>
      <c r="I134" s="5"/>
      <c r="J134" s="4"/>
      <c r="K134" s="5" t="n">
        <v>5.9268</v>
      </c>
      <c r="L134" s="6"/>
      <c r="M134" s="5" t="str">
        <f aca="false">IF(AND(N(K134)&gt;0,N(L134)&gt;0),K134/L134,"")</f>
        <v/>
      </c>
      <c r="N134" s="2" t="s">
        <v>56</v>
      </c>
    </row>
    <row r="135" customFormat="false" ht="15" hidden="false" customHeight="false" outlineLevel="0" collapsed="false">
      <c r="A135" s="2" t="n">
        <v>134</v>
      </c>
      <c r="B135" s="2" t="s">
        <v>291</v>
      </c>
      <c r="C135" s="2" t="s">
        <v>292</v>
      </c>
      <c r="D135" s="2" t="s">
        <v>16</v>
      </c>
      <c r="E135" s="2" t="s">
        <v>32</v>
      </c>
      <c r="F135" s="3" t="n">
        <v>0.000701</v>
      </c>
      <c r="G135" s="3" t="n">
        <f aca="false">SUM($F$2:F135)</f>
        <v>0.969859</v>
      </c>
      <c r="H135" s="4" t="n">
        <v>34.85</v>
      </c>
      <c r="I135" s="5"/>
      <c r="J135" s="4" t="n">
        <v>-0.64</v>
      </c>
      <c r="K135" s="5" t="n">
        <v>1.0647</v>
      </c>
      <c r="L135" s="6" t="n">
        <v>2.9799</v>
      </c>
      <c r="M135" s="5" t="n">
        <f aca="false">IF(AND(N(K135)&gt;0,N(L135)&gt;0),K135/L135,"")</f>
        <v>0.357293868921776</v>
      </c>
      <c r="N135" s="2" t="s">
        <v>18</v>
      </c>
    </row>
    <row r="136" customFormat="false" ht="15" hidden="false" customHeight="false" outlineLevel="0" collapsed="false">
      <c r="A136" s="2" t="n">
        <v>135</v>
      </c>
      <c r="B136" s="2" t="s">
        <v>293</v>
      </c>
      <c r="C136" s="2" t="s">
        <v>294</v>
      </c>
      <c r="D136" s="2" t="s">
        <v>16</v>
      </c>
      <c r="E136" s="2" t="s">
        <v>21</v>
      </c>
      <c r="F136" s="3" t="n">
        <v>0.000701</v>
      </c>
      <c r="G136" s="3" t="n">
        <f aca="false">SUM($F$2:F136)</f>
        <v>0.97056</v>
      </c>
      <c r="H136" s="4" t="n">
        <v>30.32</v>
      </c>
      <c r="I136" s="5"/>
      <c r="J136" s="4" t="n">
        <v>-3.62</v>
      </c>
      <c r="K136" s="5" t="n">
        <v>1.495</v>
      </c>
      <c r="L136" s="6"/>
      <c r="M136" s="5" t="str">
        <f aca="false">IF(AND(N(K136)&gt;0,N(L136)&gt;0),K136/L136,"")</f>
        <v/>
      </c>
      <c r="N136" s="2" t="s">
        <v>18</v>
      </c>
    </row>
    <row r="137" customFormat="false" ht="15" hidden="false" customHeight="false" outlineLevel="0" collapsed="false">
      <c r="A137" s="2" t="n">
        <v>136</v>
      </c>
      <c r="B137" s="2" t="s">
        <v>295</v>
      </c>
      <c r="C137" s="2" t="s">
        <v>296</v>
      </c>
      <c r="D137" s="2" t="s">
        <v>16</v>
      </c>
      <c r="E137" s="2" t="s">
        <v>49</v>
      </c>
      <c r="F137" s="3" t="n">
        <v>0.000701</v>
      </c>
      <c r="G137" s="3" t="n">
        <f aca="false">SUM($F$2:F137)</f>
        <v>0.971261</v>
      </c>
      <c r="H137" s="4" t="n">
        <v>5.84</v>
      </c>
      <c r="I137" s="5"/>
      <c r="J137" s="4" t="n">
        <v>-0.61</v>
      </c>
      <c r="K137" s="5" t="n">
        <v>2.0838</v>
      </c>
      <c r="L137" s="6" t="n">
        <v>4.2131</v>
      </c>
      <c r="M137" s="5" t="n">
        <f aca="false">IF(AND(N(K137)&gt;0,N(L137)&gt;0),K137/L137,"")</f>
        <v>0.494600175642639</v>
      </c>
      <c r="N137" s="2" t="s">
        <v>18</v>
      </c>
    </row>
    <row r="138" customFormat="false" ht="15" hidden="false" customHeight="false" outlineLevel="0" collapsed="false">
      <c r="A138" s="2" t="n">
        <v>137</v>
      </c>
      <c r="B138" s="2" t="s">
        <v>297</v>
      </c>
      <c r="C138" s="2" t="s">
        <v>298</v>
      </c>
      <c r="D138" s="2" t="s">
        <v>16</v>
      </c>
      <c r="E138" s="2" t="s">
        <v>21</v>
      </c>
      <c r="F138" s="3" t="n">
        <v>0.000701</v>
      </c>
      <c r="G138" s="3" t="n">
        <f aca="false">SUM($F$2:F138)</f>
        <v>0.971962</v>
      </c>
      <c r="H138" s="4" t="n">
        <v>11.73</v>
      </c>
      <c r="I138" s="5"/>
      <c r="J138" s="4" t="n">
        <v>-3.41</v>
      </c>
      <c r="K138" s="5" t="n">
        <v>1.0435</v>
      </c>
      <c r="L138" s="6" t="n">
        <v>13.5126</v>
      </c>
      <c r="M138" s="5" t="n">
        <f aca="false">IF(AND(N(K138)&gt;0,N(L138)&gt;0),K138/L138,"")</f>
        <v>0.0772242203572962</v>
      </c>
      <c r="N138" s="2" t="s">
        <v>18</v>
      </c>
    </row>
    <row r="139" customFormat="false" ht="15" hidden="false" customHeight="false" outlineLevel="0" collapsed="false">
      <c r="A139" s="2" t="n">
        <v>138</v>
      </c>
      <c r="B139" s="2" t="s">
        <v>299</v>
      </c>
      <c r="C139" s="2" t="s">
        <v>300</v>
      </c>
      <c r="D139" s="2" t="s">
        <v>16</v>
      </c>
      <c r="E139" s="2" t="s">
        <v>21</v>
      </c>
      <c r="F139" s="3" t="n">
        <v>0.000701</v>
      </c>
      <c r="G139" s="3" t="n">
        <f aca="false">SUM($F$2:F139)</f>
        <v>0.972663</v>
      </c>
      <c r="H139" s="4" t="n">
        <v>21.67</v>
      </c>
      <c r="I139" s="5"/>
      <c r="J139" s="4" t="n">
        <v>-3.15</v>
      </c>
      <c r="K139" s="5" t="n">
        <v>1.3318</v>
      </c>
      <c r="L139" s="6"/>
      <c r="M139" s="5" t="str">
        <f aca="false">IF(AND(N(K139)&gt;0,N(L139)&gt;0),K139/L139,"")</f>
        <v/>
      </c>
      <c r="N139" s="2" t="s">
        <v>18</v>
      </c>
    </row>
    <row r="140" customFormat="false" ht="15" hidden="false" customHeight="false" outlineLevel="0" collapsed="false">
      <c r="A140" s="2" t="n">
        <v>139</v>
      </c>
      <c r="B140" s="2" t="s">
        <v>301</v>
      </c>
      <c r="C140" s="2" t="s">
        <v>302</v>
      </c>
      <c r="D140" s="2" t="s">
        <v>16</v>
      </c>
      <c r="E140" s="2" t="s">
        <v>21</v>
      </c>
      <c r="F140" s="3" t="n">
        <v>0.000701</v>
      </c>
      <c r="G140" s="3" t="n">
        <f aca="false">SUM($F$2:F140)</f>
        <v>0.973364</v>
      </c>
      <c r="H140" s="4" t="n">
        <v>17.47</v>
      </c>
      <c r="I140" s="5"/>
      <c r="J140" s="4" t="n">
        <v>-1.68</v>
      </c>
      <c r="K140" s="5" t="n">
        <v>1.0681</v>
      </c>
      <c r="L140" s="6" t="n">
        <v>44.5025</v>
      </c>
      <c r="M140" s="5" t="n">
        <f aca="false">IF(AND(N(K140)&gt;0,N(L140)&gt;0),K140/L140,"")</f>
        <v>0.0240008988259087</v>
      </c>
      <c r="N140" s="2" t="s">
        <v>18</v>
      </c>
    </row>
    <row r="141" customFormat="false" ht="15" hidden="false" customHeight="false" outlineLevel="0" collapsed="false">
      <c r="A141" s="2" t="n">
        <v>140</v>
      </c>
      <c r="B141" s="2" t="s">
        <v>303</v>
      </c>
      <c r="C141" s="2" t="s">
        <v>304</v>
      </c>
      <c r="D141" s="2" t="s">
        <v>16</v>
      </c>
      <c r="E141" s="2" t="s">
        <v>21</v>
      </c>
      <c r="F141" s="3" t="n">
        <v>0.000701</v>
      </c>
      <c r="G141" s="3" t="n">
        <f aca="false">SUM($F$2:F141)</f>
        <v>0.974065</v>
      </c>
      <c r="H141" s="4" t="n">
        <v>22.78</v>
      </c>
      <c r="I141" s="5"/>
      <c r="J141" s="4" t="n">
        <v>-3.17</v>
      </c>
      <c r="K141" s="5" t="n">
        <v>1.5074</v>
      </c>
      <c r="L141" s="6"/>
      <c r="M141" s="5" t="str">
        <f aca="false">IF(AND(N(K141)&gt;0,N(L141)&gt;0),K141/L141,"")</f>
        <v/>
      </c>
      <c r="N141" s="2" t="s">
        <v>18</v>
      </c>
    </row>
    <row r="142" customFormat="false" ht="15" hidden="false" customHeight="false" outlineLevel="0" collapsed="false">
      <c r="A142" s="2" t="n">
        <v>141</v>
      </c>
      <c r="B142" s="2" t="s">
        <v>305</v>
      </c>
      <c r="C142" s="2" t="s">
        <v>306</v>
      </c>
      <c r="D142" s="2" t="s">
        <v>16</v>
      </c>
      <c r="E142" s="2" t="s">
        <v>21</v>
      </c>
      <c r="F142" s="3" t="n">
        <v>0.000701</v>
      </c>
      <c r="G142" s="3" t="n">
        <f aca="false">SUM($F$2:F142)</f>
        <v>0.974766</v>
      </c>
      <c r="H142" s="4" t="n">
        <v>12.35</v>
      </c>
      <c r="I142" s="5" t="n">
        <v>14.1954</v>
      </c>
      <c r="J142" s="4" t="n">
        <v>0.87</v>
      </c>
      <c r="K142" s="5" t="n">
        <v>1.1861</v>
      </c>
      <c r="L142" s="6" t="n">
        <v>2.984</v>
      </c>
      <c r="M142" s="5" t="n">
        <f aca="false">IF(AND(N(K142)&gt;0,N(L142)&gt;0),K142/L142,"")</f>
        <v>0.397486595174263</v>
      </c>
      <c r="N142" s="2"/>
    </row>
    <row r="143" customFormat="false" ht="15" hidden="false" customHeight="false" outlineLevel="0" collapsed="false">
      <c r="A143" s="2" t="n">
        <v>142</v>
      </c>
      <c r="B143" s="2" t="s">
        <v>307</v>
      </c>
      <c r="C143" s="2" t="s">
        <v>308</v>
      </c>
      <c r="D143" s="2" t="s">
        <v>16</v>
      </c>
      <c r="E143" s="2" t="s">
        <v>21</v>
      </c>
      <c r="F143" s="3" t="n">
        <v>0.000601</v>
      </c>
      <c r="G143" s="3" t="n">
        <f aca="false">SUM($F$2:F143)</f>
        <v>0.975367</v>
      </c>
      <c r="H143" s="4" t="n">
        <v>13.5</v>
      </c>
      <c r="I143" s="5"/>
      <c r="J143" s="4" t="n">
        <v>-1.39</v>
      </c>
      <c r="K143" s="5" t="n">
        <v>1.3993</v>
      </c>
      <c r="L143" s="6"/>
      <c r="M143" s="5" t="str">
        <f aca="false">IF(AND(N(K143)&gt;0,N(L143)&gt;0),K143/L143,"")</f>
        <v/>
      </c>
      <c r="N143" s="2" t="s">
        <v>18</v>
      </c>
    </row>
    <row r="144" customFormat="false" ht="15" hidden="false" customHeight="false" outlineLevel="0" collapsed="false">
      <c r="A144" s="2" t="n">
        <v>143</v>
      </c>
      <c r="B144" s="2" t="s">
        <v>309</v>
      </c>
      <c r="C144" s="2" t="s">
        <v>310</v>
      </c>
      <c r="D144" s="2" t="s">
        <v>16</v>
      </c>
      <c r="E144" s="2" t="s">
        <v>21</v>
      </c>
      <c r="F144" s="3" t="n">
        <v>0.000601</v>
      </c>
      <c r="G144" s="3" t="n">
        <f aca="false">SUM($F$2:F144)</f>
        <v>0.975968</v>
      </c>
      <c r="H144" s="4" t="n">
        <v>48.82</v>
      </c>
      <c r="I144" s="5" t="n">
        <v>2.7865</v>
      </c>
      <c r="J144" s="4" t="n">
        <v>17.52</v>
      </c>
      <c r="K144" s="5" t="n">
        <v>0.912</v>
      </c>
      <c r="L144" s="6" t="n">
        <v>3.2948</v>
      </c>
      <c r="M144" s="5" t="n">
        <f aca="false">IF(AND(N(K144)&gt;0,N(L144)&gt;0),K144/L144,"")</f>
        <v>0.276799805754522</v>
      </c>
      <c r="N144" s="2"/>
    </row>
    <row r="145" customFormat="false" ht="15" hidden="false" customHeight="false" outlineLevel="0" collapsed="false">
      <c r="A145" s="2" t="n">
        <v>144</v>
      </c>
      <c r="B145" s="2" t="s">
        <v>311</v>
      </c>
      <c r="C145" s="2" t="s">
        <v>312</v>
      </c>
      <c r="D145" s="2" t="s">
        <v>16</v>
      </c>
      <c r="E145" s="2" t="s">
        <v>21</v>
      </c>
      <c r="F145" s="3" t="n">
        <v>0.000601</v>
      </c>
      <c r="G145" s="3" t="n">
        <f aca="false">SUM($F$2:F145)</f>
        <v>0.976569</v>
      </c>
      <c r="H145" s="4" t="n">
        <v>17.03</v>
      </c>
      <c r="I145" s="5" t="n">
        <v>16.375</v>
      </c>
      <c r="J145" s="4" t="n">
        <v>1.04</v>
      </c>
      <c r="K145" s="5" t="n">
        <v>0.8842</v>
      </c>
      <c r="L145" s="6" t="n">
        <v>8.4763</v>
      </c>
      <c r="M145" s="5" t="n">
        <f aca="false">IF(AND(N(K145)&gt;0,N(L145)&gt;0),K145/L145,"")</f>
        <v>0.104314382454609</v>
      </c>
      <c r="N145" s="2"/>
    </row>
    <row r="146" customFormat="false" ht="15" hidden="false" customHeight="false" outlineLevel="0" collapsed="false">
      <c r="A146" s="2" t="n">
        <v>145</v>
      </c>
      <c r="B146" s="2" t="s">
        <v>313</v>
      </c>
      <c r="C146" s="2" t="s">
        <v>314</v>
      </c>
      <c r="D146" s="2" t="s">
        <v>16</v>
      </c>
      <c r="E146" s="2" t="s">
        <v>21</v>
      </c>
      <c r="F146" s="3" t="n">
        <v>0.000601</v>
      </c>
      <c r="G146" s="3" t="n">
        <f aca="false">SUM($F$2:F146)</f>
        <v>0.97717</v>
      </c>
      <c r="H146" s="4" t="n">
        <v>1.31</v>
      </c>
      <c r="I146" s="5"/>
      <c r="J146" s="4" t="n">
        <v>-0.11</v>
      </c>
      <c r="K146" s="5" t="n">
        <v>0.8416</v>
      </c>
      <c r="L146" s="6" t="n">
        <v>4.1144</v>
      </c>
      <c r="M146" s="5" t="n">
        <f aca="false">IF(AND(N(K146)&gt;0,N(L146)&gt;0),K146/L146,"")</f>
        <v>0.204549873614622</v>
      </c>
      <c r="N146" s="2" t="s">
        <v>18</v>
      </c>
    </row>
    <row r="147" customFormat="false" ht="15" hidden="false" customHeight="false" outlineLevel="0" collapsed="false">
      <c r="A147" s="2" t="n">
        <v>146</v>
      </c>
      <c r="B147" s="2" t="s">
        <v>315</v>
      </c>
      <c r="C147" s="2" t="s">
        <v>316</v>
      </c>
      <c r="D147" s="2" t="s">
        <v>16</v>
      </c>
      <c r="E147" s="2" t="s">
        <v>21</v>
      </c>
      <c r="F147" s="3" t="n">
        <v>0.000601</v>
      </c>
      <c r="G147" s="3" t="n">
        <f aca="false">SUM($F$2:F147)</f>
        <v>0.977771</v>
      </c>
      <c r="H147" s="4" t="n">
        <v>5.01</v>
      </c>
      <c r="I147" s="5" t="n">
        <v>6.3418</v>
      </c>
      <c r="J147" s="4" t="n">
        <v>0.79</v>
      </c>
      <c r="K147" s="5" t="n">
        <v>0.9925</v>
      </c>
      <c r="L147" s="6" t="n">
        <v>5.4618</v>
      </c>
      <c r="M147" s="5" t="n">
        <f aca="false">IF(AND(N(K147)&gt;0,N(L147)&gt;0),K147/L147,"")</f>
        <v>0.181716650188583</v>
      </c>
      <c r="N147" s="2"/>
    </row>
    <row r="148" customFormat="false" ht="15" hidden="false" customHeight="false" outlineLevel="0" collapsed="false">
      <c r="A148" s="2" t="n">
        <v>147</v>
      </c>
      <c r="B148" s="2" t="s">
        <v>317</v>
      </c>
      <c r="C148" s="2" t="s">
        <v>318</v>
      </c>
      <c r="D148" s="2" t="s">
        <v>16</v>
      </c>
      <c r="E148" s="2" t="s">
        <v>21</v>
      </c>
      <c r="F148" s="3" t="n">
        <v>0.000601</v>
      </c>
      <c r="G148" s="3" t="n">
        <f aca="false">SUM($F$2:F148)</f>
        <v>0.978372</v>
      </c>
      <c r="H148" s="4" t="n">
        <v>13.44</v>
      </c>
      <c r="I148" s="5"/>
      <c r="J148" s="4" t="n">
        <v>-0.69</v>
      </c>
      <c r="K148" s="5" t="n">
        <v>1.1306</v>
      </c>
      <c r="L148" s="6"/>
      <c r="M148" s="5" t="str">
        <f aca="false">IF(AND(N(K148)&gt;0,N(L148)&gt;0),K148/L148,"")</f>
        <v/>
      </c>
      <c r="N148" s="2" t="s">
        <v>18</v>
      </c>
    </row>
    <row r="149" customFormat="false" ht="15" hidden="false" customHeight="false" outlineLevel="0" collapsed="false">
      <c r="A149" s="2" t="n">
        <v>148</v>
      </c>
      <c r="B149" s="2" t="s">
        <v>319</v>
      </c>
      <c r="C149" s="2" t="s">
        <v>320</v>
      </c>
      <c r="D149" s="2" t="s">
        <v>16</v>
      </c>
      <c r="E149" s="2" t="s">
        <v>21</v>
      </c>
      <c r="F149" s="3" t="n">
        <v>0.000601</v>
      </c>
      <c r="G149" s="3" t="n">
        <f aca="false">SUM($F$2:F149)</f>
        <v>0.978973</v>
      </c>
      <c r="H149" s="4" t="n">
        <v>7.46</v>
      </c>
      <c r="I149" s="5"/>
      <c r="J149" s="4" t="n">
        <v>-0.55</v>
      </c>
      <c r="K149" s="5" t="n">
        <v>2.7629</v>
      </c>
      <c r="L149" s="6" t="n">
        <v>13.2337</v>
      </c>
      <c r="M149" s="5" t="n">
        <f aca="false">IF(AND(N(K149)&gt;0,N(L149)&gt;0),K149/L149,"")</f>
        <v>0.20877759054535</v>
      </c>
      <c r="N149" s="2" t="s">
        <v>18</v>
      </c>
    </row>
    <row r="150" customFormat="false" ht="15" hidden="false" customHeight="false" outlineLevel="0" collapsed="false">
      <c r="A150" s="2" t="n">
        <v>149</v>
      </c>
      <c r="B150" s="2" t="s">
        <v>321</v>
      </c>
      <c r="C150" s="2" t="s">
        <v>322</v>
      </c>
      <c r="D150" s="2" t="s">
        <v>16</v>
      </c>
      <c r="E150" s="2" t="s">
        <v>21</v>
      </c>
      <c r="F150" s="3" t="n">
        <v>0.000501</v>
      </c>
      <c r="G150" s="3" t="n">
        <f aca="false">SUM($F$2:F150)</f>
        <v>0.979474</v>
      </c>
      <c r="H150" s="4" t="n">
        <v>28.38</v>
      </c>
      <c r="I150" s="5"/>
      <c r="J150" s="4" t="n">
        <v>-3.09</v>
      </c>
      <c r="K150" s="5" t="n">
        <v>1.5765</v>
      </c>
      <c r="L150" s="6" t="n">
        <v>78.8243</v>
      </c>
      <c r="M150" s="5" t="n">
        <f aca="false">IF(AND(N(K150)&gt;0,N(L150)&gt;0),K150/L150,"")</f>
        <v>0.020000177610204</v>
      </c>
      <c r="N150" s="2" t="s">
        <v>18</v>
      </c>
    </row>
    <row r="151" customFormat="false" ht="15" hidden="false" customHeight="false" outlineLevel="0" collapsed="false">
      <c r="A151" s="2" t="n">
        <v>150</v>
      </c>
      <c r="B151" s="2" t="s">
        <v>323</v>
      </c>
      <c r="C151" s="2" t="s">
        <v>324</v>
      </c>
      <c r="D151" s="2" t="s">
        <v>16</v>
      </c>
      <c r="E151" s="2" t="s">
        <v>21</v>
      </c>
      <c r="F151" s="3" t="n">
        <v>0.000501</v>
      </c>
      <c r="G151" s="3" t="n">
        <f aca="false">SUM($F$2:F151)</f>
        <v>0.979975</v>
      </c>
      <c r="H151" s="4" t="n">
        <v>15.88</v>
      </c>
      <c r="I151" s="5"/>
      <c r="J151" s="4" t="n">
        <v>-2.74</v>
      </c>
      <c r="K151" s="5" t="n">
        <v>0.8773</v>
      </c>
      <c r="L151" s="6" t="n">
        <v>9.5348</v>
      </c>
      <c r="M151" s="5" t="n">
        <f aca="false">IF(AND(N(K151)&gt;0,N(L151)&gt;0),K151/L151,"")</f>
        <v>0.0920103200906154</v>
      </c>
      <c r="N151" s="2" t="s">
        <v>18</v>
      </c>
    </row>
    <row r="152" customFormat="false" ht="15" hidden="false" customHeight="false" outlineLevel="0" collapsed="false">
      <c r="A152" s="2" t="n">
        <v>151</v>
      </c>
      <c r="B152" s="2" t="s">
        <v>325</v>
      </c>
      <c r="C152" s="2" t="s">
        <v>326</v>
      </c>
      <c r="D152" s="2" t="s">
        <v>16</v>
      </c>
      <c r="E152" s="2" t="s">
        <v>21</v>
      </c>
      <c r="F152" s="3" t="n">
        <v>0.000501</v>
      </c>
      <c r="G152" s="3" t="n">
        <f aca="false">SUM($F$2:F152)</f>
        <v>0.980476</v>
      </c>
      <c r="H152" s="4" t="n">
        <v>8.11</v>
      </c>
      <c r="I152" s="5"/>
      <c r="J152" s="4" t="n">
        <v>-4.21</v>
      </c>
      <c r="K152" s="5" t="n">
        <v>1.0497</v>
      </c>
      <c r="L152" s="6" t="n">
        <v>141.8924</v>
      </c>
      <c r="M152" s="5" t="n">
        <f aca="false">IF(AND(N(K152)&gt;0,N(L152)&gt;0),K152/L152,"")</f>
        <v>0.00739785922290412</v>
      </c>
      <c r="N152" s="2" t="s">
        <v>18</v>
      </c>
    </row>
    <row r="153" customFormat="false" ht="15" hidden="false" customHeight="false" outlineLevel="0" collapsed="false">
      <c r="A153" s="2" t="n">
        <v>152</v>
      </c>
      <c r="B153" s="2" t="s">
        <v>327</v>
      </c>
      <c r="C153" s="2" t="s">
        <v>328</v>
      </c>
      <c r="D153" s="2" t="s">
        <v>16</v>
      </c>
      <c r="E153" s="2" t="s">
        <v>21</v>
      </c>
      <c r="F153" s="3" t="n">
        <v>0.000501</v>
      </c>
      <c r="G153" s="3" t="n">
        <f aca="false">SUM($F$2:F153)</f>
        <v>0.980977</v>
      </c>
      <c r="H153" s="4" t="n">
        <v>8.92</v>
      </c>
      <c r="I153" s="5"/>
      <c r="J153" s="4" t="n">
        <v>-1.97</v>
      </c>
      <c r="K153" s="5" t="n">
        <v>0.9564</v>
      </c>
      <c r="L153" s="6"/>
      <c r="M153" s="5" t="str">
        <f aca="false">IF(AND(N(K153)&gt;0,N(L153)&gt;0),K153/L153,"")</f>
        <v/>
      </c>
      <c r="N153" s="2" t="s">
        <v>18</v>
      </c>
    </row>
    <row r="154" customFormat="false" ht="15" hidden="false" customHeight="false" outlineLevel="0" collapsed="false">
      <c r="A154" s="2" t="n">
        <v>153</v>
      </c>
      <c r="B154" s="2" t="s">
        <v>329</v>
      </c>
      <c r="C154" s="2" t="s">
        <v>330</v>
      </c>
      <c r="D154" s="2" t="s">
        <v>16</v>
      </c>
      <c r="E154" s="2" t="s">
        <v>21</v>
      </c>
      <c r="F154" s="3" t="n">
        <v>0.000501</v>
      </c>
      <c r="G154" s="3" t="n">
        <f aca="false">SUM($F$2:F154)</f>
        <v>0.981478</v>
      </c>
      <c r="H154" s="4" t="n">
        <v>12.6</v>
      </c>
      <c r="I154" s="5"/>
      <c r="J154" s="4" t="n">
        <v>-1.8</v>
      </c>
      <c r="K154" s="5" t="n">
        <v>1.0749</v>
      </c>
      <c r="L154" s="6" t="n">
        <v>37.4195</v>
      </c>
      <c r="M154" s="5" t="n">
        <f aca="false">IF(AND(N(K154)&gt;0,N(L154)&gt;0),K154/L154,"")</f>
        <v>0.0287256644263018</v>
      </c>
      <c r="N154" s="2" t="s">
        <v>18</v>
      </c>
    </row>
    <row r="155" customFormat="false" ht="15" hidden="false" customHeight="false" outlineLevel="0" collapsed="false">
      <c r="A155" s="2" t="n">
        <v>154</v>
      </c>
      <c r="B155" s="2" t="s">
        <v>331</v>
      </c>
      <c r="C155" s="2" t="s">
        <v>332</v>
      </c>
      <c r="D155" s="2" t="s">
        <v>16</v>
      </c>
      <c r="E155" s="2" t="s">
        <v>49</v>
      </c>
      <c r="F155" s="3" t="n">
        <v>0.000501</v>
      </c>
      <c r="G155" s="3" t="n">
        <f aca="false">SUM($F$2:F155)</f>
        <v>0.981979</v>
      </c>
      <c r="H155" s="4" t="n">
        <v>4.53</v>
      </c>
      <c r="I155" s="5" t="n">
        <v>5.5864</v>
      </c>
      <c r="J155" s="4" t="n">
        <v>0.81</v>
      </c>
      <c r="K155" s="5" t="n">
        <v>0.7477</v>
      </c>
      <c r="L155" s="6" t="n">
        <v>1.9206</v>
      </c>
      <c r="M155" s="5" t="n">
        <f aca="false">IF(AND(N(K155)&gt;0,N(L155)&gt;0),K155/L155,"")</f>
        <v>0.3893054253879</v>
      </c>
      <c r="N155" s="2"/>
    </row>
    <row r="156" customFormat="false" ht="15" hidden="false" customHeight="false" outlineLevel="0" collapsed="false">
      <c r="A156" s="2" t="n">
        <v>155</v>
      </c>
      <c r="B156" s="2" t="s">
        <v>333</v>
      </c>
      <c r="C156" s="2" t="s">
        <v>334</v>
      </c>
      <c r="D156" s="2" t="s">
        <v>16</v>
      </c>
      <c r="E156" s="2" t="s">
        <v>21</v>
      </c>
      <c r="F156" s="3" t="n">
        <v>0.000501</v>
      </c>
      <c r="G156" s="3" t="n">
        <f aca="false">SUM($F$2:F156)</f>
        <v>0.98248</v>
      </c>
      <c r="H156" s="4" t="n">
        <v>4.18</v>
      </c>
      <c r="I156" s="5"/>
      <c r="J156" s="4" t="n">
        <v>-1.12</v>
      </c>
      <c r="K156" s="5" t="n">
        <v>0.7924</v>
      </c>
      <c r="L156" s="6"/>
      <c r="M156" s="5" t="str">
        <f aca="false">IF(AND(N(K156)&gt;0,N(L156)&gt;0),K156/L156,"")</f>
        <v/>
      </c>
      <c r="N156" s="2" t="s">
        <v>18</v>
      </c>
    </row>
    <row r="157" customFormat="false" ht="15" hidden="false" customHeight="false" outlineLevel="0" collapsed="false">
      <c r="A157" s="2" t="n">
        <v>156</v>
      </c>
      <c r="B157" s="2" t="s">
        <v>335</v>
      </c>
      <c r="C157" s="2" t="s">
        <v>336</v>
      </c>
      <c r="D157" s="2" t="s">
        <v>16</v>
      </c>
      <c r="E157" s="2" t="s">
        <v>21</v>
      </c>
      <c r="F157" s="3" t="n">
        <v>0.000501</v>
      </c>
      <c r="G157" s="3" t="n">
        <f aca="false">SUM($F$2:F157)</f>
        <v>0.982981</v>
      </c>
      <c r="H157" s="4" t="n">
        <v>11.58</v>
      </c>
      <c r="I157" s="5" t="n">
        <v>12.4516</v>
      </c>
      <c r="J157" s="4" t="n">
        <v>0.93</v>
      </c>
      <c r="K157" s="5" t="n">
        <v>0.6877</v>
      </c>
      <c r="L157" s="6" t="n">
        <v>5.0537</v>
      </c>
      <c r="M157" s="5" t="n">
        <f aca="false">IF(AND(N(K157)&gt;0,N(L157)&gt;0),K157/L157,"")</f>
        <v>0.136078516730316</v>
      </c>
      <c r="N157" s="2"/>
    </row>
    <row r="158" customFormat="false" ht="15" hidden="false" customHeight="false" outlineLevel="0" collapsed="false">
      <c r="A158" s="2" t="n">
        <v>157</v>
      </c>
      <c r="B158" s="2" t="s">
        <v>337</v>
      </c>
      <c r="C158" s="2" t="s">
        <v>338</v>
      </c>
      <c r="D158" s="2" t="s">
        <v>16</v>
      </c>
      <c r="E158" s="2" t="s">
        <v>21</v>
      </c>
      <c r="F158" s="3" t="n">
        <v>0.000501</v>
      </c>
      <c r="G158" s="3" t="n">
        <f aca="false">SUM($F$2:F158)</f>
        <v>0.983482</v>
      </c>
      <c r="H158" s="4" t="n">
        <v>4.35</v>
      </c>
      <c r="I158" s="5"/>
      <c r="J158" s="4" t="n">
        <v>-1.11</v>
      </c>
      <c r="K158" s="5" t="n">
        <v>0.8572</v>
      </c>
      <c r="L158" s="6" t="n">
        <v>13.1122</v>
      </c>
      <c r="M158" s="5" t="n">
        <f aca="false">IF(AND(N(K158)&gt;0,N(L158)&gt;0),K158/L158,"")</f>
        <v>0.0653742316316103</v>
      </c>
      <c r="N158" s="2" t="s">
        <v>18</v>
      </c>
    </row>
    <row r="159" customFormat="false" ht="15" hidden="false" customHeight="false" outlineLevel="0" collapsed="false">
      <c r="A159" s="2" t="n">
        <v>158</v>
      </c>
      <c r="B159" s="2" t="s">
        <v>339</v>
      </c>
      <c r="C159" s="2" t="s">
        <v>340</v>
      </c>
      <c r="D159" s="2" t="s">
        <v>16</v>
      </c>
      <c r="E159" s="2" t="s">
        <v>21</v>
      </c>
      <c r="F159" s="3" t="n">
        <v>0.000501</v>
      </c>
      <c r="G159" s="3" t="n">
        <f aca="false">SUM($F$2:F159)</f>
        <v>0.983983</v>
      </c>
      <c r="H159" s="4" t="n">
        <v>11.85</v>
      </c>
      <c r="I159" s="5"/>
      <c r="J159" s="4" t="n">
        <v>-1.55</v>
      </c>
      <c r="K159" s="5" t="n">
        <v>0.9067</v>
      </c>
      <c r="L159" s="6"/>
      <c r="M159" s="5" t="str">
        <f aca="false">IF(AND(N(K159)&gt;0,N(L159)&gt;0),K159/L159,"")</f>
        <v/>
      </c>
      <c r="N159" s="2" t="s">
        <v>18</v>
      </c>
    </row>
    <row r="160" customFormat="false" ht="15" hidden="false" customHeight="false" outlineLevel="0" collapsed="false">
      <c r="A160" s="2" t="n">
        <v>159</v>
      </c>
      <c r="B160" s="2" t="s">
        <v>341</v>
      </c>
      <c r="C160" s="2" t="s">
        <v>342</v>
      </c>
      <c r="D160" s="2" t="s">
        <v>16</v>
      </c>
      <c r="E160" s="2" t="s">
        <v>21</v>
      </c>
      <c r="F160" s="3" t="n">
        <v>0.000501</v>
      </c>
      <c r="G160" s="3" t="n">
        <f aca="false">SUM($F$2:F160)</f>
        <v>0.984484</v>
      </c>
      <c r="H160" s="4" t="n">
        <v>9.64</v>
      </c>
      <c r="I160" s="5"/>
      <c r="J160" s="4" t="n">
        <v>-2.12</v>
      </c>
      <c r="K160" s="5" t="n">
        <v>0.8435</v>
      </c>
      <c r="L160" s="6"/>
      <c r="M160" s="5" t="str">
        <f aca="false">IF(AND(N(K160)&gt;0,N(L160)&gt;0),K160/L160,"")</f>
        <v/>
      </c>
      <c r="N160" s="2" t="s">
        <v>18</v>
      </c>
    </row>
    <row r="161" customFormat="false" ht="15" hidden="false" customHeight="false" outlineLevel="0" collapsed="false">
      <c r="A161" s="2" t="n">
        <v>160</v>
      </c>
      <c r="B161" s="2" t="s">
        <v>343</v>
      </c>
      <c r="C161" s="2" t="s">
        <v>344</v>
      </c>
      <c r="D161" s="2" t="s">
        <v>16</v>
      </c>
      <c r="E161" s="2" t="s">
        <v>84</v>
      </c>
      <c r="F161" s="3" t="n">
        <v>0.000501</v>
      </c>
      <c r="G161" s="3" t="n">
        <f aca="false">SUM($F$2:F161)</f>
        <v>0.984985</v>
      </c>
      <c r="H161" s="4" t="n">
        <v>5.71</v>
      </c>
      <c r="I161" s="5"/>
      <c r="J161" s="4" t="n">
        <v>-0.68</v>
      </c>
      <c r="K161" s="5" t="n">
        <v>0.7422</v>
      </c>
      <c r="L161" s="6" t="n">
        <v>3.5906</v>
      </c>
      <c r="M161" s="5" t="n">
        <f aca="false">IF(AND(N(K161)&gt;0,N(L161)&gt;0),K161/L161,"")</f>
        <v>0.206706400044561</v>
      </c>
      <c r="N161" s="2" t="s">
        <v>18</v>
      </c>
    </row>
    <row r="162" customFormat="false" ht="15" hidden="false" customHeight="false" outlineLevel="0" collapsed="false">
      <c r="A162" s="2" t="n">
        <v>161</v>
      </c>
      <c r="B162" s="2" t="s">
        <v>345</v>
      </c>
      <c r="C162" s="2" t="s">
        <v>346</v>
      </c>
      <c r="D162" s="2" t="s">
        <v>16</v>
      </c>
      <c r="E162" s="2" t="s">
        <v>21</v>
      </c>
      <c r="F162" s="3" t="n">
        <v>0.000401</v>
      </c>
      <c r="G162" s="3" t="n">
        <f aca="false">SUM($F$2:F162)</f>
        <v>0.985386</v>
      </c>
      <c r="H162" s="4" t="n">
        <v>5.72</v>
      </c>
      <c r="I162" s="5"/>
      <c r="J162" s="4" t="n">
        <v>-0.59</v>
      </c>
      <c r="K162" s="5" t="n">
        <v>0.842</v>
      </c>
      <c r="L162" s="6" t="n">
        <v>102.4428</v>
      </c>
      <c r="M162" s="5" t="n">
        <f aca="false">IF(AND(N(K162)&gt;0,N(L162)&gt;0),K162/L162,"")</f>
        <v>0.00821922087252594</v>
      </c>
      <c r="N162" s="2" t="s">
        <v>18</v>
      </c>
    </row>
    <row r="163" customFormat="false" ht="15" hidden="false" customHeight="false" outlineLevel="0" collapsed="false">
      <c r="A163" s="2" t="n">
        <v>162</v>
      </c>
      <c r="B163" s="2" t="s">
        <v>347</v>
      </c>
      <c r="C163" s="2" t="s">
        <v>348</v>
      </c>
      <c r="D163" s="2" t="s">
        <v>16</v>
      </c>
      <c r="E163" s="2" t="s">
        <v>21</v>
      </c>
      <c r="F163" s="3" t="n">
        <v>0.000401</v>
      </c>
      <c r="G163" s="3" t="n">
        <f aca="false">SUM($F$2:F163)</f>
        <v>0.985787</v>
      </c>
      <c r="H163" s="4" t="n">
        <v>11.09</v>
      </c>
      <c r="I163" s="5"/>
      <c r="J163" s="4" t="n">
        <v>-1.29</v>
      </c>
      <c r="K163" s="5" t="n">
        <v>0.6893</v>
      </c>
      <c r="L163" s="6"/>
      <c r="M163" s="5" t="str">
        <f aca="false">IF(AND(N(K163)&gt;0,N(L163)&gt;0),K163/L163,"")</f>
        <v/>
      </c>
      <c r="N163" s="2" t="s">
        <v>18</v>
      </c>
    </row>
    <row r="164" customFormat="false" ht="15" hidden="false" customHeight="false" outlineLevel="0" collapsed="false">
      <c r="A164" s="2" t="n">
        <v>163</v>
      </c>
      <c r="B164" s="2" t="s">
        <v>349</v>
      </c>
      <c r="C164" s="2" t="s">
        <v>350</v>
      </c>
      <c r="D164" s="2" t="s">
        <v>16</v>
      </c>
      <c r="E164" s="2" t="s">
        <v>32</v>
      </c>
      <c r="F164" s="3" t="n">
        <v>0.000401</v>
      </c>
      <c r="G164" s="3" t="n">
        <f aca="false">SUM($F$2:F164)</f>
        <v>0.986188</v>
      </c>
      <c r="H164" s="4" t="n">
        <v>1.73</v>
      </c>
      <c r="I164" s="5"/>
      <c r="J164" s="4" t="n">
        <v>-0.07</v>
      </c>
      <c r="K164" s="5" t="n">
        <v>1.2911</v>
      </c>
      <c r="L164" s="6" t="n">
        <v>2.1962</v>
      </c>
      <c r="M164" s="5" t="n">
        <f aca="false">IF(AND(N(K164)&gt;0,N(L164)&gt;0),K164/L164,"")</f>
        <v>0.587879063837538</v>
      </c>
      <c r="N164" s="2" t="s">
        <v>18</v>
      </c>
    </row>
    <row r="165" customFormat="false" ht="15" hidden="false" customHeight="false" outlineLevel="0" collapsed="false">
      <c r="A165" s="2" t="n">
        <v>164</v>
      </c>
      <c r="B165" s="2" t="s">
        <v>351</v>
      </c>
      <c r="C165" s="2" t="s">
        <v>352</v>
      </c>
      <c r="D165" s="2" t="s">
        <v>16</v>
      </c>
      <c r="E165" s="2" t="s">
        <v>21</v>
      </c>
      <c r="F165" s="3" t="n">
        <v>0.000401</v>
      </c>
      <c r="G165" s="3" t="n">
        <f aca="false">SUM($F$2:F165)</f>
        <v>0.986589</v>
      </c>
      <c r="H165" s="4" t="n">
        <v>3.41</v>
      </c>
      <c r="I165" s="5"/>
      <c r="J165" s="4" t="n">
        <v>-0.79</v>
      </c>
      <c r="K165" s="5" t="n">
        <v>0.6633</v>
      </c>
      <c r="L165" s="6" t="n">
        <v>21396.947</v>
      </c>
      <c r="M165" s="5" t="n">
        <f aca="false">IF(AND(N(K165)&gt;0,N(L165)&gt;0),K165/L165,"")</f>
        <v>3.09997496371796E-005</v>
      </c>
      <c r="N165" s="2" t="s">
        <v>18</v>
      </c>
    </row>
    <row r="166" customFormat="false" ht="15" hidden="false" customHeight="false" outlineLevel="0" collapsed="false">
      <c r="A166" s="2" t="n">
        <v>165</v>
      </c>
      <c r="B166" s="2" t="s">
        <v>353</v>
      </c>
      <c r="C166" s="2" t="s">
        <v>354</v>
      </c>
      <c r="D166" s="2" t="s">
        <v>16</v>
      </c>
      <c r="E166" s="2" t="s">
        <v>21</v>
      </c>
      <c r="F166" s="3" t="n">
        <v>0.000401</v>
      </c>
      <c r="G166" s="3" t="n">
        <f aca="false">SUM($F$2:F166)</f>
        <v>0.98699</v>
      </c>
      <c r="H166" s="4" t="n">
        <v>3.33</v>
      </c>
      <c r="I166" s="5"/>
      <c r="J166" s="4" t="n">
        <v>-0.81</v>
      </c>
      <c r="K166" s="5" t="n">
        <v>0.9969</v>
      </c>
      <c r="L166" s="6"/>
      <c r="M166" s="5" t="str">
        <f aca="false">IF(AND(N(K166)&gt;0,N(L166)&gt;0),K166/L166,"")</f>
        <v/>
      </c>
      <c r="N166" s="2" t="s">
        <v>18</v>
      </c>
    </row>
    <row r="167" customFormat="false" ht="15" hidden="false" customHeight="false" outlineLevel="0" collapsed="false">
      <c r="A167" s="2" t="n">
        <v>166</v>
      </c>
      <c r="B167" s="2" t="s">
        <v>355</v>
      </c>
      <c r="C167" s="2" t="s">
        <v>356</v>
      </c>
      <c r="D167" s="2" t="s">
        <v>16</v>
      </c>
      <c r="E167" s="2" t="s">
        <v>21</v>
      </c>
      <c r="F167" s="3" t="n">
        <v>0.000401</v>
      </c>
      <c r="G167" s="3" t="n">
        <f aca="false">SUM($F$2:F167)</f>
        <v>0.987391</v>
      </c>
      <c r="H167" s="4" t="n">
        <v>5.3</v>
      </c>
      <c r="I167" s="5"/>
      <c r="J167" s="4" t="n">
        <v>-0.56</v>
      </c>
      <c r="K167" s="5" t="n">
        <v>1.0889</v>
      </c>
      <c r="L167" s="6"/>
      <c r="M167" s="5" t="str">
        <f aca="false">IF(AND(N(K167)&gt;0,N(L167)&gt;0),K167/L167,"")</f>
        <v/>
      </c>
      <c r="N167" s="2" t="s">
        <v>18</v>
      </c>
    </row>
    <row r="168" customFormat="false" ht="15" hidden="false" customHeight="false" outlineLevel="0" collapsed="false">
      <c r="A168" s="2" t="n">
        <v>167</v>
      </c>
      <c r="B168" s="2" t="s">
        <v>357</v>
      </c>
      <c r="C168" s="2" t="s">
        <v>358</v>
      </c>
      <c r="D168" s="2" t="s">
        <v>16</v>
      </c>
      <c r="E168" s="2" t="s">
        <v>21</v>
      </c>
      <c r="F168" s="3" t="n">
        <v>0.000401</v>
      </c>
      <c r="G168" s="3" t="n">
        <f aca="false">SUM($F$2:F168)</f>
        <v>0.987792</v>
      </c>
      <c r="H168" s="4" t="n">
        <v>4.92</v>
      </c>
      <c r="I168" s="5"/>
      <c r="J168" s="4" t="n">
        <v>-0.39</v>
      </c>
      <c r="K168" s="5" t="n">
        <v>0.7153</v>
      </c>
      <c r="L168" s="6" t="n">
        <v>18.6005</v>
      </c>
      <c r="M168" s="5" t="n">
        <f aca="false">IF(AND(N(K168)&gt;0,N(L168)&gt;0),K168/L168,"")</f>
        <v>0.0384559554850676</v>
      </c>
      <c r="N168" s="2" t="s">
        <v>18</v>
      </c>
    </row>
    <row r="169" customFormat="false" ht="15" hidden="false" customHeight="false" outlineLevel="0" collapsed="false">
      <c r="A169" s="2" t="n">
        <v>168</v>
      </c>
      <c r="B169" s="2" t="s">
        <v>359</v>
      </c>
      <c r="C169" s="2" t="s">
        <v>360</v>
      </c>
      <c r="D169" s="2" t="s">
        <v>16</v>
      </c>
      <c r="E169" s="2" t="s">
        <v>21</v>
      </c>
      <c r="F169" s="3" t="n">
        <v>0.000401</v>
      </c>
      <c r="G169" s="3" t="n">
        <f aca="false">SUM($F$2:F169)</f>
        <v>0.988193</v>
      </c>
      <c r="H169" s="4" t="n">
        <v>2.94</v>
      </c>
      <c r="I169" s="5"/>
      <c r="J169" s="4" t="n">
        <v>-0.6</v>
      </c>
      <c r="K169" s="5" t="n">
        <v>0.6406</v>
      </c>
      <c r="L169" s="6" t="n">
        <v>35.001</v>
      </c>
      <c r="M169" s="5" t="n">
        <f aca="false">IF(AND(N(K169)&gt;0,N(L169)&gt;0),K169/L169,"")</f>
        <v>0.0183023342190223</v>
      </c>
      <c r="N169" s="2" t="s">
        <v>18</v>
      </c>
    </row>
    <row r="170" customFormat="false" ht="15" hidden="false" customHeight="false" outlineLevel="0" collapsed="false">
      <c r="A170" s="2" t="n">
        <v>169</v>
      </c>
      <c r="B170" s="2" t="s">
        <v>361</v>
      </c>
      <c r="C170" s="2" t="s">
        <v>362</v>
      </c>
      <c r="D170" s="2" t="s">
        <v>16</v>
      </c>
      <c r="E170" s="2" t="s">
        <v>21</v>
      </c>
      <c r="F170" s="3" t="n">
        <v>0.000401</v>
      </c>
      <c r="G170" s="3" t="n">
        <f aca="false">SUM($F$2:F170)</f>
        <v>0.988594</v>
      </c>
      <c r="H170" s="4" t="n">
        <v>33.6</v>
      </c>
      <c r="I170" s="5"/>
      <c r="J170" s="4" t="n">
        <v>-5.19</v>
      </c>
      <c r="K170" s="5" t="n">
        <v>0.6724</v>
      </c>
      <c r="L170" s="6"/>
      <c r="M170" s="5" t="str">
        <f aca="false">IF(AND(N(K170)&gt;0,N(L170)&gt;0),K170/L170,"")</f>
        <v/>
      </c>
      <c r="N170" s="2" t="s">
        <v>18</v>
      </c>
    </row>
    <row r="171" customFormat="false" ht="15" hidden="false" customHeight="false" outlineLevel="0" collapsed="false">
      <c r="A171" s="2" t="n">
        <v>170</v>
      </c>
      <c r="B171" s="2" t="s">
        <v>363</v>
      </c>
      <c r="C171" s="2" t="s">
        <v>364</v>
      </c>
      <c r="D171" s="2" t="s">
        <v>16</v>
      </c>
      <c r="E171" s="2" t="s">
        <v>21</v>
      </c>
      <c r="F171" s="3" t="n">
        <v>0.0003</v>
      </c>
      <c r="G171" s="3" t="n">
        <f aca="false">SUM($F$2:F171)</f>
        <v>0.988894</v>
      </c>
      <c r="H171" s="4" t="n">
        <v>8.51</v>
      </c>
      <c r="I171" s="5" t="n">
        <v>31.5185</v>
      </c>
      <c r="J171" s="4" t="n">
        <v>0.27</v>
      </c>
      <c r="K171" s="5" t="n">
        <v>0.5491</v>
      </c>
      <c r="L171" s="6" t="n">
        <v>1.7337</v>
      </c>
      <c r="M171" s="5" t="n">
        <f aca="false">IF(AND(N(K171)&gt;0,N(L171)&gt;0),K171/L171,"")</f>
        <v>0.316721462767492</v>
      </c>
      <c r="N171" s="2"/>
    </row>
    <row r="172" customFormat="false" ht="15" hidden="false" customHeight="false" outlineLevel="0" collapsed="false">
      <c r="A172" s="2" t="n">
        <v>171</v>
      </c>
      <c r="B172" s="2" t="s">
        <v>365</v>
      </c>
      <c r="C172" s="2" t="s">
        <v>366</v>
      </c>
      <c r="D172" s="2" t="s">
        <v>16</v>
      </c>
      <c r="E172" s="2" t="s">
        <v>21</v>
      </c>
      <c r="F172" s="3" t="n">
        <v>0.0003</v>
      </c>
      <c r="G172" s="3" t="n">
        <f aca="false">SUM($F$2:F172)</f>
        <v>0.989194</v>
      </c>
      <c r="H172" s="4" t="n">
        <v>8.15</v>
      </c>
      <c r="I172" s="5"/>
      <c r="J172" s="4" t="n">
        <v>-3.91</v>
      </c>
      <c r="K172" s="5" t="n">
        <v>0.538</v>
      </c>
      <c r="L172" s="6" t="n">
        <v>3.0835</v>
      </c>
      <c r="M172" s="5" t="n">
        <f aca="false">IF(AND(N(K172)&gt;0,N(L172)&gt;0),K172/L172,"")</f>
        <v>0.174477055294308</v>
      </c>
      <c r="N172" s="2" t="s">
        <v>18</v>
      </c>
    </row>
    <row r="173" customFormat="false" ht="15" hidden="false" customHeight="false" outlineLevel="0" collapsed="false">
      <c r="A173" s="2" t="n">
        <v>172</v>
      </c>
      <c r="B173" s="2" t="s">
        <v>367</v>
      </c>
      <c r="C173" s="2" t="s">
        <v>368</v>
      </c>
      <c r="D173" s="2" t="s">
        <v>16</v>
      </c>
      <c r="E173" s="2" t="s">
        <v>21</v>
      </c>
      <c r="F173" s="3" t="n">
        <v>0.0003</v>
      </c>
      <c r="G173" s="3" t="n">
        <f aca="false">SUM($F$2:F173)</f>
        <v>0.989494</v>
      </c>
      <c r="H173" s="4" t="n">
        <v>12.29</v>
      </c>
      <c r="I173" s="5"/>
      <c r="J173" s="4" t="n">
        <v>-1.29</v>
      </c>
      <c r="K173" s="5" t="n">
        <v>0.7639</v>
      </c>
      <c r="L173" s="6" t="n">
        <v>1242.071</v>
      </c>
      <c r="M173" s="5" t="n">
        <f aca="false">IF(AND(N(K173)&gt;0,N(L173)&gt;0),K173/L173,"")</f>
        <v>0.000615021202491645</v>
      </c>
      <c r="N173" s="2" t="s">
        <v>18</v>
      </c>
    </row>
    <row r="174" customFormat="false" ht="15" hidden="false" customHeight="false" outlineLevel="0" collapsed="false">
      <c r="A174" s="2" t="n">
        <v>173</v>
      </c>
      <c r="B174" s="2" t="s">
        <v>369</v>
      </c>
      <c r="C174" s="2" t="s">
        <v>370</v>
      </c>
      <c r="D174" s="2" t="s">
        <v>16</v>
      </c>
      <c r="E174" s="2" t="s">
        <v>21</v>
      </c>
      <c r="F174" s="3" t="n">
        <v>0.0003</v>
      </c>
      <c r="G174" s="3" t="n">
        <f aca="false">SUM($F$2:F174)</f>
        <v>0.989794</v>
      </c>
      <c r="H174" s="4" t="n">
        <v>13.16</v>
      </c>
      <c r="I174" s="5"/>
      <c r="J174" s="4" t="n">
        <v>-1.24</v>
      </c>
      <c r="K174" s="5" t="n">
        <v>0.8236</v>
      </c>
      <c r="L174" s="6"/>
      <c r="M174" s="5" t="str">
        <f aca="false">IF(AND(N(K174)&gt;0,N(L174)&gt;0),K174/L174,"")</f>
        <v/>
      </c>
      <c r="N174" s="2" t="s">
        <v>18</v>
      </c>
    </row>
    <row r="175" customFormat="false" ht="15" hidden="false" customHeight="false" outlineLevel="0" collapsed="false">
      <c r="A175" s="2" t="n">
        <v>174</v>
      </c>
      <c r="B175" s="2" t="s">
        <v>371</v>
      </c>
      <c r="C175" s="2" t="s">
        <v>372</v>
      </c>
      <c r="D175" s="2" t="s">
        <v>16</v>
      </c>
      <c r="E175" s="2" t="s">
        <v>21</v>
      </c>
      <c r="F175" s="3" t="n">
        <v>0.0003</v>
      </c>
      <c r="G175" s="3" t="n">
        <f aca="false">SUM($F$2:F175)</f>
        <v>0.990094</v>
      </c>
      <c r="H175" s="4" t="n">
        <v>6.45</v>
      </c>
      <c r="I175" s="5"/>
      <c r="J175" s="4" t="n">
        <v>-1.75</v>
      </c>
      <c r="K175" s="5" t="n">
        <v>0.6689</v>
      </c>
      <c r="L175" s="6"/>
      <c r="M175" s="5" t="str">
        <f aca="false">IF(AND(N(K175)&gt;0,N(L175)&gt;0),K175/L175,"")</f>
        <v/>
      </c>
      <c r="N175" s="2" t="s">
        <v>18</v>
      </c>
    </row>
    <row r="176" customFormat="false" ht="15" hidden="false" customHeight="false" outlineLevel="0" collapsed="false">
      <c r="A176" s="2" t="n">
        <v>175</v>
      </c>
      <c r="B176" s="2" t="s">
        <v>373</v>
      </c>
      <c r="C176" s="2" t="s">
        <v>374</v>
      </c>
      <c r="D176" s="2" t="s">
        <v>16</v>
      </c>
      <c r="E176" s="2" t="s">
        <v>21</v>
      </c>
      <c r="F176" s="3" t="n">
        <v>0.0003</v>
      </c>
      <c r="G176" s="3" t="n">
        <f aca="false">SUM($F$2:F176)</f>
        <v>0.990394</v>
      </c>
      <c r="H176" s="4" t="n">
        <v>13.4</v>
      </c>
      <c r="I176" s="5"/>
      <c r="J176" s="4" t="n">
        <v>-1.7</v>
      </c>
      <c r="K176" s="5" t="n">
        <v>0.5041</v>
      </c>
      <c r="L176" s="6"/>
      <c r="M176" s="5" t="str">
        <f aca="false">IF(AND(N(K176)&gt;0,N(L176)&gt;0),K176/L176,"")</f>
        <v/>
      </c>
      <c r="N176" s="2" t="s">
        <v>18</v>
      </c>
    </row>
    <row r="177" customFormat="false" ht="15" hidden="false" customHeight="false" outlineLevel="0" collapsed="false">
      <c r="A177" s="2" t="n">
        <v>176</v>
      </c>
      <c r="B177" s="2" t="s">
        <v>375</v>
      </c>
      <c r="C177" s="2" t="s">
        <v>376</v>
      </c>
      <c r="D177" s="2" t="s">
        <v>16</v>
      </c>
      <c r="E177" s="2" t="s">
        <v>21</v>
      </c>
      <c r="F177" s="3" t="n">
        <v>0.0003</v>
      </c>
      <c r="G177" s="3" t="n">
        <f aca="false">SUM($F$2:F177)</f>
        <v>0.990694</v>
      </c>
      <c r="H177" s="4" t="n">
        <v>1.71</v>
      </c>
      <c r="I177" s="5"/>
      <c r="J177" s="4" t="n">
        <v>-0.67</v>
      </c>
      <c r="K177" s="5" t="n">
        <v>0.5908</v>
      </c>
      <c r="L177" s="6" t="n">
        <v>127.3253</v>
      </c>
      <c r="M177" s="5" t="n">
        <f aca="false">IF(AND(N(K177)&gt;0,N(L177)&gt;0),K177/L177,"")</f>
        <v>0.00464008331415673</v>
      </c>
      <c r="N177" s="2" t="s">
        <v>18</v>
      </c>
    </row>
    <row r="178" customFormat="false" ht="15" hidden="false" customHeight="false" outlineLevel="0" collapsed="false">
      <c r="A178" s="2" t="n">
        <v>177</v>
      </c>
      <c r="B178" s="2" t="s">
        <v>377</v>
      </c>
      <c r="C178" s="2" t="s">
        <v>378</v>
      </c>
      <c r="D178" s="2" t="s">
        <v>16</v>
      </c>
      <c r="E178" s="2" t="s">
        <v>84</v>
      </c>
      <c r="F178" s="3" t="n">
        <v>0.0003</v>
      </c>
      <c r="G178" s="3" t="n">
        <f aca="false">SUM($F$2:F178)</f>
        <v>0.990994</v>
      </c>
      <c r="H178" s="4" t="n">
        <v>1.47</v>
      </c>
      <c r="I178" s="5"/>
      <c r="J178" s="4" t="n">
        <v>-0.45</v>
      </c>
      <c r="K178" s="5" t="n">
        <v>0.4569</v>
      </c>
      <c r="L178" s="6" t="n">
        <v>2.8688</v>
      </c>
      <c r="M178" s="5" t="n">
        <f aca="false">IF(AND(N(K178)&gt;0,N(L178)&gt;0),K178/L178,"")</f>
        <v>0.159265197992192</v>
      </c>
      <c r="N178" s="2" t="s">
        <v>18</v>
      </c>
    </row>
    <row r="179" customFormat="false" ht="15" hidden="false" customHeight="false" outlineLevel="0" collapsed="false">
      <c r="A179" s="2" t="n">
        <v>178</v>
      </c>
      <c r="B179" s="2" t="s">
        <v>379</v>
      </c>
      <c r="C179" s="2" t="s">
        <v>380</v>
      </c>
      <c r="D179" s="2" t="s">
        <v>16</v>
      </c>
      <c r="E179" s="2" t="s">
        <v>21</v>
      </c>
      <c r="F179" s="3" t="n">
        <v>0.0003</v>
      </c>
      <c r="G179" s="3" t="n">
        <f aca="false">SUM($F$2:F179)</f>
        <v>0.991294</v>
      </c>
      <c r="H179" s="4" t="n">
        <v>14.38</v>
      </c>
      <c r="I179" s="5"/>
      <c r="J179" s="4" t="n">
        <v>-3.26</v>
      </c>
      <c r="K179" s="5" t="n">
        <v>0.4087</v>
      </c>
      <c r="L179" s="6" t="n">
        <v>13.9173</v>
      </c>
      <c r="M179" s="5" t="n">
        <f aca="false">IF(AND(N(K179)&gt;0,N(L179)&gt;0),K179/L179,"")</f>
        <v>0.0293663282389544</v>
      </c>
      <c r="N179" s="2" t="s">
        <v>18</v>
      </c>
    </row>
    <row r="180" customFormat="false" ht="15" hidden="false" customHeight="false" outlineLevel="0" collapsed="false">
      <c r="A180" s="2" t="n">
        <v>179</v>
      </c>
      <c r="B180" s="2" t="s">
        <v>381</v>
      </c>
      <c r="C180" s="2" t="s">
        <v>382</v>
      </c>
      <c r="D180" s="2" t="s">
        <v>16</v>
      </c>
      <c r="E180" s="2" t="s">
        <v>21</v>
      </c>
      <c r="F180" s="3" t="n">
        <v>0.0003</v>
      </c>
      <c r="G180" s="3" t="n">
        <f aca="false">SUM($F$2:F180)</f>
        <v>0.991594</v>
      </c>
      <c r="H180" s="4" t="n">
        <v>2.92</v>
      </c>
      <c r="I180" s="5"/>
      <c r="J180" s="4" t="n">
        <v>-0.68</v>
      </c>
      <c r="K180" s="5" t="n">
        <v>0.4485</v>
      </c>
      <c r="L180" s="6" t="n">
        <v>9.5406</v>
      </c>
      <c r="M180" s="5" t="n">
        <f aca="false">IF(AND(N(K180)&gt;0,N(L180)&gt;0),K180/L180,"")</f>
        <v>0.0470096220363499</v>
      </c>
      <c r="N180" s="2" t="s">
        <v>18</v>
      </c>
    </row>
    <row r="181" customFormat="false" ht="15" hidden="false" customHeight="false" outlineLevel="0" collapsed="false">
      <c r="A181" s="2" t="n">
        <v>180</v>
      </c>
      <c r="B181" s="2" t="s">
        <v>383</v>
      </c>
      <c r="C181" s="2" t="s">
        <v>384</v>
      </c>
      <c r="D181" s="2" t="s">
        <v>16</v>
      </c>
      <c r="E181" s="2" t="s">
        <v>21</v>
      </c>
      <c r="F181" s="3" t="n">
        <v>0.0003</v>
      </c>
      <c r="G181" s="3" t="n">
        <f aca="false">SUM($F$2:F181)</f>
        <v>0.991894</v>
      </c>
      <c r="H181" s="4" t="n">
        <v>9.37</v>
      </c>
      <c r="I181" s="5"/>
      <c r="J181" s="4" t="n">
        <v>-6.26</v>
      </c>
      <c r="K181" s="5" t="n">
        <v>0.631</v>
      </c>
      <c r="L181" s="6" t="n">
        <v>4.7649</v>
      </c>
      <c r="M181" s="5" t="n">
        <f aca="false">IF(AND(N(K181)&gt;0,N(L181)&gt;0),K181/L181,"")</f>
        <v>0.132426703603433</v>
      </c>
      <c r="N181" s="2" t="s">
        <v>18</v>
      </c>
    </row>
    <row r="182" customFormat="false" ht="15" hidden="false" customHeight="false" outlineLevel="0" collapsed="false">
      <c r="A182" s="2" t="n">
        <v>181</v>
      </c>
      <c r="B182" s="2" t="s">
        <v>385</v>
      </c>
      <c r="C182" s="2" t="s">
        <v>386</v>
      </c>
      <c r="D182" s="2" t="s">
        <v>16</v>
      </c>
      <c r="E182" s="2" t="s">
        <v>21</v>
      </c>
      <c r="F182" s="3" t="n">
        <v>0.0003</v>
      </c>
      <c r="G182" s="3" t="n">
        <f aca="false">SUM($F$2:F182)</f>
        <v>0.992194</v>
      </c>
      <c r="H182" s="4" t="n">
        <v>8.99</v>
      </c>
      <c r="I182" s="5"/>
      <c r="J182" s="4" t="n">
        <v>-0.87</v>
      </c>
      <c r="K182" s="5" t="n">
        <v>0.4615</v>
      </c>
      <c r="L182" s="6" t="n">
        <v>8.4636</v>
      </c>
      <c r="M182" s="5" t="n">
        <f aca="false">IF(AND(N(K182)&gt;0,N(L182)&gt;0),K182/L182,"")</f>
        <v>0.0545276241788364</v>
      </c>
      <c r="N182" s="2" t="s">
        <v>18</v>
      </c>
    </row>
    <row r="183" customFormat="false" ht="15" hidden="false" customHeight="false" outlineLevel="0" collapsed="false">
      <c r="A183" s="2" t="n">
        <v>182</v>
      </c>
      <c r="B183" s="2" t="s">
        <v>387</v>
      </c>
      <c r="C183" s="2" t="s">
        <v>388</v>
      </c>
      <c r="D183" s="2" t="s">
        <v>16</v>
      </c>
      <c r="E183" s="2" t="s">
        <v>21</v>
      </c>
      <c r="F183" s="3" t="n">
        <v>0.0003</v>
      </c>
      <c r="G183" s="3" t="n">
        <f aca="false">SUM($F$2:F183)</f>
        <v>0.992494</v>
      </c>
      <c r="H183" s="4" t="n">
        <v>7.76</v>
      </c>
      <c r="I183" s="5"/>
      <c r="J183" s="4" t="n">
        <v>-1.3</v>
      </c>
      <c r="K183" s="5" t="n">
        <v>0.6278</v>
      </c>
      <c r="L183" s="6" t="n">
        <v>2.6195</v>
      </c>
      <c r="M183" s="5" t="n">
        <f aca="false">IF(AND(N(K183)&gt;0,N(L183)&gt;0),K183/L183,"")</f>
        <v>0.239664058026341</v>
      </c>
      <c r="N183" s="2" t="s">
        <v>18</v>
      </c>
    </row>
    <row r="184" customFormat="false" ht="15" hidden="false" customHeight="false" outlineLevel="0" collapsed="false">
      <c r="A184" s="2" t="n">
        <v>183</v>
      </c>
      <c r="B184" s="2" t="s">
        <v>389</v>
      </c>
      <c r="C184" s="2" t="s">
        <v>390</v>
      </c>
      <c r="D184" s="2" t="s">
        <v>16</v>
      </c>
      <c r="E184" s="2" t="s">
        <v>32</v>
      </c>
      <c r="F184" s="3" t="n">
        <v>0.0003</v>
      </c>
      <c r="G184" s="3" t="n">
        <f aca="false">SUM($F$2:F184)</f>
        <v>0.992794</v>
      </c>
      <c r="H184" s="4" t="n">
        <v>21.65</v>
      </c>
      <c r="I184" s="5"/>
      <c r="J184" s="4" t="n">
        <v>-2.84</v>
      </c>
      <c r="K184" s="5" t="n">
        <v>0.5957</v>
      </c>
      <c r="L184" s="6" t="n">
        <v>1.839</v>
      </c>
      <c r="M184" s="5" t="n">
        <f aca="false">IF(AND(N(K184)&gt;0,N(L184)&gt;0),K184/L184,"")</f>
        <v>0.323926046764546</v>
      </c>
      <c r="N184" s="2" t="s">
        <v>18</v>
      </c>
    </row>
    <row r="185" customFormat="false" ht="15" hidden="false" customHeight="false" outlineLevel="0" collapsed="false">
      <c r="A185" s="2" t="n">
        <v>184</v>
      </c>
      <c r="B185" s="2" t="s">
        <v>391</v>
      </c>
      <c r="C185" s="2" t="s">
        <v>392</v>
      </c>
      <c r="D185" s="2" t="s">
        <v>16</v>
      </c>
      <c r="E185" s="2" t="s">
        <v>21</v>
      </c>
      <c r="F185" s="3" t="n">
        <v>0.0003</v>
      </c>
      <c r="G185" s="3" t="n">
        <f aca="false">SUM($F$2:F185)</f>
        <v>0.993094</v>
      </c>
      <c r="H185" s="4" t="n">
        <v>3.31</v>
      </c>
      <c r="I185" s="5"/>
      <c r="J185" s="4" t="n">
        <v>-0.91</v>
      </c>
      <c r="K185" s="5" t="n">
        <v>0.4072</v>
      </c>
      <c r="L185" s="6" t="n">
        <v>11.6217</v>
      </c>
      <c r="M185" s="5" t="n">
        <f aca="false">IF(AND(N(K185)&gt;0,N(L185)&gt;0),K185/L185,"")</f>
        <v>0.0350379032327456</v>
      </c>
      <c r="N185" s="2" t="s">
        <v>18</v>
      </c>
    </row>
    <row r="186" customFormat="false" ht="15" hidden="false" customHeight="false" outlineLevel="0" collapsed="false">
      <c r="A186" s="2" t="n">
        <v>185</v>
      </c>
      <c r="B186" s="2" t="s">
        <v>393</v>
      </c>
      <c r="C186" s="2" t="s">
        <v>394</v>
      </c>
      <c r="D186" s="2" t="s">
        <v>16</v>
      </c>
      <c r="E186" s="2" t="s">
        <v>21</v>
      </c>
      <c r="F186" s="3" t="n">
        <v>0.0003</v>
      </c>
      <c r="G186" s="3" t="n">
        <f aca="false">SUM($F$2:F186)</f>
        <v>0.993394</v>
      </c>
      <c r="H186" s="4" t="n">
        <v>2.5</v>
      </c>
      <c r="I186" s="5"/>
      <c r="J186" s="4" t="n">
        <v>-1.4</v>
      </c>
      <c r="K186" s="5" t="n">
        <v>0.4239</v>
      </c>
      <c r="L186" s="6"/>
      <c r="M186" s="5" t="str">
        <f aca="false">IF(AND(N(K186)&gt;0,N(L186)&gt;0),K186/L186,"")</f>
        <v/>
      </c>
      <c r="N186" s="2" t="s">
        <v>18</v>
      </c>
    </row>
    <row r="187" customFormat="false" ht="15" hidden="false" customHeight="false" outlineLevel="0" collapsed="false">
      <c r="A187" s="2" t="n">
        <v>186</v>
      </c>
      <c r="B187" s="2" t="s">
        <v>395</v>
      </c>
      <c r="C187" s="2" t="s">
        <v>396</v>
      </c>
      <c r="D187" s="2" t="s">
        <v>16</v>
      </c>
      <c r="E187" s="2" t="s">
        <v>32</v>
      </c>
      <c r="F187" s="3" t="n">
        <v>0.0003</v>
      </c>
      <c r="G187" s="3" t="n">
        <f aca="false">SUM($F$2:F187)</f>
        <v>0.993694</v>
      </c>
      <c r="H187" s="4" t="n">
        <v>4.02</v>
      </c>
      <c r="I187" s="5"/>
      <c r="J187" s="4" t="n">
        <v>-1.19</v>
      </c>
      <c r="K187" s="5" t="n">
        <v>0.3845</v>
      </c>
      <c r="L187" s="6" t="n">
        <v>0.4767</v>
      </c>
      <c r="M187" s="5" t="n">
        <f aca="false">IF(AND(N(K187)&gt;0,N(L187)&gt;0),K187/L187,"")</f>
        <v>0.806586951961401</v>
      </c>
      <c r="N187" s="2" t="s">
        <v>18</v>
      </c>
    </row>
    <row r="188" customFormat="false" ht="15" hidden="false" customHeight="false" outlineLevel="0" collapsed="false">
      <c r="A188" s="2" t="n">
        <v>187</v>
      </c>
      <c r="B188" s="2" t="s">
        <v>397</v>
      </c>
      <c r="C188" s="2" t="s">
        <v>398</v>
      </c>
      <c r="D188" s="2" t="s">
        <v>16</v>
      </c>
      <c r="E188" s="2" t="s">
        <v>21</v>
      </c>
      <c r="F188" s="3" t="n">
        <v>0.0003</v>
      </c>
      <c r="G188" s="3" t="n">
        <f aca="false">SUM($F$2:F188)</f>
        <v>0.993994</v>
      </c>
      <c r="H188" s="4" t="n">
        <v>5.64</v>
      </c>
      <c r="I188" s="5"/>
      <c r="J188" s="4" t="n">
        <v>-2.16</v>
      </c>
      <c r="K188" s="5" t="n">
        <v>0.4524</v>
      </c>
      <c r="L188" s="6"/>
      <c r="M188" s="5" t="str">
        <f aca="false">IF(AND(N(K188)&gt;0,N(L188)&gt;0),K188/L188,"")</f>
        <v/>
      </c>
      <c r="N188" s="2" t="s">
        <v>18</v>
      </c>
    </row>
    <row r="189" customFormat="false" ht="15" hidden="false" customHeight="false" outlineLevel="0" collapsed="false">
      <c r="A189" s="2" t="n">
        <v>188</v>
      </c>
      <c r="B189" s="2" t="s">
        <v>399</v>
      </c>
      <c r="C189" s="2" t="s">
        <v>400</v>
      </c>
      <c r="D189" s="2" t="s">
        <v>16</v>
      </c>
      <c r="E189" s="2" t="s">
        <v>21</v>
      </c>
      <c r="F189" s="3" t="n">
        <v>0.0002</v>
      </c>
      <c r="G189" s="3" t="n">
        <f aca="false">SUM($F$2:F189)</f>
        <v>0.994194</v>
      </c>
      <c r="H189" s="4" t="n">
        <v>3.35</v>
      </c>
      <c r="I189" s="5"/>
      <c r="J189" s="4" t="n">
        <v>-0.17</v>
      </c>
      <c r="K189" s="5" t="n">
        <v>0.3677</v>
      </c>
      <c r="L189" s="6"/>
      <c r="M189" s="5" t="str">
        <f aca="false">IF(AND(N(K189)&gt;0,N(L189)&gt;0),K189/L189,"")</f>
        <v/>
      </c>
      <c r="N189" s="2" t="s">
        <v>18</v>
      </c>
    </row>
    <row r="190" customFormat="false" ht="15" hidden="false" customHeight="false" outlineLevel="0" collapsed="false">
      <c r="A190" s="2" t="n">
        <v>189</v>
      </c>
      <c r="B190" s="2" t="s">
        <v>401</v>
      </c>
      <c r="C190" s="2" t="s">
        <v>402</v>
      </c>
      <c r="D190" s="2" t="s">
        <v>16</v>
      </c>
      <c r="E190" s="2" t="s">
        <v>21</v>
      </c>
      <c r="F190" s="3" t="n">
        <v>0.0002</v>
      </c>
      <c r="G190" s="3" t="n">
        <f aca="false">SUM($F$2:F190)</f>
        <v>0.994394</v>
      </c>
      <c r="H190" s="4" t="n">
        <v>12.42</v>
      </c>
      <c r="I190" s="5"/>
      <c r="J190" s="4" t="n">
        <v>-2.48</v>
      </c>
      <c r="K190" s="5" t="n">
        <v>0.3617</v>
      </c>
      <c r="L190" s="6" t="n">
        <v>5.5432</v>
      </c>
      <c r="M190" s="5" t="n">
        <f aca="false">IF(AND(N(K190)&gt;0,N(L190)&gt;0),K190/L190,"")</f>
        <v>0.0652511184875163</v>
      </c>
      <c r="N190" s="2" t="s">
        <v>18</v>
      </c>
    </row>
    <row r="191" customFormat="false" ht="15" hidden="false" customHeight="false" outlineLevel="0" collapsed="false">
      <c r="A191" s="2" t="n">
        <v>190</v>
      </c>
      <c r="B191" s="2" t="s">
        <v>403</v>
      </c>
      <c r="C191" s="2" t="s">
        <v>404</v>
      </c>
      <c r="D191" s="2" t="s">
        <v>16</v>
      </c>
      <c r="E191" s="2" t="s">
        <v>21</v>
      </c>
      <c r="F191" s="3" t="n">
        <v>0.0002</v>
      </c>
      <c r="G191" s="3" t="n">
        <f aca="false">SUM($F$2:F191)</f>
        <v>0.994594</v>
      </c>
      <c r="H191" s="4" t="n">
        <v>2.03</v>
      </c>
      <c r="I191" s="5"/>
      <c r="J191" s="4" t="n">
        <v>-1.11</v>
      </c>
      <c r="K191" s="5" t="n">
        <v>0.5403</v>
      </c>
      <c r="L191" s="6" t="n">
        <v>4.6027</v>
      </c>
      <c r="M191" s="5" t="n">
        <f aca="false">IF(AND(N(K191)&gt;0,N(L191)&gt;0),K191/L191,"")</f>
        <v>0.117387620309818</v>
      </c>
      <c r="N191" s="2" t="s">
        <v>18</v>
      </c>
    </row>
    <row r="192" customFormat="false" ht="15" hidden="false" customHeight="false" outlineLevel="0" collapsed="false">
      <c r="A192" s="2" t="n">
        <v>191</v>
      </c>
      <c r="B192" s="2" t="s">
        <v>405</v>
      </c>
      <c r="C192" s="2" t="s">
        <v>406</v>
      </c>
      <c r="D192" s="2" t="s">
        <v>16</v>
      </c>
      <c r="E192" s="2" t="s">
        <v>49</v>
      </c>
      <c r="F192" s="3" t="n">
        <v>0.0002</v>
      </c>
      <c r="G192" s="3" t="n">
        <f aca="false">SUM($F$2:F192)</f>
        <v>0.994794</v>
      </c>
      <c r="H192" s="4" t="n">
        <v>6.76</v>
      </c>
      <c r="I192" s="5"/>
      <c r="J192" s="4" t="n">
        <v>-3.41</v>
      </c>
      <c r="K192" s="5" t="n">
        <v>0.3466</v>
      </c>
      <c r="L192" s="6" t="n">
        <v>0.45</v>
      </c>
      <c r="M192" s="5" t="n">
        <f aca="false">IF(AND(N(K192)&gt;0,N(L192)&gt;0),K192/L192,"")</f>
        <v>0.770222222222222</v>
      </c>
      <c r="N192" s="2" t="s">
        <v>18</v>
      </c>
    </row>
    <row r="193" customFormat="false" ht="15" hidden="false" customHeight="false" outlineLevel="0" collapsed="false">
      <c r="A193" s="2" t="n">
        <v>192</v>
      </c>
      <c r="B193" s="2" t="s">
        <v>407</v>
      </c>
      <c r="C193" s="2" t="s">
        <v>408</v>
      </c>
      <c r="D193" s="2" t="s">
        <v>16</v>
      </c>
      <c r="E193" s="2" t="s">
        <v>21</v>
      </c>
      <c r="F193" s="3" t="n">
        <v>0.0002</v>
      </c>
      <c r="G193" s="3" t="n">
        <f aca="false">SUM($F$2:F193)</f>
        <v>0.994994</v>
      </c>
      <c r="H193" s="4" t="n">
        <v>3.54</v>
      </c>
      <c r="I193" s="5"/>
      <c r="J193" s="4" t="n">
        <v>-1.16</v>
      </c>
      <c r="K193" s="5" t="n">
        <v>0.6421</v>
      </c>
      <c r="L193" s="6" t="n">
        <v>157.6416</v>
      </c>
      <c r="M193" s="5" t="n">
        <f aca="false">IF(AND(N(K193)&gt;0,N(L193)&gt;0),K193/L193,"")</f>
        <v>0.00407316342894261</v>
      </c>
      <c r="N193" s="2" t="s">
        <v>18</v>
      </c>
    </row>
    <row r="194" customFormat="false" ht="15" hidden="false" customHeight="false" outlineLevel="0" collapsed="false">
      <c r="A194" s="2" t="n">
        <v>193</v>
      </c>
      <c r="B194" s="2" t="s">
        <v>409</v>
      </c>
      <c r="C194" s="2" t="s">
        <v>410</v>
      </c>
      <c r="D194" s="2" t="s">
        <v>16</v>
      </c>
      <c r="E194" s="2" t="s">
        <v>21</v>
      </c>
      <c r="F194" s="3" t="n">
        <v>0.0002</v>
      </c>
      <c r="G194" s="3" t="n">
        <f aca="false">SUM($F$2:F194)</f>
        <v>0.995194</v>
      </c>
      <c r="H194" s="4" t="n">
        <v>5.21</v>
      </c>
      <c r="I194" s="5"/>
      <c r="J194" s="4" t="n">
        <v>-4.69</v>
      </c>
      <c r="K194" s="5" t="n">
        <v>0.315</v>
      </c>
      <c r="L194" s="6" t="n">
        <v>1.4603</v>
      </c>
      <c r="M194" s="5" t="n">
        <f aca="false">IF(AND(N(K194)&gt;0,N(L194)&gt;0),K194/L194,"")</f>
        <v>0.215709100869684</v>
      </c>
      <c r="N194" s="2" t="s">
        <v>18</v>
      </c>
    </row>
    <row r="195" customFormat="false" ht="15" hidden="false" customHeight="false" outlineLevel="0" collapsed="false">
      <c r="A195" s="2" t="n">
        <v>194</v>
      </c>
      <c r="B195" s="2" t="s">
        <v>411</v>
      </c>
      <c r="C195" s="2" t="s">
        <v>412</v>
      </c>
      <c r="D195" s="2" t="s">
        <v>16</v>
      </c>
      <c r="E195" s="2" t="s">
        <v>21</v>
      </c>
      <c r="F195" s="3" t="n">
        <v>0.0002</v>
      </c>
      <c r="G195" s="3" t="n">
        <f aca="false">SUM($F$2:F195)</f>
        <v>0.995394</v>
      </c>
      <c r="H195" s="4" t="n">
        <v>4.07</v>
      </c>
      <c r="I195" s="5"/>
      <c r="J195" s="4" t="n">
        <v>-0.88</v>
      </c>
      <c r="K195" s="5" t="n">
        <v>0.3341</v>
      </c>
      <c r="L195" s="6"/>
      <c r="M195" s="5" t="str">
        <f aca="false">IF(AND(N(K195)&gt;0,N(L195)&gt;0),K195/L195,"")</f>
        <v/>
      </c>
      <c r="N195" s="2" t="s">
        <v>18</v>
      </c>
    </row>
    <row r="196" customFormat="false" ht="15" hidden="false" customHeight="false" outlineLevel="0" collapsed="false">
      <c r="A196" s="2" t="n">
        <v>195</v>
      </c>
      <c r="B196" s="2" t="s">
        <v>413</v>
      </c>
      <c r="C196" s="2" t="s">
        <v>414</v>
      </c>
      <c r="D196" s="2" t="s">
        <v>16</v>
      </c>
      <c r="E196" s="2" t="s">
        <v>21</v>
      </c>
      <c r="F196" s="3" t="n">
        <v>0.0002</v>
      </c>
      <c r="G196" s="3" t="n">
        <f aca="false">SUM($F$2:F196)</f>
        <v>0.995594</v>
      </c>
      <c r="H196" s="4" t="n">
        <v>3.84</v>
      </c>
      <c r="I196" s="5"/>
      <c r="J196" s="4" t="n">
        <v>-1.23</v>
      </c>
      <c r="K196" s="5" t="n">
        <v>0.293</v>
      </c>
      <c r="L196" s="6"/>
      <c r="M196" s="5" t="str">
        <f aca="false">IF(AND(N(K196)&gt;0,N(L196)&gt;0),K196/L196,"")</f>
        <v/>
      </c>
      <c r="N196" s="2" t="s">
        <v>18</v>
      </c>
    </row>
    <row r="197" customFormat="false" ht="15" hidden="false" customHeight="false" outlineLevel="0" collapsed="false">
      <c r="A197" s="2" t="n">
        <v>196</v>
      </c>
      <c r="B197" s="2" t="s">
        <v>415</v>
      </c>
      <c r="C197" s="2" t="s">
        <v>416</v>
      </c>
      <c r="D197" s="2" t="s">
        <v>16</v>
      </c>
      <c r="E197" s="2" t="s">
        <v>84</v>
      </c>
      <c r="F197" s="3" t="n">
        <v>0.0002</v>
      </c>
      <c r="G197" s="3" t="n">
        <f aca="false">SUM($F$2:F197)</f>
        <v>0.995794</v>
      </c>
      <c r="H197" s="4" t="n">
        <v>0.75</v>
      </c>
      <c r="I197" s="5"/>
      <c r="J197" s="4" t="n">
        <v>-0.13</v>
      </c>
      <c r="K197" s="5" t="n">
        <v>0.2944</v>
      </c>
      <c r="L197" s="6" t="n">
        <v>3.4795</v>
      </c>
      <c r="M197" s="5" t="n">
        <f aca="false">IF(AND(N(K197)&gt;0,N(L197)&gt;0),K197/L197,"")</f>
        <v>0.0846098577381808</v>
      </c>
      <c r="N197" s="2" t="s">
        <v>18</v>
      </c>
    </row>
    <row r="198" customFormat="false" ht="15" hidden="false" customHeight="false" outlineLevel="0" collapsed="false">
      <c r="A198" s="2" t="n">
        <v>197</v>
      </c>
      <c r="B198" s="2" t="s">
        <v>417</v>
      </c>
      <c r="C198" s="2" t="s">
        <v>418</v>
      </c>
      <c r="D198" s="2" t="s">
        <v>16</v>
      </c>
      <c r="E198" s="2" t="s">
        <v>21</v>
      </c>
      <c r="F198" s="3" t="n">
        <v>0.0002</v>
      </c>
      <c r="G198" s="3" t="n">
        <f aca="false">SUM($F$2:F198)</f>
        <v>0.995994</v>
      </c>
      <c r="H198" s="4" t="n">
        <v>4.48</v>
      </c>
      <c r="I198" s="5"/>
      <c r="J198" s="4" t="n">
        <v>-2.24</v>
      </c>
      <c r="K198" s="5" t="n">
        <v>0.4455</v>
      </c>
      <c r="L198" s="6" t="n">
        <v>3.8103</v>
      </c>
      <c r="M198" s="5" t="n">
        <f aca="false">IF(AND(N(K198)&gt;0,N(L198)&gt;0),K198/L198,"")</f>
        <v>0.116919927564759</v>
      </c>
      <c r="N198" s="2" t="s">
        <v>18</v>
      </c>
    </row>
    <row r="199" customFormat="false" ht="15" hidden="false" customHeight="false" outlineLevel="0" collapsed="false">
      <c r="A199" s="2" t="n">
        <v>198</v>
      </c>
      <c r="B199" s="2" t="s">
        <v>419</v>
      </c>
      <c r="C199" s="2" t="s">
        <v>420</v>
      </c>
      <c r="D199" s="2" t="s">
        <v>16</v>
      </c>
      <c r="E199" s="2" t="s">
        <v>21</v>
      </c>
      <c r="F199" s="3" t="n">
        <v>0.0002</v>
      </c>
      <c r="G199" s="3" t="n">
        <f aca="false">SUM($F$2:F199)</f>
        <v>0.996194</v>
      </c>
      <c r="H199" s="4" t="n">
        <v>7.51</v>
      </c>
      <c r="I199" s="5"/>
      <c r="J199" s="4" t="n">
        <v>-3.08</v>
      </c>
      <c r="K199" s="5" t="n">
        <v>0.4644</v>
      </c>
      <c r="L199" s="6"/>
      <c r="M199" s="5" t="str">
        <f aca="false">IF(AND(N(K199)&gt;0,N(L199)&gt;0),K199/L199,"")</f>
        <v/>
      </c>
      <c r="N199" s="2" t="s">
        <v>18</v>
      </c>
    </row>
    <row r="200" customFormat="false" ht="15" hidden="false" customHeight="false" outlineLevel="0" collapsed="false">
      <c r="A200" s="2" t="n">
        <v>199</v>
      </c>
      <c r="B200" s="2" t="s">
        <v>421</v>
      </c>
      <c r="C200" s="2" t="s">
        <v>422</v>
      </c>
      <c r="D200" s="2" t="s">
        <v>16</v>
      </c>
      <c r="E200" s="2" t="s">
        <v>84</v>
      </c>
      <c r="F200" s="3" t="n">
        <v>0.0002</v>
      </c>
      <c r="G200" s="3" t="n">
        <f aca="false">SUM($F$2:F200)</f>
        <v>0.996394</v>
      </c>
      <c r="H200" s="4" t="n">
        <v>2.96</v>
      </c>
      <c r="I200" s="5"/>
      <c r="J200" s="4" t="n">
        <v>-1.33</v>
      </c>
      <c r="K200" s="5" t="n">
        <v>0.3379</v>
      </c>
      <c r="L200" s="6" t="n">
        <v>826.1343</v>
      </c>
      <c r="M200" s="5" t="n">
        <f aca="false">IF(AND(N(K200)&gt;0,N(L200)&gt;0),K200/L200,"")</f>
        <v>0.000409013401331963</v>
      </c>
      <c r="N200" s="2" t="s">
        <v>18</v>
      </c>
    </row>
    <row r="201" customFormat="false" ht="15" hidden="false" customHeight="false" outlineLevel="0" collapsed="false">
      <c r="A201" s="2" t="n">
        <v>200</v>
      </c>
      <c r="B201" s="2" t="s">
        <v>423</v>
      </c>
      <c r="C201" s="2" t="s">
        <v>424</v>
      </c>
      <c r="D201" s="2" t="s">
        <v>16</v>
      </c>
      <c r="E201" s="2" t="s">
        <v>49</v>
      </c>
      <c r="F201" s="3" t="n">
        <v>0.0002</v>
      </c>
      <c r="G201" s="3" t="n">
        <f aca="false">SUM($F$2:F201)</f>
        <v>0.996594</v>
      </c>
      <c r="H201" s="4" t="n">
        <v>8.46</v>
      </c>
      <c r="I201" s="5"/>
      <c r="J201" s="4" t="n">
        <v>-2.5</v>
      </c>
      <c r="K201" s="5" t="n">
        <v>0.3883</v>
      </c>
      <c r="L201" s="6" t="n">
        <v>37.4976</v>
      </c>
      <c r="M201" s="5" t="n">
        <f aca="false">IF(AND(N(K201)&gt;0,N(L201)&gt;0),K201/L201,"")</f>
        <v>0.0103553294077488</v>
      </c>
      <c r="N201" s="2" t="s">
        <v>18</v>
      </c>
    </row>
    <row r="202" customFormat="false" ht="15" hidden="false" customHeight="false" outlineLevel="0" collapsed="false">
      <c r="A202" s="2" t="n">
        <v>201</v>
      </c>
      <c r="B202" s="2" t="s">
        <v>425</v>
      </c>
      <c r="C202" s="2" t="s">
        <v>426</v>
      </c>
      <c r="D202" s="2" t="s">
        <v>16</v>
      </c>
      <c r="E202" s="2" t="s">
        <v>21</v>
      </c>
      <c r="F202" s="3" t="n">
        <v>0.0002</v>
      </c>
      <c r="G202" s="3" t="n">
        <f aca="false">SUM($F$2:F202)</f>
        <v>0.996794</v>
      </c>
      <c r="H202" s="4" t="n">
        <v>4.61</v>
      </c>
      <c r="I202" s="5"/>
      <c r="J202" s="4" t="n">
        <v>-0.97</v>
      </c>
      <c r="K202" s="5" t="n">
        <v>0.2983</v>
      </c>
      <c r="L202" s="6"/>
      <c r="M202" s="5" t="str">
        <f aca="false">IF(AND(N(K202)&gt;0,N(L202)&gt;0),K202/L202,"")</f>
        <v/>
      </c>
      <c r="N202" s="2" t="s">
        <v>18</v>
      </c>
    </row>
    <row r="203" customFormat="false" ht="15" hidden="false" customHeight="false" outlineLevel="0" collapsed="false">
      <c r="A203" s="2" t="n">
        <v>202</v>
      </c>
      <c r="B203" s="2" t="s">
        <v>427</v>
      </c>
      <c r="C203" s="2" t="s">
        <v>428</v>
      </c>
      <c r="D203" s="2" t="s">
        <v>16</v>
      </c>
      <c r="E203" s="2" t="s">
        <v>21</v>
      </c>
      <c r="F203" s="3" t="n">
        <v>0.0002</v>
      </c>
      <c r="G203" s="3" t="n">
        <f aca="false">SUM($F$2:F203)</f>
        <v>0.996994</v>
      </c>
      <c r="H203" s="4" t="n">
        <v>26.5</v>
      </c>
      <c r="I203" s="5"/>
      <c r="J203" s="4" t="n">
        <v>-4.55</v>
      </c>
      <c r="K203" s="5" t="n">
        <v>0.5181</v>
      </c>
      <c r="L203" s="6"/>
      <c r="M203" s="5" t="str">
        <f aca="false">IF(AND(N(K203)&gt;0,N(L203)&gt;0),K203/L203,"")</f>
        <v/>
      </c>
      <c r="N203" s="2" t="s">
        <v>18</v>
      </c>
    </row>
    <row r="204" customFormat="false" ht="15" hidden="false" customHeight="false" outlineLevel="0" collapsed="false">
      <c r="A204" s="2" t="n">
        <v>203</v>
      </c>
      <c r="B204" s="2" t="s">
        <v>429</v>
      </c>
      <c r="C204" s="2" t="s">
        <v>430</v>
      </c>
      <c r="D204" s="2" t="s">
        <v>16</v>
      </c>
      <c r="E204" s="2" t="s">
        <v>21</v>
      </c>
      <c r="F204" s="3" t="n">
        <v>0.0002</v>
      </c>
      <c r="G204" s="3" t="n">
        <f aca="false">SUM($F$2:F204)</f>
        <v>0.997194</v>
      </c>
      <c r="H204" s="4" t="n">
        <v>4.66</v>
      </c>
      <c r="I204" s="5"/>
      <c r="J204" s="4" t="n">
        <v>-2.27</v>
      </c>
      <c r="K204" s="5" t="n">
        <v>0.3736</v>
      </c>
      <c r="L204" s="6"/>
      <c r="M204" s="5" t="str">
        <f aca="false">IF(AND(N(K204)&gt;0,N(L204)&gt;0),K204/L204,"")</f>
        <v/>
      </c>
      <c r="N204" s="2" t="s">
        <v>18</v>
      </c>
    </row>
    <row r="205" customFormat="false" ht="15" hidden="false" customHeight="false" outlineLevel="0" collapsed="false">
      <c r="A205" s="2" t="n">
        <v>204</v>
      </c>
      <c r="B205" s="2" t="s">
        <v>431</v>
      </c>
      <c r="C205" s="2" t="s">
        <v>432</v>
      </c>
      <c r="D205" s="2" t="s">
        <v>16</v>
      </c>
      <c r="E205" s="2" t="s">
        <v>21</v>
      </c>
      <c r="F205" s="3" t="n">
        <v>0.0002</v>
      </c>
      <c r="G205" s="3" t="n">
        <f aca="false">SUM($F$2:F205)</f>
        <v>0.997394</v>
      </c>
      <c r="H205" s="4" t="n">
        <v>3.35</v>
      </c>
      <c r="I205" s="5"/>
      <c r="J205" s="4" t="n">
        <v>-1.46</v>
      </c>
      <c r="K205" s="5" t="n">
        <v>0.2798</v>
      </c>
      <c r="L205" s="6" t="n">
        <v>25.3519</v>
      </c>
      <c r="M205" s="5" t="n">
        <f aca="false">IF(AND(N(K205)&gt;0,N(L205)&gt;0),K205/L205,"")</f>
        <v>0.0110366481407705</v>
      </c>
      <c r="N205" s="2" t="s">
        <v>18</v>
      </c>
    </row>
    <row r="206" customFormat="false" ht="15" hidden="false" customHeight="false" outlineLevel="0" collapsed="false">
      <c r="A206" s="2" t="n">
        <v>205</v>
      </c>
      <c r="B206" s="2" t="s">
        <v>433</v>
      </c>
      <c r="C206" s="2" t="s">
        <v>434</v>
      </c>
      <c r="D206" s="2" t="s">
        <v>16</v>
      </c>
      <c r="E206" s="2" t="s">
        <v>21</v>
      </c>
      <c r="F206" s="3" t="n">
        <v>0.0002</v>
      </c>
      <c r="G206" s="3" t="n">
        <f aca="false">SUM($F$2:F206)</f>
        <v>0.997594</v>
      </c>
      <c r="H206" s="4" t="n">
        <v>2.47</v>
      </c>
      <c r="I206" s="5"/>
      <c r="J206" s="4" t="n">
        <v>-0.14</v>
      </c>
      <c r="K206" s="5" t="n">
        <v>0.229</v>
      </c>
      <c r="L206" s="6"/>
      <c r="M206" s="5" t="str">
        <f aca="false">IF(AND(N(K206)&gt;0,N(L206)&gt;0),K206/L206,"")</f>
        <v/>
      </c>
      <c r="N206" s="2" t="s">
        <v>18</v>
      </c>
    </row>
    <row r="207" customFormat="false" ht="15" hidden="false" customHeight="false" outlineLevel="0" collapsed="false">
      <c r="A207" s="2" t="n">
        <v>206</v>
      </c>
      <c r="B207" s="2" t="s">
        <v>435</v>
      </c>
      <c r="C207" s="2" t="s">
        <v>436</v>
      </c>
      <c r="D207" s="2" t="s">
        <v>16</v>
      </c>
      <c r="E207" s="2" t="s">
        <v>21</v>
      </c>
      <c r="F207" s="3" t="n">
        <v>0.0001</v>
      </c>
      <c r="G207" s="3" t="n">
        <f aca="false">SUM($F$2:F207)</f>
        <v>0.997694</v>
      </c>
      <c r="H207" s="4" t="n">
        <v>11.73</v>
      </c>
      <c r="I207" s="5"/>
      <c r="J207" s="4" t="n">
        <v>-3.28</v>
      </c>
      <c r="K207" s="5" t="n">
        <v>0.2326</v>
      </c>
      <c r="L207" s="6" t="n">
        <v>15.4904</v>
      </c>
      <c r="M207" s="5" t="n">
        <f aca="false">IF(AND(N(K207)&gt;0,N(L207)&gt;0),K207/L207,"")</f>
        <v>0.0150157516913701</v>
      </c>
      <c r="N207" s="2" t="s">
        <v>18</v>
      </c>
    </row>
    <row r="208" customFormat="false" ht="15" hidden="false" customHeight="false" outlineLevel="0" collapsed="false">
      <c r="A208" s="2" t="n">
        <v>207</v>
      </c>
      <c r="B208" s="2" t="s">
        <v>437</v>
      </c>
      <c r="C208" s="2" t="s">
        <v>438</v>
      </c>
      <c r="D208" s="2" t="s">
        <v>16</v>
      </c>
      <c r="E208" s="2" t="s">
        <v>21</v>
      </c>
      <c r="F208" s="3" t="n">
        <v>0.0001</v>
      </c>
      <c r="G208" s="3" t="n">
        <f aca="false">SUM($F$2:F208)</f>
        <v>0.997794</v>
      </c>
      <c r="H208" s="4" t="n">
        <v>5.49</v>
      </c>
      <c r="I208" s="5"/>
      <c r="J208" s="4" t="n">
        <v>-2.94</v>
      </c>
      <c r="K208" s="5" t="n">
        <v>0.3007</v>
      </c>
      <c r="L208" s="6" t="n">
        <v>95.2163</v>
      </c>
      <c r="M208" s="5" t="n">
        <f aca="false">IF(AND(N(K208)&gt;0,N(L208)&gt;0),K208/L208,"")</f>
        <v>0.0031580727249431</v>
      </c>
      <c r="N208" s="2" t="s">
        <v>18</v>
      </c>
    </row>
    <row r="209" customFormat="false" ht="15" hidden="false" customHeight="false" outlineLevel="0" collapsed="false">
      <c r="A209" s="2" t="n">
        <v>208</v>
      </c>
      <c r="B209" s="2" t="s">
        <v>439</v>
      </c>
      <c r="C209" s="2" t="s">
        <v>440</v>
      </c>
      <c r="D209" s="2" t="s">
        <v>16</v>
      </c>
      <c r="E209" s="2" t="s">
        <v>21</v>
      </c>
      <c r="F209" s="3" t="n">
        <v>0.0001</v>
      </c>
      <c r="G209" s="3" t="n">
        <f aca="false">SUM($F$2:F209)</f>
        <v>0.997894</v>
      </c>
      <c r="H209" s="4" t="n">
        <v>1.04</v>
      </c>
      <c r="I209" s="5"/>
      <c r="J209" s="4" t="n">
        <v>-0.2</v>
      </c>
      <c r="K209" s="5" t="n">
        <v>0.263</v>
      </c>
      <c r="L209" s="6" t="n">
        <v>20.1042</v>
      </c>
      <c r="M209" s="5" t="n">
        <f aca="false">IF(AND(N(K209)&gt;0,N(L209)&gt;0),K209/L209,"")</f>
        <v>0.0130818435948707</v>
      </c>
      <c r="N209" s="2" t="s">
        <v>18</v>
      </c>
    </row>
    <row r="210" customFormat="false" ht="15" hidden="false" customHeight="false" outlineLevel="0" collapsed="false">
      <c r="A210" s="2" t="n">
        <v>209</v>
      </c>
      <c r="B210" s="2" t="s">
        <v>441</v>
      </c>
      <c r="C210" s="2" t="s">
        <v>442</v>
      </c>
      <c r="D210" s="2" t="s">
        <v>16</v>
      </c>
      <c r="E210" s="2" t="s">
        <v>21</v>
      </c>
      <c r="F210" s="3" t="n">
        <v>0.0001</v>
      </c>
      <c r="G210" s="3" t="n">
        <f aca="false">SUM($F$2:F210)</f>
        <v>0.997994</v>
      </c>
      <c r="H210" s="4" t="n">
        <v>3.82</v>
      </c>
      <c r="I210" s="5"/>
      <c r="J210" s="4" t="n">
        <v>-2</v>
      </c>
      <c r="K210" s="5" t="n">
        <v>0.3968</v>
      </c>
      <c r="L210" s="6"/>
      <c r="M210" s="5" t="str">
        <f aca="false">IF(AND(N(K210)&gt;0,N(L210)&gt;0),K210/L210,"")</f>
        <v/>
      </c>
      <c r="N210" s="2" t="s">
        <v>18</v>
      </c>
    </row>
    <row r="211" customFormat="false" ht="15" hidden="false" customHeight="false" outlineLevel="0" collapsed="false">
      <c r="A211" s="2" t="n">
        <v>210</v>
      </c>
      <c r="B211" s="2" t="s">
        <v>443</v>
      </c>
      <c r="C211" s="2" t="s">
        <v>444</v>
      </c>
      <c r="D211" s="2" t="s">
        <v>16</v>
      </c>
      <c r="E211" s="2" t="s">
        <v>21</v>
      </c>
      <c r="F211" s="3" t="n">
        <v>0.0001</v>
      </c>
      <c r="G211" s="3" t="n">
        <f aca="false">SUM($F$2:F211)</f>
        <v>0.998094</v>
      </c>
      <c r="H211" s="4" t="n">
        <v>2.98</v>
      </c>
      <c r="I211" s="5"/>
      <c r="J211" s="4" t="n">
        <v>-1.05</v>
      </c>
      <c r="K211" s="5" t="n">
        <v>0.2061</v>
      </c>
      <c r="L211" s="6"/>
      <c r="M211" s="5" t="str">
        <f aca="false">IF(AND(N(K211)&gt;0,N(L211)&gt;0),K211/L211,"")</f>
        <v/>
      </c>
      <c r="N211" s="2" t="s">
        <v>18</v>
      </c>
    </row>
    <row r="212" customFormat="false" ht="15" hidden="false" customHeight="false" outlineLevel="0" collapsed="false">
      <c r="A212" s="2" t="n">
        <v>211</v>
      </c>
      <c r="B212" s="2" t="s">
        <v>445</v>
      </c>
      <c r="C212" s="2" t="s">
        <v>446</v>
      </c>
      <c r="D212" s="2" t="s">
        <v>16</v>
      </c>
      <c r="E212" s="2" t="s">
        <v>21</v>
      </c>
      <c r="F212" s="3" t="n">
        <v>0.0001</v>
      </c>
      <c r="G212" s="3" t="n">
        <f aca="false">SUM($F$2:F212)</f>
        <v>0.998194</v>
      </c>
      <c r="H212" s="4" t="n">
        <v>2.73</v>
      </c>
      <c r="I212" s="5"/>
      <c r="J212" s="4"/>
      <c r="K212" s="5" t="n">
        <v>0.2714</v>
      </c>
      <c r="L212" s="6"/>
      <c r="M212" s="5" t="str">
        <f aca="false">IF(AND(N(K212)&gt;0,N(L212)&gt;0),K212/L212,"")</f>
        <v/>
      </c>
      <c r="N212" s="2" t="s">
        <v>447</v>
      </c>
    </row>
    <row r="213" customFormat="false" ht="15" hidden="false" customHeight="false" outlineLevel="0" collapsed="false">
      <c r="A213" s="2" t="n">
        <v>212</v>
      </c>
      <c r="B213" s="2" t="s">
        <v>448</v>
      </c>
      <c r="C213" s="2" t="s">
        <v>449</v>
      </c>
      <c r="D213" s="2" t="s">
        <v>16</v>
      </c>
      <c r="E213" s="2" t="s">
        <v>21</v>
      </c>
      <c r="F213" s="3" t="n">
        <v>0.0001</v>
      </c>
      <c r="G213" s="3" t="n">
        <f aca="false">SUM($F$2:F213)</f>
        <v>0.998294</v>
      </c>
      <c r="H213" s="4" t="n">
        <v>6.02</v>
      </c>
      <c r="I213" s="5"/>
      <c r="J213" s="4" t="n">
        <v>-2.16</v>
      </c>
      <c r="K213" s="5" t="n">
        <v>0.2718</v>
      </c>
      <c r="L213" s="6"/>
      <c r="M213" s="5" t="str">
        <f aca="false">IF(AND(N(K213)&gt;0,N(L213)&gt;0),K213/L213,"")</f>
        <v/>
      </c>
      <c r="N213" s="2" t="s">
        <v>18</v>
      </c>
    </row>
    <row r="214" customFormat="false" ht="15" hidden="false" customHeight="false" outlineLevel="0" collapsed="false">
      <c r="A214" s="2" t="n">
        <v>213</v>
      </c>
      <c r="B214" s="2" t="s">
        <v>450</v>
      </c>
      <c r="C214" s="2" t="s">
        <v>451</v>
      </c>
      <c r="D214" s="2" t="s">
        <v>16</v>
      </c>
      <c r="E214" s="2" t="s">
        <v>21</v>
      </c>
      <c r="F214" s="3" t="n">
        <v>0.0001</v>
      </c>
      <c r="G214" s="3" t="n">
        <f aca="false">SUM($F$2:F214)</f>
        <v>0.998394</v>
      </c>
      <c r="H214" s="4" t="n">
        <v>6.71</v>
      </c>
      <c r="I214" s="5"/>
      <c r="J214" s="4" t="n">
        <v>-4.01</v>
      </c>
      <c r="K214" s="5" t="n">
        <v>0.2613</v>
      </c>
      <c r="L214" s="6" t="n">
        <v>55.7544</v>
      </c>
      <c r="M214" s="5" t="n">
        <f aca="false">IF(AND(N(K214)&gt;0,N(L214)&gt;0),K214/L214,"")</f>
        <v>0.00468662562954673</v>
      </c>
      <c r="N214" s="2" t="s">
        <v>18</v>
      </c>
    </row>
    <row r="215" customFormat="false" ht="15" hidden="false" customHeight="false" outlineLevel="0" collapsed="false">
      <c r="A215" s="2" t="n">
        <v>214</v>
      </c>
      <c r="B215" s="2" t="s">
        <v>452</v>
      </c>
      <c r="C215" s="2" t="s">
        <v>453</v>
      </c>
      <c r="D215" s="2" t="s">
        <v>16</v>
      </c>
      <c r="E215" s="2" t="s">
        <v>21</v>
      </c>
      <c r="F215" s="3" t="n">
        <v>0.0001</v>
      </c>
      <c r="G215" s="3" t="n">
        <f aca="false">SUM($F$2:F215)</f>
        <v>0.998494</v>
      </c>
      <c r="H215" s="4" t="n">
        <v>3.14</v>
      </c>
      <c r="I215" s="5"/>
      <c r="J215" s="4" t="n">
        <v>-1.84</v>
      </c>
      <c r="K215" s="5" t="n">
        <v>0.1935</v>
      </c>
      <c r="L215" s="6" t="n">
        <v>5.6148</v>
      </c>
      <c r="M215" s="5" t="n">
        <f aca="false">IF(AND(N(K215)&gt;0,N(L215)&gt;0),K215/L215,"")</f>
        <v>0.034462491985467</v>
      </c>
      <c r="N215" s="2" t="s">
        <v>18</v>
      </c>
    </row>
    <row r="216" customFormat="false" ht="15" hidden="false" customHeight="false" outlineLevel="0" collapsed="false">
      <c r="A216" s="2" t="n">
        <v>215</v>
      </c>
      <c r="B216" s="2" t="s">
        <v>454</v>
      </c>
      <c r="C216" s="2" t="s">
        <v>455</v>
      </c>
      <c r="D216" s="2" t="s">
        <v>16</v>
      </c>
      <c r="E216" s="2" t="s">
        <v>21</v>
      </c>
      <c r="F216" s="3" t="n">
        <v>0.0001</v>
      </c>
      <c r="G216" s="3" t="n">
        <f aca="false">SUM($F$2:F216)</f>
        <v>0.998594</v>
      </c>
      <c r="H216" s="4" t="n">
        <v>0.58</v>
      </c>
      <c r="I216" s="5"/>
      <c r="J216" s="4" t="n">
        <v>-0.51</v>
      </c>
      <c r="K216" s="5" t="n">
        <v>0.1619</v>
      </c>
      <c r="L216" s="6" t="n">
        <v>76.3323</v>
      </c>
      <c r="M216" s="5" t="n">
        <f aca="false">IF(AND(N(K216)&gt;0,N(L216)&gt;0),K216/L216,"")</f>
        <v>0.00212098941077368</v>
      </c>
      <c r="N216" s="2" t="s">
        <v>18</v>
      </c>
    </row>
    <row r="217" customFormat="false" ht="15" hidden="false" customHeight="false" outlineLevel="0" collapsed="false">
      <c r="A217" s="2" t="n">
        <v>216</v>
      </c>
      <c r="B217" s="2" t="s">
        <v>456</v>
      </c>
      <c r="C217" s="2" t="s">
        <v>457</v>
      </c>
      <c r="D217" s="2" t="s">
        <v>16</v>
      </c>
      <c r="E217" s="2" t="s">
        <v>21</v>
      </c>
      <c r="F217" s="3" t="n">
        <v>0.0001</v>
      </c>
      <c r="G217" s="3" t="n">
        <f aca="false">SUM($F$2:F217)</f>
        <v>0.998694</v>
      </c>
      <c r="H217" s="4" t="n">
        <v>0.68</v>
      </c>
      <c r="I217" s="5"/>
      <c r="J217" s="4" t="n">
        <v>-0.52</v>
      </c>
      <c r="K217" s="5" t="n">
        <v>0.153</v>
      </c>
      <c r="L217" s="6" t="n">
        <v>114.5841</v>
      </c>
      <c r="M217" s="5" t="n">
        <f aca="false">IF(AND(N(K217)&gt;0,N(L217)&gt;0),K217/L217,"")</f>
        <v>0.00133526379314407</v>
      </c>
      <c r="N217" s="2" t="s">
        <v>18</v>
      </c>
    </row>
    <row r="218" customFormat="false" ht="15" hidden="false" customHeight="false" outlineLevel="0" collapsed="false">
      <c r="A218" s="2" t="n">
        <v>217</v>
      </c>
      <c r="B218" s="2" t="s">
        <v>458</v>
      </c>
      <c r="C218" s="2" t="s">
        <v>459</v>
      </c>
      <c r="D218" s="2" t="s">
        <v>16</v>
      </c>
      <c r="E218" s="2" t="s">
        <v>21</v>
      </c>
      <c r="F218" s="3" t="n">
        <v>0.0001</v>
      </c>
      <c r="G218" s="3" t="n">
        <f aca="false">SUM($F$2:F218)</f>
        <v>0.998794</v>
      </c>
      <c r="H218" s="4" t="n">
        <v>1.39</v>
      </c>
      <c r="I218" s="5"/>
      <c r="J218" s="4" t="n">
        <v>-0.33</v>
      </c>
      <c r="K218" s="5" t="n">
        <v>0.1522</v>
      </c>
      <c r="L218" s="6" t="n">
        <v>1.9595</v>
      </c>
      <c r="M218" s="5" t="n">
        <f aca="false">IF(AND(N(K218)&gt;0,N(L218)&gt;0),K218/L218,"")</f>
        <v>0.0776728757336055</v>
      </c>
      <c r="N218" s="2" t="s">
        <v>18</v>
      </c>
    </row>
    <row r="219" customFormat="false" ht="15" hidden="false" customHeight="false" outlineLevel="0" collapsed="false">
      <c r="A219" s="2" t="n">
        <v>218</v>
      </c>
      <c r="B219" s="2" t="s">
        <v>460</v>
      </c>
      <c r="C219" s="2" t="s">
        <v>461</v>
      </c>
      <c r="D219" s="2" t="s">
        <v>16</v>
      </c>
      <c r="E219" s="2" t="s">
        <v>21</v>
      </c>
      <c r="F219" s="3" t="n">
        <v>0.0001</v>
      </c>
      <c r="G219" s="3" t="n">
        <f aca="false">SUM($F$2:F219)</f>
        <v>0.998894</v>
      </c>
      <c r="H219" s="4" t="n">
        <v>3.73</v>
      </c>
      <c r="I219" s="5"/>
      <c r="J219" s="4" t="n">
        <v>-2.79</v>
      </c>
      <c r="K219" s="5" t="n">
        <v>0.2611</v>
      </c>
      <c r="L219" s="6" t="n">
        <v>4.2656</v>
      </c>
      <c r="M219" s="5" t="n">
        <f aca="false">IF(AND(N(K219)&gt;0,N(L219)&gt;0),K219/L219,"")</f>
        <v>0.0612106151537884</v>
      </c>
      <c r="N219" s="2" t="s">
        <v>18</v>
      </c>
    </row>
    <row r="220" customFormat="false" ht="15" hidden="false" customHeight="false" outlineLevel="0" collapsed="false">
      <c r="A220" s="2" t="n">
        <v>219</v>
      </c>
      <c r="B220" s="2" t="s">
        <v>462</v>
      </c>
      <c r="C220" s="2" t="s">
        <v>463</v>
      </c>
      <c r="D220" s="2" t="s">
        <v>16</v>
      </c>
      <c r="E220" s="2" t="s">
        <v>21</v>
      </c>
      <c r="F220" s="3" t="n">
        <v>0.0001</v>
      </c>
      <c r="G220" s="3" t="n">
        <f aca="false">SUM($F$2:F220)</f>
        <v>0.998994</v>
      </c>
      <c r="H220" s="4" t="n">
        <v>1.59</v>
      </c>
      <c r="I220" s="5"/>
      <c r="J220" s="4" t="n">
        <v>-0.68</v>
      </c>
      <c r="K220" s="5" t="n">
        <v>0.1839</v>
      </c>
      <c r="L220" s="6"/>
      <c r="M220" s="5" t="str">
        <f aca="false">IF(AND(N(K220)&gt;0,N(L220)&gt;0),K220/L220,"")</f>
        <v/>
      </c>
      <c r="N220" s="2" t="s">
        <v>18</v>
      </c>
    </row>
    <row r="221" customFormat="false" ht="15" hidden="false" customHeight="false" outlineLevel="0" collapsed="false">
      <c r="A221" s="2" t="n">
        <v>220</v>
      </c>
      <c r="B221" s="2" t="s">
        <v>464</v>
      </c>
      <c r="C221" s="2" t="s">
        <v>465</v>
      </c>
      <c r="D221" s="2" t="s">
        <v>16</v>
      </c>
      <c r="E221" s="2" t="s">
        <v>21</v>
      </c>
      <c r="F221" s="3" t="n">
        <v>0.0001</v>
      </c>
      <c r="G221" s="3" t="n">
        <f aca="false">SUM($F$2:F221)</f>
        <v>0.999094</v>
      </c>
      <c r="H221" s="4" t="n">
        <v>4.24</v>
      </c>
      <c r="I221" s="5"/>
      <c r="J221" s="4" t="n">
        <v>-1.01</v>
      </c>
      <c r="K221" s="5" t="n">
        <v>0.2518</v>
      </c>
      <c r="L221" s="6" t="n">
        <v>6.8536</v>
      </c>
      <c r="M221" s="5" t="n">
        <f aca="false">IF(AND(N(K221)&gt;0,N(L221)&gt;0),K221/L221,"")</f>
        <v>0.0367398155713786</v>
      </c>
      <c r="N221" s="2" t="s">
        <v>18</v>
      </c>
    </row>
    <row r="222" customFormat="false" ht="15" hidden="false" customHeight="false" outlineLevel="0" collapsed="false">
      <c r="A222" s="2" t="n">
        <v>221</v>
      </c>
      <c r="B222" s="2" t="s">
        <v>466</v>
      </c>
      <c r="C222" s="2" t="s">
        <v>467</v>
      </c>
      <c r="D222" s="2" t="s">
        <v>16</v>
      </c>
      <c r="E222" s="2" t="s">
        <v>84</v>
      </c>
      <c r="F222" s="3" t="n">
        <v>0.0001</v>
      </c>
      <c r="G222" s="3" t="n">
        <f aca="false">SUM($F$2:F222)</f>
        <v>0.999194</v>
      </c>
      <c r="H222" s="4" t="n">
        <v>0.78</v>
      </c>
      <c r="I222" s="5"/>
      <c r="J222" s="4" t="n">
        <v>-0.47</v>
      </c>
      <c r="K222" s="5" t="n">
        <v>0.1718</v>
      </c>
      <c r="L222" s="6" t="n">
        <v>107.0144</v>
      </c>
      <c r="M222" s="5" t="n">
        <f aca="false">IF(AND(N(K222)&gt;0,N(L222)&gt;0),K222/L222,"")</f>
        <v>0.0016053914239579</v>
      </c>
      <c r="N222" s="2" t="s">
        <v>18</v>
      </c>
    </row>
    <row r="223" customFormat="false" ht="15" hidden="false" customHeight="false" outlineLevel="0" collapsed="false">
      <c r="A223" s="2" t="n">
        <v>222</v>
      </c>
      <c r="B223" s="2" t="s">
        <v>468</v>
      </c>
      <c r="C223" s="2" t="s">
        <v>469</v>
      </c>
      <c r="D223" s="2" t="s">
        <v>16</v>
      </c>
      <c r="E223" s="2" t="s">
        <v>84</v>
      </c>
      <c r="F223" s="3" t="n">
        <v>0.0001</v>
      </c>
      <c r="G223" s="3" t="n">
        <f aca="false">SUM($F$2:F223)</f>
        <v>0.999294</v>
      </c>
      <c r="H223" s="4" t="n">
        <v>3.19</v>
      </c>
      <c r="I223" s="5"/>
      <c r="J223" s="4" t="n">
        <v>-2.75</v>
      </c>
      <c r="K223" s="5" t="n">
        <v>0.1509</v>
      </c>
      <c r="L223" s="6" t="n">
        <v>0.9834</v>
      </c>
      <c r="M223" s="5" t="n">
        <f aca="false">IF(AND(N(K223)&gt;0,N(L223)&gt;0),K223/L223,"")</f>
        <v>0.153447223917023</v>
      </c>
      <c r="N223" s="2" t="s">
        <v>18</v>
      </c>
    </row>
    <row r="224" customFormat="false" ht="15" hidden="false" customHeight="false" outlineLevel="0" collapsed="false">
      <c r="A224" s="2" t="n">
        <v>223</v>
      </c>
      <c r="B224" s="2" t="s">
        <v>470</v>
      </c>
      <c r="C224" s="2" t="s">
        <v>471</v>
      </c>
      <c r="D224" s="2" t="s">
        <v>16</v>
      </c>
      <c r="E224" s="2" t="s">
        <v>21</v>
      </c>
      <c r="F224" s="3" t="n">
        <v>0.0001</v>
      </c>
      <c r="G224" s="3" t="n">
        <f aca="false">SUM($F$2:F224)</f>
        <v>0.999394</v>
      </c>
      <c r="H224" s="4" t="n">
        <v>1.34</v>
      </c>
      <c r="I224" s="5"/>
      <c r="J224" s="4" t="n">
        <v>-1.12</v>
      </c>
      <c r="K224" s="5" t="n">
        <v>0.1437</v>
      </c>
      <c r="L224" s="6" t="n">
        <v>14.3157</v>
      </c>
      <c r="M224" s="5" t="n">
        <f aca="false">IF(AND(N(K224)&gt;0,N(L224)&gt;0),K224/L224,"")</f>
        <v>0.0100379303841237</v>
      </c>
      <c r="N224" s="2" t="s">
        <v>18</v>
      </c>
    </row>
    <row r="225" customFormat="false" ht="15" hidden="false" customHeight="false" outlineLevel="0" collapsed="false">
      <c r="A225" s="2" t="n">
        <v>224</v>
      </c>
      <c r="B225" s="2" t="s">
        <v>472</v>
      </c>
      <c r="C225" s="2" t="s">
        <v>473</v>
      </c>
      <c r="D225" s="2" t="s">
        <v>16</v>
      </c>
      <c r="E225" s="2" t="s">
        <v>21</v>
      </c>
      <c r="F225" s="3" t="n">
        <v>0.0001</v>
      </c>
      <c r="G225" s="3" t="n">
        <f aca="false">SUM($F$2:F225)</f>
        <v>0.999494</v>
      </c>
      <c r="H225" s="4" t="n">
        <v>4.13</v>
      </c>
      <c r="I225" s="5"/>
      <c r="J225" s="4" t="n">
        <v>-4.19</v>
      </c>
      <c r="K225" s="5" t="n">
        <v>0.1298</v>
      </c>
      <c r="L225" s="6" t="n">
        <v>6.0427</v>
      </c>
      <c r="M225" s="5" t="n">
        <f aca="false">IF(AND(N(K225)&gt;0,N(L225)&gt;0),K225/L225,"")</f>
        <v>0.0214804640309795</v>
      </c>
      <c r="N225" s="2" t="s">
        <v>18</v>
      </c>
    </row>
    <row r="226" customFormat="false" ht="15" hidden="false" customHeight="false" outlineLevel="0" collapsed="false">
      <c r="A226" s="2" t="n">
        <v>225</v>
      </c>
      <c r="B226" s="2" t="s">
        <v>474</v>
      </c>
      <c r="C226" s="2" t="s">
        <v>475</v>
      </c>
      <c r="D226" s="2" t="s">
        <v>16</v>
      </c>
      <c r="E226" s="2" t="s">
        <v>49</v>
      </c>
      <c r="F226" s="3" t="n">
        <v>0.0001</v>
      </c>
      <c r="G226" s="3" t="n">
        <f aca="false">SUM($F$2:F226)</f>
        <v>0.999594</v>
      </c>
      <c r="H226" s="4" t="n">
        <v>1.23</v>
      </c>
      <c r="I226" s="5"/>
      <c r="J226" s="4" t="n">
        <v>-0.64</v>
      </c>
      <c r="K226" s="5" t="n">
        <v>0.157</v>
      </c>
      <c r="L226" s="6" t="n">
        <v>1.9732</v>
      </c>
      <c r="M226" s="5" t="n">
        <f aca="false">IF(AND(N(K226)&gt;0,N(L226)&gt;0),K226/L226,"")</f>
        <v>0.0795661869045206</v>
      </c>
      <c r="N226" s="2" t="s">
        <v>18</v>
      </c>
    </row>
    <row r="227" customFormat="false" ht="15" hidden="false" customHeight="false" outlineLevel="0" collapsed="false">
      <c r="A227" s="2" t="n">
        <v>226</v>
      </c>
      <c r="B227" s="2" t="s">
        <v>476</v>
      </c>
      <c r="C227" s="2" t="s">
        <v>477</v>
      </c>
      <c r="D227" s="2" t="s">
        <v>16</v>
      </c>
      <c r="E227" s="2" t="s">
        <v>21</v>
      </c>
      <c r="F227" s="3" t="n">
        <v>0.0001</v>
      </c>
      <c r="G227" s="3" t="n">
        <f aca="false">SUM($F$2:F227)</f>
        <v>0.999694</v>
      </c>
      <c r="H227" s="4" t="n">
        <v>1.98</v>
      </c>
      <c r="I227" s="5"/>
      <c r="J227" s="4" t="n">
        <v>-0.76</v>
      </c>
      <c r="K227" s="5" t="n">
        <v>0.1135</v>
      </c>
      <c r="L227" s="6"/>
      <c r="M227" s="5" t="str">
        <f aca="false">IF(AND(N(K227)&gt;0,N(L227)&gt;0),K227/L227,"")</f>
        <v/>
      </c>
      <c r="N227" s="2" t="s">
        <v>18</v>
      </c>
    </row>
    <row r="228" customFormat="false" ht="15" hidden="false" customHeight="false" outlineLevel="0" collapsed="false">
      <c r="A228" s="2" t="n">
        <v>227</v>
      </c>
      <c r="B228" s="2" t="s">
        <v>478</v>
      </c>
      <c r="C228" s="2" t="s">
        <v>479</v>
      </c>
      <c r="D228" s="2" t="s">
        <v>16</v>
      </c>
      <c r="E228" s="2" t="s">
        <v>49</v>
      </c>
      <c r="F228" s="3" t="n">
        <v>0.0001</v>
      </c>
      <c r="G228" s="3" t="n">
        <f aca="false">SUM($F$2:F228)</f>
        <v>0.999794</v>
      </c>
      <c r="H228" s="4" t="n">
        <v>8.77</v>
      </c>
      <c r="I228" s="5"/>
      <c r="J228" s="4" t="n">
        <v>-0.33</v>
      </c>
      <c r="K228" s="5" t="n">
        <v>0.4708</v>
      </c>
      <c r="L228" s="6" t="n">
        <v>10.7745</v>
      </c>
      <c r="M228" s="5" t="n">
        <f aca="false">IF(AND(N(K228)&gt;0,N(L228)&gt;0),K228/L228,"")</f>
        <v>0.0436957631444615</v>
      </c>
      <c r="N228" s="2" t="s">
        <v>18</v>
      </c>
    </row>
    <row r="229" customFormat="false" ht="15" hidden="false" customHeight="false" outlineLevel="0" collapsed="false">
      <c r="A229" s="2" t="n">
        <v>228</v>
      </c>
      <c r="B229" s="2" t="s">
        <v>480</v>
      </c>
      <c r="C229" s="2" t="s">
        <v>481</v>
      </c>
      <c r="D229" s="2" t="s">
        <v>16</v>
      </c>
      <c r="E229" s="2" t="s">
        <v>21</v>
      </c>
      <c r="F229" s="3" t="n">
        <v>0.0001</v>
      </c>
      <c r="G229" s="3" t="n">
        <f aca="false">SUM($F$2:F229)</f>
        <v>0.999894</v>
      </c>
      <c r="H229" s="4" t="n">
        <v>11.15</v>
      </c>
      <c r="I229" s="5"/>
      <c r="J229" s="4" t="n">
        <v>-12.96</v>
      </c>
      <c r="K229" s="5" t="n">
        <v>0.2732</v>
      </c>
      <c r="L229" s="6" t="n">
        <v>10119.715</v>
      </c>
      <c r="M229" s="5" t="n">
        <f aca="false">IF(AND(N(K229)&gt;0,N(L229)&gt;0),K229/L229,"")</f>
        <v>2.69968077164228E-005</v>
      </c>
      <c r="N229" s="2" t="s">
        <v>18</v>
      </c>
    </row>
    <row r="230" customFormat="false" ht="15" hidden="false" customHeight="false" outlineLevel="0" collapsed="false">
      <c r="A230" s="2" t="n">
        <v>229</v>
      </c>
      <c r="B230" s="2" t="s">
        <v>482</v>
      </c>
      <c r="C230" s="2" t="s">
        <v>483</v>
      </c>
      <c r="D230" s="2" t="s">
        <v>16</v>
      </c>
      <c r="E230" s="2" t="s">
        <v>21</v>
      </c>
      <c r="F230" s="3" t="n">
        <v>0.0001</v>
      </c>
      <c r="G230" s="3" t="n">
        <f aca="false">SUM($F$2:F230)</f>
        <v>0.999994</v>
      </c>
      <c r="H230" s="4" t="n">
        <v>5.75</v>
      </c>
      <c r="I230" s="5"/>
      <c r="J230" s="4" t="n">
        <v>-3.34</v>
      </c>
      <c r="K230" s="5" t="n">
        <v>0.1258</v>
      </c>
      <c r="L230" s="6"/>
      <c r="M230" s="5" t="str">
        <f aca="false">IF(AND(N(K230)&gt;0,N(L230)&gt;0),K230/L230,"")</f>
        <v/>
      </c>
      <c r="N230" s="2" t="s">
        <v>18</v>
      </c>
    </row>
  </sheetData>
  <autoFilter ref="A1:N2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98"/>
    <col collapsed="false" customWidth="true" hidden="false" outlineLevel="0" max="2" min="2" style="0" width="16.01"/>
    <col collapsed="false" customWidth="true" hidden="false" outlineLevel="0" max="3" min="3" style="0" width="13.99"/>
    <col collapsed="false" customWidth="true" hidden="false" outlineLevel="0" max="4" min="4" style="0" width="20.04"/>
  </cols>
  <sheetData>
    <row r="1" customFormat="false" ht="15" hidden="false" customHeight="false" outlineLevel="0" collapsed="false">
      <c r="A1" s="7" t="s">
        <v>3</v>
      </c>
      <c r="B1" s="7" t="s">
        <v>484</v>
      </c>
      <c r="C1" s="7" t="s">
        <v>485</v>
      </c>
      <c r="D1" s="7" t="s">
        <v>486</v>
      </c>
    </row>
    <row r="2" customFormat="false" ht="15" hidden="false" customHeight="false" outlineLevel="0" collapsed="false">
      <c r="A2" s="2" t="s">
        <v>487</v>
      </c>
      <c r="B2" s="3" t="n">
        <f aca="false">SUMIF(Holdings!$D$2:$D$230,A2,Holdings!$F$2:$F$230)</f>
        <v>0</v>
      </c>
      <c r="C2" s="2" t="n">
        <f aca="false">COUNTIF(Holdings!$D$2:$D$230,A2)</f>
        <v>0</v>
      </c>
      <c r="D2" s="8" t="str">
        <f aca="false">IFERROR(AVERAGEIFS(Holdings!$I$2:$I$230,Holdings!$D$2:$D$230,A2,Holdings!$I$2:$I$230,"&lt;=100"),"")</f>
        <v/>
      </c>
    </row>
    <row r="3" customFormat="false" ht="15" hidden="false" customHeight="false" outlineLevel="0" collapsed="false">
      <c r="A3" s="2" t="s">
        <v>488</v>
      </c>
      <c r="B3" s="3" t="n">
        <f aca="false">SUMIF(Holdings!$D$2:$D$230,A3,Holdings!$F$2:$F$230)</f>
        <v>0</v>
      </c>
      <c r="C3" s="2" t="n">
        <f aca="false">COUNTIF(Holdings!$D$2:$D$230,A3)</f>
        <v>0</v>
      </c>
      <c r="D3" s="8" t="str">
        <f aca="false">IFERROR(AVERAGEIFS(Holdings!$I$2:$I$230,Holdings!$D$2:$D$230,A3,Holdings!$I$2:$I$230,"&lt;=100"),"")</f>
        <v/>
      </c>
    </row>
    <row r="4" customFormat="false" ht="15" hidden="false" customHeight="false" outlineLevel="0" collapsed="false">
      <c r="A4" s="2" t="s">
        <v>489</v>
      </c>
      <c r="B4" s="3" t="n">
        <f aca="false">SUMIF(Holdings!$D$2:$D$230,A4,Holdings!$F$2:$F$230)</f>
        <v>0</v>
      </c>
      <c r="C4" s="2" t="n">
        <f aca="false">COUNTIF(Holdings!$D$2:$D$230,A4)</f>
        <v>0</v>
      </c>
      <c r="D4" s="8" t="str">
        <f aca="false">IFERROR(AVERAGEIFS(Holdings!$I$2:$I$230,Holdings!$D$2:$D$230,A4,Holdings!$I$2:$I$230,"&lt;=100"),"")</f>
        <v/>
      </c>
    </row>
    <row r="5" customFormat="false" ht="15" hidden="false" customHeight="false" outlineLevel="0" collapsed="false">
      <c r="A5" s="2" t="s">
        <v>490</v>
      </c>
      <c r="B5" s="3" t="n">
        <f aca="false">SUMIF(Holdings!$D$2:$D$230,A5,Holdings!$F$2:$F$230)</f>
        <v>0</v>
      </c>
      <c r="C5" s="2" t="n">
        <f aca="false">COUNTIF(Holdings!$D$2:$D$230,A5)</f>
        <v>0</v>
      </c>
      <c r="D5" s="8" t="str">
        <f aca="false">IFERROR(AVERAGEIFS(Holdings!$I$2:$I$230,Holdings!$D$2:$D$230,A5,Holdings!$I$2:$I$230,"&lt;=100"),"")</f>
        <v/>
      </c>
    </row>
    <row r="6" customFormat="false" ht="15" hidden="false" customHeight="false" outlineLevel="0" collapsed="false">
      <c r="A6" s="2" t="s">
        <v>491</v>
      </c>
      <c r="B6" s="3" t="n">
        <f aca="false">SUMIF(Holdings!$D$2:$D$230,A6,Holdings!$F$2:$F$230)</f>
        <v>0</v>
      </c>
      <c r="C6" s="2" t="n">
        <f aca="false">COUNTIF(Holdings!$D$2:$D$230,A6)</f>
        <v>0</v>
      </c>
      <c r="D6" s="8" t="str">
        <f aca="false">IFERROR(AVERAGEIFS(Holdings!$I$2:$I$230,Holdings!$D$2:$D$230,A6,Holdings!$I$2:$I$230,"&lt;=100"),"")</f>
        <v/>
      </c>
    </row>
    <row r="7" customFormat="false" ht="15" hidden="false" customHeight="false" outlineLevel="0" collapsed="false">
      <c r="A7" s="2" t="s">
        <v>16</v>
      </c>
      <c r="B7" s="3" t="n">
        <f aca="false">SUMIF(Holdings!$D$2:$D$230,A7,Holdings!$F$2:$F$230)</f>
        <v>0.999994</v>
      </c>
      <c r="C7" s="2" t="n">
        <f aca="false">COUNTIF(Holdings!$D$2:$D$230,A7)</f>
        <v>229</v>
      </c>
      <c r="D7" s="8" t="n">
        <f aca="false">IFERROR(AVERAGEIFS(Holdings!$I$2:$I$230,Holdings!$D$2:$D$230,A7,Holdings!$I$2:$I$230,"&lt;=100"),"")</f>
        <v>27.1050419354839</v>
      </c>
    </row>
    <row r="8" customFormat="false" ht="15" hidden="false" customHeight="false" outlineLevel="0" collapsed="false">
      <c r="A8" s="2" t="s">
        <v>492</v>
      </c>
      <c r="B8" s="3" t="n">
        <f aca="false">SUMIF(Holdings!$D$2:$D$230,A8,Holdings!$F$2:$F$230)</f>
        <v>0</v>
      </c>
      <c r="C8" s="2" t="n">
        <f aca="false">COUNTIF(Holdings!$D$2:$D$230,A8)</f>
        <v>0</v>
      </c>
      <c r="D8" s="8" t="str">
        <f aca="false">IFERROR(AVERAGEIFS(Holdings!$I$2:$I$230,Holdings!$D$2:$D$230,A8,Holdings!$I$2:$I$230,"&lt;=100"),"")</f>
        <v/>
      </c>
    </row>
    <row r="9" customFormat="false" ht="15" hidden="false" customHeight="false" outlineLevel="0" collapsed="false">
      <c r="A9" s="2" t="s">
        <v>493</v>
      </c>
      <c r="B9" s="3" t="n">
        <f aca="false">SUMIF(Holdings!$D$2:$D$230,A9,Holdings!$F$2:$F$230)</f>
        <v>0</v>
      </c>
      <c r="C9" s="2" t="n">
        <f aca="false">COUNTIF(Holdings!$D$2:$D$230,A9)</f>
        <v>0</v>
      </c>
      <c r="D9" s="8" t="str">
        <f aca="false">IFERROR(AVERAGEIFS(Holdings!$I$2:$I$230,Holdings!$D$2:$D$230,A9,Holdings!$I$2:$I$230,"&lt;=100"),"")</f>
        <v/>
      </c>
    </row>
    <row r="10" customFormat="false" ht="15" hidden="false" customHeight="false" outlineLevel="0" collapsed="false">
      <c r="A10" s="2" t="s">
        <v>494</v>
      </c>
      <c r="B10" s="3" t="n">
        <f aca="false">SUMIF(Holdings!$D$2:$D$230,A10,Holdings!$F$2:$F$230)</f>
        <v>0</v>
      </c>
      <c r="C10" s="2" t="n">
        <f aca="false">COUNTIF(Holdings!$D$2:$D$230,A10)</f>
        <v>0</v>
      </c>
      <c r="D10" s="8" t="str">
        <f aca="false">IFERROR(AVERAGEIFS(Holdings!$I$2:$I$230,Holdings!$D$2:$D$230,A10,Holdings!$I$2:$I$230,"&lt;=100"),"")</f>
        <v/>
      </c>
    </row>
    <row r="11" customFormat="false" ht="15" hidden="false" customHeight="false" outlineLevel="0" collapsed="false">
      <c r="A11" s="2" t="s">
        <v>495</v>
      </c>
      <c r="B11" s="3" t="n">
        <f aca="false">SUMIF(Holdings!$D$2:$D$230,A11,Holdings!$F$2:$F$230)</f>
        <v>0</v>
      </c>
      <c r="C11" s="2" t="n">
        <f aca="false">COUNTIF(Holdings!$D$2:$D$230,A11)</f>
        <v>0</v>
      </c>
      <c r="D11" s="8" t="str">
        <f aca="false">IFERROR(AVERAGEIFS(Holdings!$I$2:$I$230,Holdings!$D$2:$D$230,A11,Holdings!$I$2:$I$230,"&lt;=100"),"")</f>
        <v/>
      </c>
    </row>
    <row r="12" customFormat="false" ht="15" hidden="false" customHeight="false" outlineLevel="0" collapsed="false">
      <c r="A12" s="2" t="s">
        <v>496</v>
      </c>
      <c r="B12" s="3" t="n">
        <f aca="false">SUMIF(Holdings!$D$2:$D$230,A12,Holdings!$F$2:$F$230)</f>
        <v>0</v>
      </c>
      <c r="C12" s="2" t="n">
        <f aca="false">COUNTIF(Holdings!$D$2:$D$230,A12)</f>
        <v>0</v>
      </c>
      <c r="D12" s="8" t="str">
        <f aca="false">IFERROR(AVERAGEIFS(Holdings!$I$2:$I$230,Holdings!$D$2:$D$230,A12,Holdings!$I$2:$I$230,"&lt;=100"),"")</f>
        <v/>
      </c>
    </row>
    <row r="13" customFormat="false" ht="15" hidden="false" customHeight="false" outlineLevel="0" collapsed="false">
      <c r="A13" s="2" t="s">
        <v>497</v>
      </c>
      <c r="B13" s="3" t="n">
        <f aca="false">1-SUM(B2:B12)</f>
        <v>5.99999999995049E-006</v>
      </c>
      <c r="C13" s="2" t="n">
        <f aca="false">COUNTBLANK(Holdings!$D$2:$D$230)</f>
        <v>0</v>
      </c>
      <c r="D13" s="8"/>
    </row>
    <row r="14" customFormat="false" ht="15" hidden="false" customHeight="false" outlineLevel="0" collapsed="false">
      <c r="A14" s="9" t="s">
        <v>498</v>
      </c>
      <c r="B14" s="10" t="n">
        <f aca="false">SUM(B2:B13)</f>
        <v>1</v>
      </c>
      <c r="C14" s="9" t="n">
        <f aca="false">SUM(C2:C13)</f>
        <v>229</v>
      </c>
      <c r="D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2" t="s">
        <v>499</v>
      </c>
    </row>
    <row r="2" customFormat="false" ht="15" hidden="false" customHeight="false" outlineLevel="0" collapsed="false">
      <c r="A2" s="13" t="s">
        <v>500</v>
      </c>
    </row>
    <row r="3" customFormat="false" ht="15" hidden="false" customHeight="false" outlineLevel="0" collapsed="false">
      <c r="A3" s="13" t="s">
        <v>501</v>
      </c>
      <c r="B3" s="14" t="n">
        <v>0.418</v>
      </c>
    </row>
    <row r="4" customFormat="false" ht="15" hidden="false" customHeight="false" outlineLevel="0" collapsed="false">
      <c r="A4" s="13" t="s">
        <v>502</v>
      </c>
      <c r="B4" s="15" t="n">
        <v>0.0108</v>
      </c>
    </row>
    <row r="6" customFormat="false" ht="15" hidden="false" customHeight="false" outlineLevel="0" collapsed="false">
      <c r="A6" s="1" t="s">
        <v>1</v>
      </c>
      <c r="B6" s="1" t="s">
        <v>503</v>
      </c>
      <c r="C6" s="1" t="s">
        <v>504</v>
      </c>
      <c r="D6" s="1" t="s">
        <v>505</v>
      </c>
    </row>
    <row r="7" customFormat="false" ht="15" hidden="false" customHeight="false" outlineLevel="0" collapsed="false">
      <c r="A7" s="13" t="s">
        <v>14</v>
      </c>
      <c r="B7" s="16" t="n">
        <v>0.083</v>
      </c>
      <c r="C7" s="16" t="n">
        <v>0.0026</v>
      </c>
      <c r="D7" s="17" t="n">
        <f aca="false">IF(C7&gt;0,B7/C7,"")</f>
        <v>31.9230769230769</v>
      </c>
    </row>
    <row r="8" customFormat="false" ht="15" hidden="false" customHeight="false" outlineLevel="0" collapsed="false">
      <c r="A8" s="13" t="s">
        <v>19</v>
      </c>
      <c r="B8" s="16" t="n">
        <v>0.0757</v>
      </c>
      <c r="C8" s="16" t="n">
        <v>0.0018</v>
      </c>
      <c r="D8" s="17" t="n">
        <f aca="false">IF(C8&gt;0,B8/C8,"")</f>
        <v>42.0555555555556</v>
      </c>
    </row>
    <row r="9" customFormat="false" ht="15" hidden="false" customHeight="false" outlineLevel="0" collapsed="false">
      <c r="A9" s="13" t="s">
        <v>22</v>
      </c>
      <c r="B9" s="16" t="n">
        <v>0.0738</v>
      </c>
      <c r="C9" s="16" t="n">
        <v>0.003</v>
      </c>
      <c r="D9" s="17" t="n">
        <f aca="false">IF(C9&gt;0,B9/C9,"")</f>
        <v>24.6</v>
      </c>
    </row>
    <row r="10" customFormat="false" ht="15" hidden="false" customHeight="false" outlineLevel="0" collapsed="false">
      <c r="A10" s="13" t="s">
        <v>24</v>
      </c>
      <c r="B10" s="16" t="n">
        <v>0.0565</v>
      </c>
      <c r="C10" s="16" t="n">
        <v>0.0012</v>
      </c>
      <c r="D10" s="17" t="n">
        <f aca="false">IF(C10&gt;0,B10/C10,"")</f>
        <v>47.0833333333333</v>
      </c>
    </row>
    <row r="11" customFormat="false" ht="15" hidden="false" customHeight="false" outlineLevel="0" collapsed="false">
      <c r="A11" s="13" t="s">
        <v>26</v>
      </c>
      <c r="B11" s="16" t="n">
        <v>0.0451</v>
      </c>
      <c r="C11" s="16" t="n">
        <v>0.0009</v>
      </c>
      <c r="D11" s="17" t="n">
        <f aca="false">IF(C11&gt;0,B11/C11,"")</f>
        <v>50.1111111111111</v>
      </c>
    </row>
    <row r="12" customFormat="false" ht="15" hidden="false" customHeight="false" outlineLevel="0" collapsed="false">
      <c r="A12" s="13" t="s">
        <v>35</v>
      </c>
      <c r="B12" s="16" t="n">
        <v>0.0256</v>
      </c>
      <c r="C12" s="16" t="n">
        <v>0</v>
      </c>
      <c r="D12" s="17" t="str">
        <f aca="false">IF(C12&gt;0,B12/C12,"")</f>
        <v/>
      </c>
    </row>
    <row r="13" customFormat="false" ht="15" hidden="false" customHeight="false" outlineLevel="0" collapsed="false">
      <c r="A13" s="13" t="s">
        <v>39</v>
      </c>
      <c r="B13" s="16" t="n">
        <v>0.0229</v>
      </c>
      <c r="C13" s="16" t="n">
        <v>0.0005</v>
      </c>
      <c r="D13" s="17" t="n">
        <f aca="false">IF(C13&gt;0,B13/C13,"")</f>
        <v>45.8</v>
      </c>
    </row>
    <row r="14" customFormat="false" ht="15" hidden="false" customHeight="false" outlineLevel="0" collapsed="false">
      <c r="A14" s="13" t="s">
        <v>45</v>
      </c>
      <c r="B14" s="16" t="n">
        <v>0.0179</v>
      </c>
      <c r="C14" s="16" t="n">
        <v>0.0004</v>
      </c>
      <c r="D14" s="17" t="n">
        <f aca="false">IF(C14&gt;0,B14/C14,"")</f>
        <v>44.75</v>
      </c>
    </row>
    <row r="15" customFormat="false" ht="15" hidden="false" customHeight="false" outlineLevel="0" collapsed="false">
      <c r="A15" s="13" t="s">
        <v>63</v>
      </c>
      <c r="B15" s="16" t="n">
        <v>0.0094</v>
      </c>
      <c r="C15" s="16" t="n">
        <v>0.0002</v>
      </c>
      <c r="D15" s="17" t="n">
        <f aca="false">IF(C15&gt;0,B15/C15,"")</f>
        <v>47</v>
      </c>
    </row>
    <row r="16" customFormat="false" ht="15" hidden="false" customHeight="false" outlineLevel="0" collapsed="false">
      <c r="A16" s="13" t="s">
        <v>71</v>
      </c>
      <c r="B16" s="16" t="n">
        <v>0.0081</v>
      </c>
      <c r="C16" s="16" t="n">
        <v>0.0002</v>
      </c>
      <c r="D16" s="17" t="n">
        <f aca="false">IF(C16&gt;0,B16/C16,"")</f>
        <v>40.5</v>
      </c>
    </row>
    <row r="17" customFormat="false" ht="15" hidden="false" customHeight="false" outlineLevel="0" collapsed="false">
      <c r="A17" s="12" t="s">
        <v>506</v>
      </c>
      <c r="B17" s="14" t="n">
        <f aca="false">SUM(B7:B16)</f>
        <v>0.418</v>
      </c>
      <c r="C17" s="15" t="n">
        <f aca="false">SUM(C7:C16)</f>
        <v>0.0108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04"/>
  </cols>
  <sheetData>
    <row r="1" customFormat="false" ht="15" hidden="false" customHeight="false" outlineLevel="0" collapsed="false">
      <c r="A1" s="18" t="s">
        <v>507</v>
      </c>
    </row>
    <row r="2" customFormat="false" ht="52.2" hidden="false" customHeight="false" outlineLevel="0" collapsed="false">
      <c r="A2" s="18" t="s">
        <v>508</v>
      </c>
    </row>
    <row r="3" customFormat="false" ht="39.55" hidden="false" customHeight="false" outlineLevel="0" collapsed="false">
      <c r="A3" s="18" t="s">
        <v>509</v>
      </c>
    </row>
    <row r="4" customFormat="false" ht="15" hidden="false" customHeight="false" outlineLevel="0" collapsed="false">
      <c r="A4" s="18" t="s">
        <v>510</v>
      </c>
    </row>
    <row r="5" customFormat="false" ht="39.55" hidden="false" customHeight="false" outlineLevel="0" collapsed="false">
      <c r="A5" s="18" t="s">
        <v>511</v>
      </c>
    </row>
    <row r="6" customFormat="false" ht="15" hidden="false" customHeight="false" outlineLevel="0" collapsed="false">
      <c r="A6" s="18" t="s">
        <v>512</v>
      </c>
    </row>
    <row r="7" customFormat="false" ht="26.85" hidden="false" customHeight="false" outlineLevel="0" collapsed="false">
      <c r="A7" s="18" t="s">
        <v>513</v>
      </c>
    </row>
    <row r="8" customFormat="false" ht="15" hidden="false" customHeight="false" outlineLevel="0" collapsed="false">
      <c r="A8" s="18" t="s">
        <v>514</v>
      </c>
    </row>
    <row r="9" customFormat="false" ht="15" hidden="false" customHeight="false" outlineLevel="0" collapsed="false">
      <c r="A9" s="18"/>
    </row>
    <row r="10" customFormat="false" ht="52.2" hidden="false" customHeight="false" outlineLevel="0" collapsed="false">
      <c r="A10" s="18" t="s">
        <v>515</v>
      </c>
    </row>
    <row r="11" customFormat="false" ht="15" hidden="false" customHeight="false" outlineLevel="0" collapsed="false">
      <c r="A11" s="18" t="s">
        <v>516</v>
      </c>
    </row>
    <row r="12" customFormat="false" ht="26.85" hidden="false" customHeight="false" outlineLevel="0" collapsed="false">
      <c r="A12" s="18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3.85" hidden="false" customHeight="false" outlineLevel="0" collapsed="false">
      <c r="A1" s="1" t="s">
        <v>518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</row>
    <row r="2" customFormat="false" ht="15" hidden="false" customHeight="false" outlineLevel="0" collapsed="false">
      <c r="A2" s="19" t="n">
        <v>2002</v>
      </c>
      <c r="B2" s="20" t="str">
        <f aca="false">INT(A2/10)*10&amp;"s"</f>
        <v>2000s</v>
      </c>
      <c r="C2" s="21" t="n">
        <v>-0.458</v>
      </c>
      <c r="D2" s="21" t="n">
        <v>-0.458</v>
      </c>
      <c r="E2" s="21" t="n">
        <v>-0.4706</v>
      </c>
      <c r="F2" s="21" t="n">
        <v>-0.4706</v>
      </c>
      <c r="G2" s="20" t="str">
        <f aca="false">IF(D2&gt;=0,"Up","Down")</f>
        <v>Down</v>
      </c>
      <c r="H2" s="22" t="n">
        <f aca="false">1+D2</f>
        <v>0.542</v>
      </c>
      <c r="I2" s="22" t="n">
        <f aca="false">1+C2</f>
        <v>0.542</v>
      </c>
      <c r="J2" s="21" t="n">
        <v>-0.2158</v>
      </c>
    </row>
    <row r="3" customFormat="false" ht="15" hidden="false" customHeight="false" outlineLevel="0" collapsed="false">
      <c r="A3" s="19" t="n">
        <v>2003</v>
      </c>
      <c r="B3" s="20" t="str">
        <f aca="false">INT(A3/10)*10&amp;"s"</f>
        <v>2000s</v>
      </c>
      <c r="C3" s="21" t="n">
        <v>0.458</v>
      </c>
      <c r="D3" s="21" t="n">
        <v>0.458</v>
      </c>
      <c r="E3" s="21" t="n">
        <v>0.4311</v>
      </c>
      <c r="F3" s="21" t="n">
        <v>0.4311</v>
      </c>
      <c r="G3" s="20" t="str">
        <f aca="false">IF(D3&gt;=0,"Up","Down")</f>
        <v>Up</v>
      </c>
      <c r="H3" s="22" t="n">
        <f aca="false">H2*(1+D3)</f>
        <v>0.790236</v>
      </c>
      <c r="I3" s="22" t="n">
        <f aca="false">I2*(1+C3)</f>
        <v>0.790236</v>
      </c>
      <c r="J3" s="21" t="n">
        <v>0.2818</v>
      </c>
    </row>
    <row r="4" customFormat="false" ht="15" hidden="false" customHeight="false" outlineLevel="0" collapsed="false">
      <c r="A4" s="19" t="n">
        <v>2004</v>
      </c>
      <c r="B4" s="20" t="str">
        <f aca="false">INT(A4/10)*10&amp;"s"</f>
        <v>2000s</v>
      </c>
      <c r="C4" s="21" t="n">
        <v>0.0479</v>
      </c>
      <c r="D4" s="21" t="n">
        <v>0.0479</v>
      </c>
      <c r="E4" s="21" t="n">
        <v>0.0149</v>
      </c>
      <c r="F4" s="21" t="n">
        <v>0.0149</v>
      </c>
      <c r="G4" s="20" t="str">
        <f aca="false">IF(D4&gt;=0,"Up","Down")</f>
        <v>Up</v>
      </c>
      <c r="H4" s="22" t="n">
        <f aca="false">H3*(1+D4)</f>
        <v>0.8280883044</v>
      </c>
      <c r="I4" s="22" t="n">
        <f aca="false">I3*(1+C4)</f>
        <v>0.8280883044</v>
      </c>
      <c r="J4" s="21" t="n">
        <v>0.107</v>
      </c>
    </row>
    <row r="5" customFormat="false" ht="15" hidden="false" customHeight="false" outlineLevel="0" collapsed="false">
      <c r="A5" s="19" t="n">
        <v>2005</v>
      </c>
      <c r="B5" s="20" t="str">
        <f aca="false">INT(A5/10)*10&amp;"s"</f>
        <v>2000s</v>
      </c>
      <c r="C5" s="21" t="n">
        <v>0.0244</v>
      </c>
      <c r="D5" s="21" t="n">
        <v>0.0244</v>
      </c>
      <c r="E5" s="21" t="n">
        <v>-0.0094</v>
      </c>
      <c r="F5" s="21" t="n">
        <v>-0.0094</v>
      </c>
      <c r="G5" s="20" t="str">
        <f aca="false">IF(D5&gt;=0,"Up","Down")</f>
        <v>Up</v>
      </c>
      <c r="H5" s="22" t="n">
        <f aca="false">H4*(1+D5)</f>
        <v>0.84829365902736</v>
      </c>
      <c r="I5" s="22" t="n">
        <f aca="false">I4*(1+C5)</f>
        <v>0.84829365902736</v>
      </c>
      <c r="J5" s="21" t="n">
        <v>0.0483</v>
      </c>
    </row>
    <row r="6" customFormat="false" ht="15" hidden="false" customHeight="false" outlineLevel="0" collapsed="false">
      <c r="A6" s="19" t="n">
        <v>2006</v>
      </c>
      <c r="B6" s="20" t="str">
        <f aca="false">INT(A6/10)*10&amp;"s"</f>
        <v>2000s</v>
      </c>
      <c r="C6" s="21" t="n">
        <v>0.0067</v>
      </c>
      <c r="D6" s="21" t="n">
        <v>0.0067</v>
      </c>
      <c r="E6" s="21" t="n">
        <v>-0.0182</v>
      </c>
      <c r="F6" s="21" t="n">
        <v>-0.0182</v>
      </c>
      <c r="G6" s="20" t="str">
        <f aca="false">IF(D6&gt;=0,"Up","Down")</f>
        <v>Up</v>
      </c>
      <c r="H6" s="22" t="n">
        <f aca="false">H5*(1+D6)</f>
        <v>0.853977226542843</v>
      </c>
      <c r="I6" s="22" t="n">
        <f aca="false">I5*(1+C6)</f>
        <v>0.853977226542843</v>
      </c>
      <c r="J6" s="21" t="n">
        <v>0.1585</v>
      </c>
    </row>
    <row r="7" customFormat="false" ht="15" hidden="false" customHeight="false" outlineLevel="0" collapsed="false">
      <c r="A7" s="19" t="n">
        <v>2007</v>
      </c>
      <c r="B7" s="20" t="str">
        <f aca="false">INT(A7/10)*10&amp;"s"</f>
        <v>2000s</v>
      </c>
      <c r="C7" s="21" t="n">
        <v>0.044</v>
      </c>
      <c r="D7" s="21" t="n">
        <v>0.0452</v>
      </c>
      <c r="E7" s="21" t="n">
        <v>0.003</v>
      </c>
      <c r="F7" s="21" t="n">
        <v>0.0042</v>
      </c>
      <c r="G7" s="20" t="str">
        <f aca="false">IF(D7&gt;=0,"Up","Down")</f>
        <v>Up</v>
      </c>
      <c r="H7" s="22" t="n">
        <f aca="false">H6*(1+D7)</f>
        <v>0.89257699718258</v>
      </c>
      <c r="I7" s="22" t="n">
        <f aca="false">I6*(1+C7)</f>
        <v>0.891552224510729</v>
      </c>
      <c r="J7" s="21" t="n">
        <v>0.0515</v>
      </c>
    </row>
    <row r="8" customFormat="false" ht="15" hidden="false" customHeight="false" outlineLevel="0" collapsed="false">
      <c r="A8" s="19" t="n">
        <v>2008</v>
      </c>
      <c r="B8" s="20" t="str">
        <f aca="false">INT(A8/10)*10&amp;"s"</f>
        <v>2000s</v>
      </c>
      <c r="C8" s="21" t="n">
        <v>-0.1248</v>
      </c>
      <c r="D8" s="21" t="n">
        <v>-0.1228</v>
      </c>
      <c r="E8" s="21" t="n">
        <v>-0.1256</v>
      </c>
      <c r="F8" s="21" t="n">
        <v>-0.1236</v>
      </c>
      <c r="G8" s="20" t="str">
        <f aca="false">IF(D8&gt;=0,"Up","Down")</f>
        <v>Down</v>
      </c>
      <c r="H8" s="22" t="n">
        <f aca="false">H7*(1+D8)</f>
        <v>0.782968541928559</v>
      </c>
      <c r="I8" s="22" t="n">
        <f aca="false">I7*(1+C8)</f>
        <v>0.78028650689179</v>
      </c>
      <c r="J8" s="21" t="n">
        <v>-0.368</v>
      </c>
    </row>
    <row r="9" customFormat="false" ht="15" hidden="false" customHeight="false" outlineLevel="0" collapsed="false">
      <c r="A9" s="19" t="n">
        <v>2009</v>
      </c>
      <c r="B9" s="20" t="str">
        <f aca="false">INT(A9/10)*10&amp;"s"</f>
        <v>2000s</v>
      </c>
      <c r="C9" s="21" t="n">
        <v>0.1517</v>
      </c>
      <c r="D9" s="21" t="n">
        <v>0.1517</v>
      </c>
      <c r="E9" s="21" t="n">
        <v>0.1212</v>
      </c>
      <c r="F9" s="21" t="n">
        <v>0.1212</v>
      </c>
      <c r="G9" s="20" t="str">
        <f aca="false">IF(D9&gt;=0,"Up","Down")</f>
        <v>Up</v>
      </c>
      <c r="H9" s="22" t="n">
        <f aca="false">H8*(1+D9)</f>
        <v>0.901744869739121</v>
      </c>
      <c r="I9" s="22" t="n">
        <f aca="false">I8*(1+C9)</f>
        <v>0.898655969987274</v>
      </c>
      <c r="J9" s="21" t="n">
        <v>0.2635</v>
      </c>
    </row>
    <row r="10" customFormat="false" ht="15" hidden="false" customHeight="false" outlineLevel="0" collapsed="false">
      <c r="A10" s="19" t="n">
        <v>2010</v>
      </c>
      <c r="B10" s="20" t="str">
        <f aca="false">INT(A10/10)*10&amp;"s"</f>
        <v>2010s</v>
      </c>
      <c r="C10" s="21" t="n">
        <v>0.1416</v>
      </c>
      <c r="D10" s="21" t="n">
        <v>0.1484</v>
      </c>
      <c r="E10" s="21" t="n">
        <v>0.1248</v>
      </c>
      <c r="F10" s="21" t="n">
        <v>0.1315</v>
      </c>
      <c r="G10" s="20" t="str">
        <f aca="false">IF(D10&gt;=0,"Up","Down")</f>
        <v>Up</v>
      </c>
      <c r="H10" s="22" t="n">
        <f aca="false">H9*(1+D10)</f>
        <v>1.03556380840841</v>
      </c>
      <c r="I10" s="22" t="n">
        <f aca="false">I9*(1+C10)</f>
        <v>1.02590565533747</v>
      </c>
      <c r="J10" s="21" t="n">
        <v>0.1506</v>
      </c>
    </row>
    <row r="11" customFormat="false" ht="15" hidden="false" customHeight="false" outlineLevel="0" collapsed="false">
      <c r="A11" s="19" t="n">
        <v>2011</v>
      </c>
      <c r="B11" s="20" t="str">
        <f aca="false">INT(A11/10)*10&amp;"s"</f>
        <v>2010s</v>
      </c>
      <c r="C11" s="21" t="n">
        <v>0.117</v>
      </c>
      <c r="D11" s="21" t="n">
        <v>0.1172</v>
      </c>
      <c r="E11" s="21" t="n">
        <v>0.0849</v>
      </c>
      <c r="F11" s="21" t="n">
        <v>0.085</v>
      </c>
      <c r="G11" s="20" t="str">
        <f aca="false">IF(D11&gt;=0,"Up","Down")</f>
        <v>Up</v>
      </c>
      <c r="H11" s="22" t="n">
        <f aca="false">H10*(1+D11)</f>
        <v>1.15693188675387</v>
      </c>
      <c r="I11" s="22" t="n">
        <f aca="false">I10*(1+C11)</f>
        <v>1.14593661701196</v>
      </c>
      <c r="J11" s="21" t="n">
        <v>0.019</v>
      </c>
    </row>
    <row r="12" customFormat="false" ht="15" hidden="false" customHeight="false" outlineLevel="0" collapsed="false">
      <c r="A12" s="19" t="n">
        <v>2012</v>
      </c>
      <c r="B12" s="20" t="str">
        <f aca="false">INT(A12/10)*10&amp;"s"</f>
        <v>2010s</v>
      </c>
      <c r="C12" s="21" t="n">
        <v>0.315</v>
      </c>
      <c r="D12" s="21" t="n">
        <v>0.3213</v>
      </c>
      <c r="E12" s="21" t="n">
        <v>0.2925</v>
      </c>
      <c r="F12" s="21" t="n">
        <v>0.2987</v>
      </c>
      <c r="G12" s="20" t="str">
        <f aca="false">IF(D12&gt;=0,"Up","Down")</f>
        <v>Up</v>
      </c>
      <c r="H12" s="22" t="n">
        <f aca="false">H11*(1+D12)</f>
        <v>1.52865410196789</v>
      </c>
      <c r="I12" s="22" t="n">
        <f aca="false">I11*(1+C12)</f>
        <v>1.50690665137072</v>
      </c>
      <c r="J12" s="21" t="n">
        <v>0.1599</v>
      </c>
    </row>
    <row r="13" customFormat="false" ht="15" hidden="false" customHeight="false" outlineLevel="0" collapsed="false">
      <c r="A13" s="19" t="n">
        <v>2013</v>
      </c>
      <c r="B13" s="20" t="str">
        <f aca="false">INT(A13/10)*10&amp;"s"</f>
        <v>2010s</v>
      </c>
      <c r="C13" s="21" t="n">
        <v>0.6547</v>
      </c>
      <c r="D13" s="21" t="n">
        <v>0.6554</v>
      </c>
      <c r="E13" s="21" t="n">
        <v>0.6302</v>
      </c>
      <c r="F13" s="21" t="n">
        <v>0.6309</v>
      </c>
      <c r="G13" s="20" t="str">
        <f aca="false">IF(D13&gt;=0,"Up","Down")</f>
        <v>Up</v>
      </c>
      <c r="H13" s="22" t="n">
        <f aca="false">H12*(1+D13)</f>
        <v>2.53053400039765</v>
      </c>
      <c r="I13" s="22" t="n">
        <f aca="false">I12*(1+C13)</f>
        <v>2.49347843602313</v>
      </c>
      <c r="J13" s="21" t="n">
        <v>0.3231</v>
      </c>
    </row>
    <row r="14" customFormat="false" ht="15" hidden="false" customHeight="false" outlineLevel="0" collapsed="false">
      <c r="A14" s="19" t="n">
        <v>2014</v>
      </c>
      <c r="B14" s="20" t="str">
        <f aca="false">INT(A14/10)*10&amp;"s"</f>
        <v>2010s</v>
      </c>
      <c r="C14" s="21" t="n">
        <v>0.336</v>
      </c>
      <c r="D14" s="21" t="n">
        <v>0.3383</v>
      </c>
      <c r="E14" s="21" t="n">
        <v>0.326</v>
      </c>
      <c r="F14" s="21" t="n">
        <v>0.3283</v>
      </c>
      <c r="G14" s="20" t="str">
        <f aca="false">IF(D14&gt;=0,"Up","Down")</f>
        <v>Up</v>
      </c>
      <c r="H14" s="22" t="n">
        <f aca="false">H13*(1+D14)</f>
        <v>3.38661365273217</v>
      </c>
      <c r="I14" s="22" t="n">
        <f aca="false">I13*(1+C14)</f>
        <v>3.33128719052691</v>
      </c>
      <c r="J14" s="21" t="n">
        <v>0.1346</v>
      </c>
    </row>
    <row r="15" customFormat="false" ht="15" hidden="false" customHeight="false" outlineLevel="0" collapsed="false">
      <c r="A15" s="19" t="n">
        <v>2015</v>
      </c>
      <c r="B15" s="20" t="str">
        <f aca="false">INT(A15/10)*10&amp;"s"</f>
        <v>2010s</v>
      </c>
      <c r="C15" s="21" t="n">
        <v>0.1153</v>
      </c>
      <c r="D15" s="21" t="n">
        <v>0.1156</v>
      </c>
      <c r="E15" s="21" t="n">
        <v>0.1072</v>
      </c>
      <c r="F15" s="21" t="n">
        <v>0.1075</v>
      </c>
      <c r="G15" s="20" t="str">
        <f aca="false">IF(D15&gt;=0,"Up","Down")</f>
        <v>Up</v>
      </c>
      <c r="H15" s="22" t="n">
        <f aca="false">H14*(1+D15)</f>
        <v>3.77810619098801</v>
      </c>
      <c r="I15" s="22" t="n">
        <f aca="false">I14*(1+C15)</f>
        <v>3.71538460359466</v>
      </c>
      <c r="J15" s="21" t="n">
        <v>0.0123</v>
      </c>
    </row>
    <row r="16" customFormat="false" ht="15" hidden="false" customHeight="false" outlineLevel="0" collapsed="false">
      <c r="A16" s="19" t="n">
        <v>2016</v>
      </c>
      <c r="B16" s="20" t="str">
        <f aca="false">INT(A16/10)*10&amp;"s"</f>
        <v>2010s</v>
      </c>
      <c r="C16" s="21" t="n">
        <v>-0.2156</v>
      </c>
      <c r="D16" s="21" t="n">
        <v>-0.2142</v>
      </c>
      <c r="E16" s="21" t="n">
        <v>-0.2316</v>
      </c>
      <c r="F16" s="21" t="n">
        <v>-0.2301</v>
      </c>
      <c r="G16" s="20" t="str">
        <f aca="false">IF(D16&gt;=0,"Up","Down")</f>
        <v>Down</v>
      </c>
      <c r="H16" s="22" t="n">
        <f aca="false">H15*(1+D16)</f>
        <v>2.96883584487838</v>
      </c>
      <c r="I16" s="22" t="n">
        <f aca="false">I15*(1+C16)</f>
        <v>2.91434768305965</v>
      </c>
      <c r="J16" s="21" t="n">
        <v>0.12</v>
      </c>
    </row>
    <row r="17" customFormat="false" ht="15" hidden="false" customHeight="false" outlineLevel="0" collapsed="false">
      <c r="A17" s="19" t="n">
        <v>2017</v>
      </c>
      <c r="B17" s="20" t="str">
        <f aca="false">INT(A17/10)*10&amp;"s"</f>
        <v>2010s</v>
      </c>
      <c r="C17" s="21" t="n">
        <v>0.207</v>
      </c>
      <c r="D17" s="21" t="n">
        <v>0.2108</v>
      </c>
      <c r="E17" s="21" t="n">
        <v>0.1821</v>
      </c>
      <c r="F17" s="21" t="n">
        <v>0.1857</v>
      </c>
      <c r="G17" s="20" t="str">
        <f aca="false">IF(D17&gt;=0,"Up","Down")</f>
        <v>Up</v>
      </c>
      <c r="H17" s="22" t="n">
        <f aca="false">H16*(1+D17)</f>
        <v>3.59466644097874</v>
      </c>
      <c r="I17" s="22" t="n">
        <f aca="false">I16*(1+C17)</f>
        <v>3.517617653453</v>
      </c>
      <c r="J17" s="21" t="n">
        <v>0.2171</v>
      </c>
    </row>
    <row r="18" customFormat="false" ht="15" hidden="false" customHeight="false" outlineLevel="0" collapsed="false">
      <c r="A18" s="19" t="n">
        <v>2018</v>
      </c>
      <c r="B18" s="20" t="str">
        <f aca="false">INT(A18/10)*10&amp;"s"</f>
        <v>2010s</v>
      </c>
      <c r="C18" s="21" t="n">
        <v>-0.0968</v>
      </c>
      <c r="D18" s="21" t="n">
        <v>-0.0953</v>
      </c>
      <c r="E18" s="21" t="n">
        <v>-0.1138</v>
      </c>
      <c r="F18" s="21" t="n">
        <v>-0.1123</v>
      </c>
      <c r="G18" s="20" t="str">
        <f aca="false">IF(D18&gt;=0,"Up","Down")</f>
        <v>Down</v>
      </c>
      <c r="H18" s="22" t="n">
        <f aca="false">H17*(1+D18)</f>
        <v>3.25209472915347</v>
      </c>
      <c r="I18" s="22" t="n">
        <f aca="false">I17*(1+C18)</f>
        <v>3.17711226459875</v>
      </c>
      <c r="J18" s="21" t="n">
        <v>-0.0457</v>
      </c>
    </row>
    <row r="19" customFormat="false" ht="15" hidden="false" customHeight="false" outlineLevel="0" collapsed="false">
      <c r="A19" s="19" t="n">
        <v>2019</v>
      </c>
      <c r="B19" s="20" t="str">
        <f aca="false">INT(A19/10)*10&amp;"s"</f>
        <v>2010s</v>
      </c>
      <c r="C19" s="21" t="n">
        <v>0.2497</v>
      </c>
      <c r="D19" s="21" t="n">
        <v>0.2542</v>
      </c>
      <c r="E19" s="21" t="n">
        <v>0.2218</v>
      </c>
      <c r="F19" s="21" t="n">
        <v>0.2262</v>
      </c>
      <c r="G19" s="20" t="str">
        <f aca="false">IF(D19&gt;=0,"Up","Down")</f>
        <v>Up</v>
      </c>
      <c r="H19" s="22" t="n">
        <f aca="false">H18*(1+D19)</f>
        <v>4.07877720930428</v>
      </c>
      <c r="I19" s="22" t="n">
        <f aca="false">I18*(1+C19)</f>
        <v>3.97043719706906</v>
      </c>
      <c r="J19" s="21" t="n">
        <v>0.3122</v>
      </c>
    </row>
    <row r="20" customFormat="false" ht="15" hidden="false" customHeight="false" outlineLevel="0" collapsed="false">
      <c r="A20" s="19" t="n">
        <v>2020</v>
      </c>
      <c r="B20" s="20" t="str">
        <f aca="false">INT(A20/10)*10&amp;"s"</f>
        <v>2020s</v>
      </c>
      <c r="C20" s="21" t="n">
        <v>0.2571</v>
      </c>
      <c r="D20" s="21" t="n">
        <v>0.2601</v>
      </c>
      <c r="E20" s="21" t="n">
        <v>0.2402</v>
      </c>
      <c r="F20" s="21" t="n">
        <v>0.2432</v>
      </c>
      <c r="G20" s="20" t="str">
        <f aca="false">IF(D20&gt;=0,"Up","Down")</f>
        <v>Up</v>
      </c>
      <c r="H20" s="22" t="n">
        <f aca="false">H19*(1+D20)</f>
        <v>5.13966716144432</v>
      </c>
      <c r="I20" s="22" t="n">
        <f aca="false">I19*(1+C20)</f>
        <v>4.99123660043551</v>
      </c>
      <c r="J20" s="21" t="n">
        <v>0.1833</v>
      </c>
    </row>
    <row r="21" customFormat="false" ht="15" hidden="false" customHeight="false" outlineLevel="0" collapsed="false">
      <c r="A21" s="19" t="n">
        <v>2021</v>
      </c>
      <c r="B21" s="20" t="str">
        <f aca="false">INT(A21/10)*10&amp;"s"</f>
        <v>2020s</v>
      </c>
      <c r="C21" s="21" t="n">
        <v>0.0075</v>
      </c>
      <c r="D21" s="21" t="n">
        <v>0.0095</v>
      </c>
      <c r="E21" s="21" t="n">
        <v>-0.0588</v>
      </c>
      <c r="F21" s="21" t="n">
        <v>-0.0569</v>
      </c>
      <c r="G21" s="20" t="str">
        <f aca="false">IF(D21&gt;=0,"Up","Down")</f>
        <v>Up</v>
      </c>
      <c r="H21" s="22" t="n">
        <f aca="false">H20*(1+D21)</f>
        <v>5.18849399947804</v>
      </c>
      <c r="I21" s="22" t="n">
        <f aca="false">I20*(1+C21)</f>
        <v>5.02867087493878</v>
      </c>
      <c r="J21" s="21" t="n">
        <v>0.2873</v>
      </c>
    </row>
    <row r="22" customFormat="false" ht="15" hidden="false" customHeight="false" outlineLevel="0" collapsed="false">
      <c r="A22" s="19" t="n">
        <v>2022</v>
      </c>
      <c r="B22" s="20" t="str">
        <f aca="false">INT(A22/10)*10&amp;"s"</f>
        <v>2020s</v>
      </c>
      <c r="C22" s="21" t="n">
        <v>-0.1398</v>
      </c>
      <c r="D22" s="21" t="n">
        <v>-0.1369</v>
      </c>
      <c r="E22" s="21" t="n">
        <v>-0.1919</v>
      </c>
      <c r="F22" s="21" t="n">
        <v>-0.1892</v>
      </c>
      <c r="G22" s="20" t="str">
        <f aca="false">IF(D22&gt;=0,"Up","Down")</f>
        <v>Down</v>
      </c>
      <c r="H22" s="22" t="n">
        <f aca="false">H21*(1+D22)</f>
        <v>4.4781891709495</v>
      </c>
      <c r="I22" s="22" t="n">
        <f aca="false">I21*(1+C22)</f>
        <v>4.32566268662234</v>
      </c>
      <c r="J22" s="21" t="n">
        <v>-0.1818</v>
      </c>
    </row>
    <row r="23" customFormat="false" ht="15" hidden="false" customHeight="false" outlineLevel="0" collapsed="false">
      <c r="A23" s="19" t="n">
        <v>2023</v>
      </c>
      <c r="B23" s="20" t="str">
        <f aca="false">INT(A23/10)*10&amp;"s"</f>
        <v>2020s</v>
      </c>
      <c r="C23" s="21" t="n">
        <v>0.0347</v>
      </c>
      <c r="D23" s="21" t="n">
        <v>0.0376</v>
      </c>
      <c r="E23" s="21" t="n">
        <v>0.0012</v>
      </c>
      <c r="F23" s="21" t="n">
        <v>0.0039</v>
      </c>
      <c r="G23" s="20" t="str">
        <f aca="false">IF(D23&gt;=0,"Up","Down")</f>
        <v>Up</v>
      </c>
      <c r="H23" s="22" t="n">
        <f aca="false">H22*(1+D23)</f>
        <v>4.6465690837772</v>
      </c>
      <c r="I23" s="22" t="n">
        <f aca="false">I22*(1+C23)</f>
        <v>4.47576318184813</v>
      </c>
      <c r="J23" s="21" t="n">
        <v>0.2618</v>
      </c>
    </row>
    <row r="24" customFormat="false" ht="15" hidden="false" customHeight="false" outlineLevel="0" collapsed="false">
      <c r="A24" s="19" t="n">
        <v>2024</v>
      </c>
      <c r="B24" s="20" t="str">
        <f aca="false">INT(A24/10)*10&amp;"s"</f>
        <v>2020s</v>
      </c>
      <c r="C24" s="21" t="n">
        <v>-0.0268</v>
      </c>
      <c r="D24" s="21" t="n">
        <v>-0.0241</v>
      </c>
      <c r="E24" s="21" t="n">
        <v>-0.0541</v>
      </c>
      <c r="F24" s="21" t="n">
        <v>-0.0515</v>
      </c>
      <c r="G24" s="20" t="str">
        <f aca="false">IF(D24&gt;=0,"Up","Down")</f>
        <v>Down</v>
      </c>
      <c r="H24" s="22" t="n">
        <f aca="false">H23*(1+D24)</f>
        <v>4.53458676885817</v>
      </c>
      <c r="I24" s="22" t="n">
        <f aca="false">I23*(1+C24)</f>
        <v>4.3558127285746</v>
      </c>
      <c r="J24" s="21" t="n">
        <v>0.2489</v>
      </c>
    </row>
    <row r="25" customFormat="false" ht="15" hidden="false" customHeight="false" outlineLevel="0" collapsed="false">
      <c r="A25" s="19" t="n">
        <v>2025</v>
      </c>
      <c r="B25" s="20" t="str">
        <f aca="false">INT(A25/10)*10&amp;"s"</f>
        <v>2020s</v>
      </c>
      <c r="C25" s="21" t="n">
        <v>0.2765</v>
      </c>
      <c r="D25" s="21" t="n">
        <v>0.2798</v>
      </c>
      <c r="E25" s="21" t="n">
        <v>0.2432</v>
      </c>
      <c r="F25" s="21" t="n">
        <v>0.2464</v>
      </c>
      <c r="G25" s="20" t="str">
        <f aca="false">IF(D25&gt;=0,"Up","Down")</f>
        <v>Up</v>
      </c>
      <c r="H25" s="22" t="n">
        <f aca="false">H24*(1+D25)</f>
        <v>5.80336414678468</v>
      </c>
      <c r="I25" s="22" t="n">
        <f aca="false">I24*(1+C25)</f>
        <v>5.56019494802548</v>
      </c>
      <c r="J25" s="21" t="n">
        <v>0.1772</v>
      </c>
    </row>
    <row r="27" customFormat="false" ht="15" hidden="false" customHeight="false" outlineLevel="0" collapsed="false">
      <c r="A27" s="12" t="s">
        <v>528</v>
      </c>
    </row>
    <row r="28" customFormat="false" ht="15" hidden="false" customHeight="false" outlineLevel="0" collapsed="false">
      <c r="A28" s="13" t="s">
        <v>529</v>
      </c>
      <c r="C28" s="23" t="n">
        <f aca="false">COUNT(A2:A25)</f>
        <v>24</v>
      </c>
    </row>
    <row r="29" customFormat="false" ht="15" hidden="false" customHeight="false" outlineLevel="0" collapsed="false">
      <c r="A29" s="13" t="s">
        <v>530</v>
      </c>
      <c r="C29" s="23" t="n">
        <f aca="false">COUNTIF(D2:D25,"&gt;=0")</f>
        <v>18</v>
      </c>
    </row>
    <row r="30" customFormat="false" ht="15" hidden="false" customHeight="false" outlineLevel="0" collapsed="false">
      <c r="A30" s="13" t="s">
        <v>531</v>
      </c>
      <c r="C30" s="23" t="n">
        <f aca="false">COUNTIF(D2:D25,"&lt;0")</f>
        <v>6</v>
      </c>
    </row>
    <row r="31" customFormat="false" ht="15" hidden="false" customHeight="false" outlineLevel="0" collapsed="false">
      <c r="A31" s="13" t="s">
        <v>532</v>
      </c>
      <c r="C31" s="16" t="n">
        <f aca="false">AVERAGE(D2:D25)</f>
        <v>0.101283333333333</v>
      </c>
    </row>
    <row r="32" customFormat="false" ht="15" hidden="false" customHeight="false" outlineLevel="0" collapsed="false">
      <c r="A32" s="13" t="s">
        <v>533</v>
      </c>
      <c r="C32" s="16" t="n">
        <f aca="false">(H25)^(1/COUNT(A2:A25))-1</f>
        <v>0.0760191302377717</v>
      </c>
    </row>
    <row r="33" customFormat="false" ht="15" hidden="false" customHeight="false" outlineLevel="0" collapsed="false">
      <c r="A33" s="13" t="s">
        <v>534</v>
      </c>
      <c r="C33" s="16" t="n">
        <f aca="false">AVERAGE(F2:F25)</f>
        <v>0.0748708333333333</v>
      </c>
    </row>
    <row r="34" customFormat="false" ht="15" hidden="false" customHeight="false" outlineLevel="0" collapsed="false">
      <c r="A34" s="13" t="s">
        <v>535</v>
      </c>
      <c r="C34" s="16" t="n">
        <f aca="false">MAX(D2:D25)</f>
        <v>0.6554</v>
      </c>
    </row>
    <row r="35" customFormat="false" ht="15" hidden="false" customHeight="false" outlineLevel="0" collapsed="false">
      <c r="A35" s="13" t="s">
        <v>536</v>
      </c>
      <c r="C35" s="16" t="n">
        <f aca="false">MIN(D2:D25)</f>
        <v>-0.458</v>
      </c>
    </row>
    <row r="36" customFormat="false" ht="15" hidden="false" customHeight="false" outlineLevel="0" collapsed="false">
      <c r="A36" s="13" t="s">
        <v>537</v>
      </c>
      <c r="C36" s="16" t="n">
        <f aca="false">STDEV(D2:D25)</f>
        <v>0.232522546203059</v>
      </c>
    </row>
    <row r="37" customFormat="false" ht="15" hidden="false" customHeight="false" outlineLevel="0" collapsed="false">
      <c r="A37" s="13" t="s">
        <v>538</v>
      </c>
      <c r="C37" s="24" t="n">
        <f aca="false">H25</f>
        <v>5.80336414678468</v>
      </c>
    </row>
    <row r="38" customFormat="false" ht="15" hidden="false" customHeight="false" outlineLevel="0" collapsed="false">
      <c r="A38" s="13" t="s">
        <v>539</v>
      </c>
      <c r="C38" s="16" t="n">
        <f aca="false">AVERAGE(J2:J25)</f>
        <v>0.112775</v>
      </c>
    </row>
    <row r="39" customFormat="false" ht="15" hidden="false" customHeight="false" outlineLevel="0" collapsed="false">
      <c r="A39" s="13" t="s">
        <v>540</v>
      </c>
      <c r="C39" s="16" t="n">
        <f aca="false">EXP(SUMPRODUCT(LN(1+J2:J25)))^(1/COUNT(J2:J25))-1</f>
        <v>0.0971488793727564</v>
      </c>
    </row>
    <row r="40" customFormat="false" ht="15" hidden="false" customHeight="false" outlineLevel="0" collapsed="false">
      <c r="A40" s="13" t="s">
        <v>541</v>
      </c>
      <c r="C40" s="24" t="n">
        <f aca="false">EXP(SUMPRODUCT(LN(1+J2:J25)))</f>
        <v>9.25493840257565</v>
      </c>
    </row>
    <row r="41" customFormat="false" ht="15" hidden="false" customHeight="false" outlineLevel="0" collapsed="false">
      <c r="A41" s="13" t="s">
        <v>542</v>
      </c>
      <c r="C41" s="16" t="n">
        <f aca="false">STDEV(J2:J25)</f>
        <v>0.175771539591695</v>
      </c>
    </row>
    <row r="43" customFormat="false" ht="15" hidden="false" customHeight="false" outlineLevel="0" collapsed="false">
      <c r="A43" s="25" t="s">
        <v>543</v>
      </c>
    </row>
    <row r="44" customFormat="false" ht="15" hidden="false" customHeight="false" outlineLevel="0" collapsed="false">
      <c r="A44" s="25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01"/>
    <col collapsed="false" customWidth="true" hidden="false" outlineLevel="0" max="2" min="2" style="0" width="11.97"/>
    <col collapsed="false" customWidth="true" hidden="false" outlineLevel="0" max="3" min="3" style="0" width="7.94"/>
    <col collapsed="false" customWidth="true" hidden="false" outlineLevel="0" max="5" min="4" style="0" width="13"/>
    <col collapsed="false" customWidth="true" hidden="false" outlineLevel="0" max="6" min="6" style="0" width="11.97"/>
    <col collapsed="false" customWidth="true" hidden="false" outlineLevel="0" max="7" min="7" style="0" width="13.05"/>
    <col collapsed="false" customWidth="true" hidden="false" outlineLevel="0" max="8" min="8" style="0" width="11.97"/>
    <col collapsed="false" customWidth="true" hidden="false" outlineLevel="0" max="9" min="9" style="0" width="13"/>
    <col collapsed="false" customWidth="true" hidden="false" outlineLevel="0" max="10" min="10" style="0" width="13.05"/>
    <col collapsed="false" customWidth="true" hidden="false" outlineLevel="0" max="11" min="11" style="0" width="13"/>
    <col collapsed="false" customWidth="true" hidden="false" outlineLevel="0" max="12" min="12" style="0" width="11.03"/>
    <col collapsed="false" customWidth="true" hidden="false" outlineLevel="0" max="15" min="13" style="0" width="13"/>
  </cols>
  <sheetData>
    <row r="1" customFormat="false" ht="35.05" hidden="false" customHeight="false" outlineLevel="0" collapsed="false">
      <c r="A1" s="1" t="s">
        <v>519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557</v>
      </c>
      <c r="O1" s="1" t="s">
        <v>558</v>
      </c>
    </row>
    <row r="2" customFormat="false" ht="15" hidden="false" customHeight="false" outlineLevel="0" collapsed="false">
      <c r="A2" s="20" t="s">
        <v>559</v>
      </c>
      <c r="B2" s="20" t="s">
        <v>560</v>
      </c>
      <c r="C2" s="20" t="n">
        <f aca="false">COUNTIF('Annual Returns'!$B$2:$B$25,"2000s")</f>
        <v>8</v>
      </c>
      <c r="D2" s="20" t="n">
        <f aca="false">COUNTIFS('Annual Returns'!$B$2:$B$25,"2000s",'Annual Returns'!$D$2:$D$25,"&gt;=0")</f>
        <v>6</v>
      </c>
      <c r="E2" s="20" t="n">
        <f aca="false">COUNTIFS('Annual Returns'!$B$2:$B$25,"2000s",'Annual Returns'!$D$2:$D$25,"&lt;0")</f>
        <v>2</v>
      </c>
      <c r="F2" s="21" t="n">
        <f aca="false">AVERAGEIF('Annual Returns'!$B$2:$B$25,"2000s",'Annual Returns'!$D$2:$D$25)</f>
        <v>0.0191375</v>
      </c>
      <c r="G2" s="21" t="n">
        <f aca="false">(1+H2)^(1/C2)-1</f>
        <v>-0.0128447489831364</v>
      </c>
      <c r="H2" s="21" t="n">
        <f aca="false">EXP(SUMPRODUCT(('Annual Returns'!$B$2:$B$25="2000s")*LN(1+'Annual Returns'!$D$2:$D$25)))-1</f>
        <v>-0.0982551302608787</v>
      </c>
      <c r="I2" s="21" t="n">
        <f aca="false">AVERAGEIF('Annual Returns'!$B$2:$B$25,"2000s",'Annual Returns'!$C$2:$C$25)</f>
        <v>0.0187375</v>
      </c>
      <c r="J2" s="21" t="n">
        <f aca="false">(EXP(SUMPRODUCT(('Annual Returns'!$B$2:$B$25="2000s")*LN(1+'Annual Returns'!$C$2:$C$25))))^(1/C2)-1</f>
        <v>-0.0132680675981788</v>
      </c>
      <c r="K2" s="21" t="n">
        <f aca="false">AVERAGEIF('Annual Returns'!$B$2:$B$25,"2000s",'Annual Returns'!$F$2:$F$25)</f>
        <v>-0.0063</v>
      </c>
      <c r="L2" s="21" t="n">
        <f aca="false">_xlfn.MAXIFS('Annual Returns'!$D$2:$D$25,'Annual Returns'!$B$2:$B$25,"2000s")</f>
        <v>0.458</v>
      </c>
      <c r="M2" s="21" t="n">
        <f aca="false">_xlfn.MINIFS('Annual Returns'!$D$2:$D$25,'Annual Returns'!$B$2:$B$25,"2000s")</f>
        <v>-0.458</v>
      </c>
      <c r="N2" s="22" t="n">
        <f aca="false">1+H2</f>
        <v>0.901744869739121</v>
      </c>
      <c r="O2" s="21" t="n">
        <f aca="false">(EXP(SUMPRODUCT(('Annual Returns'!$B$2:$B$25="2000s")*LN(1+'Annual Returns'!$J$2:$J$25))))^(1/C2)-1</f>
        <v>0.0159205468241146</v>
      </c>
    </row>
    <row r="3" customFormat="false" ht="15" hidden="false" customHeight="false" outlineLevel="0" collapsed="false">
      <c r="A3" s="20" t="s">
        <v>561</v>
      </c>
      <c r="B3" s="20" t="s">
        <v>562</v>
      </c>
      <c r="C3" s="20" t="n">
        <f aca="false">COUNTIF('Annual Returns'!$B$2:$B$25,"2010s")</f>
        <v>10</v>
      </c>
      <c r="D3" s="20" t="n">
        <f aca="false">COUNTIFS('Annual Returns'!$B$2:$B$25,"2010s",'Annual Returns'!$D$2:$D$25,"&gt;=0")</f>
        <v>8</v>
      </c>
      <c r="E3" s="20" t="n">
        <f aca="false">COUNTIFS('Annual Returns'!$B$2:$B$25,"2010s",'Annual Returns'!$D$2:$D$25,"&lt;0")</f>
        <v>2</v>
      </c>
      <c r="F3" s="21" t="n">
        <f aca="false">AVERAGEIF('Annual Returns'!$B$2:$B$25,"2010s",'Annual Returns'!$D$2:$D$25)</f>
        <v>0.18517</v>
      </c>
      <c r="G3" s="21" t="n">
        <f aca="false">(1+H3)^(1/C3)-1</f>
        <v>0.162906051185387</v>
      </c>
      <c r="H3" s="21" t="n">
        <f aca="false">EXP(SUMPRODUCT(('Annual Returns'!$B$2:$B$25="2010s")*LN(1+'Annual Returns'!$D$2:$D$25)))-1</f>
        <v>3.52320533909362</v>
      </c>
      <c r="I3" s="21" t="n">
        <f aca="false">AVERAGEIF('Annual Returns'!$B$2:$B$25,"2010s",'Annual Returns'!$C$2:$C$25)</f>
        <v>0.18239</v>
      </c>
      <c r="J3" s="21" t="n">
        <f aca="false">(EXP(SUMPRODUCT(('Annual Returns'!$B$2:$B$25="2010s")*LN(1+'Annual Returns'!$C$2:$C$25))))^(1/C3)-1</f>
        <v>0.160177628295571</v>
      </c>
      <c r="K3" s="21" t="n">
        <f aca="false">AVERAGEIF('Annual Returns'!$B$2:$B$25,"2010s",'Annual Returns'!$F$2:$F$25)</f>
        <v>0.16514</v>
      </c>
      <c r="L3" s="21" t="n">
        <f aca="false">_xlfn.MAXIFS('Annual Returns'!$D$2:$D$25,'Annual Returns'!$B$2:$B$25,"2010s")</f>
        <v>0.6554</v>
      </c>
      <c r="M3" s="21" t="n">
        <f aca="false">_xlfn.MINIFS('Annual Returns'!$D$2:$D$25,'Annual Returns'!$B$2:$B$25,"2010s")</f>
        <v>-0.2142</v>
      </c>
      <c r="N3" s="22" t="n">
        <f aca="false">1+H3</f>
        <v>4.52320533909362</v>
      </c>
      <c r="O3" s="21" t="n">
        <f aca="false">(EXP(SUMPRODUCT(('Annual Returns'!$B$2:$B$25="2010s")*LN(1+'Annual Returns'!$J$2:$J$25))))^(1/C3)-1</f>
        <v>0.134355818409178</v>
      </c>
    </row>
    <row r="4" customFormat="false" ht="15" hidden="false" customHeight="false" outlineLevel="0" collapsed="false">
      <c r="A4" s="20" t="s">
        <v>563</v>
      </c>
      <c r="B4" s="20" t="s">
        <v>564</v>
      </c>
      <c r="C4" s="20" t="n">
        <f aca="false">COUNTIF('Annual Returns'!$B$2:$B$25,"2020s")</f>
        <v>6</v>
      </c>
      <c r="D4" s="20" t="n">
        <f aca="false">COUNTIFS('Annual Returns'!$B$2:$B$25,"2020s",'Annual Returns'!$D$2:$D$25,"&gt;=0")</f>
        <v>4</v>
      </c>
      <c r="E4" s="20" t="n">
        <f aca="false">COUNTIFS('Annual Returns'!$B$2:$B$25,"2020s",'Annual Returns'!$D$2:$D$25,"&lt;0")</f>
        <v>2</v>
      </c>
      <c r="F4" s="21" t="n">
        <f aca="false">AVERAGEIF('Annual Returns'!$B$2:$B$25,"2020s",'Annual Returns'!$D$2:$D$25)</f>
        <v>0.071</v>
      </c>
      <c r="G4" s="21" t="n">
        <f aca="false">(1+H4)^(1/C4)-1</f>
        <v>0.0605349201322327</v>
      </c>
      <c r="H4" s="21" t="n">
        <f aca="false">EXP(SUMPRODUCT(('Annual Returns'!$B$2:$B$25="2020s")*LN(1+'Annual Returns'!$D$2:$D$25)))-1</f>
        <v>0.422819597389722</v>
      </c>
      <c r="I4" s="21" t="n">
        <f aca="false">AVERAGEIF('Annual Returns'!$B$2:$B$25,"2020s",'Annual Returns'!$C$2:$C$25)</f>
        <v>0.0682</v>
      </c>
      <c r="J4" s="21" t="n">
        <f aca="false">(EXP(SUMPRODUCT(('Annual Returns'!$B$2:$B$25="2020s")*LN(1+'Annual Returns'!$C$2:$C$25))))^(1/C4)-1</f>
        <v>0.0577311180426956</v>
      </c>
      <c r="K4" s="21" t="n">
        <f aca="false">AVERAGEIF('Annual Returns'!$B$2:$B$25,"2020s",'Annual Returns'!$F$2:$F$25)</f>
        <v>0.03265</v>
      </c>
      <c r="L4" s="21" t="n">
        <f aca="false">_xlfn.MAXIFS('Annual Returns'!$D$2:$D$25,'Annual Returns'!$B$2:$B$25,"2020s")</f>
        <v>0.2798</v>
      </c>
      <c r="M4" s="21" t="n">
        <f aca="false">_xlfn.MINIFS('Annual Returns'!$D$2:$D$25,'Annual Returns'!$B$2:$B$25,"2020s")</f>
        <v>-0.1369</v>
      </c>
      <c r="N4" s="22" t="n">
        <f aca="false">1+H4</f>
        <v>1.42281959738972</v>
      </c>
      <c r="O4" s="21" t="n">
        <f aca="false">(EXP(SUMPRODUCT(('Annual Returns'!$B$2:$B$25="2020s")*LN(1+'Annual Returns'!$J$2:$J$25))))^(1/C4)-1</f>
        <v>0.149918581650387</v>
      </c>
    </row>
    <row r="5" customFormat="false" ht="15" hidden="false" customHeight="false" outlineLevel="0" collapsed="false">
      <c r="A5" s="26" t="s">
        <v>565</v>
      </c>
      <c r="B5" s="26" t="s">
        <v>566</v>
      </c>
      <c r="C5" s="26" t="n">
        <f aca="false">COUNT('Annual Returns'!$A$2:$A$25)</f>
        <v>24</v>
      </c>
      <c r="D5" s="26" t="n">
        <f aca="false">COUNTIF('Annual Returns'!$D$2:$D$25,"&gt;=0")</f>
        <v>18</v>
      </c>
      <c r="E5" s="26" t="n">
        <f aca="false">COUNTIF('Annual Returns'!$D$2:$D$25,"&lt;0")</f>
        <v>6</v>
      </c>
      <c r="F5" s="27" t="n">
        <f aca="false">AVERAGE('Annual Returns'!$D$2:$D$25)</f>
        <v>0.101283333333333</v>
      </c>
      <c r="G5" s="27" t="n">
        <f aca="false">(1+H5)^(1/C5)-1</f>
        <v>0.0760191302377717</v>
      </c>
      <c r="H5" s="27" t="n">
        <f aca="false">EXP(SUMPRODUCT(LN(1+'Annual Returns'!$D$2:$D$25)))-1</f>
        <v>4.80336414678469</v>
      </c>
      <c r="I5" s="27" t="n">
        <f aca="false">AVERAGE('Annual Returns'!$C$2:$C$25)</f>
        <v>0.0992916666666667</v>
      </c>
      <c r="J5" s="27" t="n">
        <f aca="false">(EXP(SUMPRODUCT(LN(1+'Annual Returns'!$C$2:$C$25))))^(1/C5)-1</f>
        <v>0.0741017333892409</v>
      </c>
      <c r="K5" s="27" t="n">
        <f aca="false">AVERAGE('Annual Returns'!$F$2:$F$25)</f>
        <v>0.0748708333333333</v>
      </c>
      <c r="L5" s="27" t="n">
        <f aca="false">MAX('Annual Returns'!$D$2:$D$25)</f>
        <v>0.6554</v>
      </c>
      <c r="M5" s="27" t="n">
        <f aca="false">MIN('Annual Returns'!$D$2:$D$25)</f>
        <v>-0.458</v>
      </c>
      <c r="N5" s="28" t="n">
        <f aca="false">1+H5</f>
        <v>5.80336414678469</v>
      </c>
      <c r="O5" s="27" t="n">
        <f aca="false">(EXP(SUMPRODUCT(LN(1+'Annual Returns'!$J$2:$J$25))))^(1/C5)-1</f>
        <v>0.0971488793727564</v>
      </c>
    </row>
    <row r="8" customFormat="false" ht="15" hidden="false" customHeight="false" outlineLevel="0" collapsed="false">
      <c r="A8" s="25" t="s">
        <v>567</v>
      </c>
    </row>
    <row r="9" customFormat="false" ht="15" hidden="false" customHeight="false" outlineLevel="0" collapsed="false">
      <c r="A9" s="25" t="s">
        <v>568</v>
      </c>
    </row>
    <row r="10" customFormat="false" ht="15" hidden="false" customHeight="false" outlineLevel="0" collapsed="false">
      <c r="A10" s="25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2026-09-23T11:50:42Z</dcterms:created>
  <dc:creator>openpyxl</dc:creator>
  <dc:description/>
  <dc:language>en-US</dc:language>
  <cp:lastModifiedBy/>
  <dcterms:modified xsi:type="dcterms:W3CDTF">2026-09-23T11:50:43Z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