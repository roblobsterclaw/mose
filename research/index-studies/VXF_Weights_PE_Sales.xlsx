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ldings" sheetId="1" state="visible" r:id="rId3"/>
    <sheet name="Sectors" sheetId="2" state="visible" r:id="rId4"/>
    <sheet name="Notes" sheetId="3" state="visible" r:id="rId5"/>
    <sheet name="Annual Returns" sheetId="4" state="visible" r:id="rId6"/>
    <sheet name="By Decade" sheetId="5" state="visible" r:id="rId7"/>
  </sheets>
  <definedNames>
    <definedName function="false" hidden="true" localSheetId="0" name="_xlnm._FilterDatabase" vbProcedure="false">Holdings!$A$1:$N$1010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<sst xmlns="http://schemas.openxmlformats.org/spreadsheetml/2006/main" count="3849" uniqueCount="2252">
  <si>
    <t xml:space="preserve">Rank</t>
  </si>
  <si>
    <t xml:space="preserve">Ticker</t>
  </si>
  <si>
    <t xml:space="preserve">Company</t>
  </si>
  <si>
    <t xml:space="preserve">GICS Sector</t>
  </si>
  <si>
    <t xml:space="preserve">Sub-Industry</t>
  </si>
  <si>
    <t xml:space="preserve">Weight</t>
  </si>
  <si>
    <t xml:space="preserve">Cumulative Weight</t>
  </si>
  <si>
    <t xml:space="preserve">Price ($)</t>
  </si>
  <si>
    <t xml:space="preserve">P/E (TTM)</t>
  </si>
  <si>
    <t xml:space="preserve">EPS (TTM)</t>
  </si>
  <si>
    <t xml:space="preserve">Mkt Cap ($B)</t>
  </si>
  <si>
    <t xml:space="preserve">Price/Sales</t>
  </si>
  <si>
    <t xml:space="preserve">Revenue TTM ($B)</t>
  </si>
  <si>
    <t xml:space="preserve">Notes</t>
  </si>
  <si>
    <t xml:space="preserve">TWLO</t>
  </si>
  <si>
    <t xml:space="preserve">Twilio Inc.</t>
  </si>
  <si>
    <t xml:space="preserve">Information Technology</t>
  </si>
  <si>
    <t xml:space="preserve">Software - Infrastructure</t>
  </si>
  <si>
    <t xml:space="preserve">OKTA</t>
  </si>
  <si>
    <t xml:space="preserve">Okta, Inc.</t>
  </si>
  <si>
    <t xml:space="preserve">NVT</t>
  </si>
  <si>
    <t xml:space="preserve">nVent Electric plc</t>
  </si>
  <si>
    <t xml:space="preserve">Industrials</t>
  </si>
  <si>
    <t xml:space="preserve">Electrical Equipment &amp; Parts</t>
  </si>
  <si>
    <t xml:space="preserve">FTI</t>
  </si>
  <si>
    <t xml:space="preserve">TechnipFMC plc</t>
  </si>
  <si>
    <t xml:space="preserve">Energy</t>
  </si>
  <si>
    <t xml:space="preserve">Oil &amp; Gas Equipment &amp; Services</t>
  </si>
  <si>
    <t xml:space="preserve">ATI</t>
  </si>
  <si>
    <t xml:space="preserve">ATI Inc.</t>
  </si>
  <si>
    <t xml:space="preserve">Metal Fabrication</t>
  </si>
  <si>
    <t xml:space="preserve">UTHR</t>
  </si>
  <si>
    <t xml:space="preserve">United Therapeutics Corporation</t>
  </si>
  <si>
    <t xml:space="preserve">Health Care</t>
  </si>
  <si>
    <t xml:space="preserve">Drug Manufacturers - Specialty &amp; Generic</t>
  </si>
  <si>
    <t xml:space="preserve">SNX</t>
  </si>
  <si>
    <t xml:space="preserve">TD SYNNEX Corporation</t>
  </si>
  <si>
    <t xml:space="preserve">Electronics &amp; Computer Distribution</t>
  </si>
  <si>
    <t xml:space="preserve">CW</t>
  </si>
  <si>
    <t xml:space="preserve">Curtiss-Wright Corporation</t>
  </si>
  <si>
    <t xml:space="preserve">Aerospace &amp; Defense</t>
  </si>
  <si>
    <t xml:space="preserve">ENTG</t>
  </si>
  <si>
    <t xml:space="preserve">Entegris, Inc.</t>
  </si>
  <si>
    <t xml:space="preserve">Semiconductor Equipment &amp; Materials</t>
  </si>
  <si>
    <t xml:space="preserve">THC</t>
  </si>
  <si>
    <t xml:space="preserve">Tenet Healthcare Corporation</t>
  </si>
  <si>
    <t xml:space="preserve">Medical Care Facilities</t>
  </si>
  <si>
    <t xml:space="preserve">ROIV</t>
  </si>
  <si>
    <t xml:space="preserve">Roivant Sciences Ltd.</t>
  </si>
  <si>
    <t xml:space="preserve">Biotechnology</t>
  </si>
  <si>
    <t xml:space="preserve">Negative trailing EPS; P/E blank</t>
  </si>
  <si>
    <t xml:space="preserve">XPO</t>
  </si>
  <si>
    <t xml:space="preserve">XPO, Inc.</t>
  </si>
  <si>
    <t xml:space="preserve">Trucking</t>
  </si>
  <si>
    <t xml:space="preserve">CRS</t>
  </si>
  <si>
    <t xml:space="preserve">Carpenter Technology Corporation</t>
  </si>
  <si>
    <t xml:space="preserve">USFD</t>
  </si>
  <si>
    <t xml:space="preserve">US Foods Holding Corp.</t>
  </si>
  <si>
    <t xml:space="preserve">Consumer Staples</t>
  </si>
  <si>
    <t xml:space="preserve">Food Distribution</t>
  </si>
  <si>
    <t xml:space="preserve">RGLD</t>
  </si>
  <si>
    <t xml:space="preserve">Royal Gold, Inc.</t>
  </si>
  <si>
    <t xml:space="preserve">Materials</t>
  </si>
  <si>
    <t xml:space="preserve">Gold</t>
  </si>
  <si>
    <t xml:space="preserve">ROKU</t>
  </si>
  <si>
    <t xml:space="preserve">Roku, Inc.</t>
  </si>
  <si>
    <t xml:space="preserve">Communication Services</t>
  </si>
  <si>
    <t xml:space="preserve">Entertainment</t>
  </si>
  <si>
    <t xml:space="preserve">CDE</t>
  </si>
  <si>
    <t xml:space="preserve">Coeur Mining, Inc.</t>
  </si>
  <si>
    <t xml:space="preserve">WWD</t>
  </si>
  <si>
    <t xml:space="preserve">Woodward, Inc.</t>
  </si>
  <si>
    <t xml:space="preserve">RS</t>
  </si>
  <si>
    <t xml:space="preserve">Reliance, Inc.</t>
  </si>
  <si>
    <t xml:space="preserve">Steel</t>
  </si>
  <si>
    <t xml:space="preserve">NTNX</t>
  </si>
  <si>
    <t xml:space="preserve">Nutanix, Inc.</t>
  </si>
  <si>
    <t xml:space="preserve">EWBC</t>
  </si>
  <si>
    <t xml:space="preserve">East West Bancorp, Inc.</t>
  </si>
  <si>
    <t xml:space="preserve">Financials</t>
  </si>
  <si>
    <t xml:space="preserve">Banks - Regional</t>
  </si>
  <si>
    <t xml:space="preserve">ITT</t>
  </si>
  <si>
    <t xml:space="preserve">ITT Inc.</t>
  </si>
  <si>
    <t xml:space="preserve">Specialty Industrial Machinery</t>
  </si>
  <si>
    <t xml:space="preserve">JLL</t>
  </si>
  <si>
    <t xml:space="preserve">Jones Lang LaSalle Incorporated</t>
  </si>
  <si>
    <t xml:space="preserve">Real Estate</t>
  </si>
  <si>
    <t xml:space="preserve">Real Estate Services</t>
  </si>
  <si>
    <t xml:space="preserve">DINO</t>
  </si>
  <si>
    <t xml:space="preserve">HF Sinclair Corporation</t>
  </si>
  <si>
    <t xml:space="preserve">Oil &amp; Gas Refining &amp; Marketing</t>
  </si>
  <si>
    <t xml:space="preserve">BURL</t>
  </si>
  <si>
    <t xml:space="preserve">Burlington Stores, Inc.</t>
  </si>
  <si>
    <t xml:space="preserve">Consumer Discretionary</t>
  </si>
  <si>
    <t xml:space="preserve">Apparel Retail</t>
  </si>
  <si>
    <t xml:space="preserve">WCC</t>
  </si>
  <si>
    <t xml:space="preserve">WESCO International, Inc.</t>
  </si>
  <si>
    <t xml:space="preserve">Industrial Distribution</t>
  </si>
  <si>
    <t xml:space="preserve">RGA</t>
  </si>
  <si>
    <t xml:space="preserve">Reinsurance Group of America, Incorporated</t>
  </si>
  <si>
    <t xml:space="preserve">Insurance - Reinsurance</t>
  </si>
  <si>
    <t xml:space="preserve">PR</t>
  </si>
  <si>
    <t xml:space="preserve">Permian Resources Corporation</t>
  </si>
  <si>
    <t xml:space="preserve">Oil &amp; Gas E&amp;P</t>
  </si>
  <si>
    <t xml:space="preserve">LSCC</t>
  </si>
  <si>
    <t xml:space="preserve">Lattice Semiconductor Corporation</t>
  </si>
  <si>
    <t xml:space="preserve">Semiconductors</t>
  </si>
  <si>
    <t xml:space="preserve">STRL</t>
  </si>
  <si>
    <t xml:space="preserve">Sterling Infrastructure, Inc.</t>
  </si>
  <si>
    <t xml:space="preserve">Engineering &amp; Construction</t>
  </si>
  <si>
    <t xml:space="preserve">LECO</t>
  </si>
  <si>
    <t xml:space="preserve">Lincoln Electric Holdings, Inc.</t>
  </si>
  <si>
    <t xml:space="preserve">Tools &amp; Accessories</t>
  </si>
  <si>
    <t xml:space="preserve">OVV</t>
  </si>
  <si>
    <t xml:space="preserve">Ovintiv Inc.</t>
  </si>
  <si>
    <t xml:space="preserve">RBA</t>
  </si>
  <si>
    <t xml:space="preserve">RB Global, Inc.</t>
  </si>
  <si>
    <t xml:space="preserve">Specialty Business Services</t>
  </si>
  <si>
    <t xml:space="preserve">CLH</t>
  </si>
  <si>
    <t xml:space="preserve">Clean Harbors, Inc.</t>
  </si>
  <si>
    <t xml:space="preserve">Waste Management</t>
  </si>
  <si>
    <t xml:space="preserve">ARMK</t>
  </si>
  <si>
    <t xml:space="preserve">Aramark</t>
  </si>
  <si>
    <t xml:space="preserve">EXEL</t>
  </si>
  <si>
    <t xml:space="preserve">Exelixis, Inc.</t>
  </si>
  <si>
    <t xml:space="preserve">MEDP</t>
  </si>
  <si>
    <t xml:space="preserve">Medpace Holdings, Inc.</t>
  </si>
  <si>
    <t xml:space="preserve">Diagnostics &amp; Research</t>
  </si>
  <si>
    <t xml:space="preserve">PNFP</t>
  </si>
  <si>
    <t xml:space="preserve">Pinnacle Financial Partners, Inc.</t>
  </si>
  <si>
    <t xml:space="preserve">RBC</t>
  </si>
  <si>
    <t xml:space="preserve">RBC Bearings Incorporated</t>
  </si>
  <si>
    <t xml:space="preserve">HALO</t>
  </si>
  <si>
    <t xml:space="preserve">Halozyme Therapeutics, Inc.</t>
  </si>
  <si>
    <t xml:space="preserve">PFGC</t>
  </si>
  <si>
    <t xml:space="preserve">Performance Food Group Company</t>
  </si>
  <si>
    <t xml:space="preserve">MTSI</t>
  </si>
  <si>
    <t xml:space="preserve">MACOM Technology Solutions Holdings, Inc.</t>
  </si>
  <si>
    <t xml:space="preserve">WPC</t>
  </si>
  <si>
    <t xml:space="preserve">W. P. Carey Inc.</t>
  </si>
  <si>
    <t xml:space="preserve">REIT - Diversified</t>
  </si>
  <si>
    <t xml:space="preserve">MKSI</t>
  </si>
  <si>
    <t xml:space="preserve">MKS Inc.</t>
  </si>
  <si>
    <t xml:space="preserve">Scientific &amp; Technical Instruments</t>
  </si>
  <si>
    <t xml:space="preserve">JAZZ</t>
  </si>
  <si>
    <t xml:space="preserve">Jazz Pharmaceuticals plc</t>
  </si>
  <si>
    <t xml:space="preserve">DT</t>
  </si>
  <si>
    <t xml:space="preserve">Dynatrace, Inc.</t>
  </si>
  <si>
    <t xml:space="preserve">Software - Application</t>
  </si>
  <si>
    <t xml:space="preserve">DOCU</t>
  </si>
  <si>
    <t xml:space="preserve">DocuSign, Inc.</t>
  </si>
  <si>
    <t xml:space="preserve">NBIX</t>
  </si>
  <si>
    <t xml:space="preserve">Neurocrine Biosciences, Inc.</t>
  </si>
  <si>
    <t xml:space="preserve">TRU</t>
  </si>
  <si>
    <t xml:space="preserve">TransUnion</t>
  </si>
  <si>
    <t xml:space="preserve">Financial Data &amp; Stock Exchanges</t>
  </si>
  <si>
    <t xml:space="preserve">RNR</t>
  </si>
  <si>
    <t xml:space="preserve">RenaissanceRe Holdings Ltd.</t>
  </si>
  <si>
    <t xml:space="preserve">FN</t>
  </si>
  <si>
    <t xml:space="preserve">Fabrinet</t>
  </si>
  <si>
    <t xml:space="preserve">Electronic Components</t>
  </si>
  <si>
    <t xml:space="preserve">MLI</t>
  </si>
  <si>
    <t xml:space="preserve">Mueller Industries, Inc.</t>
  </si>
  <si>
    <t xml:space="preserve">APG</t>
  </si>
  <si>
    <t xml:space="preserve">APi Group Corporation</t>
  </si>
  <si>
    <t xml:space="preserve">TOST</t>
  </si>
  <si>
    <t xml:space="preserve">Toast, Inc.</t>
  </si>
  <si>
    <t xml:space="preserve">BWXT</t>
  </si>
  <si>
    <t xml:space="preserve">BWX Technologies, Inc.</t>
  </si>
  <si>
    <t xml:space="preserve">TLN</t>
  </si>
  <si>
    <t xml:space="preserve">Talen Energy Corporation</t>
  </si>
  <si>
    <t xml:space="preserve">Utilities</t>
  </si>
  <si>
    <t xml:space="preserve">Utilities - Independent Power Producers</t>
  </si>
  <si>
    <t xml:space="preserve">FIVE</t>
  </si>
  <si>
    <t xml:space="preserve">Five Below, Inc.</t>
  </si>
  <si>
    <t xml:space="preserve">Specialty Retail</t>
  </si>
  <si>
    <t xml:space="preserve">CACI</t>
  </si>
  <si>
    <t xml:space="preserve">CACI International Inc</t>
  </si>
  <si>
    <t xml:space="preserve">Information Technology Services</t>
  </si>
  <si>
    <t xml:space="preserve">SGI</t>
  </si>
  <si>
    <t xml:space="preserve">Somnigroup International Inc.</t>
  </si>
  <si>
    <t xml:space="preserve">Furnishings, Fixtures &amp; Appliances</t>
  </si>
  <si>
    <t xml:space="preserve">MANH</t>
  </si>
  <si>
    <t xml:space="preserve">Manhattan Associates, Inc.</t>
  </si>
  <si>
    <t xml:space="preserve">CCK</t>
  </si>
  <si>
    <t xml:space="preserve">Crown Holdings, Inc.</t>
  </si>
  <si>
    <t xml:space="preserve">Packaging &amp; Containers</t>
  </si>
  <si>
    <t xml:space="preserve">RPM</t>
  </si>
  <si>
    <t xml:space="preserve">RPM International Inc.</t>
  </si>
  <si>
    <t xml:space="preserve">Specialty Chemicals</t>
  </si>
  <si>
    <t xml:space="preserve">MTZ</t>
  </si>
  <si>
    <t xml:space="preserve">MasTec, Inc.</t>
  </si>
  <si>
    <t xml:space="preserve">LAMR</t>
  </si>
  <si>
    <t xml:space="preserve">Lamar Advertising Company</t>
  </si>
  <si>
    <t xml:space="preserve">REIT - Specialty</t>
  </si>
  <si>
    <t xml:space="preserve">AIT</t>
  </si>
  <si>
    <t xml:space="preserve">Applied Industrial Technologies, Inc.</t>
  </si>
  <si>
    <t xml:space="preserve">GGG</t>
  </si>
  <si>
    <t xml:space="preserve">Graco Inc.</t>
  </si>
  <si>
    <t xml:space="preserve">TTMI</t>
  </si>
  <si>
    <t xml:space="preserve">TTM Technologies, Inc.</t>
  </si>
  <si>
    <t xml:space="preserve">SUI</t>
  </si>
  <si>
    <t xml:space="preserve">Sun Communities, Inc.</t>
  </si>
  <si>
    <t xml:space="preserve">REIT - Residential</t>
  </si>
  <si>
    <t xml:space="preserve">ONTO</t>
  </si>
  <si>
    <t xml:space="preserve">Onto Innovation Inc.</t>
  </si>
  <si>
    <t xml:space="preserve">GWRE</t>
  </si>
  <si>
    <t xml:space="preserve">Guidewire Software, Inc.</t>
  </si>
  <si>
    <t xml:space="preserve">EHC</t>
  </si>
  <si>
    <t xml:space="preserve">Encompass Health Corporation</t>
  </si>
  <si>
    <t xml:space="preserve">BMRN</t>
  </si>
  <si>
    <t xml:space="preserve">BioMarin Pharmaceutical Inc.</t>
  </si>
  <si>
    <t xml:space="preserve">BJ</t>
  </si>
  <si>
    <t xml:space="preserve">BJ's Wholesale Club Holdings, Inc.</t>
  </si>
  <si>
    <t xml:space="preserve">Discount Stores</t>
  </si>
  <si>
    <t xml:space="preserve">SMTC</t>
  </si>
  <si>
    <t xml:space="preserve">Semtech Corporation</t>
  </si>
  <si>
    <t xml:space="preserve">ARW</t>
  </si>
  <si>
    <t xml:space="preserve">Arrow Electronics, Inc.</t>
  </si>
  <si>
    <t xml:space="preserve">DTM</t>
  </si>
  <si>
    <t xml:space="preserve">DT Midstream, Inc.</t>
  </si>
  <si>
    <t xml:space="preserve">Oil &amp; Gas Midstream</t>
  </si>
  <si>
    <t xml:space="preserve">HL</t>
  </si>
  <si>
    <t xml:space="preserve">Hecla Mining Company</t>
  </si>
  <si>
    <t xml:space="preserve">Other Precious Metals &amp; Mining</t>
  </si>
  <si>
    <t xml:space="preserve">EQH</t>
  </si>
  <si>
    <t xml:space="preserve">Equitable Holdings, Inc.</t>
  </si>
  <si>
    <t xml:space="preserve">Asset Management</t>
  </si>
  <si>
    <t xml:space="preserve">SF</t>
  </si>
  <si>
    <t xml:space="preserve">Stifel Financial Corp.</t>
  </si>
  <si>
    <t xml:space="preserve">Capital Markets</t>
  </si>
  <si>
    <t xml:space="preserve">FHN</t>
  </si>
  <si>
    <t xml:space="preserve">First Horizon Corporation</t>
  </si>
  <si>
    <t xml:space="preserve">MTCH</t>
  </si>
  <si>
    <t xml:space="preserve">Match Group, Inc.</t>
  </si>
  <si>
    <t xml:space="preserve">Internet Content &amp; Information</t>
  </si>
  <si>
    <t xml:space="preserve">TOL</t>
  </si>
  <si>
    <t xml:space="preserve">Toll Brothers, Inc.</t>
  </si>
  <si>
    <t xml:space="preserve">Residential Construction</t>
  </si>
  <si>
    <t xml:space="preserve">UNM</t>
  </si>
  <si>
    <t xml:space="preserve">Unum Group</t>
  </si>
  <si>
    <t xml:space="preserve">Insurance - Life</t>
  </si>
  <si>
    <t xml:space="preserve">PEN</t>
  </si>
  <si>
    <t xml:space="preserve">Penumbra, Inc.</t>
  </si>
  <si>
    <t xml:space="preserve">Medical Devices</t>
  </si>
  <si>
    <t xml:space="preserve">SN</t>
  </si>
  <si>
    <t xml:space="preserve">SharkNinja, Inc.</t>
  </si>
  <si>
    <t xml:space="preserve">KNX</t>
  </si>
  <si>
    <t xml:space="preserve">Knight-Swift Transportation Holdings Inc.</t>
  </si>
  <si>
    <t xml:space="preserve">CORT</t>
  </si>
  <si>
    <t xml:space="preserve">Corcept Therapeutics Incorporated</t>
  </si>
  <si>
    <t xml:space="preserve">AGNC</t>
  </si>
  <si>
    <t xml:space="preserve">AGNC Investment Corp.</t>
  </si>
  <si>
    <t xml:space="preserve">REIT - Mortgage</t>
  </si>
  <si>
    <t xml:space="preserve">SCI</t>
  </si>
  <si>
    <t xml:space="preserve">Service Corporation International</t>
  </si>
  <si>
    <t xml:space="preserve">Personal Services</t>
  </si>
  <si>
    <t xml:space="preserve">CSL</t>
  </si>
  <si>
    <t xml:space="preserve">Carlisle Companies Incorporated</t>
  </si>
  <si>
    <t xml:space="preserve">Building Products &amp; Equipment</t>
  </si>
  <si>
    <t xml:space="preserve">RMBS</t>
  </si>
  <si>
    <t xml:space="preserve">Rambus Inc.</t>
  </si>
  <si>
    <t xml:space="preserve">QRVO</t>
  </si>
  <si>
    <t xml:space="preserve">Qorvo, Inc.</t>
  </si>
  <si>
    <t xml:space="preserve">OHI</t>
  </si>
  <si>
    <t xml:space="preserve">Omega Healthcare Investors, Inc.</t>
  </si>
  <si>
    <t xml:space="preserve">REIT - Healthcare Facilities</t>
  </si>
  <si>
    <t xml:space="preserve">BWA</t>
  </si>
  <si>
    <t xml:space="preserve">BorgWarner Inc.</t>
  </si>
  <si>
    <t xml:space="preserve">Auto Parts</t>
  </si>
  <si>
    <t xml:space="preserve">SANM</t>
  </si>
  <si>
    <t xml:space="preserve">Sanmina Corporation</t>
  </si>
  <si>
    <t xml:space="preserve">ELAN</t>
  </si>
  <si>
    <t xml:space="preserve">Elanco Animal Health Incorporated</t>
  </si>
  <si>
    <t xml:space="preserve">FNF</t>
  </si>
  <si>
    <t xml:space="preserve">Fidelity National Financial, Inc.</t>
  </si>
  <si>
    <t xml:space="preserve">Insurance - Specialty</t>
  </si>
  <si>
    <t xml:space="preserve">MOG.A</t>
  </si>
  <si>
    <t xml:space="preserve">Moog Inc.</t>
  </si>
  <si>
    <t xml:space="preserve">CGNX</t>
  </si>
  <si>
    <t xml:space="preserve">Cognex Corporation</t>
  </si>
  <si>
    <t xml:space="preserve">LFUS</t>
  </si>
  <si>
    <t xml:space="preserve">Littelfuse, Inc.</t>
  </si>
  <si>
    <t xml:space="preserve">TXRH</t>
  </si>
  <si>
    <t xml:space="preserve">Texas Roadhouse, Inc.</t>
  </si>
  <si>
    <t xml:space="preserve">Restaurants</t>
  </si>
  <si>
    <t xml:space="preserve">ALLY</t>
  </si>
  <si>
    <t xml:space="preserve">Ally Financial Inc.</t>
  </si>
  <si>
    <t xml:space="preserve">Credit Services</t>
  </si>
  <si>
    <t xml:space="preserve">ELS</t>
  </si>
  <si>
    <t xml:space="preserve">Equity LifeStyle Properties, Inc.</t>
  </si>
  <si>
    <t xml:space="preserve">OC</t>
  </si>
  <si>
    <t xml:space="preserve">Owens Corning</t>
  </si>
  <si>
    <t xml:space="preserve">DCI</t>
  </si>
  <si>
    <t xml:space="preserve">Donaldson Company, Inc.</t>
  </si>
  <si>
    <t xml:space="preserve">VOYA</t>
  </si>
  <si>
    <t xml:space="preserve">Voya Financial, Inc.</t>
  </si>
  <si>
    <t xml:space="preserve">Financial Conglomerates</t>
  </si>
  <si>
    <t xml:space="preserve">PAYC</t>
  </si>
  <si>
    <t xml:space="preserve">Paycom Software, Inc.</t>
  </si>
  <si>
    <t xml:space="preserve">CNH</t>
  </si>
  <si>
    <t xml:space="preserve">CNH Industrial N.V.</t>
  </si>
  <si>
    <t xml:space="preserve">Farm &amp; Heavy Construction Machinery</t>
  </si>
  <si>
    <t xml:space="preserve">R</t>
  </si>
  <si>
    <t xml:space="preserve">Ryder System, Inc.</t>
  </si>
  <si>
    <t xml:space="preserve">Rental &amp; Leasing Services</t>
  </si>
  <si>
    <t xml:space="preserve">NLY</t>
  </si>
  <si>
    <t xml:space="preserve">Annaly Capital Management, Inc.</t>
  </si>
  <si>
    <t xml:space="preserve">GLPI</t>
  </si>
  <si>
    <t xml:space="preserve">Gaming and Leisure Properties, Inc.</t>
  </si>
  <si>
    <t xml:space="preserve">NYT</t>
  </si>
  <si>
    <t xml:space="preserve">The New York Times Company</t>
  </si>
  <si>
    <t xml:space="preserve">Publishing</t>
  </si>
  <si>
    <t xml:space="preserve">NXT</t>
  </si>
  <si>
    <t xml:space="preserve">Nextpower Inc.</t>
  </si>
  <si>
    <t xml:space="preserve">Solar</t>
  </si>
  <si>
    <t xml:space="preserve">SEIC</t>
  </si>
  <si>
    <t xml:space="preserve">SEI Investments Company</t>
  </si>
  <si>
    <t xml:space="preserve">HUBS</t>
  </si>
  <si>
    <t xml:space="preserve">HubSpot, Inc.</t>
  </si>
  <si>
    <t xml:space="preserve">RRX</t>
  </si>
  <si>
    <t xml:space="preserve">Regal Rexnord Corporation</t>
  </si>
  <si>
    <t xml:space="preserve">ZION</t>
  </si>
  <si>
    <t xml:space="preserve">Zions Bancorporation, National Association</t>
  </si>
  <si>
    <t xml:space="preserve">DAR</t>
  </si>
  <si>
    <t xml:space="preserve">Darling Ingredients Inc.</t>
  </si>
  <si>
    <t xml:space="preserve">Packaged Foods</t>
  </si>
  <si>
    <t xml:space="preserve">AVTR</t>
  </si>
  <si>
    <t xml:space="preserve">Avantor, Inc.</t>
  </si>
  <si>
    <t xml:space="preserve">Medical Instruments &amp; Supplies</t>
  </si>
  <si>
    <t xml:space="preserve">WSO</t>
  </si>
  <si>
    <t xml:space="preserve">Watsco, Inc.</t>
  </si>
  <si>
    <t xml:space="preserve">PINS</t>
  </si>
  <si>
    <t xml:space="preserve">Pinterest, Inc.</t>
  </si>
  <si>
    <t xml:space="preserve">GME</t>
  </si>
  <si>
    <t xml:space="preserve">GameStop Corp.</t>
  </si>
  <si>
    <t xml:space="preserve">WTS</t>
  </si>
  <si>
    <t xml:space="preserve">Watts Water Technologies, Inc.</t>
  </si>
  <si>
    <t xml:space="preserve">FLS</t>
  </si>
  <si>
    <t xml:space="preserve">Flowserve Corporation</t>
  </si>
  <si>
    <t xml:space="preserve">MOH</t>
  </si>
  <si>
    <t xml:space="preserve">Molina Healthcare, Inc.</t>
  </si>
  <si>
    <t xml:space="preserve">Healthcare Plans</t>
  </si>
  <si>
    <t xml:space="preserve">P/E reflects near-zero earnings</t>
  </si>
  <si>
    <t xml:space="preserve">SSB</t>
  </si>
  <si>
    <t xml:space="preserve">SouthState Bank Corporation</t>
  </si>
  <si>
    <t xml:space="preserve">EVR</t>
  </si>
  <si>
    <t xml:space="preserve">Evercore Inc.</t>
  </si>
  <si>
    <t xml:space="preserve">TTEK</t>
  </si>
  <si>
    <t xml:space="preserve">Tetra Tech, Inc.</t>
  </si>
  <si>
    <t xml:space="preserve">AMH</t>
  </si>
  <si>
    <t xml:space="preserve">American Homes 4 Rent</t>
  </si>
  <si>
    <t xml:space="preserve">IDCC</t>
  </si>
  <si>
    <t xml:space="preserve">InterDigital, Inc.</t>
  </si>
  <si>
    <t xml:space="preserve">TTC</t>
  </si>
  <si>
    <t xml:space="preserve">The Toro Company</t>
  </si>
  <si>
    <t xml:space="preserve">RRC</t>
  </si>
  <si>
    <t xml:space="preserve">Range Resources Corporation</t>
  </si>
  <si>
    <t xml:space="preserve">AFG</t>
  </si>
  <si>
    <t xml:space="preserve">American Financial Group, Inc.</t>
  </si>
  <si>
    <t xml:space="preserve">Insurance - Property &amp; Casualty</t>
  </si>
  <si>
    <t xml:space="preserve">PRI</t>
  </si>
  <si>
    <t xml:space="preserve">Primerica, Inc.</t>
  </si>
  <si>
    <t xml:space="preserve">AR</t>
  </si>
  <si>
    <t xml:space="preserve">Antero Resources Corporation</t>
  </si>
  <si>
    <t xml:space="preserve">AEIS</t>
  </si>
  <si>
    <t xml:space="preserve">Advanced Energy Industries, Inc.</t>
  </si>
  <si>
    <t xml:space="preserve">CR</t>
  </si>
  <si>
    <t xml:space="preserve">Crane Company</t>
  </si>
  <si>
    <t xml:space="preserve">OSK</t>
  </si>
  <si>
    <t xml:space="preserve">Oshkosh Corporation</t>
  </si>
  <si>
    <t xml:space="preserve">SAIA</t>
  </si>
  <si>
    <t xml:space="preserve">Saia, Inc.</t>
  </si>
  <si>
    <t xml:space="preserve">ALSN</t>
  </si>
  <si>
    <t xml:space="preserve">Allison Transmission Holdings, Inc.</t>
  </si>
  <si>
    <t xml:space="preserve">SITM</t>
  </si>
  <si>
    <t xml:space="preserve">SiTime Corporation</t>
  </si>
  <si>
    <t xml:space="preserve">AYI</t>
  </si>
  <si>
    <t xml:space="preserve">Acuity Inc.</t>
  </si>
  <si>
    <t xml:space="preserve">KMX</t>
  </si>
  <si>
    <t xml:space="preserve">CarMax, Inc.</t>
  </si>
  <si>
    <t xml:space="preserve">Auto &amp; Truck Dealerships</t>
  </si>
  <si>
    <t xml:space="preserve">ENSG</t>
  </si>
  <si>
    <t xml:space="preserve">The Ensign Group, Inc.</t>
  </si>
  <si>
    <t xml:space="preserve">WTRG</t>
  </si>
  <si>
    <t xml:space="preserve">Essential Utilities, Inc.</t>
  </si>
  <si>
    <t xml:space="preserve">Utilities - Regulated Water</t>
  </si>
  <si>
    <t xml:space="preserve">CFR</t>
  </si>
  <si>
    <t xml:space="preserve">Cullen/Frost Bankers, Inc.</t>
  </si>
  <si>
    <t xml:space="preserve">FLR</t>
  </si>
  <si>
    <t xml:space="preserve">Fluor Corporation</t>
  </si>
  <si>
    <t xml:space="preserve">DY</t>
  </si>
  <si>
    <t xml:space="preserve">Dycom Industries, Inc.</t>
  </si>
  <si>
    <t xml:space="preserve">FORM</t>
  </si>
  <si>
    <t xml:space="preserve">FormFactor, Inc.</t>
  </si>
  <si>
    <t xml:space="preserve">AVT</t>
  </si>
  <si>
    <t xml:space="preserve">Avnet, Inc.</t>
  </si>
  <si>
    <t xml:space="preserve">OGE</t>
  </si>
  <si>
    <t xml:space="preserve">OGE Energy Corp.</t>
  </si>
  <si>
    <t xml:space="preserve">Utilities - Regulated Electric</t>
  </si>
  <si>
    <t xml:space="preserve">FCFS</t>
  </si>
  <si>
    <t xml:space="preserve">FirstCash Holdings, Inc.</t>
  </si>
  <si>
    <t xml:space="preserve">CRBG</t>
  </si>
  <si>
    <t xml:space="preserve">Corebridge Financial, Inc.</t>
  </si>
  <si>
    <t xml:space="preserve">KTOS</t>
  </si>
  <si>
    <t xml:space="preserve">Kratos Defense &amp; Security Solutions, Inc.</t>
  </si>
  <si>
    <t xml:space="preserve">AHR</t>
  </si>
  <si>
    <t xml:space="preserve">American Healthcare REIT, Inc.</t>
  </si>
  <si>
    <t xml:space="preserve">ALV</t>
  </si>
  <si>
    <t xml:space="preserve">Autoliv, Inc.</t>
  </si>
  <si>
    <t xml:space="preserve">LAD</t>
  </si>
  <si>
    <t xml:space="preserve">Lithia Motors, Inc.</t>
  </si>
  <si>
    <t xml:space="preserve">CUBE</t>
  </si>
  <si>
    <t xml:space="preserve">CubeSmart</t>
  </si>
  <si>
    <t xml:space="preserve">REIT - Industrial</t>
  </si>
  <si>
    <t xml:space="preserve">CG</t>
  </si>
  <si>
    <t xml:space="preserve">The Carlyle Group Inc.</t>
  </si>
  <si>
    <t xml:space="preserve">DKS</t>
  </si>
  <si>
    <t xml:space="preserve">DICK'S Sporting Goods, Inc.</t>
  </si>
  <si>
    <t xml:space="preserve">SOLS</t>
  </si>
  <si>
    <t xml:space="preserve">Solstice Advanced Materials, Inc.</t>
  </si>
  <si>
    <t xml:space="preserve">ACM</t>
  </si>
  <si>
    <t xml:space="preserve">AECOM</t>
  </si>
  <si>
    <t xml:space="preserve">KRYS</t>
  </si>
  <si>
    <t xml:space="preserve">Krystal Biotech, Inc.</t>
  </si>
  <si>
    <t xml:space="preserve">CHRD</t>
  </si>
  <si>
    <t xml:space="preserve">Chord Energy Corporation</t>
  </si>
  <si>
    <t xml:space="preserve">MUSA</t>
  </si>
  <si>
    <t xml:space="preserve">Murphy USA Inc.</t>
  </si>
  <si>
    <t xml:space="preserve">PTGX</t>
  </si>
  <si>
    <t xml:space="preserve">Protagonist Therapeutics, Inc.</t>
  </si>
  <si>
    <t xml:space="preserve">COLB</t>
  </si>
  <si>
    <t xml:space="preserve">Columbia Banking System, Inc.</t>
  </si>
  <si>
    <t xml:space="preserve">EGP</t>
  </si>
  <si>
    <t xml:space="preserve">EastGroup Properties, Inc.</t>
  </si>
  <si>
    <t xml:space="preserve">RGEN</t>
  </si>
  <si>
    <t xml:space="preserve">Repligen Corporation</t>
  </si>
  <si>
    <t xml:space="preserve">AAL</t>
  </si>
  <si>
    <t xml:space="preserve">American Airlines Group Inc.</t>
  </si>
  <si>
    <t xml:space="preserve">Airlines</t>
  </si>
  <si>
    <t xml:space="preserve">BRX</t>
  </si>
  <si>
    <t xml:space="preserve">Brixmor Property Group Inc.</t>
  </si>
  <si>
    <t xml:space="preserve">REIT - Retail</t>
  </si>
  <si>
    <t xml:space="preserve">SM</t>
  </si>
  <si>
    <t xml:space="preserve">SM Energy Company</t>
  </si>
  <si>
    <t xml:space="preserve">WMS</t>
  </si>
  <si>
    <t xml:space="preserve">Advanced Drainage Systems, Inc.</t>
  </si>
  <si>
    <t xml:space="preserve">VIAV</t>
  </si>
  <si>
    <t xml:space="preserve">Viavi Solutions Inc.</t>
  </si>
  <si>
    <t xml:space="preserve">Communication Equipment</t>
  </si>
  <si>
    <t xml:space="preserve">COKE</t>
  </si>
  <si>
    <t xml:space="preserve">Coca-Cola Consolidated, Inc.</t>
  </si>
  <si>
    <t xml:space="preserve">Beverages - Non-Alcoholic</t>
  </si>
  <si>
    <t xml:space="preserve">WTFC</t>
  </si>
  <si>
    <t xml:space="preserve">Wintrust Financial Corporation</t>
  </si>
  <si>
    <t xml:space="preserve">SPXC</t>
  </si>
  <si>
    <t xml:space="preserve">SPX Technologies, Inc.</t>
  </si>
  <si>
    <t xml:space="preserve">FR</t>
  </si>
  <si>
    <t xml:space="preserve">First Industrial Realty Trust, Inc.</t>
  </si>
  <si>
    <t xml:space="preserve">AA</t>
  </si>
  <si>
    <t xml:space="preserve">Alcoa Corporation</t>
  </si>
  <si>
    <t xml:space="preserve">Aluminum</t>
  </si>
  <si>
    <t xml:space="preserve">JXN</t>
  </si>
  <si>
    <t xml:space="preserve">Jackson Financial Inc.</t>
  </si>
  <si>
    <t xml:space="preserve">GMED</t>
  </si>
  <si>
    <t xml:space="preserve">Globus Medical, Inc.</t>
  </si>
  <si>
    <t xml:space="preserve">EAT</t>
  </si>
  <si>
    <t xml:space="preserve">Brinker International, Inc.</t>
  </si>
  <si>
    <t xml:space="preserve">REXR</t>
  </si>
  <si>
    <t xml:space="preserve">Rexford Industrial Realty, Inc.</t>
  </si>
  <si>
    <t xml:space="preserve">WEX</t>
  </si>
  <si>
    <t xml:space="preserve">WEX Inc.</t>
  </si>
  <si>
    <t xml:space="preserve">JEF</t>
  </si>
  <si>
    <t xml:space="preserve">Jefferies Financial Group Inc.</t>
  </si>
  <si>
    <t xml:space="preserve">MATX</t>
  </si>
  <si>
    <t xml:space="preserve">Matson, Inc.</t>
  </si>
  <si>
    <t xml:space="preserve">Marine Shipping</t>
  </si>
  <si>
    <t xml:space="preserve">PBF</t>
  </si>
  <si>
    <t xml:space="preserve">PBF Energy Inc.</t>
  </si>
  <si>
    <t xml:space="preserve">MTG</t>
  </si>
  <si>
    <t xml:space="preserve">MGIC Investment Corporation</t>
  </si>
  <si>
    <t xml:space="preserve">BAH</t>
  </si>
  <si>
    <t xml:space="preserve">Booz Allen Hamilton Holding Corporation</t>
  </si>
  <si>
    <t xml:space="preserve">Consulting Services</t>
  </si>
  <si>
    <t xml:space="preserve">NOV</t>
  </si>
  <si>
    <t xml:space="preserve">NOV Inc.</t>
  </si>
  <si>
    <t xml:space="preserve">THG</t>
  </si>
  <si>
    <t xml:space="preserve">The Hanover Insurance Group, Inc.</t>
  </si>
  <si>
    <t xml:space="preserve">ATR</t>
  </si>
  <si>
    <t xml:space="preserve">AptarGroup, Inc.</t>
  </si>
  <si>
    <t xml:space="preserve">ORI</t>
  </si>
  <si>
    <t xml:space="preserve">Old Republic International Corporation</t>
  </si>
  <si>
    <t xml:space="preserve">RAL</t>
  </si>
  <si>
    <t xml:space="preserve">Ralliant Corporation</t>
  </si>
  <si>
    <t xml:space="preserve">UGI</t>
  </si>
  <si>
    <t xml:space="preserve">UGI Corporation</t>
  </si>
  <si>
    <t xml:space="preserve">Utilities - Regulated Gas</t>
  </si>
  <si>
    <t xml:space="preserve">TKR</t>
  </si>
  <si>
    <t xml:space="preserve">The Timken Company</t>
  </si>
  <si>
    <t xml:space="preserve">EMN</t>
  </si>
  <si>
    <t xml:space="preserve">Eastman Chemical Company</t>
  </si>
  <si>
    <t xml:space="preserve">WAL</t>
  </si>
  <si>
    <t xml:space="preserve">Western Alliance Bancorporation</t>
  </si>
  <si>
    <t xml:space="preserve">AMG</t>
  </si>
  <si>
    <t xml:space="preserve">Affiliated Managers Group, Inc.</t>
  </si>
  <si>
    <t xml:space="preserve">DOCN</t>
  </si>
  <si>
    <t xml:space="preserve">DigitalOcean Holdings, Inc.</t>
  </si>
  <si>
    <t xml:space="preserve">CMC</t>
  </si>
  <si>
    <t xml:space="preserve">Commercial Metals Company</t>
  </si>
  <si>
    <t xml:space="preserve">ENS</t>
  </si>
  <si>
    <t xml:space="preserve">EnerSys</t>
  </si>
  <si>
    <t xml:space="preserve">CBSH</t>
  </si>
  <si>
    <t xml:space="preserve">Commerce Bancshares, Inc.</t>
  </si>
  <si>
    <t xml:space="preserve">CHE</t>
  </si>
  <si>
    <t xml:space="preserve">Chemed Corporation</t>
  </si>
  <si>
    <t xml:space="preserve">KEX</t>
  </si>
  <si>
    <t xml:space="preserve">Kirby Corporation</t>
  </si>
  <si>
    <t xml:space="preserve">CYTK</t>
  </si>
  <si>
    <t xml:space="preserve">Cytokinetics, Incorporated</t>
  </si>
  <si>
    <t xml:space="preserve">PLXS</t>
  </si>
  <si>
    <t xml:space="preserve">Plexus Corp.</t>
  </si>
  <si>
    <t xml:space="preserve">ONB</t>
  </si>
  <si>
    <t xml:space="preserve">Old National Bancorp</t>
  </si>
  <si>
    <t xml:space="preserve">VMI</t>
  </si>
  <si>
    <t xml:space="preserve">Valmont Industries, Inc.</t>
  </si>
  <si>
    <t xml:space="preserve">Conglomerates</t>
  </si>
  <si>
    <t xml:space="preserve">NNN</t>
  </si>
  <si>
    <t xml:space="preserve">NNN REIT, Inc.</t>
  </si>
  <si>
    <t xml:space="preserve">SSD</t>
  </si>
  <si>
    <t xml:space="preserve">Simpson Manufacturing Co., Inc.</t>
  </si>
  <si>
    <t xml:space="preserve">Lumber &amp; Wood Production</t>
  </si>
  <si>
    <t xml:space="preserve">KNSL</t>
  </si>
  <si>
    <t xml:space="preserve">Kinsale Capital Group, Inc.</t>
  </si>
  <si>
    <t xml:space="preserve">ESI</t>
  </si>
  <si>
    <t xml:space="preserve">Element Solutions Inc</t>
  </si>
  <si>
    <t xml:space="preserve">HXL</t>
  </si>
  <si>
    <t xml:space="preserve">Hexcel Corporation</t>
  </si>
  <si>
    <t xml:space="preserve">CART</t>
  </si>
  <si>
    <t xml:space="preserve">Maplebear Inc.</t>
  </si>
  <si>
    <t xml:space="preserve">Internet Retail</t>
  </si>
  <si>
    <t xml:space="preserve">ALKS</t>
  </si>
  <si>
    <t xml:space="preserve">Alkermes plc</t>
  </si>
  <si>
    <t xml:space="preserve">AGCO</t>
  </si>
  <si>
    <t xml:space="preserve">AGCO Corporation</t>
  </si>
  <si>
    <t xml:space="preserve">FAF</t>
  </si>
  <si>
    <t xml:space="preserve">First American Financial Corporation</t>
  </si>
  <si>
    <t xml:space="preserve">LTH</t>
  </si>
  <si>
    <t xml:space="preserve">Life Time Group Holdings, Inc.</t>
  </si>
  <si>
    <t xml:space="preserve">Leisure</t>
  </si>
  <si>
    <t xml:space="preserve">SAIC</t>
  </si>
  <si>
    <t xml:space="preserve">Science Applications International Corporation</t>
  </si>
  <si>
    <t xml:space="preserve">LNC</t>
  </si>
  <si>
    <t xml:space="preserve">Lincoln National Corporation</t>
  </si>
  <si>
    <t xml:space="preserve">HQY</t>
  </si>
  <si>
    <t xml:space="preserve">HealthEquity, Inc.</t>
  </si>
  <si>
    <t xml:space="preserve">Health Information Services</t>
  </si>
  <si>
    <t xml:space="preserve">BTSG</t>
  </si>
  <si>
    <t xml:space="preserve">BrightSpring Health Services, Inc.</t>
  </si>
  <si>
    <t xml:space="preserve">ESE</t>
  </si>
  <si>
    <t xml:space="preserve">ESCO Technologies Inc.</t>
  </si>
  <si>
    <t xml:space="preserve">RHP</t>
  </si>
  <si>
    <t xml:space="preserve">Ryman Hospitality Properties, Inc.</t>
  </si>
  <si>
    <t xml:space="preserve">REIT - Hotel &amp; Motel</t>
  </si>
  <si>
    <t xml:space="preserve">AWI</t>
  </si>
  <si>
    <t xml:space="preserve">Armstrong World Industries, Inc.</t>
  </si>
  <si>
    <t xml:space="preserve">H</t>
  </si>
  <si>
    <t xml:space="preserve">Hyatt Hotels Corporation</t>
  </si>
  <si>
    <t xml:space="preserve">Lodging</t>
  </si>
  <si>
    <t xml:space="preserve">GKOS</t>
  </si>
  <si>
    <t xml:space="preserve">Glaukos Corporation</t>
  </si>
  <si>
    <t xml:space="preserve">CAG</t>
  </si>
  <si>
    <t xml:space="preserve">Conagra Brands, Inc.</t>
  </si>
  <si>
    <t xml:space="preserve">PB</t>
  </si>
  <si>
    <t xml:space="preserve">Prosperity Bancshares, Inc.</t>
  </si>
  <si>
    <t xml:space="preserve">BLDR</t>
  </si>
  <si>
    <t xml:space="preserve">Builders FirstSource, Inc.</t>
  </si>
  <si>
    <t xml:space="preserve">NFG</t>
  </si>
  <si>
    <t xml:space="preserve">National Fuel Gas Company</t>
  </si>
  <si>
    <t xml:space="preserve">Oil &amp; Gas Integrated</t>
  </si>
  <si>
    <t xml:space="preserve">CNO</t>
  </si>
  <si>
    <t xml:space="preserve">CNO Financial Group, Inc.</t>
  </si>
  <si>
    <t xml:space="preserve">TAP</t>
  </si>
  <si>
    <t xml:space="preserve">Molson Coors Beverage Company</t>
  </si>
  <si>
    <t xml:space="preserve">Beverages - Brewers</t>
  </si>
  <si>
    <t xml:space="preserve">AXTA</t>
  </si>
  <si>
    <t xml:space="preserve">Axalta Coating Systems Ltd.</t>
  </si>
  <si>
    <t xml:space="preserve">CVLT</t>
  </si>
  <si>
    <t xml:space="preserve">Commvault Systems, Inc.</t>
  </si>
  <si>
    <t xml:space="preserve">ARWR</t>
  </si>
  <si>
    <t xml:space="preserve">Arrowhead Pharmaceuticals, Inc.</t>
  </si>
  <si>
    <t xml:space="preserve">FSS</t>
  </si>
  <si>
    <t xml:space="preserve">Federal Signal Corporation</t>
  </si>
  <si>
    <t xml:space="preserve">SLAB</t>
  </si>
  <si>
    <t xml:space="preserve">Silicon Laboratories Inc.</t>
  </si>
  <si>
    <t xml:space="preserve">LW</t>
  </si>
  <si>
    <t xml:space="preserve">Lamb Weston Holdings, Inc.</t>
  </si>
  <si>
    <t xml:space="preserve">HLI</t>
  </si>
  <si>
    <t xml:space="preserve">Houlihan Lokey, Inc.</t>
  </si>
  <si>
    <t xml:space="preserve">CRUS</t>
  </si>
  <si>
    <t xml:space="preserve">Cirrus Logic, Inc.</t>
  </si>
  <si>
    <t xml:space="preserve">BIO</t>
  </si>
  <si>
    <t xml:space="preserve">Bio-Rad Laboratories, Inc.</t>
  </si>
  <si>
    <t xml:space="preserve">MSGS</t>
  </si>
  <si>
    <t xml:space="preserve">Madison Square Garden Sports Corp.</t>
  </si>
  <si>
    <t xml:space="preserve">ADC</t>
  </si>
  <si>
    <t xml:space="preserve">Agree Realty Corporation</t>
  </si>
  <si>
    <t xml:space="preserve">ACA</t>
  </si>
  <si>
    <t xml:space="preserve">Arcosa, Inc.</t>
  </si>
  <si>
    <t xml:space="preserve">ANF</t>
  </si>
  <si>
    <t xml:space="preserve">Abercrombie &amp; Fitch Co.</t>
  </si>
  <si>
    <t xml:space="preserve">ESNT</t>
  </si>
  <si>
    <t xml:space="preserve">Essent Group Ltd.</t>
  </si>
  <si>
    <t xml:space="preserve">STAG</t>
  </si>
  <si>
    <t xml:space="preserve">STAG Industrial, Inc.</t>
  </si>
  <si>
    <t xml:space="preserve">HWC</t>
  </si>
  <si>
    <t xml:space="preserve">Hancock Whitney Corporation</t>
  </si>
  <si>
    <t xml:space="preserve">MHK</t>
  </si>
  <si>
    <t xml:space="preserve">Mohawk Industries, Inc.</t>
  </si>
  <si>
    <t xml:space="preserve">LEA</t>
  </si>
  <si>
    <t xml:space="preserve">Lear Corporation</t>
  </si>
  <si>
    <t xml:space="preserve">M</t>
  </si>
  <si>
    <t xml:space="preserve">Macy's, Inc.</t>
  </si>
  <si>
    <t xml:space="preserve">Department Stores</t>
  </si>
  <si>
    <t xml:space="preserve">LNTH</t>
  </si>
  <si>
    <t xml:space="preserve">Lantheus Holdings, Inc.</t>
  </si>
  <si>
    <t xml:space="preserve">IDA</t>
  </si>
  <si>
    <t xml:space="preserve">IDACORP, Inc.</t>
  </si>
  <si>
    <t xml:space="preserve">TRNO</t>
  </si>
  <si>
    <t xml:space="preserve">Terreno Realty Corporation</t>
  </si>
  <si>
    <t xml:space="preserve">FTDR</t>
  </si>
  <si>
    <t xml:space="preserve">Frontdoor, Inc.</t>
  </si>
  <si>
    <t xml:space="preserve">NEU</t>
  </si>
  <si>
    <t xml:space="preserve">NewMarket Corporation</t>
  </si>
  <si>
    <t xml:space="preserve">POOL</t>
  </si>
  <si>
    <t xml:space="preserve">Pool Corporation</t>
  </si>
  <si>
    <t xml:space="preserve">EPAM</t>
  </si>
  <si>
    <t xml:space="preserve">EPAM Systems, Inc.</t>
  </si>
  <si>
    <t xml:space="preserve">AM</t>
  </si>
  <si>
    <t xml:space="preserve">Antero Midstream Corporation</t>
  </si>
  <si>
    <t xml:space="preserve">LKQ</t>
  </si>
  <si>
    <t xml:space="preserve">LKQ Corporation</t>
  </si>
  <si>
    <t xml:space="preserve">LUMN</t>
  </si>
  <si>
    <t xml:space="preserve">Lumen Technologies, Inc.</t>
  </si>
  <si>
    <t xml:space="preserve">Telecom Services</t>
  </si>
  <si>
    <t xml:space="preserve">INGR</t>
  </si>
  <si>
    <t xml:space="preserve">Ingredion Incorporated</t>
  </si>
  <si>
    <t xml:space="preserve">ST</t>
  </si>
  <si>
    <t xml:space="preserve">Sensata Technologies Holding plc</t>
  </si>
  <si>
    <t xml:space="preserve">VSXY</t>
  </si>
  <si>
    <t xml:space="preserve">Victorias Secret &amp; Co.</t>
  </si>
  <si>
    <t xml:space="preserve">MKTX</t>
  </si>
  <si>
    <t xml:space="preserve">MarketAxess Holdings Inc.</t>
  </si>
  <si>
    <t xml:space="preserve">HRB</t>
  </si>
  <si>
    <t xml:space="preserve">H&amp;R Block, Inc.</t>
  </si>
  <si>
    <t xml:space="preserve">SFM</t>
  </si>
  <si>
    <t xml:space="preserve">Sprouts Farmers Market, Inc.</t>
  </si>
  <si>
    <t xml:space="preserve">Grocery Stores</t>
  </si>
  <si>
    <t xml:space="preserve">LSTR</t>
  </si>
  <si>
    <t xml:space="preserve">Landstar System, Inc.</t>
  </si>
  <si>
    <t xml:space="preserve">Integrated Freight &amp; Logistics</t>
  </si>
  <si>
    <t xml:space="preserve">POWL</t>
  </si>
  <si>
    <t xml:space="preserve">Powell Industries, Inc.</t>
  </si>
  <si>
    <t xml:space="preserve">BRKR</t>
  </si>
  <si>
    <t xml:space="preserve">Bruker Corporation</t>
  </si>
  <si>
    <t xml:space="preserve">MXL</t>
  </si>
  <si>
    <t xml:space="preserve">MaxLinear, Inc.</t>
  </si>
  <si>
    <t xml:space="preserve">TTD</t>
  </si>
  <si>
    <t xml:space="preserve">The Trade Desk, Inc.</t>
  </si>
  <si>
    <t xml:space="preserve">Advertising Agencies</t>
  </si>
  <si>
    <t xml:space="preserve">IRDM</t>
  </si>
  <si>
    <t xml:space="preserve">Iridium Communications Inc.</t>
  </si>
  <si>
    <t xml:space="preserve">HR</t>
  </si>
  <si>
    <t xml:space="preserve">Healthcare Realty Trust Incorporated</t>
  </si>
  <si>
    <t xml:space="preserve">MSA</t>
  </si>
  <si>
    <t xml:space="preserve">MSA Safety Incorporated</t>
  </si>
  <si>
    <t xml:space="preserve">Security &amp; Protection Services</t>
  </si>
  <si>
    <t xml:space="preserve">CZR</t>
  </si>
  <si>
    <t xml:space="preserve">Caesars Entertainment, Inc.</t>
  </si>
  <si>
    <t xml:space="preserve">Resorts &amp; Casinos</t>
  </si>
  <si>
    <t xml:space="preserve">EXP</t>
  </si>
  <si>
    <t xml:space="preserve">Eagle Materials Inc.</t>
  </si>
  <si>
    <t xml:space="preserve">Building Materials</t>
  </si>
  <si>
    <t xml:space="preserve">FNB</t>
  </si>
  <si>
    <t xml:space="preserve">F.N.B. Corporation</t>
  </si>
  <si>
    <t xml:space="preserve">EBC</t>
  </si>
  <si>
    <t xml:space="preserve">Eastern Bankshares, Inc.</t>
  </si>
  <si>
    <t xml:space="preserve">CLF</t>
  </si>
  <si>
    <t xml:space="preserve">Cleveland-Cliffs Inc.</t>
  </si>
  <si>
    <t xml:space="preserve">GATX</t>
  </si>
  <si>
    <t xml:space="preserve">GATX Corporation</t>
  </si>
  <si>
    <t xml:space="preserve">WFRD</t>
  </si>
  <si>
    <t xml:space="preserve">Weatherford International plc</t>
  </si>
  <si>
    <t xml:space="preserve">LQDA</t>
  </si>
  <si>
    <t xml:space="preserve">Liquidia Corporation</t>
  </si>
  <si>
    <t xml:space="preserve">MTDR</t>
  </si>
  <si>
    <t xml:space="preserve">Matador Resources Company</t>
  </si>
  <si>
    <t xml:space="preserve">SNEX</t>
  </si>
  <si>
    <t xml:space="preserve">StoneX Group Inc.</t>
  </si>
  <si>
    <t xml:space="preserve">CVSA</t>
  </si>
  <si>
    <t xml:space="preserve">Covista Inc.</t>
  </si>
  <si>
    <t xml:space="preserve">Education &amp; Training Services</t>
  </si>
  <si>
    <t xml:space="preserve">ECG</t>
  </si>
  <si>
    <t xml:space="preserve">Everus Construction Group, Inc.</t>
  </si>
  <si>
    <t xml:space="preserve">QLYS</t>
  </si>
  <si>
    <t xml:space="preserve">Qualys, Inc.</t>
  </si>
  <si>
    <t xml:space="preserve">GVA</t>
  </si>
  <si>
    <t xml:space="preserve">Granite Construction Incorporated</t>
  </si>
  <si>
    <t xml:space="preserve">EXLS</t>
  </si>
  <si>
    <t xml:space="preserve">ExlService Holdings, Inc.</t>
  </si>
  <si>
    <t xml:space="preserve">CVCO</t>
  </si>
  <si>
    <t xml:space="preserve">Cavco Industries, Inc.</t>
  </si>
  <si>
    <t xml:space="preserve">G</t>
  </si>
  <si>
    <t xml:space="preserve">Genpact Limited</t>
  </si>
  <si>
    <t xml:space="preserve">RNG</t>
  </si>
  <si>
    <t xml:space="preserve">RingCentral, Inc.</t>
  </si>
  <si>
    <t xml:space="preserve">VNO</t>
  </si>
  <si>
    <t xml:space="preserve">Vornado Realty Trust</t>
  </si>
  <si>
    <t xml:space="preserve">REIT - Office</t>
  </si>
  <si>
    <t xml:space="preserve">PCTY</t>
  </si>
  <si>
    <t xml:space="preserve">Paylocity Holding Corporation</t>
  </si>
  <si>
    <t xml:space="preserve">ACIW</t>
  </si>
  <si>
    <t xml:space="preserve">ACI Worldwide, Inc.</t>
  </si>
  <si>
    <t xml:space="preserve">TFX</t>
  </si>
  <si>
    <t xml:space="preserve">Teleflex Incorporated</t>
  </si>
  <si>
    <t xml:space="preserve">SXT</t>
  </si>
  <si>
    <t xml:space="preserve">Sensient Technologies Corporation</t>
  </si>
  <si>
    <t xml:space="preserve">MBGL</t>
  </si>
  <si>
    <t xml:space="preserve">Mobility Global, Inc.</t>
  </si>
  <si>
    <t xml:space="preserve">SKY</t>
  </si>
  <si>
    <t xml:space="preserve">Champion Homes, Inc.</t>
  </si>
  <si>
    <t xml:space="preserve">RYN</t>
  </si>
  <si>
    <t xml:space="preserve">Rayonier Inc.</t>
  </si>
  <si>
    <t xml:space="preserve">CNM</t>
  </si>
  <si>
    <t xml:space="preserve">Core &amp; Main, Inc.</t>
  </si>
  <si>
    <t xml:space="preserve">FBP</t>
  </si>
  <si>
    <t xml:space="preserve">First BanCorp.</t>
  </si>
  <si>
    <t xml:space="preserve">CHDN</t>
  </si>
  <si>
    <t xml:space="preserve">Churchill Downs Incorporated</t>
  </si>
  <si>
    <t xml:space="preserve">Gambling</t>
  </si>
  <si>
    <t xml:space="preserve">OZK</t>
  </si>
  <si>
    <t xml:space="preserve">Bank OZK</t>
  </si>
  <si>
    <t xml:space="preserve">MSM</t>
  </si>
  <si>
    <t xml:space="preserve">MSC Industrial Direct Co., Inc.</t>
  </si>
  <si>
    <t xml:space="preserve">PATH</t>
  </si>
  <si>
    <t xml:space="preserve">UiPath, Inc.</t>
  </si>
  <si>
    <t xml:space="preserve">NPO</t>
  </si>
  <si>
    <t xml:space="preserve">Enpro Inc.</t>
  </si>
  <si>
    <t xml:space="preserve">SLM</t>
  </si>
  <si>
    <t xml:space="preserve">SLM Corporation</t>
  </si>
  <si>
    <t xml:space="preserve">HIMS</t>
  </si>
  <si>
    <t xml:space="preserve">Hims &amp; Hers Health, Inc.</t>
  </si>
  <si>
    <t xml:space="preserve">KRG</t>
  </si>
  <si>
    <t xml:space="preserve">Kite Realty Group Trust</t>
  </si>
  <si>
    <t xml:space="preserve">AMKR</t>
  </si>
  <si>
    <t xml:space="preserve">Amkor Technology, Inc.</t>
  </si>
  <si>
    <t xml:space="preserve">UBSI</t>
  </si>
  <si>
    <t xml:space="preserve">United Bankshares, Inc.</t>
  </si>
  <si>
    <t xml:space="preserve">WH</t>
  </si>
  <si>
    <t xml:space="preserve">Wyndham Hotels &amp; Resorts, Inc.</t>
  </si>
  <si>
    <t xml:space="preserve">ELF</t>
  </si>
  <si>
    <t xml:space="preserve">e.l.f. Beauty, Inc.</t>
  </si>
  <si>
    <t xml:space="preserve">Household &amp; Personal Products</t>
  </si>
  <si>
    <t xml:space="preserve">VLY</t>
  </si>
  <si>
    <t xml:space="preserve">Valley National Bancorp</t>
  </si>
  <si>
    <t xml:space="preserve">UMBF</t>
  </si>
  <si>
    <t xml:space="preserve">UMB Financial Corporation</t>
  </si>
  <si>
    <t xml:space="preserve">DUOL</t>
  </si>
  <si>
    <t xml:space="preserve">Duolingo, Inc.</t>
  </si>
  <si>
    <t xml:space="preserve">LAZ</t>
  </si>
  <si>
    <t xml:space="preserve">Lazard, Inc.</t>
  </si>
  <si>
    <t xml:space="preserve">IESC</t>
  </si>
  <si>
    <t xml:space="preserve">IES Holdings, Inc.</t>
  </si>
  <si>
    <t xml:space="preserve">NE</t>
  </si>
  <si>
    <t xml:space="preserve">Noble Corporation plc</t>
  </si>
  <si>
    <t xml:space="preserve">Oil &amp; Gas Drilling</t>
  </si>
  <si>
    <t xml:space="preserve">GXO</t>
  </si>
  <si>
    <t xml:space="preserve">GXO Logistics, Inc.</t>
  </si>
  <si>
    <t xml:space="preserve">RDN</t>
  </si>
  <si>
    <t xml:space="preserve">Radian Group Inc.</t>
  </si>
  <si>
    <t xml:space="preserve">TNL</t>
  </si>
  <si>
    <t xml:space="preserve">Travel + Leisure Co.</t>
  </si>
  <si>
    <t xml:space="preserve">Travel Services</t>
  </si>
  <si>
    <t xml:space="preserve">MORN</t>
  </si>
  <si>
    <t xml:space="preserve">Morningstar, Inc.</t>
  </si>
  <si>
    <t xml:space="preserve">GNTX</t>
  </si>
  <si>
    <t xml:space="preserve">Gentex Corporation</t>
  </si>
  <si>
    <t xml:space="preserve">CWST</t>
  </si>
  <si>
    <t xml:space="preserve">Casella Waste Systems, Inc.</t>
  </si>
  <si>
    <t xml:space="preserve">FHI</t>
  </si>
  <si>
    <t xml:space="preserve">Federated Hermes, Inc.</t>
  </si>
  <si>
    <t xml:space="preserve">MUR</t>
  </si>
  <si>
    <t xml:space="preserve">Murphy Oil Corporation</t>
  </si>
  <si>
    <t xml:space="preserve">BCPC</t>
  </si>
  <si>
    <t xml:space="preserve">Balchem Corporation</t>
  </si>
  <si>
    <t xml:space="preserve">NXST</t>
  </si>
  <si>
    <t xml:space="preserve">Nexstar Media Group, Inc.</t>
  </si>
  <si>
    <t xml:space="preserve">Broadcasting</t>
  </si>
  <si>
    <t xml:space="preserve">MTN</t>
  </si>
  <si>
    <t xml:space="preserve">Vail Resorts, Inc.</t>
  </si>
  <si>
    <t xml:space="preserve">WSBC</t>
  </si>
  <si>
    <t xml:space="preserve">WesBanco, Inc.</t>
  </si>
  <si>
    <t xml:space="preserve">HAE</t>
  </si>
  <si>
    <t xml:space="preserve">Haemonetics Corporation</t>
  </si>
  <si>
    <t xml:space="preserve">BCO</t>
  </si>
  <si>
    <t xml:space="preserve">The Brink's Company</t>
  </si>
  <si>
    <t xml:space="preserve">AGX</t>
  </si>
  <si>
    <t xml:space="preserve">Argan, Inc.</t>
  </si>
  <si>
    <t xml:space="preserve">ETSY</t>
  </si>
  <si>
    <t xml:space="preserve">Etsy, Inc.</t>
  </si>
  <si>
    <t xml:space="preserve">ALK</t>
  </si>
  <si>
    <t xml:space="preserve">Alaska Air Group, Inc.</t>
  </si>
  <si>
    <t xml:space="preserve">KLIC</t>
  </si>
  <si>
    <t xml:space="preserve">Kulicke and Soffa Industries, Inc.</t>
  </si>
  <si>
    <t xml:space="preserve">ZWS</t>
  </si>
  <si>
    <t xml:space="preserve">Zurn Elkay Water Solutions Corporation</t>
  </si>
  <si>
    <t xml:space="preserve">Pollution &amp; Treatment Controls</t>
  </si>
  <si>
    <t xml:space="preserve">CNX</t>
  </si>
  <si>
    <t xml:space="preserve">CNX Resources Corporation</t>
  </si>
  <si>
    <t xml:space="preserve">VSAT</t>
  </si>
  <si>
    <t xml:space="preserve">Viasat, Inc.</t>
  </si>
  <si>
    <t xml:space="preserve">CNR</t>
  </si>
  <si>
    <t xml:space="preserve">Core Natural Resources, Inc.</t>
  </si>
  <si>
    <t xml:space="preserve">Thermal Coal</t>
  </si>
  <si>
    <t xml:space="preserve">PTCT</t>
  </si>
  <si>
    <t xml:space="preserve">PTC Therapeutics, Inc.</t>
  </si>
  <si>
    <t xml:space="preserve">JBTM</t>
  </si>
  <si>
    <t xml:space="preserve">JBT Marel Corporation</t>
  </si>
  <si>
    <t xml:space="preserve">AX</t>
  </si>
  <si>
    <t xml:space="preserve">Axos Financial, Inc.</t>
  </si>
  <si>
    <t xml:space="preserve">TGTX</t>
  </si>
  <si>
    <t xml:space="preserve">TG Therapeutics, Inc.</t>
  </si>
  <si>
    <t xml:space="preserve">AVAV</t>
  </si>
  <si>
    <t xml:space="preserve">AeroVironment, Inc.</t>
  </si>
  <si>
    <t xml:space="preserve">FND</t>
  </si>
  <si>
    <t xml:space="preserve">Floor &amp; Decor Holdings, Inc.</t>
  </si>
  <si>
    <t xml:space="preserve">Home Improvement Retail</t>
  </si>
  <si>
    <t xml:space="preserve">SIRI</t>
  </si>
  <si>
    <t xml:space="preserve">Sirius XM Holdings Inc.</t>
  </si>
  <si>
    <t xml:space="preserve">KBR</t>
  </si>
  <si>
    <t xml:space="preserve">KBR, Inc.</t>
  </si>
  <si>
    <t xml:space="preserve">SON</t>
  </si>
  <si>
    <t xml:space="preserve">Sonoco Products Company</t>
  </si>
  <si>
    <t xml:space="preserve">VCTR</t>
  </si>
  <si>
    <t xml:space="preserve">Victory Capital Holdings, Inc.</t>
  </si>
  <si>
    <t xml:space="preserve">SIG</t>
  </si>
  <si>
    <t xml:space="preserve">Signet Jewelers Limited</t>
  </si>
  <si>
    <t xml:space="preserve">Luxury Goods</t>
  </si>
  <si>
    <t xml:space="preserve">RLI</t>
  </si>
  <si>
    <t xml:space="preserve">RLI Corp.</t>
  </si>
  <si>
    <t xml:space="preserve">MAC</t>
  </si>
  <si>
    <t xml:space="preserve">The Macerich Company</t>
  </si>
  <si>
    <t xml:space="preserve">VAL</t>
  </si>
  <si>
    <t xml:space="preserve">Valaris Limited</t>
  </si>
  <si>
    <t xml:space="preserve">SKYW</t>
  </si>
  <si>
    <t xml:space="preserve">SkyWest, Inc.</t>
  </si>
  <si>
    <t xml:space="preserve">FBIN</t>
  </si>
  <si>
    <t xml:space="preserve">Fortune Brands Innovations, Inc.</t>
  </si>
  <si>
    <t xml:space="preserve">SIGI</t>
  </si>
  <si>
    <t xml:space="preserve">Selective Insurance Group, Inc.</t>
  </si>
  <si>
    <t xml:space="preserve">UFPI</t>
  </si>
  <si>
    <t xml:space="preserve">UFP Industries, Inc.</t>
  </si>
  <si>
    <t xml:space="preserve">TXNM</t>
  </si>
  <si>
    <t xml:space="preserve">TXNM Energy, Inc.</t>
  </si>
  <si>
    <t xml:space="preserve">GTES</t>
  </si>
  <si>
    <t xml:space="preserve">Gates Industrial Corporation Ltd.</t>
  </si>
  <si>
    <t xml:space="preserve">TREX</t>
  </si>
  <si>
    <t xml:space="preserve">Trex Company, Inc.</t>
  </si>
  <si>
    <t xml:space="preserve">ULS</t>
  </si>
  <si>
    <t xml:space="preserve">UL Solutions Inc.</t>
  </si>
  <si>
    <t xml:space="preserve">HOMB</t>
  </si>
  <si>
    <t xml:space="preserve">Home BancShares, Inc.</t>
  </si>
  <si>
    <t xml:space="preserve">DBX</t>
  </si>
  <si>
    <t xml:space="preserve">Dropbox, Inc.</t>
  </si>
  <si>
    <t xml:space="preserve">NJR</t>
  </si>
  <si>
    <t xml:space="preserve">New Jersey Resources Corporation</t>
  </si>
  <si>
    <t xml:space="preserve">BROS</t>
  </si>
  <si>
    <t xml:space="preserve">Dutch Bros Inc.</t>
  </si>
  <si>
    <t xml:space="preserve">NIC</t>
  </si>
  <si>
    <t xml:space="preserve">Nicolet Bankshares, Inc.</t>
  </si>
  <si>
    <t xml:space="preserve">URBN</t>
  </si>
  <si>
    <t xml:space="preserve">Urban Outfitters, Inc.</t>
  </si>
  <si>
    <t xml:space="preserve">ACI</t>
  </si>
  <si>
    <t xml:space="preserve">Albertsons Companies, Inc.</t>
  </si>
  <si>
    <t xml:space="preserve">BOX</t>
  </si>
  <si>
    <t xml:space="preserve">Box, Inc.</t>
  </si>
  <si>
    <t xml:space="preserve">ENVA</t>
  </si>
  <si>
    <t xml:space="preserve">Enova International, Inc.</t>
  </si>
  <si>
    <t xml:space="preserve">BGC</t>
  </si>
  <si>
    <t xml:space="preserve">BGC Group, Inc.</t>
  </si>
  <si>
    <t xml:space="preserve">PAG</t>
  </si>
  <si>
    <t xml:space="preserve">Penske Automotive Group, Inc.</t>
  </si>
  <si>
    <t xml:space="preserve">OII</t>
  </si>
  <si>
    <t xml:space="preserve">Oceaneering International, Inc.</t>
  </si>
  <si>
    <t xml:space="preserve">STWD</t>
  </si>
  <si>
    <t xml:space="preserve">Starwood Property Trust, Inc.</t>
  </si>
  <si>
    <t xml:space="preserve">ABCB</t>
  </si>
  <si>
    <t xml:space="preserve">Ameris Bancorp</t>
  </si>
  <si>
    <t xml:space="preserve">TCBI</t>
  </si>
  <si>
    <t xml:space="preserve">Texas Capital Bancshares, Inc.</t>
  </si>
  <si>
    <t xml:space="preserve">AN</t>
  </si>
  <si>
    <t xml:space="preserve">AutoNation, Inc.</t>
  </si>
  <si>
    <t xml:space="preserve">ASB</t>
  </si>
  <si>
    <t xml:space="preserve">Associated Banc-Corp</t>
  </si>
  <si>
    <t xml:space="preserve">BSY</t>
  </si>
  <si>
    <t xml:space="preserve">Bentley Systems, Incorporated</t>
  </si>
  <si>
    <t xml:space="preserve">ORA</t>
  </si>
  <si>
    <t xml:space="preserve">Ormat Technologies, Inc.</t>
  </si>
  <si>
    <t xml:space="preserve">Utilities - Renewable</t>
  </si>
  <si>
    <t xml:space="preserve">BFH</t>
  </si>
  <si>
    <t xml:space="preserve">Bread Financial Holdings, Inc.</t>
  </si>
  <si>
    <t xml:space="preserve">ENPH</t>
  </si>
  <si>
    <t xml:space="preserve">Enphase Energy, Inc.</t>
  </si>
  <si>
    <t xml:space="preserve">GNW</t>
  </si>
  <si>
    <t xml:space="preserve">Genworth Financial, Inc.</t>
  </si>
  <si>
    <t xml:space="preserve">MYRG</t>
  </si>
  <si>
    <t xml:space="preserve">MYR Group Inc.</t>
  </si>
  <si>
    <t xml:space="preserve">BKH</t>
  </si>
  <si>
    <t xml:space="preserve">Black Hills Corporation</t>
  </si>
  <si>
    <t xml:space="preserve">GFF</t>
  </si>
  <si>
    <t xml:space="preserve">Griffon Corporation</t>
  </si>
  <si>
    <t xml:space="preserve">IBP</t>
  </si>
  <si>
    <t xml:space="preserve">Installed Building Products, Inc.</t>
  </si>
  <si>
    <t xml:space="preserve">NOVT</t>
  </si>
  <si>
    <t xml:space="preserve">Novanta Inc.</t>
  </si>
  <si>
    <t xml:space="preserve">BDC</t>
  </si>
  <si>
    <t xml:space="preserve">Belden Inc.</t>
  </si>
  <si>
    <t xml:space="preserve">MTH</t>
  </si>
  <si>
    <t xml:space="preserve">Meritage Homes Corporation</t>
  </si>
  <si>
    <t xml:space="preserve">CATY</t>
  </si>
  <si>
    <t xml:space="preserve">Cathay General Bancorp</t>
  </si>
  <si>
    <t xml:space="preserve">MAT</t>
  </si>
  <si>
    <t xml:space="preserve">Mattel, Inc.</t>
  </si>
  <si>
    <t xml:space="preserve">SWX</t>
  </si>
  <si>
    <t xml:space="preserve">Southwest Gas Holdings, Inc.</t>
  </si>
  <si>
    <t xml:space="preserve">LGND</t>
  </si>
  <si>
    <t xml:space="preserve">Ligand Pharmaceuticals Incorporated</t>
  </si>
  <si>
    <t xml:space="preserve">FFIN</t>
  </si>
  <si>
    <t xml:space="preserve">First Financial Bankshares, Inc.</t>
  </si>
  <si>
    <t xml:space="preserve">LOPE</t>
  </si>
  <si>
    <t xml:space="preserve">Grand Canyon Education, Inc.</t>
  </si>
  <si>
    <t xml:space="preserve">VNT</t>
  </si>
  <si>
    <t xml:space="preserve">Vontier Corporation</t>
  </si>
  <si>
    <t xml:space="preserve">APPF</t>
  </si>
  <si>
    <t xml:space="preserve">AppFolio, Inc.</t>
  </si>
  <si>
    <t xml:space="preserve">MGY</t>
  </si>
  <si>
    <t xml:space="preserve">Magnolia Oil &amp; Gas Corporation</t>
  </si>
  <si>
    <t xml:space="preserve">MRCY</t>
  </si>
  <si>
    <t xml:space="preserve">Mercury Systems, Inc.</t>
  </si>
  <si>
    <t xml:space="preserve">CE</t>
  </si>
  <si>
    <t xml:space="preserve">Celanese Corporation</t>
  </si>
  <si>
    <t xml:space="preserve">Chemicals</t>
  </si>
  <si>
    <t xml:space="preserve">MIDD</t>
  </si>
  <si>
    <t xml:space="preserve">The Middleby Corporation</t>
  </si>
  <si>
    <t xml:space="preserve">GAP</t>
  </si>
  <si>
    <t xml:space="preserve">The Gap, Inc.</t>
  </si>
  <si>
    <t xml:space="preserve">FCN</t>
  </si>
  <si>
    <t xml:space="preserve">FTI Consulting, Inc.</t>
  </si>
  <si>
    <t xml:space="preserve">HP</t>
  </si>
  <si>
    <t xml:space="preserve">Helmerich &amp; Payne, Inc.</t>
  </si>
  <si>
    <t xml:space="preserve">BC</t>
  </si>
  <si>
    <t xml:space="preserve">Brunswick Corporation</t>
  </si>
  <si>
    <t xml:space="preserve">Recreational Vehicles</t>
  </si>
  <si>
    <t xml:space="preserve">VICR</t>
  </si>
  <si>
    <t xml:space="preserve">Vicor Corporation</t>
  </si>
  <si>
    <t xml:space="preserve">AAON</t>
  </si>
  <si>
    <t xml:space="preserve">AAON, Inc.</t>
  </si>
  <si>
    <t xml:space="preserve">DAN</t>
  </si>
  <si>
    <t xml:space="preserve">Dana Incorporated</t>
  </si>
  <si>
    <t xml:space="preserve">NSIT</t>
  </si>
  <si>
    <t xml:space="preserve">Insight Enterprises, Inc.</t>
  </si>
  <si>
    <t xml:space="preserve">OLLI</t>
  </si>
  <si>
    <t xml:space="preserve">Ollie's Bargain Outlet Holdings, Inc.</t>
  </si>
  <si>
    <t xml:space="preserve">BILL</t>
  </si>
  <si>
    <t xml:space="preserve">BILL Holdings, Inc.</t>
  </si>
  <si>
    <t xml:space="preserve">WHD</t>
  </si>
  <si>
    <t xml:space="preserve">Cactus, Inc.</t>
  </si>
  <si>
    <t xml:space="preserve">ROAD</t>
  </si>
  <si>
    <t xml:space="preserve">Construction Partners, Inc.</t>
  </si>
  <si>
    <t xml:space="preserve">RUSHA</t>
  </si>
  <si>
    <t xml:space="preserve">Rush Enterprises, Inc.</t>
  </si>
  <si>
    <t xml:space="preserve">MMSI</t>
  </si>
  <si>
    <t xml:space="preserve">Merit Medical Systems, Inc.</t>
  </si>
  <si>
    <t xml:space="preserve">INSW</t>
  </si>
  <si>
    <t xml:space="preserve">International Seaways, Inc.</t>
  </si>
  <si>
    <t xml:space="preserve">PECO</t>
  </si>
  <si>
    <t xml:space="preserve">Phillips Edison &amp; Company, Inc.</t>
  </si>
  <si>
    <t xml:space="preserve">POR</t>
  </si>
  <si>
    <t xml:space="preserve">Portland General Electric Company</t>
  </si>
  <si>
    <t xml:space="preserve">TEX</t>
  </si>
  <si>
    <t xml:space="preserve">Terex Corporation</t>
  </si>
  <si>
    <t xml:space="preserve">MWA</t>
  </si>
  <si>
    <t xml:space="preserve">Mueller Water Products, Inc.</t>
  </si>
  <si>
    <t xml:space="preserve">MP</t>
  </si>
  <si>
    <t xml:space="preserve">MP Materials Corp.</t>
  </si>
  <si>
    <t xml:space="preserve">Other Industrial Metals &amp; Mining</t>
  </si>
  <si>
    <t xml:space="preserve">INDV</t>
  </si>
  <si>
    <t xml:space="preserve">Indivior Pharmaceuticals, Inc.</t>
  </si>
  <si>
    <t xml:space="preserve">CUZ</t>
  </si>
  <si>
    <t xml:space="preserve">Cousins Properties Incorporated</t>
  </si>
  <si>
    <t xml:space="preserve">SBRA</t>
  </si>
  <si>
    <t xml:space="preserve">Sabra Health Care REIT, Inc.</t>
  </si>
  <si>
    <t xml:space="preserve">CBT</t>
  </si>
  <si>
    <t xml:space="preserve">Cabot Corporation</t>
  </si>
  <si>
    <t xml:space="preserve">PVH</t>
  </si>
  <si>
    <t xml:space="preserve">PVH Corp.</t>
  </si>
  <si>
    <t xml:space="preserve">Apparel Manufacturing</t>
  </si>
  <si>
    <t xml:space="preserve">VSH</t>
  </si>
  <si>
    <t xml:space="preserve">Vishay Intertechnology, Inc.</t>
  </si>
  <si>
    <t xml:space="preserve">MTRN</t>
  </si>
  <si>
    <t xml:space="preserve">Materion Corporation</t>
  </si>
  <si>
    <t xml:space="preserve">CXW</t>
  </si>
  <si>
    <t xml:space="preserve">CoreCivic, Inc.</t>
  </si>
  <si>
    <t xml:space="preserve">PIPR</t>
  </si>
  <si>
    <t xml:space="preserve">Piper Sandler Companies</t>
  </si>
  <si>
    <t xml:space="preserve">CROX</t>
  </si>
  <si>
    <t xml:space="preserve">Crocs, Inc.</t>
  </si>
  <si>
    <t xml:space="preserve">Footwear &amp; Accessories</t>
  </si>
  <si>
    <t xml:space="preserve">OPLN</t>
  </si>
  <si>
    <t xml:space="preserve">OPENLANE, Inc.</t>
  </si>
  <si>
    <t xml:space="preserve">EPR</t>
  </si>
  <si>
    <t xml:space="preserve">EPR Properties</t>
  </si>
  <si>
    <t xml:space="preserve">GBCI</t>
  </si>
  <si>
    <t xml:space="preserve">Glacier Bancorp, Inc.</t>
  </si>
  <si>
    <t xml:space="preserve">PARR</t>
  </si>
  <si>
    <t xml:space="preserve">Par Pacific Holdings, Inc.</t>
  </si>
  <si>
    <t xml:space="preserve">CTRE</t>
  </si>
  <si>
    <t xml:space="preserve">CareTrust REIT, Inc.</t>
  </si>
  <si>
    <t xml:space="preserve">CAKE</t>
  </si>
  <si>
    <t xml:space="preserve">The Cheesecake Factory Incorporated</t>
  </si>
  <si>
    <t xml:space="preserve">OPCH</t>
  </si>
  <si>
    <t xml:space="preserve">Option Care Health, Inc.</t>
  </si>
  <si>
    <t xml:space="preserve">SR</t>
  </si>
  <si>
    <t xml:space="preserve">Spire Inc.</t>
  </si>
  <si>
    <t xml:space="preserve">CAVA</t>
  </si>
  <si>
    <t xml:space="preserve">CAVA Group, Inc.</t>
  </si>
  <si>
    <t xml:space="preserve">LPX</t>
  </si>
  <si>
    <t xml:space="preserve">Louisiana-Pacific Corporation</t>
  </si>
  <si>
    <t xml:space="preserve">CPB</t>
  </si>
  <si>
    <t xml:space="preserve">The Campbell's Company</t>
  </si>
  <si>
    <t xml:space="preserve">GEO</t>
  </si>
  <si>
    <t xml:space="preserve">The GEO Group, Inc.</t>
  </si>
  <si>
    <t xml:space="preserve">VFC</t>
  </si>
  <si>
    <t xml:space="preserve">V.F. Corporation</t>
  </si>
  <si>
    <t xml:space="preserve">CELH</t>
  </si>
  <si>
    <t xml:space="preserve">Celsius Holdings, Inc.</t>
  </si>
  <si>
    <t xml:space="preserve">AZZ</t>
  </si>
  <si>
    <t xml:space="preserve">AZZ Inc.</t>
  </si>
  <si>
    <t xml:space="preserve">LIVN</t>
  </si>
  <si>
    <t xml:space="preserve">LivaNova PLC</t>
  </si>
  <si>
    <t xml:space="preserve">RHI</t>
  </si>
  <si>
    <t xml:space="preserve">Robert Half Inc.</t>
  </si>
  <si>
    <t xml:space="preserve">Staffing &amp; Employment Services</t>
  </si>
  <si>
    <t xml:space="preserve">KBH</t>
  </si>
  <si>
    <t xml:space="preserve">KB Home</t>
  </si>
  <si>
    <t xml:space="preserve">RYAN</t>
  </si>
  <si>
    <t xml:space="preserve">Ryan Specialty Holdings, Inc.</t>
  </si>
  <si>
    <t xml:space="preserve">Insurance Brokers</t>
  </si>
  <si>
    <t xml:space="preserve">CNK</t>
  </si>
  <si>
    <t xml:space="preserve">Cinemark Holdings, Inc.</t>
  </si>
  <si>
    <t xml:space="preserve">MC</t>
  </si>
  <si>
    <t xml:space="preserve">Moelis &amp; Company</t>
  </si>
  <si>
    <t xml:space="preserve">TDW</t>
  </si>
  <si>
    <t xml:space="preserve">Tidewater Inc.</t>
  </si>
  <si>
    <t xml:space="preserve">BRC</t>
  </si>
  <si>
    <t xml:space="preserve">Brady Corporation</t>
  </si>
  <si>
    <t xml:space="preserve">PRIM</t>
  </si>
  <si>
    <t xml:space="preserve">Primoris Services Corporation</t>
  </si>
  <si>
    <t xml:space="preserve">WSFS</t>
  </si>
  <si>
    <t xml:space="preserve">WSFS Financial Corporation</t>
  </si>
  <si>
    <t xml:space="preserve">KFY</t>
  </si>
  <si>
    <t xml:space="preserve">Korn Ferry</t>
  </si>
  <si>
    <t xml:space="preserve">OGS</t>
  </si>
  <si>
    <t xml:space="preserve">ONE Gas, Inc.</t>
  </si>
  <si>
    <t xml:space="preserve">CLSK</t>
  </si>
  <si>
    <t xml:space="preserve">CleanSpark, Inc.</t>
  </si>
  <si>
    <t xml:space="preserve">ASO</t>
  </si>
  <si>
    <t xml:space="preserve">Academy Sports and Outdoors, Inc.</t>
  </si>
  <si>
    <t xml:space="preserve">CDP</t>
  </si>
  <si>
    <t xml:space="preserve">COPT Defense Properties</t>
  </si>
  <si>
    <t xml:space="preserve">PLNT</t>
  </si>
  <si>
    <t xml:space="preserve">Planet Fitness, Inc.</t>
  </si>
  <si>
    <t xml:space="preserve">HASI</t>
  </si>
  <si>
    <t xml:space="preserve">HA Sustainable Infrastructure Capital, Inc.</t>
  </si>
  <si>
    <t xml:space="preserve">AIR</t>
  </si>
  <si>
    <t xml:space="preserve">AAR Corp.</t>
  </si>
  <si>
    <t xml:space="preserve">ITGR</t>
  </si>
  <si>
    <t xml:space="preserve">Integer Holdings Corporation</t>
  </si>
  <si>
    <t xml:space="preserve">UNF</t>
  </si>
  <si>
    <t xml:space="preserve">UniFirst Corporation</t>
  </si>
  <si>
    <t xml:space="preserve">SXI</t>
  </si>
  <si>
    <t xml:space="preserve">Standex International Corporation</t>
  </si>
  <si>
    <t xml:space="preserve">FULT</t>
  </si>
  <si>
    <t xml:space="preserve">Fulton Financial Corporation</t>
  </si>
  <si>
    <t xml:space="preserve">BBWI</t>
  </si>
  <si>
    <t xml:space="preserve">Bath &amp; Body Works, Inc.</t>
  </si>
  <si>
    <t xml:space="preserve">IBOC</t>
  </si>
  <si>
    <t xml:space="preserve">International Bancshares Corporation</t>
  </si>
  <si>
    <t xml:space="preserve">BMI</t>
  </si>
  <si>
    <t xml:space="preserve">Badger Meter, Inc.</t>
  </si>
  <si>
    <t xml:space="preserve">SFBS</t>
  </si>
  <si>
    <t xml:space="preserve">ServisFirst Bancshares, Inc.</t>
  </si>
  <si>
    <t xml:space="preserve">WMG</t>
  </si>
  <si>
    <t xml:space="preserve">Warner Music Group Corp.</t>
  </si>
  <si>
    <t xml:space="preserve">BKU</t>
  </si>
  <si>
    <t xml:space="preserve">BankUnited, Inc.</t>
  </si>
  <si>
    <t xml:space="preserve">FELE</t>
  </si>
  <si>
    <t xml:space="preserve">Franklin Electric Co., Inc.</t>
  </si>
  <si>
    <t xml:space="preserve">UFPT</t>
  </si>
  <si>
    <t xml:space="preserve">UFP Technologies, Inc.</t>
  </si>
  <si>
    <t xml:space="preserve">MRP</t>
  </si>
  <si>
    <t xml:space="preserve">Millrose Properties, Inc.</t>
  </si>
  <si>
    <t xml:space="preserve">TENB</t>
  </si>
  <si>
    <t xml:space="preserve">Tenable Holdings, Inc.</t>
  </si>
  <si>
    <t xml:space="preserve">ESAB</t>
  </si>
  <si>
    <t xml:space="preserve">ESAB Corporation</t>
  </si>
  <si>
    <t xml:space="preserve">ITRI</t>
  </si>
  <si>
    <t xml:space="preserve">Itron, Inc.</t>
  </si>
  <si>
    <t xml:space="preserve">NWE</t>
  </si>
  <si>
    <t xml:space="preserve">NorthWestern Energy Group, Inc.</t>
  </si>
  <si>
    <t xml:space="preserve">TDS</t>
  </si>
  <si>
    <t xml:space="preserve">Telephone and Data Systems, Inc.</t>
  </si>
  <si>
    <t xml:space="preserve">MDU</t>
  </si>
  <si>
    <t xml:space="preserve">MDU Resources Group, Inc.</t>
  </si>
  <si>
    <t xml:space="preserve">THO</t>
  </si>
  <si>
    <t xml:space="preserve">THOR Industries, Inc.</t>
  </si>
  <si>
    <t xml:space="preserve">NVST</t>
  </si>
  <si>
    <t xml:space="preserve">Envista Holdings Corporation</t>
  </si>
  <si>
    <t xml:space="preserve">AGO</t>
  </si>
  <si>
    <t xml:space="preserve">Assured Guaranty Ltd.</t>
  </si>
  <si>
    <t xml:space="preserve">FRPT</t>
  </si>
  <si>
    <t xml:space="preserve">Freshpet, Inc.</t>
  </si>
  <si>
    <t xml:space="preserve">POST</t>
  </si>
  <si>
    <t xml:space="preserve">Post Holdings, Inc.</t>
  </si>
  <si>
    <t xml:space="preserve">OTTR</t>
  </si>
  <si>
    <t xml:space="preserve">Otter Tail Corporation</t>
  </si>
  <si>
    <t xml:space="preserve">DAVE</t>
  </si>
  <si>
    <t xml:space="preserve">Dave Inc.</t>
  </si>
  <si>
    <t xml:space="preserve">CSW</t>
  </si>
  <si>
    <t xml:space="preserve">CSW Industrials, Inc.</t>
  </si>
  <si>
    <t xml:space="preserve">ACMR</t>
  </si>
  <si>
    <t xml:space="preserve">ACM Research, Inc.</t>
  </si>
  <si>
    <t xml:space="preserve">SKT</t>
  </si>
  <si>
    <t xml:space="preserve">Tanger Inc.</t>
  </si>
  <si>
    <t xml:space="preserve">PSMT</t>
  </si>
  <si>
    <t xml:space="preserve">PriceSmart, Inc.</t>
  </si>
  <si>
    <t xml:space="preserve">IVT</t>
  </si>
  <si>
    <t xml:space="preserve">InvenTrust Properties Corp.</t>
  </si>
  <si>
    <t xml:space="preserve">SLG</t>
  </si>
  <si>
    <t xml:space="preserve">SL Green Realty Corp.</t>
  </si>
  <si>
    <t xml:space="preserve">ASH</t>
  </si>
  <si>
    <t xml:space="preserve">Ashland Inc.</t>
  </si>
  <si>
    <t xml:space="preserve">SEI</t>
  </si>
  <si>
    <t xml:space="preserve">Solaris Energy Infrastructure, Inc.</t>
  </si>
  <si>
    <t xml:space="preserve">TPC</t>
  </si>
  <si>
    <t xml:space="preserve">Tutor Perini Corporation</t>
  </si>
  <si>
    <t xml:space="preserve">ACLS</t>
  </si>
  <si>
    <t xml:space="preserve">Axcelis Technologies, Inc.</t>
  </si>
  <si>
    <t xml:space="preserve">PTEN</t>
  </si>
  <si>
    <t xml:space="preserve">Patterson-UTI Energy, Inc.</t>
  </si>
  <si>
    <t xml:space="preserve">CVBF</t>
  </si>
  <si>
    <t xml:space="preserve">CVB Financial Corp.</t>
  </si>
  <si>
    <t xml:space="preserve">VAC</t>
  </si>
  <si>
    <t xml:space="preserve">Marriott Vacations Worldwide Corporation</t>
  </si>
  <si>
    <t xml:space="preserve">VVV</t>
  </si>
  <si>
    <t xml:space="preserve">Valvoline Inc.</t>
  </si>
  <si>
    <t xml:space="preserve">RELY</t>
  </si>
  <si>
    <t xml:space="preserve">Remitly Global, Inc.</t>
  </si>
  <si>
    <t xml:space="preserve">SYNA</t>
  </si>
  <si>
    <t xml:space="preserve">Synaptics Incorporated</t>
  </si>
  <si>
    <t xml:space="preserve">ARCB</t>
  </si>
  <si>
    <t xml:space="preserve">ArcBest Corporation</t>
  </si>
  <si>
    <t xml:space="preserve">CWEN</t>
  </si>
  <si>
    <t xml:space="preserve">Clearway Energy, Inc.</t>
  </si>
  <si>
    <t xml:space="preserve">DORM</t>
  </si>
  <si>
    <t xml:space="preserve">Dorman Products, Inc.</t>
  </si>
  <si>
    <t xml:space="preserve">GPI</t>
  </si>
  <si>
    <t xml:space="preserve">Group 1 Automotive, Inc.</t>
  </si>
  <si>
    <t xml:space="preserve">BNL</t>
  </si>
  <si>
    <t xml:space="preserve">Broadstone Net Lease, Inc.</t>
  </si>
  <si>
    <t xml:space="preserve">ATMU</t>
  </si>
  <si>
    <t xml:space="preserve">Atmus Filtration Technologies Inc.</t>
  </si>
  <si>
    <t xml:space="preserve">QTWO</t>
  </si>
  <si>
    <t xml:space="preserve">Q2 Holdings, Inc.</t>
  </si>
  <si>
    <t xml:space="preserve">WRBY</t>
  </si>
  <si>
    <t xml:space="preserve">Warby Parker Inc.</t>
  </si>
  <si>
    <t xml:space="preserve">PK</t>
  </si>
  <si>
    <t xml:space="preserve">Park Hotels &amp; Resorts Inc.</t>
  </si>
  <si>
    <t xml:space="preserve">PJT</t>
  </si>
  <si>
    <t xml:space="preserve">PJT Partners Inc.</t>
  </si>
  <si>
    <t xml:space="preserve">KRC</t>
  </si>
  <si>
    <t xml:space="preserve">Kilroy Realty Corporation</t>
  </si>
  <si>
    <t xml:space="preserve">VSNT</t>
  </si>
  <si>
    <t xml:space="preserve">Versant Media Group, Inc.</t>
  </si>
  <si>
    <t xml:space="preserve">DIOD</t>
  </si>
  <si>
    <t xml:space="preserve">Diodes Incorporated</t>
  </si>
  <si>
    <t xml:space="preserve">IRT</t>
  </si>
  <si>
    <t xml:space="preserve">Independence Realty Trust, Inc.</t>
  </si>
  <si>
    <t xml:space="preserve">HCC</t>
  </si>
  <si>
    <t xml:space="preserve">Warrior Met Coal, Inc.</t>
  </si>
  <si>
    <t xml:space="preserve">Coking Coal</t>
  </si>
  <si>
    <t xml:space="preserve">BFAM</t>
  </si>
  <si>
    <t xml:space="preserve">Bright Horizons Family Solutions Inc.</t>
  </si>
  <si>
    <t xml:space="preserve">CRC</t>
  </si>
  <si>
    <t xml:space="preserve">California Resources Corporation</t>
  </si>
  <si>
    <t xml:space="preserve">MMS</t>
  </si>
  <si>
    <t xml:space="preserve">Maximus, Inc.</t>
  </si>
  <si>
    <t xml:space="preserve">CHWY</t>
  </si>
  <si>
    <t xml:space="preserve">Chewy, Inc.</t>
  </si>
  <si>
    <t xml:space="preserve">OGN</t>
  </si>
  <si>
    <t xml:space="preserve">Organon &amp; Co.</t>
  </si>
  <si>
    <t xml:space="preserve">Drug Manufacturers - General</t>
  </si>
  <si>
    <t xml:space="preserve">DLB</t>
  </si>
  <si>
    <t xml:space="preserve">Dolby Laboratories, Inc.</t>
  </si>
  <si>
    <t xml:space="preserve">OLED</t>
  </si>
  <si>
    <t xml:space="preserve">Universal Display Corporation</t>
  </si>
  <si>
    <t xml:space="preserve">ABG</t>
  </si>
  <si>
    <t xml:space="preserve">Asbury Automotive Group, Inc.</t>
  </si>
  <si>
    <t xml:space="preserve">AROC</t>
  </si>
  <si>
    <t xml:space="preserve">Archrock, Inc.</t>
  </si>
  <si>
    <t xml:space="preserve">KN</t>
  </si>
  <si>
    <t xml:space="preserve">Knowles Corporation</t>
  </si>
  <si>
    <t xml:space="preserve">VGNT</t>
  </si>
  <si>
    <t xml:space="preserve">Versigent PLC</t>
  </si>
  <si>
    <t xml:space="preserve">YETI</t>
  </si>
  <si>
    <t xml:space="preserve">YETI Holdings, Inc.</t>
  </si>
  <si>
    <t xml:space="preserve">AMRX</t>
  </si>
  <si>
    <t xml:space="preserve">Amneal Pharmaceuticals, Inc.</t>
  </si>
  <si>
    <t xml:space="preserve">APLE</t>
  </si>
  <si>
    <t xml:space="preserve">Apple Hospitality REIT, Inc.</t>
  </si>
  <si>
    <t xml:space="preserve">FHB</t>
  </si>
  <si>
    <t xml:space="preserve">First Hawaiian, Inc.</t>
  </si>
  <si>
    <t xml:space="preserve">EXPO</t>
  </si>
  <si>
    <t xml:space="preserve">Exponent, Inc.</t>
  </si>
  <si>
    <t xml:space="preserve">EPRT</t>
  </si>
  <si>
    <t xml:space="preserve">Essential Properties Realty Trust, Inc.</t>
  </si>
  <si>
    <t xml:space="preserve">AVNT</t>
  </si>
  <si>
    <t xml:space="preserve">Avient Corporation</t>
  </si>
  <si>
    <t xml:space="preserve">SHOO</t>
  </si>
  <si>
    <t xml:space="preserve">Steven Madden, Ltd.</t>
  </si>
  <si>
    <t xml:space="preserve">PI</t>
  </si>
  <si>
    <t xml:space="preserve">Impinj, Inc.</t>
  </si>
  <si>
    <t xml:space="preserve">EEFT</t>
  </si>
  <si>
    <t xml:space="preserve">Euronet Worldwide, Inc.</t>
  </si>
  <si>
    <t xml:space="preserve">RSI</t>
  </si>
  <si>
    <t xml:space="preserve">Rush Street Interactive, Inc.</t>
  </si>
  <si>
    <t xml:space="preserve">ADT</t>
  </si>
  <si>
    <t xml:space="preserve">ADT Inc.</t>
  </si>
  <si>
    <t xml:space="preserve">LRN</t>
  </si>
  <si>
    <t xml:space="preserve">Stride, Inc.</t>
  </si>
  <si>
    <t xml:space="preserve">WSC</t>
  </si>
  <si>
    <t xml:space="preserve">WillScot Holdings Corporation</t>
  </si>
  <si>
    <t xml:space="preserve">FIBK</t>
  </si>
  <si>
    <t xml:space="preserve">First Interstate BancSystem, Inc.</t>
  </si>
  <si>
    <t xml:space="preserve">HIW</t>
  </si>
  <si>
    <t xml:space="preserve">Highwoods Properties, Inc.</t>
  </si>
  <si>
    <t xml:space="preserve">LXP</t>
  </si>
  <si>
    <t xml:space="preserve">LXP Industrial Trust</t>
  </si>
  <si>
    <t xml:space="preserve">HOG</t>
  </si>
  <si>
    <t xml:space="preserve">Harley-Davidson, Inc.</t>
  </si>
  <si>
    <t xml:space="preserve">DOCS</t>
  </si>
  <si>
    <t xml:space="preserve">Doximity, Inc.</t>
  </si>
  <si>
    <t xml:space="preserve">OSIS</t>
  </si>
  <si>
    <t xml:space="preserve">OSI Systems, Inc.</t>
  </si>
  <si>
    <t xml:space="preserve">WING</t>
  </si>
  <si>
    <t xml:space="preserve">Wingstop Inc.</t>
  </si>
  <si>
    <t xml:space="preserve">MHO</t>
  </si>
  <si>
    <t xml:space="preserve">M/I Homes, Inc.</t>
  </si>
  <si>
    <t xml:space="preserve">SARO</t>
  </si>
  <si>
    <t xml:space="preserve">StandardAero, Inc.</t>
  </si>
  <si>
    <t xml:space="preserve">CBU</t>
  </si>
  <si>
    <t xml:space="preserve">Community Financial System, Inc.</t>
  </si>
  <si>
    <t xml:space="preserve">OUT</t>
  </si>
  <si>
    <t xml:space="preserve">OUTFRONT Media Inc.</t>
  </si>
  <si>
    <t xml:space="preserve">VCYT</t>
  </si>
  <si>
    <t xml:space="preserve">Veracyte, Inc.</t>
  </si>
  <si>
    <t xml:space="preserve">AUB</t>
  </si>
  <si>
    <t xml:space="preserve">Atlantic Union Bankshares Corporation</t>
  </si>
  <si>
    <t xml:space="preserve">ACAD</t>
  </si>
  <si>
    <t xml:space="preserve">ACADIA Pharmaceuticals Inc.</t>
  </si>
  <si>
    <t xml:space="preserve">MARA</t>
  </si>
  <si>
    <t xml:space="preserve">MARA Holdings, Inc.</t>
  </si>
  <si>
    <t xml:space="preserve">RDNT</t>
  </si>
  <si>
    <t xml:space="preserve">RadNet, Inc.</t>
  </si>
  <si>
    <t xml:space="preserve">ABM</t>
  </si>
  <si>
    <t xml:space="preserve">ABM Industries Incorporated</t>
  </si>
  <si>
    <t xml:space="preserve">KAI</t>
  </si>
  <si>
    <t xml:space="preserve">Kadant Inc.</t>
  </si>
  <si>
    <t xml:space="preserve">NHI</t>
  </si>
  <si>
    <t xml:space="preserve">National Health Investors, Inc.</t>
  </si>
  <si>
    <t xml:space="preserve">INDB</t>
  </si>
  <si>
    <t xml:space="preserve">Independent Bank Corp.</t>
  </si>
  <si>
    <t xml:space="preserve">CON</t>
  </si>
  <si>
    <t xml:space="preserve">Concentra Group Holdings Parent, Inc.</t>
  </si>
  <si>
    <t xml:space="preserve">MAN</t>
  </si>
  <si>
    <t xml:space="preserve">ManpowerGroup Inc.</t>
  </si>
  <si>
    <t xml:space="preserve">HLNE</t>
  </si>
  <si>
    <t xml:space="preserve">Hamilton Lane Incorporated</t>
  </si>
  <si>
    <t xml:space="preserve">PII</t>
  </si>
  <si>
    <t xml:space="preserve">Polaris Inc.</t>
  </si>
  <si>
    <t xml:space="preserve">KRMN</t>
  </si>
  <si>
    <t xml:space="preserve">Karman Holdings Inc.</t>
  </si>
  <si>
    <t xml:space="preserve">VNOM</t>
  </si>
  <si>
    <t xml:space="preserve">Viper Energy, Inc.</t>
  </si>
  <si>
    <t xml:space="preserve">ECPG</t>
  </si>
  <si>
    <t xml:space="preserve">Encore Capital Group, Inc.</t>
  </si>
  <si>
    <t xml:space="preserve">NATL</t>
  </si>
  <si>
    <t xml:space="preserve">NCR Atleos Corporation</t>
  </si>
  <si>
    <t xml:space="preserve">KTB</t>
  </si>
  <si>
    <t xml:space="preserve">Kontoor Brands, Inc.</t>
  </si>
  <si>
    <t xml:space="preserve">CACC</t>
  </si>
  <si>
    <t xml:space="preserve">Credit Acceptance Corporation</t>
  </si>
  <si>
    <t xml:space="preserve">PEGA</t>
  </si>
  <si>
    <t xml:space="preserve">Pegasystems Inc.</t>
  </si>
  <si>
    <t xml:space="preserve">NHC</t>
  </si>
  <si>
    <t xml:space="preserve">National HealthCare Corporation</t>
  </si>
  <si>
    <t xml:space="preserve">BOH</t>
  </si>
  <si>
    <t xml:space="preserve">Bank of Hawaii Corporation</t>
  </si>
  <si>
    <t xml:space="preserve">TDC</t>
  </si>
  <si>
    <t xml:space="preserve">Teradata Corporation</t>
  </si>
  <si>
    <t xml:space="preserve">USLM</t>
  </si>
  <si>
    <t xml:space="preserve">United States Lime &amp; Minerals, Inc.</t>
  </si>
  <si>
    <t xml:space="preserve">MIR</t>
  </si>
  <si>
    <t xml:space="preserve">Mirion Technologies, Inc.</t>
  </si>
  <si>
    <t xml:space="preserve">TRMK</t>
  </si>
  <si>
    <t xml:space="preserve">Trustmark Corporation</t>
  </si>
  <si>
    <t xml:space="preserve">AWR</t>
  </si>
  <si>
    <t xml:space="preserve">American States Water Company</t>
  </si>
  <si>
    <t xml:space="preserve">UCB</t>
  </si>
  <si>
    <t xml:space="preserve">United Community Banks, Inc.</t>
  </si>
  <si>
    <t xml:space="preserve">FLG</t>
  </si>
  <si>
    <t xml:space="preserve">Flagstar Bank, National Association</t>
  </si>
  <si>
    <t xml:space="preserve">SLGN</t>
  </si>
  <si>
    <t xml:space="preserve">Silgan Holdings Inc.</t>
  </si>
  <si>
    <t xml:space="preserve">AMTM</t>
  </si>
  <si>
    <t xml:space="preserve">Amentum Holdings, Inc.</t>
  </si>
  <si>
    <t xml:space="preserve">DXPE</t>
  </si>
  <si>
    <t xml:space="preserve">DXP Enterprises, Inc.</t>
  </si>
  <si>
    <t xml:space="preserve">LBRT</t>
  </si>
  <si>
    <t xml:space="preserve">Liberty Energy Inc.</t>
  </si>
  <si>
    <t xml:space="preserve">PLMR</t>
  </si>
  <si>
    <t xml:space="preserve">Palomar Holdings, Inc.</t>
  </si>
  <si>
    <t xml:space="preserve">EXTR</t>
  </si>
  <si>
    <t xml:space="preserve">Extreme Networks, Inc.</t>
  </si>
  <si>
    <t xml:space="preserve">GHC</t>
  </si>
  <si>
    <t xml:space="preserve">Graham Holdings Company</t>
  </si>
  <si>
    <t xml:space="preserve">KNF</t>
  </si>
  <si>
    <t xml:space="preserve">Knife River Corporation</t>
  </si>
  <si>
    <t xml:space="preserve">BCC</t>
  </si>
  <si>
    <t xml:space="preserve">Boise Cascade Company</t>
  </si>
  <si>
    <t xml:space="preserve">ICUI</t>
  </si>
  <si>
    <t xml:space="preserve">ICU Medical, Inc.</t>
  </si>
  <si>
    <t xml:space="preserve">WAY</t>
  </si>
  <si>
    <t xml:space="preserve">Waystar Holding Corp.</t>
  </si>
  <si>
    <t xml:space="preserve">CARG</t>
  </si>
  <si>
    <t xml:space="preserve">CarGurus, Inc.</t>
  </si>
  <si>
    <t xml:space="preserve">UCTT</t>
  </si>
  <si>
    <t xml:space="preserve">Ultra Clean Holdings, Inc.</t>
  </si>
  <si>
    <t xml:space="preserve">FFBC</t>
  </si>
  <si>
    <t xml:space="preserve">First Financial Bancorp.</t>
  </si>
  <si>
    <t xml:space="preserve">TMDX</t>
  </si>
  <si>
    <t xml:space="preserve">TransMedics Group, Inc.</t>
  </si>
  <si>
    <t xml:space="preserve">PLUS</t>
  </si>
  <si>
    <t xml:space="preserve">ePlus inc.</t>
  </si>
  <si>
    <t xml:space="preserve">GPK</t>
  </si>
  <si>
    <t xml:space="preserve">Graphic Packaging Holding Company</t>
  </si>
  <si>
    <t xml:space="preserve">PHIN</t>
  </si>
  <si>
    <t xml:space="preserve">PHINIA Inc.</t>
  </si>
  <si>
    <t xml:space="preserve">LEU</t>
  </si>
  <si>
    <t xml:space="preserve">Centrus Energy Corp.</t>
  </si>
  <si>
    <t xml:space="preserve">Uranium</t>
  </si>
  <si>
    <t xml:space="preserve">WT</t>
  </si>
  <si>
    <t xml:space="preserve">WisdomTree, Inc.</t>
  </si>
  <si>
    <t xml:space="preserve">MCY</t>
  </si>
  <si>
    <t xml:space="preserve">Mercury General Corporation</t>
  </si>
  <si>
    <t xml:space="preserve">BTU</t>
  </si>
  <si>
    <t xml:space="preserve">Peabody Energy Corporation</t>
  </si>
  <si>
    <t xml:space="preserve">PBI</t>
  </si>
  <si>
    <t xml:space="preserve">Pitney Bowes Inc.</t>
  </si>
  <si>
    <t xml:space="preserve">REZI</t>
  </si>
  <si>
    <t xml:space="preserve">Resideo Technologies, Inc.</t>
  </si>
  <si>
    <t xml:space="preserve">NTCT</t>
  </si>
  <si>
    <t xml:space="preserve">NetScout Systems, Inc.</t>
  </si>
  <si>
    <t xml:space="preserve">CHH</t>
  </si>
  <si>
    <t xml:space="preserve">Choice Hotels International, Inc.</t>
  </si>
  <si>
    <t xml:space="preserve">WDFC</t>
  </si>
  <si>
    <t xml:space="preserve">WD-40 Company</t>
  </si>
  <si>
    <t xml:space="preserve">SPSC</t>
  </si>
  <si>
    <t xml:space="preserve">SPS Commerce, Inc.</t>
  </si>
  <si>
    <t xml:space="preserve">FIVN</t>
  </si>
  <si>
    <t xml:space="preserve">Five9, Inc.</t>
  </si>
  <si>
    <t xml:space="preserve">CALM</t>
  </si>
  <si>
    <t xml:space="preserve">Cal-Maine Foods, Inc.</t>
  </si>
  <si>
    <t xml:space="preserve">Farm Products</t>
  </si>
  <si>
    <t xml:space="preserve">BOOT</t>
  </si>
  <si>
    <t xml:space="preserve">Boot Barn Holdings, Inc.</t>
  </si>
  <si>
    <t xml:space="preserve">HGV</t>
  </si>
  <si>
    <t xml:space="preserve">Hilton Grand Vacations Inc.</t>
  </si>
  <si>
    <t xml:space="preserve">NMIH</t>
  </si>
  <si>
    <t xml:space="preserve">NMI Holdings, Inc.</t>
  </si>
  <si>
    <t xml:space="preserve">BHF</t>
  </si>
  <si>
    <t xml:space="preserve">Brighthouse Financial, Inc.</t>
  </si>
  <si>
    <t xml:space="preserve">FUL</t>
  </si>
  <si>
    <t xml:space="preserve">H.B. Fuller Company</t>
  </si>
  <si>
    <t xml:space="preserve">DRH</t>
  </si>
  <si>
    <t xml:space="preserve">DiamondRock Hospitality Company</t>
  </si>
  <si>
    <t xml:space="preserve">AAP</t>
  </si>
  <si>
    <t xml:space="preserve">Advance Auto Parts, Inc.</t>
  </si>
  <si>
    <t xml:space="preserve">PRK</t>
  </si>
  <si>
    <t xml:space="preserve">Park National Corporation</t>
  </si>
  <si>
    <t xml:space="preserve">NGVT</t>
  </si>
  <si>
    <t xml:space="preserve">Ingevity Corporation</t>
  </si>
  <si>
    <t xml:space="preserve">AAMI</t>
  </si>
  <si>
    <t xml:space="preserve">Acadian Asset Management Inc.</t>
  </si>
  <si>
    <t xml:space="preserve">ALGM</t>
  </si>
  <si>
    <t xml:space="preserve">Allegro MicroSystems, Inc.</t>
  </si>
  <si>
    <t xml:space="preserve">SFNC</t>
  </si>
  <si>
    <t xml:space="preserve">Simmons First National Corporation</t>
  </si>
  <si>
    <t xml:space="preserve">VC</t>
  </si>
  <si>
    <t xml:space="preserve">Visteon Corporation</t>
  </si>
  <si>
    <t xml:space="preserve">HWKN</t>
  </si>
  <si>
    <t xml:space="preserve">Hawkins, Inc.</t>
  </si>
  <si>
    <t xml:space="preserve">BHE</t>
  </si>
  <si>
    <t xml:space="preserve">Benchmark Electronics, Inc.</t>
  </si>
  <si>
    <t xml:space="preserve">POWI</t>
  </si>
  <si>
    <t xml:space="preserve">Power Integrations, Inc.</t>
  </si>
  <si>
    <t xml:space="preserve">CUBI</t>
  </si>
  <si>
    <t xml:space="preserve">Customers Bancorp, Inc.</t>
  </si>
  <si>
    <t xml:space="preserve">UNFI</t>
  </si>
  <si>
    <t xml:space="preserve">United Natural Foods, Inc.</t>
  </si>
  <si>
    <t xml:space="preserve">TBBK</t>
  </si>
  <si>
    <t xml:space="preserve">The Bancorp, Inc.</t>
  </si>
  <si>
    <t xml:space="preserve">IPGP</t>
  </si>
  <si>
    <t xml:space="preserve">IPG Photonics Corporation</t>
  </si>
  <si>
    <t xml:space="preserve">AVA</t>
  </si>
  <si>
    <t xml:space="preserve">Avista Corporation</t>
  </si>
  <si>
    <t xml:space="preserve">Utilities - Diversified</t>
  </si>
  <si>
    <t xml:space="preserve">MGEE</t>
  </si>
  <si>
    <t xml:space="preserve">MGE Energy, Inc.</t>
  </si>
  <si>
    <t xml:space="preserve">APAM</t>
  </si>
  <si>
    <t xml:space="preserve">Artisan Partners Asset Management Inc.</t>
  </si>
  <si>
    <t xml:space="preserve">PPLI</t>
  </si>
  <si>
    <t xml:space="preserve">People Incorporated</t>
  </si>
  <si>
    <t xml:space="preserve">ACHC</t>
  </si>
  <si>
    <t xml:space="preserve">Acadia Healthcare Company, Inc.</t>
  </si>
  <si>
    <t xml:space="preserve">STEP</t>
  </si>
  <si>
    <t xml:space="preserve">StepStone Group Inc.</t>
  </si>
  <si>
    <t xml:space="preserve">FOUR</t>
  </si>
  <si>
    <t xml:space="preserve">Shift4 Payments, Inc.</t>
  </si>
  <si>
    <t xml:space="preserve">BYD</t>
  </si>
  <si>
    <t xml:space="preserve">Boyd Gaming Corporation</t>
  </si>
  <si>
    <t xml:space="preserve">CWT</t>
  </si>
  <si>
    <t xml:space="preserve">California Water Service Group</t>
  </si>
  <si>
    <t xml:space="preserve">CHEF</t>
  </si>
  <si>
    <t xml:space="preserve">The Chefs' Warehouse, Inc.</t>
  </si>
  <si>
    <t xml:space="preserve">KALU</t>
  </si>
  <si>
    <t xml:space="preserve">Kaiser Aluminum Corporation</t>
  </si>
  <si>
    <t xml:space="preserve">COHU</t>
  </si>
  <si>
    <t xml:space="preserve">Cohu, Inc.</t>
  </si>
  <si>
    <t xml:space="preserve">ADEA</t>
  </si>
  <si>
    <t xml:space="preserve">Adeia Inc.</t>
  </si>
  <si>
    <t xml:space="preserve">NBTB</t>
  </si>
  <si>
    <t xml:space="preserve">NBT Bancorp Inc.</t>
  </si>
  <si>
    <t xml:space="preserve">CASH</t>
  </si>
  <si>
    <t xml:space="preserve">Pathward Financial, Inc.</t>
  </si>
  <si>
    <t xml:space="preserve">AEO</t>
  </si>
  <si>
    <t xml:space="preserve">American Eagle Outfitters, Inc.</t>
  </si>
  <si>
    <t xml:space="preserve">RAMP</t>
  </si>
  <si>
    <t xml:space="preserve">LiveRamp Holdings, Inc.</t>
  </si>
  <si>
    <t xml:space="preserve">RNST</t>
  </si>
  <si>
    <t xml:space="preserve">Renasant Corporation</t>
  </si>
  <si>
    <t xml:space="preserve">WAFD</t>
  </si>
  <si>
    <t xml:space="preserve">WaFd, Inc.</t>
  </si>
  <si>
    <t xml:space="preserve">COCO</t>
  </si>
  <si>
    <t xml:space="preserve">The Vita Coco Company, Inc.</t>
  </si>
  <si>
    <t xml:space="preserve">IOSP</t>
  </si>
  <si>
    <t xml:space="preserve">Innospec Inc.</t>
  </si>
  <si>
    <t xml:space="preserve">NEOG</t>
  </si>
  <si>
    <t xml:space="preserve">Neogen Corporation</t>
  </si>
  <si>
    <t xml:space="preserve">OFG</t>
  </si>
  <si>
    <t xml:space="preserve">OFG Bancorp</t>
  </si>
  <si>
    <t xml:space="preserve">PRLB</t>
  </si>
  <si>
    <t xml:space="preserve">Proto Labs, Inc.</t>
  </si>
  <si>
    <t xml:space="preserve">WU</t>
  </si>
  <si>
    <t xml:space="preserve">The Western Union Company</t>
  </si>
  <si>
    <t xml:space="preserve">CRGY</t>
  </si>
  <si>
    <t xml:space="preserve">Crescent Energy Company</t>
  </si>
  <si>
    <t xml:space="preserve">KMT</t>
  </si>
  <si>
    <t xml:space="preserve">Kennametal Inc.</t>
  </si>
  <si>
    <t xml:space="preserve">BANC</t>
  </si>
  <si>
    <t xml:space="preserve">Banc of California, Inc.</t>
  </si>
  <si>
    <t xml:space="preserve">LFST</t>
  </si>
  <si>
    <t xml:space="preserve">LifeStance Health Group, Inc.</t>
  </si>
  <si>
    <t xml:space="preserve">VIRT</t>
  </si>
  <si>
    <t xml:space="preserve">Virtu Financial, Inc.</t>
  </si>
  <si>
    <t xml:space="preserve">LCII</t>
  </si>
  <si>
    <t xml:space="preserve">LCI Industries</t>
  </si>
  <si>
    <t xml:space="preserve">NEO</t>
  </si>
  <si>
    <t xml:space="preserve">NeoGenomics, Inc.</t>
  </si>
  <si>
    <t xml:space="preserve">ZD</t>
  </si>
  <si>
    <t xml:space="preserve">Ziff Davis, Inc.</t>
  </si>
  <si>
    <t xml:space="preserve">PENN</t>
  </si>
  <si>
    <t xml:space="preserve">PENN Entertainment, Inc.</t>
  </si>
  <si>
    <t xml:space="preserve">KGS</t>
  </si>
  <si>
    <t xml:space="preserve">Kodiak Gas Services, Inc.</t>
  </si>
  <si>
    <t xml:space="preserve">RRR</t>
  </si>
  <si>
    <t xml:space="preserve">Red Rock Resorts, Inc.</t>
  </si>
  <si>
    <t xml:space="preserve">PBH</t>
  </si>
  <si>
    <t xml:space="preserve">Prestige Consumer Healthcare Inc.</t>
  </si>
  <si>
    <t xml:space="preserve">UE</t>
  </si>
  <si>
    <t xml:space="preserve">Urban Edge Properties</t>
  </si>
  <si>
    <t xml:space="preserve">CPK</t>
  </si>
  <si>
    <t xml:space="preserve">Chesapeake Utilities Corporation</t>
  </si>
  <si>
    <t xml:space="preserve">SHO</t>
  </si>
  <si>
    <t xml:space="preserve">Sunstone Hotel Investors, Inc.</t>
  </si>
  <si>
    <t xml:space="preserve">SUPN</t>
  </si>
  <si>
    <t xml:space="preserve">Supernus Pharmaceuticals, Inc.</t>
  </si>
  <si>
    <t xml:space="preserve">PEB</t>
  </si>
  <si>
    <t xml:space="preserve">Pebblebrook Hotel Trust</t>
  </si>
  <si>
    <t xml:space="preserve">CURB</t>
  </si>
  <si>
    <t xml:space="preserve">Curbline Properties Corp.</t>
  </si>
  <si>
    <t xml:space="preserve">CHCO</t>
  </si>
  <si>
    <t xml:space="preserve">City Holding Company</t>
  </si>
  <si>
    <t xml:space="preserve">CC</t>
  </si>
  <si>
    <t xml:space="preserve">The Chemours Company</t>
  </si>
  <si>
    <t xml:space="preserve">BBT</t>
  </si>
  <si>
    <t xml:space="preserve">Beacon Financial Corporation</t>
  </si>
  <si>
    <t xml:space="preserve">NPK</t>
  </si>
  <si>
    <t xml:space="preserve">National Presto Industries, Inc.</t>
  </si>
  <si>
    <t xml:space="preserve">TRN</t>
  </si>
  <si>
    <t xml:space="preserve">Trinity Industries, Inc.</t>
  </si>
  <si>
    <t xml:space="preserve">Railroads</t>
  </si>
  <si>
    <t xml:space="preserve">HTO</t>
  </si>
  <si>
    <t xml:space="preserve">H2O America</t>
  </si>
  <si>
    <t xml:space="preserve">KD</t>
  </si>
  <si>
    <t xml:space="preserve">Kyndryl Holdings, Inc.</t>
  </si>
  <si>
    <t xml:space="preserve">ALRM</t>
  </si>
  <si>
    <t xml:space="preserve">Alarm.com Holdings, Inc.</t>
  </si>
  <si>
    <t xml:space="preserve">BXMT</t>
  </si>
  <si>
    <t xml:space="preserve">Blackstone Mortgage Trust, Inc.</t>
  </si>
  <si>
    <t xml:space="preserve">WLK</t>
  </si>
  <si>
    <t xml:space="preserve">Westlake Corporation</t>
  </si>
  <si>
    <t xml:space="preserve">VECO</t>
  </si>
  <si>
    <t xml:space="preserve">Veeco Instruments Inc.</t>
  </si>
  <si>
    <t xml:space="preserve">OSW</t>
  </si>
  <si>
    <t xml:space="preserve">OneSpaWorld Holdings Limited</t>
  </si>
  <si>
    <t xml:space="preserve">YOU</t>
  </si>
  <si>
    <t xml:space="preserve">Clear Secure, Inc.</t>
  </si>
  <si>
    <t xml:space="preserve">TILE</t>
  </si>
  <si>
    <t xml:space="preserve">Interface, Inc.</t>
  </si>
  <si>
    <t xml:space="preserve">PRDO</t>
  </si>
  <si>
    <t xml:space="preserve">Perdoceo Education Corporation</t>
  </si>
  <si>
    <t xml:space="preserve">MD</t>
  </si>
  <si>
    <t xml:space="preserve">Pediatrix Medical Group, Inc.</t>
  </si>
  <si>
    <t xml:space="preserve">GOLF</t>
  </si>
  <si>
    <t xml:space="preserve">Acushnet Holdings Corp.</t>
  </si>
  <si>
    <t xml:space="preserve">DGII</t>
  </si>
  <si>
    <t xml:space="preserve">Digi International Inc.</t>
  </si>
  <si>
    <t xml:space="preserve">CWK</t>
  </si>
  <si>
    <t xml:space="preserve">Cushman &amp; Wakefield Limited</t>
  </si>
  <si>
    <t xml:space="preserve">HTH</t>
  </si>
  <si>
    <t xml:space="preserve">Hilltop Holdings Inc.</t>
  </si>
  <si>
    <t xml:space="preserve">AMR</t>
  </si>
  <si>
    <t xml:space="preserve">Alpha Metallurgical Resources, Inc.</t>
  </si>
  <si>
    <t xml:space="preserve">CXT</t>
  </si>
  <si>
    <t xml:space="preserve">Crane NXT, Co.</t>
  </si>
  <si>
    <t xml:space="preserve">Business Equipment &amp; Supplies</t>
  </si>
  <si>
    <t xml:space="preserve">EPAC</t>
  </si>
  <si>
    <t xml:space="preserve">Enerpac Tool Group Corp.</t>
  </si>
  <si>
    <t xml:space="preserve">WKC</t>
  </si>
  <si>
    <t xml:space="preserve">World Kinect Corporation</t>
  </si>
  <si>
    <t xml:space="preserve">PGNY</t>
  </si>
  <si>
    <t xml:space="preserve">Progyny, Inc.</t>
  </si>
  <si>
    <t xml:space="preserve">ANDE</t>
  </si>
  <si>
    <t xml:space="preserve">The Andersons, Inc.</t>
  </si>
  <si>
    <t xml:space="preserve">BANR</t>
  </si>
  <si>
    <t xml:space="preserve">Banner Corporation</t>
  </si>
  <si>
    <t xml:space="preserve">SPNT</t>
  </si>
  <si>
    <t xml:space="preserve">SiriusPoint Ltd.</t>
  </si>
  <si>
    <t xml:space="preserve">MTX</t>
  </si>
  <si>
    <t xml:space="preserve">Minerals Technologies Inc.</t>
  </si>
  <si>
    <t xml:space="preserve">CAR</t>
  </si>
  <si>
    <t xml:space="preserve">Avis Budget Group, Inc.</t>
  </si>
  <si>
    <t xml:space="preserve">GPOR</t>
  </si>
  <si>
    <t xml:space="preserve">Gulfport Energy Corporation</t>
  </si>
  <si>
    <t xml:space="preserve">ROG</t>
  </si>
  <si>
    <t xml:space="preserve">Rogers Corporation</t>
  </si>
  <si>
    <t xml:space="preserve">SMG</t>
  </si>
  <si>
    <t xml:space="preserve">The Scotts Miracle-Gro Company</t>
  </si>
  <si>
    <t xml:space="preserve">Agricultural Inputs</t>
  </si>
  <si>
    <t xml:space="preserve">NWL</t>
  </si>
  <si>
    <t xml:space="preserve">Newell Brands Inc.</t>
  </si>
  <si>
    <t xml:space="preserve">KWR</t>
  </si>
  <si>
    <t xml:space="preserve">Quaker Chemical Corporation</t>
  </si>
  <si>
    <t xml:space="preserve">DBD</t>
  </si>
  <si>
    <t xml:space="preserve">Diebold Nixdorf, Incorporated</t>
  </si>
  <si>
    <t xml:space="preserve">FCF</t>
  </si>
  <si>
    <t xml:space="preserve">First Commonwealth Financial Corporation</t>
  </si>
  <si>
    <t xml:space="preserve">HNI</t>
  </si>
  <si>
    <t xml:space="preserve">HNI Corporation</t>
  </si>
  <si>
    <t xml:space="preserve">JOE</t>
  </si>
  <si>
    <t xml:space="preserve">The St. Joe Company</t>
  </si>
  <si>
    <t xml:space="preserve">Real Estate - Diversified</t>
  </si>
  <si>
    <t xml:space="preserve">WLY</t>
  </si>
  <si>
    <t xml:space="preserve">John Wiley &amp; Sons, Inc.</t>
  </si>
  <si>
    <t xml:space="preserve">SHC</t>
  </si>
  <si>
    <t xml:space="preserve">Sotera Health Company</t>
  </si>
  <si>
    <t xml:space="preserve">SONO</t>
  </si>
  <si>
    <t xml:space="preserve">Sonos, Inc.</t>
  </si>
  <si>
    <t xml:space="preserve">Consumer Electronics</t>
  </si>
  <si>
    <t xml:space="preserve">DXC</t>
  </si>
  <si>
    <t xml:space="preserve">DXC Technology Company</t>
  </si>
  <si>
    <t xml:space="preserve">RXO</t>
  </si>
  <si>
    <t xml:space="preserve">RXO, Inc.</t>
  </si>
  <si>
    <t xml:space="preserve">HUBG</t>
  </si>
  <si>
    <t xml:space="preserve">Hub Group, Inc.</t>
  </si>
  <si>
    <t xml:space="preserve">SHAK</t>
  </si>
  <si>
    <t xml:space="preserve">Shake Shack Inc.</t>
  </si>
  <si>
    <t xml:space="preserve">BLKB</t>
  </si>
  <si>
    <t xml:space="preserve">Blackbaud, Inc.</t>
  </si>
  <si>
    <t xml:space="preserve">KNTK</t>
  </si>
  <si>
    <t xml:space="preserve">Kinetik Holdings Inc.</t>
  </si>
  <si>
    <t xml:space="preserve">XHR</t>
  </si>
  <si>
    <t xml:space="preserve">Xenia Hotels &amp; Resorts, Inc.</t>
  </si>
  <si>
    <t xml:space="preserve">XRAY</t>
  </si>
  <si>
    <t xml:space="preserve">DENTSPLY SIRONA Inc.</t>
  </si>
  <si>
    <t xml:space="preserve">SBH</t>
  </si>
  <si>
    <t xml:space="preserve">Sally Beauty Holdings, Inc.</t>
  </si>
  <si>
    <t xml:space="preserve">MPT</t>
  </si>
  <si>
    <t xml:space="preserve">Medical Properties Trust, Inc.</t>
  </si>
  <si>
    <t xml:space="preserve">WOR</t>
  </si>
  <si>
    <t xml:space="preserve">Worthington Enterprises, Inc.</t>
  </si>
  <si>
    <t xml:space="preserve">OLN</t>
  </si>
  <si>
    <t xml:space="preserve">Olin Corporation</t>
  </si>
  <si>
    <t xml:space="preserve">STRA</t>
  </si>
  <si>
    <t xml:space="preserve">Strategic Education, Inc.</t>
  </si>
  <si>
    <t xml:space="preserve">CALX</t>
  </si>
  <si>
    <t xml:space="preserve">Calix, Inc.</t>
  </si>
  <si>
    <t xml:space="preserve">RH</t>
  </si>
  <si>
    <t xml:space="preserve">PTON</t>
  </si>
  <si>
    <t xml:space="preserve">Peloton Interactive, Inc.</t>
  </si>
  <si>
    <t xml:space="preserve">PATK</t>
  </si>
  <si>
    <t xml:space="preserve">Patrick Industries, Inc.</t>
  </si>
  <si>
    <t xml:space="preserve">CNS</t>
  </si>
  <si>
    <t xml:space="preserve">Cohen &amp; Steers, Inc.</t>
  </si>
  <si>
    <t xml:space="preserve">WERN</t>
  </si>
  <si>
    <t xml:space="preserve">Werner Enterprises, Inc.</t>
  </si>
  <si>
    <t xml:space="preserve">CENX</t>
  </si>
  <si>
    <t xml:space="preserve">Century Aluminum Company</t>
  </si>
  <si>
    <t xml:space="preserve">PRGO</t>
  </si>
  <si>
    <t xml:space="preserve">Perrigo Company plc</t>
  </si>
  <si>
    <t xml:space="preserve">AZTA</t>
  </si>
  <si>
    <t xml:space="preserve">Azenta, Inc.</t>
  </si>
  <si>
    <t xml:space="preserve">STBA</t>
  </si>
  <si>
    <t xml:space="preserve">S&amp;T Bancorp, Inc.</t>
  </si>
  <si>
    <t xml:space="preserve">SEZL</t>
  </si>
  <si>
    <t xml:space="preserve">Sezzle Inc.</t>
  </si>
  <si>
    <t xml:space="preserve">INSP</t>
  </si>
  <si>
    <t xml:space="preserve">Inspire Medical Systems, Inc.</t>
  </si>
  <si>
    <t xml:space="preserve">KSS</t>
  </si>
  <si>
    <t xml:space="preserve">Kohl's Corporation</t>
  </si>
  <si>
    <t xml:space="preserve">ALG</t>
  </si>
  <si>
    <t xml:space="preserve">Alamo Group Inc.</t>
  </si>
  <si>
    <t xml:space="preserve">PENG</t>
  </si>
  <si>
    <t xml:space="preserve">Penguin Solutions, Inc.</t>
  </si>
  <si>
    <t xml:space="preserve">HMN</t>
  </si>
  <si>
    <t xml:space="preserve">Horace Mann Educators Corporation</t>
  </si>
  <si>
    <t xml:space="preserve">FTRE</t>
  </si>
  <si>
    <t xml:space="preserve">Fortrea Holdings Inc.</t>
  </si>
  <si>
    <t xml:space="preserve">PLAB</t>
  </si>
  <si>
    <t xml:space="preserve">Photronics, Inc.</t>
  </si>
  <si>
    <t xml:space="preserve">RUN</t>
  </si>
  <si>
    <t xml:space="preserve">Sunrun Inc.</t>
  </si>
  <si>
    <t xml:space="preserve">SRPT</t>
  </si>
  <si>
    <t xml:space="preserve">Sarepta Therapeutics, Inc.</t>
  </si>
  <si>
    <t xml:space="preserve">LPG</t>
  </si>
  <si>
    <t xml:space="preserve">Dorian LPG Ltd.</t>
  </si>
  <si>
    <t xml:space="preserve">SEDG</t>
  </si>
  <si>
    <t xml:space="preserve">SolarEdge Technologies, Inc.</t>
  </si>
  <si>
    <t xml:space="preserve">PRGS</t>
  </si>
  <si>
    <t xml:space="preserve">Progress Software Corporation</t>
  </si>
  <si>
    <t xml:space="preserve">CTS</t>
  </si>
  <si>
    <t xml:space="preserve">CTS Corporation</t>
  </si>
  <si>
    <t xml:space="preserve">PRVA</t>
  </si>
  <si>
    <t xml:space="preserve">Privia Health Group, Inc.</t>
  </si>
  <si>
    <t xml:space="preserve">BANF</t>
  </si>
  <si>
    <t xml:space="preserve">BancFirst Corporation</t>
  </si>
  <si>
    <t xml:space="preserve">IPAR</t>
  </si>
  <si>
    <t xml:space="preserve">Interparfums, Inc.</t>
  </si>
  <si>
    <t xml:space="preserve">PFS</t>
  </si>
  <si>
    <t xml:space="preserve">Provident Financial Services, Inc.</t>
  </si>
  <si>
    <t xml:space="preserve">SAM</t>
  </si>
  <si>
    <t xml:space="preserve">The Boston Beer Company, Inc.</t>
  </si>
  <si>
    <t xml:space="preserve">VCEL</t>
  </si>
  <si>
    <t xml:space="preserve">Vericel Corporation</t>
  </si>
  <si>
    <t xml:space="preserve">CENTA</t>
  </si>
  <si>
    <t xml:space="preserve">Central Garden &amp; Pet Company</t>
  </si>
  <si>
    <t xml:space="preserve">AIN</t>
  </si>
  <si>
    <t xml:space="preserve">Albany International Corp.</t>
  </si>
  <si>
    <t xml:space="preserve">Textile Manufacturing</t>
  </si>
  <si>
    <t xml:space="preserve">VSTS</t>
  </si>
  <si>
    <t xml:space="preserve">Vestis Corporation</t>
  </si>
  <si>
    <t xml:space="preserve">AGYS</t>
  </si>
  <si>
    <t xml:space="preserve">Agilysys, Inc.</t>
  </si>
  <si>
    <t xml:space="preserve">AKR</t>
  </si>
  <si>
    <t xml:space="preserve">Acadia Realty Trust</t>
  </si>
  <si>
    <t xml:space="preserve">MFP</t>
  </si>
  <si>
    <t xml:space="preserve">Midera Food Processing, Inc.</t>
  </si>
  <si>
    <t xml:space="preserve">HOPE</t>
  </si>
  <si>
    <t xml:space="preserve">Hope Bancorp, Inc.</t>
  </si>
  <si>
    <t xml:space="preserve">WHR</t>
  </si>
  <si>
    <t xml:space="preserve">Whirlpool Corporation</t>
  </si>
  <si>
    <t xml:space="preserve">VRTS</t>
  </si>
  <si>
    <t xml:space="preserve">Virtus Investment Partners, Inc.</t>
  </si>
  <si>
    <t xml:space="preserve">MCRI</t>
  </si>
  <si>
    <t xml:space="preserve">Monarch Casino &amp; Resort, Inc.</t>
  </si>
  <si>
    <t xml:space="preserve">NWBI</t>
  </si>
  <si>
    <t xml:space="preserve">Northwest Bancshares, Inc.</t>
  </si>
  <si>
    <t xml:space="preserve">COLM</t>
  </si>
  <si>
    <t xml:space="preserve">Columbia Sportswear Company</t>
  </si>
  <si>
    <t xml:space="preserve">LTC</t>
  </si>
  <si>
    <t xml:space="preserve">LTC Properties, Inc.</t>
  </si>
  <si>
    <t xml:space="preserve">NOG</t>
  </si>
  <si>
    <t xml:space="preserve">Northern Oil and Gas, Inc.</t>
  </si>
  <si>
    <t xml:space="preserve">GRBK</t>
  </si>
  <si>
    <t xml:space="preserve">Green Brick Partners, Inc.</t>
  </si>
  <si>
    <t xml:space="preserve">SCSC</t>
  </si>
  <si>
    <t xml:space="preserve">ScanSource, Inc.</t>
  </si>
  <si>
    <t xml:space="preserve">FCPT</t>
  </si>
  <si>
    <t xml:space="preserve">Four Corners Property Trust, Inc.</t>
  </si>
  <si>
    <t xml:space="preserve">ADUS</t>
  </si>
  <si>
    <t xml:space="preserve">Addus HomeCare Corporation</t>
  </si>
  <si>
    <t xml:space="preserve">BJRI</t>
  </si>
  <si>
    <t xml:space="preserve">BJ's Restaurants, Inc.</t>
  </si>
  <si>
    <t xml:space="preserve">DEI</t>
  </si>
  <si>
    <t xml:space="preserve">Douglas Emmett, Inc.</t>
  </si>
  <si>
    <t xml:space="preserve">SBCF</t>
  </si>
  <si>
    <t xml:space="preserve">Seacoast Banking Corporation of Florida</t>
  </si>
  <si>
    <t xml:space="preserve">DV</t>
  </si>
  <si>
    <t xml:space="preserve">DoubleVerify Holdings, Inc.</t>
  </si>
  <si>
    <t xml:space="preserve">NTST</t>
  </si>
  <si>
    <t xml:space="preserve">NETSTREIT Corp.</t>
  </si>
  <si>
    <t xml:space="preserve">ATEN</t>
  </si>
  <si>
    <t xml:space="preserve">A10 Networks, Inc.</t>
  </si>
  <si>
    <t xml:space="preserve">NSP</t>
  </si>
  <si>
    <t xml:space="preserve">Insperity, Inc.</t>
  </si>
  <si>
    <t xml:space="preserve">SAFT</t>
  </si>
  <si>
    <t xml:space="preserve">Safety Insurance Group, Inc.</t>
  </si>
  <si>
    <t xml:space="preserve">HAYW</t>
  </si>
  <si>
    <t xml:space="preserve">Hayward Holdings, Inc.</t>
  </si>
  <si>
    <t xml:space="preserve">EVTC</t>
  </si>
  <si>
    <t xml:space="preserve">EVERTEC, Inc.</t>
  </si>
  <si>
    <t xml:space="preserve">SDGR</t>
  </si>
  <si>
    <t xml:space="preserve">Schrödinger, Inc.</t>
  </si>
  <si>
    <t xml:space="preserve">CPRI</t>
  </si>
  <si>
    <t xml:space="preserve">Capri Holdings Limited</t>
  </si>
  <si>
    <t xml:space="preserve">ADMA</t>
  </si>
  <si>
    <t xml:space="preserve">ADMA Biologics, Inc.</t>
  </si>
  <si>
    <t xml:space="preserve">NWN</t>
  </si>
  <si>
    <t xml:space="preserve">Northwest Natural Holding Company</t>
  </si>
  <si>
    <t xml:space="preserve">MZTI</t>
  </si>
  <si>
    <t xml:space="preserve">The Marzetti Company</t>
  </si>
  <si>
    <t xml:space="preserve">EFOR</t>
  </si>
  <si>
    <t xml:space="preserve">Everforth, Inc.</t>
  </si>
  <si>
    <t xml:space="preserve">EZPW</t>
  </si>
  <si>
    <t xml:space="preserve">EZCORP, Inc.</t>
  </si>
  <si>
    <t xml:space="preserve">HE</t>
  </si>
  <si>
    <t xml:space="preserve">Hawaiian Electric Industries, Inc.</t>
  </si>
  <si>
    <t xml:space="preserve">FA</t>
  </si>
  <si>
    <t xml:space="preserve">First Advantage Corporation</t>
  </si>
  <si>
    <t xml:space="preserve">CALY</t>
  </si>
  <si>
    <t xml:space="preserve">Callaway Golf Company</t>
  </si>
  <si>
    <t xml:space="preserve">LKFN</t>
  </si>
  <si>
    <t xml:space="preserve">Lakeland Financial Corporation</t>
  </si>
  <si>
    <t xml:space="preserve">PSN</t>
  </si>
  <si>
    <t xml:space="preserve">PARSONS CORP</t>
  </si>
  <si>
    <t xml:space="preserve">HCSG</t>
  </si>
  <si>
    <t xml:space="preserve">HEALTHCARE SERVICES GROUP</t>
  </si>
  <si>
    <t xml:space="preserve">CRVL</t>
  </si>
  <si>
    <t xml:space="preserve">CORVEL CORP</t>
  </si>
  <si>
    <t xml:space="preserve">CVI</t>
  </si>
  <si>
    <t xml:space="preserve">CVR ENERGY INC</t>
  </si>
  <si>
    <t xml:space="preserve">GEF</t>
  </si>
  <si>
    <t xml:space="preserve">GREIF INC CL A</t>
  </si>
  <si>
    <t xml:space="preserve">EIG</t>
  </si>
  <si>
    <t xml:space="preserve">EMPLOYERS HOLDINGS INC</t>
  </si>
  <si>
    <t xml:space="preserve">WWW</t>
  </si>
  <si>
    <t xml:space="preserve">WOLVERINE WORLD WIDE INC</t>
  </si>
  <si>
    <t xml:space="preserve">ADNT</t>
  </si>
  <si>
    <t xml:space="preserve">ADIENT PLC</t>
  </si>
  <si>
    <t xml:space="preserve">ADIG</t>
  </si>
  <si>
    <t xml:space="preserve">ADI GLOBAL DISTRIB</t>
  </si>
  <si>
    <t xml:space="preserve">PFBC</t>
  </si>
  <si>
    <t xml:space="preserve">PREFERRED BANK/LOS ANGELES</t>
  </si>
  <si>
    <t xml:space="preserve">VVX</t>
  </si>
  <si>
    <t xml:space="preserve">V2X INC</t>
  </si>
  <si>
    <t xml:space="preserve">DFIN</t>
  </si>
  <si>
    <t xml:space="preserve">DONNELLEY FINANCIAL SOLUTION</t>
  </si>
  <si>
    <t xml:space="preserve">KMPR</t>
  </si>
  <si>
    <t xml:space="preserve">KEMPER CORP</t>
  </si>
  <si>
    <t xml:space="preserve">PAYO</t>
  </si>
  <si>
    <t xml:space="preserve">PAYONEER GLOBAL INC</t>
  </si>
  <si>
    <t xml:space="preserve">MBIN</t>
  </si>
  <si>
    <t xml:space="preserve">MERCHANTS BANCORP/IN</t>
  </si>
  <si>
    <t xml:space="preserve">MBC</t>
  </si>
  <si>
    <t xml:space="preserve">MASTERBRAND INC</t>
  </si>
  <si>
    <t xml:space="preserve">XNCR</t>
  </si>
  <si>
    <t xml:space="preserve">XENCOR INC</t>
  </si>
  <si>
    <t xml:space="preserve">NBHC</t>
  </si>
  <si>
    <t xml:space="preserve">NATIONAL BANK HOLD CL A</t>
  </si>
  <si>
    <t xml:space="preserve">AMN</t>
  </si>
  <si>
    <t xml:space="preserve">AMN HEALTHCARE SERVICES INC</t>
  </si>
  <si>
    <t xml:space="preserve">STC</t>
  </si>
  <si>
    <t xml:space="preserve">STEWART INFORMATION SERVICES</t>
  </si>
  <si>
    <t xml:space="preserve">PPC</t>
  </si>
  <si>
    <t xml:space="preserve">PILGRIM S PRIDE CORP</t>
  </si>
  <si>
    <t xml:space="preserve">PDFS</t>
  </si>
  <si>
    <t xml:space="preserve">PDF SOLUTIONS INC</t>
  </si>
  <si>
    <t xml:space="preserve">EPC</t>
  </si>
  <si>
    <t xml:space="preserve">EDGEWELL PERSONAL CARE CO</t>
  </si>
  <si>
    <t xml:space="preserve">ESZ6</t>
  </si>
  <si>
    <t xml:space="preserve">S+P500 EMINI FUT  DEC26</t>
  </si>
  <si>
    <t xml:space="preserve">HLIT</t>
  </si>
  <si>
    <t xml:space="preserve">HARMONIC INC</t>
  </si>
  <si>
    <t xml:space="preserve">BL</t>
  </si>
  <si>
    <t xml:space="preserve">BLACKLINE INC</t>
  </si>
  <si>
    <t xml:space="preserve">SAH</t>
  </si>
  <si>
    <t xml:space="preserve">SONIC AUTOMOTIVE INC CLASS A</t>
  </si>
  <si>
    <t xml:space="preserve">LNN</t>
  </si>
  <si>
    <t xml:space="preserve">LINDSAY CORP</t>
  </si>
  <si>
    <t xml:space="preserve">GT</t>
  </si>
  <si>
    <t xml:space="preserve">GOODYEAR TIRE + RUBBER CO</t>
  </si>
  <si>
    <t xml:space="preserve">IIPR</t>
  </si>
  <si>
    <t xml:space="preserve">INNOVATIVE INDUSTRIAL PROPER</t>
  </si>
  <si>
    <t xml:space="preserve">DCOM</t>
  </si>
  <si>
    <t xml:space="preserve">DIME COMMERCIAL BANCSHARES I</t>
  </si>
  <si>
    <t xml:space="preserve">ACT</t>
  </si>
  <si>
    <t xml:space="preserve">ENACT HOLDINGS INC</t>
  </si>
  <si>
    <t xml:space="preserve">WABC</t>
  </si>
  <si>
    <t xml:space="preserve">WESTAMERICA BANCORPORATION</t>
  </si>
  <si>
    <t xml:space="preserve">CCS</t>
  </si>
  <si>
    <t xml:space="preserve">CENTURY COMMUNITIES INC</t>
  </si>
  <si>
    <t xml:space="preserve">JBLU</t>
  </si>
  <si>
    <t xml:space="preserve">JETBLUE AIRWAYS CORP</t>
  </si>
  <si>
    <t xml:space="preserve">LZB</t>
  </si>
  <si>
    <t xml:space="preserve">LA Z BOY INC</t>
  </si>
  <si>
    <t xml:space="preserve">GBX</t>
  </si>
  <si>
    <t xml:space="preserve">GREENBRIER COMPANIES INC</t>
  </si>
  <si>
    <t xml:space="preserve">HCI</t>
  </si>
  <si>
    <t xml:space="preserve">HCI GROUP INC</t>
  </si>
  <si>
    <t xml:space="preserve">GIII</t>
  </si>
  <si>
    <t xml:space="preserve">G III APPAREL GROUP LTD</t>
  </si>
  <si>
    <t xml:space="preserve">EYE</t>
  </si>
  <si>
    <t xml:space="preserve">NATIONAL VISION HOLDINGS INC</t>
  </si>
  <si>
    <t xml:space="preserve">ROCK</t>
  </si>
  <si>
    <t xml:space="preserve">GIBRALTAR INDUSTRIES INC</t>
  </si>
  <si>
    <t xml:space="preserve">RCUS</t>
  </si>
  <si>
    <t xml:space="preserve">ARCUS BIOSCIENCES INC</t>
  </si>
  <si>
    <t xml:space="preserve">MLKN</t>
  </si>
  <si>
    <t xml:space="preserve">MILLERKNOLL INC</t>
  </si>
  <si>
    <t xml:space="preserve">CNMD</t>
  </si>
  <si>
    <t xml:space="preserve">CONMED CORP</t>
  </si>
  <si>
    <t xml:space="preserve">INVA</t>
  </si>
  <si>
    <t xml:space="preserve">INNOVIVA INC</t>
  </si>
  <si>
    <t xml:space="preserve">ALHC</t>
  </si>
  <si>
    <t xml:space="preserve">ALIGNMENT HEALTHCARE INC</t>
  </si>
  <si>
    <t xml:space="preserve">FMC</t>
  </si>
  <si>
    <t xml:space="preserve">FMC CORP</t>
  </si>
  <si>
    <t xml:space="preserve">GSHD</t>
  </si>
  <si>
    <t xml:space="preserve">GOOSEHEAD INSURANCE INC  A</t>
  </si>
  <si>
    <t xml:space="preserve">CRI</t>
  </si>
  <si>
    <t xml:space="preserve">CARTER S INC</t>
  </si>
  <si>
    <t xml:space="preserve">LMAT</t>
  </si>
  <si>
    <t xml:space="preserve">LEMAITRE VASCULAR INC</t>
  </si>
  <si>
    <t xml:space="preserve">TMP</t>
  </si>
  <si>
    <t xml:space="preserve">TOMPKINS FINANCIAL CORP</t>
  </si>
  <si>
    <t xml:space="preserve">DNOW</t>
  </si>
  <si>
    <t xml:space="preserve">DNOW INC</t>
  </si>
  <si>
    <t xml:space="preserve">ENR</t>
  </si>
  <si>
    <t xml:space="preserve">ENERGIZER HOLDINGS INC</t>
  </si>
  <si>
    <t xml:space="preserve">OMCL</t>
  </si>
  <si>
    <t xml:space="preserve">OMNICELL INC</t>
  </si>
  <si>
    <t xml:space="preserve">FBK</t>
  </si>
  <si>
    <t xml:space="preserve">FB FINANCIAL CORP</t>
  </si>
  <si>
    <t xml:space="preserve">ALGT</t>
  </si>
  <si>
    <t xml:space="preserve">ALLEGIANT TRAVEL CO</t>
  </si>
  <si>
    <t xml:space="preserve">NSSC</t>
  </si>
  <si>
    <t xml:space="preserve">NAPCO SECURITY TECHNOLOGIES</t>
  </si>
  <si>
    <t xml:space="preserve">SNDR</t>
  </si>
  <si>
    <t xml:space="preserve">SCHNEIDER NATIONAL INC CL B</t>
  </si>
  <si>
    <t xml:space="preserve">CPF</t>
  </si>
  <si>
    <t xml:space="preserve">CENTRAL PACIFIC FINANCIAL CO</t>
  </si>
  <si>
    <t xml:space="preserve">SLVM</t>
  </si>
  <si>
    <t xml:space="preserve">SYLVAMO CORP</t>
  </si>
  <si>
    <t xml:space="preserve">REYN</t>
  </si>
  <si>
    <t xml:space="preserve">REYNOLDS CONSUMER PRODUCTS I</t>
  </si>
  <si>
    <t xml:space="preserve">BKE</t>
  </si>
  <si>
    <t xml:space="preserve">BUCKLE INC/THE</t>
  </si>
  <si>
    <t xml:space="preserve">ICHR</t>
  </si>
  <si>
    <t xml:space="preserve">ICHOR HOLDINGS LTD</t>
  </si>
  <si>
    <t xml:space="preserve">TFIN</t>
  </si>
  <si>
    <t xml:space="preserve">TRIUMPH FINANCIAL INC</t>
  </si>
  <si>
    <t xml:space="preserve">CNXC</t>
  </si>
  <si>
    <t xml:space="preserve">CONCENTRIX CORP</t>
  </si>
  <si>
    <t xml:space="preserve">JJSF</t>
  </si>
  <si>
    <t xml:space="preserve">J + J SNACK FOODS CORP</t>
  </si>
  <si>
    <t xml:space="preserve">BLFS</t>
  </si>
  <si>
    <t xml:space="preserve">BIOLIFE SOLUTIONS INC</t>
  </si>
  <si>
    <t xml:space="preserve">USPH</t>
  </si>
  <si>
    <t xml:space="preserve">U.S. PHYSICAL THERAPY INC</t>
  </si>
  <si>
    <t xml:space="preserve">HOS</t>
  </si>
  <si>
    <t xml:space="preserve">HORNBECK OFFSHORE SERVICES I</t>
  </si>
  <si>
    <t xml:space="preserve">UNIT</t>
  </si>
  <si>
    <t xml:space="preserve">UNITI GROUP INC</t>
  </si>
  <si>
    <t xml:space="preserve">WEN</t>
  </si>
  <si>
    <t xml:space="preserve">WENDY S CO/THE</t>
  </si>
  <si>
    <t xml:space="preserve">CRK</t>
  </si>
  <si>
    <t xml:space="preserve">COMSTOCK RESOURCES INC</t>
  </si>
  <si>
    <t xml:space="preserve">DLX</t>
  </si>
  <si>
    <t xml:space="preserve">DELUXE CORP</t>
  </si>
  <si>
    <t xml:space="preserve">JBGS</t>
  </si>
  <si>
    <t xml:space="preserve">JBG SMITH PROPERTIES</t>
  </si>
  <si>
    <t xml:space="preserve">DFH</t>
  </si>
  <si>
    <t xml:space="preserve">DREAM FINDERS HOMES INC   A</t>
  </si>
  <si>
    <t xml:space="preserve">GTY</t>
  </si>
  <si>
    <t xml:space="preserve">GETTY REALTY CORP</t>
  </si>
  <si>
    <t xml:space="preserve">THRM</t>
  </si>
  <si>
    <t xml:space="preserve">GENTHERM INC</t>
  </si>
  <si>
    <t xml:space="preserve">VTOL</t>
  </si>
  <si>
    <t xml:space="preserve">BRISTOW GROUP INC</t>
  </si>
  <si>
    <t xml:space="preserve">WS</t>
  </si>
  <si>
    <t xml:space="preserve">WORTHINGTON STEEL INC</t>
  </si>
  <si>
    <t xml:space="preserve">CFFN</t>
  </si>
  <si>
    <t xml:space="preserve">CAPITOL FEDERAL FINANCIAL IN</t>
  </si>
  <si>
    <t xml:space="preserve">WD</t>
  </si>
  <si>
    <t xml:space="preserve">WALKER + DUNLOP INC</t>
  </si>
  <si>
    <t xml:space="preserve">YELP</t>
  </si>
  <si>
    <t xml:space="preserve">YELP INC</t>
  </si>
  <si>
    <t xml:space="preserve">CNXN</t>
  </si>
  <si>
    <t xml:space="preserve">PC CONNECTION INC</t>
  </si>
  <si>
    <t xml:space="preserve">LQDT</t>
  </si>
  <si>
    <t xml:space="preserve">LIQUIDITY SERVICES INC</t>
  </si>
  <si>
    <t xml:space="preserve">HRMY</t>
  </si>
  <si>
    <t xml:space="preserve">HARMONY BIOSCIENCES HOLDINGS</t>
  </si>
  <si>
    <t xml:space="preserve">SCHL</t>
  </si>
  <si>
    <t xml:space="preserve">SCHOLASTIC CORP</t>
  </si>
  <si>
    <t xml:space="preserve">IART</t>
  </si>
  <si>
    <t xml:space="preserve">INTEGRA LIFESCIENCES HOLDING</t>
  </si>
  <si>
    <t xml:space="preserve">FLO</t>
  </si>
  <si>
    <t xml:space="preserve">FLOWERS FOODS INC</t>
  </si>
  <si>
    <t xml:space="preserve">TNC</t>
  </si>
  <si>
    <t xml:space="preserve">TENNANT CO</t>
  </si>
  <si>
    <t xml:space="preserve">UPWK</t>
  </si>
  <si>
    <t xml:space="preserve">UPWORK INC</t>
  </si>
  <si>
    <t xml:space="preserve">AAT</t>
  </si>
  <si>
    <t xml:space="preserve">AMERICAN ASSETS TRUST INC</t>
  </si>
  <si>
    <t xml:space="preserve">TNDM</t>
  </si>
  <si>
    <t xml:space="preserve">TANDEM DIABETES CARE INC</t>
  </si>
  <si>
    <t xml:space="preserve">PCRX</t>
  </si>
  <si>
    <t xml:space="preserve">PACIRA BIOSCIENCES INC</t>
  </si>
  <si>
    <t xml:space="preserve">ARLO</t>
  </si>
  <si>
    <t xml:space="preserve">ARLO TECHNOLOGIES INC</t>
  </si>
  <si>
    <t xml:space="preserve">APOG</t>
  </si>
  <si>
    <t xml:space="preserve">APOGEE ENTERPRISES INC</t>
  </si>
  <si>
    <t xml:space="preserve">HAFC</t>
  </si>
  <si>
    <t xml:space="preserve">HANMI FINANCIAL CORPORATION</t>
  </si>
  <si>
    <t xml:space="preserve">GTM</t>
  </si>
  <si>
    <t xml:space="preserve">ZOOMINFO TECHNOLOGIES INC</t>
  </si>
  <si>
    <t xml:space="preserve">SCL</t>
  </si>
  <si>
    <t xml:space="preserve">STEPAN CO</t>
  </si>
  <si>
    <t xml:space="preserve">TRST</t>
  </si>
  <si>
    <t xml:space="preserve">TRUSTCO BANK CORP NY</t>
  </si>
  <si>
    <t xml:space="preserve">CBRL</t>
  </si>
  <si>
    <t xml:space="preserve">CRACKER BARREL OLD COUNTRY</t>
  </si>
  <si>
    <t xml:space="preserve">SBSI</t>
  </si>
  <si>
    <t xml:space="preserve">SOUTHSIDE BANCSHARES INC</t>
  </si>
  <si>
    <t xml:space="preserve">DMC</t>
  </si>
  <si>
    <t xml:space="preserve">DEL MONTE CORP</t>
  </si>
  <si>
    <t xml:space="preserve">FBNC</t>
  </si>
  <si>
    <t xml:space="preserve">FIRST BANCORP/NC</t>
  </si>
  <si>
    <t xml:space="preserve">UTI</t>
  </si>
  <si>
    <t xml:space="preserve">UNIVERSAL TECHNICAL INSTITUT</t>
  </si>
  <si>
    <t xml:space="preserve">VYX</t>
  </si>
  <si>
    <t xml:space="preserve">NCR VOYIX CORP</t>
  </si>
  <si>
    <t xml:space="preserve">GNL</t>
  </si>
  <si>
    <t xml:space="preserve">GLOBAL NET LEASE INC</t>
  </si>
  <si>
    <t xml:space="preserve">PRKS</t>
  </si>
  <si>
    <t xml:space="preserve">UNITED PARKS + RESORTS INC</t>
  </si>
  <si>
    <t xml:space="preserve">HSTM</t>
  </si>
  <si>
    <t xml:space="preserve">HEALTHSTREAM INC</t>
  </si>
  <si>
    <t xml:space="preserve">EGBN</t>
  </si>
  <si>
    <t xml:space="preserve">EAGLE BANCORP INC</t>
  </si>
  <si>
    <t xml:space="preserve">UAA</t>
  </si>
  <si>
    <t xml:space="preserve">UNDER ARMOUR INC CLASS A</t>
  </si>
  <si>
    <t xml:space="preserve">OI</t>
  </si>
  <si>
    <t xml:space="preserve">O I GLASS INC</t>
  </si>
  <si>
    <t xml:space="preserve">INVX</t>
  </si>
  <si>
    <t xml:space="preserve">INNOVEX INTERNATIONAL INC</t>
  </si>
  <si>
    <t xml:space="preserve">HFWA</t>
  </si>
  <si>
    <t xml:space="preserve">HERITAGE FINANCIAL CORP</t>
  </si>
  <si>
    <t xml:space="preserve">STAA</t>
  </si>
  <si>
    <t xml:space="preserve">STAAR SURGICAL CO</t>
  </si>
  <si>
    <t xml:space="preserve">PRG</t>
  </si>
  <si>
    <t xml:space="preserve">PROG HOLDINGS INC</t>
  </si>
  <si>
    <t xml:space="preserve">UFCS</t>
  </si>
  <si>
    <t xml:space="preserve">UNITED FIRE GROUP INC</t>
  </si>
  <si>
    <t xml:space="preserve">MSEX</t>
  </si>
  <si>
    <t xml:space="preserve">MIDDLESEX WATER CO</t>
  </si>
  <si>
    <t xml:space="preserve">CERT</t>
  </si>
  <si>
    <t xml:space="preserve">CERTARA INC</t>
  </si>
  <si>
    <t xml:space="preserve">HZO</t>
  </si>
  <si>
    <t xml:space="preserve">MARINEMAX INC</t>
  </si>
  <si>
    <t xml:space="preserve">TRIP</t>
  </si>
  <si>
    <t xml:space="preserve">TRIPADVISOR INC</t>
  </si>
  <si>
    <t xml:space="preserve">WGO</t>
  </si>
  <si>
    <t xml:space="preserve">WINNEBAGO INDUSTRIES</t>
  </si>
  <si>
    <t xml:space="preserve">FIZZ</t>
  </si>
  <si>
    <t xml:space="preserve">NATIONAL BEVERAGE CORP</t>
  </si>
  <si>
    <t xml:space="preserve">UA</t>
  </si>
  <si>
    <t xml:space="preserve">UNDER ARMOUR INC CLASS C</t>
  </si>
  <si>
    <t xml:space="preserve">ASTE</t>
  </si>
  <si>
    <t xml:space="preserve">ASTEC INDUSTRIES INC</t>
  </si>
  <si>
    <t xml:space="preserve">PMT</t>
  </si>
  <si>
    <t xml:space="preserve">PENNYMAC MORTGAGE INVESTMENT</t>
  </si>
  <si>
    <t xml:space="preserve">AORT</t>
  </si>
  <si>
    <t xml:space="preserve">ARTIVION INC</t>
  </si>
  <si>
    <t xml:space="preserve">AMPH</t>
  </si>
  <si>
    <t xml:space="preserve">AMPHASTAR PHARMACEUTICALS IN</t>
  </si>
  <si>
    <t xml:space="preserve">GO</t>
  </si>
  <si>
    <t xml:space="preserve">GROCERY OUTLET HOLDING CORP</t>
  </si>
  <si>
    <t xml:space="preserve">UVV</t>
  </si>
  <si>
    <t xml:space="preserve">UNIVERSAL CORP/VA</t>
  </si>
  <si>
    <t xml:space="preserve">SMPL</t>
  </si>
  <si>
    <t xml:space="preserve">SIMPLY GOOD FOODS CO/THE</t>
  </si>
  <si>
    <t xml:space="preserve">QNST</t>
  </si>
  <si>
    <t xml:space="preserve">QUINSTREET INC</t>
  </si>
  <si>
    <t xml:space="preserve">VIR</t>
  </si>
  <si>
    <t xml:space="preserve">VIR BIOTECHNOLOGY INC</t>
  </si>
  <si>
    <t xml:space="preserve">FG</t>
  </si>
  <si>
    <t xml:space="preserve">F+G ANNUITIES + LIFE INC</t>
  </si>
  <si>
    <t xml:space="preserve">PRSU</t>
  </si>
  <si>
    <t xml:space="preserve">PURSUIT ATTRACTIONS AND HOSP</t>
  </si>
  <si>
    <t xml:space="preserve">AESI</t>
  </si>
  <si>
    <t xml:space="preserve">ATLAS ENERGY SOLUTIONS INC</t>
  </si>
  <si>
    <t xml:space="preserve">LGIH</t>
  </si>
  <si>
    <t xml:space="preserve">LGI HOMES INC</t>
  </si>
  <si>
    <t xml:space="preserve">ASTH</t>
  </si>
  <si>
    <t xml:space="preserve">ASTRANA HEALTH INC</t>
  </si>
  <si>
    <t xml:space="preserve">ABR</t>
  </si>
  <si>
    <t xml:space="preserve">ARBOR REALTY TRUST INC</t>
  </si>
  <si>
    <t xml:space="preserve">MMI</t>
  </si>
  <si>
    <t xml:space="preserve">MARCUS + MILLICHAP INC</t>
  </si>
  <si>
    <t xml:space="preserve">WINA</t>
  </si>
  <si>
    <t xml:space="preserve">WINMARK CORP</t>
  </si>
  <si>
    <t xml:space="preserve">KOP</t>
  </si>
  <si>
    <t xml:space="preserve">KOPPERS HOLDINGS INC</t>
  </si>
  <si>
    <t xml:space="preserve">COTY</t>
  </si>
  <si>
    <t xml:space="preserve">COTY INC CL A</t>
  </si>
  <si>
    <t xml:space="preserve">UTL</t>
  </si>
  <si>
    <t xml:space="preserve">UNITIL CORP</t>
  </si>
  <si>
    <t xml:space="preserve">TRUP</t>
  </si>
  <si>
    <t xml:space="preserve">TRUPANION INC</t>
  </si>
  <si>
    <t xml:space="preserve">MRTN</t>
  </si>
  <si>
    <t xml:space="preserve">MARTEN TRANSPORT LTD</t>
  </si>
  <si>
    <t xml:space="preserve">TALO</t>
  </si>
  <si>
    <t xml:space="preserve">TALOS ENERGY INC</t>
  </si>
  <si>
    <t xml:space="preserve">ADAM</t>
  </si>
  <si>
    <t xml:space="preserve">ADAMAS TRUST INC</t>
  </si>
  <si>
    <t xml:space="preserve">TR</t>
  </si>
  <si>
    <t xml:space="preserve">TOOTSIE ROLL INDS</t>
  </si>
  <si>
    <t xml:space="preserve">PZZA</t>
  </si>
  <si>
    <t xml:space="preserve">PAPA JOHN S INTL INC</t>
  </si>
  <si>
    <t xml:space="preserve">SABR</t>
  </si>
  <si>
    <t xml:space="preserve">SABRE CORP</t>
  </si>
  <si>
    <t xml:space="preserve">ENOV</t>
  </si>
  <si>
    <t xml:space="preserve">ENOVIS CORP</t>
  </si>
  <si>
    <t xml:space="preserve">FOXF</t>
  </si>
  <si>
    <t xml:space="preserve">FOX FACTORY HOLDING CORP</t>
  </si>
  <si>
    <t xml:space="preserve">NX</t>
  </si>
  <si>
    <t xml:space="preserve">QUANEX BUILDING PRODUCTS</t>
  </si>
  <si>
    <t xml:space="preserve">EFC</t>
  </si>
  <si>
    <t xml:space="preserve">ELLINGTON FINANCIAL INC</t>
  </si>
  <si>
    <t xml:space="preserve">UPBD</t>
  </si>
  <si>
    <t xml:space="preserve">UPBOUND GROUP INC</t>
  </si>
  <si>
    <t xml:space="preserve">LZ</t>
  </si>
  <si>
    <t xml:space="preserve">LEGALZOOMCOM INC</t>
  </si>
  <si>
    <t xml:space="preserve">QDEL</t>
  </si>
  <si>
    <t xml:space="preserve">QUIDELORTHO CORP</t>
  </si>
  <si>
    <t xml:space="preserve">DEA</t>
  </si>
  <si>
    <t xml:space="preserve">EASTERLY GOVERNMENT PROPERTI</t>
  </si>
  <si>
    <t xml:space="preserve">FUN</t>
  </si>
  <si>
    <t xml:space="preserve">SIX FLAGS ENTERTAINMENT CORP</t>
  </si>
  <si>
    <t xml:space="preserve">DCH</t>
  </si>
  <si>
    <t xml:space="preserve">DAUCH CORPORATION</t>
  </si>
  <si>
    <t xml:space="preserve">AOSL</t>
  </si>
  <si>
    <t xml:space="preserve">ALPHA + OMEGA SEMICONDUCTOR</t>
  </si>
  <si>
    <t xml:space="preserve">PAHC</t>
  </si>
  <si>
    <t xml:space="preserve">PHIBRO ANIMAL HEALTH CORP A</t>
  </si>
  <si>
    <t xml:space="preserve">NAVI</t>
  </si>
  <si>
    <t xml:space="preserve">NAVIENT CORP</t>
  </si>
  <si>
    <t xml:space="preserve">SMP</t>
  </si>
  <si>
    <t xml:space="preserve">STANDARD MOTOR PRODS</t>
  </si>
  <si>
    <t xml:space="preserve">CXM</t>
  </si>
  <si>
    <t xml:space="preserve">SPRINKLR INC A</t>
  </si>
  <si>
    <t xml:space="preserve">HTLD</t>
  </si>
  <si>
    <t xml:space="preserve">HEARTLAND EXPRESS INC</t>
  </si>
  <si>
    <t xml:space="preserve">CENT</t>
  </si>
  <si>
    <t xml:space="preserve">CENTRAL GARDEN + PET CO</t>
  </si>
  <si>
    <t xml:space="preserve">AHCO</t>
  </si>
  <si>
    <t xml:space="preserve">ADAPTHEALTH CORP</t>
  </si>
  <si>
    <t xml:space="preserve">XPEL</t>
  </si>
  <si>
    <t xml:space="preserve">XPEL INC</t>
  </si>
  <si>
    <t xml:space="preserve">ANIP</t>
  </si>
  <si>
    <t xml:space="preserve">ANI PHARMACEUTICALS INC</t>
  </si>
  <si>
    <t xml:space="preserve">BFS</t>
  </si>
  <si>
    <t xml:space="preserve">SAUL CENTERS INC</t>
  </si>
  <si>
    <t xml:space="preserve">REX</t>
  </si>
  <si>
    <t xml:space="preserve">REX AMERICAN RESOURCES CORP</t>
  </si>
  <si>
    <t xml:space="preserve">CRSR</t>
  </si>
  <si>
    <t xml:space="preserve">CORSAIR GAMING INC</t>
  </si>
  <si>
    <t xml:space="preserve">CSR</t>
  </si>
  <si>
    <t xml:space="preserve">CENTERSPACE</t>
  </si>
  <si>
    <t xml:space="preserve">SAFE</t>
  </si>
  <si>
    <t xml:space="preserve">SAFEHOLD INC</t>
  </si>
  <si>
    <t xml:space="preserve">MTUS</t>
  </si>
  <si>
    <t xml:space="preserve">METALLUS INC</t>
  </si>
  <si>
    <t xml:space="preserve">JBSS</t>
  </si>
  <si>
    <t xml:space="preserve">JOHN B. SANFILIPPO + SON INC</t>
  </si>
  <si>
    <t xml:space="preserve">RES</t>
  </si>
  <si>
    <t xml:space="preserve">RPC INC</t>
  </si>
  <si>
    <t xml:space="preserve">WRLD</t>
  </si>
  <si>
    <t xml:space="preserve">WORLD ACCEPTANCE CORP</t>
  </si>
  <si>
    <t xml:space="preserve">ARR</t>
  </si>
  <si>
    <t xml:space="preserve">ARMOUR RESIDENTIAL REIT INC</t>
  </si>
  <si>
    <t xml:space="preserve">AGNT</t>
  </si>
  <si>
    <t xml:space="preserve">AGNT INC</t>
  </si>
  <si>
    <t xml:space="preserve">COLL</t>
  </si>
  <si>
    <t xml:space="preserve">COLLEGIUM PHARMACEUTICAL INC</t>
  </si>
  <si>
    <t xml:space="preserve">LYFT</t>
  </si>
  <si>
    <t xml:space="preserve">LYFT INC A</t>
  </si>
  <si>
    <t xml:space="preserve">VSEC</t>
  </si>
  <si>
    <t xml:space="preserve">VSE CORP</t>
  </si>
  <si>
    <t xml:space="preserve">RITM</t>
  </si>
  <si>
    <t xml:space="preserve">RITHM CAPITAL CORP</t>
  </si>
  <si>
    <t xml:space="preserve">LAUR</t>
  </si>
  <si>
    <t xml:space="preserve">LAUREATE EDUCATION INC</t>
  </si>
  <si>
    <t xml:space="preserve">SPHR</t>
  </si>
  <si>
    <t xml:space="preserve">SPHERE ENTERTAINMENT CO</t>
  </si>
  <si>
    <t xml:space="preserve">LIF</t>
  </si>
  <si>
    <t xml:space="preserve">LIFE360 INC</t>
  </si>
  <si>
    <t xml:space="preserve">-</t>
  </si>
  <si>
    <t xml:space="preserve">CONTRA APELLIS PHARMAC</t>
  </si>
  <si>
    <t xml:space="preserve">2602335D</t>
  </si>
  <si>
    <t xml:space="preserve">TPG INC</t>
  </si>
  <si>
    <t xml:space="preserve">AXTI</t>
  </si>
  <si>
    <t xml:space="preserve">AXT INC</t>
  </si>
  <si>
    <t xml:space="preserve">DK</t>
  </si>
  <si>
    <t xml:space="preserve">DELEK US HOLDINGS INC</t>
  </si>
  <si>
    <t xml:space="preserve">HRI</t>
  </si>
  <si>
    <t xml:space="preserve">HERC HOLDINGS INC</t>
  </si>
  <si>
    <t xml:space="preserve">ARQT</t>
  </si>
  <si>
    <t xml:space="preserve">ARCUTIS BIOTHERAPEUTICS INC</t>
  </si>
  <si>
    <t xml:space="preserve">ATRC</t>
  </si>
  <si>
    <t xml:space="preserve">ATRICURE INC</t>
  </si>
  <si>
    <t xml:space="preserve">RUSHB</t>
  </si>
  <si>
    <t xml:space="preserve">RUSH ENTERPRISES INC   CL B</t>
  </si>
  <si>
    <t xml:space="preserve">FERROGLOBE REP + WRNTY INS TRU</t>
  </si>
  <si>
    <t xml:space="preserve">2200963D</t>
  </si>
  <si>
    <t xml:space="preserve">OMNIAB INC   12.5 EARNOUT</t>
  </si>
  <si>
    <t xml:space="preserve">2200964D</t>
  </si>
  <si>
    <t xml:space="preserve">OMNIAB INC   15.00 EARNOUT</t>
  </si>
  <si>
    <t xml:space="preserve">Approx. Weight</t>
  </si>
  <si>
    <t xml:space="preserve"># of Tickers</t>
  </si>
  <si>
    <t xml:space="preserve">Avg P/E (simple, P/E&lt;=100)</t>
  </si>
  <si>
    <t xml:space="preserve">Unclassified (no sector retrieved)</t>
  </si>
  <si>
    <t xml:space="preserve">Total</t>
  </si>
  <si>
    <t xml:space="preserve">VXF proxy: US mid &amp; small caps outside the S&amp;P 500 (S&amp;P 1500 minus S&amp;P 500 = S&amp;P MidCap 400 + SmallCap 600)</t>
  </si>
  <si>
    <t xml:space="preserve">Holdings and weights: State Street SPDR Portfolio S&amp;P 1500 ETF (SPTM) daily holdings file, as of 21-Sep-2026, with the 503 S&amp;P 500 tickers from the companion S&amp;P 500 workbook removed and the remaining weights rescaled to 100%. That leaves the S&amp;P MidCap 400 and SmallCap 600 members.</t>
  </si>
  <si>
    <t xml:space="preserve">Why this is a proxy: VXF tracks the S&amp;P Completion Index (about 3,500 stocks: everything in the S&amp;P Total Market Index that is not in the S&amp;P 500). Vanguard's full holdings file is not downloadable from here. The 1,000 mid and small caps above are the largest and most liquid part of that index and carry most of its weight; micro-caps are not included. IJH + IJR track exactly this list.</t>
  </si>
  <si>
    <t xml:space="preserve">P/E (TTM), EPS (TTM), Market Cap, Price/Sales, Price, Company name, GICS sector and Sub-Industry: Yahoo Finance via the yfinance library, retrieved Sept 22, 2026. Yahoo's 11 sectors are mapped to the GICS sector names used on the S&amp;P 500 sheet; Yahoo's industry label stands in for the GICS sub-industry.</t>
  </si>
  <si>
    <t xml:space="preserve">Revenue TTM ($B) is derived as Market Cap / Price-to-Sales, so it is approximate. Blank where either input is missing.</t>
  </si>
  <si>
    <t xml:space="preserve">Where Yahoo shows negative trailing EPS, P/E is left blank. Extreme P/Es (several hundred or more) reflect near-zero earnings, not meaningful valuation. Small caps have many more loss-makers than the S&amp;P 500; the Sectors tab average excludes blanks and P/Es above 100.</t>
  </si>
  <si>
    <t xml:space="preserve">Cumulative Weight assumes the default sort by rank; after re-sorting it shows the running weight in the new order.</t>
  </si>
  <si>
    <t xml:space="preserve">For information only; not investment advice.</t>
  </si>
  <si>
    <t xml:space="preserve">Historical tabs 'Annual Returns' (1927-2025) and 'By Decade': there is no 100-year history of the S&amp;P Completion Index itself (it began in 2001). The closest long-run series is Kenneth French's CRSP size-decile portfolios: all NYSE/AMEX/NASDAQ stocks are sorted into ten groups by market cap each year. Deciles 1 through 9 (everything except the largest 10% of companies) are combined here, cap-weighted, which is the same idea as 'the market outside the S&amp;P 500'. Total returns include dividends. The largest-10% decile is shown alongside as an S&amp;P 500-like comparison. Source: mba.tuck.dartmouth.edu/pages/faculty/ken.french/data_library.html, 'Portfolios Formed on Size', file created from the 202607 CRSP database.</t>
  </si>
  <si>
    <t xml:space="preserve">Real returns use December-over-December CPI-U (NSA): Robert Shiller's dataset through 2023, then BLS series CUUR0000SA0 (Dec 2024 = 315.605, Dec 2025 = 324.054). There is no separate price-only series for the decile portfolios, so the price-return columns on the S&amp;P 500 sheet are omitted here.</t>
  </si>
  <si>
    <t xml:space="preserve">Year</t>
  </si>
  <si>
    <t xml:space="preserve">Decade</t>
  </si>
  <si>
    <t xml:space="preserve">Total Return
(w/ dividends)</t>
  </si>
  <si>
    <t xml:space="preserve">Real Total Return
(inflation-adj.)</t>
  </si>
  <si>
    <t xml:space="preserve">Up / Down
(Total Return)</t>
  </si>
  <si>
    <t xml:space="preserve">Growth of $1
(Total Return)</t>
  </si>
  <si>
    <t xml:space="preserve">Growth of $1
(Real)</t>
  </si>
  <si>
    <t xml:space="preserve">Largest-10% decile (S&amp;P 500-like), for comparison</t>
  </si>
  <si>
    <t xml:space="preserve">Summary</t>
  </si>
  <si>
    <t xml:space="preserve">Years</t>
  </si>
  <si>
    <t xml:space="preserve">Up years</t>
  </si>
  <si>
    <t xml:space="preserve">Down years</t>
  </si>
  <si>
    <t xml:space="preserve">Average annual total return</t>
  </si>
  <si>
    <t xml:space="preserve">Annualized (CAGR) total return</t>
  </si>
  <si>
    <t xml:space="preserve">Average annual real return</t>
  </si>
  <si>
    <t xml:space="preserve">Annualized (CAGR) real return</t>
  </si>
  <si>
    <t xml:space="preserve">Best year (total)</t>
  </si>
  <si>
    <t xml:space="preserve">Worst year (total)</t>
  </si>
  <si>
    <t xml:space="preserve">Standard deviation of annual returns</t>
  </si>
  <si>
    <t xml:space="preserve">$1 grew to (total, 1927-2025)</t>
  </si>
  <si>
    <t xml:space="preserve">$1 grew to (real)</t>
  </si>
  <si>
    <t xml:space="preserve">Comparison series: average</t>
  </si>
  <si>
    <t xml:space="preserve">Comparison series: CAGR</t>
  </si>
  <si>
    <t xml:space="preserve">US stocks outside the largest 10% (Fama-French size deciles 1-9, cap-weighted)</t>
  </si>
  <si>
    <t xml:space="preserve">Returns are calendar-year, compounded from monthly data, with dividends reinvested. Real returns are CPI-adjusted. 'Average' is the simple mean of yearly returns; 'Annualized / CAGR' is the compound rate actually earned, always lower because of volatility drag.</t>
  </si>
  <si>
    <t xml:space="preserve">2026 is excluded because the year is not complete. See the Notes tab for sources and why this series stands in for the index.</t>
  </si>
  <si>
    <t xml:space="preserve">Years
Covered</t>
  </si>
  <si>
    <t xml:space="preserve"># of
Years</t>
  </si>
  <si>
    <t xml:space="preserve">Up
Years</t>
  </si>
  <si>
    <t xml:space="preserve">Down
Years</t>
  </si>
  <si>
    <t xml:space="preserve">Avg Annual
Total Return</t>
  </si>
  <si>
    <t xml:space="preserve">Annualized
(CAGR)
Total Return</t>
  </si>
  <si>
    <t xml:space="preserve">Cumulative
Total Return</t>
  </si>
  <si>
    <t xml:space="preserve">Avg Annual
Real Total Return</t>
  </si>
  <si>
    <t xml:space="preserve">Annualized
(CAGR)
Real Return</t>
  </si>
  <si>
    <t xml:space="preserve">Best Year
(Total)</t>
  </si>
  <si>
    <t xml:space="preserve">Worst Year
(Total)</t>
  </si>
  <si>
    <t xml:space="preserve">$1 Grew To
(Total)</t>
  </si>
  <si>
    <t xml:space="preserve">Comparison series
CAGR</t>
  </si>
  <si>
    <t xml:space="preserve">1920s</t>
  </si>
  <si>
    <t xml:space="preserve">1927–1929 (partial)</t>
  </si>
  <si>
    <t xml:space="preserve">1930s</t>
  </si>
  <si>
    <t xml:space="preserve">1930–1939</t>
  </si>
  <si>
    <t xml:space="preserve">1940s</t>
  </si>
  <si>
    <t xml:space="preserve">1940–1949</t>
  </si>
  <si>
    <t xml:space="preserve">1950s</t>
  </si>
  <si>
    <t xml:space="preserve">1950–1959</t>
  </si>
  <si>
    <t xml:space="preserve">1960s</t>
  </si>
  <si>
    <t xml:space="preserve">1960–1969</t>
  </si>
  <si>
    <t xml:space="preserve">1970s</t>
  </si>
  <si>
    <t xml:space="preserve">1970–1979</t>
  </si>
  <si>
    <t xml:space="preserve">1980s</t>
  </si>
  <si>
    <t xml:space="preserve">1980–1989</t>
  </si>
  <si>
    <t xml:space="preserve">1990s</t>
  </si>
  <si>
    <t xml:space="preserve">1990–1999</t>
  </si>
  <si>
    <t xml:space="preserve">2000s</t>
  </si>
  <si>
    <t xml:space="preserve">2000–2009</t>
  </si>
  <si>
    <t xml:space="preserve">2010s</t>
  </si>
  <si>
    <t xml:space="preserve">2010–2019</t>
  </si>
  <si>
    <t xml:space="preserve">2020s</t>
  </si>
  <si>
    <t xml:space="preserve">2020–2025 (partial)</t>
  </si>
  <si>
    <t xml:space="preserve">All years</t>
  </si>
  <si>
    <t xml:space="preserve">1927–2025</t>
  </si>
  <si>
    <t xml:space="preserve">Decades are calendar decades. Partial decades are marked.</t>
  </si>
  <si>
    <t xml:space="preserve">Avg Annual = simple average of the yearly returns in that decade. Annualized (CAGR) = the compound rate that turns the starting dollar into the ending dollar; this is the number that reflects what you actually earned.</t>
  </si>
  <si>
    <t xml:space="preserve">Cumulative Total Return = total growth over the decade with dividends reinvested. All figures pull live from the 'Annual Returns' tab.</t>
  </si>
  <si>
    <t xml:space="preserve">Comparison series = Largest-10% decile (S&amp;P 500-like), for comparison. Source and methodology: see the Notes tab.</t>
  </si>
</sst>
</file>

<file path=xl/styles.xml><?xml version="1.0" encoding="utf-8"?>
<styleSheet xmlns="http://schemas.openxmlformats.org/spreadsheetml/2006/main">
  <numFmts count="12">
    <numFmt numFmtId="164" formatCode="General"/>
    <numFmt numFmtId="165" formatCode="0.00%"/>
    <numFmt numFmtId="166" formatCode="#,##0.00"/>
    <numFmt numFmtId="167" formatCode="#,##0.0"/>
    <numFmt numFmtId="168" formatCode="0.00"/>
    <numFmt numFmtId="169" formatCode="0.0"/>
    <numFmt numFmtId="170" formatCode="@"/>
    <numFmt numFmtId="171" formatCode="0"/>
    <numFmt numFmtId="172" formatCode="0.00%;[RED]\-0.00%"/>
    <numFmt numFmtId="173" formatCode="\$#,##0.00"/>
    <numFmt numFmtId="174" formatCode="\$#,##0.00"/>
    <numFmt numFmtId="175" formatCode="\$#,##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b val="true"/>
      <sz val="12"/>
      <name val="Arial"/>
      <family val="0"/>
      <charset val="1"/>
    </font>
    <font>
      <b val="true"/>
      <sz val="11"/>
      <name val="Arial"/>
      <family val="0"/>
      <charset val="1"/>
    </font>
    <font>
      <sz val="11"/>
      <name val="Arial"/>
      <family val="0"/>
      <charset val="1"/>
    </font>
    <font>
      <i val="true"/>
      <sz val="11"/>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70" fontId="4" fillId="2" borderId="0" xfId="0" applyFont="true" applyBorder="false" applyAlignment="true" applyProtection="false">
      <alignment horizontal="center" vertical="center" textRotation="0" wrapText="true" indent="0" shrinkToFit="false"/>
      <protection locked="true" hidden="false"/>
    </xf>
    <xf numFmtId="171"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72" fontId="5" fillId="0" borderId="0" xfId="0" applyFont="true" applyBorder="false" applyAlignment="true" applyProtection="false">
      <alignment horizontal="center" vertical="bottom" textRotation="0" wrapText="false" indent="0" shrinkToFit="false"/>
      <protection locked="true" hidden="false"/>
    </xf>
    <xf numFmtId="173" fontId="5"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72" fontId="6" fillId="3" borderId="0" xfId="0" applyFont="true" applyBorder="false" applyAlignment="true" applyProtection="false">
      <alignment horizontal="center" vertical="bottom" textRotation="0" wrapText="false" indent="0" shrinkToFit="false"/>
      <protection locked="true" hidden="false"/>
    </xf>
    <xf numFmtId="175" fontId="6" fillId="3"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6.99"/>
    <col collapsed="false" customWidth="true" hidden="false" outlineLevel="0" max="2" min="2" style="0" width="9.01"/>
    <col collapsed="false" customWidth="true" hidden="false" outlineLevel="0" max="3" min="3" style="0" width="32.02"/>
    <col collapsed="false" customWidth="true" hidden="false" outlineLevel="0" max="4" min="4" style="0" width="23.94"/>
    <col collapsed="false" customWidth="true" hidden="false" outlineLevel="0" max="5" min="5" style="0" width="34.03"/>
    <col collapsed="false" customWidth="true" hidden="false" outlineLevel="0" max="6" min="6" style="0" width="9.95"/>
    <col collapsed="false" customWidth="true" hidden="false" outlineLevel="0" max="7" min="7" style="0" width="13.05"/>
    <col collapsed="false" customWidth="true" hidden="false" outlineLevel="0" max="8" min="8" style="0" width="11.03"/>
    <col collapsed="false" customWidth="true" hidden="false" outlineLevel="0" max="9" min="9" style="0" width="9.95"/>
    <col collapsed="false" customWidth="true" hidden="false" outlineLevel="0" max="10" min="10" style="0" width="13"/>
    <col collapsed="false" customWidth="true" hidden="false" outlineLevel="0" max="11" min="11" style="0" width="13.05"/>
    <col collapsed="false" customWidth="true" hidden="false" outlineLevel="0" max="12" min="12" style="0" width="11.03"/>
    <col collapsed="false" customWidth="true" hidden="false" outlineLevel="0" max="13" min="13" style="0" width="13.99"/>
    <col collapsed="false" customWidth="true" hidden="false" outlineLevel="0" max="14" min="14" style="0" width="59.99"/>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5" hidden="false" customHeight="false" outlineLevel="0" collapsed="false">
      <c r="A2" s="2" t="n">
        <v>1</v>
      </c>
      <c r="B2" s="2" t="s">
        <v>14</v>
      </c>
      <c r="C2" s="2" t="s">
        <v>15</v>
      </c>
      <c r="D2" s="2" t="s">
        <v>16</v>
      </c>
      <c r="E2" s="2" t="s">
        <v>17</v>
      </c>
      <c r="F2" s="3" t="n">
        <v>0.008014</v>
      </c>
      <c r="G2" s="3" t="n">
        <f aca="false">SUM($F$2:F2)</f>
        <v>0.008014</v>
      </c>
      <c r="H2" s="4" t="n">
        <v>266.06</v>
      </c>
      <c r="I2" s="5" t="n">
        <v>36.7486</v>
      </c>
      <c r="J2" s="4" t="n">
        <v>7.24</v>
      </c>
      <c r="K2" s="5" t="n">
        <v>40.8602</v>
      </c>
      <c r="L2" s="6" t="n">
        <v>7.3327</v>
      </c>
      <c r="M2" s="5" t="n">
        <f aca="false">IF(AND(N(K2)&gt;0,N(L2)&gt;0),K2/L2,"")</f>
        <v>5.57232670094235</v>
      </c>
      <c r="N2" s="2"/>
    </row>
    <row r="3" customFormat="false" ht="15" hidden="false" customHeight="false" outlineLevel="0" collapsed="false">
      <c r="A3" s="2" t="n">
        <v>2</v>
      </c>
      <c r="B3" s="2" t="s">
        <v>18</v>
      </c>
      <c r="C3" s="2" t="s">
        <v>19</v>
      </c>
      <c r="D3" s="2" t="s">
        <v>16</v>
      </c>
      <c r="E3" s="2" t="s">
        <v>17</v>
      </c>
      <c r="F3" s="3" t="n">
        <v>0.006173</v>
      </c>
      <c r="G3" s="3" t="n">
        <f aca="false">SUM($F$2:F3)</f>
        <v>0.014187</v>
      </c>
      <c r="H3" s="4" t="n">
        <v>191.33</v>
      </c>
      <c r="I3" s="5" t="n">
        <v>115.259</v>
      </c>
      <c r="J3" s="4" t="n">
        <v>1.66</v>
      </c>
      <c r="K3" s="5" t="n">
        <v>33.4485</v>
      </c>
      <c r="L3" s="6" t="n">
        <v>10.8846</v>
      </c>
      <c r="M3" s="5" t="n">
        <f aca="false">IF(AND(N(K3)&gt;0,N(L3)&gt;0),K3/L3,"")</f>
        <v>3.07301141061684</v>
      </c>
      <c r="N3" s="2"/>
    </row>
    <row r="4" customFormat="false" ht="15" hidden="false" customHeight="false" outlineLevel="0" collapsed="false">
      <c r="A4" s="2" t="n">
        <v>3</v>
      </c>
      <c r="B4" s="2" t="s">
        <v>20</v>
      </c>
      <c r="C4" s="2" t="s">
        <v>21</v>
      </c>
      <c r="D4" s="2" t="s">
        <v>22</v>
      </c>
      <c r="E4" s="2" t="s">
        <v>23</v>
      </c>
      <c r="F4" s="3" t="n">
        <v>0.005159</v>
      </c>
      <c r="G4" s="3" t="n">
        <f aca="false">SUM($F$2:F4)</f>
        <v>0.019346</v>
      </c>
      <c r="H4" s="4" t="n">
        <v>159.44</v>
      </c>
      <c r="I4" s="5" t="n">
        <v>44.2889</v>
      </c>
      <c r="J4" s="4" t="n">
        <v>3.6</v>
      </c>
      <c r="K4" s="5" t="n">
        <v>25.8066</v>
      </c>
      <c r="L4" s="6" t="n">
        <v>5.3386</v>
      </c>
      <c r="M4" s="5" t="n">
        <f aca="false">IF(AND(N(K4)&gt;0,N(L4)&gt;0),K4/L4,"")</f>
        <v>4.83396396058892</v>
      </c>
      <c r="N4" s="2"/>
    </row>
    <row r="5" customFormat="false" ht="15" hidden="false" customHeight="false" outlineLevel="0" collapsed="false">
      <c r="A5" s="2" t="n">
        <v>4</v>
      </c>
      <c r="B5" s="2" t="s">
        <v>24</v>
      </c>
      <c r="C5" s="2" t="s">
        <v>25</v>
      </c>
      <c r="D5" s="2" t="s">
        <v>26</v>
      </c>
      <c r="E5" s="2" t="s">
        <v>27</v>
      </c>
      <c r="F5" s="3" t="n">
        <v>0.005113</v>
      </c>
      <c r="G5" s="3" t="n">
        <f aca="false">SUM($F$2:F5)</f>
        <v>0.024459</v>
      </c>
      <c r="H5" s="4" t="n">
        <v>71.31</v>
      </c>
      <c r="I5" s="5" t="n">
        <v>24.9336</v>
      </c>
      <c r="J5" s="4" t="n">
        <v>2.86</v>
      </c>
      <c r="K5" s="5" t="n">
        <v>27.9652</v>
      </c>
      <c r="L5" s="6" t="n">
        <v>2.6838</v>
      </c>
      <c r="M5" s="5" t="n">
        <f aca="false">IF(AND(N(K5)&gt;0,N(L5)&gt;0),K5/L5,"")</f>
        <v>10.420001490424</v>
      </c>
      <c r="N5" s="2"/>
    </row>
    <row r="6" customFormat="false" ht="15" hidden="false" customHeight="false" outlineLevel="0" collapsed="false">
      <c r="A6" s="2" t="n">
        <v>5</v>
      </c>
      <c r="B6" s="2" t="s">
        <v>28</v>
      </c>
      <c r="C6" s="2" t="s">
        <v>29</v>
      </c>
      <c r="D6" s="2" t="s">
        <v>22</v>
      </c>
      <c r="E6" s="2" t="s">
        <v>30</v>
      </c>
      <c r="F6" s="3" t="n">
        <v>0.004943</v>
      </c>
      <c r="G6" s="3" t="n">
        <f aca="false">SUM($F$2:F6)</f>
        <v>0.029402</v>
      </c>
      <c r="H6" s="4" t="n">
        <v>189.16</v>
      </c>
      <c r="I6" s="5" t="n">
        <v>55.6353</v>
      </c>
      <c r="J6" s="4" t="n">
        <v>3.4</v>
      </c>
      <c r="K6" s="5" t="n">
        <v>25.758</v>
      </c>
      <c r="L6" s="6" t="n">
        <v>5.4628</v>
      </c>
      <c r="M6" s="5" t="n">
        <f aca="false">IF(AND(N(K6)&gt;0,N(L6)&gt;0),K6/L6,"")</f>
        <v>4.71516438456469</v>
      </c>
      <c r="N6" s="2"/>
    </row>
    <row r="7" customFormat="false" ht="15" hidden="false" customHeight="false" outlineLevel="0" collapsed="false">
      <c r="A7" s="2" t="n">
        <v>6</v>
      </c>
      <c r="B7" s="2" t="s">
        <v>31</v>
      </c>
      <c r="C7" s="2" t="s">
        <v>32</v>
      </c>
      <c r="D7" s="2" t="s">
        <v>33</v>
      </c>
      <c r="E7" s="2" t="s">
        <v>34</v>
      </c>
      <c r="F7" s="3" t="n">
        <v>0.004403</v>
      </c>
      <c r="G7" s="3" t="n">
        <f aca="false">SUM($F$2:F7)</f>
        <v>0.033805</v>
      </c>
      <c r="H7" s="4" t="n">
        <v>493.1</v>
      </c>
      <c r="I7" s="5" t="n">
        <v>17.6738</v>
      </c>
      <c r="J7" s="4" t="n">
        <v>27.9</v>
      </c>
      <c r="K7" s="5" t="n">
        <v>21.1494</v>
      </c>
      <c r="L7" s="6" t="n">
        <v>6.7045</v>
      </c>
      <c r="M7" s="5" t="n">
        <f aca="false">IF(AND(N(K7)&gt;0,N(L7)&gt;0),K7/L7,"")</f>
        <v>3.15450816615706</v>
      </c>
      <c r="N7" s="2"/>
    </row>
    <row r="8" customFormat="false" ht="15" hidden="false" customHeight="false" outlineLevel="0" collapsed="false">
      <c r="A8" s="2" t="n">
        <v>7</v>
      </c>
      <c r="B8" s="2" t="s">
        <v>35</v>
      </c>
      <c r="C8" s="2" t="s">
        <v>36</v>
      </c>
      <c r="D8" s="2" t="s">
        <v>16</v>
      </c>
      <c r="E8" s="2" t="s">
        <v>37</v>
      </c>
      <c r="F8" s="3" t="n">
        <v>0.004301</v>
      </c>
      <c r="G8" s="3" t="n">
        <f aca="false">SUM($F$2:F8)</f>
        <v>0.038106</v>
      </c>
      <c r="H8" s="4" t="n">
        <v>279.59</v>
      </c>
      <c r="I8" s="5" t="n">
        <v>20.0423</v>
      </c>
      <c r="J8" s="4" t="n">
        <v>13.95</v>
      </c>
      <c r="K8" s="5"/>
      <c r="L8" s="6"/>
      <c r="M8" s="5" t="str">
        <f aca="false">IF(AND(N(K8)&gt;0,N(L8)&gt;0),K8/L8,"")</f>
        <v/>
      </c>
      <c r="N8" s="2"/>
    </row>
    <row r="9" customFormat="false" ht="15" hidden="false" customHeight="false" outlineLevel="0" collapsed="false">
      <c r="A9" s="2" t="n">
        <v>8</v>
      </c>
      <c r="B9" s="2" t="s">
        <v>38</v>
      </c>
      <c r="C9" s="2" t="s">
        <v>39</v>
      </c>
      <c r="D9" s="2" t="s">
        <v>22</v>
      </c>
      <c r="E9" s="2" t="s">
        <v>40</v>
      </c>
      <c r="F9" s="3" t="n">
        <v>0.004295</v>
      </c>
      <c r="G9" s="3" t="n">
        <f aca="false">SUM($F$2:F9)</f>
        <v>0.042401</v>
      </c>
      <c r="H9" s="4" t="n">
        <v>568.02</v>
      </c>
      <c r="I9" s="5" t="n">
        <v>39.066</v>
      </c>
      <c r="J9" s="4" t="n">
        <v>14.54</v>
      </c>
      <c r="K9" s="5" t="n">
        <v>20.9795</v>
      </c>
      <c r="L9" s="6" t="n">
        <v>5.7418</v>
      </c>
      <c r="M9" s="5" t="n">
        <f aca="false">IF(AND(N(K9)&gt;0,N(L9)&gt;0),K9/L9,"")</f>
        <v>3.65381935978265</v>
      </c>
      <c r="N9" s="2"/>
    </row>
    <row r="10" customFormat="false" ht="15" hidden="false" customHeight="false" outlineLevel="0" collapsed="false">
      <c r="A10" s="2" t="n">
        <v>9</v>
      </c>
      <c r="B10" s="2" t="s">
        <v>41</v>
      </c>
      <c r="C10" s="2" t="s">
        <v>42</v>
      </c>
      <c r="D10" s="2" t="s">
        <v>16</v>
      </c>
      <c r="E10" s="2" t="s">
        <v>43</v>
      </c>
      <c r="F10" s="3" t="n">
        <v>0.004267</v>
      </c>
      <c r="G10" s="3" t="n">
        <f aca="false">SUM($F$2:F10)</f>
        <v>0.046668</v>
      </c>
      <c r="H10" s="4" t="n">
        <v>143.14</v>
      </c>
      <c r="I10" s="5" t="n">
        <v>71.57</v>
      </c>
      <c r="J10" s="4" t="n">
        <v>2</v>
      </c>
      <c r="K10" s="5" t="n">
        <v>21.8718</v>
      </c>
      <c r="L10" s="6" t="n">
        <v>6.5758</v>
      </c>
      <c r="M10" s="5" t="n">
        <f aca="false">IF(AND(N(K10)&gt;0,N(L10)&gt;0),K10/L10,"")</f>
        <v>3.32610480854041</v>
      </c>
      <c r="N10" s="2"/>
    </row>
    <row r="11" customFormat="false" ht="15" hidden="false" customHeight="false" outlineLevel="0" collapsed="false">
      <c r="A11" s="2" t="n">
        <v>10</v>
      </c>
      <c r="B11" s="2" t="s">
        <v>44</v>
      </c>
      <c r="C11" s="2" t="s">
        <v>45</v>
      </c>
      <c r="D11" s="2" t="s">
        <v>33</v>
      </c>
      <c r="E11" s="2" t="s">
        <v>46</v>
      </c>
      <c r="F11" s="3" t="n">
        <v>0.004146</v>
      </c>
      <c r="G11" s="3" t="n">
        <f aca="false">SUM($F$2:F11)</f>
        <v>0.050814</v>
      </c>
      <c r="H11" s="4" t="n">
        <v>260.97</v>
      </c>
      <c r="I11" s="5" t="n">
        <v>10.0916</v>
      </c>
      <c r="J11" s="4" t="n">
        <v>25.86</v>
      </c>
      <c r="K11" s="5" t="n">
        <v>21.013</v>
      </c>
      <c r="L11" s="6" t="n">
        <v>0.9634</v>
      </c>
      <c r="M11" s="5" t="n">
        <f aca="false">IF(AND(N(K11)&gt;0,N(L11)&gt;0),K11/L11,"")</f>
        <v>21.8112933361013</v>
      </c>
      <c r="N11" s="2"/>
    </row>
    <row r="12" customFormat="false" ht="15" hidden="false" customHeight="false" outlineLevel="0" collapsed="false">
      <c r="A12" s="2" t="n">
        <v>11</v>
      </c>
      <c r="B12" s="2" t="s">
        <v>47</v>
      </c>
      <c r="C12" s="2" t="s">
        <v>48</v>
      </c>
      <c r="D12" s="2" t="s">
        <v>33</v>
      </c>
      <c r="E12" s="2" t="s">
        <v>49</v>
      </c>
      <c r="F12" s="3" t="n">
        <v>0.004071</v>
      </c>
      <c r="G12" s="3" t="n">
        <f aca="false">SUM($F$2:F12)</f>
        <v>0.054885</v>
      </c>
      <c r="H12" s="4" t="n">
        <v>38.99</v>
      </c>
      <c r="I12" s="5"/>
      <c r="J12" s="4" t="n">
        <v>-0.47</v>
      </c>
      <c r="K12" s="5" t="n">
        <v>28.1634</v>
      </c>
      <c r="L12" s="6" t="n">
        <v>3739.1628</v>
      </c>
      <c r="M12" s="5" t="n">
        <f aca="false">IF(AND(N(K12)&gt;0,N(L12)&gt;0),K12/L12,"")</f>
        <v>0.00753200689737286</v>
      </c>
      <c r="N12" s="2" t="s">
        <v>50</v>
      </c>
    </row>
    <row r="13" customFormat="false" ht="15" hidden="false" customHeight="false" outlineLevel="0" collapsed="false">
      <c r="A13" s="2" t="n">
        <v>12</v>
      </c>
      <c r="B13" s="2" t="s">
        <v>51</v>
      </c>
      <c r="C13" s="2" t="s">
        <v>52</v>
      </c>
      <c r="D13" s="2" t="s">
        <v>22</v>
      </c>
      <c r="E13" s="2" t="s">
        <v>53</v>
      </c>
      <c r="F13" s="3" t="n">
        <v>0.004068</v>
      </c>
      <c r="G13" s="3" t="n">
        <f aca="false">SUM($F$2:F13)</f>
        <v>0.058953</v>
      </c>
      <c r="H13" s="4" t="n">
        <v>174.34</v>
      </c>
      <c r="I13" s="5" t="n">
        <v>51.5799</v>
      </c>
      <c r="J13" s="4" t="n">
        <v>3.38</v>
      </c>
      <c r="K13" s="5" t="n">
        <v>20.4129</v>
      </c>
      <c r="L13" s="6" t="n">
        <v>2.3808</v>
      </c>
      <c r="M13" s="5" t="n">
        <f aca="false">IF(AND(N(K13)&gt;0,N(L13)&gt;0),K13/L13,"")</f>
        <v>8.57396673387097</v>
      </c>
      <c r="N13" s="2"/>
    </row>
    <row r="14" customFormat="false" ht="15" hidden="false" customHeight="false" outlineLevel="0" collapsed="false">
      <c r="A14" s="2" t="n">
        <v>13</v>
      </c>
      <c r="B14" s="2" t="s">
        <v>54</v>
      </c>
      <c r="C14" s="2" t="s">
        <v>55</v>
      </c>
      <c r="D14" s="2" t="s">
        <v>22</v>
      </c>
      <c r="E14" s="2" t="s">
        <v>30</v>
      </c>
      <c r="F14" s="3" t="n">
        <v>0.003967</v>
      </c>
      <c r="G14" s="3" t="n">
        <f aca="false">SUM($F$2:F14)</f>
        <v>0.06292</v>
      </c>
      <c r="H14" s="4" t="n">
        <v>402.9</v>
      </c>
      <c r="I14" s="5" t="n">
        <v>38.2985</v>
      </c>
      <c r="J14" s="4" t="n">
        <v>10.52</v>
      </c>
      <c r="K14" s="5" t="n">
        <v>19.9671</v>
      </c>
      <c r="L14" s="6" t="n">
        <v>6.3911</v>
      </c>
      <c r="M14" s="5" t="n">
        <f aca="false">IF(AND(N(K14)&gt;0,N(L14)&gt;0),K14/L14,"")</f>
        <v>3.12420397114738</v>
      </c>
      <c r="N14" s="2"/>
    </row>
    <row r="15" customFormat="false" ht="15" hidden="false" customHeight="false" outlineLevel="0" collapsed="false">
      <c r="A15" s="2" t="n">
        <v>14</v>
      </c>
      <c r="B15" s="2" t="s">
        <v>56</v>
      </c>
      <c r="C15" s="2" t="s">
        <v>57</v>
      </c>
      <c r="D15" s="2" t="s">
        <v>58</v>
      </c>
      <c r="E15" s="2" t="s">
        <v>59</v>
      </c>
      <c r="F15" s="3" t="n">
        <v>0.003956</v>
      </c>
      <c r="G15" s="3" t="n">
        <f aca="false">SUM($F$2:F15)</f>
        <v>0.066876</v>
      </c>
      <c r="H15" s="4" t="n">
        <v>94.22</v>
      </c>
      <c r="I15" s="5" t="n">
        <v>28.9908</v>
      </c>
      <c r="J15" s="4" t="n">
        <v>3.25</v>
      </c>
      <c r="K15" s="5" t="n">
        <v>20.3827</v>
      </c>
      <c r="L15" s="6" t="n">
        <v>0.5079</v>
      </c>
      <c r="M15" s="5" t="n">
        <f aca="false">IF(AND(N(K15)&gt;0,N(L15)&gt;0),K15/L15,"")</f>
        <v>40.131325063989</v>
      </c>
      <c r="N15" s="2"/>
    </row>
    <row r="16" customFormat="false" ht="15" hidden="false" customHeight="false" outlineLevel="0" collapsed="false">
      <c r="A16" s="2" t="n">
        <v>15</v>
      </c>
      <c r="B16" s="2" t="s">
        <v>60</v>
      </c>
      <c r="C16" s="2" t="s">
        <v>61</v>
      </c>
      <c r="D16" s="2" t="s">
        <v>62</v>
      </c>
      <c r="E16" s="2" t="s">
        <v>63</v>
      </c>
      <c r="F16" s="3" t="n">
        <v>0.003937</v>
      </c>
      <c r="G16" s="3" t="n">
        <f aca="false">SUM($F$2:F16)</f>
        <v>0.070813</v>
      </c>
      <c r="H16" s="4" t="n">
        <v>250.11</v>
      </c>
      <c r="I16" s="5" t="n">
        <v>27.6977</v>
      </c>
      <c r="J16" s="4" t="n">
        <v>9.03</v>
      </c>
      <c r="K16" s="5" t="n">
        <v>21.1913</v>
      </c>
      <c r="L16" s="6" t="n">
        <v>13.7993</v>
      </c>
      <c r="M16" s="5" t="n">
        <f aca="false">IF(AND(N(K16)&gt;0,N(L16)&gt;0),K16/L16,"")</f>
        <v>1.53567934605379</v>
      </c>
      <c r="N16" s="2"/>
    </row>
    <row r="17" customFormat="false" ht="15" hidden="false" customHeight="false" outlineLevel="0" collapsed="false">
      <c r="A17" s="2" t="n">
        <v>16</v>
      </c>
      <c r="B17" s="2" t="s">
        <v>64</v>
      </c>
      <c r="C17" s="2" t="s">
        <v>65</v>
      </c>
      <c r="D17" s="2" t="s">
        <v>66</v>
      </c>
      <c r="E17" s="2" t="s">
        <v>67</v>
      </c>
      <c r="F17" s="3" t="n">
        <v>0.003914</v>
      </c>
      <c r="G17" s="3" t="n">
        <f aca="false">SUM($F$2:F17)</f>
        <v>0.074727</v>
      </c>
      <c r="H17" s="4" t="n">
        <v>154.33</v>
      </c>
      <c r="I17" s="5" t="n">
        <v>65.1181</v>
      </c>
      <c r="J17" s="4" t="n">
        <v>2.37</v>
      </c>
      <c r="K17" s="5" t="n">
        <v>22.9196</v>
      </c>
      <c r="L17" s="6" t="n">
        <v>4.3999</v>
      </c>
      <c r="M17" s="5" t="n">
        <f aca="false">IF(AND(N(K17)&gt;0,N(L17)&gt;0),K17/L17,"")</f>
        <v>5.2091183890543</v>
      </c>
      <c r="N17" s="2"/>
    </row>
    <row r="18" customFormat="false" ht="15" hidden="false" customHeight="false" outlineLevel="0" collapsed="false">
      <c r="A18" s="2" t="n">
        <v>17</v>
      </c>
      <c r="B18" s="2" t="s">
        <v>68</v>
      </c>
      <c r="C18" s="2" t="s">
        <v>69</v>
      </c>
      <c r="D18" s="2" t="s">
        <v>62</v>
      </c>
      <c r="E18" s="2" t="s">
        <v>63</v>
      </c>
      <c r="F18" s="3" t="n">
        <v>0.003896</v>
      </c>
      <c r="G18" s="3" t="n">
        <f aca="false">SUM($F$2:F18)</f>
        <v>0.078623</v>
      </c>
      <c r="H18" s="4" t="n">
        <v>19.52</v>
      </c>
      <c r="I18" s="5" t="n">
        <v>16.4034</v>
      </c>
      <c r="J18" s="4" t="n">
        <v>1.19</v>
      </c>
      <c r="K18" s="5" t="n">
        <v>20.0653</v>
      </c>
      <c r="L18" s="6" t="n">
        <v>6.3274</v>
      </c>
      <c r="M18" s="5" t="n">
        <f aca="false">IF(AND(N(K18)&gt;0,N(L18)&gt;0),K18/L18,"")</f>
        <v>3.17117615450264</v>
      </c>
      <c r="N18" s="2"/>
    </row>
    <row r="19" customFormat="false" ht="15" hidden="false" customHeight="false" outlineLevel="0" collapsed="false">
      <c r="A19" s="2" t="n">
        <v>18</v>
      </c>
      <c r="B19" s="2" t="s">
        <v>70</v>
      </c>
      <c r="C19" s="2" t="s">
        <v>71</v>
      </c>
      <c r="D19" s="2" t="s">
        <v>22</v>
      </c>
      <c r="E19" s="2" t="s">
        <v>40</v>
      </c>
      <c r="F19" s="3" t="n">
        <v>0.003788</v>
      </c>
      <c r="G19" s="3" t="n">
        <f aca="false">SUM($F$2:F19)</f>
        <v>0.082411</v>
      </c>
      <c r="H19" s="4" t="n">
        <v>325.16</v>
      </c>
      <c r="I19" s="5" t="n">
        <v>36.2094</v>
      </c>
      <c r="J19" s="4" t="n">
        <v>8.98</v>
      </c>
      <c r="K19" s="5" t="n">
        <v>19.1993</v>
      </c>
      <c r="L19" s="6" t="n">
        <v>4.58</v>
      </c>
      <c r="M19" s="5" t="n">
        <f aca="false">IF(AND(N(K19)&gt;0,N(L19)&gt;0),K19/L19,"")</f>
        <v>4.19198689956332</v>
      </c>
      <c r="N19" s="2"/>
    </row>
    <row r="20" customFormat="false" ht="15" hidden="false" customHeight="false" outlineLevel="0" collapsed="false">
      <c r="A20" s="2" t="n">
        <v>19</v>
      </c>
      <c r="B20" s="2" t="s">
        <v>72</v>
      </c>
      <c r="C20" s="2" t="s">
        <v>73</v>
      </c>
      <c r="D20" s="2" t="s">
        <v>62</v>
      </c>
      <c r="E20" s="2" t="s">
        <v>74</v>
      </c>
      <c r="F20" s="3" t="n">
        <v>0.00371</v>
      </c>
      <c r="G20" s="3" t="n">
        <f aca="false">SUM($F$2:F20)</f>
        <v>0.086121</v>
      </c>
      <c r="H20" s="4" t="n">
        <v>384.65</v>
      </c>
      <c r="I20" s="5" t="n">
        <v>22.3504</v>
      </c>
      <c r="J20" s="4" t="n">
        <v>17.21</v>
      </c>
      <c r="K20" s="5" t="n">
        <v>19.6381</v>
      </c>
      <c r="L20" s="6" t="n">
        <v>1.2425</v>
      </c>
      <c r="M20" s="5" t="n">
        <f aca="false">IF(AND(N(K20)&gt;0,N(L20)&gt;0),K20/L20,"")</f>
        <v>15.8053118712274</v>
      </c>
      <c r="N20" s="2"/>
    </row>
    <row r="21" customFormat="false" ht="15" hidden="false" customHeight="false" outlineLevel="0" collapsed="false">
      <c r="A21" s="2" t="n">
        <v>20</v>
      </c>
      <c r="B21" s="2" t="s">
        <v>75</v>
      </c>
      <c r="C21" s="2" t="s">
        <v>76</v>
      </c>
      <c r="D21" s="2" t="s">
        <v>16</v>
      </c>
      <c r="E21" s="2" t="s">
        <v>17</v>
      </c>
      <c r="F21" s="3" t="n">
        <v>0.003681</v>
      </c>
      <c r="G21" s="3" t="n">
        <f aca="false">SUM($F$2:F21)</f>
        <v>0.089802</v>
      </c>
      <c r="H21" s="4" t="n">
        <v>70.04</v>
      </c>
      <c r="I21" s="5" t="n">
        <v>13.5474</v>
      </c>
      <c r="J21" s="4" t="n">
        <v>5.17</v>
      </c>
      <c r="K21" s="5" t="n">
        <v>18.9507</v>
      </c>
      <c r="L21" s="6" t="n">
        <v>6.6411</v>
      </c>
      <c r="M21" s="5" t="n">
        <f aca="false">IF(AND(N(K21)&gt;0,N(L21)&gt;0),K21/L21,"")</f>
        <v>2.85354835795275</v>
      </c>
      <c r="N21" s="2"/>
    </row>
    <row r="22" customFormat="false" ht="15" hidden="false" customHeight="false" outlineLevel="0" collapsed="false">
      <c r="A22" s="2" t="n">
        <v>21</v>
      </c>
      <c r="B22" s="2" t="s">
        <v>77</v>
      </c>
      <c r="C22" s="2" t="s">
        <v>78</v>
      </c>
      <c r="D22" s="2" t="s">
        <v>79</v>
      </c>
      <c r="E22" s="2" t="s">
        <v>80</v>
      </c>
      <c r="F22" s="3" t="n">
        <v>0.003611</v>
      </c>
      <c r="G22" s="3" t="n">
        <f aca="false">SUM($F$2:F22)</f>
        <v>0.093413</v>
      </c>
      <c r="H22" s="4" t="n">
        <v>127.77</v>
      </c>
      <c r="I22" s="5" t="n">
        <v>12.2738</v>
      </c>
      <c r="J22" s="4" t="n">
        <v>10.41</v>
      </c>
      <c r="K22" s="5" t="n">
        <v>17.506</v>
      </c>
      <c r="L22" s="6" t="n">
        <v>6.0604</v>
      </c>
      <c r="M22" s="5" t="n">
        <f aca="false">IF(AND(N(K22)&gt;0,N(L22)&gt;0),K22/L22,"")</f>
        <v>2.88858821199921</v>
      </c>
      <c r="N22" s="2"/>
    </row>
    <row r="23" customFormat="false" ht="15" hidden="false" customHeight="false" outlineLevel="0" collapsed="false">
      <c r="A23" s="2" t="n">
        <v>22</v>
      </c>
      <c r="B23" s="2" t="s">
        <v>81</v>
      </c>
      <c r="C23" s="2" t="s">
        <v>82</v>
      </c>
      <c r="D23" s="2" t="s">
        <v>22</v>
      </c>
      <c r="E23" s="2" t="s">
        <v>83</v>
      </c>
      <c r="F23" s="3" t="n">
        <v>0.003559</v>
      </c>
      <c r="G23" s="3" t="n">
        <f aca="false">SUM($F$2:F23)</f>
        <v>0.096972</v>
      </c>
      <c r="H23" s="4" t="n">
        <v>205.68</v>
      </c>
      <c r="I23" s="5" t="n">
        <v>40.3294</v>
      </c>
      <c r="J23" s="4" t="n">
        <v>5.1</v>
      </c>
      <c r="K23" s="5"/>
      <c r="L23" s="6"/>
      <c r="M23" s="5" t="str">
        <f aca="false">IF(AND(N(K23)&gt;0,N(L23)&gt;0),K23/L23,"")</f>
        <v/>
      </c>
      <c r="N23" s="2"/>
    </row>
    <row r="24" customFormat="false" ht="15" hidden="false" customHeight="false" outlineLevel="0" collapsed="false">
      <c r="A24" s="2" t="n">
        <v>23</v>
      </c>
      <c r="B24" s="2" t="s">
        <v>84</v>
      </c>
      <c r="C24" s="2" t="s">
        <v>85</v>
      </c>
      <c r="D24" s="2" t="s">
        <v>86</v>
      </c>
      <c r="E24" s="2" t="s">
        <v>87</v>
      </c>
      <c r="F24" s="3" t="n">
        <v>0.003361</v>
      </c>
      <c r="G24" s="3" t="n">
        <f aca="false">SUM($F$2:F24)</f>
        <v>0.100333</v>
      </c>
      <c r="H24" s="4" t="n">
        <v>340.07</v>
      </c>
      <c r="I24" s="5" t="n">
        <v>16.3103</v>
      </c>
      <c r="J24" s="4" t="n">
        <v>20.85</v>
      </c>
      <c r="K24" s="5" t="n">
        <v>15.6458</v>
      </c>
      <c r="L24" s="6" t="n">
        <v>0.5703</v>
      </c>
      <c r="M24" s="5" t="n">
        <f aca="false">IF(AND(N(K24)&gt;0,N(L24)&gt;0),K24/L24,"")</f>
        <v>27.4343328072944</v>
      </c>
      <c r="N24" s="2"/>
    </row>
    <row r="25" customFormat="false" ht="15" hidden="false" customHeight="false" outlineLevel="0" collapsed="false">
      <c r="A25" s="2" t="n">
        <v>24</v>
      </c>
      <c r="B25" s="2" t="s">
        <v>88</v>
      </c>
      <c r="C25" s="2" t="s">
        <v>89</v>
      </c>
      <c r="D25" s="2" t="s">
        <v>26</v>
      </c>
      <c r="E25" s="2" t="s">
        <v>90</v>
      </c>
      <c r="F25" s="3" t="n">
        <v>0.003309</v>
      </c>
      <c r="G25" s="3" t="n">
        <f aca="false">SUM($F$2:F25)</f>
        <v>0.103642</v>
      </c>
      <c r="H25" s="4" t="n">
        <v>109.29</v>
      </c>
      <c r="I25" s="5" t="n">
        <v>10.4185</v>
      </c>
      <c r="J25" s="4" t="n">
        <v>10.49</v>
      </c>
      <c r="K25" s="5" t="n">
        <v>19.43</v>
      </c>
      <c r="L25" s="6" t="n">
        <v>0.6222</v>
      </c>
      <c r="M25" s="5" t="n">
        <f aca="false">IF(AND(N(K25)&gt;0,N(L25)&gt;0),K25/L25,"")</f>
        <v>31.2279009964642</v>
      </c>
      <c r="N25" s="2"/>
    </row>
    <row r="26" customFormat="false" ht="15" hidden="false" customHeight="false" outlineLevel="0" collapsed="false">
      <c r="A26" s="2" t="n">
        <v>25</v>
      </c>
      <c r="B26" s="2" t="s">
        <v>91</v>
      </c>
      <c r="C26" s="2" t="s">
        <v>92</v>
      </c>
      <c r="D26" s="2" t="s">
        <v>93</v>
      </c>
      <c r="E26" s="2" t="s">
        <v>94</v>
      </c>
      <c r="F26" s="3" t="n">
        <v>0.003224</v>
      </c>
      <c r="G26" s="3" t="n">
        <f aca="false">SUM($F$2:F26)</f>
        <v>0.106866</v>
      </c>
      <c r="H26" s="4" t="n">
        <v>251.8</v>
      </c>
      <c r="I26" s="5" t="n">
        <v>22.6235</v>
      </c>
      <c r="J26" s="4" t="n">
        <v>11.13</v>
      </c>
      <c r="K26" s="5" t="n">
        <v>15.8169</v>
      </c>
      <c r="L26" s="6" t="n">
        <v>1.2956</v>
      </c>
      <c r="M26" s="5" t="n">
        <f aca="false">IF(AND(N(K26)&gt;0,N(L26)&gt;0),K26/L26,"")</f>
        <v>12.2081661006483</v>
      </c>
      <c r="N26" s="2"/>
    </row>
    <row r="27" customFormat="false" ht="15" hidden="false" customHeight="false" outlineLevel="0" collapsed="false">
      <c r="A27" s="2" t="n">
        <v>26</v>
      </c>
      <c r="B27" s="2" t="s">
        <v>95</v>
      </c>
      <c r="C27" s="2" t="s">
        <v>96</v>
      </c>
      <c r="D27" s="2" t="s">
        <v>22</v>
      </c>
      <c r="E27" s="2" t="s">
        <v>97</v>
      </c>
      <c r="F27" s="3" t="n">
        <v>0.00321</v>
      </c>
      <c r="G27" s="3" t="n">
        <f aca="false">SUM($F$2:F27)</f>
        <v>0.110076</v>
      </c>
      <c r="H27" s="4" t="n">
        <v>355.31</v>
      </c>
      <c r="I27" s="5" t="n">
        <v>24.5889</v>
      </c>
      <c r="J27" s="4" t="n">
        <v>14.45</v>
      </c>
      <c r="K27" s="5" t="n">
        <v>17.3153</v>
      </c>
      <c r="L27" s="6" t="n">
        <v>0.6923</v>
      </c>
      <c r="M27" s="5" t="n">
        <f aca="false">IF(AND(N(K27)&gt;0,N(L27)&gt;0),K27/L27,"")</f>
        <v>25.0112667918532</v>
      </c>
      <c r="N27" s="2"/>
    </row>
    <row r="28" customFormat="false" ht="15" hidden="false" customHeight="false" outlineLevel="0" collapsed="false">
      <c r="A28" s="2" t="n">
        <v>27</v>
      </c>
      <c r="B28" s="2" t="s">
        <v>98</v>
      </c>
      <c r="C28" s="2" t="s">
        <v>99</v>
      </c>
      <c r="D28" s="2" t="s">
        <v>79</v>
      </c>
      <c r="E28" s="2" t="s">
        <v>100</v>
      </c>
      <c r="F28" s="3" t="n">
        <v>0.003191</v>
      </c>
      <c r="G28" s="3" t="n">
        <f aca="false">SUM($F$2:F28)</f>
        <v>0.113267</v>
      </c>
      <c r="H28" s="4" t="n">
        <v>245.13</v>
      </c>
      <c r="I28" s="5" t="n">
        <v>10.7987</v>
      </c>
      <c r="J28" s="4" t="n">
        <v>22.7</v>
      </c>
      <c r="K28" s="5" t="n">
        <v>16.0074</v>
      </c>
      <c r="L28" s="6" t="n">
        <v>0.6164</v>
      </c>
      <c r="M28" s="5" t="n">
        <f aca="false">IF(AND(N(K28)&gt;0,N(L28)&gt;0),K28/L28,"")</f>
        <v>25.9691758598313</v>
      </c>
      <c r="N28" s="2"/>
    </row>
    <row r="29" customFormat="false" ht="15" hidden="false" customHeight="false" outlineLevel="0" collapsed="false">
      <c r="A29" s="2" t="n">
        <v>28</v>
      </c>
      <c r="B29" s="2" t="s">
        <v>101</v>
      </c>
      <c r="C29" s="2" t="s">
        <v>102</v>
      </c>
      <c r="D29" s="2" t="s">
        <v>26</v>
      </c>
      <c r="E29" s="2" t="s">
        <v>103</v>
      </c>
      <c r="F29" s="3" t="n">
        <v>0.003176</v>
      </c>
      <c r="G29" s="3" t="n">
        <f aca="false">SUM($F$2:F29)</f>
        <v>0.116443</v>
      </c>
      <c r="H29" s="4" t="n">
        <v>21.97</v>
      </c>
      <c r="I29" s="5" t="n">
        <v>14.1742</v>
      </c>
      <c r="J29" s="4" t="n">
        <v>1.55</v>
      </c>
      <c r="K29" s="5" t="n">
        <v>18.4011</v>
      </c>
      <c r="L29" s="6" t="n">
        <v>3.2073</v>
      </c>
      <c r="M29" s="5" t="n">
        <f aca="false">IF(AND(N(K29)&gt;0,N(L29)&gt;0),K29/L29,"")</f>
        <v>5.73725563558133</v>
      </c>
      <c r="N29" s="2"/>
    </row>
    <row r="30" customFormat="false" ht="15" hidden="false" customHeight="false" outlineLevel="0" collapsed="false">
      <c r="A30" s="2" t="n">
        <v>29</v>
      </c>
      <c r="B30" s="2" t="s">
        <v>104</v>
      </c>
      <c r="C30" s="2" t="s">
        <v>105</v>
      </c>
      <c r="D30" s="2" t="s">
        <v>16</v>
      </c>
      <c r="E30" s="2" t="s">
        <v>106</v>
      </c>
      <c r="F30" s="3" t="n">
        <v>0.003164</v>
      </c>
      <c r="G30" s="3" t="n">
        <f aca="false">SUM($F$2:F30)</f>
        <v>0.119607</v>
      </c>
      <c r="H30" s="4" t="n">
        <v>117.24</v>
      </c>
      <c r="I30" s="5" t="n">
        <v>468.96</v>
      </c>
      <c r="J30" s="4" t="n">
        <v>0.25</v>
      </c>
      <c r="K30" s="5" t="n">
        <v>16.6516</v>
      </c>
      <c r="L30" s="6" t="n">
        <v>25.5739</v>
      </c>
      <c r="M30" s="5" t="n">
        <f aca="false">IF(AND(N(K30)&gt;0,N(L30)&gt;0),K30/L30,"")</f>
        <v>0.651116959087194</v>
      </c>
      <c r="N30" s="2"/>
    </row>
    <row r="31" customFormat="false" ht="15" hidden="false" customHeight="false" outlineLevel="0" collapsed="false">
      <c r="A31" s="2" t="n">
        <v>30</v>
      </c>
      <c r="B31" s="2" t="s">
        <v>107</v>
      </c>
      <c r="C31" s="2" t="s">
        <v>108</v>
      </c>
      <c r="D31" s="2" t="s">
        <v>22</v>
      </c>
      <c r="E31" s="2" t="s">
        <v>109</v>
      </c>
      <c r="F31" s="3" t="n">
        <v>0.003116</v>
      </c>
      <c r="G31" s="3" t="n">
        <f aca="false">SUM($F$2:F31)</f>
        <v>0.122723</v>
      </c>
      <c r="H31" s="4" t="n">
        <v>512.64</v>
      </c>
      <c r="I31" s="5" t="n">
        <v>36.8806</v>
      </c>
      <c r="J31" s="4" t="n">
        <v>13.9</v>
      </c>
      <c r="K31" s="5" t="n">
        <v>15.6809</v>
      </c>
      <c r="L31" s="6" t="n">
        <v>4.5604</v>
      </c>
      <c r="M31" s="5" t="n">
        <f aca="false">IF(AND(N(K31)&gt;0,N(L31)&gt;0),K31/L31,"")</f>
        <v>3.43849223752302</v>
      </c>
      <c r="N31" s="2"/>
    </row>
    <row r="32" customFormat="false" ht="15" hidden="false" customHeight="false" outlineLevel="0" collapsed="false">
      <c r="A32" s="2" t="n">
        <v>31</v>
      </c>
      <c r="B32" s="2" t="s">
        <v>110</v>
      </c>
      <c r="C32" s="2" t="s">
        <v>111</v>
      </c>
      <c r="D32" s="2" t="s">
        <v>22</v>
      </c>
      <c r="E32" s="2" t="s">
        <v>112</v>
      </c>
      <c r="F32" s="3" t="n">
        <v>0.003088</v>
      </c>
      <c r="G32" s="3" t="n">
        <f aca="false">SUM($F$2:F32)</f>
        <v>0.125811</v>
      </c>
      <c r="H32" s="4" t="n">
        <v>258.32</v>
      </c>
      <c r="I32" s="5" t="n">
        <v>25.8062</v>
      </c>
      <c r="J32" s="4" t="n">
        <v>10.01</v>
      </c>
      <c r="K32" s="5" t="n">
        <v>14.0799</v>
      </c>
      <c r="L32" s="6" t="n">
        <v>3.1421</v>
      </c>
      <c r="M32" s="5" t="n">
        <f aca="false">IF(AND(N(K32)&gt;0,N(L32)&gt;0),K32/L32,"")</f>
        <v>4.48104770694758</v>
      </c>
      <c r="N32" s="2"/>
    </row>
    <row r="33" customFormat="false" ht="15" hidden="false" customHeight="false" outlineLevel="0" collapsed="false">
      <c r="A33" s="2" t="n">
        <v>32</v>
      </c>
      <c r="B33" s="2" t="s">
        <v>113</v>
      </c>
      <c r="C33" s="2" t="s">
        <v>114</v>
      </c>
      <c r="D33" s="2" t="s">
        <v>26</v>
      </c>
      <c r="E33" s="2" t="s">
        <v>103</v>
      </c>
      <c r="F33" s="3" t="n">
        <v>0.003062</v>
      </c>
      <c r="G33" s="3" t="n">
        <f aca="false">SUM($F$2:F33)</f>
        <v>0.128873</v>
      </c>
      <c r="H33" s="4" t="n">
        <v>60.18</v>
      </c>
      <c r="I33" s="5" t="n">
        <v>16.8101</v>
      </c>
      <c r="J33" s="4" t="n">
        <v>3.58</v>
      </c>
      <c r="K33" s="5" t="n">
        <v>16.6458</v>
      </c>
      <c r="L33" s="6" t="n">
        <v>1.748</v>
      </c>
      <c r="M33" s="5" t="n">
        <f aca="false">IF(AND(N(K33)&gt;0,N(L33)&gt;0),K33/L33,"")</f>
        <v>9.52276887871854</v>
      </c>
      <c r="N33" s="2"/>
    </row>
    <row r="34" customFormat="false" ht="15" hidden="false" customHeight="false" outlineLevel="0" collapsed="false">
      <c r="A34" s="2" t="n">
        <v>33</v>
      </c>
      <c r="B34" s="2" t="s">
        <v>115</v>
      </c>
      <c r="C34" s="2" t="s">
        <v>116</v>
      </c>
      <c r="D34" s="2" t="s">
        <v>22</v>
      </c>
      <c r="E34" s="2" t="s">
        <v>117</v>
      </c>
      <c r="F34" s="3" t="n">
        <v>0.003054</v>
      </c>
      <c r="G34" s="3" t="n">
        <f aca="false">SUM($F$2:F34)</f>
        <v>0.131927</v>
      </c>
      <c r="H34" s="4" t="n">
        <v>83.7</v>
      </c>
      <c r="I34" s="5" t="n">
        <v>36.0776</v>
      </c>
      <c r="J34" s="4" t="n">
        <v>2.32</v>
      </c>
      <c r="K34" s="5" t="n">
        <v>15.5012</v>
      </c>
      <c r="L34" s="6" t="n">
        <v>3.1976</v>
      </c>
      <c r="M34" s="5" t="n">
        <f aca="false">IF(AND(N(K34)&gt;0,N(L34)&gt;0),K34/L34,"")</f>
        <v>4.84776082061546</v>
      </c>
      <c r="N34" s="2"/>
    </row>
    <row r="35" customFormat="false" ht="15" hidden="false" customHeight="false" outlineLevel="0" collapsed="false">
      <c r="A35" s="2" t="n">
        <v>34</v>
      </c>
      <c r="B35" s="2" t="s">
        <v>118</v>
      </c>
      <c r="C35" s="2" t="s">
        <v>119</v>
      </c>
      <c r="D35" s="2" t="s">
        <v>22</v>
      </c>
      <c r="E35" s="2" t="s">
        <v>120</v>
      </c>
      <c r="F35" s="3" t="n">
        <v>0.003028</v>
      </c>
      <c r="G35" s="3" t="n">
        <f aca="false">SUM($F$2:F35)</f>
        <v>0.134955</v>
      </c>
      <c r="H35" s="4" t="n">
        <v>311.43</v>
      </c>
      <c r="I35" s="5" t="n">
        <v>37.7949</v>
      </c>
      <c r="J35" s="4" t="n">
        <v>8.24</v>
      </c>
      <c r="K35" s="5" t="n">
        <v>16.4395</v>
      </c>
      <c r="L35" s="6" t="n">
        <v>2.633</v>
      </c>
      <c r="M35" s="5" t="n">
        <f aca="false">IF(AND(N(K35)&gt;0,N(L35)&gt;0),K35/L35,"")</f>
        <v>6.24363843524497</v>
      </c>
      <c r="N35" s="2"/>
    </row>
    <row r="36" customFormat="false" ht="15" hidden="false" customHeight="false" outlineLevel="0" collapsed="false">
      <c r="A36" s="2" t="n">
        <v>35</v>
      </c>
      <c r="B36" s="2" t="s">
        <v>121</v>
      </c>
      <c r="C36" s="2" t="s">
        <v>122</v>
      </c>
      <c r="D36" s="2" t="s">
        <v>22</v>
      </c>
      <c r="E36" s="2" t="s">
        <v>117</v>
      </c>
      <c r="F36" s="3" t="n">
        <v>0.002951</v>
      </c>
      <c r="G36" s="3" t="n">
        <f aca="false">SUM($F$2:F36)</f>
        <v>0.137906</v>
      </c>
      <c r="H36" s="4" t="n">
        <v>56.48</v>
      </c>
      <c r="I36" s="5" t="n">
        <v>39.4965</v>
      </c>
      <c r="J36" s="4" t="n">
        <v>1.43</v>
      </c>
      <c r="K36" s="5" t="n">
        <v>14.8895</v>
      </c>
      <c r="L36" s="6" t="n">
        <v>0.7503</v>
      </c>
      <c r="M36" s="5" t="n">
        <f aca="false">IF(AND(N(K36)&gt;0,N(L36)&gt;0),K36/L36,"")</f>
        <v>19.8447287751566</v>
      </c>
      <c r="N36" s="2"/>
    </row>
    <row r="37" customFormat="false" ht="15" hidden="false" customHeight="false" outlineLevel="0" collapsed="false">
      <c r="A37" s="2" t="n">
        <v>36</v>
      </c>
      <c r="B37" s="2" t="s">
        <v>123</v>
      </c>
      <c r="C37" s="2" t="s">
        <v>124</v>
      </c>
      <c r="D37" s="2" t="s">
        <v>33</v>
      </c>
      <c r="E37" s="2" t="s">
        <v>49</v>
      </c>
      <c r="F37" s="3" t="n">
        <v>0.002943</v>
      </c>
      <c r="G37" s="3" t="n">
        <f aca="false">SUM($F$2:F37)</f>
        <v>0.140849</v>
      </c>
      <c r="H37" s="4" t="n">
        <v>57.22</v>
      </c>
      <c r="I37" s="5" t="n">
        <v>17.9937</v>
      </c>
      <c r="J37" s="4" t="n">
        <v>3.18</v>
      </c>
      <c r="K37" s="5" t="n">
        <v>14.1781</v>
      </c>
      <c r="L37" s="6" t="n">
        <v>5.8204</v>
      </c>
      <c r="M37" s="5" t="n">
        <f aca="false">IF(AND(N(K37)&gt;0,N(L37)&gt;0),K37/L37,"")</f>
        <v>2.43593223833414</v>
      </c>
      <c r="N37" s="2"/>
    </row>
    <row r="38" customFormat="false" ht="15" hidden="false" customHeight="false" outlineLevel="0" collapsed="false">
      <c r="A38" s="2" t="n">
        <v>37</v>
      </c>
      <c r="B38" s="2" t="s">
        <v>125</v>
      </c>
      <c r="C38" s="2" t="s">
        <v>126</v>
      </c>
      <c r="D38" s="2" t="s">
        <v>33</v>
      </c>
      <c r="E38" s="2" t="s">
        <v>127</v>
      </c>
      <c r="F38" s="3" t="n">
        <v>0.002935</v>
      </c>
      <c r="G38" s="3" t="n">
        <f aca="false">SUM($F$2:F38)</f>
        <v>0.143784</v>
      </c>
      <c r="H38" s="4" t="n">
        <v>624.2</v>
      </c>
      <c r="I38" s="5" t="n">
        <v>36.653</v>
      </c>
      <c r="J38" s="4" t="n">
        <v>17.03</v>
      </c>
      <c r="K38" s="5" t="n">
        <v>17.4225</v>
      </c>
      <c r="L38" s="6" t="n">
        <v>6.2619</v>
      </c>
      <c r="M38" s="5" t="n">
        <f aca="false">IF(AND(N(K38)&gt;0,N(L38)&gt;0),K38/L38,"")</f>
        <v>2.78230249604753</v>
      </c>
      <c r="N38" s="2"/>
    </row>
    <row r="39" customFormat="false" ht="15" hidden="false" customHeight="false" outlineLevel="0" collapsed="false">
      <c r="A39" s="2" t="n">
        <v>38</v>
      </c>
      <c r="B39" s="2" t="s">
        <v>128</v>
      </c>
      <c r="C39" s="2" t="s">
        <v>129</v>
      </c>
      <c r="D39" s="2" t="s">
        <v>79</v>
      </c>
      <c r="E39" s="2" t="s">
        <v>80</v>
      </c>
      <c r="F39" s="3" t="n">
        <v>0.002925</v>
      </c>
      <c r="G39" s="3" t="n">
        <f aca="false">SUM($F$2:F39)</f>
        <v>0.146709</v>
      </c>
      <c r="H39" s="4" t="n">
        <v>96.49</v>
      </c>
      <c r="I39" s="5" t="n">
        <v>13.2906</v>
      </c>
      <c r="J39" s="4" t="n">
        <v>7.26</v>
      </c>
      <c r="K39" s="5" t="n">
        <v>14.5809</v>
      </c>
      <c r="L39" s="6" t="n">
        <v>4.415</v>
      </c>
      <c r="M39" s="5" t="n">
        <f aca="false">IF(AND(N(K39)&gt;0,N(L39)&gt;0),K39/L39,"")</f>
        <v>3.30258210645527</v>
      </c>
      <c r="N39" s="2"/>
    </row>
    <row r="40" customFormat="false" ht="15" hidden="false" customHeight="false" outlineLevel="0" collapsed="false">
      <c r="A40" s="2" t="n">
        <v>39</v>
      </c>
      <c r="B40" s="2" t="s">
        <v>130</v>
      </c>
      <c r="C40" s="2" t="s">
        <v>131</v>
      </c>
      <c r="D40" s="2" t="s">
        <v>22</v>
      </c>
      <c r="E40" s="2" t="s">
        <v>112</v>
      </c>
      <c r="F40" s="3" t="n">
        <v>0.002898</v>
      </c>
      <c r="G40" s="3" t="n">
        <f aca="false">SUM($F$2:F40)</f>
        <v>0.149607</v>
      </c>
      <c r="H40" s="4" t="n">
        <v>492.56</v>
      </c>
      <c r="I40" s="5" t="n">
        <v>48.6719</v>
      </c>
      <c r="J40" s="4" t="n">
        <v>10.12</v>
      </c>
      <c r="K40" s="5" t="n">
        <v>15.5941</v>
      </c>
      <c r="L40" s="6" t="n">
        <v>7.979</v>
      </c>
      <c r="M40" s="5" t="n">
        <f aca="false">IF(AND(N(K40)&gt;0,N(L40)&gt;0),K40/L40,"")</f>
        <v>1.95439278105026</v>
      </c>
      <c r="N40" s="2"/>
    </row>
    <row r="41" customFormat="false" ht="15" hidden="false" customHeight="false" outlineLevel="0" collapsed="false">
      <c r="A41" s="2" t="n">
        <v>40</v>
      </c>
      <c r="B41" s="2" t="s">
        <v>132</v>
      </c>
      <c r="C41" s="2" t="s">
        <v>133</v>
      </c>
      <c r="D41" s="2" t="s">
        <v>33</v>
      </c>
      <c r="E41" s="2" t="s">
        <v>49</v>
      </c>
      <c r="F41" s="3" t="n">
        <v>0.002858</v>
      </c>
      <c r="G41" s="3" t="n">
        <f aca="false">SUM($F$2:F41)</f>
        <v>0.152465</v>
      </c>
      <c r="H41" s="4" t="n">
        <v>111.45</v>
      </c>
      <c r="I41" s="5" t="n">
        <v>32.6833</v>
      </c>
      <c r="J41" s="4" t="n">
        <v>3.41</v>
      </c>
      <c r="K41" s="5" t="n">
        <v>12.6494</v>
      </c>
      <c r="L41" s="6" t="n">
        <v>7.603</v>
      </c>
      <c r="M41" s="5" t="n">
        <f aca="false">IF(AND(N(K41)&gt;0,N(L41)&gt;0),K41/L41,"")</f>
        <v>1.66373799815862</v>
      </c>
      <c r="N41" s="2"/>
    </row>
    <row r="42" customFormat="false" ht="15" hidden="false" customHeight="false" outlineLevel="0" collapsed="false">
      <c r="A42" s="2" t="n">
        <v>41</v>
      </c>
      <c r="B42" s="2" t="s">
        <v>134</v>
      </c>
      <c r="C42" s="2" t="s">
        <v>135</v>
      </c>
      <c r="D42" s="2" t="s">
        <v>58</v>
      </c>
      <c r="E42" s="2" t="s">
        <v>59</v>
      </c>
      <c r="F42" s="3" t="n">
        <v>0.002848</v>
      </c>
      <c r="G42" s="3" t="n">
        <f aca="false">SUM($F$2:F42)</f>
        <v>0.155313</v>
      </c>
      <c r="H42" s="4" t="n">
        <v>92.41</v>
      </c>
      <c r="I42" s="5" t="n">
        <v>40.3537</v>
      </c>
      <c r="J42" s="4" t="n">
        <v>2.29</v>
      </c>
      <c r="K42" s="5" t="n">
        <v>14.5151</v>
      </c>
      <c r="L42" s="6" t="n">
        <v>0.2256</v>
      </c>
      <c r="M42" s="5" t="n">
        <f aca="false">IF(AND(N(K42)&gt;0,N(L42)&gt;0),K42/L42,"")</f>
        <v>64.3399822695036</v>
      </c>
      <c r="N42" s="2"/>
    </row>
    <row r="43" customFormat="false" ht="15" hidden="false" customHeight="false" outlineLevel="0" collapsed="false">
      <c r="A43" s="2" t="n">
        <v>42</v>
      </c>
      <c r="B43" s="2" t="s">
        <v>136</v>
      </c>
      <c r="C43" s="2" t="s">
        <v>137</v>
      </c>
      <c r="D43" s="2" t="s">
        <v>16</v>
      </c>
      <c r="E43" s="2" t="s">
        <v>106</v>
      </c>
      <c r="F43" s="3" t="n">
        <v>0.002843</v>
      </c>
      <c r="G43" s="3" t="n">
        <f aca="false">SUM($F$2:F43)</f>
        <v>0.158156</v>
      </c>
      <c r="H43" s="4" t="n">
        <v>279.11</v>
      </c>
      <c r="I43" s="5" t="n">
        <v>88.6063</v>
      </c>
      <c r="J43" s="4" t="n">
        <v>3.15</v>
      </c>
      <c r="K43" s="5" t="n">
        <v>21.3159</v>
      </c>
      <c r="L43" s="6" t="n">
        <v>18.313</v>
      </c>
      <c r="M43" s="5" t="n">
        <f aca="false">IF(AND(N(K43)&gt;0,N(L43)&gt;0),K43/L43,"")</f>
        <v>1.1639764102004</v>
      </c>
      <c r="N43" s="2"/>
    </row>
    <row r="44" customFormat="false" ht="15" hidden="false" customHeight="false" outlineLevel="0" collapsed="false">
      <c r="A44" s="2" t="n">
        <v>43</v>
      </c>
      <c r="B44" s="2" t="s">
        <v>138</v>
      </c>
      <c r="C44" s="2" t="s">
        <v>139</v>
      </c>
      <c r="D44" s="2" t="s">
        <v>86</v>
      </c>
      <c r="E44" s="2" t="s">
        <v>140</v>
      </c>
      <c r="F44" s="3" t="n">
        <v>0.002828</v>
      </c>
      <c r="G44" s="3" t="n">
        <f aca="false">SUM($F$2:F44)</f>
        <v>0.160984</v>
      </c>
      <c r="H44" s="4" t="n">
        <v>66.2</v>
      </c>
      <c r="I44" s="5" t="n">
        <v>22.6712</v>
      </c>
      <c r="J44" s="4" t="n">
        <v>2.92</v>
      </c>
      <c r="K44" s="5" t="n">
        <v>15.0815</v>
      </c>
      <c r="L44" s="6" t="n">
        <v>8.2846</v>
      </c>
      <c r="M44" s="5" t="n">
        <f aca="false">IF(AND(N(K44)&gt;0,N(L44)&gt;0),K44/L44,"")</f>
        <v>1.82042585037298</v>
      </c>
      <c r="N44" s="2"/>
    </row>
    <row r="45" customFormat="false" ht="15" hidden="false" customHeight="false" outlineLevel="0" collapsed="false">
      <c r="A45" s="2" t="n">
        <v>44</v>
      </c>
      <c r="B45" s="2" t="s">
        <v>141</v>
      </c>
      <c r="C45" s="2" t="s">
        <v>142</v>
      </c>
      <c r="D45" s="2" t="s">
        <v>16</v>
      </c>
      <c r="E45" s="2" t="s">
        <v>143</v>
      </c>
      <c r="F45" s="3" t="n">
        <v>0.002818</v>
      </c>
      <c r="G45" s="3" t="n">
        <f aca="false">SUM($F$2:F45)</f>
        <v>0.163802</v>
      </c>
      <c r="H45" s="4" t="n">
        <v>256.92</v>
      </c>
      <c r="I45" s="5" t="n">
        <v>40.9761</v>
      </c>
      <c r="J45" s="4" t="n">
        <v>6.27</v>
      </c>
      <c r="K45" s="5" t="n">
        <v>17.3723</v>
      </c>
      <c r="L45" s="6" t="n">
        <v>3.9964</v>
      </c>
      <c r="M45" s="5" t="n">
        <f aca="false">IF(AND(N(K45)&gt;0,N(L45)&gt;0),K45/L45,"")</f>
        <v>4.3469872885597</v>
      </c>
      <c r="N45" s="2"/>
    </row>
    <row r="46" customFormat="false" ht="15" hidden="false" customHeight="false" outlineLevel="0" collapsed="false">
      <c r="A46" s="2" t="n">
        <v>45</v>
      </c>
      <c r="B46" s="2" t="s">
        <v>144</v>
      </c>
      <c r="C46" s="2" t="s">
        <v>145</v>
      </c>
      <c r="D46" s="2" t="s">
        <v>33</v>
      </c>
      <c r="E46" s="2" t="s">
        <v>49</v>
      </c>
      <c r="F46" s="3" t="n">
        <v>0.002776</v>
      </c>
      <c r="G46" s="3" t="n">
        <f aca="false">SUM($F$2:F46)</f>
        <v>0.166578</v>
      </c>
      <c r="H46" s="4" t="n">
        <v>241.46</v>
      </c>
      <c r="I46" s="5" t="n">
        <v>16.527</v>
      </c>
      <c r="J46" s="4" t="n">
        <v>14.61</v>
      </c>
      <c r="K46" s="5" t="n">
        <v>15.6743</v>
      </c>
      <c r="L46" s="6" t="n">
        <v>3.4065</v>
      </c>
      <c r="M46" s="5" t="n">
        <f aca="false">IF(AND(N(K46)&gt;0,N(L46)&gt;0),K46/L46,"")</f>
        <v>4.60129164831939</v>
      </c>
      <c r="N46" s="2"/>
    </row>
    <row r="47" customFormat="false" ht="15" hidden="false" customHeight="false" outlineLevel="0" collapsed="false">
      <c r="A47" s="2" t="n">
        <v>46</v>
      </c>
      <c r="B47" s="2" t="s">
        <v>146</v>
      </c>
      <c r="C47" s="2" t="s">
        <v>147</v>
      </c>
      <c r="D47" s="2" t="s">
        <v>16</v>
      </c>
      <c r="E47" s="2" t="s">
        <v>148</v>
      </c>
      <c r="F47" s="3" t="n">
        <v>0.002771</v>
      </c>
      <c r="G47" s="3" t="n">
        <f aca="false">SUM($F$2:F47)</f>
        <v>0.169349</v>
      </c>
      <c r="H47" s="4" t="n">
        <v>56.4</v>
      </c>
      <c r="I47" s="5" t="n">
        <v>112.8</v>
      </c>
      <c r="J47" s="4" t="n">
        <v>0.5</v>
      </c>
      <c r="K47" s="5" t="n">
        <v>16.3689</v>
      </c>
      <c r="L47" s="6" t="n">
        <v>7.8111</v>
      </c>
      <c r="M47" s="5" t="n">
        <f aca="false">IF(AND(N(K47)&gt;0,N(L47)&gt;0),K47/L47,"")</f>
        <v>2.09559473057572</v>
      </c>
      <c r="N47" s="2"/>
    </row>
    <row r="48" customFormat="false" ht="15" hidden="false" customHeight="false" outlineLevel="0" collapsed="false">
      <c r="A48" s="2" t="n">
        <v>47</v>
      </c>
      <c r="B48" s="2" t="s">
        <v>149</v>
      </c>
      <c r="C48" s="2" t="s">
        <v>150</v>
      </c>
      <c r="D48" s="2" t="s">
        <v>16</v>
      </c>
      <c r="E48" s="2" t="s">
        <v>148</v>
      </c>
      <c r="F48" s="3" t="n">
        <v>0.002763</v>
      </c>
      <c r="G48" s="3" t="n">
        <f aca="false">SUM($F$2:F48)</f>
        <v>0.172112</v>
      </c>
      <c r="H48" s="4" t="n">
        <v>68.57</v>
      </c>
      <c r="I48" s="5" t="n">
        <v>41.811</v>
      </c>
      <c r="J48" s="4" t="n">
        <v>1.64</v>
      </c>
      <c r="K48" s="5" t="n">
        <v>12.8159</v>
      </c>
      <c r="L48" s="6" t="n">
        <v>3.8129</v>
      </c>
      <c r="M48" s="5" t="n">
        <f aca="false">IF(AND(N(K48)&gt;0,N(L48)&gt;0),K48/L48,"")</f>
        <v>3.36119489102783</v>
      </c>
      <c r="N48" s="2"/>
    </row>
    <row r="49" customFormat="false" ht="15" hidden="false" customHeight="false" outlineLevel="0" collapsed="false">
      <c r="A49" s="2" t="n">
        <v>48</v>
      </c>
      <c r="B49" s="2" t="s">
        <v>151</v>
      </c>
      <c r="C49" s="2" t="s">
        <v>152</v>
      </c>
      <c r="D49" s="2" t="s">
        <v>33</v>
      </c>
      <c r="E49" s="2" t="s">
        <v>34</v>
      </c>
      <c r="F49" s="3" t="n">
        <v>0.002738</v>
      </c>
      <c r="G49" s="3" t="n">
        <f aca="false">SUM($F$2:F49)</f>
        <v>0.17485</v>
      </c>
      <c r="H49" s="4" t="n">
        <v>143.96</v>
      </c>
      <c r="I49" s="5" t="n">
        <v>21.0468</v>
      </c>
      <c r="J49" s="4" t="n">
        <v>6.84</v>
      </c>
      <c r="K49" s="5" t="n">
        <v>14.6334</v>
      </c>
      <c r="L49" s="6" t="n">
        <v>4.3372</v>
      </c>
      <c r="M49" s="5" t="n">
        <f aca="false">IF(AND(N(K49)&gt;0,N(L49)&gt;0),K49/L49,"")</f>
        <v>3.37392787973808</v>
      </c>
      <c r="N49" s="2"/>
    </row>
    <row r="50" customFormat="false" ht="15" hidden="false" customHeight="false" outlineLevel="0" collapsed="false">
      <c r="A50" s="2" t="n">
        <v>49</v>
      </c>
      <c r="B50" s="2" t="s">
        <v>153</v>
      </c>
      <c r="C50" s="2" t="s">
        <v>154</v>
      </c>
      <c r="D50" s="2" t="s">
        <v>79</v>
      </c>
      <c r="E50" s="2" t="s">
        <v>155</v>
      </c>
      <c r="F50" s="3" t="n">
        <v>0.002727</v>
      </c>
      <c r="G50" s="3" t="n">
        <f aca="false">SUM($F$2:F50)</f>
        <v>0.177577</v>
      </c>
      <c r="H50" s="4" t="n">
        <v>71.41</v>
      </c>
      <c r="I50" s="5" t="n">
        <v>18.8417</v>
      </c>
      <c r="J50" s="4" t="n">
        <v>3.79</v>
      </c>
      <c r="K50" s="5" t="n">
        <v>13.6822</v>
      </c>
      <c r="L50" s="6" t="n">
        <v>2.7945</v>
      </c>
      <c r="M50" s="5" t="n">
        <f aca="false">IF(AND(N(K50)&gt;0,N(L50)&gt;0),K50/L50,"")</f>
        <v>4.89611737341206</v>
      </c>
      <c r="N50" s="2"/>
    </row>
    <row r="51" customFormat="false" ht="15" hidden="false" customHeight="false" outlineLevel="0" collapsed="false">
      <c r="A51" s="2" t="n">
        <v>50</v>
      </c>
      <c r="B51" s="2" t="s">
        <v>156</v>
      </c>
      <c r="C51" s="2" t="s">
        <v>157</v>
      </c>
      <c r="D51" s="2" t="s">
        <v>79</v>
      </c>
      <c r="E51" s="2" t="s">
        <v>100</v>
      </c>
      <c r="F51" s="3" t="n">
        <v>0.002721</v>
      </c>
      <c r="G51" s="3" t="n">
        <f aca="false">SUM($F$2:F51)</f>
        <v>0.180298</v>
      </c>
      <c r="H51" s="4" t="n">
        <v>326.29</v>
      </c>
      <c r="I51" s="5" t="n">
        <v>5.6589</v>
      </c>
      <c r="J51" s="4" t="n">
        <v>57.66</v>
      </c>
      <c r="K51" s="5" t="n">
        <v>13.558</v>
      </c>
      <c r="L51" s="6" t="n">
        <v>1.2143</v>
      </c>
      <c r="M51" s="5" t="n">
        <f aca="false">IF(AND(N(K51)&gt;0,N(L51)&gt;0),K51/L51,"")</f>
        <v>11.1652804084658</v>
      </c>
      <c r="N51" s="2"/>
    </row>
    <row r="52" customFormat="false" ht="15" hidden="false" customHeight="false" outlineLevel="0" collapsed="false">
      <c r="A52" s="2" t="n">
        <v>51</v>
      </c>
      <c r="B52" s="2" t="s">
        <v>158</v>
      </c>
      <c r="C52" s="2" t="s">
        <v>159</v>
      </c>
      <c r="D52" s="2" t="s">
        <v>16</v>
      </c>
      <c r="E52" s="2" t="s">
        <v>160</v>
      </c>
      <c r="F52" s="3" t="n">
        <v>0.002717</v>
      </c>
      <c r="G52" s="3" t="n">
        <f aca="false">SUM($F$2:F52)</f>
        <v>0.183015</v>
      </c>
      <c r="H52" s="4" t="n">
        <v>401.57</v>
      </c>
      <c r="I52" s="5" t="n">
        <v>30.7716</v>
      </c>
      <c r="J52" s="4" t="n">
        <v>13.05</v>
      </c>
      <c r="K52" s="5" t="n">
        <v>14.3902</v>
      </c>
      <c r="L52" s="6" t="n">
        <v>3.1006</v>
      </c>
      <c r="M52" s="5" t="n">
        <f aca="false">IF(AND(N(K52)&gt;0,N(L52)&gt;0),K52/L52,"")</f>
        <v>4.64110172224731</v>
      </c>
      <c r="N52" s="2"/>
    </row>
    <row r="53" customFormat="false" ht="15" hidden="false" customHeight="false" outlineLevel="0" collapsed="false">
      <c r="A53" s="2" t="n">
        <v>52</v>
      </c>
      <c r="B53" s="2" t="s">
        <v>161</v>
      </c>
      <c r="C53" s="2" t="s">
        <v>162</v>
      </c>
      <c r="D53" s="2" t="s">
        <v>22</v>
      </c>
      <c r="E53" s="2" t="s">
        <v>30</v>
      </c>
      <c r="F53" s="3" t="n">
        <v>0.002713</v>
      </c>
      <c r="G53" s="3" t="n">
        <f aca="false">SUM($F$2:F53)</f>
        <v>0.185728</v>
      </c>
      <c r="H53" s="4" t="n">
        <v>59.93</v>
      </c>
      <c r="I53" s="5" t="n">
        <v>15.6068</v>
      </c>
      <c r="J53" s="4" t="n">
        <v>3.84</v>
      </c>
      <c r="K53" s="5" t="n">
        <v>13.2554</v>
      </c>
      <c r="L53" s="6" t="n">
        <v>2.8438</v>
      </c>
      <c r="M53" s="5" t="n">
        <f aca="false">IF(AND(N(K53)&gt;0,N(L53)&gt;0),K53/L53,"")</f>
        <v>4.66115760602011</v>
      </c>
      <c r="N53" s="2"/>
    </row>
    <row r="54" customFormat="false" ht="15" hidden="false" customHeight="false" outlineLevel="0" collapsed="false">
      <c r="A54" s="2" t="n">
        <v>53</v>
      </c>
      <c r="B54" s="2" t="s">
        <v>163</v>
      </c>
      <c r="C54" s="2" t="s">
        <v>164</v>
      </c>
      <c r="D54" s="2" t="s">
        <v>22</v>
      </c>
      <c r="E54" s="2" t="s">
        <v>109</v>
      </c>
      <c r="F54" s="3" t="n">
        <v>0.002702</v>
      </c>
      <c r="G54" s="3" t="n">
        <f aca="false">SUM($F$2:F54)</f>
        <v>0.18843</v>
      </c>
      <c r="H54" s="4" t="n">
        <v>37.46</v>
      </c>
      <c r="I54" s="5"/>
      <c r="J54" s="4" t="n">
        <v>-0.61</v>
      </c>
      <c r="K54" s="5" t="n">
        <v>16.1887</v>
      </c>
      <c r="L54" s="6" t="n">
        <v>1.9185</v>
      </c>
      <c r="M54" s="5" t="n">
        <f aca="false">IF(AND(N(K54)&gt;0,N(L54)&gt;0),K54/L54,"")</f>
        <v>8.43820693249935</v>
      </c>
      <c r="N54" s="2" t="s">
        <v>50</v>
      </c>
    </row>
    <row r="55" customFormat="false" ht="15" hidden="false" customHeight="false" outlineLevel="0" collapsed="false">
      <c r="A55" s="2" t="n">
        <v>54</v>
      </c>
      <c r="B55" s="2" t="s">
        <v>165</v>
      </c>
      <c r="C55" s="2" t="s">
        <v>166</v>
      </c>
      <c r="D55" s="2" t="s">
        <v>16</v>
      </c>
      <c r="E55" s="2" t="s">
        <v>17</v>
      </c>
      <c r="F55" s="3" t="n">
        <v>0.0027</v>
      </c>
      <c r="G55" s="3" t="n">
        <f aca="false">SUM($F$2:F55)</f>
        <v>0.19113</v>
      </c>
      <c r="H55" s="4" t="n">
        <v>29.8</v>
      </c>
      <c r="I55" s="5" t="n">
        <v>37.7215</v>
      </c>
      <c r="J55" s="4" t="n">
        <v>0.79</v>
      </c>
      <c r="K55" s="5" t="n">
        <v>17.2244</v>
      </c>
      <c r="L55" s="6" t="n">
        <v>2.5315</v>
      </c>
      <c r="M55" s="5" t="n">
        <f aca="false">IF(AND(N(K55)&gt;0,N(L55)&gt;0),K55/L55,"")</f>
        <v>6.80402923168082</v>
      </c>
      <c r="N55" s="2"/>
    </row>
    <row r="56" customFormat="false" ht="15" hidden="false" customHeight="false" outlineLevel="0" collapsed="false">
      <c r="A56" s="2" t="n">
        <v>55</v>
      </c>
      <c r="B56" s="2" t="s">
        <v>167</v>
      </c>
      <c r="C56" s="2" t="s">
        <v>168</v>
      </c>
      <c r="D56" s="2" t="s">
        <v>22</v>
      </c>
      <c r="E56" s="2" t="s">
        <v>40</v>
      </c>
      <c r="F56" s="3" t="n">
        <v>0.002693</v>
      </c>
      <c r="G56" s="3" t="n">
        <f aca="false">SUM($F$2:F56)</f>
        <v>0.193823</v>
      </c>
      <c r="H56" s="4" t="n">
        <v>147.47</v>
      </c>
      <c r="I56" s="5" t="n">
        <v>38.2047</v>
      </c>
      <c r="J56" s="4" t="n">
        <v>3.86</v>
      </c>
      <c r="K56" s="5" t="n">
        <v>13.5115</v>
      </c>
      <c r="L56" s="6" t="n">
        <v>3.8451</v>
      </c>
      <c r="M56" s="5" t="n">
        <f aca="false">IF(AND(N(K56)&gt;0,N(L56)&gt;0),K56/L56,"")</f>
        <v>3.51395282307352</v>
      </c>
      <c r="N56" s="2"/>
    </row>
    <row r="57" customFormat="false" ht="15" hidden="false" customHeight="false" outlineLevel="0" collapsed="false">
      <c r="A57" s="2" t="n">
        <v>56</v>
      </c>
      <c r="B57" s="2" t="s">
        <v>169</v>
      </c>
      <c r="C57" s="2" t="s">
        <v>170</v>
      </c>
      <c r="D57" s="2" t="s">
        <v>171</v>
      </c>
      <c r="E57" s="2" t="s">
        <v>172</v>
      </c>
      <c r="F57" s="3" t="n">
        <v>0.002685</v>
      </c>
      <c r="G57" s="3" t="n">
        <f aca="false">SUM($F$2:F57)</f>
        <v>0.196508</v>
      </c>
      <c r="H57" s="4" t="n">
        <v>299.97</v>
      </c>
      <c r="I57" s="5"/>
      <c r="J57" s="4" t="n">
        <v>-4.03</v>
      </c>
      <c r="K57" s="5" t="n">
        <v>14.3728</v>
      </c>
      <c r="L57" s="6" t="n">
        <v>3.842</v>
      </c>
      <c r="M57" s="5" t="n">
        <f aca="false">IF(AND(N(K57)&gt;0,N(L57)&gt;0),K57/L57,"")</f>
        <v>3.74096824570536</v>
      </c>
      <c r="N57" s="2" t="s">
        <v>50</v>
      </c>
    </row>
    <row r="58" customFormat="false" ht="15" hidden="false" customHeight="false" outlineLevel="0" collapsed="false">
      <c r="A58" s="2" t="n">
        <v>57</v>
      </c>
      <c r="B58" s="2" t="s">
        <v>173</v>
      </c>
      <c r="C58" s="2" t="s">
        <v>174</v>
      </c>
      <c r="D58" s="2" t="s">
        <v>93</v>
      </c>
      <c r="E58" s="2" t="s">
        <v>175</v>
      </c>
      <c r="F58" s="3" t="n">
        <v>0.002642</v>
      </c>
      <c r="G58" s="3" t="n">
        <f aca="false">SUM($F$2:F58)</f>
        <v>0.19915</v>
      </c>
      <c r="H58" s="4" t="n">
        <v>236.14</v>
      </c>
      <c r="I58" s="5" t="n">
        <v>21.1785</v>
      </c>
      <c r="J58" s="4" t="n">
        <v>11.15</v>
      </c>
      <c r="K58" s="5" t="n">
        <v>13.0005</v>
      </c>
      <c r="L58" s="6" t="n">
        <v>2.4465</v>
      </c>
      <c r="M58" s="5" t="n">
        <f aca="false">IF(AND(N(K58)&gt;0,N(L58)&gt;0),K58/L58,"")</f>
        <v>5.31391784181484</v>
      </c>
      <c r="N58" s="2"/>
    </row>
    <row r="59" customFormat="false" ht="15" hidden="false" customHeight="false" outlineLevel="0" collapsed="false">
      <c r="A59" s="2" t="n">
        <v>58</v>
      </c>
      <c r="B59" s="2" t="s">
        <v>176</v>
      </c>
      <c r="C59" s="2" t="s">
        <v>177</v>
      </c>
      <c r="D59" s="2" t="s">
        <v>16</v>
      </c>
      <c r="E59" s="2" t="s">
        <v>178</v>
      </c>
      <c r="F59" s="3" t="n">
        <v>0.002627</v>
      </c>
      <c r="G59" s="3" t="n">
        <f aca="false">SUM($F$2:F59)</f>
        <v>0.201777</v>
      </c>
      <c r="H59" s="4" t="n">
        <v>632.87</v>
      </c>
      <c r="I59" s="5" t="n">
        <v>26.1733</v>
      </c>
      <c r="J59" s="4" t="n">
        <v>24.18</v>
      </c>
      <c r="K59" s="5" t="n">
        <v>13.9862</v>
      </c>
      <c r="L59" s="6" t="n">
        <v>1.4618</v>
      </c>
      <c r="M59" s="5" t="n">
        <f aca="false">IF(AND(N(K59)&gt;0,N(L59)&gt;0),K59/L59,"")</f>
        <v>9.56779313175537</v>
      </c>
      <c r="N59" s="2"/>
    </row>
    <row r="60" customFormat="false" ht="15" hidden="false" customHeight="false" outlineLevel="0" collapsed="false">
      <c r="A60" s="2" t="n">
        <v>59</v>
      </c>
      <c r="B60" s="2" t="s">
        <v>179</v>
      </c>
      <c r="C60" s="2" t="s">
        <v>180</v>
      </c>
      <c r="D60" s="2" t="s">
        <v>93</v>
      </c>
      <c r="E60" s="2" t="s">
        <v>181</v>
      </c>
      <c r="F60" s="3" t="n">
        <v>0.002627</v>
      </c>
      <c r="G60" s="3" t="n">
        <f aca="false">SUM($F$2:F60)</f>
        <v>0.204404</v>
      </c>
      <c r="H60" s="4" t="n">
        <v>63.36</v>
      </c>
      <c r="I60" s="5" t="n">
        <v>25.0435</v>
      </c>
      <c r="J60" s="4" t="n">
        <v>2.53</v>
      </c>
      <c r="K60" s="5" t="n">
        <v>13.3288</v>
      </c>
      <c r="L60" s="6" t="n">
        <v>1.7501</v>
      </c>
      <c r="M60" s="5" t="n">
        <f aca="false">IF(AND(N(K60)&gt;0,N(L60)&gt;0),K60/L60,"")</f>
        <v>7.61602194160334</v>
      </c>
      <c r="N60" s="2"/>
    </row>
    <row r="61" customFormat="false" ht="15" hidden="false" customHeight="false" outlineLevel="0" collapsed="false">
      <c r="A61" s="2" t="n">
        <v>60</v>
      </c>
      <c r="B61" s="2" t="s">
        <v>182</v>
      </c>
      <c r="C61" s="2" t="s">
        <v>183</v>
      </c>
      <c r="D61" s="2" t="s">
        <v>16</v>
      </c>
      <c r="E61" s="2" t="s">
        <v>148</v>
      </c>
      <c r="F61" s="3" t="n">
        <v>0.002603</v>
      </c>
      <c r="G61" s="3" t="n">
        <f aca="false">SUM($F$2:F61)</f>
        <v>0.207007</v>
      </c>
      <c r="H61" s="4" t="n">
        <v>209.35</v>
      </c>
      <c r="I61" s="5" t="n">
        <v>59.9857</v>
      </c>
      <c r="J61" s="4" t="n">
        <v>3.49</v>
      </c>
      <c r="K61" s="5" t="n">
        <v>12.2061</v>
      </c>
      <c r="L61" s="6" t="n">
        <v>10.8384</v>
      </c>
      <c r="M61" s="5" t="n">
        <f aca="false">IF(AND(N(K61)&gt;0,N(L61)&gt;0),K61/L61,"")</f>
        <v>1.1261902125775</v>
      </c>
      <c r="N61" s="2"/>
    </row>
    <row r="62" customFormat="false" ht="15" hidden="false" customHeight="false" outlineLevel="0" collapsed="false">
      <c r="A62" s="2" t="n">
        <v>61</v>
      </c>
      <c r="B62" s="2" t="s">
        <v>184</v>
      </c>
      <c r="C62" s="2" t="s">
        <v>185</v>
      </c>
      <c r="D62" s="2" t="s">
        <v>93</v>
      </c>
      <c r="E62" s="2" t="s">
        <v>186</v>
      </c>
      <c r="F62" s="3" t="n">
        <v>0.002603</v>
      </c>
      <c r="G62" s="3" t="n">
        <f aca="false">SUM($F$2:F62)</f>
        <v>0.20961</v>
      </c>
      <c r="H62" s="4" t="n">
        <v>108.73</v>
      </c>
      <c r="I62" s="5" t="n">
        <v>15.6446</v>
      </c>
      <c r="J62" s="4" t="n">
        <v>6.95</v>
      </c>
      <c r="K62" s="5" t="n">
        <v>11.8255</v>
      </c>
      <c r="L62" s="6" t="n">
        <v>0.8921</v>
      </c>
      <c r="M62" s="5" t="n">
        <f aca="false">IF(AND(N(K62)&gt;0,N(L62)&gt;0),K62/L62,"")</f>
        <v>13.2558009191795</v>
      </c>
      <c r="N62" s="2"/>
    </row>
    <row r="63" customFormat="false" ht="15" hidden="false" customHeight="false" outlineLevel="0" collapsed="false">
      <c r="A63" s="2" t="n">
        <v>62</v>
      </c>
      <c r="B63" s="2" t="s">
        <v>187</v>
      </c>
      <c r="C63" s="2" t="s">
        <v>188</v>
      </c>
      <c r="D63" s="2" t="s">
        <v>62</v>
      </c>
      <c r="E63" s="2" t="s">
        <v>189</v>
      </c>
      <c r="F63" s="3" t="n">
        <v>0.002592</v>
      </c>
      <c r="G63" s="3" t="n">
        <f aca="false">SUM($F$2:F63)</f>
        <v>0.212202</v>
      </c>
      <c r="H63" s="4" t="n">
        <v>99.01</v>
      </c>
      <c r="I63" s="5" t="n">
        <v>19.1509</v>
      </c>
      <c r="J63" s="4" t="n">
        <v>5.17</v>
      </c>
      <c r="K63" s="5" t="n">
        <v>12.6379</v>
      </c>
      <c r="L63" s="6" t="n">
        <v>1.6072</v>
      </c>
      <c r="M63" s="5" t="n">
        <f aca="false">IF(AND(N(K63)&gt;0,N(L63)&gt;0),K63/L63,"")</f>
        <v>7.86330263812842</v>
      </c>
      <c r="N63" s="2"/>
    </row>
    <row r="64" customFormat="false" ht="15" hidden="false" customHeight="false" outlineLevel="0" collapsed="false">
      <c r="A64" s="2" t="n">
        <v>63</v>
      </c>
      <c r="B64" s="2" t="s">
        <v>190</v>
      </c>
      <c r="C64" s="2" t="s">
        <v>191</v>
      </c>
      <c r="D64" s="2" t="s">
        <v>22</v>
      </c>
      <c r="E64" s="2" t="s">
        <v>109</v>
      </c>
      <c r="F64" s="3" t="n">
        <v>0.002588</v>
      </c>
      <c r="G64" s="3" t="n">
        <f aca="false">SUM($F$2:F64)</f>
        <v>0.21479</v>
      </c>
      <c r="H64" s="4" t="n">
        <v>222.9</v>
      </c>
      <c r="I64" s="5" t="n">
        <v>35.4936</v>
      </c>
      <c r="J64" s="4" t="n">
        <v>6.28</v>
      </c>
      <c r="K64" s="5" t="n">
        <v>17.9</v>
      </c>
      <c r="L64" s="6" t="n">
        <v>1.1112</v>
      </c>
      <c r="M64" s="5" t="n">
        <f aca="false">IF(AND(N(K64)&gt;0,N(L64)&gt;0),K64/L64,"")</f>
        <v>16.1087113030958</v>
      </c>
      <c r="N64" s="2"/>
    </row>
    <row r="65" customFormat="false" ht="15" hidden="false" customHeight="false" outlineLevel="0" collapsed="false">
      <c r="A65" s="2" t="n">
        <v>64</v>
      </c>
      <c r="B65" s="2" t="s">
        <v>192</v>
      </c>
      <c r="C65" s="2" t="s">
        <v>193</v>
      </c>
      <c r="D65" s="2" t="s">
        <v>86</v>
      </c>
      <c r="E65" s="2" t="s">
        <v>194</v>
      </c>
      <c r="F65" s="3" t="n">
        <v>0.002585</v>
      </c>
      <c r="G65" s="3" t="n">
        <f aca="false">SUM($F$2:F65)</f>
        <v>0.217375</v>
      </c>
      <c r="H65" s="4" t="n">
        <v>146.08</v>
      </c>
      <c r="I65" s="5" t="n">
        <v>26.6569</v>
      </c>
      <c r="J65" s="4" t="n">
        <v>5.48</v>
      </c>
      <c r="K65" s="5" t="n">
        <v>14.8344</v>
      </c>
      <c r="L65" s="6" t="n">
        <v>6.377</v>
      </c>
      <c r="M65" s="5" t="n">
        <f aca="false">IF(AND(N(K65)&gt;0,N(L65)&gt;0),K65/L65,"")</f>
        <v>2.32623490669594</v>
      </c>
      <c r="N65" s="2"/>
    </row>
    <row r="66" customFormat="false" ht="15" hidden="false" customHeight="false" outlineLevel="0" collapsed="false">
      <c r="A66" s="2" t="n">
        <v>65</v>
      </c>
      <c r="B66" s="2" t="s">
        <v>195</v>
      </c>
      <c r="C66" s="2" t="s">
        <v>196</v>
      </c>
      <c r="D66" s="2" t="s">
        <v>22</v>
      </c>
      <c r="E66" s="2" t="s">
        <v>97</v>
      </c>
      <c r="F66" s="3" t="n">
        <v>0.002577</v>
      </c>
      <c r="G66" s="3" t="n">
        <f aca="false">SUM($F$2:F66)</f>
        <v>0.219952</v>
      </c>
      <c r="H66" s="4" t="n">
        <v>320.39</v>
      </c>
      <c r="I66" s="5" t="n">
        <v>29.2861</v>
      </c>
      <c r="J66" s="4" t="n">
        <v>10.94</v>
      </c>
      <c r="K66" s="5" t="n">
        <v>11.7692</v>
      </c>
      <c r="L66" s="6" t="n">
        <v>2.3696</v>
      </c>
      <c r="M66" s="5" t="n">
        <f aca="false">IF(AND(N(K66)&gt;0,N(L66)&gt;0),K66/L66,"")</f>
        <v>4.96674544226874</v>
      </c>
      <c r="N66" s="2"/>
    </row>
    <row r="67" customFormat="false" ht="15" hidden="false" customHeight="false" outlineLevel="0" collapsed="false">
      <c r="A67" s="2" t="n">
        <v>66</v>
      </c>
      <c r="B67" s="2" t="s">
        <v>197</v>
      </c>
      <c r="C67" s="2" t="s">
        <v>198</v>
      </c>
      <c r="D67" s="2" t="s">
        <v>22</v>
      </c>
      <c r="E67" s="2" t="s">
        <v>83</v>
      </c>
      <c r="F67" s="3" t="n">
        <v>0.00256</v>
      </c>
      <c r="G67" s="3" t="n">
        <f aca="false">SUM($F$2:F67)</f>
        <v>0.222512</v>
      </c>
      <c r="H67" s="4" t="n">
        <v>76.59</v>
      </c>
      <c r="I67" s="5" t="n">
        <v>24.0849</v>
      </c>
      <c r="J67" s="4" t="n">
        <v>3.18</v>
      </c>
      <c r="K67" s="5" t="n">
        <v>12.404</v>
      </c>
      <c r="L67" s="6" t="n">
        <v>5.4711</v>
      </c>
      <c r="M67" s="5" t="n">
        <f aca="false">IF(AND(N(K67)&gt;0,N(L67)&gt;0),K67/L67,"")</f>
        <v>2.26718575789147</v>
      </c>
      <c r="N67" s="2"/>
    </row>
    <row r="68" customFormat="false" ht="15" hidden="false" customHeight="false" outlineLevel="0" collapsed="false">
      <c r="A68" s="2" t="n">
        <v>67</v>
      </c>
      <c r="B68" s="2" t="s">
        <v>199</v>
      </c>
      <c r="C68" s="2" t="s">
        <v>200</v>
      </c>
      <c r="D68" s="2" t="s">
        <v>16</v>
      </c>
      <c r="E68" s="2" t="s">
        <v>160</v>
      </c>
      <c r="F68" s="3" t="n">
        <v>0.002554</v>
      </c>
      <c r="G68" s="3" t="n">
        <f aca="false">SUM($F$2:F68)</f>
        <v>0.225066</v>
      </c>
      <c r="H68" s="4" t="n">
        <v>124.02</v>
      </c>
      <c r="I68" s="5" t="n">
        <v>55.8649</v>
      </c>
      <c r="J68" s="4" t="n">
        <v>2.22</v>
      </c>
      <c r="K68" s="5" t="n">
        <v>13.0654</v>
      </c>
      <c r="L68" s="6" t="n">
        <v>3.8688</v>
      </c>
      <c r="M68" s="5" t="n">
        <f aca="false">IF(AND(N(K68)&gt;0,N(L68)&gt;0),K68/L68,"")</f>
        <v>3.37711952026468</v>
      </c>
      <c r="N68" s="2"/>
    </row>
    <row r="69" customFormat="false" ht="15" hidden="false" customHeight="false" outlineLevel="0" collapsed="false">
      <c r="A69" s="2" t="n">
        <v>68</v>
      </c>
      <c r="B69" s="2" t="s">
        <v>201</v>
      </c>
      <c r="C69" s="2" t="s">
        <v>202</v>
      </c>
      <c r="D69" s="2" t="s">
        <v>86</v>
      </c>
      <c r="E69" s="2" t="s">
        <v>203</v>
      </c>
      <c r="F69" s="3" t="n">
        <v>0.00254</v>
      </c>
      <c r="G69" s="3" t="n">
        <f aca="false">SUM($F$2:F69)</f>
        <v>0.227606</v>
      </c>
      <c r="H69" s="4" t="n">
        <v>113.74</v>
      </c>
      <c r="I69" s="5" t="n">
        <v>145.8205</v>
      </c>
      <c r="J69" s="4" t="n">
        <v>0.78</v>
      </c>
      <c r="K69" s="5" t="n">
        <v>14.3714</v>
      </c>
      <c r="L69" s="6" t="n">
        <v>6.1635</v>
      </c>
      <c r="M69" s="5" t="n">
        <f aca="false">IF(AND(N(K69)&gt;0,N(L69)&gt;0),K69/L69,"")</f>
        <v>2.33169465401152</v>
      </c>
      <c r="N69" s="2"/>
    </row>
    <row r="70" customFormat="false" ht="15" hidden="false" customHeight="false" outlineLevel="0" collapsed="false">
      <c r="A70" s="2" t="n">
        <v>69</v>
      </c>
      <c r="B70" s="2" t="s">
        <v>204</v>
      </c>
      <c r="C70" s="2" t="s">
        <v>205</v>
      </c>
      <c r="D70" s="2" t="s">
        <v>16</v>
      </c>
      <c r="E70" s="2" t="s">
        <v>43</v>
      </c>
      <c r="F70" s="3" t="n">
        <v>0.002505</v>
      </c>
      <c r="G70" s="3" t="n">
        <f aca="false">SUM($F$2:F70)</f>
        <v>0.230111</v>
      </c>
      <c r="H70" s="4" t="n">
        <v>275.98</v>
      </c>
      <c r="I70" s="5" t="n">
        <v>102.9776</v>
      </c>
      <c r="J70" s="4" t="n">
        <v>2.68</v>
      </c>
      <c r="K70" s="5" t="n">
        <v>16.8688</v>
      </c>
      <c r="L70" s="6" t="n">
        <v>15.0596</v>
      </c>
      <c r="M70" s="5" t="n">
        <f aca="false">IF(AND(N(K70)&gt;0,N(L70)&gt;0),K70/L70,"")</f>
        <v>1.12013599298786</v>
      </c>
      <c r="N70" s="2"/>
    </row>
    <row r="71" customFormat="false" ht="15" hidden="false" customHeight="false" outlineLevel="0" collapsed="false">
      <c r="A71" s="2" t="n">
        <v>70</v>
      </c>
      <c r="B71" s="2" t="s">
        <v>206</v>
      </c>
      <c r="C71" s="2" t="s">
        <v>207</v>
      </c>
      <c r="D71" s="2" t="s">
        <v>16</v>
      </c>
      <c r="E71" s="2" t="s">
        <v>148</v>
      </c>
      <c r="F71" s="3" t="n">
        <v>0.002489</v>
      </c>
      <c r="G71" s="3" t="n">
        <f aca="false">SUM($F$2:F71)</f>
        <v>0.2326</v>
      </c>
      <c r="H71" s="4" t="n">
        <v>149.38</v>
      </c>
      <c r="I71" s="5" t="n">
        <v>91.6442</v>
      </c>
      <c r="J71" s="4" t="n">
        <v>1.63</v>
      </c>
      <c r="K71" s="5" t="n">
        <v>12.2481</v>
      </c>
      <c r="L71" s="6" t="n">
        <v>8.3017</v>
      </c>
      <c r="M71" s="5" t="n">
        <f aca="false">IF(AND(N(K71)&gt;0,N(L71)&gt;0),K71/L71,"")</f>
        <v>1.47537251406338</v>
      </c>
      <c r="N71" s="2"/>
    </row>
    <row r="72" customFormat="false" ht="15" hidden="false" customHeight="false" outlineLevel="0" collapsed="false">
      <c r="A72" s="2" t="n">
        <v>71</v>
      </c>
      <c r="B72" s="2" t="s">
        <v>208</v>
      </c>
      <c r="C72" s="2" t="s">
        <v>209</v>
      </c>
      <c r="D72" s="2" t="s">
        <v>33</v>
      </c>
      <c r="E72" s="2" t="s">
        <v>46</v>
      </c>
      <c r="F72" s="3" t="n">
        <v>0.002472</v>
      </c>
      <c r="G72" s="3" t="n">
        <f aca="false">SUM($F$2:F72)</f>
        <v>0.235072</v>
      </c>
      <c r="H72" s="4" t="n">
        <v>121.56</v>
      </c>
      <c r="I72" s="5" t="n">
        <v>20.2938</v>
      </c>
      <c r="J72" s="4" t="n">
        <v>5.99</v>
      </c>
      <c r="K72" s="5" t="n">
        <v>11.9923</v>
      </c>
      <c r="L72" s="6" t="n">
        <v>1.9323</v>
      </c>
      <c r="M72" s="5" t="n">
        <f aca="false">IF(AND(N(K72)&gt;0,N(L72)&gt;0),K72/L72,"")</f>
        <v>6.20623091652435</v>
      </c>
      <c r="N72" s="2"/>
    </row>
    <row r="73" customFormat="false" ht="15" hidden="false" customHeight="false" outlineLevel="0" collapsed="false">
      <c r="A73" s="2" t="n">
        <v>72</v>
      </c>
      <c r="B73" s="2" t="s">
        <v>210</v>
      </c>
      <c r="C73" s="2" t="s">
        <v>211</v>
      </c>
      <c r="D73" s="2" t="s">
        <v>33</v>
      </c>
      <c r="E73" s="2" t="s">
        <v>49</v>
      </c>
      <c r="F73" s="3" t="n">
        <v>0.00243</v>
      </c>
      <c r="G73" s="3" t="n">
        <f aca="false">SUM($F$2:F73)</f>
        <v>0.237502</v>
      </c>
      <c r="H73" s="4" t="n">
        <v>64.06</v>
      </c>
      <c r="I73" s="5" t="n">
        <v>173.1351</v>
      </c>
      <c r="J73" s="4" t="n">
        <v>0.37</v>
      </c>
      <c r="K73" s="5" t="n">
        <v>12.4003</v>
      </c>
      <c r="L73" s="6" t="n">
        <v>3.6401</v>
      </c>
      <c r="M73" s="5" t="n">
        <f aca="false">IF(AND(N(K73)&gt;0,N(L73)&gt;0),K73/L73,"")</f>
        <v>3.40658223675174</v>
      </c>
      <c r="N73" s="2"/>
    </row>
    <row r="74" customFormat="false" ht="15" hidden="false" customHeight="false" outlineLevel="0" collapsed="false">
      <c r="A74" s="2" t="n">
        <v>73</v>
      </c>
      <c r="B74" s="2" t="s">
        <v>212</v>
      </c>
      <c r="C74" s="2" t="s">
        <v>213</v>
      </c>
      <c r="D74" s="2" t="s">
        <v>58</v>
      </c>
      <c r="E74" s="2" t="s">
        <v>214</v>
      </c>
      <c r="F74" s="3" t="n">
        <v>0.002399</v>
      </c>
      <c r="G74" s="3" t="n">
        <f aca="false">SUM($F$2:F74)</f>
        <v>0.239901</v>
      </c>
      <c r="H74" s="4" t="n">
        <v>92.31</v>
      </c>
      <c r="I74" s="5" t="n">
        <v>20.1991</v>
      </c>
      <c r="J74" s="4" t="n">
        <v>4.57</v>
      </c>
      <c r="K74" s="5" t="n">
        <v>11.6601</v>
      </c>
      <c r="L74" s="6" t="n">
        <v>0.5111</v>
      </c>
      <c r="M74" s="5" t="n">
        <f aca="false">IF(AND(N(K74)&gt;0,N(L74)&gt;0),K74/L74,"")</f>
        <v>22.8137350811974</v>
      </c>
      <c r="N74" s="2"/>
    </row>
    <row r="75" customFormat="false" ht="15" hidden="false" customHeight="false" outlineLevel="0" collapsed="false">
      <c r="A75" s="2" t="n">
        <v>74</v>
      </c>
      <c r="B75" s="2" t="s">
        <v>215</v>
      </c>
      <c r="C75" s="2" t="s">
        <v>216</v>
      </c>
      <c r="D75" s="2" t="s">
        <v>16</v>
      </c>
      <c r="E75" s="2" t="s">
        <v>106</v>
      </c>
      <c r="F75" s="3" t="n">
        <v>0.002399</v>
      </c>
      <c r="G75" s="3" t="n">
        <f aca="false">SUM($F$2:F75)</f>
        <v>0.2423</v>
      </c>
      <c r="H75" s="4" t="n">
        <v>177.37</v>
      </c>
      <c r="I75" s="5" t="n">
        <v>116.6908</v>
      </c>
      <c r="J75" s="4" t="n">
        <v>1.52</v>
      </c>
      <c r="K75" s="5" t="n">
        <v>16.5532</v>
      </c>
      <c r="L75" s="6" t="n">
        <v>14.0972</v>
      </c>
      <c r="M75" s="5" t="n">
        <f aca="false">IF(AND(N(K75)&gt;0,N(L75)&gt;0),K75/L75,"")</f>
        <v>1.17421899384275</v>
      </c>
      <c r="N75" s="2"/>
    </row>
    <row r="76" customFormat="false" ht="15" hidden="false" customHeight="false" outlineLevel="0" collapsed="false">
      <c r="A76" s="2" t="n">
        <v>75</v>
      </c>
      <c r="B76" s="2" t="s">
        <v>217</v>
      </c>
      <c r="C76" s="2" t="s">
        <v>218</v>
      </c>
      <c r="D76" s="2" t="s">
        <v>16</v>
      </c>
      <c r="E76" s="2" t="s">
        <v>37</v>
      </c>
      <c r="F76" s="3" t="n">
        <v>0.002393</v>
      </c>
      <c r="G76" s="3" t="n">
        <f aca="false">SUM($F$2:F76)</f>
        <v>0.244693</v>
      </c>
      <c r="H76" s="4" t="n">
        <v>219.1</v>
      </c>
      <c r="I76" s="5" t="n">
        <v>14.009</v>
      </c>
      <c r="J76" s="4" t="n">
        <v>15.64</v>
      </c>
      <c r="K76" s="5" t="n">
        <v>11.1534</v>
      </c>
      <c r="L76" s="6" t="n">
        <v>0.3105</v>
      </c>
      <c r="M76" s="5" t="n">
        <f aca="false">IF(AND(N(K76)&gt;0,N(L76)&gt;0),K76/L76,"")</f>
        <v>35.9207729468599</v>
      </c>
      <c r="N76" s="2"/>
    </row>
    <row r="77" customFormat="false" ht="15" hidden="false" customHeight="false" outlineLevel="0" collapsed="false">
      <c r="A77" s="2" t="n">
        <v>76</v>
      </c>
      <c r="B77" s="2" t="s">
        <v>219</v>
      </c>
      <c r="C77" s="2" t="s">
        <v>220</v>
      </c>
      <c r="D77" s="2" t="s">
        <v>26</v>
      </c>
      <c r="E77" s="2" t="s">
        <v>221</v>
      </c>
      <c r="F77" s="3" t="n">
        <v>0.002389</v>
      </c>
      <c r="G77" s="3" t="n">
        <f aca="false">SUM($F$2:F77)</f>
        <v>0.247082</v>
      </c>
      <c r="H77" s="4" t="n">
        <v>125.05</v>
      </c>
      <c r="I77" s="5" t="n">
        <v>27.4232</v>
      </c>
      <c r="J77" s="4" t="n">
        <v>4.56</v>
      </c>
      <c r="K77" s="5" t="n">
        <v>12.757</v>
      </c>
      <c r="L77" s="6" t="n">
        <v>9.7382</v>
      </c>
      <c r="M77" s="5" t="n">
        <f aca="false">IF(AND(N(K77)&gt;0,N(L77)&gt;0),K77/L77,"")</f>
        <v>1.30999568708796</v>
      </c>
      <c r="N77" s="2"/>
    </row>
    <row r="78" customFormat="false" ht="15" hidden="false" customHeight="false" outlineLevel="0" collapsed="false">
      <c r="A78" s="2" t="n">
        <v>77</v>
      </c>
      <c r="B78" s="2" t="s">
        <v>222</v>
      </c>
      <c r="C78" s="2" t="s">
        <v>223</v>
      </c>
      <c r="D78" s="2" t="s">
        <v>62</v>
      </c>
      <c r="E78" s="2" t="s">
        <v>224</v>
      </c>
      <c r="F78" s="3" t="n">
        <v>0.002378</v>
      </c>
      <c r="G78" s="3" t="n">
        <f aca="false">SUM($F$2:F78)</f>
        <v>0.24946</v>
      </c>
      <c r="H78" s="4" t="n">
        <v>18.35</v>
      </c>
      <c r="I78" s="5" t="n">
        <v>22.1084</v>
      </c>
      <c r="J78" s="4" t="n">
        <v>0.83</v>
      </c>
      <c r="K78" s="5" t="n">
        <v>12.327</v>
      </c>
      <c r="L78" s="6" t="n">
        <v>7.0683</v>
      </c>
      <c r="M78" s="5" t="n">
        <f aca="false">IF(AND(N(K78)&gt;0,N(L78)&gt;0),K78/L78,"")</f>
        <v>1.74398370188023</v>
      </c>
      <c r="N78" s="2"/>
    </row>
    <row r="79" customFormat="false" ht="15" hidden="false" customHeight="false" outlineLevel="0" collapsed="false">
      <c r="A79" s="2" t="n">
        <v>78</v>
      </c>
      <c r="B79" s="2" t="s">
        <v>225</v>
      </c>
      <c r="C79" s="2" t="s">
        <v>226</v>
      </c>
      <c r="D79" s="2" t="s">
        <v>79</v>
      </c>
      <c r="E79" s="2" t="s">
        <v>227</v>
      </c>
      <c r="F79" s="3" t="n">
        <v>0.002361</v>
      </c>
      <c r="G79" s="3" t="n">
        <f aca="false">SUM($F$2:F79)</f>
        <v>0.251821</v>
      </c>
      <c r="H79" s="4" t="n">
        <v>53.87</v>
      </c>
      <c r="I79" s="5"/>
      <c r="J79" s="4" t="n">
        <v>-3.29</v>
      </c>
      <c r="K79" s="5" t="n">
        <v>14.6939</v>
      </c>
      <c r="L79" s="6" t="n">
        <v>1.3836</v>
      </c>
      <c r="M79" s="5" t="n">
        <f aca="false">IF(AND(N(K79)&gt;0,N(L79)&gt;0),K79/L79,"")</f>
        <v>10.6200491471524</v>
      </c>
      <c r="N79" s="2" t="s">
        <v>50</v>
      </c>
    </row>
    <row r="80" customFormat="false" ht="15" hidden="false" customHeight="false" outlineLevel="0" collapsed="false">
      <c r="A80" s="2" t="n">
        <v>79</v>
      </c>
      <c r="B80" s="2" t="s">
        <v>228</v>
      </c>
      <c r="C80" s="2" t="s">
        <v>229</v>
      </c>
      <c r="D80" s="2" t="s">
        <v>79</v>
      </c>
      <c r="E80" s="2" t="s">
        <v>230</v>
      </c>
      <c r="F80" s="3" t="n">
        <v>0.002361</v>
      </c>
      <c r="G80" s="3" t="n">
        <f aca="false">SUM($F$2:F80)</f>
        <v>0.254182</v>
      </c>
      <c r="H80" s="4" t="n">
        <v>75.72</v>
      </c>
      <c r="I80" s="5" t="n">
        <v>13.5456</v>
      </c>
      <c r="J80" s="4" t="n">
        <v>5.59</v>
      </c>
      <c r="K80" s="5" t="n">
        <v>11.4339</v>
      </c>
      <c r="L80" s="6" t="n">
        <v>1.9597</v>
      </c>
      <c r="M80" s="5" t="n">
        <f aca="false">IF(AND(N(K80)&gt;0,N(L80)&gt;0),K80/L80,"")</f>
        <v>5.83451548706435</v>
      </c>
      <c r="N80" s="2"/>
    </row>
    <row r="81" customFormat="false" ht="15" hidden="false" customHeight="false" outlineLevel="0" collapsed="false">
      <c r="A81" s="2" t="n">
        <v>80</v>
      </c>
      <c r="B81" s="2" t="s">
        <v>231</v>
      </c>
      <c r="C81" s="2" t="s">
        <v>232</v>
      </c>
      <c r="D81" s="2" t="s">
        <v>79</v>
      </c>
      <c r="E81" s="2" t="s">
        <v>80</v>
      </c>
      <c r="F81" s="3" t="n">
        <v>0.00235</v>
      </c>
      <c r="G81" s="3" t="n">
        <f aca="false">SUM($F$2:F81)</f>
        <v>0.256532</v>
      </c>
      <c r="H81" s="4" t="n">
        <v>23.93</v>
      </c>
      <c r="I81" s="5" t="n">
        <v>11.5048</v>
      </c>
      <c r="J81" s="4" t="n">
        <v>2.08</v>
      </c>
      <c r="K81" s="5" t="n">
        <v>11.3375</v>
      </c>
      <c r="L81" s="6" t="n">
        <v>3.2384</v>
      </c>
      <c r="M81" s="5" t="n">
        <f aca="false">IF(AND(N(K81)&gt;0,N(L81)&gt;0),K81/L81,"")</f>
        <v>3.50095726284585</v>
      </c>
      <c r="N81" s="2"/>
    </row>
    <row r="82" customFormat="false" ht="15" hidden="false" customHeight="false" outlineLevel="0" collapsed="false">
      <c r="A82" s="2" t="n">
        <v>81</v>
      </c>
      <c r="B82" s="2" t="s">
        <v>233</v>
      </c>
      <c r="C82" s="2" t="s">
        <v>234</v>
      </c>
      <c r="D82" s="2" t="s">
        <v>66</v>
      </c>
      <c r="E82" s="2" t="s">
        <v>235</v>
      </c>
      <c r="F82" s="3" t="n">
        <v>0.002334</v>
      </c>
      <c r="G82" s="3" t="n">
        <f aca="false">SUM($F$2:F82)</f>
        <v>0.258866</v>
      </c>
      <c r="H82" s="4" t="n">
        <v>43.16</v>
      </c>
      <c r="I82" s="5" t="n">
        <v>15.305</v>
      </c>
      <c r="J82" s="4" t="n">
        <v>2.82</v>
      </c>
      <c r="K82" s="5" t="n">
        <v>10.0678</v>
      </c>
      <c r="L82" s="6" t="n">
        <v>2.8689</v>
      </c>
      <c r="M82" s="5" t="n">
        <f aca="false">IF(AND(N(K82)&gt;0,N(L82)&gt;0),K82/L82,"")</f>
        <v>3.50928927463488</v>
      </c>
      <c r="N82" s="2"/>
    </row>
    <row r="83" customFormat="false" ht="15" hidden="false" customHeight="false" outlineLevel="0" collapsed="false">
      <c r="A83" s="2" t="n">
        <v>82</v>
      </c>
      <c r="B83" s="2" t="s">
        <v>236</v>
      </c>
      <c r="C83" s="2" t="s">
        <v>237</v>
      </c>
      <c r="D83" s="2" t="s">
        <v>93</v>
      </c>
      <c r="E83" s="2" t="s">
        <v>238</v>
      </c>
      <c r="F83" s="3" t="n">
        <v>0.002326</v>
      </c>
      <c r="G83" s="3" t="n">
        <f aca="false">SUM($F$2:F83)</f>
        <v>0.261192</v>
      </c>
      <c r="H83" s="4" t="n">
        <v>135.5</v>
      </c>
      <c r="I83" s="5" t="n">
        <v>10.9186</v>
      </c>
      <c r="J83" s="4" t="n">
        <v>12.41</v>
      </c>
      <c r="K83" s="5" t="n">
        <v>12.4859</v>
      </c>
      <c r="L83" s="6" t="n">
        <v>1.1605</v>
      </c>
      <c r="M83" s="5" t="n">
        <f aca="false">IF(AND(N(K83)&gt;0,N(L83)&gt;0),K83/L83,"")</f>
        <v>10.7590693666523</v>
      </c>
      <c r="N83" s="2"/>
    </row>
    <row r="84" customFormat="false" ht="15" hidden="false" customHeight="false" outlineLevel="0" collapsed="false">
      <c r="A84" s="2" t="n">
        <v>83</v>
      </c>
      <c r="B84" s="2" t="s">
        <v>239</v>
      </c>
      <c r="C84" s="2" t="s">
        <v>240</v>
      </c>
      <c r="D84" s="2" t="s">
        <v>79</v>
      </c>
      <c r="E84" s="2" t="s">
        <v>241</v>
      </c>
      <c r="F84" s="3" t="n">
        <v>0.002323</v>
      </c>
      <c r="G84" s="3" t="n">
        <f aca="false">SUM($F$2:F84)</f>
        <v>0.263515</v>
      </c>
      <c r="H84" s="4" t="n">
        <v>93.56</v>
      </c>
      <c r="I84" s="5" t="n">
        <v>21.7077</v>
      </c>
      <c r="J84" s="4" t="n">
        <v>4.31</v>
      </c>
      <c r="K84" s="5" t="n">
        <v>14.8112</v>
      </c>
      <c r="L84" s="6" t="n">
        <v>1.1096</v>
      </c>
      <c r="M84" s="5" t="n">
        <f aca="false">IF(AND(N(K84)&gt;0,N(L84)&gt;0),K84/L84,"")</f>
        <v>13.3482335976929</v>
      </c>
      <c r="N84" s="2"/>
    </row>
    <row r="85" customFormat="false" ht="15" hidden="false" customHeight="false" outlineLevel="0" collapsed="false">
      <c r="A85" s="2" t="n">
        <v>84</v>
      </c>
      <c r="B85" s="2" t="s">
        <v>242</v>
      </c>
      <c r="C85" s="2" t="s">
        <v>243</v>
      </c>
      <c r="D85" s="2" t="s">
        <v>33</v>
      </c>
      <c r="E85" s="2" t="s">
        <v>244</v>
      </c>
      <c r="F85" s="3" t="n">
        <v>0.002318</v>
      </c>
      <c r="G85" s="3" t="n">
        <f aca="false">SUM($F$2:F85)</f>
        <v>0.265833</v>
      </c>
      <c r="H85" s="4" t="n">
        <v>318.78</v>
      </c>
      <c r="I85" s="5" t="n">
        <v>78.1324</v>
      </c>
      <c r="J85" s="4" t="n">
        <v>4.08</v>
      </c>
      <c r="K85" s="5" t="n">
        <v>12.5566</v>
      </c>
      <c r="L85" s="6" t="n">
        <v>8.3439</v>
      </c>
      <c r="M85" s="5" t="n">
        <f aca="false">IF(AND(N(K85)&gt;0,N(L85)&gt;0),K85/L85,"")</f>
        <v>1.5048838073323</v>
      </c>
      <c r="N85" s="2"/>
    </row>
    <row r="86" customFormat="false" ht="15" hidden="false" customHeight="false" outlineLevel="0" collapsed="false">
      <c r="A86" s="2" t="n">
        <v>85</v>
      </c>
      <c r="B86" s="2" t="s">
        <v>245</v>
      </c>
      <c r="C86" s="2" t="s">
        <v>246</v>
      </c>
      <c r="D86" s="2" t="s">
        <v>93</v>
      </c>
      <c r="E86" s="2" t="s">
        <v>181</v>
      </c>
      <c r="F86" s="3" t="n">
        <v>0.002308</v>
      </c>
      <c r="G86" s="3" t="n">
        <f aca="false">SUM($F$2:F86)</f>
        <v>0.268141</v>
      </c>
      <c r="H86" s="4" t="n">
        <v>167.5</v>
      </c>
      <c r="I86" s="5" t="n">
        <v>34.1141</v>
      </c>
      <c r="J86" s="4" t="n">
        <v>4.91</v>
      </c>
      <c r="K86" s="5" t="n">
        <v>23.7047</v>
      </c>
      <c r="L86" s="6" t="n">
        <v>3.4305</v>
      </c>
      <c r="M86" s="5" t="n">
        <f aca="false">IF(AND(N(K86)&gt;0,N(L86)&gt;0),K86/L86,"")</f>
        <v>6.9099839673517</v>
      </c>
      <c r="N86" s="2"/>
    </row>
    <row r="87" customFormat="false" ht="15" hidden="false" customHeight="false" outlineLevel="0" collapsed="false">
      <c r="A87" s="2" t="n">
        <v>86</v>
      </c>
      <c r="B87" s="2" t="s">
        <v>247</v>
      </c>
      <c r="C87" s="2" t="s">
        <v>248</v>
      </c>
      <c r="D87" s="2" t="s">
        <v>22</v>
      </c>
      <c r="E87" s="2" t="s">
        <v>53</v>
      </c>
      <c r="F87" s="3" t="n">
        <v>0.002287</v>
      </c>
      <c r="G87" s="3" t="n">
        <f aca="false">SUM($F$2:F87)</f>
        <v>0.270428</v>
      </c>
      <c r="H87" s="4" t="n">
        <v>66.62</v>
      </c>
      <c r="I87" s="5" t="n">
        <v>246.7407</v>
      </c>
      <c r="J87" s="4" t="n">
        <v>0.27</v>
      </c>
      <c r="K87" s="5" t="n">
        <v>10.8428</v>
      </c>
      <c r="L87" s="6" t="n">
        <v>1.4028</v>
      </c>
      <c r="M87" s="5" t="n">
        <f aca="false">IF(AND(N(K87)&gt;0,N(L87)&gt;0),K87/L87,"")</f>
        <v>7.72939834616481</v>
      </c>
      <c r="N87" s="2"/>
    </row>
    <row r="88" customFormat="false" ht="15" hidden="false" customHeight="false" outlineLevel="0" collapsed="false">
      <c r="A88" s="2" t="n">
        <v>87</v>
      </c>
      <c r="B88" s="2" t="s">
        <v>249</v>
      </c>
      <c r="C88" s="2" t="s">
        <v>250</v>
      </c>
      <c r="D88" s="2" t="s">
        <v>33</v>
      </c>
      <c r="E88" s="2" t="s">
        <v>49</v>
      </c>
      <c r="F88" s="3" t="n">
        <v>0.002285</v>
      </c>
      <c r="G88" s="3" t="n">
        <f aca="false">SUM($F$2:F88)</f>
        <v>0.272713</v>
      </c>
      <c r="H88" s="4" t="n">
        <v>113.76</v>
      </c>
      <c r="I88" s="5" t="n">
        <v>247.3043</v>
      </c>
      <c r="J88" s="4" t="n">
        <v>0.46</v>
      </c>
      <c r="K88" s="5" t="n">
        <v>12.2973</v>
      </c>
      <c r="L88" s="6" t="n">
        <v>14.8015</v>
      </c>
      <c r="M88" s="5" t="n">
        <f aca="false">IF(AND(N(K88)&gt;0,N(L88)&gt;0),K88/L88,"")</f>
        <v>0.830814444481978</v>
      </c>
      <c r="N88" s="2"/>
    </row>
    <row r="89" customFormat="false" ht="15" hidden="false" customHeight="false" outlineLevel="0" collapsed="false">
      <c r="A89" s="2" t="n">
        <v>88</v>
      </c>
      <c r="B89" s="2" t="s">
        <v>251</v>
      </c>
      <c r="C89" s="2" t="s">
        <v>252</v>
      </c>
      <c r="D89" s="2" t="s">
        <v>86</v>
      </c>
      <c r="E89" s="2" t="s">
        <v>253</v>
      </c>
      <c r="F89" s="3" t="n">
        <v>0.002277</v>
      </c>
      <c r="G89" s="3" t="n">
        <f aca="false">SUM($F$2:F89)</f>
        <v>0.27499</v>
      </c>
      <c r="H89" s="4" t="n">
        <v>9.97</v>
      </c>
      <c r="I89" s="5" t="n">
        <v>4.9602</v>
      </c>
      <c r="J89" s="4" t="n">
        <v>2.01</v>
      </c>
      <c r="K89" s="5" t="n">
        <v>11.8193</v>
      </c>
      <c r="L89" s="6" t="n">
        <v>4.9226</v>
      </c>
      <c r="M89" s="5" t="n">
        <f aca="false">IF(AND(N(K89)&gt;0,N(L89)&gt;0),K89/L89,"")</f>
        <v>2.40102791207898</v>
      </c>
      <c r="N89" s="2"/>
    </row>
    <row r="90" customFormat="false" ht="15" hidden="false" customHeight="false" outlineLevel="0" collapsed="false">
      <c r="A90" s="2" t="n">
        <v>89</v>
      </c>
      <c r="B90" s="2" t="s">
        <v>254</v>
      </c>
      <c r="C90" s="2" t="s">
        <v>255</v>
      </c>
      <c r="D90" s="2" t="s">
        <v>93</v>
      </c>
      <c r="E90" s="2" t="s">
        <v>256</v>
      </c>
      <c r="F90" s="3" t="n">
        <v>0.002273</v>
      </c>
      <c r="G90" s="3" t="n">
        <f aca="false">SUM($F$2:F90)</f>
        <v>0.277263</v>
      </c>
      <c r="H90" s="4" t="n">
        <v>77.56</v>
      </c>
      <c r="I90" s="5" t="n">
        <v>20.2507</v>
      </c>
      <c r="J90" s="4" t="n">
        <v>3.83</v>
      </c>
      <c r="K90" s="5" t="n">
        <v>10.5708</v>
      </c>
      <c r="L90" s="6" t="n">
        <v>2.4193</v>
      </c>
      <c r="M90" s="5" t="n">
        <f aca="false">IF(AND(N(K90)&gt;0,N(L90)&gt;0),K90/L90,"")</f>
        <v>4.36936303889555</v>
      </c>
      <c r="N90" s="2"/>
    </row>
    <row r="91" customFormat="false" ht="15" hidden="false" customHeight="false" outlineLevel="0" collapsed="false">
      <c r="A91" s="2" t="n">
        <v>90</v>
      </c>
      <c r="B91" s="2" t="s">
        <v>257</v>
      </c>
      <c r="C91" s="2" t="s">
        <v>258</v>
      </c>
      <c r="D91" s="2" t="s">
        <v>22</v>
      </c>
      <c r="E91" s="2" t="s">
        <v>259</v>
      </c>
      <c r="F91" s="3" t="n">
        <v>0.002263</v>
      </c>
      <c r="G91" s="3" t="n">
        <f aca="false">SUM($F$2:F91)</f>
        <v>0.279526</v>
      </c>
      <c r="H91" s="4" t="n">
        <v>317.85</v>
      </c>
      <c r="I91" s="5" t="n">
        <v>18.0494</v>
      </c>
      <c r="J91" s="4" t="n">
        <v>17.61</v>
      </c>
      <c r="K91" s="5" t="n">
        <v>12.6231</v>
      </c>
      <c r="L91" s="6" t="n">
        <v>2.4766</v>
      </c>
      <c r="M91" s="5" t="n">
        <f aca="false">IF(AND(N(K91)&gt;0,N(L91)&gt;0),K91/L91,"")</f>
        <v>5.09694742792538</v>
      </c>
      <c r="N91" s="2"/>
    </row>
    <row r="92" customFormat="false" ht="15" hidden="false" customHeight="false" outlineLevel="0" collapsed="false">
      <c r="A92" s="2" t="n">
        <v>91</v>
      </c>
      <c r="B92" s="2" t="s">
        <v>260</v>
      </c>
      <c r="C92" s="2" t="s">
        <v>261</v>
      </c>
      <c r="D92" s="2" t="s">
        <v>16</v>
      </c>
      <c r="E92" s="2" t="s">
        <v>106</v>
      </c>
      <c r="F92" s="3" t="n">
        <v>0.002242</v>
      </c>
      <c r="G92" s="3" t="n">
        <f aca="false">SUM($F$2:F92)</f>
        <v>0.281768</v>
      </c>
      <c r="H92" s="4" t="n">
        <v>96.96</v>
      </c>
      <c r="I92" s="5" t="n">
        <v>44.4771</v>
      </c>
      <c r="J92" s="4" t="n">
        <v>2.18</v>
      </c>
      <c r="K92" s="5" t="n">
        <v>10.5164</v>
      </c>
      <c r="L92" s="6" t="n">
        <v>13.9045</v>
      </c>
      <c r="M92" s="5" t="n">
        <f aca="false">IF(AND(N(K92)&gt;0,N(L92)&gt;0),K92/L92,"")</f>
        <v>0.756330684310835</v>
      </c>
      <c r="N92" s="2"/>
    </row>
    <row r="93" customFormat="false" ht="15" hidden="false" customHeight="false" outlineLevel="0" collapsed="false">
      <c r="A93" s="2" t="n">
        <v>92</v>
      </c>
      <c r="B93" s="2" t="s">
        <v>262</v>
      </c>
      <c r="C93" s="2" t="s">
        <v>263</v>
      </c>
      <c r="D93" s="2" t="s">
        <v>16</v>
      </c>
      <c r="E93" s="2" t="s">
        <v>106</v>
      </c>
      <c r="F93" s="3" t="n">
        <v>0.002236</v>
      </c>
      <c r="G93" s="3" t="n">
        <f aca="false">SUM($F$2:F93)</f>
        <v>0.284004</v>
      </c>
      <c r="H93" s="4" t="n">
        <v>117.21</v>
      </c>
      <c r="I93" s="5" t="n">
        <v>27.1949</v>
      </c>
      <c r="J93" s="4" t="n">
        <v>4.31</v>
      </c>
      <c r="K93" s="5" t="n">
        <v>10.3405</v>
      </c>
      <c r="L93" s="6" t="n">
        <v>2.8373</v>
      </c>
      <c r="M93" s="5" t="n">
        <f aca="false">IF(AND(N(K93)&gt;0,N(L93)&gt;0),K93/L93,"")</f>
        <v>3.64448595495718</v>
      </c>
      <c r="N93" s="2"/>
    </row>
    <row r="94" customFormat="false" ht="15" hidden="false" customHeight="false" outlineLevel="0" collapsed="false">
      <c r="A94" s="2" t="n">
        <v>93</v>
      </c>
      <c r="B94" s="2" t="s">
        <v>264</v>
      </c>
      <c r="C94" s="2" t="s">
        <v>265</v>
      </c>
      <c r="D94" s="2" t="s">
        <v>86</v>
      </c>
      <c r="E94" s="2" t="s">
        <v>266</v>
      </c>
      <c r="F94" s="3" t="n">
        <v>0.002231</v>
      </c>
      <c r="G94" s="3" t="n">
        <f aca="false">SUM($F$2:F94)</f>
        <v>0.286235</v>
      </c>
      <c r="H94" s="4" t="n">
        <v>46.83</v>
      </c>
      <c r="I94" s="5" t="n">
        <v>16.6655</v>
      </c>
      <c r="J94" s="4" t="n">
        <v>2.81</v>
      </c>
      <c r="K94" s="5" t="n">
        <v>14.9527</v>
      </c>
      <c r="L94" s="6" t="n">
        <v>11.8544</v>
      </c>
      <c r="M94" s="5" t="n">
        <f aca="false">IF(AND(N(K94)&gt;0,N(L94)&gt;0),K94/L94,"")</f>
        <v>1.26136286948306</v>
      </c>
      <c r="N94" s="2"/>
    </row>
    <row r="95" customFormat="false" ht="15" hidden="false" customHeight="false" outlineLevel="0" collapsed="false">
      <c r="A95" s="2" t="n">
        <v>94</v>
      </c>
      <c r="B95" s="2" t="s">
        <v>267</v>
      </c>
      <c r="C95" s="2" t="s">
        <v>268</v>
      </c>
      <c r="D95" s="2" t="s">
        <v>93</v>
      </c>
      <c r="E95" s="2" t="s">
        <v>269</v>
      </c>
      <c r="F95" s="3" t="n">
        <v>0.002211</v>
      </c>
      <c r="G95" s="3" t="n">
        <f aca="false">SUM($F$2:F95)</f>
        <v>0.288446</v>
      </c>
      <c r="H95" s="4" t="n">
        <v>63.32</v>
      </c>
      <c r="I95" s="5" t="n">
        <v>31.1921</v>
      </c>
      <c r="J95" s="4" t="n">
        <v>2.03</v>
      </c>
      <c r="K95" s="5" t="n">
        <v>12.8962</v>
      </c>
      <c r="L95" s="6" t="n">
        <v>0.8991</v>
      </c>
      <c r="M95" s="5" t="n">
        <f aca="false">IF(AND(N(K95)&gt;0,N(L95)&gt;0),K95/L95,"")</f>
        <v>14.3434545656768</v>
      </c>
      <c r="N95" s="2"/>
    </row>
    <row r="96" customFormat="false" ht="15" hidden="false" customHeight="false" outlineLevel="0" collapsed="false">
      <c r="A96" s="2" t="n">
        <v>95</v>
      </c>
      <c r="B96" s="2" t="s">
        <v>270</v>
      </c>
      <c r="C96" s="2" t="s">
        <v>271</v>
      </c>
      <c r="D96" s="2" t="s">
        <v>16</v>
      </c>
      <c r="E96" s="2" t="s">
        <v>160</v>
      </c>
      <c r="F96" s="3" t="n">
        <v>0.002199</v>
      </c>
      <c r="G96" s="3" t="n">
        <f aca="false">SUM($F$2:F96)</f>
        <v>0.290645</v>
      </c>
      <c r="H96" s="4" t="n">
        <v>209.47</v>
      </c>
      <c r="I96" s="5" t="n">
        <v>37.4054</v>
      </c>
      <c r="J96" s="4" t="n">
        <v>5.6</v>
      </c>
      <c r="K96" s="5" t="n">
        <v>11.227</v>
      </c>
      <c r="L96" s="6" t="n">
        <v>0.8796</v>
      </c>
      <c r="M96" s="5" t="n">
        <f aca="false">IF(AND(N(K96)&gt;0,N(L96)&gt;0),K96/L96,"")</f>
        <v>12.7637562528422</v>
      </c>
      <c r="N96" s="2"/>
    </row>
    <row r="97" customFormat="false" ht="15" hidden="false" customHeight="false" outlineLevel="0" collapsed="false">
      <c r="A97" s="2" t="n">
        <v>96</v>
      </c>
      <c r="B97" s="2" t="s">
        <v>272</v>
      </c>
      <c r="C97" s="2" t="s">
        <v>273</v>
      </c>
      <c r="D97" s="2" t="s">
        <v>33</v>
      </c>
      <c r="E97" s="2" t="s">
        <v>34</v>
      </c>
      <c r="F97" s="3" t="n">
        <v>0.002195</v>
      </c>
      <c r="G97" s="3" t="n">
        <f aca="false">SUM($F$2:F97)</f>
        <v>0.29284</v>
      </c>
      <c r="H97" s="4" t="n">
        <v>22.43</v>
      </c>
      <c r="I97" s="5"/>
      <c r="J97" s="4" t="n">
        <v>-0.41</v>
      </c>
      <c r="K97" s="5" t="n">
        <v>11.2027</v>
      </c>
      <c r="L97" s="6" t="n">
        <v>2.2316</v>
      </c>
      <c r="M97" s="5" t="n">
        <f aca="false">IF(AND(N(K97)&gt;0,N(L97)&gt;0),K97/L97,"")</f>
        <v>5.02003047141065</v>
      </c>
      <c r="N97" s="2" t="s">
        <v>50</v>
      </c>
    </row>
    <row r="98" customFormat="false" ht="15" hidden="false" customHeight="false" outlineLevel="0" collapsed="false">
      <c r="A98" s="2" t="n">
        <v>97</v>
      </c>
      <c r="B98" s="2" t="s">
        <v>274</v>
      </c>
      <c r="C98" s="2" t="s">
        <v>275</v>
      </c>
      <c r="D98" s="2" t="s">
        <v>79</v>
      </c>
      <c r="E98" s="2" t="s">
        <v>276</v>
      </c>
      <c r="F98" s="3" t="n">
        <v>0.002184</v>
      </c>
      <c r="G98" s="3" t="n">
        <f aca="false">SUM($F$2:F98)</f>
        <v>0.295024</v>
      </c>
      <c r="H98" s="4" t="n">
        <v>42.46</v>
      </c>
      <c r="I98" s="5" t="n">
        <v>14.7944</v>
      </c>
      <c r="J98" s="4" t="n">
        <v>2.87</v>
      </c>
      <c r="K98" s="5" t="n">
        <v>11.3875</v>
      </c>
      <c r="L98" s="6" t="n">
        <v>0.7419</v>
      </c>
      <c r="M98" s="5" t="n">
        <f aca="false">IF(AND(N(K98)&gt;0,N(L98)&gt;0),K98/L98,"")</f>
        <v>15.3491036527834</v>
      </c>
      <c r="N98" s="2"/>
    </row>
    <row r="99" customFormat="false" ht="15" hidden="false" customHeight="false" outlineLevel="0" collapsed="false">
      <c r="A99" s="2" t="n">
        <v>98</v>
      </c>
      <c r="B99" s="2" t="s">
        <v>277</v>
      </c>
      <c r="C99" s="2" t="s">
        <v>278</v>
      </c>
      <c r="D99" s="2" t="s">
        <v>22</v>
      </c>
      <c r="E99" s="2" t="s">
        <v>40</v>
      </c>
      <c r="F99" s="3" t="n">
        <v>0.002182</v>
      </c>
      <c r="G99" s="3" t="n">
        <f aca="false">SUM($F$2:F99)</f>
        <v>0.297206</v>
      </c>
      <c r="H99" s="4" t="n">
        <v>369.42</v>
      </c>
      <c r="I99" s="5" t="n">
        <v>31.3599</v>
      </c>
      <c r="J99" s="4" t="n">
        <v>11.78</v>
      </c>
      <c r="K99" s="5" t="n">
        <v>11.7</v>
      </c>
      <c r="L99" s="6" t="n">
        <v>2.7096</v>
      </c>
      <c r="M99" s="5" t="n">
        <f aca="false">IF(AND(N(K99)&gt;0,N(L99)&gt;0),K99/L99,"")</f>
        <v>4.31798051372896</v>
      </c>
      <c r="N99" s="2"/>
    </row>
    <row r="100" customFormat="false" ht="15" hidden="false" customHeight="false" outlineLevel="0" collapsed="false">
      <c r="A100" s="2" t="n">
        <v>99</v>
      </c>
      <c r="B100" s="2" t="s">
        <v>279</v>
      </c>
      <c r="C100" s="2" t="s">
        <v>280</v>
      </c>
      <c r="D100" s="2" t="s">
        <v>16</v>
      </c>
      <c r="E100" s="2" t="s">
        <v>143</v>
      </c>
      <c r="F100" s="3" t="n">
        <v>0.002173</v>
      </c>
      <c r="G100" s="3" t="n">
        <f aca="false">SUM($F$2:F100)</f>
        <v>0.299379</v>
      </c>
      <c r="H100" s="4" t="n">
        <v>61.99</v>
      </c>
      <c r="I100" s="5" t="n">
        <v>59.6058</v>
      </c>
      <c r="J100" s="4" t="n">
        <v>1.04</v>
      </c>
      <c r="K100" s="5" t="n">
        <v>10.4282</v>
      </c>
      <c r="L100" s="6" t="n">
        <v>9.5766</v>
      </c>
      <c r="M100" s="5" t="n">
        <f aca="false">IF(AND(N(K100)&gt;0,N(L100)&gt;0),K100/L100,"")</f>
        <v>1.08892508823591</v>
      </c>
      <c r="N100" s="2"/>
    </row>
    <row r="101" customFormat="false" ht="15" hidden="false" customHeight="false" outlineLevel="0" collapsed="false">
      <c r="A101" s="2" t="n">
        <v>100</v>
      </c>
      <c r="B101" s="2" t="s">
        <v>281</v>
      </c>
      <c r="C101" s="2" t="s">
        <v>282</v>
      </c>
      <c r="D101" s="2" t="s">
        <v>16</v>
      </c>
      <c r="E101" s="2" t="s">
        <v>160</v>
      </c>
      <c r="F101" s="3" t="n">
        <v>0.002171</v>
      </c>
      <c r="G101" s="3" t="n">
        <f aca="false">SUM($F$2:F101)</f>
        <v>0.30155</v>
      </c>
      <c r="H101" s="4" t="n">
        <v>409.54</v>
      </c>
      <c r="I101" s="5"/>
      <c r="J101" s="4" t="n">
        <v>-0.49</v>
      </c>
      <c r="K101" s="5" t="n">
        <v>10.4018</v>
      </c>
      <c r="L101" s="6" t="n">
        <v>3.9788</v>
      </c>
      <c r="M101" s="5" t="n">
        <f aca="false">IF(AND(N(K101)&gt;0,N(L101)&gt;0),K101/L101,"")</f>
        <v>2.61430582085051</v>
      </c>
      <c r="N101" s="2" t="s">
        <v>50</v>
      </c>
    </row>
    <row r="102" customFormat="false" ht="15" hidden="false" customHeight="false" outlineLevel="0" collapsed="false">
      <c r="A102" s="2" t="n">
        <v>101</v>
      </c>
      <c r="B102" s="2" t="s">
        <v>283</v>
      </c>
      <c r="C102" s="2" t="s">
        <v>284</v>
      </c>
      <c r="D102" s="2" t="s">
        <v>93</v>
      </c>
      <c r="E102" s="2" t="s">
        <v>285</v>
      </c>
      <c r="F102" s="3" t="n">
        <v>0.00216</v>
      </c>
      <c r="G102" s="3" t="n">
        <f aca="false">SUM($F$2:F102)</f>
        <v>0.30371</v>
      </c>
      <c r="H102" s="4" t="n">
        <v>165.54</v>
      </c>
      <c r="I102" s="5" t="n">
        <v>26.4441</v>
      </c>
      <c r="J102" s="4" t="n">
        <v>6.26</v>
      </c>
      <c r="K102" s="5" t="n">
        <v>10.8662</v>
      </c>
      <c r="L102" s="6" t="n">
        <v>1.7437</v>
      </c>
      <c r="M102" s="5" t="n">
        <f aca="false">IF(AND(N(K102)&gt;0,N(L102)&gt;0),K102/L102,"")</f>
        <v>6.23169123128979</v>
      </c>
      <c r="N102" s="2"/>
    </row>
    <row r="103" customFormat="false" ht="15" hidden="false" customHeight="false" outlineLevel="0" collapsed="false">
      <c r="A103" s="2" t="n">
        <v>102</v>
      </c>
      <c r="B103" s="2" t="s">
        <v>286</v>
      </c>
      <c r="C103" s="2" t="s">
        <v>287</v>
      </c>
      <c r="D103" s="2" t="s">
        <v>79</v>
      </c>
      <c r="E103" s="2" t="s">
        <v>288</v>
      </c>
      <c r="F103" s="3" t="n">
        <v>0.002159</v>
      </c>
      <c r="G103" s="3" t="n">
        <f aca="false">SUM($F$2:F103)</f>
        <v>0.305869</v>
      </c>
      <c r="H103" s="4" t="n">
        <v>39.89</v>
      </c>
      <c r="I103" s="5" t="n">
        <v>9.3859</v>
      </c>
      <c r="J103" s="4" t="n">
        <v>4.25</v>
      </c>
      <c r="K103" s="5" t="n">
        <v>12.1345</v>
      </c>
      <c r="L103" s="6" t="n">
        <v>1.5364</v>
      </c>
      <c r="M103" s="5" t="n">
        <f aca="false">IF(AND(N(K103)&gt;0,N(L103)&gt;0),K103/L103,"")</f>
        <v>7.89800833116376</v>
      </c>
      <c r="N103" s="2"/>
    </row>
    <row r="104" customFormat="false" ht="15" hidden="false" customHeight="false" outlineLevel="0" collapsed="false">
      <c r="A104" s="2" t="n">
        <v>103</v>
      </c>
      <c r="B104" s="2" t="s">
        <v>289</v>
      </c>
      <c r="C104" s="2" t="s">
        <v>290</v>
      </c>
      <c r="D104" s="2" t="s">
        <v>86</v>
      </c>
      <c r="E104" s="2" t="s">
        <v>203</v>
      </c>
      <c r="F104" s="3" t="n">
        <v>0.002157</v>
      </c>
      <c r="G104" s="3" t="n">
        <f aca="false">SUM($F$2:F104)</f>
        <v>0.308026</v>
      </c>
      <c r="H104" s="4" t="n">
        <v>60.44</v>
      </c>
      <c r="I104" s="5" t="n">
        <v>29.1981</v>
      </c>
      <c r="J104" s="4" t="n">
        <v>2.07</v>
      </c>
      <c r="K104" s="5" t="n">
        <v>12.1189</v>
      </c>
      <c r="L104" s="6" t="n">
        <v>7.7285</v>
      </c>
      <c r="M104" s="5" t="n">
        <f aca="false">IF(AND(N(K104)&gt;0,N(L104)&gt;0),K104/L104,"")</f>
        <v>1.56807918742317</v>
      </c>
      <c r="N104" s="2"/>
    </row>
    <row r="105" customFormat="false" ht="15" hidden="false" customHeight="false" outlineLevel="0" collapsed="false">
      <c r="A105" s="2" t="n">
        <v>104</v>
      </c>
      <c r="B105" s="2" t="s">
        <v>291</v>
      </c>
      <c r="C105" s="2" t="s">
        <v>292</v>
      </c>
      <c r="D105" s="2" t="s">
        <v>22</v>
      </c>
      <c r="E105" s="2" t="s">
        <v>259</v>
      </c>
      <c r="F105" s="3" t="n">
        <v>0.002152</v>
      </c>
      <c r="G105" s="3" t="n">
        <f aca="false">SUM($F$2:F105)</f>
        <v>0.310178</v>
      </c>
      <c r="H105" s="4" t="n">
        <v>121.59</v>
      </c>
      <c r="I105" s="5"/>
      <c r="J105" s="4" t="n">
        <v>-4.82</v>
      </c>
      <c r="K105" s="5" t="n">
        <v>9.6115</v>
      </c>
      <c r="L105" s="6" t="n">
        <v>0.9761</v>
      </c>
      <c r="M105" s="5" t="n">
        <f aca="false">IF(AND(N(K105)&gt;0,N(L105)&gt;0),K105/L105,"")</f>
        <v>9.84683946316976</v>
      </c>
      <c r="N105" s="2" t="s">
        <v>50</v>
      </c>
    </row>
    <row r="106" customFormat="false" ht="15" hidden="false" customHeight="false" outlineLevel="0" collapsed="false">
      <c r="A106" s="2" t="n">
        <v>105</v>
      </c>
      <c r="B106" s="2" t="s">
        <v>293</v>
      </c>
      <c r="C106" s="2" t="s">
        <v>294</v>
      </c>
      <c r="D106" s="2" t="s">
        <v>22</v>
      </c>
      <c r="E106" s="2" t="s">
        <v>83</v>
      </c>
      <c r="F106" s="3" t="n">
        <v>0.002145</v>
      </c>
      <c r="G106" s="3" t="n">
        <f aca="false">SUM($F$2:F106)</f>
        <v>0.312323</v>
      </c>
      <c r="H106" s="4" t="n">
        <v>86.07</v>
      </c>
      <c r="I106" s="5" t="n">
        <v>22.3558</v>
      </c>
      <c r="J106" s="4" t="n">
        <v>3.85</v>
      </c>
      <c r="K106" s="5"/>
      <c r="L106" s="6"/>
      <c r="M106" s="5" t="str">
        <f aca="false">IF(AND(N(K106)&gt;0,N(L106)&gt;0),K106/L106,"")</f>
        <v/>
      </c>
      <c r="N106" s="2"/>
    </row>
    <row r="107" customFormat="false" ht="15" hidden="false" customHeight="false" outlineLevel="0" collapsed="false">
      <c r="A107" s="2" t="n">
        <v>106</v>
      </c>
      <c r="B107" s="2" t="s">
        <v>295</v>
      </c>
      <c r="C107" s="2" t="s">
        <v>296</v>
      </c>
      <c r="D107" s="2" t="s">
        <v>79</v>
      </c>
      <c r="E107" s="2" t="s">
        <v>297</v>
      </c>
      <c r="F107" s="3" t="n">
        <v>0.002142</v>
      </c>
      <c r="G107" s="3" t="n">
        <f aca="false">SUM($F$2:F107)</f>
        <v>0.314465</v>
      </c>
      <c r="H107" s="4" t="n">
        <v>100.53</v>
      </c>
      <c r="I107" s="5" t="n">
        <v>16.9528</v>
      </c>
      <c r="J107" s="4" t="n">
        <v>5.93</v>
      </c>
      <c r="K107" s="5" t="n">
        <v>9.1077</v>
      </c>
      <c r="L107" s="6" t="n">
        <v>1.1153</v>
      </c>
      <c r="M107" s="5" t="n">
        <f aca="false">IF(AND(N(K107)&gt;0,N(L107)&gt;0),K107/L107,"")</f>
        <v>8.16614363848292</v>
      </c>
      <c r="N107" s="2"/>
    </row>
    <row r="108" customFormat="false" ht="15" hidden="false" customHeight="false" outlineLevel="0" collapsed="false">
      <c r="A108" s="2" t="n">
        <v>107</v>
      </c>
      <c r="B108" s="2" t="s">
        <v>298</v>
      </c>
      <c r="C108" s="2" t="s">
        <v>299</v>
      </c>
      <c r="D108" s="2" t="s">
        <v>16</v>
      </c>
      <c r="E108" s="2" t="s">
        <v>148</v>
      </c>
      <c r="F108" s="3" t="n">
        <v>0.00213</v>
      </c>
      <c r="G108" s="3" t="n">
        <f aca="false">SUM($F$2:F108)</f>
        <v>0.316595</v>
      </c>
      <c r="H108" s="4" t="n">
        <v>226.24</v>
      </c>
      <c r="I108" s="5" t="n">
        <v>23.9154</v>
      </c>
      <c r="J108" s="4" t="n">
        <v>9.46</v>
      </c>
      <c r="K108" s="5" t="n">
        <v>10.197</v>
      </c>
      <c r="L108" s="6" t="n">
        <v>4.7634</v>
      </c>
      <c r="M108" s="5" t="n">
        <f aca="false">IF(AND(N(K108)&gt;0,N(L108)&gt;0),K108/L108,"")</f>
        <v>2.14069782088424</v>
      </c>
      <c r="N108" s="2"/>
    </row>
    <row r="109" customFormat="false" ht="15" hidden="false" customHeight="false" outlineLevel="0" collapsed="false">
      <c r="A109" s="2" t="n">
        <v>108</v>
      </c>
      <c r="B109" s="2" t="s">
        <v>300</v>
      </c>
      <c r="C109" s="2" t="s">
        <v>301</v>
      </c>
      <c r="D109" s="2" t="s">
        <v>22</v>
      </c>
      <c r="E109" s="2" t="s">
        <v>302</v>
      </c>
      <c r="F109" s="3" t="n">
        <v>0.00212</v>
      </c>
      <c r="G109" s="3" t="n">
        <f aca="false">SUM($F$2:F109)</f>
        <v>0.318715</v>
      </c>
      <c r="H109" s="4" t="n">
        <v>13.48</v>
      </c>
      <c r="I109" s="5" t="n">
        <v>53.92</v>
      </c>
      <c r="J109" s="4" t="n">
        <v>0.25</v>
      </c>
      <c r="K109" s="5" t="n">
        <v>21.678</v>
      </c>
      <c r="L109" s="6" t="n">
        <v>1.1921</v>
      </c>
      <c r="M109" s="5" t="n">
        <f aca="false">IF(AND(N(K109)&gt;0,N(L109)&gt;0),K109/L109,"")</f>
        <v>18.1847160473115</v>
      </c>
      <c r="N109" s="2"/>
    </row>
    <row r="110" customFormat="false" ht="15" hidden="false" customHeight="false" outlineLevel="0" collapsed="false">
      <c r="A110" s="2" t="n">
        <v>109</v>
      </c>
      <c r="B110" s="2" t="s">
        <v>303</v>
      </c>
      <c r="C110" s="2" t="s">
        <v>304</v>
      </c>
      <c r="D110" s="2" t="s">
        <v>22</v>
      </c>
      <c r="E110" s="2" t="s">
        <v>305</v>
      </c>
      <c r="F110" s="3" t="n">
        <v>0.002106</v>
      </c>
      <c r="G110" s="3" t="n">
        <f aca="false">SUM($F$2:F110)</f>
        <v>0.320821</v>
      </c>
      <c r="H110" s="4" t="n">
        <v>237.14</v>
      </c>
      <c r="I110" s="5" t="n">
        <v>19.264</v>
      </c>
      <c r="J110" s="4" t="n">
        <v>12.31</v>
      </c>
      <c r="K110" s="5" t="n">
        <v>9.0936</v>
      </c>
      <c r="L110" s="6" t="n">
        <v>0.7094</v>
      </c>
      <c r="M110" s="5" t="n">
        <f aca="false">IF(AND(N(K110)&gt;0,N(L110)&gt;0),K110/L110,"")</f>
        <v>12.8187200451085</v>
      </c>
      <c r="N110" s="2"/>
    </row>
    <row r="111" customFormat="false" ht="15" hidden="false" customHeight="false" outlineLevel="0" collapsed="false">
      <c r="A111" s="2" t="n">
        <v>110</v>
      </c>
      <c r="B111" s="2" t="s">
        <v>306</v>
      </c>
      <c r="C111" s="2" t="s">
        <v>307</v>
      </c>
      <c r="D111" s="2" t="s">
        <v>86</v>
      </c>
      <c r="E111" s="2" t="s">
        <v>253</v>
      </c>
      <c r="F111" s="3" t="n">
        <v>0.002098</v>
      </c>
      <c r="G111" s="3" t="n">
        <f aca="false">SUM($F$2:F111)</f>
        <v>0.322919</v>
      </c>
      <c r="H111" s="4" t="n">
        <v>21.31</v>
      </c>
      <c r="I111" s="5" t="n">
        <v>5.1473</v>
      </c>
      <c r="J111" s="4" t="n">
        <v>4.14</v>
      </c>
      <c r="K111" s="5" t="n">
        <v>16.0617</v>
      </c>
      <c r="L111" s="6" t="n">
        <v>4.9351</v>
      </c>
      <c r="M111" s="5" t="n">
        <f aca="false">IF(AND(N(K111)&gt;0,N(L111)&gt;0),K111/L111,"")</f>
        <v>3.25458450689956</v>
      </c>
      <c r="N111" s="2"/>
    </row>
    <row r="112" customFormat="false" ht="15" hidden="false" customHeight="false" outlineLevel="0" collapsed="false">
      <c r="A112" s="2" t="n">
        <v>111</v>
      </c>
      <c r="B112" s="2" t="s">
        <v>308</v>
      </c>
      <c r="C112" s="2" t="s">
        <v>309</v>
      </c>
      <c r="D112" s="2" t="s">
        <v>86</v>
      </c>
      <c r="E112" s="2" t="s">
        <v>194</v>
      </c>
      <c r="F112" s="3" t="n">
        <v>0.002097</v>
      </c>
      <c r="G112" s="3" t="n">
        <f aca="false">SUM($F$2:F112)</f>
        <v>0.325016</v>
      </c>
      <c r="H112" s="4" t="n">
        <v>39.67</v>
      </c>
      <c r="I112" s="5" t="n">
        <v>11.5994</v>
      </c>
      <c r="J112" s="4" t="n">
        <v>3.42</v>
      </c>
      <c r="K112" s="5" t="n">
        <v>11.8812</v>
      </c>
      <c r="L112" s="6" t="n">
        <v>7.1784</v>
      </c>
      <c r="M112" s="5" t="n">
        <f aca="false">IF(AND(N(K112)&gt;0,N(L112)&gt;0),K112/L112,"")</f>
        <v>1.65513206285523</v>
      </c>
      <c r="N112" s="2"/>
    </row>
    <row r="113" customFormat="false" ht="15" hidden="false" customHeight="false" outlineLevel="0" collapsed="false">
      <c r="A113" s="2" t="n">
        <v>112</v>
      </c>
      <c r="B113" s="2" t="s">
        <v>310</v>
      </c>
      <c r="C113" s="2" t="s">
        <v>311</v>
      </c>
      <c r="D113" s="2" t="s">
        <v>66</v>
      </c>
      <c r="E113" s="2" t="s">
        <v>312</v>
      </c>
      <c r="F113" s="3" t="n">
        <v>0.002091</v>
      </c>
      <c r="G113" s="3" t="n">
        <f aca="false">SUM($F$2:F113)</f>
        <v>0.327107</v>
      </c>
      <c r="H113" s="4" t="n">
        <v>70.53</v>
      </c>
      <c r="I113" s="5" t="n">
        <v>29.3875</v>
      </c>
      <c r="J113" s="4" t="n">
        <v>2.4</v>
      </c>
      <c r="K113" s="5" t="n">
        <v>11.3753</v>
      </c>
      <c r="L113" s="6" t="n">
        <v>3.8551</v>
      </c>
      <c r="M113" s="5" t="n">
        <f aca="false">IF(AND(N(K113)&gt;0,N(L113)&gt;0),K113/L113,"")</f>
        <v>2.95071463775259</v>
      </c>
      <c r="N113" s="2"/>
    </row>
    <row r="114" customFormat="false" ht="15" hidden="false" customHeight="false" outlineLevel="0" collapsed="false">
      <c r="A114" s="2" t="n">
        <v>113</v>
      </c>
      <c r="B114" s="2" t="s">
        <v>313</v>
      </c>
      <c r="C114" s="2" t="s">
        <v>314</v>
      </c>
      <c r="D114" s="2" t="s">
        <v>16</v>
      </c>
      <c r="E114" s="2" t="s">
        <v>315</v>
      </c>
      <c r="F114" s="3" t="n">
        <v>0.002084</v>
      </c>
      <c r="G114" s="3" t="n">
        <f aca="false">SUM($F$2:F114)</f>
        <v>0.329191</v>
      </c>
      <c r="H114" s="4" t="n">
        <v>83.15</v>
      </c>
      <c r="I114" s="5" t="n">
        <v>21.4858</v>
      </c>
      <c r="J114" s="4" t="n">
        <v>3.87</v>
      </c>
      <c r="K114" s="5" t="n">
        <v>12.775</v>
      </c>
      <c r="L114" s="6" t="n">
        <v>3.519</v>
      </c>
      <c r="M114" s="5" t="n">
        <f aca="false">IF(AND(N(K114)&gt;0,N(L114)&gt;0),K114/L114,"")</f>
        <v>3.63029269678886</v>
      </c>
      <c r="N114" s="2"/>
    </row>
    <row r="115" customFormat="false" ht="15" hidden="false" customHeight="false" outlineLevel="0" collapsed="false">
      <c r="A115" s="2" t="n">
        <v>114</v>
      </c>
      <c r="B115" s="2" t="s">
        <v>316</v>
      </c>
      <c r="C115" s="2" t="s">
        <v>317</v>
      </c>
      <c r="D115" s="2" t="s">
        <v>79</v>
      </c>
      <c r="E115" s="2" t="s">
        <v>227</v>
      </c>
      <c r="F115" s="3" t="n">
        <v>0.00208</v>
      </c>
      <c r="G115" s="3" t="n">
        <f aca="false">SUM($F$2:F115)</f>
        <v>0.331271</v>
      </c>
      <c r="H115" s="4" t="n">
        <v>105.38</v>
      </c>
      <c r="I115" s="5" t="n">
        <v>18.5855</v>
      </c>
      <c r="J115" s="4" t="n">
        <v>5.67</v>
      </c>
      <c r="K115" s="5" t="n">
        <v>12.6476</v>
      </c>
      <c r="L115" s="6" t="n">
        <v>5.1618</v>
      </c>
      <c r="M115" s="5" t="n">
        <f aca="false">IF(AND(N(K115)&gt;0,N(L115)&gt;0),K115/L115,"")</f>
        <v>2.4502305397342</v>
      </c>
      <c r="N115" s="2"/>
    </row>
    <row r="116" customFormat="false" ht="15" hidden="false" customHeight="false" outlineLevel="0" collapsed="false">
      <c r="A116" s="2" t="n">
        <v>115</v>
      </c>
      <c r="B116" s="2" t="s">
        <v>318</v>
      </c>
      <c r="C116" s="2" t="s">
        <v>319</v>
      </c>
      <c r="D116" s="2" t="s">
        <v>16</v>
      </c>
      <c r="E116" s="2" t="s">
        <v>148</v>
      </c>
      <c r="F116" s="3" t="n">
        <v>0.002057</v>
      </c>
      <c r="G116" s="3" t="n">
        <f aca="false">SUM($F$2:F116)</f>
        <v>0.333328</v>
      </c>
      <c r="H116" s="4" t="n">
        <v>213.86</v>
      </c>
      <c r="I116" s="5" t="n">
        <v>76.3786</v>
      </c>
      <c r="J116" s="4" t="n">
        <v>2.8</v>
      </c>
      <c r="K116" s="5" t="n">
        <v>10.9476</v>
      </c>
      <c r="L116" s="6" t="n">
        <v>3.1742</v>
      </c>
      <c r="M116" s="5" t="n">
        <f aca="false">IF(AND(N(K116)&gt;0,N(L116)&gt;0),K116/L116,"")</f>
        <v>3.44893201436582</v>
      </c>
      <c r="N116" s="2"/>
    </row>
    <row r="117" customFormat="false" ht="15" hidden="false" customHeight="false" outlineLevel="0" collapsed="false">
      <c r="A117" s="2" t="n">
        <v>116</v>
      </c>
      <c r="B117" s="2" t="s">
        <v>320</v>
      </c>
      <c r="C117" s="2" t="s">
        <v>321</v>
      </c>
      <c r="D117" s="2" t="s">
        <v>22</v>
      </c>
      <c r="E117" s="2" t="s">
        <v>83</v>
      </c>
      <c r="F117" s="3" t="n">
        <v>0.002057</v>
      </c>
      <c r="G117" s="3" t="n">
        <f aca="false">SUM($F$2:F117)</f>
        <v>0.335385</v>
      </c>
      <c r="H117" s="4" t="n">
        <v>150.73</v>
      </c>
      <c r="I117" s="5" t="n">
        <v>31.0144</v>
      </c>
      <c r="J117" s="4" t="n">
        <v>4.86</v>
      </c>
      <c r="K117" s="5" t="n">
        <v>10.034</v>
      </c>
      <c r="L117" s="6" t="n">
        <v>1.6564</v>
      </c>
      <c r="M117" s="5" t="n">
        <f aca="false">IF(AND(N(K117)&gt;0,N(L117)&gt;0),K117/L117,"")</f>
        <v>6.05771552765033</v>
      </c>
      <c r="N117" s="2"/>
    </row>
    <row r="118" customFormat="false" ht="15" hidden="false" customHeight="false" outlineLevel="0" collapsed="false">
      <c r="A118" s="2" t="n">
        <v>117</v>
      </c>
      <c r="B118" s="2" t="s">
        <v>322</v>
      </c>
      <c r="C118" s="2" t="s">
        <v>323</v>
      </c>
      <c r="D118" s="2" t="s">
        <v>79</v>
      </c>
      <c r="E118" s="2" t="s">
        <v>80</v>
      </c>
      <c r="F118" s="3" t="n">
        <v>0.002056</v>
      </c>
      <c r="G118" s="3" t="n">
        <f aca="false">SUM($F$2:F118)</f>
        <v>0.337441</v>
      </c>
      <c r="H118" s="4" t="n">
        <v>64.98</v>
      </c>
      <c r="I118" s="5" t="n">
        <v>8.2777</v>
      </c>
      <c r="J118" s="4" t="n">
        <v>7.85</v>
      </c>
      <c r="K118" s="5" t="n">
        <v>9.484</v>
      </c>
      <c r="L118" s="6" t="n">
        <v>2.5723</v>
      </c>
      <c r="M118" s="5" t="n">
        <f aca="false">IF(AND(N(K118)&gt;0,N(L118)&gt;0),K118/L118,"")</f>
        <v>3.68697274812425</v>
      </c>
      <c r="N118" s="2"/>
    </row>
    <row r="119" customFormat="false" ht="15" hidden="false" customHeight="false" outlineLevel="0" collapsed="false">
      <c r="A119" s="2" t="n">
        <v>118</v>
      </c>
      <c r="B119" s="2" t="s">
        <v>324</v>
      </c>
      <c r="C119" s="2" t="s">
        <v>325</v>
      </c>
      <c r="D119" s="2" t="s">
        <v>58</v>
      </c>
      <c r="E119" s="2" t="s">
        <v>326</v>
      </c>
      <c r="F119" s="3" t="n">
        <v>0.002055</v>
      </c>
      <c r="G119" s="3" t="n">
        <f aca="false">SUM($F$2:F119)</f>
        <v>0.339496</v>
      </c>
      <c r="H119" s="4" t="n">
        <v>63.26</v>
      </c>
      <c r="I119" s="5" t="n">
        <v>17.0054</v>
      </c>
      <c r="J119" s="4" t="n">
        <v>3.72</v>
      </c>
      <c r="K119" s="5" t="n">
        <v>9.9826</v>
      </c>
      <c r="L119" s="6" t="n">
        <v>1.5244</v>
      </c>
      <c r="M119" s="5" t="n">
        <f aca="false">IF(AND(N(K119)&gt;0,N(L119)&gt;0),K119/L119,"")</f>
        <v>6.54854368932039</v>
      </c>
      <c r="N119" s="2"/>
    </row>
    <row r="120" customFormat="false" ht="15" hidden="false" customHeight="false" outlineLevel="0" collapsed="false">
      <c r="A120" s="2" t="n">
        <v>119</v>
      </c>
      <c r="B120" s="2" t="s">
        <v>327</v>
      </c>
      <c r="C120" s="2" t="s">
        <v>328</v>
      </c>
      <c r="D120" s="2" t="s">
        <v>33</v>
      </c>
      <c r="E120" s="2" t="s">
        <v>329</v>
      </c>
      <c r="F120" s="3" t="n">
        <v>0.002042</v>
      </c>
      <c r="G120" s="3" t="n">
        <f aca="false">SUM($F$2:F120)</f>
        <v>0.341538</v>
      </c>
      <c r="H120" s="4" t="n">
        <v>15.1</v>
      </c>
      <c r="I120" s="5"/>
      <c r="J120" s="4" t="n">
        <v>-0.85</v>
      </c>
      <c r="K120" s="5" t="n">
        <v>10.213</v>
      </c>
      <c r="L120" s="6" t="n">
        <v>1.5566</v>
      </c>
      <c r="M120" s="5" t="n">
        <f aca="false">IF(AND(N(K120)&gt;0,N(L120)&gt;0),K120/L120,"")</f>
        <v>6.56109469356289</v>
      </c>
      <c r="N120" s="2" t="s">
        <v>50</v>
      </c>
    </row>
    <row r="121" customFormat="false" ht="15" hidden="false" customHeight="false" outlineLevel="0" collapsed="false">
      <c r="A121" s="2" t="n">
        <v>120</v>
      </c>
      <c r="B121" s="2" t="s">
        <v>330</v>
      </c>
      <c r="C121" s="2" t="s">
        <v>331</v>
      </c>
      <c r="D121" s="2" t="s">
        <v>22</v>
      </c>
      <c r="E121" s="2" t="s">
        <v>97</v>
      </c>
      <c r="F121" s="3" t="n">
        <v>0.00203</v>
      </c>
      <c r="G121" s="3" t="n">
        <f aca="false">SUM($F$2:F121)</f>
        <v>0.343568</v>
      </c>
      <c r="H121" s="4" t="n">
        <v>317.69</v>
      </c>
      <c r="I121" s="5" t="n">
        <v>27.2461</v>
      </c>
      <c r="J121" s="4" t="n">
        <v>11.66</v>
      </c>
      <c r="K121" s="5" t="n">
        <v>13.1054</v>
      </c>
      <c r="L121" s="6" t="n">
        <v>1.7993</v>
      </c>
      <c r="M121" s="5" t="n">
        <f aca="false">IF(AND(N(K121)&gt;0,N(L121)&gt;0),K121/L121,"")</f>
        <v>7.28361029289168</v>
      </c>
      <c r="N121" s="2"/>
    </row>
    <row r="122" customFormat="false" ht="15" hidden="false" customHeight="false" outlineLevel="0" collapsed="false">
      <c r="A122" s="2" t="n">
        <v>121</v>
      </c>
      <c r="B122" s="2" t="s">
        <v>332</v>
      </c>
      <c r="C122" s="2" t="s">
        <v>333</v>
      </c>
      <c r="D122" s="2" t="s">
        <v>66</v>
      </c>
      <c r="E122" s="2" t="s">
        <v>235</v>
      </c>
      <c r="F122" s="3" t="n">
        <v>0.00203</v>
      </c>
      <c r="G122" s="3" t="n">
        <f aca="false">SUM($F$2:F122)</f>
        <v>0.345598</v>
      </c>
      <c r="H122" s="4" t="n">
        <v>19.36</v>
      </c>
      <c r="I122" s="5" t="n">
        <v>56.9412</v>
      </c>
      <c r="J122" s="4" t="n">
        <v>0.34</v>
      </c>
      <c r="K122" s="5" t="n">
        <v>10.9638</v>
      </c>
      <c r="L122" s="6" t="n">
        <v>2.4066</v>
      </c>
      <c r="M122" s="5" t="n">
        <f aca="false">IF(AND(N(K122)&gt;0,N(L122)&gt;0),K122/L122,"")</f>
        <v>4.55572176514585</v>
      </c>
      <c r="N122" s="2"/>
    </row>
    <row r="123" customFormat="false" ht="15" hidden="false" customHeight="false" outlineLevel="0" collapsed="false">
      <c r="A123" s="2" t="n">
        <v>122</v>
      </c>
      <c r="B123" s="2" t="s">
        <v>334</v>
      </c>
      <c r="C123" s="2" t="s">
        <v>335</v>
      </c>
      <c r="D123" s="2" t="s">
        <v>93</v>
      </c>
      <c r="E123" s="2" t="s">
        <v>175</v>
      </c>
      <c r="F123" s="3" t="n">
        <v>0.002023</v>
      </c>
      <c r="G123" s="3" t="n">
        <f aca="false">SUM($F$2:F123)</f>
        <v>0.347621</v>
      </c>
      <c r="H123" s="4" t="n">
        <v>22.76</v>
      </c>
      <c r="I123" s="5" t="n">
        <v>14.9737</v>
      </c>
      <c r="J123" s="4" t="n">
        <v>1.52</v>
      </c>
      <c r="K123" s="5" t="n">
        <v>11.4824</v>
      </c>
      <c r="L123" s="6" t="n">
        <v>3.2338</v>
      </c>
      <c r="M123" s="5" t="n">
        <f aca="false">IF(AND(N(K123)&gt;0,N(L123)&gt;0),K123/L123,"")</f>
        <v>3.55074525326242</v>
      </c>
      <c r="N123" s="2"/>
    </row>
    <row r="124" customFormat="false" ht="15" hidden="false" customHeight="false" outlineLevel="0" collapsed="false">
      <c r="A124" s="2" t="n">
        <v>123</v>
      </c>
      <c r="B124" s="2" t="s">
        <v>336</v>
      </c>
      <c r="C124" s="2" t="s">
        <v>337</v>
      </c>
      <c r="D124" s="2" t="s">
        <v>22</v>
      </c>
      <c r="E124" s="2" t="s">
        <v>83</v>
      </c>
      <c r="F124" s="3" t="n">
        <v>0.00202</v>
      </c>
      <c r="G124" s="3" t="n">
        <f aca="false">SUM($F$2:F124)</f>
        <v>0.349641</v>
      </c>
      <c r="H124" s="4" t="n">
        <v>350.62</v>
      </c>
      <c r="I124" s="5" t="n">
        <v>30.5684</v>
      </c>
      <c r="J124" s="4" t="n">
        <v>11.47</v>
      </c>
      <c r="K124" s="5" t="n">
        <v>11.7048</v>
      </c>
      <c r="L124" s="6" t="n">
        <v>4.372</v>
      </c>
      <c r="M124" s="5" t="n">
        <f aca="false">IF(AND(N(K124)&gt;0,N(L124)&gt;0),K124/L124,"")</f>
        <v>2.6772186642269</v>
      </c>
      <c r="N124" s="2"/>
    </row>
    <row r="125" customFormat="false" ht="15" hidden="false" customHeight="false" outlineLevel="0" collapsed="false">
      <c r="A125" s="2" t="n">
        <v>124</v>
      </c>
      <c r="B125" s="2" t="s">
        <v>338</v>
      </c>
      <c r="C125" s="2" t="s">
        <v>339</v>
      </c>
      <c r="D125" s="2" t="s">
        <v>22</v>
      </c>
      <c r="E125" s="2" t="s">
        <v>83</v>
      </c>
      <c r="F125" s="3" t="n">
        <v>0.002005</v>
      </c>
      <c r="G125" s="3" t="n">
        <f aca="false">SUM($F$2:F125)</f>
        <v>0.351646</v>
      </c>
      <c r="H125" s="4" t="n">
        <v>74.67</v>
      </c>
      <c r="I125" s="5" t="n">
        <v>26.0174</v>
      </c>
      <c r="J125" s="4" t="n">
        <v>2.87</v>
      </c>
      <c r="K125" s="5" t="n">
        <v>9.4915</v>
      </c>
      <c r="L125" s="6" t="n">
        <v>2.0482</v>
      </c>
      <c r="M125" s="5" t="n">
        <f aca="false">IF(AND(N(K125)&gt;0,N(L125)&gt;0),K125/L125,"")</f>
        <v>4.63406893858022</v>
      </c>
      <c r="N125" s="2"/>
    </row>
    <row r="126" customFormat="false" ht="15" hidden="false" customHeight="false" outlineLevel="0" collapsed="false">
      <c r="A126" s="2" t="n">
        <v>125</v>
      </c>
      <c r="B126" s="2" t="s">
        <v>340</v>
      </c>
      <c r="C126" s="2" t="s">
        <v>341</v>
      </c>
      <c r="D126" s="2" t="s">
        <v>33</v>
      </c>
      <c r="E126" s="2" t="s">
        <v>342</v>
      </c>
      <c r="F126" s="3" t="n">
        <v>0.001994</v>
      </c>
      <c r="G126" s="3" t="n">
        <f aca="false">SUM($F$2:F126)</f>
        <v>0.35364</v>
      </c>
      <c r="H126" s="4" t="n">
        <v>197.8</v>
      </c>
      <c r="I126" s="5" t="n">
        <v>1236.25</v>
      </c>
      <c r="J126" s="4" t="n">
        <v>0.16</v>
      </c>
      <c r="K126" s="5" t="n">
        <v>10.3252</v>
      </c>
      <c r="L126" s="6" t="n">
        <v>0.2431</v>
      </c>
      <c r="M126" s="5" t="n">
        <f aca="false">IF(AND(N(K126)&gt;0,N(L126)&gt;0),K126/L126,"")</f>
        <v>42.4730563554093</v>
      </c>
      <c r="N126" s="2" t="s">
        <v>343</v>
      </c>
    </row>
    <row r="127" customFormat="false" ht="15" hidden="false" customHeight="false" outlineLevel="0" collapsed="false">
      <c r="A127" s="2" t="n">
        <v>126</v>
      </c>
      <c r="B127" s="2" t="s">
        <v>344</v>
      </c>
      <c r="C127" s="2" t="s">
        <v>345</v>
      </c>
      <c r="D127" s="2" t="s">
        <v>79</v>
      </c>
      <c r="E127" s="2" t="s">
        <v>80</v>
      </c>
      <c r="F127" s="3" t="n">
        <v>0.00199</v>
      </c>
      <c r="G127" s="3" t="n">
        <f aca="false">SUM($F$2:F127)</f>
        <v>0.35563</v>
      </c>
      <c r="H127" s="4" t="n">
        <v>103.11</v>
      </c>
      <c r="I127" s="5" t="n">
        <v>10.8309</v>
      </c>
      <c r="J127" s="4" t="n">
        <v>9.52</v>
      </c>
      <c r="K127" s="5" t="n">
        <v>9.999</v>
      </c>
      <c r="L127" s="6" t="n">
        <v>3.7365</v>
      </c>
      <c r="M127" s="5" t="n">
        <f aca="false">IF(AND(N(K127)&gt;0,N(L127)&gt;0),K127/L127,"")</f>
        <v>2.67603372139703</v>
      </c>
      <c r="N127" s="2"/>
    </row>
    <row r="128" customFormat="false" ht="15" hidden="false" customHeight="false" outlineLevel="0" collapsed="false">
      <c r="A128" s="2" t="n">
        <v>127</v>
      </c>
      <c r="B128" s="2" t="s">
        <v>346</v>
      </c>
      <c r="C128" s="2" t="s">
        <v>347</v>
      </c>
      <c r="D128" s="2" t="s">
        <v>79</v>
      </c>
      <c r="E128" s="2" t="s">
        <v>230</v>
      </c>
      <c r="F128" s="3" t="n">
        <v>0.001987</v>
      </c>
      <c r="G128" s="3" t="n">
        <f aca="false">SUM($F$2:F128)</f>
        <v>0.357617</v>
      </c>
      <c r="H128" s="4" t="n">
        <v>269.01</v>
      </c>
      <c r="I128" s="5" t="n">
        <v>15.1555</v>
      </c>
      <c r="J128" s="4" t="n">
        <v>17.75</v>
      </c>
      <c r="K128" s="5" t="n">
        <v>10.3455</v>
      </c>
      <c r="L128" s="6" t="n">
        <v>2.1965</v>
      </c>
      <c r="M128" s="5" t="n">
        <f aca="false">IF(AND(N(K128)&gt;0,N(L128)&gt;0),K128/L128,"")</f>
        <v>4.70999317095379</v>
      </c>
      <c r="N128" s="2"/>
    </row>
    <row r="129" customFormat="false" ht="15" hidden="false" customHeight="false" outlineLevel="0" collapsed="false">
      <c r="A129" s="2" t="n">
        <v>128</v>
      </c>
      <c r="B129" s="2" t="s">
        <v>348</v>
      </c>
      <c r="C129" s="2" t="s">
        <v>349</v>
      </c>
      <c r="D129" s="2" t="s">
        <v>22</v>
      </c>
      <c r="E129" s="2" t="s">
        <v>109</v>
      </c>
      <c r="F129" s="3" t="n">
        <v>0.001986</v>
      </c>
      <c r="G129" s="3" t="n">
        <f aca="false">SUM($F$2:F129)</f>
        <v>0.359603</v>
      </c>
      <c r="H129" s="4" t="n">
        <v>35.96</v>
      </c>
      <c r="I129" s="5" t="n">
        <v>21.6627</v>
      </c>
      <c r="J129" s="4" t="n">
        <v>1.66</v>
      </c>
      <c r="K129" s="5" t="n">
        <v>9.2074</v>
      </c>
      <c r="L129" s="6" t="n">
        <v>2.1124</v>
      </c>
      <c r="M129" s="5" t="n">
        <f aca="false">IF(AND(N(K129)&gt;0,N(L129)&gt;0),K129/L129,"")</f>
        <v>4.35873887521303</v>
      </c>
      <c r="N129" s="2"/>
    </row>
    <row r="130" customFormat="false" ht="15" hidden="false" customHeight="false" outlineLevel="0" collapsed="false">
      <c r="A130" s="2" t="n">
        <v>129</v>
      </c>
      <c r="B130" s="2" t="s">
        <v>350</v>
      </c>
      <c r="C130" s="2" t="s">
        <v>351</v>
      </c>
      <c r="D130" s="2" t="s">
        <v>86</v>
      </c>
      <c r="E130" s="2" t="s">
        <v>203</v>
      </c>
      <c r="F130" s="3" t="n">
        <v>0.001984</v>
      </c>
      <c r="G130" s="3" t="n">
        <f aca="false">SUM($F$2:F130)</f>
        <v>0.361587</v>
      </c>
      <c r="H130" s="4" t="n">
        <v>31.24</v>
      </c>
      <c r="I130" s="5" t="n">
        <v>24.7937</v>
      </c>
      <c r="J130" s="4" t="n">
        <v>1.26</v>
      </c>
      <c r="K130" s="5" t="n">
        <v>12.8069</v>
      </c>
      <c r="L130" s="6" t="n">
        <v>6.8282</v>
      </c>
      <c r="M130" s="5" t="n">
        <f aca="false">IF(AND(N(K130)&gt;0,N(L130)&gt;0),K130/L130,"")</f>
        <v>1.87558946720951</v>
      </c>
      <c r="N130" s="2"/>
    </row>
    <row r="131" customFormat="false" ht="15" hidden="false" customHeight="false" outlineLevel="0" collapsed="false">
      <c r="A131" s="2" t="n">
        <v>130</v>
      </c>
      <c r="B131" s="2" t="s">
        <v>352</v>
      </c>
      <c r="C131" s="2" t="s">
        <v>353</v>
      </c>
      <c r="D131" s="2" t="s">
        <v>16</v>
      </c>
      <c r="E131" s="2" t="s">
        <v>148</v>
      </c>
      <c r="F131" s="3" t="n">
        <v>0.001977</v>
      </c>
      <c r="G131" s="3" t="n">
        <f aca="false">SUM($F$2:F131)</f>
        <v>0.363564</v>
      </c>
      <c r="H131" s="4" t="n">
        <v>326.7</v>
      </c>
      <c r="I131" s="5" t="n">
        <v>38.4806</v>
      </c>
      <c r="J131" s="4" t="n">
        <v>8.49</v>
      </c>
      <c r="K131" s="5" t="n">
        <v>8.4308</v>
      </c>
      <c r="L131" s="6" t="n">
        <v>10.6923</v>
      </c>
      <c r="M131" s="5" t="n">
        <f aca="false">IF(AND(N(K131)&gt;0,N(L131)&gt;0),K131/L131,"")</f>
        <v>0.788492653591837</v>
      </c>
      <c r="N131" s="2"/>
    </row>
    <row r="132" customFormat="false" ht="15" hidden="false" customHeight="false" outlineLevel="0" collapsed="false">
      <c r="A132" s="2" t="n">
        <v>131</v>
      </c>
      <c r="B132" s="2" t="s">
        <v>354</v>
      </c>
      <c r="C132" s="2" t="s">
        <v>355</v>
      </c>
      <c r="D132" s="2" t="s">
        <v>22</v>
      </c>
      <c r="E132" s="2" t="s">
        <v>112</v>
      </c>
      <c r="F132" s="3" t="n">
        <v>0.001975</v>
      </c>
      <c r="G132" s="3" t="n">
        <f aca="false">SUM($F$2:F132)</f>
        <v>0.365539</v>
      </c>
      <c r="H132" s="4" t="n">
        <v>93.39</v>
      </c>
      <c r="I132" s="5" t="n">
        <v>24.9706</v>
      </c>
      <c r="J132" s="4" t="n">
        <v>3.74</v>
      </c>
      <c r="K132" s="5" t="n">
        <v>8.8406</v>
      </c>
      <c r="L132" s="6" t="n">
        <v>1.86</v>
      </c>
      <c r="M132" s="5" t="n">
        <f aca="false">IF(AND(N(K132)&gt;0,N(L132)&gt;0),K132/L132,"")</f>
        <v>4.75301075268817</v>
      </c>
      <c r="N132" s="2"/>
    </row>
    <row r="133" customFormat="false" ht="15" hidden="false" customHeight="false" outlineLevel="0" collapsed="false">
      <c r="A133" s="2" t="n">
        <v>132</v>
      </c>
      <c r="B133" s="2" t="s">
        <v>356</v>
      </c>
      <c r="C133" s="2" t="s">
        <v>357</v>
      </c>
      <c r="D133" s="2" t="s">
        <v>26</v>
      </c>
      <c r="E133" s="2" t="s">
        <v>103</v>
      </c>
      <c r="F133" s="3" t="n">
        <v>0.001969</v>
      </c>
      <c r="G133" s="3" t="n">
        <f aca="false">SUM($F$2:F133)</f>
        <v>0.367508</v>
      </c>
      <c r="H133" s="4" t="n">
        <v>37.82</v>
      </c>
      <c r="I133" s="5" t="n">
        <v>10.4475</v>
      </c>
      <c r="J133" s="4" t="n">
        <v>3.62</v>
      </c>
      <c r="K133" s="5" t="n">
        <v>8.8378</v>
      </c>
      <c r="L133" s="6" t="n">
        <v>2.7025</v>
      </c>
      <c r="M133" s="5" t="n">
        <f aca="false">IF(AND(N(K133)&gt;0,N(L133)&gt;0),K133/L133,"")</f>
        <v>3.27023126734505</v>
      </c>
      <c r="N133" s="2"/>
    </row>
    <row r="134" customFormat="false" ht="15" hidden="false" customHeight="false" outlineLevel="0" collapsed="false">
      <c r="A134" s="2" t="n">
        <v>133</v>
      </c>
      <c r="B134" s="2" t="s">
        <v>358</v>
      </c>
      <c r="C134" s="2" t="s">
        <v>359</v>
      </c>
      <c r="D134" s="2" t="s">
        <v>79</v>
      </c>
      <c r="E134" s="2" t="s">
        <v>360</v>
      </c>
      <c r="F134" s="3" t="n">
        <v>0.001957</v>
      </c>
      <c r="G134" s="3" t="n">
        <f aca="false">SUM($F$2:F134)</f>
        <v>0.369465</v>
      </c>
      <c r="H134" s="4" t="n">
        <v>141.24</v>
      </c>
      <c r="I134" s="5" t="n">
        <v>12.3462</v>
      </c>
      <c r="J134" s="4" t="n">
        <v>11.44</v>
      </c>
      <c r="K134" s="5" t="n">
        <v>11.7118</v>
      </c>
      <c r="L134" s="6" t="n">
        <v>1.4536</v>
      </c>
      <c r="M134" s="5" t="n">
        <f aca="false">IF(AND(N(K134)&gt;0,N(L134)&gt;0),K134/L134,"")</f>
        <v>8.05709961474959</v>
      </c>
      <c r="N134" s="2"/>
    </row>
    <row r="135" customFormat="false" ht="15" hidden="false" customHeight="false" outlineLevel="0" collapsed="false">
      <c r="A135" s="2" t="n">
        <v>134</v>
      </c>
      <c r="B135" s="2" t="s">
        <v>361</v>
      </c>
      <c r="C135" s="2" t="s">
        <v>362</v>
      </c>
      <c r="D135" s="2" t="s">
        <v>79</v>
      </c>
      <c r="E135" s="2" t="s">
        <v>241</v>
      </c>
      <c r="F135" s="3" t="n">
        <v>0.001933</v>
      </c>
      <c r="G135" s="3" t="n">
        <f aca="false">SUM($F$2:F135)</f>
        <v>0.371398</v>
      </c>
      <c r="H135" s="4" t="n">
        <v>285.51</v>
      </c>
      <c r="I135" s="5" t="n">
        <v>11.4801</v>
      </c>
      <c r="J135" s="4" t="n">
        <v>24.87</v>
      </c>
      <c r="K135" s="5" t="n">
        <v>8.7872</v>
      </c>
      <c r="L135" s="6" t="n">
        <v>2.5206</v>
      </c>
      <c r="M135" s="5" t="n">
        <f aca="false">IF(AND(N(K135)&gt;0,N(L135)&gt;0),K135/L135,"")</f>
        <v>3.48615409029596</v>
      </c>
      <c r="N135" s="2"/>
    </row>
    <row r="136" customFormat="false" ht="15" hidden="false" customHeight="false" outlineLevel="0" collapsed="false">
      <c r="A136" s="2" t="n">
        <v>135</v>
      </c>
      <c r="B136" s="2" t="s">
        <v>363</v>
      </c>
      <c r="C136" s="2" t="s">
        <v>364</v>
      </c>
      <c r="D136" s="2" t="s">
        <v>26</v>
      </c>
      <c r="E136" s="2" t="s">
        <v>103</v>
      </c>
      <c r="F136" s="3" t="n">
        <v>0.001921</v>
      </c>
      <c r="G136" s="3" t="n">
        <f aca="false">SUM($F$2:F136)</f>
        <v>0.373319</v>
      </c>
      <c r="H136" s="4" t="n">
        <v>33.96</v>
      </c>
      <c r="I136" s="5" t="n">
        <v>9.7307</v>
      </c>
      <c r="J136" s="4" t="n">
        <v>3.49</v>
      </c>
      <c r="K136" s="5" t="n">
        <v>10.4406</v>
      </c>
      <c r="L136" s="6" t="n">
        <v>1.806</v>
      </c>
      <c r="M136" s="5" t="n">
        <f aca="false">IF(AND(N(K136)&gt;0,N(L136)&gt;0),K136/L136,"")</f>
        <v>5.78106312292359</v>
      </c>
      <c r="N136" s="2"/>
    </row>
    <row r="137" customFormat="false" ht="15" hidden="false" customHeight="false" outlineLevel="0" collapsed="false">
      <c r="A137" s="2" t="n">
        <v>136</v>
      </c>
      <c r="B137" s="2" t="s">
        <v>365</v>
      </c>
      <c r="C137" s="2" t="s">
        <v>366</v>
      </c>
      <c r="D137" s="2" t="s">
        <v>22</v>
      </c>
      <c r="E137" s="2" t="s">
        <v>23</v>
      </c>
      <c r="F137" s="3" t="n">
        <v>0.001921</v>
      </c>
      <c r="G137" s="3" t="n">
        <f aca="false">SUM($F$2:F137)</f>
        <v>0.37524</v>
      </c>
      <c r="H137" s="4" t="n">
        <v>262.74</v>
      </c>
      <c r="I137" s="5" t="n">
        <v>48.5656</v>
      </c>
      <c r="J137" s="4" t="n">
        <v>5.41</v>
      </c>
      <c r="K137" s="5" t="n">
        <v>10.5229</v>
      </c>
      <c r="L137" s="6" t="n">
        <v>5.1638</v>
      </c>
      <c r="M137" s="5" t="n">
        <f aca="false">IF(AND(N(K137)&gt;0,N(L137)&gt;0),K137/L137,"")</f>
        <v>2.03782098454626</v>
      </c>
      <c r="N137" s="2"/>
    </row>
    <row r="138" customFormat="false" ht="15" hidden="false" customHeight="false" outlineLevel="0" collapsed="false">
      <c r="A138" s="2" t="n">
        <v>137</v>
      </c>
      <c r="B138" s="2" t="s">
        <v>367</v>
      </c>
      <c r="C138" s="2" t="s">
        <v>368</v>
      </c>
      <c r="D138" s="2" t="s">
        <v>22</v>
      </c>
      <c r="E138" s="2" t="s">
        <v>83</v>
      </c>
      <c r="F138" s="3" t="n">
        <v>0.001919</v>
      </c>
      <c r="G138" s="3" t="n">
        <f aca="false">SUM($F$2:F138)</f>
        <v>0.377159</v>
      </c>
      <c r="H138" s="4" t="n">
        <v>198.96</v>
      </c>
      <c r="I138" s="5" t="n">
        <v>34.7225</v>
      </c>
      <c r="J138" s="4" t="n">
        <v>5.73</v>
      </c>
      <c r="K138" s="5" t="n">
        <v>11.5</v>
      </c>
      <c r="L138" s="6" t="n">
        <v>4.4379</v>
      </c>
      <c r="M138" s="5" t="n">
        <f aca="false">IF(AND(N(K138)&gt;0,N(L138)&gt;0),K138/L138,"")</f>
        <v>2.59131571238649</v>
      </c>
      <c r="N138" s="2"/>
    </row>
    <row r="139" customFormat="false" ht="15" hidden="false" customHeight="false" outlineLevel="0" collapsed="false">
      <c r="A139" s="2" t="n">
        <v>138</v>
      </c>
      <c r="B139" s="2" t="s">
        <v>369</v>
      </c>
      <c r="C139" s="2" t="s">
        <v>370</v>
      </c>
      <c r="D139" s="2" t="s">
        <v>22</v>
      </c>
      <c r="E139" s="2" t="s">
        <v>302</v>
      </c>
      <c r="F139" s="3" t="n">
        <v>0.001917</v>
      </c>
      <c r="G139" s="3" t="n">
        <f aca="false">SUM($F$2:F139)</f>
        <v>0.379076</v>
      </c>
      <c r="H139" s="4" t="n">
        <v>143.38</v>
      </c>
      <c r="I139" s="5" t="n">
        <v>16.4238</v>
      </c>
      <c r="J139" s="4" t="n">
        <v>8.73</v>
      </c>
      <c r="K139" s="5" t="n">
        <v>8.8522</v>
      </c>
      <c r="L139" s="6" t="n">
        <v>0.8343</v>
      </c>
      <c r="M139" s="5" t="n">
        <f aca="false">IF(AND(N(K139)&gt;0,N(L139)&gt;0),K139/L139,"")</f>
        <v>10.6103320148628</v>
      </c>
      <c r="N139" s="2"/>
    </row>
    <row r="140" customFormat="false" ht="15" hidden="false" customHeight="false" outlineLevel="0" collapsed="false">
      <c r="A140" s="2" t="n">
        <v>139</v>
      </c>
      <c r="B140" s="2" t="s">
        <v>371</v>
      </c>
      <c r="C140" s="2" t="s">
        <v>372</v>
      </c>
      <c r="D140" s="2" t="s">
        <v>22</v>
      </c>
      <c r="E140" s="2" t="s">
        <v>53</v>
      </c>
      <c r="F140" s="3" t="n">
        <v>0.001915</v>
      </c>
      <c r="G140" s="3" t="n">
        <f aca="false">SUM($F$2:F140)</f>
        <v>0.380991</v>
      </c>
      <c r="H140" s="4" t="n">
        <v>348.04</v>
      </c>
      <c r="I140" s="5" t="n">
        <v>33.6271</v>
      </c>
      <c r="J140" s="4" t="n">
        <v>10.35</v>
      </c>
      <c r="K140" s="5" t="n">
        <v>9.2596</v>
      </c>
      <c r="L140" s="6" t="n">
        <v>2.7296</v>
      </c>
      <c r="M140" s="5" t="n">
        <f aca="false">IF(AND(N(K140)&gt;0,N(L140)&gt;0),K140/L140,"")</f>
        <v>3.3922919109027</v>
      </c>
      <c r="N140" s="2"/>
    </row>
    <row r="141" customFormat="false" ht="15" hidden="false" customHeight="false" outlineLevel="0" collapsed="false">
      <c r="A141" s="2" t="n">
        <v>140</v>
      </c>
      <c r="B141" s="2" t="s">
        <v>373</v>
      </c>
      <c r="C141" s="2" t="s">
        <v>374</v>
      </c>
      <c r="D141" s="2" t="s">
        <v>93</v>
      </c>
      <c r="E141" s="2" t="s">
        <v>269</v>
      </c>
      <c r="F141" s="3" t="n">
        <v>0.001899</v>
      </c>
      <c r="G141" s="3" t="n">
        <f aca="false">SUM($F$2:F141)</f>
        <v>0.38289</v>
      </c>
      <c r="H141" s="4" t="n">
        <v>118.86</v>
      </c>
      <c r="I141" s="5" t="n">
        <v>18.807</v>
      </c>
      <c r="J141" s="4" t="n">
        <v>6.32</v>
      </c>
      <c r="K141" s="5" t="n">
        <v>9.8152</v>
      </c>
      <c r="L141" s="6" t="n">
        <v>2.2297</v>
      </c>
      <c r="M141" s="5" t="n">
        <f aca="false">IF(AND(N(K141)&gt;0,N(L141)&gt;0),K141/L141,"")</f>
        <v>4.4020271785442</v>
      </c>
      <c r="N141" s="2"/>
    </row>
    <row r="142" customFormat="false" ht="15" hidden="false" customHeight="false" outlineLevel="0" collapsed="false">
      <c r="A142" s="2" t="n">
        <v>141</v>
      </c>
      <c r="B142" s="2" t="s">
        <v>375</v>
      </c>
      <c r="C142" s="2" t="s">
        <v>376</v>
      </c>
      <c r="D142" s="2" t="s">
        <v>16</v>
      </c>
      <c r="E142" s="2" t="s">
        <v>106</v>
      </c>
      <c r="F142" s="3" t="n">
        <v>0.001883</v>
      </c>
      <c r="G142" s="3" t="n">
        <f aca="false">SUM($F$2:F142)</f>
        <v>0.384773</v>
      </c>
      <c r="H142" s="4" t="n">
        <v>638.32</v>
      </c>
      <c r="I142" s="5" t="n">
        <v>1046.4263</v>
      </c>
      <c r="J142" s="4" t="n">
        <v>0.61</v>
      </c>
      <c r="K142" s="5" t="n">
        <v>19.1212</v>
      </c>
      <c r="L142" s="6" t="n">
        <v>40.8703</v>
      </c>
      <c r="M142" s="5" t="n">
        <f aca="false">IF(AND(N(K142)&gt;0,N(L142)&gt;0),K142/L142,"")</f>
        <v>0.467850737577165</v>
      </c>
      <c r="N142" s="2" t="s">
        <v>343</v>
      </c>
    </row>
    <row r="143" customFormat="false" ht="15" hidden="false" customHeight="false" outlineLevel="0" collapsed="false">
      <c r="A143" s="2" t="n">
        <v>142</v>
      </c>
      <c r="B143" s="2" t="s">
        <v>377</v>
      </c>
      <c r="C143" s="2" t="s">
        <v>378</v>
      </c>
      <c r="D143" s="2" t="s">
        <v>22</v>
      </c>
      <c r="E143" s="2" t="s">
        <v>23</v>
      </c>
      <c r="F143" s="3" t="n">
        <v>0.001883</v>
      </c>
      <c r="G143" s="3" t="n">
        <f aca="false">SUM($F$2:F143)</f>
        <v>0.386656</v>
      </c>
      <c r="H143" s="4" t="n">
        <v>306.46</v>
      </c>
      <c r="I143" s="5" t="n">
        <v>20.3628</v>
      </c>
      <c r="J143" s="4" t="n">
        <v>15.05</v>
      </c>
      <c r="K143" s="5" t="n">
        <v>9.174</v>
      </c>
      <c r="L143" s="6" t="n">
        <v>1.9915</v>
      </c>
      <c r="M143" s="5" t="n">
        <f aca="false">IF(AND(N(K143)&gt;0,N(L143)&gt;0),K143/L143,"")</f>
        <v>4.60657795631434</v>
      </c>
      <c r="N143" s="2"/>
    </row>
    <row r="144" customFormat="false" ht="15" hidden="false" customHeight="false" outlineLevel="0" collapsed="false">
      <c r="A144" s="2" t="n">
        <v>143</v>
      </c>
      <c r="B144" s="2" t="s">
        <v>379</v>
      </c>
      <c r="C144" s="2" t="s">
        <v>380</v>
      </c>
      <c r="D144" s="2" t="s">
        <v>93</v>
      </c>
      <c r="E144" s="2" t="s">
        <v>381</v>
      </c>
      <c r="F144" s="3" t="n">
        <v>0.00188</v>
      </c>
      <c r="G144" s="3" t="n">
        <f aca="false">SUM($F$2:F144)</f>
        <v>0.388536</v>
      </c>
      <c r="H144" s="4" t="n">
        <v>57.86</v>
      </c>
      <c r="I144" s="5" t="n">
        <v>35.9379</v>
      </c>
      <c r="J144" s="4" t="n">
        <v>1.61</v>
      </c>
      <c r="K144" s="5" t="n">
        <v>8.211</v>
      </c>
      <c r="L144" s="6" t="n">
        <v>0.2912</v>
      </c>
      <c r="M144" s="5" t="n">
        <f aca="false">IF(AND(N(K144)&gt;0,N(L144)&gt;0),K144/L144,"")</f>
        <v>28.1971153846154</v>
      </c>
      <c r="N144" s="2"/>
    </row>
    <row r="145" customFormat="false" ht="15" hidden="false" customHeight="false" outlineLevel="0" collapsed="false">
      <c r="A145" s="2" t="n">
        <v>144</v>
      </c>
      <c r="B145" s="2" t="s">
        <v>382</v>
      </c>
      <c r="C145" s="2" t="s">
        <v>383</v>
      </c>
      <c r="D145" s="2" t="s">
        <v>33</v>
      </c>
      <c r="E145" s="2" t="s">
        <v>46</v>
      </c>
      <c r="F145" s="3" t="n">
        <v>0.001861</v>
      </c>
      <c r="G145" s="3" t="n">
        <f aca="false">SUM($F$2:F145)</f>
        <v>0.390397</v>
      </c>
      <c r="H145" s="4" t="n">
        <v>174.47</v>
      </c>
      <c r="I145" s="5" t="n">
        <v>27.3464</v>
      </c>
      <c r="J145" s="4" t="n">
        <v>6.38</v>
      </c>
      <c r="K145" s="5" t="n">
        <v>10.1685</v>
      </c>
      <c r="L145" s="6" t="n">
        <v>1.8533</v>
      </c>
      <c r="M145" s="5" t="n">
        <f aca="false">IF(AND(N(K145)&gt;0,N(L145)&gt;0),K145/L145,"")</f>
        <v>5.48669940106837</v>
      </c>
      <c r="N145" s="2"/>
    </row>
    <row r="146" customFormat="false" ht="15" hidden="false" customHeight="false" outlineLevel="0" collapsed="false">
      <c r="A146" s="2" t="n">
        <v>145</v>
      </c>
      <c r="B146" s="2" t="s">
        <v>384</v>
      </c>
      <c r="C146" s="2" t="s">
        <v>385</v>
      </c>
      <c r="D146" s="2" t="s">
        <v>171</v>
      </c>
      <c r="E146" s="2" t="s">
        <v>386</v>
      </c>
      <c r="F146" s="3" t="n">
        <v>0.00186</v>
      </c>
      <c r="G146" s="3" t="n">
        <f aca="false">SUM($F$2:F146)</f>
        <v>0.392257</v>
      </c>
      <c r="H146" s="4" t="n">
        <v>40.48</v>
      </c>
      <c r="I146" s="5" t="n">
        <v>20.759</v>
      </c>
      <c r="J146" s="4" t="n">
        <v>1.95</v>
      </c>
      <c r="K146" s="5" t="n">
        <v>11.4815</v>
      </c>
      <c r="L146" s="6" t="n">
        <v>4.4698</v>
      </c>
      <c r="M146" s="5" t="n">
        <f aca="false">IF(AND(N(K146)&gt;0,N(L146)&gt;0),K146/L146,"")</f>
        <v>2.56868316255761</v>
      </c>
      <c r="N146" s="2"/>
    </row>
    <row r="147" customFormat="false" ht="15" hidden="false" customHeight="false" outlineLevel="0" collapsed="false">
      <c r="A147" s="2" t="n">
        <v>146</v>
      </c>
      <c r="B147" s="2" t="s">
        <v>387</v>
      </c>
      <c r="C147" s="2" t="s">
        <v>388</v>
      </c>
      <c r="D147" s="2" t="s">
        <v>79</v>
      </c>
      <c r="E147" s="2" t="s">
        <v>80</v>
      </c>
      <c r="F147" s="3" t="n">
        <v>0.001855</v>
      </c>
      <c r="G147" s="3" t="n">
        <f aca="false">SUM($F$2:F147)</f>
        <v>0.394112</v>
      </c>
      <c r="H147" s="4" t="n">
        <v>158.74</v>
      </c>
      <c r="I147" s="5" t="n">
        <v>15.018</v>
      </c>
      <c r="J147" s="4" t="n">
        <v>10.57</v>
      </c>
      <c r="K147" s="5" t="n">
        <v>9.8655</v>
      </c>
      <c r="L147" s="6" t="n">
        <v>4.3567</v>
      </c>
      <c r="M147" s="5" t="n">
        <f aca="false">IF(AND(N(K147)&gt;0,N(L147)&gt;0),K147/L147,"")</f>
        <v>2.26444327128331</v>
      </c>
      <c r="N147" s="2"/>
    </row>
    <row r="148" customFormat="false" ht="15" hidden="false" customHeight="false" outlineLevel="0" collapsed="false">
      <c r="A148" s="2" t="n">
        <v>147</v>
      </c>
      <c r="B148" s="2" t="s">
        <v>389</v>
      </c>
      <c r="C148" s="2" t="s">
        <v>390</v>
      </c>
      <c r="D148" s="2" t="s">
        <v>22</v>
      </c>
      <c r="E148" s="2" t="s">
        <v>109</v>
      </c>
      <c r="F148" s="3" t="n">
        <v>0.001843</v>
      </c>
      <c r="G148" s="3" t="n">
        <f aca="false">SUM($F$2:F148)</f>
        <v>0.395955</v>
      </c>
      <c r="H148" s="4" t="n">
        <v>54.74</v>
      </c>
      <c r="I148" s="5"/>
      <c r="J148" s="4" t="n">
        <v>-11.69</v>
      </c>
      <c r="K148" s="5" t="n">
        <v>7.321</v>
      </c>
      <c r="L148" s="6" t="n">
        <v>0.4713</v>
      </c>
      <c r="M148" s="5" t="n">
        <f aca="false">IF(AND(N(K148)&gt;0,N(L148)&gt;0),K148/L148,"")</f>
        <v>15.5336303840441</v>
      </c>
      <c r="N148" s="2" t="s">
        <v>50</v>
      </c>
    </row>
    <row r="149" customFormat="false" ht="15" hidden="false" customHeight="false" outlineLevel="0" collapsed="false">
      <c r="A149" s="2" t="n">
        <v>148</v>
      </c>
      <c r="B149" s="2" t="s">
        <v>391</v>
      </c>
      <c r="C149" s="2" t="s">
        <v>392</v>
      </c>
      <c r="D149" s="2" t="s">
        <v>22</v>
      </c>
      <c r="E149" s="2" t="s">
        <v>109</v>
      </c>
      <c r="F149" s="3" t="n">
        <v>0.001835</v>
      </c>
      <c r="G149" s="3" t="n">
        <f aca="false">SUM($F$2:F149)</f>
        <v>0.39779</v>
      </c>
      <c r="H149" s="4" t="n">
        <v>291.55</v>
      </c>
      <c r="I149" s="5" t="n">
        <v>26.6013</v>
      </c>
      <c r="J149" s="4" t="n">
        <v>10.96</v>
      </c>
      <c r="K149" s="5" t="n">
        <v>8.7934</v>
      </c>
      <c r="L149" s="6" t="n">
        <v>1.2781</v>
      </c>
      <c r="M149" s="5" t="n">
        <f aca="false">IF(AND(N(K149)&gt;0,N(L149)&gt;0),K149/L149,"")</f>
        <v>6.88005633362022</v>
      </c>
      <c r="N149" s="2"/>
    </row>
    <row r="150" customFormat="false" ht="15" hidden="false" customHeight="false" outlineLevel="0" collapsed="false">
      <c r="A150" s="2" t="n">
        <v>149</v>
      </c>
      <c r="B150" s="2" t="s">
        <v>393</v>
      </c>
      <c r="C150" s="2" t="s">
        <v>394</v>
      </c>
      <c r="D150" s="2" t="s">
        <v>16</v>
      </c>
      <c r="E150" s="2" t="s">
        <v>43</v>
      </c>
      <c r="F150" s="3" t="n">
        <v>0.001828</v>
      </c>
      <c r="G150" s="3" t="n">
        <f aca="false">SUM($F$2:F150)</f>
        <v>0.399618</v>
      </c>
      <c r="H150" s="4" t="n">
        <v>119.31</v>
      </c>
      <c r="I150" s="5" t="n">
        <v>81.7192</v>
      </c>
      <c r="J150" s="4" t="n">
        <v>1.46</v>
      </c>
      <c r="K150" s="5" t="n">
        <v>9.3206</v>
      </c>
      <c r="L150" s="6" t="n">
        <v>10.3307</v>
      </c>
      <c r="M150" s="5" t="n">
        <f aca="false">IF(AND(N(K150)&gt;0,N(L150)&gt;0),K150/L150,"")</f>
        <v>0.902223469851995</v>
      </c>
      <c r="N150" s="2"/>
    </row>
    <row r="151" customFormat="false" ht="15" hidden="false" customHeight="false" outlineLevel="0" collapsed="false">
      <c r="A151" s="2" t="n">
        <v>150</v>
      </c>
      <c r="B151" s="2" t="s">
        <v>395</v>
      </c>
      <c r="C151" s="2" t="s">
        <v>396</v>
      </c>
      <c r="D151" s="2" t="s">
        <v>16</v>
      </c>
      <c r="E151" s="2" t="s">
        <v>37</v>
      </c>
      <c r="F151" s="3" t="n">
        <v>0.001825</v>
      </c>
      <c r="G151" s="3" t="n">
        <f aca="false">SUM($F$2:F151)</f>
        <v>0.401443</v>
      </c>
      <c r="H151" s="4" t="n">
        <v>95.48</v>
      </c>
      <c r="I151" s="5" t="n">
        <v>23.8105</v>
      </c>
      <c r="J151" s="4" t="n">
        <v>4.01</v>
      </c>
      <c r="K151" s="5" t="n">
        <v>7.8363</v>
      </c>
      <c r="L151" s="6" t="n">
        <v>0.2836</v>
      </c>
      <c r="M151" s="5" t="n">
        <f aca="false">IF(AND(N(K151)&gt;0,N(L151)&gt;0),K151/L151,"")</f>
        <v>27.6315232722144</v>
      </c>
      <c r="N151" s="2"/>
    </row>
    <row r="152" customFormat="false" ht="15" hidden="false" customHeight="false" outlineLevel="0" collapsed="false">
      <c r="A152" s="2" t="n">
        <v>151</v>
      </c>
      <c r="B152" s="2" t="s">
        <v>397</v>
      </c>
      <c r="C152" s="2" t="s">
        <v>398</v>
      </c>
      <c r="D152" s="2" t="s">
        <v>171</v>
      </c>
      <c r="E152" s="2" t="s">
        <v>399</v>
      </c>
      <c r="F152" s="3" t="n">
        <v>0.001815</v>
      </c>
      <c r="G152" s="3" t="n">
        <f aca="false">SUM($F$2:F152)</f>
        <v>0.403258</v>
      </c>
      <c r="H152" s="4" t="n">
        <v>45.05</v>
      </c>
      <c r="I152" s="5" t="n">
        <v>19.7588</v>
      </c>
      <c r="J152" s="4" t="n">
        <v>2.28</v>
      </c>
      <c r="K152" s="5" t="n">
        <v>9.3065</v>
      </c>
      <c r="L152" s="6" t="n">
        <v>2.8765</v>
      </c>
      <c r="M152" s="5" t="n">
        <f aca="false">IF(AND(N(K152)&gt;0,N(L152)&gt;0),K152/L152,"")</f>
        <v>3.23535546671302</v>
      </c>
      <c r="N152" s="2"/>
    </row>
    <row r="153" customFormat="false" ht="15" hidden="false" customHeight="false" outlineLevel="0" collapsed="false">
      <c r="A153" s="2" t="n">
        <v>152</v>
      </c>
      <c r="B153" s="2" t="s">
        <v>400</v>
      </c>
      <c r="C153" s="2" t="s">
        <v>401</v>
      </c>
      <c r="D153" s="2" t="s">
        <v>79</v>
      </c>
      <c r="E153" s="2" t="s">
        <v>288</v>
      </c>
      <c r="F153" s="3" t="n">
        <v>0.001815</v>
      </c>
      <c r="G153" s="3" t="n">
        <f aca="false">SUM($F$2:F153)</f>
        <v>0.405073</v>
      </c>
      <c r="H153" s="4" t="n">
        <v>216.12</v>
      </c>
      <c r="I153" s="5" t="n">
        <v>24.5591</v>
      </c>
      <c r="J153" s="4" t="n">
        <v>8.8</v>
      </c>
      <c r="K153" s="5" t="n">
        <v>9.3735</v>
      </c>
      <c r="L153" s="6" t="n">
        <v>2.2749</v>
      </c>
      <c r="M153" s="5" t="n">
        <f aca="false">IF(AND(N(K153)&gt;0,N(L153)&gt;0),K153/L153,"")</f>
        <v>4.12040089674271</v>
      </c>
      <c r="N153" s="2"/>
    </row>
    <row r="154" customFormat="false" ht="15" hidden="false" customHeight="false" outlineLevel="0" collapsed="false">
      <c r="A154" s="2" t="n">
        <v>153</v>
      </c>
      <c r="B154" s="2" t="s">
        <v>402</v>
      </c>
      <c r="C154" s="2" t="s">
        <v>403</v>
      </c>
      <c r="D154" s="2" t="s">
        <v>79</v>
      </c>
      <c r="E154" s="2" t="s">
        <v>227</v>
      </c>
      <c r="F154" s="3" t="n">
        <v>0.001814</v>
      </c>
      <c r="G154" s="3" t="n">
        <f aca="false">SUM($F$2:F154)</f>
        <v>0.406887</v>
      </c>
      <c r="H154" s="4" t="n">
        <v>34.8</v>
      </c>
      <c r="I154" s="5" t="n">
        <v>22.3077</v>
      </c>
      <c r="J154" s="4" t="n">
        <v>1.56</v>
      </c>
      <c r="K154" s="5" t="n">
        <v>15.5127</v>
      </c>
      <c r="L154" s="6" t="n">
        <v>0.7949</v>
      </c>
      <c r="M154" s="5" t="n">
        <f aca="false">IF(AND(N(K154)&gt;0,N(L154)&gt;0),K154/L154,"")</f>
        <v>19.5152849415021</v>
      </c>
      <c r="N154" s="2"/>
    </row>
    <row r="155" customFormat="false" ht="15" hidden="false" customHeight="false" outlineLevel="0" collapsed="false">
      <c r="A155" s="2" t="n">
        <v>154</v>
      </c>
      <c r="B155" s="2" t="s">
        <v>404</v>
      </c>
      <c r="C155" s="2" t="s">
        <v>405</v>
      </c>
      <c r="D155" s="2" t="s">
        <v>22</v>
      </c>
      <c r="E155" s="2" t="s">
        <v>40</v>
      </c>
      <c r="F155" s="3" t="n">
        <v>0.001813</v>
      </c>
      <c r="G155" s="3" t="n">
        <f aca="false">SUM($F$2:F155)</f>
        <v>0.4087</v>
      </c>
      <c r="H155" s="4" t="n">
        <v>48.59</v>
      </c>
      <c r="I155" s="5" t="n">
        <v>285.8235</v>
      </c>
      <c r="J155" s="4" t="n">
        <v>0.17</v>
      </c>
      <c r="K155" s="5" t="n">
        <v>9.1214</v>
      </c>
      <c r="L155" s="6" t="n">
        <v>5.9911</v>
      </c>
      <c r="M155" s="5" t="n">
        <f aca="false">IF(AND(N(K155)&gt;0,N(L155)&gt;0),K155/L155,"")</f>
        <v>1.52249169601576</v>
      </c>
      <c r="N155" s="2"/>
    </row>
    <row r="156" customFormat="false" ht="15" hidden="false" customHeight="false" outlineLevel="0" collapsed="false">
      <c r="A156" s="2" t="n">
        <v>155</v>
      </c>
      <c r="B156" s="2" t="s">
        <v>406</v>
      </c>
      <c r="C156" s="2" t="s">
        <v>407</v>
      </c>
      <c r="D156" s="2" t="s">
        <v>86</v>
      </c>
      <c r="E156" s="2" t="s">
        <v>266</v>
      </c>
      <c r="F156" s="3" t="n">
        <v>0.001812</v>
      </c>
      <c r="G156" s="3" t="n">
        <f aca="false">SUM($F$2:F156)</f>
        <v>0.410512</v>
      </c>
      <c r="H156" s="4" t="n">
        <v>52.3</v>
      </c>
      <c r="I156" s="5" t="n">
        <v>76.9118</v>
      </c>
      <c r="J156" s="4" t="n">
        <v>0.68</v>
      </c>
      <c r="K156" s="5" t="n">
        <v>11.4013</v>
      </c>
      <c r="L156" s="6" t="n">
        <v>4.5517</v>
      </c>
      <c r="M156" s="5" t="n">
        <f aca="false">IF(AND(N(K156)&gt;0,N(L156)&gt;0),K156/L156,"")</f>
        <v>2.50484434387152</v>
      </c>
      <c r="N156" s="2"/>
    </row>
    <row r="157" customFormat="false" ht="15" hidden="false" customHeight="false" outlineLevel="0" collapsed="false">
      <c r="A157" s="2" t="n">
        <v>156</v>
      </c>
      <c r="B157" s="2" t="s">
        <v>408</v>
      </c>
      <c r="C157" s="2" t="s">
        <v>409</v>
      </c>
      <c r="D157" s="2" t="s">
        <v>93</v>
      </c>
      <c r="E157" s="2" t="s">
        <v>269</v>
      </c>
      <c r="F157" s="3" t="n">
        <v>0.001806</v>
      </c>
      <c r="G157" s="3" t="n">
        <f aca="false">SUM($F$2:F157)</f>
        <v>0.412318</v>
      </c>
      <c r="H157" s="4" t="n">
        <v>117.75</v>
      </c>
      <c r="I157" s="5" t="n">
        <v>13.8856</v>
      </c>
      <c r="J157" s="4" t="n">
        <v>8.48</v>
      </c>
      <c r="K157" s="5" t="n">
        <v>8.6237</v>
      </c>
      <c r="L157" s="6" t="n">
        <v>0.7784</v>
      </c>
      <c r="M157" s="5" t="n">
        <f aca="false">IF(AND(N(K157)&gt;0,N(L157)&gt;0),K157/L157,"")</f>
        <v>11.0787512846865</v>
      </c>
      <c r="N157" s="2"/>
    </row>
    <row r="158" customFormat="false" ht="15" hidden="false" customHeight="false" outlineLevel="0" collapsed="false">
      <c r="A158" s="2" t="n">
        <v>157</v>
      </c>
      <c r="B158" s="2" t="s">
        <v>410</v>
      </c>
      <c r="C158" s="2" t="s">
        <v>411</v>
      </c>
      <c r="D158" s="2" t="s">
        <v>93</v>
      </c>
      <c r="E158" s="2" t="s">
        <v>381</v>
      </c>
      <c r="F158" s="3" t="n">
        <v>0.001805</v>
      </c>
      <c r="G158" s="3" t="n">
        <f aca="false">SUM($F$2:F158)</f>
        <v>0.414123</v>
      </c>
      <c r="H158" s="4" t="n">
        <v>316.15</v>
      </c>
      <c r="I158" s="5" t="n">
        <v>10.472</v>
      </c>
      <c r="J158" s="4" t="n">
        <v>30.19</v>
      </c>
      <c r="K158" s="5" t="n">
        <v>6.95</v>
      </c>
      <c r="L158" s="6" t="n">
        <v>0.1832</v>
      </c>
      <c r="M158" s="5" t="n">
        <f aca="false">IF(AND(N(K158)&gt;0,N(L158)&gt;0),K158/L158,"")</f>
        <v>37.9366812227074</v>
      </c>
      <c r="N158" s="2"/>
    </row>
    <row r="159" customFormat="false" ht="15" hidden="false" customHeight="false" outlineLevel="0" collapsed="false">
      <c r="A159" s="2" t="n">
        <v>158</v>
      </c>
      <c r="B159" s="2" t="s">
        <v>412</v>
      </c>
      <c r="C159" s="2" t="s">
        <v>413</v>
      </c>
      <c r="D159" s="2" t="s">
        <v>86</v>
      </c>
      <c r="E159" s="2" t="s">
        <v>414</v>
      </c>
      <c r="F159" s="3" t="n">
        <v>0.00179</v>
      </c>
      <c r="G159" s="3" t="n">
        <f aca="false">SUM($F$2:F159)</f>
        <v>0.415913</v>
      </c>
      <c r="H159" s="4" t="n">
        <v>39.72</v>
      </c>
      <c r="I159" s="5" t="n">
        <v>27.0204</v>
      </c>
      <c r="J159" s="4" t="n">
        <v>1.47</v>
      </c>
      <c r="K159" s="5" t="n">
        <v>8.9909</v>
      </c>
      <c r="L159" s="6" t="n">
        <v>7.8945</v>
      </c>
      <c r="M159" s="5" t="n">
        <f aca="false">IF(AND(N(K159)&gt;0,N(L159)&gt;0),K159/L159,"")</f>
        <v>1.13888149977833</v>
      </c>
      <c r="N159" s="2"/>
    </row>
    <row r="160" customFormat="false" ht="15" hidden="false" customHeight="false" outlineLevel="0" collapsed="false">
      <c r="A160" s="2" t="n">
        <v>159</v>
      </c>
      <c r="B160" s="2" t="s">
        <v>415</v>
      </c>
      <c r="C160" s="2" t="s">
        <v>416</v>
      </c>
      <c r="D160" s="2" t="s">
        <v>79</v>
      </c>
      <c r="E160" s="2" t="s">
        <v>227</v>
      </c>
      <c r="F160" s="3" t="n">
        <v>0.001778</v>
      </c>
      <c r="G160" s="3" t="n">
        <f aca="false">SUM($F$2:F160)</f>
        <v>0.417691</v>
      </c>
      <c r="H160" s="4" t="n">
        <v>40.86</v>
      </c>
      <c r="I160" s="5" t="n">
        <v>42.5625</v>
      </c>
      <c r="J160" s="4" t="n">
        <v>0.96</v>
      </c>
      <c r="K160" s="5" t="n">
        <v>14.5598</v>
      </c>
      <c r="L160" s="6" t="n">
        <v>5.206</v>
      </c>
      <c r="M160" s="5" t="n">
        <f aca="false">IF(AND(N(K160)&gt;0,N(L160)&gt;0),K160/L160,"")</f>
        <v>2.79673453707261</v>
      </c>
      <c r="N160" s="2"/>
    </row>
    <row r="161" customFormat="false" ht="15" hidden="false" customHeight="false" outlineLevel="0" collapsed="false">
      <c r="A161" s="2" t="n">
        <v>160</v>
      </c>
      <c r="B161" s="2" t="s">
        <v>417</v>
      </c>
      <c r="C161" s="2" t="s">
        <v>418</v>
      </c>
      <c r="D161" s="2" t="s">
        <v>93</v>
      </c>
      <c r="E161" s="2" t="s">
        <v>175</v>
      </c>
      <c r="F161" s="3" t="n">
        <v>0.001775</v>
      </c>
      <c r="G161" s="3" t="n">
        <f aca="false">SUM($F$2:F161)</f>
        <v>0.419466</v>
      </c>
      <c r="H161" s="4" t="n">
        <v>123.63</v>
      </c>
      <c r="I161" s="5" t="n">
        <v>13.6457</v>
      </c>
      <c r="J161" s="4" t="n">
        <v>9.06</v>
      </c>
      <c r="K161" s="5" t="n">
        <v>12.1808</v>
      </c>
      <c r="L161" s="6" t="n">
        <v>0.5761</v>
      </c>
      <c r="M161" s="5" t="n">
        <f aca="false">IF(AND(N(K161)&gt;0,N(L161)&gt;0),K161/L161,"")</f>
        <v>21.1435514667592</v>
      </c>
      <c r="N161" s="2"/>
    </row>
    <row r="162" customFormat="false" ht="15" hidden="false" customHeight="false" outlineLevel="0" collapsed="false">
      <c r="A162" s="2" t="n">
        <v>161</v>
      </c>
      <c r="B162" s="2" t="s">
        <v>419</v>
      </c>
      <c r="C162" s="2" t="s">
        <v>420</v>
      </c>
      <c r="D162" s="2" t="s">
        <v>62</v>
      </c>
      <c r="E162" s="2" t="s">
        <v>189</v>
      </c>
      <c r="F162" s="3" t="n">
        <v>0.001767</v>
      </c>
      <c r="G162" s="3" t="n">
        <f aca="false">SUM($F$2:F162)</f>
        <v>0.421233</v>
      </c>
      <c r="H162" s="4" t="n">
        <v>57.69</v>
      </c>
      <c r="I162" s="5" t="n">
        <v>43.7045</v>
      </c>
      <c r="J162" s="4" t="n">
        <v>1.32</v>
      </c>
      <c r="K162" s="5" t="n">
        <v>9.1639</v>
      </c>
      <c r="L162" s="6" t="n">
        <v>2.2378</v>
      </c>
      <c r="M162" s="5" t="n">
        <f aca="false">IF(AND(N(K162)&gt;0,N(L162)&gt;0),K162/L162,"")</f>
        <v>4.09504870855304</v>
      </c>
      <c r="N162" s="2"/>
    </row>
    <row r="163" customFormat="false" ht="15" hidden="false" customHeight="false" outlineLevel="0" collapsed="false">
      <c r="A163" s="2" t="n">
        <v>162</v>
      </c>
      <c r="B163" s="2" t="s">
        <v>421</v>
      </c>
      <c r="C163" s="2" t="s">
        <v>422</v>
      </c>
      <c r="D163" s="2" t="s">
        <v>22</v>
      </c>
      <c r="E163" s="2" t="s">
        <v>109</v>
      </c>
      <c r="F163" s="3" t="n">
        <v>0.001726</v>
      </c>
      <c r="G163" s="3" t="n">
        <f aca="false">SUM($F$2:F163)</f>
        <v>0.422959</v>
      </c>
      <c r="H163" s="4" t="n">
        <v>62.93</v>
      </c>
      <c r="I163" s="5" t="n">
        <v>22.1585</v>
      </c>
      <c r="J163" s="4" t="n">
        <v>2.84</v>
      </c>
      <c r="K163" s="5" t="n">
        <v>8.0989</v>
      </c>
      <c r="L163" s="6" t="n">
        <v>0.5261</v>
      </c>
      <c r="M163" s="5" t="n">
        <f aca="false">IF(AND(N(K163)&gt;0,N(L163)&gt;0),K163/L163,"")</f>
        <v>15.3942216308687</v>
      </c>
      <c r="N163" s="2"/>
    </row>
    <row r="164" customFormat="false" ht="15" hidden="false" customHeight="false" outlineLevel="0" collapsed="false">
      <c r="A164" s="2" t="n">
        <v>163</v>
      </c>
      <c r="B164" s="2" t="s">
        <v>423</v>
      </c>
      <c r="C164" s="2" t="s">
        <v>424</v>
      </c>
      <c r="D164" s="2" t="s">
        <v>33</v>
      </c>
      <c r="E164" s="2" t="s">
        <v>49</v>
      </c>
      <c r="F164" s="3" t="n">
        <v>0.001715</v>
      </c>
      <c r="G164" s="3" t="n">
        <f aca="false">SUM($F$2:F164)</f>
        <v>0.424674</v>
      </c>
      <c r="H164" s="4" t="n">
        <v>333.85</v>
      </c>
      <c r="I164" s="5" t="n">
        <v>41.8883</v>
      </c>
      <c r="J164" s="4" t="n">
        <v>7.97</v>
      </c>
      <c r="K164" s="5" t="n">
        <v>9.8816</v>
      </c>
      <c r="L164" s="6" t="n">
        <v>22.4334</v>
      </c>
      <c r="M164" s="5" t="n">
        <f aca="false">IF(AND(N(K164)&gt;0,N(L164)&gt;0),K164/L164,"")</f>
        <v>0.440486060962672</v>
      </c>
      <c r="N164" s="2"/>
    </row>
    <row r="165" customFormat="false" ht="15" hidden="false" customHeight="false" outlineLevel="0" collapsed="false">
      <c r="A165" s="2" t="n">
        <v>164</v>
      </c>
      <c r="B165" s="2" t="s">
        <v>425</v>
      </c>
      <c r="C165" s="2" t="s">
        <v>426</v>
      </c>
      <c r="D165" s="2" t="s">
        <v>26</v>
      </c>
      <c r="E165" s="2" t="s">
        <v>103</v>
      </c>
      <c r="F165" s="3" t="n">
        <v>0.001709</v>
      </c>
      <c r="G165" s="3" t="n">
        <f aca="false">SUM($F$2:F165)</f>
        <v>0.426383</v>
      </c>
      <c r="H165" s="4" t="n">
        <v>139.43</v>
      </c>
      <c r="I165" s="5" t="n">
        <v>9.4209</v>
      </c>
      <c r="J165" s="4" t="n">
        <v>14.8</v>
      </c>
      <c r="K165" s="5" t="n">
        <v>7.6265</v>
      </c>
      <c r="L165" s="6" t="n">
        <v>1.2798</v>
      </c>
      <c r="M165" s="5" t="n">
        <f aca="false">IF(AND(N(K165)&gt;0,N(L165)&gt;0),K165/L165,"")</f>
        <v>5.95913423972496</v>
      </c>
      <c r="N165" s="2"/>
    </row>
    <row r="166" customFormat="false" ht="15" hidden="false" customHeight="false" outlineLevel="0" collapsed="false">
      <c r="A166" s="2" t="n">
        <v>165</v>
      </c>
      <c r="B166" s="2" t="s">
        <v>427</v>
      </c>
      <c r="C166" s="2" t="s">
        <v>428</v>
      </c>
      <c r="D166" s="2" t="s">
        <v>93</v>
      </c>
      <c r="E166" s="2" t="s">
        <v>175</v>
      </c>
      <c r="F166" s="3" t="n">
        <v>0.001701</v>
      </c>
      <c r="G166" s="3" t="n">
        <f aca="false">SUM($F$2:F166)</f>
        <v>0.428084</v>
      </c>
      <c r="H166" s="4" t="n">
        <v>508.98</v>
      </c>
      <c r="I166" s="5" t="n">
        <v>15.5794</v>
      </c>
      <c r="J166" s="4" t="n">
        <v>32.67</v>
      </c>
      <c r="K166" s="5" t="n">
        <v>9.3552</v>
      </c>
      <c r="L166" s="6" t="n">
        <v>0.4899</v>
      </c>
      <c r="M166" s="5" t="n">
        <f aca="false">IF(AND(N(K166)&gt;0,N(L166)&gt;0),K166/L166,"")</f>
        <v>19.0961420698102</v>
      </c>
      <c r="N166" s="2"/>
    </row>
    <row r="167" customFormat="false" ht="15" hidden="false" customHeight="false" outlineLevel="0" collapsed="false">
      <c r="A167" s="2" t="n">
        <v>166</v>
      </c>
      <c r="B167" s="2" t="s">
        <v>429</v>
      </c>
      <c r="C167" s="2" t="s">
        <v>430</v>
      </c>
      <c r="D167" s="2" t="s">
        <v>33</v>
      </c>
      <c r="E167" s="2" t="s">
        <v>49</v>
      </c>
      <c r="F167" s="3" t="n">
        <v>0.001701</v>
      </c>
      <c r="G167" s="3" t="n">
        <f aca="false">SUM($F$2:F167)</f>
        <v>0.429785</v>
      </c>
      <c r="H167" s="4" t="n">
        <v>144.98</v>
      </c>
      <c r="I167" s="5" t="n">
        <v>140.7573</v>
      </c>
      <c r="J167" s="4" t="n">
        <v>1.03</v>
      </c>
      <c r="K167" s="5" t="n">
        <v>9.3814</v>
      </c>
      <c r="L167" s="6" t="n">
        <v>33.2683</v>
      </c>
      <c r="M167" s="5" t="n">
        <f aca="false">IF(AND(N(K167)&gt;0,N(L167)&gt;0),K167/L167,"")</f>
        <v>0.281992166717265</v>
      </c>
      <c r="N167" s="2"/>
    </row>
    <row r="168" customFormat="false" ht="15" hidden="false" customHeight="false" outlineLevel="0" collapsed="false">
      <c r="A168" s="2" t="n">
        <v>167</v>
      </c>
      <c r="B168" s="2" t="s">
        <v>431</v>
      </c>
      <c r="C168" s="2" t="s">
        <v>432</v>
      </c>
      <c r="D168" s="2" t="s">
        <v>79</v>
      </c>
      <c r="E168" s="2" t="s">
        <v>80</v>
      </c>
      <c r="F168" s="3" t="n">
        <v>0.001699</v>
      </c>
      <c r="G168" s="3" t="n">
        <f aca="false">SUM($F$2:F168)</f>
        <v>0.431484</v>
      </c>
      <c r="H168" s="4" t="n">
        <v>29.9</v>
      </c>
      <c r="I168" s="5" t="n">
        <v>11.7717</v>
      </c>
      <c r="J168" s="4" t="n">
        <v>2.54</v>
      </c>
      <c r="K168" s="5" t="n">
        <v>8.4588</v>
      </c>
      <c r="L168" s="6" t="n">
        <v>3.3768</v>
      </c>
      <c r="M168" s="5" t="n">
        <f aca="false">IF(AND(N(K168)&gt;0,N(L168)&gt;0),K168/L168,"")</f>
        <v>2.50497512437811</v>
      </c>
      <c r="N168" s="2"/>
    </row>
    <row r="169" customFormat="false" ht="15" hidden="false" customHeight="false" outlineLevel="0" collapsed="false">
      <c r="A169" s="2" t="n">
        <v>168</v>
      </c>
      <c r="B169" s="2" t="s">
        <v>433</v>
      </c>
      <c r="C169" s="2" t="s">
        <v>434</v>
      </c>
      <c r="D169" s="2" t="s">
        <v>86</v>
      </c>
      <c r="E169" s="2" t="s">
        <v>414</v>
      </c>
      <c r="F169" s="3" t="n">
        <v>0.001695</v>
      </c>
      <c r="G169" s="3" t="n">
        <f aca="false">SUM($F$2:F169)</f>
        <v>0.433179</v>
      </c>
      <c r="H169" s="4" t="n">
        <v>202.57</v>
      </c>
      <c r="I169" s="5" t="n">
        <v>35.6011</v>
      </c>
      <c r="J169" s="4" t="n">
        <v>5.69</v>
      </c>
      <c r="K169" s="5" t="n">
        <v>10.8929</v>
      </c>
      <c r="L169" s="6" t="n">
        <v>14.4963</v>
      </c>
      <c r="M169" s="5" t="n">
        <f aca="false">IF(AND(N(K169)&gt;0,N(L169)&gt;0),K169/L169,"")</f>
        <v>0.751426226002497</v>
      </c>
      <c r="N169" s="2"/>
    </row>
    <row r="170" customFormat="false" ht="15" hidden="false" customHeight="false" outlineLevel="0" collapsed="false">
      <c r="A170" s="2" t="n">
        <v>169</v>
      </c>
      <c r="B170" s="2" t="s">
        <v>435</v>
      </c>
      <c r="C170" s="2" t="s">
        <v>436</v>
      </c>
      <c r="D170" s="2" t="s">
        <v>33</v>
      </c>
      <c r="E170" s="2" t="s">
        <v>329</v>
      </c>
      <c r="F170" s="3" t="n">
        <v>0.001695</v>
      </c>
      <c r="G170" s="3" t="n">
        <f aca="false">SUM($F$2:F170)</f>
        <v>0.434874</v>
      </c>
      <c r="H170" s="4" t="n">
        <v>180.71</v>
      </c>
      <c r="I170" s="5" t="n">
        <v>250.9861</v>
      </c>
      <c r="J170" s="4" t="n">
        <v>0.72</v>
      </c>
      <c r="K170" s="5" t="n">
        <v>10.1985</v>
      </c>
      <c r="L170" s="6" t="n">
        <v>12.99</v>
      </c>
      <c r="M170" s="5" t="n">
        <f aca="false">IF(AND(N(K170)&gt;0,N(L170)&gt;0),K170/L170,"")</f>
        <v>0.785103926096998</v>
      </c>
      <c r="N170" s="2"/>
    </row>
    <row r="171" customFormat="false" ht="15" hidden="false" customHeight="false" outlineLevel="0" collapsed="false">
      <c r="A171" s="2" t="n">
        <v>170</v>
      </c>
      <c r="B171" s="2" t="s">
        <v>437</v>
      </c>
      <c r="C171" s="2" t="s">
        <v>438</v>
      </c>
      <c r="D171" s="2" t="s">
        <v>22</v>
      </c>
      <c r="E171" s="2" t="s">
        <v>439</v>
      </c>
      <c r="F171" s="3" t="n">
        <v>0.001691</v>
      </c>
      <c r="G171" s="3" t="n">
        <f aca="false">SUM($F$2:F171)</f>
        <v>0.436565</v>
      </c>
      <c r="H171" s="4" t="n">
        <v>13.57</v>
      </c>
      <c r="I171" s="5"/>
      <c r="J171" s="4" t="n">
        <v>-0.49</v>
      </c>
      <c r="K171" s="5" t="n">
        <v>8.9829</v>
      </c>
      <c r="L171" s="6" t="n">
        <v>0.154</v>
      </c>
      <c r="M171" s="5" t="n">
        <f aca="false">IF(AND(N(K171)&gt;0,N(L171)&gt;0),K171/L171,"")</f>
        <v>58.3305194805195</v>
      </c>
      <c r="N171" s="2" t="s">
        <v>50</v>
      </c>
    </row>
    <row r="172" customFormat="false" ht="15" hidden="false" customHeight="false" outlineLevel="0" collapsed="false">
      <c r="A172" s="2" t="n">
        <v>171</v>
      </c>
      <c r="B172" s="2" t="s">
        <v>440</v>
      </c>
      <c r="C172" s="2" t="s">
        <v>441</v>
      </c>
      <c r="D172" s="2" t="s">
        <v>86</v>
      </c>
      <c r="E172" s="2" t="s">
        <v>442</v>
      </c>
      <c r="F172" s="3" t="n">
        <v>0.001682</v>
      </c>
      <c r="G172" s="3" t="n">
        <f aca="false">SUM($F$2:F172)</f>
        <v>0.438247</v>
      </c>
      <c r="H172" s="4" t="n">
        <v>28.09</v>
      </c>
      <c r="I172" s="5" t="n">
        <v>20.0643</v>
      </c>
      <c r="J172" s="4" t="n">
        <v>1.4</v>
      </c>
      <c r="K172" s="5" t="n">
        <v>8.62</v>
      </c>
      <c r="L172" s="6" t="n">
        <v>6.1413</v>
      </c>
      <c r="M172" s="5" t="n">
        <f aca="false">IF(AND(N(K172)&gt;0,N(L172)&gt;0),K172/L172,"")</f>
        <v>1.40361161317636</v>
      </c>
      <c r="N172" s="2"/>
    </row>
    <row r="173" customFormat="false" ht="15" hidden="false" customHeight="false" outlineLevel="0" collapsed="false">
      <c r="A173" s="2" t="n">
        <v>172</v>
      </c>
      <c r="B173" s="2" t="s">
        <v>443</v>
      </c>
      <c r="C173" s="2" t="s">
        <v>444</v>
      </c>
      <c r="D173" s="2" t="s">
        <v>26</v>
      </c>
      <c r="E173" s="2" t="s">
        <v>103</v>
      </c>
      <c r="F173" s="3" t="n">
        <v>0.001674</v>
      </c>
      <c r="G173" s="3" t="n">
        <f aca="false">SUM($F$2:F173)</f>
        <v>0.439921</v>
      </c>
      <c r="H173" s="4" t="n">
        <v>34.75</v>
      </c>
      <c r="I173" s="5" t="n">
        <v>6.1613</v>
      </c>
      <c r="J173" s="4" t="n">
        <v>5.64</v>
      </c>
      <c r="K173" s="5" t="n">
        <v>8.2654</v>
      </c>
      <c r="L173" s="6" t="n">
        <v>1.6657</v>
      </c>
      <c r="M173" s="5" t="n">
        <f aca="false">IF(AND(N(K173)&gt;0,N(L173)&gt;0),K173/L173,"")</f>
        <v>4.96211802845651</v>
      </c>
      <c r="N173" s="2"/>
    </row>
    <row r="174" customFormat="false" ht="15" hidden="false" customHeight="false" outlineLevel="0" collapsed="false">
      <c r="A174" s="2" t="n">
        <v>173</v>
      </c>
      <c r="B174" s="2" t="s">
        <v>445</v>
      </c>
      <c r="C174" s="2" t="s">
        <v>446</v>
      </c>
      <c r="D174" s="2" t="s">
        <v>22</v>
      </c>
      <c r="E174" s="2" t="s">
        <v>259</v>
      </c>
      <c r="F174" s="3" t="n">
        <v>0.00166</v>
      </c>
      <c r="G174" s="3" t="n">
        <f aca="false">SUM($F$2:F174)</f>
        <v>0.441581</v>
      </c>
      <c r="H174" s="4" t="n">
        <v>126.88</v>
      </c>
      <c r="I174" s="5" t="n">
        <v>21.615</v>
      </c>
      <c r="J174" s="4" t="n">
        <v>5.87</v>
      </c>
      <c r="K174" s="5" t="n">
        <v>9.5674</v>
      </c>
      <c r="L174" s="6" t="n">
        <v>2.9698</v>
      </c>
      <c r="M174" s="5" t="n">
        <f aca="false">IF(AND(N(K174)&gt;0,N(L174)&gt;0),K174/L174,"")</f>
        <v>3.22156374166611</v>
      </c>
      <c r="N174" s="2"/>
    </row>
    <row r="175" customFormat="false" ht="15" hidden="false" customHeight="false" outlineLevel="0" collapsed="false">
      <c r="A175" s="2" t="n">
        <v>174</v>
      </c>
      <c r="B175" s="2" t="s">
        <v>447</v>
      </c>
      <c r="C175" s="2" t="s">
        <v>448</v>
      </c>
      <c r="D175" s="2" t="s">
        <v>16</v>
      </c>
      <c r="E175" s="2" t="s">
        <v>449</v>
      </c>
      <c r="F175" s="3" t="n">
        <v>0.00166</v>
      </c>
      <c r="G175" s="3" t="n">
        <f aca="false">SUM($F$2:F175)</f>
        <v>0.443241</v>
      </c>
      <c r="H175" s="4" t="n">
        <v>36.2</v>
      </c>
      <c r="I175" s="5"/>
      <c r="J175" s="4" t="n">
        <v>-0.13</v>
      </c>
      <c r="K175" s="5" t="n">
        <v>8.9323</v>
      </c>
      <c r="L175" s="6" t="n">
        <v>5.8831</v>
      </c>
      <c r="M175" s="5" t="n">
        <f aca="false">IF(AND(N(K175)&gt;0,N(L175)&gt;0),K175/L175,"")</f>
        <v>1.51829817613163</v>
      </c>
      <c r="N175" s="2" t="s">
        <v>50</v>
      </c>
    </row>
    <row r="176" customFormat="false" ht="15" hidden="false" customHeight="false" outlineLevel="0" collapsed="false">
      <c r="A176" s="2" t="n">
        <v>175</v>
      </c>
      <c r="B176" s="2" t="s">
        <v>450</v>
      </c>
      <c r="C176" s="2" t="s">
        <v>451</v>
      </c>
      <c r="D176" s="2" t="s">
        <v>58</v>
      </c>
      <c r="E176" s="2" t="s">
        <v>452</v>
      </c>
      <c r="F176" s="3" t="n">
        <v>0.001655</v>
      </c>
      <c r="G176" s="3" t="n">
        <f aca="false">SUM($F$2:F176)</f>
        <v>0.444896</v>
      </c>
      <c r="H176" s="4" t="n">
        <v>189.9</v>
      </c>
      <c r="I176" s="5" t="n">
        <v>25.1857</v>
      </c>
      <c r="J176" s="4" t="n">
        <v>7.54</v>
      </c>
      <c r="K176" s="5" t="n">
        <v>12.6406</v>
      </c>
      <c r="L176" s="6" t="n">
        <v>1.6434</v>
      </c>
      <c r="M176" s="5" t="n">
        <f aca="false">IF(AND(N(K176)&gt;0,N(L176)&gt;0),K176/L176,"")</f>
        <v>7.69173664354387</v>
      </c>
      <c r="N176" s="2"/>
    </row>
    <row r="177" customFormat="false" ht="15" hidden="false" customHeight="false" outlineLevel="0" collapsed="false">
      <c r="A177" s="2" t="n">
        <v>176</v>
      </c>
      <c r="B177" s="2" t="s">
        <v>453</v>
      </c>
      <c r="C177" s="2" t="s">
        <v>454</v>
      </c>
      <c r="D177" s="2" t="s">
        <v>79</v>
      </c>
      <c r="E177" s="2" t="s">
        <v>80</v>
      </c>
      <c r="F177" s="3" t="n">
        <v>0.001649</v>
      </c>
      <c r="G177" s="3" t="n">
        <f aca="false">SUM($F$2:F177)</f>
        <v>0.446545</v>
      </c>
      <c r="H177" s="4" t="n">
        <v>147.08</v>
      </c>
      <c r="I177" s="5" t="n">
        <v>11.8232</v>
      </c>
      <c r="J177" s="4" t="n">
        <v>12.44</v>
      </c>
      <c r="K177" s="5" t="n">
        <v>9.9213</v>
      </c>
      <c r="L177" s="6" t="n">
        <v>3.5967</v>
      </c>
      <c r="M177" s="5" t="n">
        <f aca="false">IF(AND(N(K177)&gt;0,N(L177)&gt;0),K177/L177,"")</f>
        <v>2.75844524147135</v>
      </c>
      <c r="N177" s="2"/>
    </row>
    <row r="178" customFormat="false" ht="15" hidden="false" customHeight="false" outlineLevel="0" collapsed="false">
      <c r="A178" s="2" t="n">
        <v>177</v>
      </c>
      <c r="B178" s="2" t="s">
        <v>455</v>
      </c>
      <c r="C178" s="2" t="s">
        <v>456</v>
      </c>
      <c r="D178" s="2" t="s">
        <v>22</v>
      </c>
      <c r="E178" s="2" t="s">
        <v>259</v>
      </c>
      <c r="F178" s="3" t="n">
        <v>0.001646</v>
      </c>
      <c r="G178" s="3" t="n">
        <f aca="false">SUM($F$2:F178)</f>
        <v>0.448191</v>
      </c>
      <c r="H178" s="4" t="n">
        <v>181.19</v>
      </c>
      <c r="I178" s="5" t="n">
        <v>31.8436</v>
      </c>
      <c r="J178" s="4" t="n">
        <v>5.69</v>
      </c>
      <c r="K178" s="5" t="n">
        <v>9.0751</v>
      </c>
      <c r="L178" s="6" t="n">
        <v>3.6654</v>
      </c>
      <c r="M178" s="5" t="n">
        <f aca="false">IF(AND(N(K178)&gt;0,N(L178)&gt;0),K178/L178,"")</f>
        <v>2.47588257761772</v>
      </c>
      <c r="N178" s="2"/>
    </row>
    <row r="179" customFormat="false" ht="15" hidden="false" customHeight="false" outlineLevel="0" collapsed="false">
      <c r="A179" s="2" t="n">
        <v>178</v>
      </c>
      <c r="B179" s="2" t="s">
        <v>457</v>
      </c>
      <c r="C179" s="2" t="s">
        <v>458</v>
      </c>
      <c r="D179" s="2" t="s">
        <v>86</v>
      </c>
      <c r="E179" s="2" t="s">
        <v>414</v>
      </c>
      <c r="F179" s="3" t="n">
        <v>0.001639</v>
      </c>
      <c r="G179" s="3" t="n">
        <f aca="false">SUM($F$2:F179)</f>
        <v>0.44983</v>
      </c>
      <c r="H179" s="4" t="n">
        <v>62</v>
      </c>
      <c r="I179" s="5" t="n">
        <v>22.5455</v>
      </c>
      <c r="J179" s="4" t="n">
        <v>2.75</v>
      </c>
      <c r="K179" s="5" t="n">
        <v>8.4952</v>
      </c>
      <c r="L179" s="6" t="n">
        <v>11.1724</v>
      </c>
      <c r="M179" s="5" t="n">
        <f aca="false">IF(AND(N(K179)&gt;0,N(L179)&gt;0),K179/L179,"")</f>
        <v>0.760373778239233</v>
      </c>
      <c r="N179" s="2"/>
    </row>
    <row r="180" customFormat="false" ht="15" hidden="false" customHeight="false" outlineLevel="0" collapsed="false">
      <c r="A180" s="2" t="n">
        <v>179</v>
      </c>
      <c r="B180" s="2" t="s">
        <v>459</v>
      </c>
      <c r="C180" s="2" t="s">
        <v>460</v>
      </c>
      <c r="D180" s="2" t="s">
        <v>62</v>
      </c>
      <c r="E180" s="2" t="s">
        <v>461</v>
      </c>
      <c r="F180" s="3" t="n">
        <v>0.001631</v>
      </c>
      <c r="G180" s="3" t="n">
        <f aca="false">SUM($F$2:F180)</f>
        <v>0.451461</v>
      </c>
      <c r="H180" s="4" t="n">
        <v>44.64</v>
      </c>
      <c r="I180" s="5" t="n">
        <v>9.2807</v>
      </c>
      <c r="J180" s="4" t="n">
        <v>4.81</v>
      </c>
      <c r="K180" s="5" t="n">
        <v>11.7809</v>
      </c>
      <c r="L180" s="6" t="n">
        <v>0.8661</v>
      </c>
      <c r="M180" s="5" t="n">
        <f aca="false">IF(AND(N(K180)&gt;0,N(L180)&gt;0),K180/L180,"")</f>
        <v>13.6022399261055</v>
      </c>
      <c r="N180" s="2"/>
    </row>
    <row r="181" customFormat="false" ht="15" hidden="false" customHeight="false" outlineLevel="0" collapsed="false">
      <c r="A181" s="2" t="n">
        <v>180</v>
      </c>
      <c r="B181" s="2" t="s">
        <v>462</v>
      </c>
      <c r="C181" s="2" t="s">
        <v>463</v>
      </c>
      <c r="D181" s="2" t="s">
        <v>79</v>
      </c>
      <c r="E181" s="2" t="s">
        <v>241</v>
      </c>
      <c r="F181" s="3" t="n">
        <v>0.001628</v>
      </c>
      <c r="G181" s="3" t="n">
        <f aca="false">SUM($F$2:F181)</f>
        <v>0.453089</v>
      </c>
      <c r="H181" s="4" t="n">
        <v>131.87</v>
      </c>
      <c r="I181" s="5" t="n">
        <v>144.9121</v>
      </c>
      <c r="J181" s="4" t="n">
        <v>0.91</v>
      </c>
      <c r="K181" s="5" t="n">
        <v>8.9314</v>
      </c>
      <c r="L181" s="6" t="n">
        <v>1.3638</v>
      </c>
      <c r="M181" s="5" t="n">
        <f aca="false">IF(AND(N(K181)&gt;0,N(L181)&gt;0),K181/L181,"")</f>
        <v>6.5489074644376</v>
      </c>
      <c r="N181" s="2"/>
    </row>
    <row r="182" customFormat="false" ht="15" hidden="false" customHeight="false" outlineLevel="0" collapsed="false">
      <c r="A182" s="2" t="n">
        <v>181</v>
      </c>
      <c r="B182" s="2" t="s">
        <v>464</v>
      </c>
      <c r="C182" s="2" t="s">
        <v>465</v>
      </c>
      <c r="D182" s="2" t="s">
        <v>33</v>
      </c>
      <c r="E182" s="2" t="s">
        <v>244</v>
      </c>
      <c r="F182" s="3" t="n">
        <v>0.001624</v>
      </c>
      <c r="G182" s="3" t="n">
        <f aca="false">SUM($F$2:F182)</f>
        <v>0.454713</v>
      </c>
      <c r="H182" s="4" t="n">
        <v>74.29</v>
      </c>
      <c r="I182" s="5" t="n">
        <v>19</v>
      </c>
      <c r="J182" s="4" t="n">
        <v>3.91</v>
      </c>
      <c r="K182" s="5" t="n">
        <v>9.9743</v>
      </c>
      <c r="L182" s="6" t="n">
        <v>3.1716</v>
      </c>
      <c r="M182" s="5" t="n">
        <f aca="false">IF(AND(N(K182)&gt;0,N(L182)&gt;0),K182/L182,"")</f>
        <v>3.14487955606003</v>
      </c>
      <c r="N182" s="2"/>
    </row>
    <row r="183" customFormat="false" ht="15" hidden="false" customHeight="false" outlineLevel="0" collapsed="false">
      <c r="A183" s="2" t="n">
        <v>182</v>
      </c>
      <c r="B183" s="2" t="s">
        <v>466</v>
      </c>
      <c r="C183" s="2" t="s">
        <v>467</v>
      </c>
      <c r="D183" s="2" t="s">
        <v>93</v>
      </c>
      <c r="E183" s="2" t="s">
        <v>285</v>
      </c>
      <c r="F183" s="3" t="n">
        <v>0.001621</v>
      </c>
      <c r="G183" s="3" t="n">
        <f aca="false">SUM($F$2:F183)</f>
        <v>0.456334</v>
      </c>
      <c r="H183" s="4" t="n">
        <v>200.3</v>
      </c>
      <c r="I183" s="5" t="n">
        <v>18.4099</v>
      </c>
      <c r="J183" s="4" t="n">
        <v>10.88</v>
      </c>
      <c r="K183" s="5" t="n">
        <v>8.3655</v>
      </c>
      <c r="L183" s="6" t="n">
        <v>1.4405</v>
      </c>
      <c r="M183" s="5" t="n">
        <f aca="false">IF(AND(N(K183)&gt;0,N(L183)&gt;0),K183/L183,"")</f>
        <v>5.80735855605693</v>
      </c>
      <c r="N183" s="2"/>
    </row>
    <row r="184" customFormat="false" ht="15" hidden="false" customHeight="false" outlineLevel="0" collapsed="false">
      <c r="A184" s="2" t="n">
        <v>183</v>
      </c>
      <c r="B184" s="2" t="s">
        <v>468</v>
      </c>
      <c r="C184" s="2" t="s">
        <v>469</v>
      </c>
      <c r="D184" s="2" t="s">
        <v>86</v>
      </c>
      <c r="E184" s="2" t="s">
        <v>414</v>
      </c>
      <c r="F184" s="3" t="n">
        <v>0.001621</v>
      </c>
      <c r="G184" s="3" t="n">
        <f aca="false">SUM($F$2:F184)</f>
        <v>0.457955</v>
      </c>
      <c r="H184" s="4" t="n">
        <v>38.72</v>
      </c>
      <c r="I184" s="5"/>
      <c r="J184" s="4" t="n">
        <v>-1.78</v>
      </c>
      <c r="K184" s="5" t="n">
        <v>8.8527</v>
      </c>
      <c r="L184" s="6" t="n">
        <v>8.9248</v>
      </c>
      <c r="M184" s="5" t="n">
        <f aca="false">IF(AND(N(K184)&gt;0,N(L184)&gt;0),K184/L184,"")</f>
        <v>0.99192138759412</v>
      </c>
      <c r="N184" s="2" t="s">
        <v>50</v>
      </c>
    </row>
    <row r="185" customFormat="false" ht="15" hidden="false" customHeight="false" outlineLevel="0" collapsed="false">
      <c r="A185" s="2" t="n">
        <v>184</v>
      </c>
      <c r="B185" s="2" t="s">
        <v>470</v>
      </c>
      <c r="C185" s="2" t="s">
        <v>471</v>
      </c>
      <c r="D185" s="2" t="s">
        <v>16</v>
      </c>
      <c r="E185" s="2" t="s">
        <v>17</v>
      </c>
      <c r="F185" s="3" t="n">
        <v>0.001607</v>
      </c>
      <c r="G185" s="3" t="n">
        <f aca="false">SUM($F$2:F185)</f>
        <v>0.459562</v>
      </c>
      <c r="H185" s="4" t="n">
        <v>187.31</v>
      </c>
      <c r="I185" s="5" t="n">
        <v>18.6936</v>
      </c>
      <c r="J185" s="4" t="n">
        <v>10.02</v>
      </c>
      <c r="K185" s="5" t="n">
        <v>6.3838</v>
      </c>
      <c r="L185" s="6" t="n">
        <v>2.2864</v>
      </c>
      <c r="M185" s="5" t="n">
        <f aca="false">IF(AND(N(K185)&gt;0,N(L185)&gt;0),K185/L185,"")</f>
        <v>2.79207487753674</v>
      </c>
      <c r="N185" s="2"/>
    </row>
    <row r="186" customFormat="false" ht="15" hidden="false" customHeight="false" outlineLevel="0" collapsed="false">
      <c r="A186" s="2" t="n">
        <v>185</v>
      </c>
      <c r="B186" s="2" t="s">
        <v>472</v>
      </c>
      <c r="C186" s="2" t="s">
        <v>473</v>
      </c>
      <c r="D186" s="2" t="s">
        <v>79</v>
      </c>
      <c r="E186" s="2" t="s">
        <v>230</v>
      </c>
      <c r="F186" s="3" t="n">
        <v>0.001601</v>
      </c>
      <c r="G186" s="3" t="n">
        <f aca="false">SUM($F$2:F186)</f>
        <v>0.461163</v>
      </c>
      <c r="H186" s="4" t="n">
        <v>47.85</v>
      </c>
      <c r="I186" s="5" t="n">
        <v>13.3659</v>
      </c>
      <c r="J186" s="4" t="n">
        <v>3.58</v>
      </c>
      <c r="K186" s="5" t="n">
        <v>9.7323</v>
      </c>
      <c r="L186" s="6" t="n">
        <v>1.167</v>
      </c>
      <c r="M186" s="5" t="n">
        <f aca="false">IF(AND(N(K186)&gt;0,N(L186)&gt;0),K186/L186,"")</f>
        <v>8.33958868894602</v>
      </c>
      <c r="N186" s="2"/>
    </row>
    <row r="187" customFormat="false" ht="15" hidden="false" customHeight="false" outlineLevel="0" collapsed="false">
      <c r="A187" s="2" t="n">
        <v>186</v>
      </c>
      <c r="B187" s="2" t="s">
        <v>474</v>
      </c>
      <c r="C187" s="2" t="s">
        <v>475</v>
      </c>
      <c r="D187" s="2" t="s">
        <v>22</v>
      </c>
      <c r="E187" s="2" t="s">
        <v>476</v>
      </c>
      <c r="F187" s="3" t="n">
        <v>0.001599</v>
      </c>
      <c r="G187" s="3" t="n">
        <f aca="false">SUM($F$2:F187)</f>
        <v>0.462762</v>
      </c>
      <c r="H187" s="4" t="n">
        <v>234.72</v>
      </c>
      <c r="I187" s="5" t="n">
        <v>15.8488</v>
      </c>
      <c r="J187" s="4" t="n">
        <v>14.81</v>
      </c>
      <c r="K187" s="5" t="n">
        <v>7.0189</v>
      </c>
      <c r="L187" s="6" t="n">
        <v>2.0291</v>
      </c>
      <c r="M187" s="5" t="n">
        <f aca="false">IF(AND(N(K187)&gt;0,N(L187)&gt;0),K187/L187,"")</f>
        <v>3.4591198068109</v>
      </c>
      <c r="N187" s="2"/>
    </row>
    <row r="188" customFormat="false" ht="15" hidden="false" customHeight="false" outlineLevel="0" collapsed="false">
      <c r="A188" s="2" t="n">
        <v>187</v>
      </c>
      <c r="B188" s="2" t="s">
        <v>477</v>
      </c>
      <c r="C188" s="2" t="s">
        <v>478</v>
      </c>
      <c r="D188" s="2" t="s">
        <v>26</v>
      </c>
      <c r="E188" s="2" t="s">
        <v>90</v>
      </c>
      <c r="F188" s="3" t="n">
        <v>0.001598</v>
      </c>
      <c r="G188" s="3" t="n">
        <f aca="false">SUM($F$2:F188)</f>
        <v>0.46436</v>
      </c>
      <c r="H188" s="4" t="n">
        <v>72.48</v>
      </c>
      <c r="I188" s="5" t="n">
        <v>6.3523</v>
      </c>
      <c r="J188" s="4" t="n">
        <v>11.41</v>
      </c>
      <c r="K188" s="5" t="n">
        <v>8.5916</v>
      </c>
      <c r="L188" s="6" t="n">
        <v>0.2499</v>
      </c>
      <c r="M188" s="5" t="n">
        <f aca="false">IF(AND(N(K188)&gt;0,N(L188)&gt;0),K188/L188,"")</f>
        <v>34.3801520608243</v>
      </c>
      <c r="N188" s="2"/>
    </row>
    <row r="189" customFormat="false" ht="15" hidden="false" customHeight="false" outlineLevel="0" collapsed="false">
      <c r="A189" s="2" t="n">
        <v>188</v>
      </c>
      <c r="B189" s="2" t="s">
        <v>479</v>
      </c>
      <c r="C189" s="2" t="s">
        <v>480</v>
      </c>
      <c r="D189" s="2" t="s">
        <v>79</v>
      </c>
      <c r="E189" s="2" t="s">
        <v>276</v>
      </c>
      <c r="F189" s="3" t="n">
        <v>0.001589</v>
      </c>
      <c r="G189" s="3" t="n">
        <f aca="false">SUM($F$2:F189)</f>
        <v>0.465949</v>
      </c>
      <c r="H189" s="4" t="n">
        <v>29.45</v>
      </c>
      <c r="I189" s="5" t="n">
        <v>9.2031</v>
      </c>
      <c r="J189" s="4" t="n">
        <v>3.2</v>
      </c>
      <c r="K189" s="5" t="n">
        <v>6.0409</v>
      </c>
      <c r="L189" s="6" t="n">
        <v>5.0525</v>
      </c>
      <c r="M189" s="5" t="n">
        <f aca="false">IF(AND(N(K189)&gt;0,N(L189)&gt;0),K189/L189,"")</f>
        <v>1.19562592775854</v>
      </c>
      <c r="N189" s="2"/>
    </row>
    <row r="190" customFormat="false" ht="15" hidden="false" customHeight="false" outlineLevel="0" collapsed="false">
      <c r="A190" s="2" t="n">
        <v>189</v>
      </c>
      <c r="B190" s="2" t="s">
        <v>481</v>
      </c>
      <c r="C190" s="2" t="s">
        <v>482</v>
      </c>
      <c r="D190" s="2" t="s">
        <v>22</v>
      </c>
      <c r="E190" s="2" t="s">
        <v>483</v>
      </c>
      <c r="F190" s="3" t="n">
        <v>0.001576</v>
      </c>
      <c r="G190" s="3" t="n">
        <f aca="false">SUM($F$2:F190)</f>
        <v>0.467525</v>
      </c>
      <c r="H190" s="4" t="n">
        <v>77.38</v>
      </c>
      <c r="I190" s="5" t="n">
        <v>12.1476</v>
      </c>
      <c r="J190" s="4" t="n">
        <v>6.37</v>
      </c>
      <c r="K190" s="5" t="n">
        <v>9.3077</v>
      </c>
      <c r="L190" s="6" t="n">
        <v>0.8391</v>
      </c>
      <c r="M190" s="5" t="n">
        <f aca="false">IF(AND(N(K190)&gt;0,N(L190)&gt;0),K190/L190,"")</f>
        <v>11.0924800381361</v>
      </c>
      <c r="N190" s="2"/>
    </row>
    <row r="191" customFormat="false" ht="15" hidden="false" customHeight="false" outlineLevel="0" collapsed="false">
      <c r="A191" s="2" t="n">
        <v>190</v>
      </c>
      <c r="B191" s="2" t="s">
        <v>484</v>
      </c>
      <c r="C191" s="2" t="s">
        <v>485</v>
      </c>
      <c r="D191" s="2" t="s">
        <v>26</v>
      </c>
      <c r="E191" s="2" t="s">
        <v>27</v>
      </c>
      <c r="F191" s="3" t="n">
        <v>0.001571</v>
      </c>
      <c r="G191" s="3" t="n">
        <f aca="false">SUM($F$2:F191)</f>
        <v>0.469096</v>
      </c>
      <c r="H191" s="4" t="n">
        <v>20.15</v>
      </c>
      <c r="I191" s="5" t="n">
        <v>74.6296</v>
      </c>
      <c r="J191" s="4" t="n">
        <v>0.27</v>
      </c>
      <c r="K191" s="5" t="n">
        <v>7.183</v>
      </c>
      <c r="L191" s="6" t="n">
        <v>0.8315</v>
      </c>
      <c r="M191" s="5" t="n">
        <f aca="false">IF(AND(N(K191)&gt;0,N(L191)&gt;0),K191/L191,"")</f>
        <v>8.63860493084787</v>
      </c>
      <c r="N191" s="2"/>
    </row>
    <row r="192" customFormat="false" ht="15" hidden="false" customHeight="false" outlineLevel="0" collapsed="false">
      <c r="A192" s="2" t="n">
        <v>191</v>
      </c>
      <c r="B192" s="2" t="s">
        <v>486</v>
      </c>
      <c r="C192" s="2" t="s">
        <v>487</v>
      </c>
      <c r="D192" s="2" t="s">
        <v>79</v>
      </c>
      <c r="E192" s="2" t="s">
        <v>360</v>
      </c>
      <c r="F192" s="3" t="n">
        <v>0.001562</v>
      </c>
      <c r="G192" s="3" t="n">
        <f aca="false">SUM($F$2:F192)</f>
        <v>0.470658</v>
      </c>
      <c r="H192" s="4" t="n">
        <v>223.21</v>
      </c>
      <c r="I192" s="5" t="n">
        <v>10.685</v>
      </c>
      <c r="J192" s="4" t="n">
        <v>20.89</v>
      </c>
      <c r="K192" s="5" t="n">
        <v>7.7722</v>
      </c>
      <c r="L192" s="6" t="n">
        <v>1.149</v>
      </c>
      <c r="M192" s="5" t="n">
        <f aca="false">IF(AND(N(K192)&gt;0,N(L192)&gt;0),K192/L192,"")</f>
        <v>6.76431679721497</v>
      </c>
      <c r="N192" s="2"/>
    </row>
    <row r="193" customFormat="false" ht="15" hidden="false" customHeight="false" outlineLevel="0" collapsed="false">
      <c r="A193" s="2" t="n">
        <v>192</v>
      </c>
      <c r="B193" s="2" t="s">
        <v>488</v>
      </c>
      <c r="C193" s="2" t="s">
        <v>489</v>
      </c>
      <c r="D193" s="2" t="s">
        <v>33</v>
      </c>
      <c r="E193" s="2" t="s">
        <v>329</v>
      </c>
      <c r="F193" s="3" t="n">
        <v>0.00156</v>
      </c>
      <c r="G193" s="3" t="n">
        <f aca="false">SUM($F$2:F193)</f>
        <v>0.472218</v>
      </c>
      <c r="H193" s="4" t="n">
        <v>123.4</v>
      </c>
      <c r="I193" s="5" t="n">
        <v>22.2744</v>
      </c>
      <c r="J193" s="4" t="n">
        <v>5.54</v>
      </c>
      <c r="K193" s="5" t="n">
        <v>7.8459</v>
      </c>
      <c r="L193" s="6" t="n">
        <v>1.9948</v>
      </c>
      <c r="M193" s="5" t="n">
        <f aca="false">IF(AND(N(K193)&gt;0,N(L193)&gt;0),K193/L193,"")</f>
        <v>3.93317625827151</v>
      </c>
      <c r="N193" s="2"/>
    </row>
    <row r="194" customFormat="false" ht="15" hidden="false" customHeight="false" outlineLevel="0" collapsed="false">
      <c r="A194" s="2" t="n">
        <v>193</v>
      </c>
      <c r="B194" s="2" t="s">
        <v>490</v>
      </c>
      <c r="C194" s="2" t="s">
        <v>491</v>
      </c>
      <c r="D194" s="2" t="s">
        <v>79</v>
      </c>
      <c r="E194" s="2" t="s">
        <v>360</v>
      </c>
      <c r="F194" s="3" t="n">
        <v>0.001557</v>
      </c>
      <c r="G194" s="3" t="n">
        <f aca="false">SUM($F$2:F194)</f>
        <v>0.473775</v>
      </c>
      <c r="H194" s="4" t="n">
        <v>39.22</v>
      </c>
      <c r="I194" s="5" t="n">
        <v>8.6009</v>
      </c>
      <c r="J194" s="4" t="n">
        <v>4.56</v>
      </c>
      <c r="K194" s="5" t="n">
        <v>9.469</v>
      </c>
      <c r="L194" s="6" t="n">
        <v>0.9745</v>
      </c>
      <c r="M194" s="5" t="n">
        <f aca="false">IF(AND(N(K194)&gt;0,N(L194)&gt;0),K194/L194,"")</f>
        <v>9.71677783478707</v>
      </c>
      <c r="N194" s="2"/>
    </row>
    <row r="195" customFormat="false" ht="15" hidden="false" customHeight="false" outlineLevel="0" collapsed="false">
      <c r="A195" s="2" t="n">
        <v>194</v>
      </c>
      <c r="B195" s="2" t="s">
        <v>492</v>
      </c>
      <c r="C195" s="2" t="s">
        <v>493</v>
      </c>
      <c r="D195" s="2" t="s">
        <v>16</v>
      </c>
      <c r="E195" s="2" t="s">
        <v>160</v>
      </c>
      <c r="F195" s="3" t="n">
        <v>0.001552</v>
      </c>
      <c r="G195" s="3" t="n">
        <f aca="false">SUM($F$2:F195)</f>
        <v>0.475327</v>
      </c>
      <c r="H195" s="4" t="n">
        <v>68.91</v>
      </c>
      <c r="I195" s="5"/>
      <c r="J195" s="4" t="n">
        <v>-10.93</v>
      </c>
      <c r="K195" s="5" t="n">
        <v>7.6242</v>
      </c>
      <c r="L195" s="6" t="n">
        <v>3.4877</v>
      </c>
      <c r="M195" s="5" t="n">
        <f aca="false">IF(AND(N(K195)&gt;0,N(L195)&gt;0),K195/L195,"")</f>
        <v>2.18602517418356</v>
      </c>
      <c r="N195" s="2" t="s">
        <v>50</v>
      </c>
    </row>
    <row r="196" customFormat="false" ht="15" hidden="false" customHeight="false" outlineLevel="0" collapsed="false">
      <c r="A196" s="2" t="n">
        <v>195</v>
      </c>
      <c r="B196" s="2" t="s">
        <v>494</v>
      </c>
      <c r="C196" s="2" t="s">
        <v>495</v>
      </c>
      <c r="D196" s="2" t="s">
        <v>171</v>
      </c>
      <c r="E196" s="2" t="s">
        <v>496</v>
      </c>
      <c r="F196" s="3" t="n">
        <v>0.001545</v>
      </c>
      <c r="G196" s="3" t="n">
        <f aca="false">SUM($F$2:F196)</f>
        <v>0.476872</v>
      </c>
      <c r="H196" s="4" t="n">
        <v>37.23</v>
      </c>
      <c r="I196" s="5" t="n">
        <v>12.3688</v>
      </c>
      <c r="J196" s="4" t="n">
        <v>3.01</v>
      </c>
      <c r="K196" s="5" t="n">
        <v>7.9856</v>
      </c>
      <c r="L196" s="6" t="n">
        <v>1.0945</v>
      </c>
      <c r="M196" s="5" t="n">
        <f aca="false">IF(AND(N(K196)&gt;0,N(L196)&gt;0),K196/L196,"")</f>
        <v>7.29611694837826</v>
      </c>
      <c r="N196" s="2"/>
    </row>
    <row r="197" customFormat="false" ht="15" hidden="false" customHeight="false" outlineLevel="0" collapsed="false">
      <c r="A197" s="2" t="n">
        <v>196</v>
      </c>
      <c r="B197" s="2" t="s">
        <v>497</v>
      </c>
      <c r="C197" s="2" t="s">
        <v>498</v>
      </c>
      <c r="D197" s="2" t="s">
        <v>22</v>
      </c>
      <c r="E197" s="2" t="s">
        <v>112</v>
      </c>
      <c r="F197" s="3" t="n">
        <v>0.00154</v>
      </c>
      <c r="G197" s="3" t="n">
        <f aca="false">SUM($F$2:F197)</f>
        <v>0.478412</v>
      </c>
      <c r="H197" s="4" t="n">
        <v>114.84</v>
      </c>
      <c r="I197" s="5" t="n">
        <v>31.1219</v>
      </c>
      <c r="J197" s="4" t="n">
        <v>3.69</v>
      </c>
      <c r="K197" s="5" t="n">
        <v>7.958</v>
      </c>
      <c r="L197" s="6" t="n">
        <v>1.6718</v>
      </c>
      <c r="M197" s="5" t="n">
        <f aca="false">IF(AND(N(K197)&gt;0,N(L197)&gt;0),K197/L197,"")</f>
        <v>4.76013877258045</v>
      </c>
      <c r="N197" s="2"/>
    </row>
    <row r="198" customFormat="false" ht="15" hidden="false" customHeight="false" outlineLevel="0" collapsed="false">
      <c r="A198" s="2" t="n">
        <v>197</v>
      </c>
      <c r="B198" s="2" t="s">
        <v>499</v>
      </c>
      <c r="C198" s="2" t="s">
        <v>500</v>
      </c>
      <c r="D198" s="2" t="s">
        <v>62</v>
      </c>
      <c r="E198" s="2" t="s">
        <v>189</v>
      </c>
      <c r="F198" s="3" t="n">
        <v>0.001534</v>
      </c>
      <c r="G198" s="3" t="n">
        <f aca="false">SUM($F$2:F198)</f>
        <v>0.479946</v>
      </c>
      <c r="H198" s="4" t="n">
        <v>65.09</v>
      </c>
      <c r="I198" s="5" t="n">
        <v>16.9505</v>
      </c>
      <c r="J198" s="4" t="n">
        <v>3.84</v>
      </c>
      <c r="K198" s="5" t="n">
        <v>7.4415</v>
      </c>
      <c r="L198" s="6" t="n">
        <v>0.8394</v>
      </c>
      <c r="M198" s="5" t="n">
        <f aca="false">IF(AND(N(K198)&gt;0,N(L198)&gt;0),K198/L198,"")</f>
        <v>8.86526090064332</v>
      </c>
      <c r="N198" s="2"/>
    </row>
    <row r="199" customFormat="false" ht="15" hidden="false" customHeight="false" outlineLevel="0" collapsed="false">
      <c r="A199" s="2" t="n">
        <v>198</v>
      </c>
      <c r="B199" s="2" t="s">
        <v>501</v>
      </c>
      <c r="C199" s="2" t="s">
        <v>502</v>
      </c>
      <c r="D199" s="2" t="s">
        <v>79</v>
      </c>
      <c r="E199" s="2" t="s">
        <v>80</v>
      </c>
      <c r="F199" s="3" t="n">
        <v>0.001534</v>
      </c>
      <c r="G199" s="3" t="n">
        <f aca="false">SUM($F$2:F199)</f>
        <v>0.48148</v>
      </c>
      <c r="H199" s="4" t="n">
        <v>78.65</v>
      </c>
      <c r="I199" s="5" t="n">
        <v>8.877</v>
      </c>
      <c r="J199" s="4" t="n">
        <v>8.86</v>
      </c>
      <c r="K199" s="5" t="n">
        <v>8.5808</v>
      </c>
      <c r="L199" s="6" t="n">
        <v>2.4607</v>
      </c>
      <c r="M199" s="5" t="n">
        <f aca="false">IF(AND(N(K199)&gt;0,N(L199)&gt;0),K199/L199,"")</f>
        <v>3.48713780631528</v>
      </c>
      <c r="N199" s="2"/>
    </row>
    <row r="200" customFormat="false" ht="15" hidden="false" customHeight="false" outlineLevel="0" collapsed="false">
      <c r="A200" s="2" t="n">
        <v>199</v>
      </c>
      <c r="B200" s="2" t="s">
        <v>503</v>
      </c>
      <c r="C200" s="2" t="s">
        <v>504</v>
      </c>
      <c r="D200" s="2" t="s">
        <v>79</v>
      </c>
      <c r="E200" s="2" t="s">
        <v>227</v>
      </c>
      <c r="F200" s="3" t="n">
        <v>0.001534</v>
      </c>
      <c r="G200" s="3" t="n">
        <f aca="false">SUM($F$2:F200)</f>
        <v>0.483014</v>
      </c>
      <c r="H200" s="4" t="n">
        <v>364.66</v>
      </c>
      <c r="I200" s="5" t="n">
        <v>12.8041</v>
      </c>
      <c r="J200" s="4" t="n">
        <v>28.48</v>
      </c>
      <c r="K200" s="5" t="n">
        <v>9.4301</v>
      </c>
      <c r="L200" s="6" t="n">
        <v>4.1539</v>
      </c>
      <c r="M200" s="5" t="n">
        <f aca="false">IF(AND(N(K200)&gt;0,N(L200)&gt;0),K200/L200,"")</f>
        <v>2.27017983100219</v>
      </c>
      <c r="N200" s="2"/>
    </row>
    <row r="201" customFormat="false" ht="15" hidden="false" customHeight="false" outlineLevel="0" collapsed="false">
      <c r="A201" s="2" t="n">
        <v>200</v>
      </c>
      <c r="B201" s="2" t="s">
        <v>505</v>
      </c>
      <c r="C201" s="2" t="s">
        <v>506</v>
      </c>
      <c r="D201" s="2" t="s">
        <v>16</v>
      </c>
      <c r="E201" s="2" t="s">
        <v>17</v>
      </c>
      <c r="F201" s="3" t="n">
        <v>0.001533</v>
      </c>
      <c r="G201" s="3" t="n">
        <f aca="false">SUM($F$2:F201)</f>
        <v>0.484547</v>
      </c>
      <c r="H201" s="4" t="n">
        <v>146.16</v>
      </c>
      <c r="I201" s="5" t="n">
        <v>66.1358</v>
      </c>
      <c r="J201" s="4" t="n">
        <v>2.21</v>
      </c>
      <c r="K201" s="5" t="n">
        <v>17.1854</v>
      </c>
      <c r="L201" s="6" t="n">
        <v>16.9965</v>
      </c>
      <c r="M201" s="5" t="n">
        <f aca="false">IF(AND(N(K201)&gt;0,N(L201)&gt;0),K201/L201,"")</f>
        <v>1.01111405289324</v>
      </c>
      <c r="N201" s="2"/>
    </row>
    <row r="202" customFormat="false" ht="15" hidden="false" customHeight="false" outlineLevel="0" collapsed="false">
      <c r="A202" s="2" t="n">
        <v>201</v>
      </c>
      <c r="B202" s="2" t="s">
        <v>507</v>
      </c>
      <c r="C202" s="2" t="s">
        <v>508</v>
      </c>
      <c r="D202" s="2" t="s">
        <v>22</v>
      </c>
      <c r="E202" s="2" t="s">
        <v>30</v>
      </c>
      <c r="F202" s="3" t="n">
        <v>0.001523</v>
      </c>
      <c r="G202" s="3" t="n">
        <f aca="false">SUM($F$2:F202)</f>
        <v>0.48607</v>
      </c>
      <c r="H202" s="4" t="n">
        <v>63.98</v>
      </c>
      <c r="I202" s="5" t="n">
        <v>12.0945</v>
      </c>
      <c r="J202" s="4" t="n">
        <v>5.29</v>
      </c>
      <c r="K202" s="5"/>
      <c r="L202" s="6"/>
      <c r="M202" s="5" t="str">
        <f aca="false">IF(AND(N(K202)&gt;0,N(L202)&gt;0),K202/L202,"")</f>
        <v/>
      </c>
      <c r="N202" s="2"/>
    </row>
    <row r="203" customFormat="false" ht="15" hidden="false" customHeight="false" outlineLevel="0" collapsed="false">
      <c r="A203" s="2" t="n">
        <v>202</v>
      </c>
      <c r="B203" s="2" t="s">
        <v>509</v>
      </c>
      <c r="C203" s="2" t="s">
        <v>510</v>
      </c>
      <c r="D203" s="2" t="s">
        <v>22</v>
      </c>
      <c r="E203" s="2" t="s">
        <v>23</v>
      </c>
      <c r="F203" s="3" t="n">
        <v>0.001521</v>
      </c>
      <c r="G203" s="3" t="n">
        <f aca="false">SUM($F$2:F203)</f>
        <v>0.487591</v>
      </c>
      <c r="H203" s="4" t="n">
        <v>178.58</v>
      </c>
      <c r="I203" s="5" t="n">
        <v>19.1609</v>
      </c>
      <c r="J203" s="4" t="n">
        <v>9.32</v>
      </c>
      <c r="K203" s="5" t="n">
        <v>6.4405</v>
      </c>
      <c r="L203" s="6" t="n">
        <v>1.6976</v>
      </c>
      <c r="M203" s="5" t="n">
        <f aca="false">IF(AND(N(K203)&gt;0,N(L203)&gt;0),K203/L203,"")</f>
        <v>3.79388548539114</v>
      </c>
      <c r="N203" s="2"/>
    </row>
    <row r="204" customFormat="false" ht="15" hidden="false" customHeight="false" outlineLevel="0" collapsed="false">
      <c r="A204" s="2" t="n">
        <v>203</v>
      </c>
      <c r="B204" s="2" t="s">
        <v>511</v>
      </c>
      <c r="C204" s="2" t="s">
        <v>512</v>
      </c>
      <c r="D204" s="2" t="s">
        <v>79</v>
      </c>
      <c r="E204" s="2" t="s">
        <v>80</v>
      </c>
      <c r="F204" s="3" t="n">
        <v>0.001516</v>
      </c>
      <c r="G204" s="3" t="n">
        <f aca="false">SUM($F$2:F204)</f>
        <v>0.489107</v>
      </c>
      <c r="H204" s="4" t="n">
        <v>56.55</v>
      </c>
      <c r="I204" s="5" t="n">
        <v>13.8603</v>
      </c>
      <c r="J204" s="4" t="n">
        <v>4.08</v>
      </c>
      <c r="K204" s="5" t="n">
        <v>8.1111</v>
      </c>
      <c r="L204" s="6" t="n">
        <v>4.3975</v>
      </c>
      <c r="M204" s="5" t="n">
        <f aca="false">IF(AND(N(K204)&gt;0,N(L204)&gt;0),K204/L204,"")</f>
        <v>1.84447981807845</v>
      </c>
      <c r="N204" s="2"/>
    </row>
    <row r="205" customFormat="false" ht="15" hidden="false" customHeight="false" outlineLevel="0" collapsed="false">
      <c r="A205" s="2" t="n">
        <v>204</v>
      </c>
      <c r="B205" s="2" t="s">
        <v>513</v>
      </c>
      <c r="C205" s="2" t="s">
        <v>514</v>
      </c>
      <c r="D205" s="2" t="s">
        <v>33</v>
      </c>
      <c r="E205" s="2" t="s">
        <v>46</v>
      </c>
      <c r="F205" s="3" t="n">
        <v>0.001513</v>
      </c>
      <c r="G205" s="3" t="n">
        <f aca="false">SUM($F$2:F205)</f>
        <v>0.49062</v>
      </c>
      <c r="H205" s="4" t="n">
        <v>499.62</v>
      </c>
      <c r="I205" s="5" t="n">
        <v>25.1571</v>
      </c>
      <c r="J205" s="4" t="n">
        <v>19.86</v>
      </c>
      <c r="K205" s="5" t="n">
        <v>6.53</v>
      </c>
      <c r="L205" s="6" t="n">
        <v>2.5164</v>
      </c>
      <c r="M205" s="5" t="n">
        <f aca="false">IF(AND(N(K205)&gt;0,N(L205)&gt;0),K205/L205,"")</f>
        <v>2.59497695120013</v>
      </c>
      <c r="N205" s="2"/>
    </row>
    <row r="206" customFormat="false" ht="15" hidden="false" customHeight="false" outlineLevel="0" collapsed="false">
      <c r="A206" s="2" t="n">
        <v>205</v>
      </c>
      <c r="B206" s="2" t="s">
        <v>515</v>
      </c>
      <c r="C206" s="2" t="s">
        <v>516</v>
      </c>
      <c r="D206" s="2" t="s">
        <v>22</v>
      </c>
      <c r="E206" s="2" t="s">
        <v>476</v>
      </c>
      <c r="F206" s="3" t="n">
        <v>0.001512</v>
      </c>
      <c r="G206" s="3" t="n">
        <f aca="false">SUM($F$2:F206)</f>
        <v>0.492132</v>
      </c>
      <c r="H206" s="4" t="n">
        <v>135.63</v>
      </c>
      <c r="I206" s="5" t="n">
        <v>20.8341</v>
      </c>
      <c r="J206" s="4" t="n">
        <v>6.51</v>
      </c>
      <c r="K206" s="5" t="n">
        <v>7.1613</v>
      </c>
      <c r="L206" s="6" t="n">
        <v>2.0523</v>
      </c>
      <c r="M206" s="5" t="n">
        <f aca="false">IF(AND(N(K206)&gt;0,N(L206)&gt;0),K206/L206,"")</f>
        <v>3.48940213419091</v>
      </c>
      <c r="N206" s="2"/>
    </row>
    <row r="207" customFormat="false" ht="15" hidden="false" customHeight="false" outlineLevel="0" collapsed="false">
      <c r="A207" s="2" t="n">
        <v>206</v>
      </c>
      <c r="B207" s="2" t="s">
        <v>517</v>
      </c>
      <c r="C207" s="2" t="s">
        <v>518</v>
      </c>
      <c r="D207" s="2" t="s">
        <v>33</v>
      </c>
      <c r="E207" s="2" t="s">
        <v>49</v>
      </c>
      <c r="F207" s="3" t="n">
        <v>0.00151</v>
      </c>
      <c r="G207" s="3" t="n">
        <f aca="false">SUM($F$2:F207)</f>
        <v>0.493642</v>
      </c>
      <c r="H207" s="4" t="n">
        <v>67.56</v>
      </c>
      <c r="I207" s="5"/>
      <c r="J207" s="4" t="n">
        <v>-7.22</v>
      </c>
      <c r="K207" s="5" t="n">
        <v>9.3924</v>
      </c>
      <c r="L207" s="6" t="n">
        <v>138.7974</v>
      </c>
      <c r="M207" s="5" t="n">
        <f aca="false">IF(AND(N(K207)&gt;0,N(L207)&gt;0),K207/L207,"")</f>
        <v>0.0676698554872065</v>
      </c>
      <c r="N207" s="2" t="s">
        <v>50</v>
      </c>
    </row>
    <row r="208" customFormat="false" ht="15" hidden="false" customHeight="false" outlineLevel="0" collapsed="false">
      <c r="A208" s="2" t="n">
        <v>207</v>
      </c>
      <c r="B208" s="2" t="s">
        <v>519</v>
      </c>
      <c r="C208" s="2" t="s">
        <v>520</v>
      </c>
      <c r="D208" s="2" t="s">
        <v>16</v>
      </c>
      <c r="E208" s="2" t="s">
        <v>160</v>
      </c>
      <c r="F208" s="3" t="n">
        <v>0.001503</v>
      </c>
      <c r="G208" s="3" t="n">
        <f aca="false">SUM($F$2:F208)</f>
        <v>0.495145</v>
      </c>
      <c r="H208" s="4" t="n">
        <v>252.36</v>
      </c>
      <c r="I208" s="5" t="n">
        <v>37.3314</v>
      </c>
      <c r="J208" s="4" t="n">
        <v>6.76</v>
      </c>
      <c r="K208" s="5" t="n">
        <v>6.7259</v>
      </c>
      <c r="L208" s="6" t="n">
        <v>1.4632</v>
      </c>
      <c r="M208" s="5" t="n">
        <f aca="false">IF(AND(N(K208)&gt;0,N(L208)&gt;0),K208/L208,"")</f>
        <v>4.59670585019136</v>
      </c>
      <c r="N208" s="2"/>
    </row>
    <row r="209" customFormat="false" ht="15" hidden="false" customHeight="false" outlineLevel="0" collapsed="false">
      <c r="A209" s="2" t="n">
        <v>208</v>
      </c>
      <c r="B209" s="2" t="s">
        <v>521</v>
      </c>
      <c r="C209" s="2" t="s">
        <v>522</v>
      </c>
      <c r="D209" s="2" t="s">
        <v>79</v>
      </c>
      <c r="E209" s="2" t="s">
        <v>80</v>
      </c>
      <c r="F209" s="3" t="n">
        <v>0.00148</v>
      </c>
      <c r="G209" s="3" t="n">
        <f aca="false">SUM($F$2:F209)</f>
        <v>0.496625</v>
      </c>
      <c r="H209" s="4" t="n">
        <v>25.25</v>
      </c>
      <c r="I209" s="5" t="n">
        <v>11.1726</v>
      </c>
      <c r="J209" s="4" t="n">
        <v>2.26</v>
      </c>
      <c r="K209" s="5" t="n">
        <v>9.6599</v>
      </c>
      <c r="L209" s="6" t="n">
        <v>3.6306</v>
      </c>
      <c r="M209" s="5" t="n">
        <f aca="false">IF(AND(N(K209)&gt;0,N(L209)&gt;0),K209/L209,"")</f>
        <v>2.66068969316366</v>
      </c>
      <c r="N209" s="2"/>
    </row>
    <row r="210" customFormat="false" ht="15" hidden="false" customHeight="false" outlineLevel="0" collapsed="false">
      <c r="A210" s="2" t="n">
        <v>209</v>
      </c>
      <c r="B210" s="2" t="s">
        <v>523</v>
      </c>
      <c r="C210" s="2" t="s">
        <v>524</v>
      </c>
      <c r="D210" s="2" t="s">
        <v>22</v>
      </c>
      <c r="E210" s="2" t="s">
        <v>525</v>
      </c>
      <c r="F210" s="3" t="n">
        <v>0.001479</v>
      </c>
      <c r="G210" s="3" t="n">
        <f aca="false">SUM($F$2:F210)</f>
        <v>0.498104</v>
      </c>
      <c r="H210" s="4" t="n">
        <v>469.15</v>
      </c>
      <c r="I210" s="5" t="n">
        <v>18.3119</v>
      </c>
      <c r="J210" s="4" t="n">
        <v>25.62</v>
      </c>
      <c r="K210" s="5" t="n">
        <v>9.0569</v>
      </c>
      <c r="L210" s="6" t="n">
        <v>2.14</v>
      </c>
      <c r="M210" s="5" t="n">
        <f aca="false">IF(AND(N(K210)&gt;0,N(L210)&gt;0),K210/L210,"")</f>
        <v>4.23219626168224</v>
      </c>
      <c r="N210" s="2"/>
    </row>
    <row r="211" customFormat="false" ht="15" hidden="false" customHeight="false" outlineLevel="0" collapsed="false">
      <c r="A211" s="2" t="n">
        <v>210</v>
      </c>
      <c r="B211" s="2" t="s">
        <v>526</v>
      </c>
      <c r="C211" s="2" t="s">
        <v>527</v>
      </c>
      <c r="D211" s="2" t="s">
        <v>86</v>
      </c>
      <c r="E211" s="2" t="s">
        <v>442</v>
      </c>
      <c r="F211" s="3" t="n">
        <v>0.001476</v>
      </c>
      <c r="G211" s="3" t="n">
        <f aca="false">SUM($F$2:F211)</f>
        <v>0.49958</v>
      </c>
      <c r="H211" s="4" t="n">
        <v>41.63</v>
      </c>
      <c r="I211" s="5" t="n">
        <v>20.5074</v>
      </c>
      <c r="J211" s="4" t="n">
        <v>2.03</v>
      </c>
      <c r="K211" s="5" t="n">
        <v>7.92</v>
      </c>
      <c r="L211" s="6" t="n">
        <v>8.3085</v>
      </c>
      <c r="M211" s="5" t="n">
        <f aca="false">IF(AND(N(K211)&gt;0,N(L211)&gt;0),K211/L211,"")</f>
        <v>0.953240657158332</v>
      </c>
      <c r="N211" s="2"/>
    </row>
    <row r="212" customFormat="false" ht="15" hidden="false" customHeight="false" outlineLevel="0" collapsed="false">
      <c r="A212" s="2" t="n">
        <v>211</v>
      </c>
      <c r="B212" s="2" t="s">
        <v>528</v>
      </c>
      <c r="C212" s="2" t="s">
        <v>529</v>
      </c>
      <c r="D212" s="2" t="s">
        <v>62</v>
      </c>
      <c r="E212" s="2" t="s">
        <v>530</v>
      </c>
      <c r="F212" s="3" t="n">
        <v>0.001476</v>
      </c>
      <c r="G212" s="3" t="n">
        <f aca="false">SUM($F$2:F212)</f>
        <v>0.501056</v>
      </c>
      <c r="H212" s="4" t="n">
        <v>173.8</v>
      </c>
      <c r="I212" s="5" t="n">
        <v>19.057</v>
      </c>
      <c r="J212" s="4" t="n">
        <v>9.12</v>
      </c>
      <c r="K212" s="5" t="n">
        <v>7.1231</v>
      </c>
      <c r="L212" s="6" t="n">
        <v>2.9411</v>
      </c>
      <c r="M212" s="5" t="n">
        <f aca="false">IF(AND(N(K212)&gt;0,N(L212)&gt;0),K212/L212,"")</f>
        <v>2.42191696984122</v>
      </c>
      <c r="N212" s="2"/>
    </row>
    <row r="213" customFormat="false" ht="15" hidden="false" customHeight="false" outlineLevel="0" collapsed="false">
      <c r="A213" s="2" t="n">
        <v>212</v>
      </c>
      <c r="B213" s="2" t="s">
        <v>531</v>
      </c>
      <c r="C213" s="2" t="s">
        <v>532</v>
      </c>
      <c r="D213" s="2" t="s">
        <v>79</v>
      </c>
      <c r="E213" s="2" t="s">
        <v>360</v>
      </c>
      <c r="F213" s="3" t="n">
        <v>0.001472</v>
      </c>
      <c r="G213" s="3" t="n">
        <f aca="false">SUM($F$2:F213)</f>
        <v>0.502528</v>
      </c>
      <c r="H213" s="4" t="n">
        <v>358.19</v>
      </c>
      <c r="I213" s="5" t="n">
        <v>14.5487</v>
      </c>
      <c r="J213" s="4" t="n">
        <v>24.62</v>
      </c>
      <c r="K213" s="5" t="n">
        <v>8.159</v>
      </c>
      <c r="L213" s="6" t="n">
        <v>4.0877</v>
      </c>
      <c r="M213" s="5" t="n">
        <f aca="false">IF(AND(N(K213)&gt;0,N(L213)&gt;0),K213/L213,"")</f>
        <v>1.99598796389168</v>
      </c>
      <c r="N213" s="2"/>
    </row>
    <row r="214" customFormat="false" ht="15" hidden="false" customHeight="false" outlineLevel="0" collapsed="false">
      <c r="A214" s="2" t="n">
        <v>213</v>
      </c>
      <c r="B214" s="2" t="s">
        <v>533</v>
      </c>
      <c r="C214" s="2" t="s">
        <v>534</v>
      </c>
      <c r="D214" s="2" t="s">
        <v>62</v>
      </c>
      <c r="E214" s="2" t="s">
        <v>189</v>
      </c>
      <c r="F214" s="3" t="n">
        <v>0.001471</v>
      </c>
      <c r="G214" s="3" t="n">
        <f aca="false">SUM($F$2:F214)</f>
        <v>0.503999</v>
      </c>
      <c r="H214" s="4" t="n">
        <v>33.42</v>
      </c>
      <c r="I214" s="5" t="n">
        <v>45.1622</v>
      </c>
      <c r="J214" s="4" t="n">
        <v>0.74</v>
      </c>
      <c r="K214" s="5" t="n">
        <v>8.1442</v>
      </c>
      <c r="L214" s="6" t="n">
        <v>2.5853</v>
      </c>
      <c r="M214" s="5" t="n">
        <f aca="false">IF(AND(N(K214)&gt;0,N(L214)&gt;0),K214/L214,"")</f>
        <v>3.1501953351642</v>
      </c>
      <c r="N214" s="2"/>
    </row>
    <row r="215" customFormat="false" ht="15" hidden="false" customHeight="false" outlineLevel="0" collapsed="false">
      <c r="A215" s="2" t="n">
        <v>214</v>
      </c>
      <c r="B215" s="2" t="s">
        <v>535</v>
      </c>
      <c r="C215" s="2" t="s">
        <v>536</v>
      </c>
      <c r="D215" s="2" t="s">
        <v>22</v>
      </c>
      <c r="E215" s="2" t="s">
        <v>40</v>
      </c>
      <c r="F215" s="3" t="n">
        <v>0.00147</v>
      </c>
      <c r="G215" s="3" t="n">
        <f aca="false">SUM($F$2:F215)</f>
        <v>0.505469</v>
      </c>
      <c r="H215" s="4" t="n">
        <v>86.94</v>
      </c>
      <c r="I215" s="5" t="n">
        <v>43.9091</v>
      </c>
      <c r="J215" s="4" t="n">
        <v>1.98</v>
      </c>
      <c r="K215" s="5" t="n">
        <v>6.5747</v>
      </c>
      <c r="L215" s="6" t="n">
        <v>3.3234</v>
      </c>
      <c r="M215" s="5" t="n">
        <f aca="false">IF(AND(N(K215)&gt;0,N(L215)&gt;0),K215/L215,"")</f>
        <v>1.97830534994283</v>
      </c>
      <c r="N215" s="2"/>
    </row>
    <row r="216" customFormat="false" ht="15" hidden="false" customHeight="false" outlineLevel="0" collapsed="false">
      <c r="A216" s="2" t="n">
        <v>215</v>
      </c>
      <c r="B216" s="2" t="s">
        <v>537</v>
      </c>
      <c r="C216" s="2" t="s">
        <v>538</v>
      </c>
      <c r="D216" s="2" t="s">
        <v>93</v>
      </c>
      <c r="E216" s="2" t="s">
        <v>539</v>
      </c>
      <c r="F216" s="3" t="n">
        <v>0.001468</v>
      </c>
      <c r="G216" s="3" t="n">
        <f aca="false">SUM($F$2:F216)</f>
        <v>0.506937</v>
      </c>
      <c r="H216" s="4" t="n">
        <v>45.56</v>
      </c>
      <c r="I216" s="5" t="n">
        <v>24.8962</v>
      </c>
      <c r="J216" s="4" t="n">
        <v>1.83</v>
      </c>
      <c r="K216" s="5" t="n">
        <v>10.5471</v>
      </c>
      <c r="L216" s="6" t="n">
        <v>2.6414</v>
      </c>
      <c r="M216" s="5" t="n">
        <f aca="false">IF(AND(N(K216)&gt;0,N(L216)&gt;0),K216/L216,"")</f>
        <v>3.99299613841145</v>
      </c>
      <c r="N216" s="2"/>
    </row>
    <row r="217" customFormat="false" ht="15" hidden="false" customHeight="false" outlineLevel="0" collapsed="false">
      <c r="A217" s="2" t="n">
        <v>216</v>
      </c>
      <c r="B217" s="2" t="s">
        <v>540</v>
      </c>
      <c r="C217" s="2" t="s">
        <v>541</v>
      </c>
      <c r="D217" s="2" t="s">
        <v>33</v>
      </c>
      <c r="E217" s="2" t="s">
        <v>34</v>
      </c>
      <c r="F217" s="3" t="n">
        <v>0.001465</v>
      </c>
      <c r="G217" s="3" t="n">
        <f aca="false">SUM($F$2:F217)</f>
        <v>0.508402</v>
      </c>
      <c r="H217" s="4" t="n">
        <v>44.18</v>
      </c>
      <c r="I217" s="5" t="n">
        <v>116.2632</v>
      </c>
      <c r="J217" s="4" t="n">
        <v>0.38</v>
      </c>
      <c r="K217" s="5" t="n">
        <v>7.4118</v>
      </c>
      <c r="L217" s="6" t="n">
        <v>4.4444</v>
      </c>
      <c r="M217" s="5" t="n">
        <f aca="false">IF(AND(N(K217)&gt;0,N(L217)&gt;0),K217/L217,"")</f>
        <v>1.66767167671677</v>
      </c>
      <c r="N217" s="2"/>
    </row>
    <row r="218" customFormat="false" ht="15" hidden="false" customHeight="false" outlineLevel="0" collapsed="false">
      <c r="A218" s="2" t="n">
        <v>217</v>
      </c>
      <c r="B218" s="2" t="s">
        <v>542</v>
      </c>
      <c r="C218" s="2" t="s">
        <v>543</v>
      </c>
      <c r="D218" s="2" t="s">
        <v>22</v>
      </c>
      <c r="E218" s="2" t="s">
        <v>302</v>
      </c>
      <c r="F218" s="3" t="n">
        <v>0.001463</v>
      </c>
      <c r="G218" s="3" t="n">
        <f aca="false">SUM($F$2:F218)</f>
        <v>0.509865</v>
      </c>
      <c r="H218" s="4" t="n">
        <v>119.9</v>
      </c>
      <c r="I218" s="5" t="n">
        <v>16.5837</v>
      </c>
      <c r="J218" s="4" t="n">
        <v>7.23</v>
      </c>
      <c r="K218" s="5" t="n">
        <v>8.3968</v>
      </c>
      <c r="L218" s="6" t="n">
        <v>0.8114</v>
      </c>
      <c r="M218" s="5" t="n">
        <f aca="false">IF(AND(N(K218)&gt;0,N(L218)&gt;0),K218/L218,"")</f>
        <v>10.3485333990633</v>
      </c>
      <c r="N218" s="2"/>
    </row>
    <row r="219" customFormat="false" ht="15" hidden="false" customHeight="false" outlineLevel="0" collapsed="false">
      <c r="A219" s="2" t="n">
        <v>218</v>
      </c>
      <c r="B219" s="2" t="s">
        <v>544</v>
      </c>
      <c r="C219" s="2" t="s">
        <v>545</v>
      </c>
      <c r="D219" s="2" t="s">
        <v>79</v>
      </c>
      <c r="E219" s="2" t="s">
        <v>276</v>
      </c>
      <c r="F219" s="3" t="n">
        <v>0.001463</v>
      </c>
      <c r="G219" s="3" t="n">
        <f aca="false">SUM($F$2:F219)</f>
        <v>0.511328</v>
      </c>
      <c r="H219" s="4" t="n">
        <v>69.26</v>
      </c>
      <c r="I219" s="5" t="n">
        <v>9.6061</v>
      </c>
      <c r="J219" s="4" t="n">
        <v>7.21</v>
      </c>
      <c r="K219" s="5" t="n">
        <v>7.0714</v>
      </c>
      <c r="L219" s="6" t="n">
        <v>0.8857</v>
      </c>
      <c r="M219" s="5" t="n">
        <f aca="false">IF(AND(N(K219)&gt;0,N(L219)&gt;0),K219/L219,"")</f>
        <v>7.98396748334651</v>
      </c>
      <c r="N219" s="2"/>
    </row>
    <row r="220" customFormat="false" ht="15" hidden="false" customHeight="false" outlineLevel="0" collapsed="false">
      <c r="A220" s="2" t="n">
        <v>219</v>
      </c>
      <c r="B220" s="2" t="s">
        <v>546</v>
      </c>
      <c r="C220" s="2" t="s">
        <v>547</v>
      </c>
      <c r="D220" s="2" t="s">
        <v>93</v>
      </c>
      <c r="E220" s="2" t="s">
        <v>548</v>
      </c>
      <c r="F220" s="3" t="n">
        <v>0.00146</v>
      </c>
      <c r="G220" s="3" t="n">
        <f aca="false">SUM($F$2:F220)</f>
        <v>0.512788</v>
      </c>
      <c r="H220" s="4" t="n">
        <v>39.91</v>
      </c>
      <c r="I220" s="5" t="n">
        <v>21.8087</v>
      </c>
      <c r="J220" s="4" t="n">
        <v>1.83</v>
      </c>
      <c r="K220" s="5" t="n">
        <v>8.9184</v>
      </c>
      <c r="L220" s="6" t="n">
        <v>2.8024</v>
      </c>
      <c r="M220" s="5" t="n">
        <f aca="false">IF(AND(N(K220)&gt;0,N(L220)&gt;0),K220/L220,"")</f>
        <v>3.18241507279475</v>
      </c>
      <c r="N220" s="2"/>
    </row>
    <row r="221" customFormat="false" ht="15" hidden="false" customHeight="false" outlineLevel="0" collapsed="false">
      <c r="A221" s="2" t="n">
        <v>220</v>
      </c>
      <c r="B221" s="2" t="s">
        <v>549</v>
      </c>
      <c r="C221" s="2" t="s">
        <v>550</v>
      </c>
      <c r="D221" s="2" t="s">
        <v>16</v>
      </c>
      <c r="E221" s="2" t="s">
        <v>178</v>
      </c>
      <c r="F221" s="3" t="n">
        <v>0.001459</v>
      </c>
      <c r="G221" s="3" t="n">
        <f aca="false">SUM($F$2:F221)</f>
        <v>0.514247</v>
      </c>
      <c r="H221" s="4" t="n">
        <v>133.35</v>
      </c>
      <c r="I221" s="5" t="n">
        <v>15.542</v>
      </c>
      <c r="J221" s="4" t="n">
        <v>8.58</v>
      </c>
      <c r="K221" s="5" t="n">
        <v>5.587</v>
      </c>
      <c r="L221" s="6" t="n">
        <v>0.7548</v>
      </c>
      <c r="M221" s="5" t="n">
        <f aca="false">IF(AND(N(K221)&gt;0,N(L221)&gt;0),K221/L221,"")</f>
        <v>7.40196078431373</v>
      </c>
      <c r="N221" s="2"/>
    </row>
    <row r="222" customFormat="false" ht="15" hidden="false" customHeight="false" outlineLevel="0" collapsed="false">
      <c r="A222" s="2" t="n">
        <v>221</v>
      </c>
      <c r="B222" s="2" t="s">
        <v>551</v>
      </c>
      <c r="C222" s="2" t="s">
        <v>552</v>
      </c>
      <c r="D222" s="2" t="s">
        <v>79</v>
      </c>
      <c r="E222" s="2" t="s">
        <v>241</v>
      </c>
      <c r="F222" s="3" t="n">
        <v>0.001455</v>
      </c>
      <c r="G222" s="3" t="n">
        <f aca="false">SUM($F$2:F222)</f>
        <v>0.515702</v>
      </c>
      <c r="H222" s="4" t="n">
        <v>41.68</v>
      </c>
      <c r="I222" s="5" t="n">
        <v>3.5114</v>
      </c>
      <c r="J222" s="4" t="n">
        <v>11.87</v>
      </c>
      <c r="K222" s="5" t="n">
        <v>7.9795</v>
      </c>
      <c r="L222" s="6" t="n">
        <v>0.4115</v>
      </c>
      <c r="M222" s="5" t="n">
        <f aca="false">IF(AND(N(K222)&gt;0,N(L222)&gt;0),K222/L222,"")</f>
        <v>19.3912515188335</v>
      </c>
      <c r="N222" s="2"/>
    </row>
    <row r="223" customFormat="false" ht="15" hidden="false" customHeight="false" outlineLevel="0" collapsed="false">
      <c r="A223" s="2" t="n">
        <v>222</v>
      </c>
      <c r="B223" s="2" t="s">
        <v>553</v>
      </c>
      <c r="C223" s="2" t="s">
        <v>554</v>
      </c>
      <c r="D223" s="2" t="s">
        <v>33</v>
      </c>
      <c r="E223" s="2" t="s">
        <v>555</v>
      </c>
      <c r="F223" s="3" t="n">
        <v>0.001455</v>
      </c>
      <c r="G223" s="3" t="n">
        <f aca="false">SUM($F$2:F223)</f>
        <v>0.517157</v>
      </c>
      <c r="H223" s="4" t="n">
        <v>94.52</v>
      </c>
      <c r="I223" s="5" t="n">
        <v>34.1227</v>
      </c>
      <c r="J223" s="4" t="n">
        <v>2.77</v>
      </c>
      <c r="K223" s="5" t="n">
        <v>7.8182</v>
      </c>
      <c r="L223" s="6" t="n">
        <v>5.7398</v>
      </c>
      <c r="M223" s="5" t="n">
        <f aca="false">IF(AND(N(K223)&gt;0,N(L223)&gt;0),K223/L223,"")</f>
        <v>1.36210320917105</v>
      </c>
      <c r="N223" s="2"/>
    </row>
    <row r="224" customFormat="false" ht="15" hidden="false" customHeight="false" outlineLevel="0" collapsed="false">
      <c r="A224" s="2" t="n">
        <v>223</v>
      </c>
      <c r="B224" s="2" t="s">
        <v>556</v>
      </c>
      <c r="C224" s="2" t="s">
        <v>557</v>
      </c>
      <c r="D224" s="2" t="s">
        <v>33</v>
      </c>
      <c r="E224" s="2" t="s">
        <v>555</v>
      </c>
      <c r="F224" s="3" t="n">
        <v>0.00145</v>
      </c>
      <c r="G224" s="3" t="n">
        <f aca="false">SUM($F$2:F224)</f>
        <v>0.518607</v>
      </c>
      <c r="H224" s="4" t="n">
        <v>55.86</v>
      </c>
      <c r="I224" s="5" t="n">
        <v>49.875</v>
      </c>
      <c r="J224" s="4" t="n">
        <v>1.12</v>
      </c>
      <c r="K224" s="5" t="n">
        <v>11.0527</v>
      </c>
      <c r="L224" s="6" t="n">
        <v>0.7691</v>
      </c>
      <c r="M224" s="5" t="n">
        <f aca="false">IF(AND(N(K224)&gt;0,N(L224)&gt;0),K224/L224,"")</f>
        <v>14.3709530620205</v>
      </c>
      <c r="N224" s="2"/>
    </row>
    <row r="225" customFormat="false" ht="15" hidden="false" customHeight="false" outlineLevel="0" collapsed="false">
      <c r="A225" s="2" t="n">
        <v>224</v>
      </c>
      <c r="B225" s="2" t="s">
        <v>558</v>
      </c>
      <c r="C225" s="2" t="s">
        <v>559</v>
      </c>
      <c r="D225" s="2" t="s">
        <v>16</v>
      </c>
      <c r="E225" s="2" t="s">
        <v>143</v>
      </c>
      <c r="F225" s="3" t="n">
        <v>0.001444</v>
      </c>
      <c r="G225" s="3" t="n">
        <f aca="false">SUM($F$2:F225)</f>
        <v>0.520051</v>
      </c>
      <c r="H225" s="4" t="n">
        <v>262.41</v>
      </c>
      <c r="I225" s="5" t="n">
        <v>48.5944</v>
      </c>
      <c r="J225" s="4" t="n">
        <v>5.4</v>
      </c>
      <c r="K225" s="5" t="n">
        <v>6.7984</v>
      </c>
      <c r="L225" s="6" t="n">
        <v>5.2672</v>
      </c>
      <c r="M225" s="5" t="n">
        <f aca="false">IF(AND(N(K225)&gt;0,N(L225)&gt;0),K225/L225,"")</f>
        <v>1.29070473876063</v>
      </c>
      <c r="N225" s="2"/>
    </row>
    <row r="226" customFormat="false" ht="15" hidden="false" customHeight="false" outlineLevel="0" collapsed="false">
      <c r="A226" s="2" t="n">
        <v>225</v>
      </c>
      <c r="B226" s="2" t="s">
        <v>560</v>
      </c>
      <c r="C226" s="2" t="s">
        <v>561</v>
      </c>
      <c r="D226" s="2" t="s">
        <v>86</v>
      </c>
      <c r="E226" s="2" t="s">
        <v>562</v>
      </c>
      <c r="F226" s="3" t="n">
        <v>0.001444</v>
      </c>
      <c r="G226" s="3" t="n">
        <f aca="false">SUM($F$2:F226)</f>
        <v>0.521495</v>
      </c>
      <c r="H226" s="4" t="n">
        <v>121.68</v>
      </c>
      <c r="I226" s="5" t="n">
        <v>29.678</v>
      </c>
      <c r="J226" s="4" t="n">
        <v>4.1</v>
      </c>
      <c r="K226" s="5" t="n">
        <v>8.394</v>
      </c>
      <c r="L226" s="6" t="n">
        <v>3.0704</v>
      </c>
      <c r="M226" s="5" t="n">
        <f aca="false">IF(AND(N(K226)&gt;0,N(L226)&gt;0),K226/L226,"")</f>
        <v>2.73384575299635</v>
      </c>
      <c r="N226" s="2"/>
    </row>
    <row r="227" customFormat="false" ht="15" hidden="false" customHeight="false" outlineLevel="0" collapsed="false">
      <c r="A227" s="2" t="n">
        <v>226</v>
      </c>
      <c r="B227" s="2" t="s">
        <v>563</v>
      </c>
      <c r="C227" s="2" t="s">
        <v>564</v>
      </c>
      <c r="D227" s="2" t="s">
        <v>22</v>
      </c>
      <c r="E227" s="2" t="s">
        <v>259</v>
      </c>
      <c r="F227" s="3" t="n">
        <v>0.001434</v>
      </c>
      <c r="G227" s="3" t="n">
        <f aca="false">SUM($F$2:F227)</f>
        <v>0.522929</v>
      </c>
      <c r="H227" s="4" t="n">
        <v>161.88</v>
      </c>
      <c r="I227" s="5" t="n">
        <v>22.1753</v>
      </c>
      <c r="J227" s="4" t="n">
        <v>7.3</v>
      </c>
      <c r="K227" s="5" t="n">
        <v>6.8415</v>
      </c>
      <c r="L227" s="6" t="n">
        <v>4.0353</v>
      </c>
      <c r="M227" s="5" t="n">
        <f aca="false">IF(AND(N(K227)&gt;0,N(L227)&gt;0),K227/L227,"")</f>
        <v>1.69541298044755</v>
      </c>
      <c r="N227" s="2"/>
    </row>
    <row r="228" customFormat="false" ht="15" hidden="false" customHeight="false" outlineLevel="0" collapsed="false">
      <c r="A228" s="2" t="n">
        <v>227</v>
      </c>
      <c r="B228" s="2" t="s">
        <v>565</v>
      </c>
      <c r="C228" s="2" t="s">
        <v>566</v>
      </c>
      <c r="D228" s="2" t="s">
        <v>93</v>
      </c>
      <c r="E228" s="2" t="s">
        <v>567</v>
      </c>
      <c r="F228" s="3" t="n">
        <v>0.001433</v>
      </c>
      <c r="G228" s="3" t="n">
        <f aca="false">SUM($F$2:F228)</f>
        <v>0.524362</v>
      </c>
      <c r="H228" s="4" t="n">
        <v>156.95</v>
      </c>
      <c r="I228" s="5" t="n">
        <v>191.4024</v>
      </c>
      <c r="J228" s="4" t="n">
        <v>0.82</v>
      </c>
      <c r="K228" s="5" t="n">
        <v>14.7905</v>
      </c>
      <c r="L228" s="6" t="n">
        <v>4.3681</v>
      </c>
      <c r="M228" s="5" t="n">
        <f aca="false">IF(AND(N(K228)&gt;0,N(L228)&gt;0),K228/L228,"")</f>
        <v>3.38602596094412</v>
      </c>
      <c r="N228" s="2"/>
    </row>
    <row r="229" customFormat="false" ht="15" hidden="false" customHeight="false" outlineLevel="0" collapsed="false">
      <c r="A229" s="2" t="n">
        <v>228</v>
      </c>
      <c r="B229" s="2" t="s">
        <v>568</v>
      </c>
      <c r="C229" s="2" t="s">
        <v>569</v>
      </c>
      <c r="D229" s="2" t="s">
        <v>33</v>
      </c>
      <c r="E229" s="2" t="s">
        <v>244</v>
      </c>
      <c r="F229" s="3" t="n">
        <v>0.001432</v>
      </c>
      <c r="G229" s="3" t="n">
        <f aca="false">SUM($F$2:F229)</f>
        <v>0.525794</v>
      </c>
      <c r="H229" s="4" t="n">
        <v>161.53</v>
      </c>
      <c r="I229" s="5"/>
      <c r="J229" s="4" t="n">
        <v>-3.28</v>
      </c>
      <c r="K229" s="5" t="n">
        <v>9.5277</v>
      </c>
      <c r="L229" s="6" t="n">
        <v>15.5468</v>
      </c>
      <c r="M229" s="5" t="n">
        <f aca="false">IF(AND(N(K229)&gt;0,N(L229)&gt;0),K229/L229,"")</f>
        <v>0.612839941338411</v>
      </c>
      <c r="N229" s="2" t="s">
        <v>50</v>
      </c>
    </row>
    <row r="230" customFormat="false" ht="15" hidden="false" customHeight="false" outlineLevel="0" collapsed="false">
      <c r="A230" s="2" t="n">
        <v>229</v>
      </c>
      <c r="B230" s="2" t="s">
        <v>570</v>
      </c>
      <c r="C230" s="2" t="s">
        <v>571</v>
      </c>
      <c r="D230" s="2" t="s">
        <v>58</v>
      </c>
      <c r="E230" s="2" t="s">
        <v>326</v>
      </c>
      <c r="F230" s="3" t="n">
        <v>0.001429</v>
      </c>
      <c r="G230" s="3" t="n">
        <f aca="false">SUM($F$2:F230)</f>
        <v>0.527223</v>
      </c>
      <c r="H230" s="4" t="n">
        <v>14.86</v>
      </c>
      <c r="I230" s="5"/>
      <c r="J230" s="4" t="n">
        <v>-4</v>
      </c>
      <c r="K230" s="5" t="n">
        <v>7.1115</v>
      </c>
      <c r="L230" s="6" t="n">
        <v>0.6304</v>
      </c>
      <c r="M230" s="5" t="n">
        <f aca="false">IF(AND(N(K230)&gt;0,N(L230)&gt;0),K230/L230,"")</f>
        <v>11.2809327411168</v>
      </c>
      <c r="N230" s="2" t="s">
        <v>50</v>
      </c>
    </row>
    <row r="231" customFormat="false" ht="15" hidden="false" customHeight="false" outlineLevel="0" collapsed="false">
      <c r="A231" s="2" t="n">
        <v>230</v>
      </c>
      <c r="B231" s="2" t="s">
        <v>572</v>
      </c>
      <c r="C231" s="2" t="s">
        <v>573</v>
      </c>
      <c r="D231" s="2" t="s">
        <v>79</v>
      </c>
      <c r="E231" s="2" t="s">
        <v>80</v>
      </c>
      <c r="F231" s="3" t="n">
        <v>0.001428</v>
      </c>
      <c r="G231" s="3" t="n">
        <f aca="false">SUM($F$2:F231)</f>
        <v>0.528651</v>
      </c>
      <c r="H231" s="4" t="n">
        <v>69.91</v>
      </c>
      <c r="I231" s="5" t="n">
        <v>12.1161</v>
      </c>
      <c r="J231" s="4" t="n">
        <v>5.77</v>
      </c>
      <c r="K231" s="5" t="n">
        <v>8.4016</v>
      </c>
      <c r="L231" s="6" t="n">
        <v>6.0387</v>
      </c>
      <c r="M231" s="5" t="n">
        <f aca="false">IF(AND(N(K231)&gt;0,N(L231)&gt;0),K231/L231,"")</f>
        <v>1.39129282792654</v>
      </c>
      <c r="N231" s="2"/>
    </row>
    <row r="232" customFormat="false" ht="15" hidden="false" customHeight="false" outlineLevel="0" collapsed="false">
      <c r="A232" s="2" t="n">
        <v>231</v>
      </c>
      <c r="B232" s="2" t="s">
        <v>574</v>
      </c>
      <c r="C232" s="2" t="s">
        <v>575</v>
      </c>
      <c r="D232" s="2" t="s">
        <v>22</v>
      </c>
      <c r="E232" s="2" t="s">
        <v>259</v>
      </c>
      <c r="F232" s="3" t="n">
        <v>0.001415</v>
      </c>
      <c r="G232" s="3" t="n">
        <f aca="false">SUM($F$2:F232)</f>
        <v>0.530066</v>
      </c>
      <c r="H232" s="4" t="n">
        <v>58.52</v>
      </c>
      <c r="I232" s="5" t="n">
        <v>63.6087</v>
      </c>
      <c r="J232" s="4" t="n">
        <v>0.92</v>
      </c>
      <c r="K232" s="5" t="n">
        <v>6.2965</v>
      </c>
      <c r="L232" s="6" t="n">
        <v>0.4358</v>
      </c>
      <c r="M232" s="5" t="n">
        <f aca="false">IF(AND(N(K232)&gt;0,N(L232)&gt;0),K232/L232,"")</f>
        <v>14.4481413492428</v>
      </c>
      <c r="N232" s="2"/>
    </row>
    <row r="233" customFormat="false" ht="15" hidden="false" customHeight="false" outlineLevel="0" collapsed="false">
      <c r="A233" s="2" t="n">
        <v>232</v>
      </c>
      <c r="B233" s="2" t="s">
        <v>576</v>
      </c>
      <c r="C233" s="2" t="s">
        <v>577</v>
      </c>
      <c r="D233" s="2" t="s">
        <v>26</v>
      </c>
      <c r="E233" s="2" t="s">
        <v>578</v>
      </c>
      <c r="F233" s="3" t="n">
        <v>0.001414</v>
      </c>
      <c r="G233" s="3" t="n">
        <f aca="false">SUM($F$2:F233)</f>
        <v>0.53148</v>
      </c>
      <c r="H233" s="4" t="n">
        <v>80</v>
      </c>
      <c r="I233" s="5" t="n">
        <v>11.1421</v>
      </c>
      <c r="J233" s="4" t="n">
        <v>7.18</v>
      </c>
      <c r="K233" s="5" t="n">
        <v>7.6036</v>
      </c>
      <c r="L233" s="6" t="n">
        <v>3.0249</v>
      </c>
      <c r="M233" s="5" t="n">
        <f aca="false">IF(AND(N(K233)&gt;0,N(L233)&gt;0),K233/L233,"")</f>
        <v>2.51366987338424</v>
      </c>
      <c r="N233" s="2"/>
    </row>
    <row r="234" customFormat="false" ht="15" hidden="false" customHeight="false" outlineLevel="0" collapsed="false">
      <c r="A234" s="2" t="n">
        <v>233</v>
      </c>
      <c r="B234" s="2" t="s">
        <v>579</v>
      </c>
      <c r="C234" s="2" t="s">
        <v>580</v>
      </c>
      <c r="D234" s="2" t="s">
        <v>79</v>
      </c>
      <c r="E234" s="2" t="s">
        <v>241</v>
      </c>
      <c r="F234" s="3" t="n">
        <v>0.001407</v>
      </c>
      <c r="G234" s="3" t="n">
        <f aca="false">SUM($F$2:F234)</f>
        <v>0.532887</v>
      </c>
      <c r="H234" s="4" t="n">
        <v>54.4</v>
      </c>
      <c r="I234" s="5" t="n">
        <v>18.7586</v>
      </c>
      <c r="J234" s="4" t="n">
        <v>2.9</v>
      </c>
      <c r="K234" s="5" t="n">
        <v>5.0332</v>
      </c>
      <c r="L234" s="6" t="n">
        <v>1.0832</v>
      </c>
      <c r="M234" s="5" t="n">
        <f aca="false">IF(AND(N(K234)&gt;0,N(L234)&gt;0),K234/L234,"")</f>
        <v>4.64660265878877</v>
      </c>
      <c r="N234" s="2"/>
    </row>
    <row r="235" customFormat="false" ht="15" hidden="false" customHeight="false" outlineLevel="0" collapsed="false">
      <c r="A235" s="2" t="n">
        <v>234</v>
      </c>
      <c r="B235" s="2" t="s">
        <v>581</v>
      </c>
      <c r="C235" s="2" t="s">
        <v>582</v>
      </c>
      <c r="D235" s="2" t="s">
        <v>58</v>
      </c>
      <c r="E235" s="2" t="s">
        <v>583</v>
      </c>
      <c r="F235" s="3" t="n">
        <v>0.001407</v>
      </c>
      <c r="G235" s="3" t="n">
        <f aca="false">SUM($F$2:F235)</f>
        <v>0.534294</v>
      </c>
      <c r="H235" s="4" t="n">
        <v>37.56</v>
      </c>
      <c r="I235" s="5"/>
      <c r="J235" s="4" t="n">
        <v>-11.44</v>
      </c>
      <c r="K235" s="5" t="n">
        <v>7.0032</v>
      </c>
      <c r="L235" s="6" t="n">
        <v>0.6319</v>
      </c>
      <c r="M235" s="5" t="n">
        <f aca="false">IF(AND(N(K235)&gt;0,N(L235)&gt;0),K235/L235,"")</f>
        <v>11.0827662604843</v>
      </c>
      <c r="N235" s="2" t="s">
        <v>50</v>
      </c>
    </row>
    <row r="236" customFormat="false" ht="15" hidden="false" customHeight="false" outlineLevel="0" collapsed="false">
      <c r="A236" s="2" t="n">
        <v>235</v>
      </c>
      <c r="B236" s="2" t="s">
        <v>584</v>
      </c>
      <c r="C236" s="2" t="s">
        <v>585</v>
      </c>
      <c r="D236" s="2" t="s">
        <v>62</v>
      </c>
      <c r="E236" s="2" t="s">
        <v>189</v>
      </c>
      <c r="F236" s="3" t="n">
        <v>0.001406</v>
      </c>
      <c r="G236" s="3" t="n">
        <f aca="false">SUM($F$2:F236)</f>
        <v>0.5357</v>
      </c>
      <c r="H236" s="4" t="n">
        <v>31.86</v>
      </c>
      <c r="I236" s="5" t="n">
        <v>19.546</v>
      </c>
      <c r="J236" s="4" t="n">
        <v>1.63</v>
      </c>
      <c r="K236" s="5" t="n">
        <v>6.8187</v>
      </c>
      <c r="L236" s="6" t="n">
        <v>1.324</v>
      </c>
      <c r="M236" s="5" t="n">
        <f aca="false">IF(AND(N(K236)&gt;0,N(L236)&gt;0),K236/L236,"")</f>
        <v>5.15007552870091</v>
      </c>
      <c r="N236" s="2"/>
    </row>
    <row r="237" customFormat="false" ht="15" hidden="false" customHeight="false" outlineLevel="0" collapsed="false">
      <c r="A237" s="2" t="n">
        <v>236</v>
      </c>
      <c r="B237" s="2" t="s">
        <v>586</v>
      </c>
      <c r="C237" s="2" t="s">
        <v>587</v>
      </c>
      <c r="D237" s="2" t="s">
        <v>16</v>
      </c>
      <c r="E237" s="2" t="s">
        <v>148</v>
      </c>
      <c r="F237" s="3" t="n">
        <v>0.001404</v>
      </c>
      <c r="G237" s="3" t="n">
        <f aca="false">SUM($F$2:F237)</f>
        <v>0.537104</v>
      </c>
      <c r="H237" s="4" t="n">
        <v>145.72</v>
      </c>
      <c r="I237" s="5" t="n">
        <v>93.4103</v>
      </c>
      <c r="J237" s="4" t="n">
        <v>1.56</v>
      </c>
      <c r="K237" s="5" t="n">
        <v>6.0393</v>
      </c>
      <c r="L237" s="6" t="n">
        <v>4.9672</v>
      </c>
      <c r="M237" s="5" t="n">
        <f aca="false">IF(AND(N(K237)&gt;0,N(L237)&gt;0),K237/L237,"")</f>
        <v>1.21583588339507</v>
      </c>
      <c r="N237" s="2"/>
    </row>
    <row r="238" customFormat="false" ht="15" hidden="false" customHeight="false" outlineLevel="0" collapsed="false">
      <c r="A238" s="2" t="n">
        <v>237</v>
      </c>
      <c r="B238" s="2" t="s">
        <v>588</v>
      </c>
      <c r="C238" s="2" t="s">
        <v>589</v>
      </c>
      <c r="D238" s="2" t="s">
        <v>33</v>
      </c>
      <c r="E238" s="2" t="s">
        <v>49</v>
      </c>
      <c r="F238" s="3" t="n">
        <v>0.001403</v>
      </c>
      <c r="G238" s="3" t="n">
        <f aca="false">SUM($F$2:F238)</f>
        <v>0.538507</v>
      </c>
      <c r="H238" s="4" t="n">
        <v>68.79</v>
      </c>
      <c r="I238" s="5"/>
      <c r="J238" s="4" t="n">
        <v>-2.28</v>
      </c>
      <c r="K238" s="5" t="n">
        <v>9.7169</v>
      </c>
      <c r="L238" s="6" t="n">
        <v>14.5138</v>
      </c>
      <c r="M238" s="5" t="n">
        <f aca="false">IF(AND(N(K238)&gt;0,N(L238)&gt;0),K238/L238,"")</f>
        <v>0.669493861015034</v>
      </c>
      <c r="N238" s="2" t="s">
        <v>50</v>
      </c>
    </row>
    <row r="239" customFormat="false" ht="15" hidden="false" customHeight="false" outlineLevel="0" collapsed="false">
      <c r="A239" s="2" t="n">
        <v>238</v>
      </c>
      <c r="B239" s="2" t="s">
        <v>590</v>
      </c>
      <c r="C239" s="2" t="s">
        <v>591</v>
      </c>
      <c r="D239" s="2" t="s">
        <v>22</v>
      </c>
      <c r="E239" s="2" t="s">
        <v>302</v>
      </c>
      <c r="F239" s="3" t="n">
        <v>0.001399</v>
      </c>
      <c r="G239" s="3" t="n">
        <f aca="false">SUM($F$2:F239)</f>
        <v>0.539906</v>
      </c>
      <c r="H239" s="4" t="n">
        <v>115.09</v>
      </c>
      <c r="I239" s="5" t="n">
        <v>24.8039</v>
      </c>
      <c r="J239" s="4" t="n">
        <v>4.64</v>
      </c>
      <c r="K239" s="5" t="n">
        <v>7.0253</v>
      </c>
      <c r="L239" s="6" t="n">
        <v>2.8699</v>
      </c>
      <c r="M239" s="5" t="n">
        <f aca="false">IF(AND(N(K239)&gt;0,N(L239)&gt;0),K239/L239,"")</f>
        <v>2.44792501480888</v>
      </c>
      <c r="N239" s="2"/>
    </row>
    <row r="240" customFormat="false" ht="15" hidden="false" customHeight="false" outlineLevel="0" collapsed="false">
      <c r="A240" s="2" t="n">
        <v>239</v>
      </c>
      <c r="B240" s="2" t="s">
        <v>592</v>
      </c>
      <c r="C240" s="2" t="s">
        <v>593</v>
      </c>
      <c r="D240" s="2" t="s">
        <v>16</v>
      </c>
      <c r="E240" s="2" t="s">
        <v>106</v>
      </c>
      <c r="F240" s="3" t="n">
        <v>0.001395</v>
      </c>
      <c r="G240" s="3" t="n">
        <f aca="false">SUM($F$2:F240)</f>
        <v>0.541301</v>
      </c>
      <c r="H240" s="4" t="n">
        <v>220.87</v>
      </c>
      <c r="I240" s="5"/>
      <c r="J240" s="4" t="n">
        <v>-1.17</v>
      </c>
      <c r="K240" s="5" t="n">
        <v>7.3697</v>
      </c>
      <c r="L240" s="6" t="n">
        <v>8.6105</v>
      </c>
      <c r="M240" s="5" t="n">
        <f aca="false">IF(AND(N(K240)&gt;0,N(L240)&gt;0),K240/L240,"")</f>
        <v>0.855896870100459</v>
      </c>
      <c r="N240" s="2" t="s">
        <v>50</v>
      </c>
    </row>
    <row r="241" customFormat="false" ht="15" hidden="false" customHeight="false" outlineLevel="0" collapsed="false">
      <c r="A241" s="2" t="n">
        <v>240</v>
      </c>
      <c r="B241" s="2" t="s">
        <v>594</v>
      </c>
      <c r="C241" s="2" t="s">
        <v>595</v>
      </c>
      <c r="D241" s="2" t="s">
        <v>58</v>
      </c>
      <c r="E241" s="2" t="s">
        <v>326</v>
      </c>
      <c r="F241" s="3" t="n">
        <v>0.00139</v>
      </c>
      <c r="G241" s="3" t="n">
        <f aca="false">SUM($F$2:F241)</f>
        <v>0.542691</v>
      </c>
      <c r="H241" s="4" t="n">
        <v>47.29</v>
      </c>
      <c r="I241" s="5" t="n">
        <v>22.7356</v>
      </c>
      <c r="J241" s="4" t="n">
        <v>2.08</v>
      </c>
      <c r="K241" s="5" t="n">
        <v>6.5016</v>
      </c>
      <c r="L241" s="6" t="n">
        <v>0.9833</v>
      </c>
      <c r="M241" s="5" t="n">
        <f aca="false">IF(AND(N(K241)&gt;0,N(L241)&gt;0),K241/L241,"")</f>
        <v>6.61202074646598</v>
      </c>
      <c r="N241" s="2"/>
    </row>
    <row r="242" customFormat="false" ht="15" hidden="false" customHeight="false" outlineLevel="0" collapsed="false">
      <c r="A242" s="2" t="n">
        <v>241</v>
      </c>
      <c r="B242" s="2" t="s">
        <v>596</v>
      </c>
      <c r="C242" s="2" t="s">
        <v>597</v>
      </c>
      <c r="D242" s="2" t="s">
        <v>79</v>
      </c>
      <c r="E242" s="2" t="s">
        <v>230</v>
      </c>
      <c r="F242" s="3" t="n">
        <v>0.001387</v>
      </c>
      <c r="G242" s="3" t="n">
        <f aca="false">SUM($F$2:F242)</f>
        <v>0.544078</v>
      </c>
      <c r="H242" s="4" t="n">
        <v>132.61</v>
      </c>
      <c r="I242" s="5" t="n">
        <v>22.2874</v>
      </c>
      <c r="J242" s="4" t="n">
        <v>5.95</v>
      </c>
      <c r="K242" s="5" t="n">
        <v>9.2676</v>
      </c>
      <c r="L242" s="6" t="n">
        <v>3.6725</v>
      </c>
      <c r="M242" s="5" t="n">
        <f aca="false">IF(AND(N(K242)&gt;0,N(L242)&gt;0),K242/L242,"")</f>
        <v>2.52351259360109</v>
      </c>
      <c r="N242" s="2"/>
    </row>
    <row r="243" customFormat="false" ht="15" hidden="false" customHeight="false" outlineLevel="0" collapsed="false">
      <c r="A243" s="2" t="n">
        <v>242</v>
      </c>
      <c r="B243" s="2" t="s">
        <v>598</v>
      </c>
      <c r="C243" s="2" t="s">
        <v>599</v>
      </c>
      <c r="D243" s="2" t="s">
        <v>16</v>
      </c>
      <c r="E243" s="2" t="s">
        <v>106</v>
      </c>
      <c r="F243" s="3" t="n">
        <v>0.001387</v>
      </c>
      <c r="G243" s="3" t="n">
        <f aca="false">SUM($F$2:F243)</f>
        <v>0.545465</v>
      </c>
      <c r="H243" s="4" t="n">
        <v>119.98</v>
      </c>
      <c r="I243" s="5" t="n">
        <v>14.6675</v>
      </c>
      <c r="J243" s="4" t="n">
        <v>8.18</v>
      </c>
      <c r="K243" s="5" t="n">
        <v>6.0131</v>
      </c>
      <c r="L243" s="6" t="n">
        <v>2.9335</v>
      </c>
      <c r="M243" s="5" t="n">
        <f aca="false">IF(AND(N(K243)&gt;0,N(L243)&gt;0),K243/L243,"")</f>
        <v>2.04980398840975</v>
      </c>
      <c r="N243" s="2"/>
    </row>
    <row r="244" customFormat="false" ht="15" hidden="false" customHeight="false" outlineLevel="0" collapsed="false">
      <c r="A244" s="2" t="n">
        <v>243</v>
      </c>
      <c r="B244" s="2" t="s">
        <v>600</v>
      </c>
      <c r="C244" s="2" t="s">
        <v>601</v>
      </c>
      <c r="D244" s="2" t="s">
        <v>33</v>
      </c>
      <c r="E244" s="2" t="s">
        <v>244</v>
      </c>
      <c r="F244" s="3" t="n">
        <v>0.001386</v>
      </c>
      <c r="G244" s="3" t="n">
        <f aca="false">SUM($F$2:F244)</f>
        <v>0.546851</v>
      </c>
      <c r="H244" s="4" t="n">
        <v>377.33</v>
      </c>
      <c r="I244" s="5" t="n">
        <v>45.9598</v>
      </c>
      <c r="J244" s="4" t="n">
        <v>8.21</v>
      </c>
      <c r="K244" s="5" t="n">
        <v>10.0891</v>
      </c>
      <c r="L244" s="6" t="n">
        <v>3.8965</v>
      </c>
      <c r="M244" s="5" t="n">
        <f aca="false">IF(AND(N(K244)&gt;0,N(L244)&gt;0),K244/L244,"")</f>
        <v>2.58927242397023</v>
      </c>
      <c r="N244" s="2"/>
    </row>
    <row r="245" customFormat="false" ht="15" hidden="false" customHeight="false" outlineLevel="0" collapsed="false">
      <c r="A245" s="2" t="n">
        <v>244</v>
      </c>
      <c r="B245" s="2" t="s">
        <v>602</v>
      </c>
      <c r="C245" s="2" t="s">
        <v>603</v>
      </c>
      <c r="D245" s="2" t="s">
        <v>66</v>
      </c>
      <c r="E245" s="2" t="s">
        <v>67</v>
      </c>
      <c r="F245" s="3" t="n">
        <v>0.001385</v>
      </c>
      <c r="G245" s="3" t="n">
        <f aca="false">SUM($F$2:F245)</f>
        <v>0.548236</v>
      </c>
      <c r="H245" s="4" t="n">
        <v>400.09</v>
      </c>
      <c r="I245" s="5" t="n">
        <v>1250.2812</v>
      </c>
      <c r="J245" s="4" t="n">
        <v>0.32</v>
      </c>
      <c r="K245" s="5" t="n">
        <v>9.6341</v>
      </c>
      <c r="L245" s="6" t="n">
        <v>8.3498</v>
      </c>
      <c r="M245" s="5" t="n">
        <f aca="false">IF(AND(N(K245)&gt;0,N(L245)&gt;0),K245/L245,"")</f>
        <v>1.15381206735491</v>
      </c>
      <c r="N245" s="2" t="s">
        <v>343</v>
      </c>
    </row>
    <row r="246" customFormat="false" ht="15" hidden="false" customHeight="false" outlineLevel="0" collapsed="false">
      <c r="A246" s="2" t="n">
        <v>245</v>
      </c>
      <c r="B246" s="2" t="s">
        <v>604</v>
      </c>
      <c r="C246" s="2" t="s">
        <v>605</v>
      </c>
      <c r="D246" s="2" t="s">
        <v>86</v>
      </c>
      <c r="E246" s="2" t="s">
        <v>442</v>
      </c>
      <c r="F246" s="3" t="n">
        <v>0.00138</v>
      </c>
      <c r="G246" s="3" t="n">
        <f aca="false">SUM($F$2:F246)</f>
        <v>0.549616</v>
      </c>
      <c r="H246" s="4" t="n">
        <v>67.62</v>
      </c>
      <c r="I246" s="5" t="n">
        <v>36.3548</v>
      </c>
      <c r="J246" s="4" t="n">
        <v>1.86</v>
      </c>
      <c r="K246" s="5" t="n">
        <v>8.434</v>
      </c>
      <c r="L246" s="6" t="n">
        <v>10.8182</v>
      </c>
      <c r="M246" s="5" t="n">
        <f aca="false">IF(AND(N(K246)&gt;0,N(L246)&gt;0),K246/L246,"")</f>
        <v>0.779612135105655</v>
      </c>
      <c r="N246" s="2"/>
    </row>
    <row r="247" customFormat="false" ht="15" hidden="false" customHeight="false" outlineLevel="0" collapsed="false">
      <c r="A247" s="2" t="n">
        <v>246</v>
      </c>
      <c r="B247" s="2" t="s">
        <v>606</v>
      </c>
      <c r="C247" s="2" t="s">
        <v>607</v>
      </c>
      <c r="D247" s="2" t="s">
        <v>22</v>
      </c>
      <c r="E247" s="2" t="s">
        <v>109</v>
      </c>
      <c r="F247" s="3" t="n">
        <v>0.001373</v>
      </c>
      <c r="G247" s="3" t="n">
        <f aca="false">SUM($F$2:F247)</f>
        <v>0.550989</v>
      </c>
      <c r="H247" s="4" t="n">
        <v>146.22</v>
      </c>
      <c r="I247" s="5" t="n">
        <v>32.7114</v>
      </c>
      <c r="J247" s="4" t="n">
        <v>4.47</v>
      </c>
      <c r="K247" s="5" t="n">
        <v>7.1804</v>
      </c>
      <c r="L247" s="6" t="n">
        <v>2.4601</v>
      </c>
      <c r="M247" s="5" t="n">
        <f aca="false">IF(AND(N(K247)&gt;0,N(L247)&gt;0),K247/L247,"")</f>
        <v>2.91874314052274</v>
      </c>
      <c r="N247" s="2"/>
    </row>
    <row r="248" customFormat="false" ht="15" hidden="false" customHeight="false" outlineLevel="0" collapsed="false">
      <c r="A248" s="2" t="n">
        <v>247</v>
      </c>
      <c r="B248" s="2" t="s">
        <v>608</v>
      </c>
      <c r="C248" s="2" t="s">
        <v>609</v>
      </c>
      <c r="D248" s="2" t="s">
        <v>93</v>
      </c>
      <c r="E248" s="2" t="s">
        <v>94</v>
      </c>
      <c r="F248" s="3" t="n">
        <v>0.00137</v>
      </c>
      <c r="G248" s="3" t="n">
        <f aca="false">SUM($F$2:F248)</f>
        <v>0.552359</v>
      </c>
      <c r="H248" s="4" t="n">
        <v>136.76</v>
      </c>
      <c r="I248" s="5" t="n">
        <v>11.81</v>
      </c>
      <c r="J248" s="4" t="n">
        <v>11.58</v>
      </c>
      <c r="K248" s="5" t="n">
        <v>5.8033</v>
      </c>
      <c r="L248" s="6" t="n">
        <v>1.0866</v>
      </c>
      <c r="M248" s="5" t="n">
        <f aca="false">IF(AND(N(K248)&gt;0,N(L248)&gt;0),K248/L248,"")</f>
        <v>5.34078777839131</v>
      </c>
      <c r="N248" s="2"/>
    </row>
    <row r="249" customFormat="false" ht="15" hidden="false" customHeight="false" outlineLevel="0" collapsed="false">
      <c r="A249" s="2" t="n">
        <v>248</v>
      </c>
      <c r="B249" s="2" t="s">
        <v>610</v>
      </c>
      <c r="C249" s="2" t="s">
        <v>611</v>
      </c>
      <c r="D249" s="2" t="s">
        <v>79</v>
      </c>
      <c r="E249" s="2" t="s">
        <v>276</v>
      </c>
      <c r="F249" s="3" t="n">
        <v>0.001363</v>
      </c>
      <c r="G249" s="3" t="n">
        <f aca="false">SUM($F$2:F249)</f>
        <v>0.553722</v>
      </c>
      <c r="H249" s="4" t="n">
        <v>66.47</v>
      </c>
      <c r="I249" s="5" t="n">
        <v>9.2706</v>
      </c>
      <c r="J249" s="4" t="n">
        <v>7.17</v>
      </c>
      <c r="K249" s="5" t="n">
        <v>5.9741</v>
      </c>
      <c r="L249" s="6" t="n">
        <v>4.5156</v>
      </c>
      <c r="M249" s="5" t="n">
        <f aca="false">IF(AND(N(K249)&gt;0,N(L249)&gt;0),K249/L249,"")</f>
        <v>1.32299140756489</v>
      </c>
      <c r="N249" s="2"/>
    </row>
    <row r="250" customFormat="false" ht="15" hidden="false" customHeight="false" outlineLevel="0" collapsed="false">
      <c r="A250" s="2" t="n">
        <v>249</v>
      </c>
      <c r="B250" s="2" t="s">
        <v>612</v>
      </c>
      <c r="C250" s="2" t="s">
        <v>613</v>
      </c>
      <c r="D250" s="2" t="s">
        <v>86</v>
      </c>
      <c r="E250" s="2" t="s">
        <v>414</v>
      </c>
      <c r="F250" s="3" t="n">
        <v>0.00135</v>
      </c>
      <c r="G250" s="3" t="n">
        <f aca="false">SUM($F$2:F250)</f>
        <v>0.555072</v>
      </c>
      <c r="H250" s="4" t="n">
        <v>37.51</v>
      </c>
      <c r="I250" s="5" t="n">
        <v>28.8538</v>
      </c>
      <c r="J250" s="4" t="n">
        <v>1.3</v>
      </c>
      <c r="K250" s="5" t="n">
        <v>7.3823</v>
      </c>
      <c r="L250" s="6" t="n">
        <v>8.3833</v>
      </c>
      <c r="M250" s="5" t="n">
        <f aca="false">IF(AND(N(K250)&gt;0,N(L250)&gt;0),K250/L250,"")</f>
        <v>0.880595946703565</v>
      </c>
      <c r="N250" s="2"/>
    </row>
    <row r="251" customFormat="false" ht="15" hidden="false" customHeight="false" outlineLevel="0" collapsed="false">
      <c r="A251" s="2" t="n">
        <v>250</v>
      </c>
      <c r="B251" s="2" t="s">
        <v>614</v>
      </c>
      <c r="C251" s="2" t="s">
        <v>615</v>
      </c>
      <c r="D251" s="2" t="s">
        <v>79</v>
      </c>
      <c r="E251" s="2" t="s">
        <v>80</v>
      </c>
      <c r="F251" s="3" t="n">
        <v>0.001348</v>
      </c>
      <c r="G251" s="3" t="n">
        <f aca="false">SUM($F$2:F251)</f>
        <v>0.55642</v>
      </c>
      <c r="H251" s="4" t="n">
        <v>74.51</v>
      </c>
      <c r="I251" s="5" t="n">
        <v>14.6098</v>
      </c>
      <c r="J251" s="4" t="n">
        <v>5.1</v>
      </c>
      <c r="K251" s="5" t="n">
        <v>5.9774</v>
      </c>
      <c r="L251" s="6" t="n">
        <v>4.2321</v>
      </c>
      <c r="M251" s="5" t="n">
        <f aca="false">IF(AND(N(K251)&gt;0,N(L251)&gt;0),K251/L251,"")</f>
        <v>1.4123957373408</v>
      </c>
      <c r="N251" s="2"/>
    </row>
    <row r="252" customFormat="false" ht="15" hidden="false" customHeight="false" outlineLevel="0" collapsed="false">
      <c r="A252" s="2" t="n">
        <v>251</v>
      </c>
      <c r="B252" s="2" t="s">
        <v>616</v>
      </c>
      <c r="C252" s="2" t="s">
        <v>617</v>
      </c>
      <c r="D252" s="2" t="s">
        <v>93</v>
      </c>
      <c r="E252" s="2" t="s">
        <v>181</v>
      </c>
      <c r="F252" s="3" t="n">
        <v>0.001347</v>
      </c>
      <c r="G252" s="3" t="n">
        <f aca="false">SUM($F$2:F252)</f>
        <v>0.557767</v>
      </c>
      <c r="H252" s="4" t="n">
        <v>117.27</v>
      </c>
      <c r="I252" s="5" t="n">
        <v>15.5325</v>
      </c>
      <c r="J252" s="4" t="n">
        <v>7.55</v>
      </c>
      <c r="K252" s="5" t="n">
        <v>7.9437</v>
      </c>
      <c r="L252" s="6" t="n">
        <v>0.7107</v>
      </c>
      <c r="M252" s="5" t="n">
        <f aca="false">IF(AND(N(K252)&gt;0,N(L252)&gt;0),K252/L252,"")</f>
        <v>11.1772899957788</v>
      </c>
      <c r="N252" s="2"/>
    </row>
    <row r="253" customFormat="false" ht="15" hidden="false" customHeight="false" outlineLevel="0" collapsed="false">
      <c r="A253" s="2" t="n">
        <v>252</v>
      </c>
      <c r="B253" s="2" t="s">
        <v>618</v>
      </c>
      <c r="C253" s="2" t="s">
        <v>619</v>
      </c>
      <c r="D253" s="2" t="s">
        <v>93</v>
      </c>
      <c r="E253" s="2" t="s">
        <v>269</v>
      </c>
      <c r="F253" s="3" t="n">
        <v>0.001342</v>
      </c>
      <c r="G253" s="3" t="n">
        <f aca="false">SUM($F$2:F253)</f>
        <v>0.559109</v>
      </c>
      <c r="H253" s="4" t="n">
        <v>120.22</v>
      </c>
      <c r="I253" s="5" t="n">
        <v>11.1937</v>
      </c>
      <c r="J253" s="4" t="n">
        <v>10.74</v>
      </c>
      <c r="K253" s="5" t="n">
        <v>8.0036</v>
      </c>
      <c r="L253" s="6" t="n">
        <v>0.3377</v>
      </c>
      <c r="M253" s="5" t="n">
        <f aca="false">IF(AND(N(K253)&gt;0,N(L253)&gt;0),K253/L253,"")</f>
        <v>23.700325732899</v>
      </c>
      <c r="N253" s="2"/>
    </row>
    <row r="254" customFormat="false" ht="15" hidden="false" customHeight="false" outlineLevel="0" collapsed="false">
      <c r="A254" s="2" t="n">
        <v>253</v>
      </c>
      <c r="B254" s="2" t="s">
        <v>620</v>
      </c>
      <c r="C254" s="2" t="s">
        <v>621</v>
      </c>
      <c r="D254" s="2" t="s">
        <v>93</v>
      </c>
      <c r="E254" s="2" t="s">
        <v>622</v>
      </c>
      <c r="F254" s="3" t="n">
        <v>0.001335</v>
      </c>
      <c r="G254" s="3" t="n">
        <f aca="false">SUM($F$2:F254)</f>
        <v>0.560444</v>
      </c>
      <c r="H254" s="4" t="n">
        <v>22.19</v>
      </c>
      <c r="I254" s="5" t="n">
        <v>8.1282</v>
      </c>
      <c r="J254" s="4" t="n">
        <v>2.73</v>
      </c>
      <c r="K254" s="5" t="n">
        <v>5.7955</v>
      </c>
      <c r="L254" s="6" t="n">
        <v>0.2544</v>
      </c>
      <c r="M254" s="5" t="n">
        <f aca="false">IF(AND(N(K254)&gt;0,N(L254)&gt;0),K254/L254,"")</f>
        <v>22.7810534591195</v>
      </c>
      <c r="N254" s="2"/>
    </row>
    <row r="255" customFormat="false" ht="15" hidden="false" customHeight="false" outlineLevel="0" collapsed="false">
      <c r="A255" s="2" t="n">
        <v>254</v>
      </c>
      <c r="B255" s="2" t="s">
        <v>623</v>
      </c>
      <c r="C255" s="2" t="s">
        <v>624</v>
      </c>
      <c r="D255" s="2" t="s">
        <v>33</v>
      </c>
      <c r="E255" s="2" t="s">
        <v>34</v>
      </c>
      <c r="F255" s="3" t="n">
        <v>0.001334</v>
      </c>
      <c r="G255" s="3" t="n">
        <f aca="false">SUM($F$2:F255)</f>
        <v>0.561778</v>
      </c>
      <c r="H255" s="4" t="n">
        <v>100.28</v>
      </c>
      <c r="I255" s="5" t="n">
        <v>23.9904</v>
      </c>
      <c r="J255" s="4" t="n">
        <v>4.18</v>
      </c>
      <c r="K255" s="5" t="n">
        <v>6.5483</v>
      </c>
      <c r="L255" s="6" t="n">
        <v>4.2076</v>
      </c>
      <c r="M255" s="5" t="n">
        <f aca="false">IF(AND(N(K255)&gt;0,N(L255)&gt;0),K255/L255,"")</f>
        <v>1.55630288050195</v>
      </c>
      <c r="N255" s="2"/>
    </row>
    <row r="256" customFormat="false" ht="15" hidden="false" customHeight="false" outlineLevel="0" collapsed="false">
      <c r="A256" s="2" t="n">
        <v>255</v>
      </c>
      <c r="B256" s="2" t="s">
        <v>625</v>
      </c>
      <c r="C256" s="2" t="s">
        <v>626</v>
      </c>
      <c r="D256" s="2" t="s">
        <v>171</v>
      </c>
      <c r="E256" s="2" t="s">
        <v>399</v>
      </c>
      <c r="F256" s="3" t="n">
        <v>0.001317</v>
      </c>
      <c r="G256" s="3" t="n">
        <f aca="false">SUM($F$2:F256)</f>
        <v>0.563095</v>
      </c>
      <c r="H256" s="4" t="n">
        <v>130.47</v>
      </c>
      <c r="I256" s="5" t="n">
        <v>21.6368</v>
      </c>
      <c r="J256" s="4" t="n">
        <v>6.03</v>
      </c>
      <c r="K256" s="5" t="n">
        <v>7.5467</v>
      </c>
      <c r="L256" s="6" t="n">
        <v>4.1859</v>
      </c>
      <c r="M256" s="5" t="n">
        <f aca="false">IF(AND(N(K256)&gt;0,N(L256)&gt;0),K256/L256,"")</f>
        <v>1.80288587878354</v>
      </c>
      <c r="N256" s="2"/>
    </row>
    <row r="257" customFormat="false" ht="15" hidden="false" customHeight="false" outlineLevel="0" collapsed="false">
      <c r="A257" s="2" t="n">
        <v>256</v>
      </c>
      <c r="B257" s="2" t="s">
        <v>627</v>
      </c>
      <c r="C257" s="2" t="s">
        <v>628</v>
      </c>
      <c r="D257" s="2" t="s">
        <v>86</v>
      </c>
      <c r="E257" s="2" t="s">
        <v>414</v>
      </c>
      <c r="F257" s="3" t="n">
        <v>0.001317</v>
      </c>
      <c r="G257" s="3" t="n">
        <f aca="false">SUM($F$2:F257)</f>
        <v>0.564412</v>
      </c>
      <c r="H257" s="4" t="n">
        <v>66.38</v>
      </c>
      <c r="I257" s="5" t="n">
        <v>17.8441</v>
      </c>
      <c r="J257" s="4" t="n">
        <v>3.72</v>
      </c>
      <c r="K257" s="5" t="n">
        <v>7.2334</v>
      </c>
      <c r="L257" s="6" t="n">
        <v>14.384</v>
      </c>
      <c r="M257" s="5" t="n">
        <f aca="false">IF(AND(N(K257)&gt;0,N(L257)&gt;0),K257/L257,"")</f>
        <v>0.502878197997775</v>
      </c>
      <c r="N257" s="2"/>
    </row>
    <row r="258" customFormat="false" ht="15" hidden="false" customHeight="false" outlineLevel="0" collapsed="false">
      <c r="A258" s="2" t="n">
        <v>257</v>
      </c>
      <c r="B258" s="2" t="s">
        <v>629</v>
      </c>
      <c r="C258" s="2" t="s">
        <v>630</v>
      </c>
      <c r="D258" s="2" t="s">
        <v>93</v>
      </c>
      <c r="E258" s="2" t="s">
        <v>256</v>
      </c>
      <c r="F258" s="3" t="n">
        <v>0.001293</v>
      </c>
      <c r="G258" s="3" t="n">
        <f aca="false">SUM($F$2:F258)</f>
        <v>0.565705</v>
      </c>
      <c r="H258" s="4" t="n">
        <v>79.73</v>
      </c>
      <c r="I258" s="5" t="n">
        <v>21.0369</v>
      </c>
      <c r="J258" s="4" t="n">
        <v>3.79</v>
      </c>
      <c r="K258" s="5" t="n">
        <v>5.4929</v>
      </c>
      <c r="L258" s="6" t="n">
        <v>2.5596</v>
      </c>
      <c r="M258" s="5" t="n">
        <f aca="false">IF(AND(N(K258)&gt;0,N(L258)&gt;0),K258/L258,"")</f>
        <v>2.14599937490233</v>
      </c>
      <c r="N258" s="2"/>
    </row>
    <row r="259" customFormat="false" ht="15" hidden="false" customHeight="false" outlineLevel="0" collapsed="false">
      <c r="A259" s="2" t="n">
        <v>258</v>
      </c>
      <c r="B259" s="2" t="s">
        <v>631</v>
      </c>
      <c r="C259" s="2" t="s">
        <v>632</v>
      </c>
      <c r="D259" s="2" t="s">
        <v>62</v>
      </c>
      <c r="E259" s="2" t="s">
        <v>189</v>
      </c>
      <c r="F259" s="3" t="n">
        <v>0.00129</v>
      </c>
      <c r="G259" s="3" t="n">
        <f aca="false">SUM($F$2:F259)</f>
        <v>0.566995</v>
      </c>
      <c r="H259" s="4" t="n">
        <v>884.98</v>
      </c>
      <c r="I259" s="5" t="n">
        <v>19.0482</v>
      </c>
      <c r="J259" s="4" t="n">
        <v>46.46</v>
      </c>
      <c r="K259" s="5" t="n">
        <v>8.1386</v>
      </c>
      <c r="L259" s="6" t="n">
        <v>2.9676</v>
      </c>
      <c r="M259" s="5" t="n">
        <f aca="false">IF(AND(N(K259)&gt;0,N(L259)&gt;0),K259/L259,"")</f>
        <v>2.74248551017657</v>
      </c>
      <c r="N259" s="2"/>
    </row>
    <row r="260" customFormat="false" ht="15" hidden="false" customHeight="false" outlineLevel="0" collapsed="false">
      <c r="A260" s="2" t="n">
        <v>259</v>
      </c>
      <c r="B260" s="2" t="s">
        <v>633</v>
      </c>
      <c r="C260" s="2" t="s">
        <v>634</v>
      </c>
      <c r="D260" s="2" t="s">
        <v>22</v>
      </c>
      <c r="E260" s="2" t="s">
        <v>97</v>
      </c>
      <c r="F260" s="3" t="n">
        <v>0.001285</v>
      </c>
      <c r="G260" s="3" t="n">
        <f aca="false">SUM($F$2:F260)</f>
        <v>0.56828</v>
      </c>
      <c r="H260" s="4" t="n">
        <v>167.92</v>
      </c>
      <c r="I260" s="5" t="n">
        <v>15.4197</v>
      </c>
      <c r="J260" s="4" t="n">
        <v>10.89</v>
      </c>
      <c r="K260" s="5" t="n">
        <v>6.1023</v>
      </c>
      <c r="L260" s="6" t="n">
        <v>1.1313</v>
      </c>
      <c r="M260" s="5" t="n">
        <f aca="false">IF(AND(N(K260)&gt;0,N(L260)&gt;0),K260/L260,"")</f>
        <v>5.39405993105277</v>
      </c>
      <c r="N260" s="2"/>
    </row>
    <row r="261" customFormat="false" ht="15" hidden="false" customHeight="false" outlineLevel="0" collapsed="false">
      <c r="A261" s="2" t="n">
        <v>260</v>
      </c>
      <c r="B261" s="2" t="s">
        <v>635</v>
      </c>
      <c r="C261" s="2" t="s">
        <v>636</v>
      </c>
      <c r="D261" s="2" t="s">
        <v>16</v>
      </c>
      <c r="E261" s="2" t="s">
        <v>178</v>
      </c>
      <c r="F261" s="3" t="n">
        <v>0.001284</v>
      </c>
      <c r="G261" s="3" t="n">
        <f aca="false">SUM($F$2:F261)</f>
        <v>0.569564</v>
      </c>
      <c r="H261" s="4" t="n">
        <v>113.13</v>
      </c>
      <c r="I261" s="5" t="n">
        <v>15.3709</v>
      </c>
      <c r="J261" s="4" t="n">
        <v>7.36</v>
      </c>
      <c r="K261" s="5" t="n">
        <v>5.836</v>
      </c>
      <c r="L261" s="6" t="n">
        <v>1.039</v>
      </c>
      <c r="M261" s="5" t="n">
        <f aca="false">IF(AND(N(K261)&gt;0,N(L261)&gt;0),K261/L261,"")</f>
        <v>5.61693936477382</v>
      </c>
      <c r="N261" s="2"/>
    </row>
    <row r="262" customFormat="false" ht="15" hidden="false" customHeight="false" outlineLevel="0" collapsed="false">
      <c r="A262" s="2" t="n">
        <v>261</v>
      </c>
      <c r="B262" s="2" t="s">
        <v>637</v>
      </c>
      <c r="C262" s="2" t="s">
        <v>638</v>
      </c>
      <c r="D262" s="2" t="s">
        <v>26</v>
      </c>
      <c r="E262" s="2" t="s">
        <v>221</v>
      </c>
      <c r="F262" s="3" t="n">
        <v>0.00128</v>
      </c>
      <c r="G262" s="3" t="n">
        <f aca="false">SUM($F$2:F262)</f>
        <v>0.570844</v>
      </c>
      <c r="H262" s="4" t="n">
        <v>21.04</v>
      </c>
      <c r="I262" s="5" t="n">
        <v>25.3494</v>
      </c>
      <c r="J262" s="4" t="n">
        <v>0.83</v>
      </c>
      <c r="K262" s="5" t="n">
        <v>9.9871</v>
      </c>
      <c r="L262" s="6" t="n">
        <v>7.6085</v>
      </c>
      <c r="M262" s="5" t="n">
        <f aca="false">IF(AND(N(K262)&gt;0,N(L262)&gt;0),K262/L262,"")</f>
        <v>1.31262403890386</v>
      </c>
      <c r="N262" s="2"/>
    </row>
    <row r="263" customFormat="false" ht="15" hidden="false" customHeight="false" outlineLevel="0" collapsed="false">
      <c r="A263" s="2" t="n">
        <v>262</v>
      </c>
      <c r="B263" s="2" t="s">
        <v>639</v>
      </c>
      <c r="C263" s="2" t="s">
        <v>640</v>
      </c>
      <c r="D263" s="2" t="s">
        <v>93</v>
      </c>
      <c r="E263" s="2" t="s">
        <v>269</v>
      </c>
      <c r="F263" s="3" t="n">
        <v>0.001274</v>
      </c>
      <c r="G263" s="3" t="n">
        <f aca="false">SUM($F$2:F263)</f>
        <v>0.572118</v>
      </c>
      <c r="H263" s="4" t="n">
        <v>23.2</v>
      </c>
      <c r="I263" s="5" t="n">
        <v>12.8889</v>
      </c>
      <c r="J263" s="4" t="n">
        <v>1.8</v>
      </c>
      <c r="K263" s="5" t="n">
        <v>5.8696</v>
      </c>
      <c r="L263" s="6" t="n">
        <v>0.4288</v>
      </c>
      <c r="M263" s="5" t="n">
        <f aca="false">IF(AND(N(K263)&gt;0,N(L263)&gt;0),K263/L263,"")</f>
        <v>13.6884328358209</v>
      </c>
      <c r="N263" s="2"/>
    </row>
    <row r="264" customFormat="false" ht="15" hidden="false" customHeight="false" outlineLevel="0" collapsed="false">
      <c r="A264" s="2" t="n">
        <v>263</v>
      </c>
      <c r="B264" s="2" t="s">
        <v>641</v>
      </c>
      <c r="C264" s="2" t="s">
        <v>642</v>
      </c>
      <c r="D264" s="2" t="s">
        <v>66</v>
      </c>
      <c r="E264" s="2" t="s">
        <v>643</v>
      </c>
      <c r="F264" s="3" t="n">
        <v>0.001273</v>
      </c>
      <c r="G264" s="3" t="n">
        <f aca="false">SUM($F$2:F264)</f>
        <v>0.573391</v>
      </c>
      <c r="H264" s="4" t="n">
        <v>6.46</v>
      </c>
      <c r="I264" s="5"/>
      <c r="J264" s="4" t="n">
        <v>-1.03</v>
      </c>
      <c r="K264" s="5" t="n">
        <v>6.6631</v>
      </c>
      <c r="L264" s="6" t="n">
        <v>0.5631</v>
      </c>
      <c r="M264" s="5" t="n">
        <f aca="false">IF(AND(N(K264)&gt;0,N(L264)&gt;0),K264/L264,"")</f>
        <v>11.8328893624578</v>
      </c>
      <c r="N264" s="2" t="s">
        <v>50</v>
      </c>
    </row>
    <row r="265" customFormat="false" ht="15" hidden="false" customHeight="false" outlineLevel="0" collapsed="false">
      <c r="A265" s="2" t="n">
        <v>264</v>
      </c>
      <c r="B265" s="2" t="s">
        <v>644</v>
      </c>
      <c r="C265" s="2" t="s">
        <v>645</v>
      </c>
      <c r="D265" s="2" t="s">
        <v>58</v>
      </c>
      <c r="E265" s="2" t="s">
        <v>326</v>
      </c>
      <c r="F265" s="3" t="n">
        <v>0.00127</v>
      </c>
      <c r="G265" s="3" t="n">
        <f aca="false">SUM($F$2:F265)</f>
        <v>0.574661</v>
      </c>
      <c r="H265" s="4" t="n">
        <v>97.03</v>
      </c>
      <c r="I265" s="5" t="n">
        <v>10.5467</v>
      </c>
      <c r="J265" s="4" t="n">
        <v>9.2</v>
      </c>
      <c r="K265" s="5" t="n">
        <v>6.1191</v>
      </c>
      <c r="L265" s="6" t="n">
        <v>0.8481</v>
      </c>
      <c r="M265" s="5" t="n">
        <f aca="false">IF(AND(N(K265)&gt;0,N(L265)&gt;0),K265/L265,"")</f>
        <v>7.21506897771489</v>
      </c>
      <c r="N265" s="2"/>
    </row>
    <row r="266" customFormat="false" ht="15" hidden="false" customHeight="false" outlineLevel="0" collapsed="false">
      <c r="A266" s="2" t="n">
        <v>265</v>
      </c>
      <c r="B266" s="2" t="s">
        <v>646</v>
      </c>
      <c r="C266" s="2" t="s">
        <v>647</v>
      </c>
      <c r="D266" s="2" t="s">
        <v>16</v>
      </c>
      <c r="E266" s="2" t="s">
        <v>143</v>
      </c>
      <c r="F266" s="3" t="n">
        <v>0.001266</v>
      </c>
      <c r="G266" s="3" t="n">
        <f aca="false">SUM($F$2:F266)</f>
        <v>0.575927</v>
      </c>
      <c r="H266" s="4" t="n">
        <v>41.84</v>
      </c>
      <c r="I266" s="5" t="n">
        <v>67.4839</v>
      </c>
      <c r="J266" s="4" t="n">
        <v>0.62</v>
      </c>
      <c r="K266" s="5" t="n">
        <v>6.0892</v>
      </c>
      <c r="L266" s="6" t="n">
        <v>1.6129</v>
      </c>
      <c r="M266" s="5" t="n">
        <f aca="false">IF(AND(N(K266)&gt;0,N(L266)&gt;0),K266/L266,"")</f>
        <v>3.7753115506231</v>
      </c>
      <c r="N266" s="2"/>
    </row>
    <row r="267" customFormat="false" ht="15" hidden="false" customHeight="false" outlineLevel="0" collapsed="false">
      <c r="A267" s="2" t="n">
        <v>266</v>
      </c>
      <c r="B267" s="2" t="s">
        <v>648</v>
      </c>
      <c r="C267" s="2" t="s">
        <v>649</v>
      </c>
      <c r="D267" s="2" t="s">
        <v>93</v>
      </c>
      <c r="E267" s="2" t="s">
        <v>94</v>
      </c>
      <c r="F267" s="3" t="n">
        <v>0.001265</v>
      </c>
      <c r="G267" s="3" t="n">
        <f aca="false">SUM($F$2:F267)</f>
        <v>0.577192</v>
      </c>
      <c r="H267" s="4" t="n">
        <v>81.63</v>
      </c>
      <c r="I267" s="5" t="n">
        <v>18.221</v>
      </c>
      <c r="J267" s="4" t="n">
        <v>4.48</v>
      </c>
      <c r="K267" s="5" t="n">
        <v>6.5111</v>
      </c>
      <c r="L267" s="6" t="n">
        <v>0.9421</v>
      </c>
      <c r="M267" s="5" t="n">
        <f aca="false">IF(AND(N(K267)&gt;0,N(L267)&gt;0),K267/L267,"")</f>
        <v>6.9112620740898</v>
      </c>
      <c r="N267" s="2"/>
    </row>
    <row r="268" customFormat="false" ht="15" hidden="false" customHeight="false" outlineLevel="0" collapsed="false">
      <c r="A268" s="2" t="n">
        <v>267</v>
      </c>
      <c r="B268" s="2" t="s">
        <v>650</v>
      </c>
      <c r="C268" s="2" t="s">
        <v>651</v>
      </c>
      <c r="D268" s="2" t="s">
        <v>79</v>
      </c>
      <c r="E268" s="2" t="s">
        <v>230</v>
      </c>
      <c r="F268" s="3" t="n">
        <v>0.001258</v>
      </c>
      <c r="G268" s="3" t="n">
        <f aca="false">SUM($F$2:F268)</f>
        <v>0.57845</v>
      </c>
      <c r="H268" s="4" t="n">
        <v>163.44</v>
      </c>
      <c r="I268" s="5" t="n">
        <v>19.2963</v>
      </c>
      <c r="J268" s="4" t="n">
        <v>8.47</v>
      </c>
      <c r="K268" s="5" t="n">
        <v>5.7526</v>
      </c>
      <c r="L268" s="6" t="n">
        <v>6.612</v>
      </c>
      <c r="M268" s="5" t="n">
        <f aca="false">IF(AND(N(K268)&gt;0,N(L268)&gt;0),K268/L268,"")</f>
        <v>0.870024198427102</v>
      </c>
      <c r="N268" s="2"/>
    </row>
    <row r="269" customFormat="false" ht="15" hidden="false" customHeight="false" outlineLevel="0" collapsed="false">
      <c r="A269" s="2" t="n">
        <v>268</v>
      </c>
      <c r="B269" s="2" t="s">
        <v>652</v>
      </c>
      <c r="C269" s="2" t="s">
        <v>653</v>
      </c>
      <c r="D269" s="2" t="s">
        <v>93</v>
      </c>
      <c r="E269" s="2" t="s">
        <v>256</v>
      </c>
      <c r="F269" s="3" t="n">
        <v>0.001256</v>
      </c>
      <c r="G269" s="3" t="n">
        <f aca="false">SUM($F$2:F269)</f>
        <v>0.579706</v>
      </c>
      <c r="H269" s="4" t="n">
        <v>44.5</v>
      </c>
      <c r="I269" s="5" t="n">
        <v>7.8207</v>
      </c>
      <c r="J269" s="4" t="n">
        <v>5.69</v>
      </c>
      <c r="K269" s="5" t="n">
        <v>5.4853</v>
      </c>
      <c r="L269" s="6" t="n">
        <v>1.3903</v>
      </c>
      <c r="M269" s="5" t="n">
        <f aca="false">IF(AND(N(K269)&gt;0,N(L269)&gt;0),K269/L269,"")</f>
        <v>3.94540746601453</v>
      </c>
      <c r="N269" s="2"/>
    </row>
    <row r="270" customFormat="false" ht="15" hidden="false" customHeight="false" outlineLevel="0" collapsed="false">
      <c r="A270" s="2" t="n">
        <v>269</v>
      </c>
      <c r="B270" s="2" t="s">
        <v>654</v>
      </c>
      <c r="C270" s="2" t="s">
        <v>655</v>
      </c>
      <c r="D270" s="2" t="s">
        <v>58</v>
      </c>
      <c r="E270" s="2" t="s">
        <v>656</v>
      </c>
      <c r="F270" s="3" t="n">
        <v>0.001255</v>
      </c>
      <c r="G270" s="3" t="n">
        <f aca="false">SUM($F$2:F270)</f>
        <v>0.580961</v>
      </c>
      <c r="H270" s="4" t="n">
        <v>68.66</v>
      </c>
      <c r="I270" s="5" t="n">
        <v>13.1281</v>
      </c>
      <c r="J270" s="4" t="n">
        <v>5.23</v>
      </c>
      <c r="K270" s="5" t="n">
        <v>6.4024</v>
      </c>
      <c r="L270" s="6" t="n">
        <v>0.7111</v>
      </c>
      <c r="M270" s="5" t="n">
        <f aca="false">IF(AND(N(K270)&gt;0,N(L270)&gt;0),K270/L270,"")</f>
        <v>9.0035156799325</v>
      </c>
      <c r="N270" s="2"/>
    </row>
    <row r="271" customFormat="false" ht="15" hidden="false" customHeight="false" outlineLevel="0" collapsed="false">
      <c r="A271" s="2" t="n">
        <v>270</v>
      </c>
      <c r="B271" s="2" t="s">
        <v>657</v>
      </c>
      <c r="C271" s="2" t="s">
        <v>658</v>
      </c>
      <c r="D271" s="2" t="s">
        <v>22</v>
      </c>
      <c r="E271" s="2" t="s">
        <v>659</v>
      </c>
      <c r="F271" s="3" t="n">
        <v>0.001254</v>
      </c>
      <c r="G271" s="3" t="n">
        <f aca="false">SUM($F$2:F271)</f>
        <v>0.582215</v>
      </c>
      <c r="H271" s="4" t="n">
        <v>170.32</v>
      </c>
      <c r="I271" s="5" t="n">
        <v>44.239</v>
      </c>
      <c r="J271" s="4" t="n">
        <v>3.85</v>
      </c>
      <c r="K271" s="5" t="n">
        <v>5.7801</v>
      </c>
      <c r="L271" s="6" t="n">
        <v>1.1571</v>
      </c>
      <c r="M271" s="5" t="n">
        <f aca="false">IF(AND(N(K271)&gt;0,N(L271)&gt;0),K271/L271,"")</f>
        <v>4.99533316048743</v>
      </c>
      <c r="N271" s="2"/>
    </row>
    <row r="272" customFormat="false" ht="15" hidden="false" customHeight="false" outlineLevel="0" collapsed="false">
      <c r="A272" s="2" t="n">
        <v>271</v>
      </c>
      <c r="B272" s="2" t="s">
        <v>660</v>
      </c>
      <c r="C272" s="2" t="s">
        <v>661</v>
      </c>
      <c r="D272" s="2" t="s">
        <v>22</v>
      </c>
      <c r="E272" s="2" t="s">
        <v>23</v>
      </c>
      <c r="F272" s="3" t="n">
        <v>0.001252</v>
      </c>
      <c r="G272" s="3" t="n">
        <f aca="false">SUM($F$2:F272)</f>
        <v>0.583467</v>
      </c>
      <c r="H272" s="4" t="n">
        <v>187.56</v>
      </c>
      <c r="I272" s="5" t="n">
        <v>36</v>
      </c>
      <c r="J272" s="4" t="n">
        <v>5.21</v>
      </c>
      <c r="K272" s="5" t="n">
        <v>6.8333</v>
      </c>
      <c r="L272" s="6" t="n">
        <v>5.9034</v>
      </c>
      <c r="M272" s="5" t="n">
        <f aca="false">IF(AND(N(K272)&gt;0,N(L272)&gt;0),K272/L272,"")</f>
        <v>1.15751939560253</v>
      </c>
      <c r="N272" s="2"/>
    </row>
    <row r="273" customFormat="false" ht="15" hidden="false" customHeight="false" outlineLevel="0" collapsed="false">
      <c r="A273" s="2" t="n">
        <v>272</v>
      </c>
      <c r="B273" s="2" t="s">
        <v>662</v>
      </c>
      <c r="C273" s="2" t="s">
        <v>663</v>
      </c>
      <c r="D273" s="2" t="s">
        <v>33</v>
      </c>
      <c r="E273" s="2" t="s">
        <v>244</v>
      </c>
      <c r="F273" s="3" t="n">
        <v>0.001249</v>
      </c>
      <c r="G273" s="3" t="n">
        <f aca="false">SUM($F$2:F273)</f>
        <v>0.584716</v>
      </c>
      <c r="H273" s="4" t="n">
        <v>61.58</v>
      </c>
      <c r="I273" s="5"/>
      <c r="J273" s="4" t="n">
        <v>-0.7</v>
      </c>
      <c r="K273" s="5" t="n">
        <v>9.3823</v>
      </c>
      <c r="L273" s="6" t="n">
        <v>2.681</v>
      </c>
      <c r="M273" s="5" t="n">
        <f aca="false">IF(AND(N(K273)&gt;0,N(L273)&gt;0),K273/L273,"")</f>
        <v>3.49955240581872</v>
      </c>
      <c r="N273" s="2" t="s">
        <v>50</v>
      </c>
    </row>
    <row r="274" customFormat="false" ht="15" hidden="false" customHeight="false" outlineLevel="0" collapsed="false">
      <c r="A274" s="2" t="n">
        <v>273</v>
      </c>
      <c r="B274" s="2" t="s">
        <v>664</v>
      </c>
      <c r="C274" s="2" t="s">
        <v>665</v>
      </c>
      <c r="D274" s="2" t="s">
        <v>16</v>
      </c>
      <c r="E274" s="2" t="s">
        <v>106</v>
      </c>
      <c r="F274" s="3" t="n">
        <v>0.001225</v>
      </c>
      <c r="G274" s="3" t="n">
        <f aca="false">SUM($F$2:F274)</f>
        <v>0.585941</v>
      </c>
      <c r="H274" s="4" t="n">
        <v>85.98</v>
      </c>
      <c r="I274" s="5"/>
      <c r="J274" s="4" t="n">
        <v>-1.18</v>
      </c>
      <c r="K274" s="5" t="n">
        <v>7.7978</v>
      </c>
      <c r="L274" s="6" t="n">
        <v>13.7061</v>
      </c>
      <c r="M274" s="5" t="n">
        <f aca="false">IF(AND(N(K274)&gt;0,N(L274)&gt;0),K274/L274,"")</f>
        <v>0.568929162927456</v>
      </c>
      <c r="N274" s="2" t="s">
        <v>50</v>
      </c>
    </row>
    <row r="275" customFormat="false" ht="15" hidden="false" customHeight="false" outlineLevel="0" collapsed="false">
      <c r="A275" s="2" t="n">
        <v>274</v>
      </c>
      <c r="B275" s="2" t="s">
        <v>666</v>
      </c>
      <c r="C275" s="2" t="s">
        <v>667</v>
      </c>
      <c r="D275" s="2" t="s">
        <v>66</v>
      </c>
      <c r="E275" s="2" t="s">
        <v>668</v>
      </c>
      <c r="F275" s="3" t="n">
        <v>0.001225</v>
      </c>
      <c r="G275" s="3" t="n">
        <f aca="false">SUM($F$2:F275)</f>
        <v>0.587166</v>
      </c>
      <c r="H275" s="4" t="n">
        <v>13.88</v>
      </c>
      <c r="I275" s="5" t="n">
        <v>16.5238</v>
      </c>
      <c r="J275" s="4" t="n">
        <v>0.84</v>
      </c>
      <c r="K275" s="5" t="n">
        <v>6.5624</v>
      </c>
      <c r="L275" s="6" t="n">
        <v>2.1947</v>
      </c>
      <c r="M275" s="5" t="n">
        <f aca="false">IF(AND(N(K275)&gt;0,N(L275)&gt;0),K275/L275,"")</f>
        <v>2.99011254385565</v>
      </c>
      <c r="N275" s="2"/>
    </row>
    <row r="276" customFormat="false" ht="15" hidden="false" customHeight="false" outlineLevel="0" collapsed="false">
      <c r="A276" s="2" t="n">
        <v>275</v>
      </c>
      <c r="B276" s="2" t="s">
        <v>669</v>
      </c>
      <c r="C276" s="2" t="s">
        <v>670</v>
      </c>
      <c r="D276" s="2" t="s">
        <v>66</v>
      </c>
      <c r="E276" s="2" t="s">
        <v>643</v>
      </c>
      <c r="F276" s="3" t="n">
        <v>0.001224</v>
      </c>
      <c r="G276" s="3" t="n">
        <f aca="false">SUM($F$2:F276)</f>
        <v>0.58839</v>
      </c>
      <c r="H276" s="4" t="n">
        <v>48.21</v>
      </c>
      <c r="I276" s="5" t="n">
        <v>55.4138</v>
      </c>
      <c r="J276" s="4" t="n">
        <v>0.87</v>
      </c>
      <c r="K276" s="5" t="n">
        <v>5.1094</v>
      </c>
      <c r="L276" s="6" t="n">
        <v>5.7787</v>
      </c>
      <c r="M276" s="5" t="n">
        <f aca="false">IF(AND(N(K276)&gt;0,N(L276)&gt;0),K276/L276,"")</f>
        <v>0.884178102341357</v>
      </c>
      <c r="N276" s="2"/>
    </row>
    <row r="277" customFormat="false" ht="15" hidden="false" customHeight="false" outlineLevel="0" collapsed="false">
      <c r="A277" s="2" t="n">
        <v>276</v>
      </c>
      <c r="B277" s="2" t="s">
        <v>671</v>
      </c>
      <c r="C277" s="2" t="s">
        <v>672</v>
      </c>
      <c r="D277" s="2" t="s">
        <v>86</v>
      </c>
      <c r="E277" s="2" t="s">
        <v>266</v>
      </c>
      <c r="F277" s="3" t="n">
        <v>0.001223</v>
      </c>
      <c r="G277" s="3" t="n">
        <f aca="false">SUM($F$2:F277)</f>
        <v>0.589613</v>
      </c>
      <c r="H277" s="4" t="n">
        <v>18.27</v>
      </c>
      <c r="I277" s="5"/>
      <c r="J277" s="4" t="n">
        <v>-0.26</v>
      </c>
      <c r="K277" s="5" t="n">
        <v>6.3397</v>
      </c>
      <c r="L277" s="6" t="n">
        <v>5.5224</v>
      </c>
      <c r="M277" s="5" t="n">
        <f aca="false">IF(AND(N(K277)&gt;0,N(L277)&gt;0),K277/L277,"")</f>
        <v>1.14799724757352</v>
      </c>
      <c r="N277" s="2" t="s">
        <v>50</v>
      </c>
    </row>
    <row r="278" customFormat="false" ht="15" hidden="false" customHeight="false" outlineLevel="0" collapsed="false">
      <c r="A278" s="2" t="n">
        <v>277</v>
      </c>
      <c r="B278" s="2" t="s">
        <v>673</v>
      </c>
      <c r="C278" s="2" t="s">
        <v>674</v>
      </c>
      <c r="D278" s="2" t="s">
        <v>22</v>
      </c>
      <c r="E278" s="2" t="s">
        <v>675</v>
      </c>
      <c r="F278" s="3" t="n">
        <v>0.001222</v>
      </c>
      <c r="G278" s="3" t="n">
        <f aca="false">SUM($F$2:F278)</f>
        <v>0.590835</v>
      </c>
      <c r="H278" s="4" t="n">
        <v>177.25</v>
      </c>
      <c r="I278" s="5" t="n">
        <v>22.0186</v>
      </c>
      <c r="J278" s="4" t="n">
        <v>8.05</v>
      </c>
      <c r="K278" s="5" t="n">
        <v>6.838</v>
      </c>
      <c r="L278" s="6" t="n">
        <v>3.5133</v>
      </c>
      <c r="M278" s="5" t="n">
        <f aca="false">IF(AND(N(K278)&gt;0,N(L278)&gt;0),K278/L278,"")</f>
        <v>1.94631827626448</v>
      </c>
      <c r="N278" s="2"/>
    </row>
    <row r="279" customFormat="false" ht="15" hidden="false" customHeight="false" outlineLevel="0" collapsed="false">
      <c r="A279" s="2" t="n">
        <v>278</v>
      </c>
      <c r="B279" s="2" t="s">
        <v>676</v>
      </c>
      <c r="C279" s="2" t="s">
        <v>677</v>
      </c>
      <c r="D279" s="2" t="s">
        <v>93</v>
      </c>
      <c r="E279" s="2" t="s">
        <v>678</v>
      </c>
      <c r="F279" s="3" t="n">
        <v>0.00122</v>
      </c>
      <c r="G279" s="3" t="n">
        <f aca="false">SUM($F$2:F279)</f>
        <v>0.592055</v>
      </c>
      <c r="H279" s="4" t="n">
        <v>29.65</v>
      </c>
      <c r="I279" s="5"/>
      <c r="J279" s="4" t="n">
        <v>-2.27</v>
      </c>
      <c r="K279" s="5" t="n">
        <v>6.042</v>
      </c>
      <c r="L279" s="6" t="n">
        <v>0.5187</v>
      </c>
      <c r="M279" s="5" t="n">
        <f aca="false">IF(AND(N(K279)&gt;0,N(L279)&gt;0),K279/L279,"")</f>
        <v>11.6483516483516</v>
      </c>
      <c r="N279" s="2" t="s">
        <v>50</v>
      </c>
    </row>
    <row r="280" customFormat="false" ht="15" hidden="false" customHeight="false" outlineLevel="0" collapsed="false">
      <c r="A280" s="2" t="n">
        <v>279</v>
      </c>
      <c r="B280" s="2" t="s">
        <v>679</v>
      </c>
      <c r="C280" s="2" t="s">
        <v>680</v>
      </c>
      <c r="D280" s="2" t="s">
        <v>62</v>
      </c>
      <c r="E280" s="2" t="s">
        <v>681</v>
      </c>
      <c r="F280" s="3" t="n">
        <v>0.001212</v>
      </c>
      <c r="G280" s="3" t="n">
        <f aca="false">SUM($F$2:F280)</f>
        <v>0.593267</v>
      </c>
      <c r="H280" s="4" t="n">
        <v>179.14</v>
      </c>
      <c r="I280" s="5" t="n">
        <v>14.1055</v>
      </c>
      <c r="J280" s="4" t="n">
        <v>12.7</v>
      </c>
      <c r="K280" s="5" t="n">
        <v>5.4952</v>
      </c>
      <c r="L280" s="6" t="n">
        <v>2.3636</v>
      </c>
      <c r="M280" s="5" t="n">
        <f aca="false">IF(AND(N(K280)&gt;0,N(L280)&gt;0),K280/L280,"")</f>
        <v>2.32492807581655</v>
      </c>
      <c r="N280" s="2"/>
    </row>
    <row r="281" customFormat="false" ht="15" hidden="false" customHeight="false" outlineLevel="0" collapsed="false">
      <c r="A281" s="2" t="n">
        <v>280</v>
      </c>
      <c r="B281" s="2" t="s">
        <v>682</v>
      </c>
      <c r="C281" s="2" t="s">
        <v>683</v>
      </c>
      <c r="D281" s="2" t="s">
        <v>79</v>
      </c>
      <c r="E281" s="2" t="s">
        <v>80</v>
      </c>
      <c r="F281" s="3" t="n">
        <v>0.001202</v>
      </c>
      <c r="G281" s="3" t="n">
        <f aca="false">SUM($F$2:F281)</f>
        <v>0.594469</v>
      </c>
      <c r="H281" s="4" t="n">
        <v>17.91</v>
      </c>
      <c r="I281" s="5" t="n">
        <v>10.6607</v>
      </c>
      <c r="J281" s="4" t="n">
        <v>1.68</v>
      </c>
      <c r="K281" s="5" t="n">
        <v>6.3753</v>
      </c>
      <c r="L281" s="6" t="n">
        <v>3.6537</v>
      </c>
      <c r="M281" s="5" t="n">
        <f aca="false">IF(AND(N(K281)&gt;0,N(L281)&gt;0),K281/L281,"")</f>
        <v>1.74488874291814</v>
      </c>
      <c r="N281" s="2"/>
    </row>
    <row r="282" customFormat="false" ht="15" hidden="false" customHeight="false" outlineLevel="0" collapsed="false">
      <c r="A282" s="2" t="n">
        <v>281</v>
      </c>
      <c r="B282" s="2" t="s">
        <v>684</v>
      </c>
      <c r="C282" s="2" t="s">
        <v>685</v>
      </c>
      <c r="D282" s="2" t="s">
        <v>79</v>
      </c>
      <c r="E282" s="2" t="s">
        <v>80</v>
      </c>
      <c r="F282" s="3" t="n">
        <v>0.001201</v>
      </c>
      <c r="G282" s="3" t="n">
        <f aca="false">SUM($F$2:F282)</f>
        <v>0.59567</v>
      </c>
      <c r="H282" s="4" t="n">
        <v>21.48</v>
      </c>
      <c r="I282" s="5" t="n">
        <v>12</v>
      </c>
      <c r="J282" s="4" t="n">
        <v>1.79</v>
      </c>
      <c r="K282" s="5" t="n">
        <v>4.9084</v>
      </c>
      <c r="L282" s="6" t="n">
        <v>4.4695</v>
      </c>
      <c r="M282" s="5" t="n">
        <f aca="false">IF(AND(N(K282)&gt;0,N(L282)&gt;0),K282/L282,"")</f>
        <v>1.0981989036805</v>
      </c>
      <c r="N282" s="2"/>
    </row>
    <row r="283" customFormat="false" ht="15" hidden="false" customHeight="false" outlineLevel="0" collapsed="false">
      <c r="A283" s="2" t="n">
        <v>282</v>
      </c>
      <c r="B283" s="2" t="s">
        <v>686</v>
      </c>
      <c r="C283" s="2" t="s">
        <v>687</v>
      </c>
      <c r="D283" s="2" t="s">
        <v>62</v>
      </c>
      <c r="E283" s="2" t="s">
        <v>74</v>
      </c>
      <c r="F283" s="3" t="n">
        <v>0.001201</v>
      </c>
      <c r="G283" s="3" t="n">
        <f aca="false">SUM($F$2:F283)</f>
        <v>0.596871</v>
      </c>
      <c r="H283" s="4" t="n">
        <v>12.07</v>
      </c>
      <c r="I283" s="5"/>
      <c r="J283" s="4" t="n">
        <v>-1.57</v>
      </c>
      <c r="K283" s="5" t="n">
        <v>6.8864</v>
      </c>
      <c r="L283" s="6" t="n">
        <v>0.3588</v>
      </c>
      <c r="M283" s="5" t="n">
        <f aca="false">IF(AND(N(K283)&gt;0,N(L283)&gt;0),K283/L283,"")</f>
        <v>19.1928651059086</v>
      </c>
      <c r="N283" s="2" t="s">
        <v>50</v>
      </c>
    </row>
    <row r="284" customFormat="false" ht="15" hidden="false" customHeight="false" outlineLevel="0" collapsed="false">
      <c r="A284" s="2" t="n">
        <v>283</v>
      </c>
      <c r="B284" s="2" t="s">
        <v>688</v>
      </c>
      <c r="C284" s="2" t="s">
        <v>689</v>
      </c>
      <c r="D284" s="2" t="s">
        <v>22</v>
      </c>
      <c r="E284" s="2" t="s">
        <v>305</v>
      </c>
      <c r="F284" s="3" t="n">
        <v>0.001194</v>
      </c>
      <c r="G284" s="3" t="n">
        <f aca="false">SUM($F$2:F284)</f>
        <v>0.598065</v>
      </c>
      <c r="H284" s="4" t="n">
        <v>180.4</v>
      </c>
      <c r="I284" s="5" t="n">
        <v>17.8614</v>
      </c>
      <c r="J284" s="4" t="n">
        <v>10.1</v>
      </c>
      <c r="K284" s="5" t="n">
        <v>6.369</v>
      </c>
      <c r="L284" s="6" t="n">
        <v>3.1037</v>
      </c>
      <c r="M284" s="5" t="n">
        <f aca="false">IF(AND(N(K284)&gt;0,N(L284)&gt;0),K284/L284,"")</f>
        <v>2.05206688790798</v>
      </c>
      <c r="N284" s="2"/>
    </row>
    <row r="285" customFormat="false" ht="15" hidden="false" customHeight="false" outlineLevel="0" collapsed="false">
      <c r="A285" s="2" t="n">
        <v>284</v>
      </c>
      <c r="B285" s="2" t="s">
        <v>690</v>
      </c>
      <c r="C285" s="2" t="s">
        <v>691</v>
      </c>
      <c r="D285" s="2" t="s">
        <v>26</v>
      </c>
      <c r="E285" s="2" t="s">
        <v>27</v>
      </c>
      <c r="F285" s="3" t="n">
        <v>0.001193</v>
      </c>
      <c r="G285" s="3" t="n">
        <f aca="false">SUM($F$2:F285)</f>
        <v>0.599258</v>
      </c>
      <c r="H285" s="4" t="n">
        <v>82.2</v>
      </c>
      <c r="I285" s="5" t="n">
        <v>16.213</v>
      </c>
      <c r="J285" s="4" t="n">
        <v>5.07</v>
      </c>
      <c r="K285" s="5" t="n">
        <v>5.8783</v>
      </c>
      <c r="L285" s="6" t="n">
        <v>1.2303</v>
      </c>
      <c r="M285" s="5" t="n">
        <f aca="false">IF(AND(N(K285)&gt;0,N(L285)&gt;0),K285/L285,"")</f>
        <v>4.77794033975453</v>
      </c>
      <c r="N285" s="2"/>
    </row>
    <row r="286" customFormat="false" ht="15" hidden="false" customHeight="false" outlineLevel="0" collapsed="false">
      <c r="A286" s="2" t="n">
        <v>285</v>
      </c>
      <c r="B286" s="2" t="s">
        <v>692</v>
      </c>
      <c r="C286" s="2" t="s">
        <v>693</v>
      </c>
      <c r="D286" s="2" t="s">
        <v>33</v>
      </c>
      <c r="E286" s="2" t="s">
        <v>34</v>
      </c>
      <c r="F286" s="3" t="n">
        <v>0.001191</v>
      </c>
      <c r="G286" s="3" t="n">
        <f aca="false">SUM($F$2:F286)</f>
        <v>0.600449</v>
      </c>
      <c r="H286" s="4" t="n">
        <v>66.43</v>
      </c>
      <c r="I286" s="5" t="n">
        <v>47.45</v>
      </c>
      <c r="J286" s="4" t="n">
        <v>1.4</v>
      </c>
      <c r="K286" s="5" t="n">
        <v>5.9461</v>
      </c>
      <c r="L286" s="6" t="n">
        <v>13.1869</v>
      </c>
      <c r="M286" s="5" t="n">
        <f aca="false">IF(AND(N(K286)&gt;0,N(L286)&gt;0),K286/L286,"")</f>
        <v>0.450909614845036</v>
      </c>
      <c r="N286" s="2"/>
    </row>
    <row r="287" customFormat="false" ht="15" hidden="false" customHeight="false" outlineLevel="0" collapsed="false">
      <c r="A287" s="2" t="n">
        <v>286</v>
      </c>
      <c r="B287" s="2" t="s">
        <v>694</v>
      </c>
      <c r="C287" s="2" t="s">
        <v>695</v>
      </c>
      <c r="D287" s="2" t="s">
        <v>26</v>
      </c>
      <c r="E287" s="2" t="s">
        <v>103</v>
      </c>
      <c r="F287" s="3" t="n">
        <v>0.001188</v>
      </c>
      <c r="G287" s="3" t="n">
        <f aca="false">SUM($F$2:F287)</f>
        <v>0.601637</v>
      </c>
      <c r="H287" s="4" t="n">
        <v>54.09</v>
      </c>
      <c r="I287" s="5" t="n">
        <v>9.2779</v>
      </c>
      <c r="J287" s="4" t="n">
        <v>5.83</v>
      </c>
      <c r="K287" s="5" t="n">
        <v>6.6939</v>
      </c>
      <c r="L287" s="6" t="n">
        <v>1.7433</v>
      </c>
      <c r="M287" s="5" t="n">
        <f aca="false">IF(AND(N(K287)&gt;0,N(L287)&gt;0),K287/L287,"")</f>
        <v>3.83978661159869</v>
      </c>
      <c r="N287" s="2"/>
    </row>
    <row r="288" customFormat="false" ht="15" hidden="false" customHeight="false" outlineLevel="0" collapsed="false">
      <c r="A288" s="2" t="n">
        <v>287</v>
      </c>
      <c r="B288" s="2" t="s">
        <v>696</v>
      </c>
      <c r="C288" s="2" t="s">
        <v>697</v>
      </c>
      <c r="D288" s="2" t="s">
        <v>79</v>
      </c>
      <c r="E288" s="2" t="s">
        <v>230</v>
      </c>
      <c r="F288" s="3" t="n">
        <v>0.001177</v>
      </c>
      <c r="G288" s="3" t="n">
        <f aca="false">SUM($F$2:F288)</f>
        <v>0.602814</v>
      </c>
      <c r="H288" s="4" t="n">
        <v>67.48</v>
      </c>
      <c r="I288" s="5" t="n">
        <v>18.4372</v>
      </c>
      <c r="J288" s="4" t="n">
        <v>3.66</v>
      </c>
      <c r="K288" s="5" t="n">
        <v>8.1392</v>
      </c>
      <c r="L288" s="6" t="n">
        <v>0.0522</v>
      </c>
      <c r="M288" s="5" t="n">
        <f aca="false">IF(AND(N(K288)&gt;0,N(L288)&gt;0),K288/L288,"")</f>
        <v>155.92337164751</v>
      </c>
      <c r="N288" s="2"/>
    </row>
    <row r="289" customFormat="false" ht="15" hidden="false" customHeight="false" outlineLevel="0" collapsed="false">
      <c r="A289" s="2" t="n">
        <v>288</v>
      </c>
      <c r="B289" s="2" t="s">
        <v>698</v>
      </c>
      <c r="C289" s="2" t="s">
        <v>699</v>
      </c>
      <c r="D289" s="2" t="s">
        <v>58</v>
      </c>
      <c r="E289" s="2" t="s">
        <v>700</v>
      </c>
      <c r="F289" s="3" t="n">
        <v>0.001177</v>
      </c>
      <c r="G289" s="3" t="n">
        <f aca="false">SUM($F$2:F289)</f>
        <v>0.603991</v>
      </c>
      <c r="H289" s="4" t="n">
        <v>125.79</v>
      </c>
      <c r="I289" s="5" t="n">
        <v>16.8168</v>
      </c>
      <c r="J289" s="4" t="n">
        <v>7.48</v>
      </c>
      <c r="K289" s="5" t="n">
        <v>4.2817</v>
      </c>
      <c r="L289" s="6" t="n">
        <v>2.1912</v>
      </c>
      <c r="M289" s="5" t="n">
        <f aca="false">IF(AND(N(K289)&gt;0,N(L289)&gt;0),K289/L289,"")</f>
        <v>1.95404344651333</v>
      </c>
      <c r="N289" s="2"/>
    </row>
    <row r="290" customFormat="false" ht="15" hidden="false" customHeight="false" outlineLevel="0" collapsed="false">
      <c r="A290" s="2" t="n">
        <v>289</v>
      </c>
      <c r="B290" s="2" t="s">
        <v>701</v>
      </c>
      <c r="C290" s="2" t="s">
        <v>702</v>
      </c>
      <c r="D290" s="2" t="s">
        <v>22</v>
      </c>
      <c r="E290" s="2" t="s">
        <v>109</v>
      </c>
      <c r="F290" s="3" t="n">
        <v>0.001175</v>
      </c>
      <c r="G290" s="3" t="n">
        <f aca="false">SUM($F$2:F290)</f>
        <v>0.605166</v>
      </c>
      <c r="H290" s="4" t="n">
        <v>116.77</v>
      </c>
      <c r="I290" s="5" t="n">
        <v>23.495</v>
      </c>
      <c r="J290" s="4" t="n">
        <v>4.97</v>
      </c>
      <c r="K290" s="5" t="n">
        <v>5.9601</v>
      </c>
      <c r="L290" s="6" t="n">
        <v>1.3969</v>
      </c>
      <c r="M290" s="5" t="n">
        <f aca="false">IF(AND(N(K290)&gt;0,N(L290)&gt;0),K290/L290,"")</f>
        <v>4.26666189419429</v>
      </c>
      <c r="N290" s="2"/>
    </row>
    <row r="291" customFormat="false" ht="15" hidden="false" customHeight="false" outlineLevel="0" collapsed="false">
      <c r="A291" s="2" t="n">
        <v>290</v>
      </c>
      <c r="B291" s="2" t="s">
        <v>703</v>
      </c>
      <c r="C291" s="2" t="s">
        <v>704</v>
      </c>
      <c r="D291" s="2" t="s">
        <v>16</v>
      </c>
      <c r="E291" s="2" t="s">
        <v>17</v>
      </c>
      <c r="F291" s="3" t="n">
        <v>0.001173</v>
      </c>
      <c r="G291" s="3" t="n">
        <f aca="false">SUM($F$2:F291)</f>
        <v>0.606339</v>
      </c>
      <c r="H291" s="4" t="n">
        <v>181.03</v>
      </c>
      <c r="I291" s="5" t="n">
        <v>31.4288</v>
      </c>
      <c r="J291" s="4" t="n">
        <v>5.76</v>
      </c>
      <c r="K291" s="5" t="n">
        <v>6.2627</v>
      </c>
      <c r="L291" s="6" t="n">
        <v>8.9089</v>
      </c>
      <c r="M291" s="5" t="n">
        <f aca="false">IF(AND(N(K291)&gt;0,N(L291)&gt;0),K291/L291,"")</f>
        <v>0.702971186117254</v>
      </c>
      <c r="N291" s="2"/>
    </row>
    <row r="292" customFormat="false" ht="15" hidden="false" customHeight="false" outlineLevel="0" collapsed="false">
      <c r="A292" s="2" t="n">
        <v>291</v>
      </c>
      <c r="B292" s="2" t="s">
        <v>705</v>
      </c>
      <c r="C292" s="2" t="s">
        <v>706</v>
      </c>
      <c r="D292" s="2" t="s">
        <v>22</v>
      </c>
      <c r="E292" s="2" t="s">
        <v>109</v>
      </c>
      <c r="F292" s="3" t="n">
        <v>0.001167</v>
      </c>
      <c r="G292" s="3" t="n">
        <f aca="false">SUM($F$2:F292)</f>
        <v>0.607506</v>
      </c>
      <c r="H292" s="4" t="n">
        <v>116.2</v>
      </c>
      <c r="I292" s="5"/>
      <c r="J292" s="4" t="n">
        <v>-4.31</v>
      </c>
      <c r="K292" s="5" t="n">
        <v>5.1624</v>
      </c>
      <c r="L292" s="6" t="n">
        <v>1.0393</v>
      </c>
      <c r="M292" s="5" t="n">
        <f aca="false">IF(AND(N(K292)&gt;0,N(L292)&gt;0),K292/L292,"")</f>
        <v>4.96718945444049</v>
      </c>
      <c r="N292" s="2" t="s">
        <v>50</v>
      </c>
    </row>
    <row r="293" customFormat="false" ht="15" hidden="false" customHeight="false" outlineLevel="0" collapsed="false">
      <c r="A293" s="2" t="n">
        <v>292</v>
      </c>
      <c r="B293" s="2" t="s">
        <v>707</v>
      </c>
      <c r="C293" s="2" t="s">
        <v>708</v>
      </c>
      <c r="D293" s="2" t="s">
        <v>16</v>
      </c>
      <c r="E293" s="2" t="s">
        <v>178</v>
      </c>
      <c r="F293" s="3" t="n">
        <v>0.001167</v>
      </c>
      <c r="G293" s="3" t="n">
        <f aca="false">SUM($F$2:F293)</f>
        <v>0.608673</v>
      </c>
      <c r="H293" s="4" t="n">
        <v>35.26</v>
      </c>
      <c r="I293" s="5" t="n">
        <v>22.3165</v>
      </c>
      <c r="J293" s="4" t="n">
        <v>1.58</v>
      </c>
      <c r="K293" s="5" t="n">
        <v>5.3459</v>
      </c>
      <c r="L293" s="6" t="n">
        <v>2.3894</v>
      </c>
      <c r="M293" s="5" t="n">
        <f aca="false">IF(AND(N(K293)&gt;0,N(L293)&gt;0),K293/L293,"")</f>
        <v>2.23733991797104</v>
      </c>
      <c r="N293" s="2"/>
    </row>
    <row r="294" customFormat="false" ht="15" hidden="false" customHeight="false" outlineLevel="0" collapsed="false">
      <c r="A294" s="2" t="n">
        <v>293</v>
      </c>
      <c r="B294" s="2" t="s">
        <v>709</v>
      </c>
      <c r="C294" s="2" t="s">
        <v>710</v>
      </c>
      <c r="D294" s="2" t="s">
        <v>93</v>
      </c>
      <c r="E294" s="2" t="s">
        <v>238</v>
      </c>
      <c r="F294" s="3" t="n">
        <v>0.001165</v>
      </c>
      <c r="G294" s="3" t="n">
        <f aca="false">SUM($F$2:F294)</f>
        <v>0.609838</v>
      </c>
      <c r="H294" s="4" t="n">
        <v>543.39</v>
      </c>
      <c r="I294" s="5" t="n">
        <v>23.6359</v>
      </c>
      <c r="J294" s="4" t="n">
        <v>22.99</v>
      </c>
      <c r="K294" s="5" t="n">
        <v>4.1783</v>
      </c>
      <c r="L294" s="6" t="n">
        <v>1.8186</v>
      </c>
      <c r="M294" s="5" t="n">
        <f aca="false">IF(AND(N(K294)&gt;0,N(L294)&gt;0),K294/L294,"")</f>
        <v>2.29753656658968</v>
      </c>
      <c r="N294" s="2"/>
    </row>
    <row r="295" customFormat="false" ht="15" hidden="false" customHeight="false" outlineLevel="0" collapsed="false">
      <c r="A295" s="2" t="n">
        <v>294</v>
      </c>
      <c r="B295" s="2" t="s">
        <v>711</v>
      </c>
      <c r="C295" s="2" t="s">
        <v>712</v>
      </c>
      <c r="D295" s="2" t="s">
        <v>16</v>
      </c>
      <c r="E295" s="2" t="s">
        <v>178</v>
      </c>
      <c r="F295" s="3" t="n">
        <v>0.001158</v>
      </c>
      <c r="G295" s="3" t="n">
        <f aca="false">SUM($F$2:F295)</f>
        <v>0.610996</v>
      </c>
      <c r="H295" s="4" t="n">
        <v>34.08</v>
      </c>
      <c r="I295" s="5" t="n">
        <v>10.1429</v>
      </c>
      <c r="J295" s="4" t="n">
        <v>3.36</v>
      </c>
      <c r="K295" s="5" t="n">
        <v>5.7266</v>
      </c>
      <c r="L295" s="6" t="n">
        <v>1.0908</v>
      </c>
      <c r="M295" s="5" t="n">
        <f aca="false">IF(AND(N(K295)&gt;0,N(L295)&gt;0),K295/L295,"")</f>
        <v>5.24990832416575</v>
      </c>
      <c r="N295" s="2"/>
    </row>
    <row r="296" customFormat="false" ht="15" hidden="false" customHeight="false" outlineLevel="0" collapsed="false">
      <c r="A296" s="2" t="n">
        <v>295</v>
      </c>
      <c r="B296" s="2" t="s">
        <v>713</v>
      </c>
      <c r="C296" s="2" t="s">
        <v>714</v>
      </c>
      <c r="D296" s="2" t="s">
        <v>16</v>
      </c>
      <c r="E296" s="2" t="s">
        <v>148</v>
      </c>
      <c r="F296" s="3" t="n">
        <v>0.001156</v>
      </c>
      <c r="G296" s="3" t="n">
        <f aca="false">SUM($F$2:F296)</f>
        <v>0.612152</v>
      </c>
      <c r="H296" s="4" t="n">
        <v>77.3</v>
      </c>
      <c r="I296" s="5" t="n">
        <v>61.84</v>
      </c>
      <c r="J296" s="4" t="n">
        <v>1.25</v>
      </c>
      <c r="K296" s="5" t="n">
        <v>6.455</v>
      </c>
      <c r="L296" s="6" t="n">
        <v>2.4982</v>
      </c>
      <c r="M296" s="5" t="n">
        <f aca="false">IF(AND(N(K296)&gt;0,N(L296)&gt;0),K296/L296,"")</f>
        <v>2.58386037947322</v>
      </c>
      <c r="N296" s="2"/>
    </row>
    <row r="297" customFormat="false" ht="15" hidden="false" customHeight="false" outlineLevel="0" collapsed="false">
      <c r="A297" s="2" t="n">
        <v>296</v>
      </c>
      <c r="B297" s="2" t="s">
        <v>715</v>
      </c>
      <c r="C297" s="2" t="s">
        <v>716</v>
      </c>
      <c r="D297" s="2" t="s">
        <v>86</v>
      </c>
      <c r="E297" s="2" t="s">
        <v>717</v>
      </c>
      <c r="F297" s="3" t="n">
        <v>0.001149</v>
      </c>
      <c r="G297" s="3" t="n">
        <f aca="false">SUM($F$2:F297)</f>
        <v>0.613301</v>
      </c>
      <c r="H297" s="4" t="n">
        <v>35.58</v>
      </c>
      <c r="I297" s="5" t="n">
        <v>1186.0001</v>
      </c>
      <c r="J297" s="4" t="n">
        <v>0.03</v>
      </c>
      <c r="K297" s="5" t="n">
        <v>7.0466</v>
      </c>
      <c r="L297" s="6" t="n">
        <v>3.754</v>
      </c>
      <c r="M297" s="5" t="n">
        <f aca="false">IF(AND(N(K297)&gt;0,N(L297)&gt;0),K297/L297,"")</f>
        <v>1.87709110282365</v>
      </c>
      <c r="N297" s="2" t="s">
        <v>343</v>
      </c>
    </row>
    <row r="298" customFormat="false" ht="15" hidden="false" customHeight="false" outlineLevel="0" collapsed="false">
      <c r="A298" s="2" t="n">
        <v>297</v>
      </c>
      <c r="B298" s="2" t="s">
        <v>718</v>
      </c>
      <c r="C298" s="2" t="s">
        <v>719</v>
      </c>
      <c r="D298" s="2" t="s">
        <v>16</v>
      </c>
      <c r="E298" s="2" t="s">
        <v>148</v>
      </c>
      <c r="F298" s="3" t="n">
        <v>0.001144</v>
      </c>
      <c r="G298" s="3" t="n">
        <f aca="false">SUM($F$2:F298)</f>
        <v>0.614445</v>
      </c>
      <c r="H298" s="4" t="n">
        <v>144.42</v>
      </c>
      <c r="I298" s="5" t="n">
        <v>29.3537</v>
      </c>
      <c r="J298" s="4" t="n">
        <v>4.92</v>
      </c>
      <c r="K298" s="5" t="n">
        <v>7.996</v>
      </c>
      <c r="L298" s="6" t="n">
        <v>4.5141</v>
      </c>
      <c r="M298" s="5" t="n">
        <f aca="false">IF(AND(N(K298)&gt;0,N(L298)&gt;0),K298/L298,"")</f>
        <v>1.77133869431337</v>
      </c>
      <c r="N298" s="2"/>
    </row>
    <row r="299" customFormat="false" ht="15" hidden="false" customHeight="false" outlineLevel="0" collapsed="false">
      <c r="A299" s="2" t="n">
        <v>298</v>
      </c>
      <c r="B299" s="2" t="s">
        <v>720</v>
      </c>
      <c r="C299" s="2" t="s">
        <v>721</v>
      </c>
      <c r="D299" s="2" t="s">
        <v>16</v>
      </c>
      <c r="E299" s="2" t="s">
        <v>17</v>
      </c>
      <c r="F299" s="3" t="n">
        <v>0.001144</v>
      </c>
      <c r="G299" s="3" t="n">
        <f aca="false">SUM($F$2:F299)</f>
        <v>0.615589</v>
      </c>
      <c r="H299" s="4" t="n">
        <v>49.59</v>
      </c>
      <c r="I299" s="5" t="n">
        <v>22.7477</v>
      </c>
      <c r="J299" s="4" t="n">
        <v>2.18</v>
      </c>
      <c r="K299" s="5" t="n">
        <v>5.0064</v>
      </c>
      <c r="L299" s="6" t="n">
        <v>2.7506</v>
      </c>
      <c r="M299" s="5" t="n">
        <f aca="false">IF(AND(N(K299)&gt;0,N(L299)&gt;0),K299/L299,"")</f>
        <v>1.82011197556897</v>
      </c>
      <c r="N299" s="2"/>
    </row>
    <row r="300" customFormat="false" ht="15" hidden="false" customHeight="false" outlineLevel="0" collapsed="false">
      <c r="A300" s="2" t="n">
        <v>299</v>
      </c>
      <c r="B300" s="2" t="s">
        <v>722</v>
      </c>
      <c r="C300" s="2" t="s">
        <v>723</v>
      </c>
      <c r="D300" s="2" t="s">
        <v>33</v>
      </c>
      <c r="E300" s="2" t="s">
        <v>329</v>
      </c>
      <c r="F300" s="3" t="n">
        <v>0.001144</v>
      </c>
      <c r="G300" s="3" t="n">
        <f aca="false">SUM($F$2:F300)</f>
        <v>0.616733</v>
      </c>
      <c r="H300" s="4" t="n">
        <v>124.8</v>
      </c>
      <c r="I300" s="5"/>
      <c r="J300" s="4" t="n">
        <v>-0.52</v>
      </c>
      <c r="K300" s="5" t="n">
        <v>5.2881</v>
      </c>
      <c r="L300" s="6" t="n">
        <v>2.3455</v>
      </c>
      <c r="M300" s="5" t="n">
        <f aca="false">IF(AND(N(K300)&gt;0,N(L300)&gt;0),K300/L300,"")</f>
        <v>2.2545725858026</v>
      </c>
      <c r="N300" s="2" t="s">
        <v>50</v>
      </c>
    </row>
    <row r="301" customFormat="false" ht="15" hidden="false" customHeight="false" outlineLevel="0" collapsed="false">
      <c r="A301" s="2" t="n">
        <v>300</v>
      </c>
      <c r="B301" s="2" t="s">
        <v>724</v>
      </c>
      <c r="C301" s="2" t="s">
        <v>725</v>
      </c>
      <c r="D301" s="2" t="s">
        <v>62</v>
      </c>
      <c r="E301" s="2" t="s">
        <v>189</v>
      </c>
      <c r="F301" s="3" t="n">
        <v>0.001133</v>
      </c>
      <c r="G301" s="3" t="n">
        <f aca="false">SUM($F$2:F301)</f>
        <v>0.617866</v>
      </c>
      <c r="H301" s="4" t="n">
        <v>129.65</v>
      </c>
      <c r="I301" s="5" t="n">
        <v>34.9461</v>
      </c>
      <c r="J301" s="4" t="n">
        <v>3.71</v>
      </c>
      <c r="K301" s="5" t="n">
        <v>5.5183</v>
      </c>
      <c r="L301" s="6" t="n">
        <v>3.2394</v>
      </c>
      <c r="M301" s="5" t="n">
        <f aca="false">IF(AND(N(K301)&gt;0,N(L301)&gt;0),K301/L301,"")</f>
        <v>1.70349447428536</v>
      </c>
      <c r="N301" s="2"/>
    </row>
    <row r="302" customFormat="false" ht="15" hidden="false" customHeight="false" outlineLevel="0" collapsed="false">
      <c r="A302" s="2" t="n">
        <v>301</v>
      </c>
      <c r="B302" s="2" t="s">
        <v>726</v>
      </c>
      <c r="C302" s="2" t="s">
        <v>727</v>
      </c>
      <c r="D302" s="2" t="s">
        <v>16</v>
      </c>
      <c r="E302" s="2" t="s">
        <v>17</v>
      </c>
      <c r="F302" s="3" t="n">
        <v>0.001132</v>
      </c>
      <c r="G302" s="3" t="n">
        <f aca="false">SUM($F$2:F302)</f>
        <v>0.618998</v>
      </c>
      <c r="H302" s="4" t="n">
        <v>19.2</v>
      </c>
      <c r="I302" s="5" t="n">
        <v>45.7143</v>
      </c>
      <c r="J302" s="4" t="n">
        <v>0.42</v>
      </c>
      <c r="K302" s="5" t="n">
        <v>6.144</v>
      </c>
      <c r="L302" s="6" t="n">
        <v>3.387</v>
      </c>
      <c r="M302" s="5" t="n">
        <f aca="false">IF(AND(N(K302)&gt;0,N(L302)&gt;0),K302/L302,"")</f>
        <v>1.81399468556244</v>
      </c>
      <c r="N302" s="2"/>
    </row>
    <row r="303" customFormat="false" ht="15" hidden="false" customHeight="false" outlineLevel="0" collapsed="false">
      <c r="A303" s="2" t="n">
        <v>302</v>
      </c>
      <c r="B303" s="2" t="s">
        <v>728</v>
      </c>
      <c r="C303" s="2" t="s">
        <v>729</v>
      </c>
      <c r="D303" s="2" t="s">
        <v>93</v>
      </c>
      <c r="E303" s="2" t="s">
        <v>238</v>
      </c>
      <c r="F303" s="3" t="n">
        <v>0.001131</v>
      </c>
      <c r="G303" s="3" t="n">
        <f aca="false">SUM($F$2:F303)</f>
        <v>0.620129</v>
      </c>
      <c r="H303" s="4" t="n">
        <v>86.49</v>
      </c>
      <c r="I303" s="5" t="n">
        <v>25.2895</v>
      </c>
      <c r="J303" s="4" t="n">
        <v>3.42</v>
      </c>
      <c r="K303" s="5" t="n">
        <v>4.6947</v>
      </c>
      <c r="L303" s="6" t="n">
        <v>1.7566</v>
      </c>
      <c r="M303" s="5" t="n">
        <f aca="false">IF(AND(N(K303)&gt;0,N(L303)&gt;0),K303/L303,"")</f>
        <v>2.67260617101218</v>
      </c>
      <c r="N303" s="2"/>
    </row>
    <row r="304" customFormat="false" ht="15" hidden="false" customHeight="false" outlineLevel="0" collapsed="false">
      <c r="A304" s="2" t="n">
        <v>303</v>
      </c>
      <c r="B304" s="2" t="s">
        <v>730</v>
      </c>
      <c r="C304" s="2" t="s">
        <v>731</v>
      </c>
      <c r="D304" s="2" t="s">
        <v>86</v>
      </c>
      <c r="E304" s="2" t="s">
        <v>194</v>
      </c>
      <c r="F304" s="3" t="n">
        <v>0.001131</v>
      </c>
      <c r="G304" s="3" t="n">
        <f aca="false">SUM($F$2:F304)</f>
        <v>0.62126</v>
      </c>
      <c r="H304" s="4" t="n">
        <v>20.03</v>
      </c>
      <c r="I304" s="5" t="n">
        <v>43.5435</v>
      </c>
      <c r="J304" s="4" t="n">
        <v>0.46</v>
      </c>
      <c r="K304" s="5" t="n">
        <v>5.994</v>
      </c>
      <c r="L304" s="6" t="n">
        <v>6.1902</v>
      </c>
      <c r="M304" s="5" t="n">
        <f aca="false">IF(AND(N(K304)&gt;0,N(L304)&gt;0),K304/L304,"")</f>
        <v>0.968304739749927</v>
      </c>
      <c r="N304" s="2"/>
    </row>
    <row r="305" customFormat="false" ht="15" hidden="false" customHeight="false" outlineLevel="0" collapsed="false">
      <c r="A305" s="2" t="n">
        <v>304</v>
      </c>
      <c r="B305" s="2" t="s">
        <v>732</v>
      </c>
      <c r="C305" s="2" t="s">
        <v>733</v>
      </c>
      <c r="D305" s="2" t="s">
        <v>22</v>
      </c>
      <c r="E305" s="2" t="s">
        <v>97</v>
      </c>
      <c r="F305" s="3" t="n">
        <v>0.00113</v>
      </c>
      <c r="G305" s="3" t="n">
        <f aca="false">SUM($F$2:F305)</f>
        <v>0.62239</v>
      </c>
      <c r="H305" s="4" t="n">
        <v>43.06</v>
      </c>
      <c r="I305" s="5" t="n">
        <v>17.7202</v>
      </c>
      <c r="J305" s="4" t="n">
        <v>2.43</v>
      </c>
      <c r="K305" s="5" t="n">
        <v>7.9421</v>
      </c>
      <c r="L305" s="6" t="n">
        <v>1.0317</v>
      </c>
      <c r="M305" s="5" t="n">
        <f aca="false">IF(AND(N(K305)&gt;0,N(L305)&gt;0),K305/L305,"")</f>
        <v>7.69807114471261</v>
      </c>
      <c r="N305" s="2"/>
    </row>
    <row r="306" customFormat="false" ht="15" hidden="false" customHeight="false" outlineLevel="0" collapsed="false">
      <c r="A306" s="2" t="n">
        <v>305</v>
      </c>
      <c r="B306" s="2" t="s">
        <v>734</v>
      </c>
      <c r="C306" s="2" t="s">
        <v>735</v>
      </c>
      <c r="D306" s="2" t="s">
        <v>79</v>
      </c>
      <c r="E306" s="2" t="s">
        <v>80</v>
      </c>
      <c r="F306" s="3" t="n">
        <v>0.001129</v>
      </c>
      <c r="G306" s="3" t="n">
        <f aca="false">SUM($F$2:F306)</f>
        <v>0.623519</v>
      </c>
      <c r="H306" s="4" t="n">
        <v>27.46</v>
      </c>
      <c r="I306" s="5" t="n">
        <v>11.5865</v>
      </c>
      <c r="J306" s="4" t="n">
        <v>2.37</v>
      </c>
      <c r="K306" s="5" t="n">
        <v>4.1923</v>
      </c>
      <c r="L306" s="6" t="n">
        <v>4.3934</v>
      </c>
      <c r="M306" s="5" t="n">
        <f aca="false">IF(AND(N(K306)&gt;0,N(L306)&gt;0),K306/L306,"")</f>
        <v>0.954226794737561</v>
      </c>
      <c r="N306" s="2"/>
    </row>
    <row r="307" customFormat="false" ht="15" hidden="false" customHeight="false" outlineLevel="0" collapsed="false">
      <c r="A307" s="2" t="n">
        <v>306</v>
      </c>
      <c r="B307" s="2" t="s">
        <v>736</v>
      </c>
      <c r="C307" s="2" t="s">
        <v>737</v>
      </c>
      <c r="D307" s="2" t="s">
        <v>93</v>
      </c>
      <c r="E307" s="2" t="s">
        <v>738</v>
      </c>
      <c r="F307" s="3" t="n">
        <v>0.001123</v>
      </c>
      <c r="G307" s="3" t="n">
        <f aca="false">SUM($F$2:F307)</f>
        <v>0.624642</v>
      </c>
      <c r="H307" s="4" t="n">
        <v>81.92</v>
      </c>
      <c r="I307" s="5" t="n">
        <v>13.9083</v>
      </c>
      <c r="J307" s="4" t="n">
        <v>5.89</v>
      </c>
      <c r="K307" s="5" t="n">
        <v>5.7098</v>
      </c>
      <c r="L307" s="6" t="n">
        <v>1.9084</v>
      </c>
      <c r="M307" s="5" t="n">
        <f aca="false">IF(AND(N(K307)&gt;0,N(L307)&gt;0),K307/L307,"")</f>
        <v>2.99193041291134</v>
      </c>
      <c r="N307" s="2"/>
    </row>
    <row r="308" customFormat="false" ht="15" hidden="false" customHeight="false" outlineLevel="0" collapsed="false">
      <c r="A308" s="2" t="n">
        <v>307</v>
      </c>
      <c r="B308" s="2" t="s">
        <v>739</v>
      </c>
      <c r="C308" s="2" t="s">
        <v>740</v>
      </c>
      <c r="D308" s="2" t="s">
        <v>79</v>
      </c>
      <c r="E308" s="2" t="s">
        <v>80</v>
      </c>
      <c r="F308" s="3" t="n">
        <v>0.001122</v>
      </c>
      <c r="G308" s="3" t="n">
        <f aca="false">SUM($F$2:F308)</f>
        <v>0.625764</v>
      </c>
      <c r="H308" s="4" t="n">
        <v>47.75</v>
      </c>
      <c r="I308" s="5" t="n">
        <v>7.8795</v>
      </c>
      <c r="J308" s="4" t="n">
        <v>6.06</v>
      </c>
      <c r="K308" s="5" t="n">
        <v>5.2065</v>
      </c>
      <c r="L308" s="6" t="n">
        <v>3.3541</v>
      </c>
      <c r="M308" s="5" t="n">
        <f aca="false">IF(AND(N(K308)&gt;0,N(L308)&gt;0),K308/L308,"")</f>
        <v>1.55227929996124</v>
      </c>
      <c r="N308" s="2"/>
    </row>
    <row r="309" customFormat="false" ht="15" hidden="false" customHeight="false" outlineLevel="0" collapsed="false">
      <c r="A309" s="2" t="n">
        <v>308</v>
      </c>
      <c r="B309" s="2" t="s">
        <v>741</v>
      </c>
      <c r="C309" s="2" t="s">
        <v>742</v>
      </c>
      <c r="D309" s="2" t="s">
        <v>22</v>
      </c>
      <c r="E309" s="2" t="s">
        <v>97</v>
      </c>
      <c r="F309" s="3" t="n">
        <v>0.001119</v>
      </c>
      <c r="G309" s="3" t="n">
        <f aca="false">SUM($F$2:F309)</f>
        <v>0.626883</v>
      </c>
      <c r="H309" s="4" t="n">
        <v>121.63</v>
      </c>
      <c r="I309" s="5" t="n">
        <v>29.3792</v>
      </c>
      <c r="J309" s="4" t="n">
        <v>4.14</v>
      </c>
      <c r="K309" s="5"/>
      <c r="L309" s="6"/>
      <c r="M309" s="5" t="str">
        <f aca="false">IF(AND(N(K309)&gt;0,N(L309)&gt;0),K309/L309,"")</f>
        <v/>
      </c>
      <c r="N309" s="2"/>
    </row>
    <row r="310" customFormat="false" ht="15" hidden="false" customHeight="false" outlineLevel="0" collapsed="false">
      <c r="A310" s="2" t="n">
        <v>309</v>
      </c>
      <c r="B310" s="2" t="s">
        <v>743</v>
      </c>
      <c r="C310" s="2" t="s">
        <v>744</v>
      </c>
      <c r="D310" s="2" t="s">
        <v>16</v>
      </c>
      <c r="E310" s="2" t="s">
        <v>17</v>
      </c>
      <c r="F310" s="3" t="n">
        <v>0.001119</v>
      </c>
      <c r="G310" s="3" t="n">
        <f aca="false">SUM($F$2:F310)</f>
        <v>0.628002</v>
      </c>
      <c r="H310" s="4" t="n">
        <v>13.59</v>
      </c>
      <c r="I310" s="5" t="n">
        <v>20.2836</v>
      </c>
      <c r="J310" s="4" t="n">
        <v>0.67</v>
      </c>
      <c r="K310" s="5" t="n">
        <v>7.0825</v>
      </c>
      <c r="L310" s="6" t="n">
        <v>4.1157</v>
      </c>
      <c r="M310" s="5" t="n">
        <f aca="false">IF(AND(N(K310)&gt;0,N(L310)&gt;0),K310/L310,"")</f>
        <v>1.72084943023058</v>
      </c>
      <c r="N310" s="2"/>
    </row>
    <row r="311" customFormat="false" ht="15" hidden="false" customHeight="false" outlineLevel="0" collapsed="false">
      <c r="A311" s="2" t="n">
        <v>310</v>
      </c>
      <c r="B311" s="2" t="s">
        <v>745</v>
      </c>
      <c r="C311" s="2" t="s">
        <v>746</v>
      </c>
      <c r="D311" s="2" t="s">
        <v>22</v>
      </c>
      <c r="E311" s="2" t="s">
        <v>83</v>
      </c>
      <c r="F311" s="3" t="n">
        <v>0.001114</v>
      </c>
      <c r="G311" s="3" t="n">
        <f aca="false">SUM($F$2:F311)</f>
        <v>0.629116</v>
      </c>
      <c r="H311" s="4" t="n">
        <v>296.19</v>
      </c>
      <c r="I311" s="5" t="n">
        <v>143.087</v>
      </c>
      <c r="J311" s="4" t="n">
        <v>2.07</v>
      </c>
      <c r="K311" s="5" t="n">
        <v>6.2697</v>
      </c>
      <c r="L311" s="6" t="n">
        <v>5.1231</v>
      </c>
      <c r="M311" s="5" t="n">
        <f aca="false">IF(AND(N(K311)&gt;0,N(L311)&gt;0),K311/L311,"")</f>
        <v>1.22380980265855</v>
      </c>
      <c r="N311" s="2"/>
    </row>
    <row r="312" customFormat="false" ht="15" hidden="false" customHeight="false" outlineLevel="0" collapsed="false">
      <c r="A312" s="2" t="n">
        <v>311</v>
      </c>
      <c r="B312" s="2" t="s">
        <v>747</v>
      </c>
      <c r="C312" s="2" t="s">
        <v>748</v>
      </c>
      <c r="D312" s="2" t="s">
        <v>79</v>
      </c>
      <c r="E312" s="2" t="s">
        <v>288</v>
      </c>
      <c r="F312" s="3" t="n">
        <v>0.001113</v>
      </c>
      <c r="G312" s="3" t="n">
        <f aca="false">SUM($F$2:F312)</f>
        <v>0.630229</v>
      </c>
      <c r="H312" s="4" t="n">
        <v>25.07</v>
      </c>
      <c r="I312" s="5" t="n">
        <v>6.9833</v>
      </c>
      <c r="J312" s="4" t="n">
        <v>3.59</v>
      </c>
      <c r="K312" s="5" t="n">
        <v>4.7132</v>
      </c>
      <c r="L312" s="6" t="n">
        <v>2.7955</v>
      </c>
      <c r="M312" s="5" t="n">
        <f aca="false">IF(AND(N(K312)&gt;0,N(L312)&gt;0),K312/L312,"")</f>
        <v>1.68599534966911</v>
      </c>
      <c r="N312" s="2"/>
    </row>
    <row r="313" customFormat="false" ht="15" hidden="false" customHeight="false" outlineLevel="0" collapsed="false">
      <c r="A313" s="2" t="n">
        <v>312</v>
      </c>
      <c r="B313" s="2" t="s">
        <v>749</v>
      </c>
      <c r="C313" s="2" t="s">
        <v>750</v>
      </c>
      <c r="D313" s="2" t="s">
        <v>33</v>
      </c>
      <c r="E313" s="2" t="s">
        <v>34</v>
      </c>
      <c r="F313" s="3" t="n">
        <v>0.001112</v>
      </c>
      <c r="G313" s="3" t="n">
        <f aca="false">SUM($F$2:F313)</f>
        <v>0.631341</v>
      </c>
      <c r="H313" s="4" t="n">
        <v>29.35</v>
      </c>
      <c r="I313" s="5"/>
      <c r="J313" s="4" t="n">
        <v>-0.64</v>
      </c>
      <c r="K313" s="5" t="n">
        <v>6.8477</v>
      </c>
      <c r="L313" s="6" t="n">
        <v>2.6561</v>
      </c>
      <c r="M313" s="5" t="n">
        <f aca="false">IF(AND(N(K313)&gt;0,N(L313)&gt;0),K313/L313,"")</f>
        <v>2.57810323406498</v>
      </c>
      <c r="N313" s="2" t="s">
        <v>50</v>
      </c>
    </row>
    <row r="314" customFormat="false" ht="15" hidden="false" customHeight="false" outlineLevel="0" collapsed="false">
      <c r="A314" s="2" t="n">
        <v>313</v>
      </c>
      <c r="B314" s="2" t="s">
        <v>751</v>
      </c>
      <c r="C314" s="2" t="s">
        <v>752</v>
      </c>
      <c r="D314" s="2" t="s">
        <v>86</v>
      </c>
      <c r="E314" s="2" t="s">
        <v>442</v>
      </c>
      <c r="F314" s="3" t="n">
        <v>0.001108</v>
      </c>
      <c r="G314" s="3" t="n">
        <f aca="false">SUM($F$2:F314)</f>
        <v>0.632449</v>
      </c>
      <c r="H314" s="4" t="n">
        <v>25.2</v>
      </c>
      <c r="I314" s="5" t="n">
        <v>15.75</v>
      </c>
      <c r="J314" s="4" t="n">
        <v>1.6</v>
      </c>
      <c r="K314" s="5" t="n">
        <v>5.171</v>
      </c>
      <c r="L314" s="6" t="n">
        <v>6.4088</v>
      </c>
      <c r="M314" s="5" t="n">
        <f aca="false">IF(AND(N(K314)&gt;0,N(L314)&gt;0),K314/L314,"")</f>
        <v>0.806859318437149</v>
      </c>
      <c r="N314" s="2"/>
    </row>
    <row r="315" customFormat="false" ht="15" hidden="false" customHeight="false" outlineLevel="0" collapsed="false">
      <c r="A315" s="2" t="n">
        <v>314</v>
      </c>
      <c r="B315" s="2" t="s">
        <v>753</v>
      </c>
      <c r="C315" s="2" t="s">
        <v>754</v>
      </c>
      <c r="D315" s="2" t="s">
        <v>16</v>
      </c>
      <c r="E315" s="2" t="s">
        <v>43</v>
      </c>
      <c r="F315" s="3" t="n">
        <v>0.001105</v>
      </c>
      <c r="G315" s="3" t="n">
        <f aca="false">SUM($F$2:F315)</f>
        <v>0.633554</v>
      </c>
      <c r="H315" s="4" t="n">
        <v>52.19</v>
      </c>
      <c r="I315" s="5" t="n">
        <v>23.4036</v>
      </c>
      <c r="J315" s="4" t="n">
        <v>2.23</v>
      </c>
      <c r="K315" s="5" t="n">
        <v>12.9667</v>
      </c>
      <c r="L315" s="6" t="n">
        <v>1.7387</v>
      </c>
      <c r="M315" s="5" t="n">
        <f aca="false">IF(AND(N(K315)&gt;0,N(L315)&gt;0),K315/L315,"")</f>
        <v>7.45769828032438</v>
      </c>
      <c r="N315" s="2"/>
    </row>
    <row r="316" customFormat="false" ht="15" hidden="false" customHeight="false" outlineLevel="0" collapsed="false">
      <c r="A316" s="2" t="n">
        <v>315</v>
      </c>
      <c r="B316" s="2" t="s">
        <v>755</v>
      </c>
      <c r="C316" s="2" t="s">
        <v>756</v>
      </c>
      <c r="D316" s="2" t="s">
        <v>79</v>
      </c>
      <c r="E316" s="2" t="s">
        <v>80</v>
      </c>
      <c r="F316" s="3" t="n">
        <v>0.001097</v>
      </c>
      <c r="G316" s="3" t="n">
        <f aca="false">SUM($F$2:F316)</f>
        <v>0.634651</v>
      </c>
      <c r="H316" s="4" t="n">
        <v>46.76</v>
      </c>
      <c r="I316" s="5" t="n">
        <v>12.7411</v>
      </c>
      <c r="J316" s="4" t="n">
        <v>3.67</v>
      </c>
      <c r="K316" s="5" t="n">
        <v>6.3675</v>
      </c>
      <c r="L316" s="6" t="n">
        <v>5.0919</v>
      </c>
      <c r="M316" s="5" t="n">
        <f aca="false">IF(AND(N(K316)&gt;0,N(L316)&gt;0),K316/L316,"")</f>
        <v>1.25051552465681</v>
      </c>
      <c r="N316" s="2"/>
    </row>
    <row r="317" customFormat="false" ht="15" hidden="false" customHeight="false" outlineLevel="0" collapsed="false">
      <c r="A317" s="2" t="n">
        <v>316</v>
      </c>
      <c r="B317" s="2" t="s">
        <v>757</v>
      </c>
      <c r="C317" s="2" t="s">
        <v>758</v>
      </c>
      <c r="D317" s="2" t="s">
        <v>93</v>
      </c>
      <c r="E317" s="2" t="s">
        <v>567</v>
      </c>
      <c r="F317" s="3" t="n">
        <v>0.001097</v>
      </c>
      <c r="G317" s="3" t="n">
        <f aca="false">SUM($F$2:F317)</f>
        <v>0.635748</v>
      </c>
      <c r="H317" s="4" t="n">
        <v>67.15</v>
      </c>
      <c r="I317" s="5" t="n">
        <v>24.3297</v>
      </c>
      <c r="J317" s="4" t="n">
        <v>2.76</v>
      </c>
      <c r="K317" s="5" t="n">
        <v>4.9833</v>
      </c>
      <c r="L317" s="6" t="n">
        <v>3.5143</v>
      </c>
      <c r="M317" s="5" t="n">
        <f aca="false">IF(AND(N(K317)&gt;0,N(L317)&gt;0),K317/L317,"")</f>
        <v>1.41800643086817</v>
      </c>
      <c r="N317" s="2"/>
    </row>
    <row r="318" customFormat="false" ht="15" hidden="false" customHeight="false" outlineLevel="0" collapsed="false">
      <c r="A318" s="2" t="n">
        <v>317</v>
      </c>
      <c r="B318" s="2" t="s">
        <v>759</v>
      </c>
      <c r="C318" s="2" t="s">
        <v>760</v>
      </c>
      <c r="D318" s="2" t="s">
        <v>58</v>
      </c>
      <c r="E318" s="2" t="s">
        <v>761</v>
      </c>
      <c r="F318" s="3" t="n">
        <v>0.001088</v>
      </c>
      <c r="G318" s="3" t="n">
        <f aca="false">SUM($F$2:F318)</f>
        <v>0.636836</v>
      </c>
      <c r="H318" s="4" t="n">
        <v>97.79</v>
      </c>
      <c r="I318" s="5" t="n">
        <v>99.7857</v>
      </c>
      <c r="J318" s="4" t="n">
        <v>0.98</v>
      </c>
      <c r="K318" s="5" t="n">
        <v>5.7704</v>
      </c>
      <c r="L318" s="6" t="n">
        <v>3.2747</v>
      </c>
      <c r="M318" s="5" t="n">
        <f aca="false">IF(AND(N(K318)&gt;0,N(L318)&gt;0),K318/L318,"")</f>
        <v>1.762115613644</v>
      </c>
      <c r="N318" s="2"/>
    </row>
    <row r="319" customFormat="false" ht="15" hidden="false" customHeight="false" outlineLevel="0" collapsed="false">
      <c r="A319" s="2" t="n">
        <v>318</v>
      </c>
      <c r="B319" s="2" t="s">
        <v>762</v>
      </c>
      <c r="C319" s="2" t="s">
        <v>763</v>
      </c>
      <c r="D319" s="2" t="s">
        <v>79</v>
      </c>
      <c r="E319" s="2" t="s">
        <v>80</v>
      </c>
      <c r="F319" s="3" t="n">
        <v>0.001088</v>
      </c>
      <c r="G319" s="3" t="n">
        <f aca="false">SUM($F$2:F319)</f>
        <v>0.637924</v>
      </c>
      <c r="H319" s="4" t="n">
        <v>13.4</v>
      </c>
      <c r="I319" s="5" t="n">
        <v>11.3559</v>
      </c>
      <c r="J319" s="4" t="n">
        <v>1.18</v>
      </c>
      <c r="K319" s="5" t="n">
        <v>7.4049</v>
      </c>
      <c r="L319" s="6" t="n">
        <v>3.6873</v>
      </c>
      <c r="M319" s="5" t="n">
        <f aca="false">IF(AND(N(K319)&gt;0,N(L319)&gt;0),K319/L319,"")</f>
        <v>2.00821739484175</v>
      </c>
      <c r="N319" s="2"/>
    </row>
    <row r="320" customFormat="false" ht="15" hidden="false" customHeight="false" outlineLevel="0" collapsed="false">
      <c r="A320" s="2" t="n">
        <v>319</v>
      </c>
      <c r="B320" s="2" t="s">
        <v>764</v>
      </c>
      <c r="C320" s="2" t="s">
        <v>765</v>
      </c>
      <c r="D320" s="2" t="s">
        <v>79</v>
      </c>
      <c r="E320" s="2" t="s">
        <v>80</v>
      </c>
      <c r="F320" s="3" t="n">
        <v>0.001085</v>
      </c>
      <c r="G320" s="3" t="n">
        <f aca="false">SUM($F$2:F320)</f>
        <v>0.639009</v>
      </c>
      <c r="H320" s="4" t="n">
        <v>133.53</v>
      </c>
      <c r="I320" s="5" t="n">
        <v>11.0998</v>
      </c>
      <c r="J320" s="4" t="n">
        <v>12.03</v>
      </c>
      <c r="K320" s="5" t="n">
        <v>10.1416</v>
      </c>
      <c r="L320" s="6" t="n">
        <v>3.6041</v>
      </c>
      <c r="M320" s="5" t="n">
        <f aca="false">IF(AND(N(K320)&gt;0,N(L320)&gt;0),K320/L320,"")</f>
        <v>2.81390638439555</v>
      </c>
      <c r="N320" s="2"/>
    </row>
    <row r="321" customFormat="false" ht="15" hidden="false" customHeight="false" outlineLevel="0" collapsed="false">
      <c r="A321" s="2" t="n">
        <v>320</v>
      </c>
      <c r="B321" s="2" t="s">
        <v>766</v>
      </c>
      <c r="C321" s="2" t="s">
        <v>767</v>
      </c>
      <c r="D321" s="2" t="s">
        <v>16</v>
      </c>
      <c r="E321" s="2" t="s">
        <v>148</v>
      </c>
      <c r="F321" s="3" t="n">
        <v>0.001083</v>
      </c>
      <c r="G321" s="3" t="n">
        <f aca="false">SUM($F$2:F321)</f>
        <v>0.640092</v>
      </c>
      <c r="H321" s="4" t="n">
        <v>149.42</v>
      </c>
      <c r="I321" s="5" t="n">
        <v>17.6619</v>
      </c>
      <c r="J321" s="4" t="n">
        <v>8.46</v>
      </c>
      <c r="K321" s="5" t="n">
        <v>6.9619</v>
      </c>
      <c r="L321" s="6" t="n">
        <v>6.0803</v>
      </c>
      <c r="M321" s="5" t="n">
        <f aca="false">IF(AND(N(K321)&gt;0,N(L321)&gt;0),K321/L321,"")</f>
        <v>1.14499284574774</v>
      </c>
      <c r="N321" s="2"/>
    </row>
    <row r="322" customFormat="false" ht="15" hidden="false" customHeight="false" outlineLevel="0" collapsed="false">
      <c r="A322" s="2" t="n">
        <v>321</v>
      </c>
      <c r="B322" s="2" t="s">
        <v>768</v>
      </c>
      <c r="C322" s="2" t="s">
        <v>769</v>
      </c>
      <c r="D322" s="2" t="s">
        <v>79</v>
      </c>
      <c r="E322" s="2" t="s">
        <v>230</v>
      </c>
      <c r="F322" s="3" t="n">
        <v>0.001082</v>
      </c>
      <c r="G322" s="3" t="n">
        <f aca="false">SUM($F$2:F322)</f>
        <v>0.641174</v>
      </c>
      <c r="H322" s="4" t="n">
        <v>36.48</v>
      </c>
      <c r="I322" s="5" t="n">
        <v>17.9704</v>
      </c>
      <c r="J322" s="4" t="n">
        <v>2.03</v>
      </c>
      <c r="K322" s="5" t="n">
        <v>3.555</v>
      </c>
      <c r="L322" s="6" t="n">
        <v>1.1112</v>
      </c>
      <c r="M322" s="5" t="n">
        <f aca="false">IF(AND(N(K322)&gt;0,N(L322)&gt;0),K322/L322,"")</f>
        <v>3.19924406047516</v>
      </c>
      <c r="N322" s="2"/>
    </row>
    <row r="323" customFormat="false" ht="15" hidden="false" customHeight="false" outlineLevel="0" collapsed="false">
      <c r="A323" s="2" t="n">
        <v>322</v>
      </c>
      <c r="B323" s="2" t="s">
        <v>770</v>
      </c>
      <c r="C323" s="2" t="s">
        <v>771</v>
      </c>
      <c r="D323" s="2" t="s">
        <v>22</v>
      </c>
      <c r="E323" s="2" t="s">
        <v>109</v>
      </c>
      <c r="F323" s="3" t="n">
        <v>0.001081</v>
      </c>
      <c r="G323" s="3" t="n">
        <f aca="false">SUM($F$2:F323)</f>
        <v>0.642255</v>
      </c>
      <c r="H323" s="4" t="n">
        <v>321.69</v>
      </c>
      <c r="I323" s="5" t="n">
        <v>28.5439</v>
      </c>
      <c r="J323" s="4" t="n">
        <v>11.27</v>
      </c>
      <c r="K323" s="5" t="n">
        <v>12.8189</v>
      </c>
      <c r="L323" s="6" t="n">
        <v>3.2162</v>
      </c>
      <c r="M323" s="5" t="n">
        <f aca="false">IF(AND(N(K323)&gt;0,N(L323)&gt;0),K323/L323,"")</f>
        <v>3.98572849947143</v>
      </c>
      <c r="N323" s="2"/>
    </row>
    <row r="324" customFormat="false" ht="15" hidden="false" customHeight="false" outlineLevel="0" collapsed="false">
      <c r="A324" s="2" t="n">
        <v>323</v>
      </c>
      <c r="B324" s="2" t="s">
        <v>772</v>
      </c>
      <c r="C324" s="2" t="s">
        <v>773</v>
      </c>
      <c r="D324" s="2" t="s">
        <v>26</v>
      </c>
      <c r="E324" s="2" t="s">
        <v>774</v>
      </c>
      <c r="F324" s="3" t="n">
        <v>0.001081</v>
      </c>
      <c r="G324" s="3" t="n">
        <f aca="false">SUM($F$2:F324)</f>
        <v>0.643336</v>
      </c>
      <c r="H324" s="4" t="n">
        <v>44.2</v>
      </c>
      <c r="I324" s="5" t="n">
        <v>47.0213</v>
      </c>
      <c r="J324" s="4" t="n">
        <v>0.94</v>
      </c>
      <c r="K324" s="5" t="n">
        <v>7.0562</v>
      </c>
      <c r="L324" s="6" t="n">
        <v>2.4461</v>
      </c>
      <c r="M324" s="5" t="n">
        <f aca="false">IF(AND(N(K324)&gt;0,N(L324)&gt;0),K324/L324,"")</f>
        <v>2.88467356199665</v>
      </c>
      <c r="N324" s="2"/>
    </row>
    <row r="325" customFormat="false" ht="15" hidden="false" customHeight="false" outlineLevel="0" collapsed="false">
      <c r="A325" s="2" t="n">
        <v>324</v>
      </c>
      <c r="B325" s="2" t="s">
        <v>775</v>
      </c>
      <c r="C325" s="2" t="s">
        <v>776</v>
      </c>
      <c r="D325" s="2" t="s">
        <v>22</v>
      </c>
      <c r="E325" s="2" t="s">
        <v>659</v>
      </c>
      <c r="F325" s="3" t="n">
        <v>0.00107</v>
      </c>
      <c r="G325" s="3" t="n">
        <f aca="false">SUM($F$2:F325)</f>
        <v>0.644406</v>
      </c>
      <c r="H325" s="4" t="n">
        <v>45.4</v>
      </c>
      <c r="I325" s="5" t="n">
        <v>40.177</v>
      </c>
      <c r="J325" s="4" t="n">
        <v>1.13</v>
      </c>
      <c r="K325" s="5" t="n">
        <v>5.2067</v>
      </c>
      <c r="L325" s="6" t="n">
        <v>0.3817</v>
      </c>
      <c r="M325" s="5" t="n">
        <f aca="false">IF(AND(N(K325)&gt;0,N(L325)&gt;0),K325/L325,"")</f>
        <v>13.6408173958606</v>
      </c>
      <c r="N325" s="2"/>
    </row>
    <row r="326" customFormat="false" ht="15" hidden="false" customHeight="false" outlineLevel="0" collapsed="false">
      <c r="A326" s="2" t="n">
        <v>325</v>
      </c>
      <c r="B326" s="2" t="s">
        <v>777</v>
      </c>
      <c r="C326" s="2" t="s">
        <v>778</v>
      </c>
      <c r="D326" s="2" t="s">
        <v>79</v>
      </c>
      <c r="E326" s="2" t="s">
        <v>276</v>
      </c>
      <c r="F326" s="3" t="n">
        <v>0.001068</v>
      </c>
      <c r="G326" s="3" t="n">
        <f aca="false">SUM($F$2:F326)</f>
        <v>0.645474</v>
      </c>
      <c r="H326" s="4" t="n">
        <v>34.32</v>
      </c>
      <c r="I326" s="5" t="n">
        <v>8.4741</v>
      </c>
      <c r="J326" s="4" t="n">
        <v>4.05</v>
      </c>
      <c r="K326" s="5" t="n">
        <v>4.5406</v>
      </c>
      <c r="L326" s="6" t="n">
        <v>2.7526</v>
      </c>
      <c r="M326" s="5" t="n">
        <f aca="false">IF(AND(N(K326)&gt;0,N(L326)&gt;0),K326/L326,"")</f>
        <v>1.6495676814648</v>
      </c>
      <c r="N326" s="2"/>
    </row>
    <row r="327" customFormat="false" ht="15" hidden="false" customHeight="false" outlineLevel="0" collapsed="false">
      <c r="A327" s="2" t="n">
        <v>326</v>
      </c>
      <c r="B327" s="2" t="s">
        <v>779</v>
      </c>
      <c r="C327" s="2" t="s">
        <v>780</v>
      </c>
      <c r="D327" s="2" t="s">
        <v>93</v>
      </c>
      <c r="E327" s="2" t="s">
        <v>781</v>
      </c>
      <c r="F327" s="3" t="n">
        <v>0.001067</v>
      </c>
      <c r="G327" s="3" t="n">
        <f aca="false">SUM($F$2:F327)</f>
        <v>0.646541</v>
      </c>
      <c r="H327" s="4" t="n">
        <v>63.04</v>
      </c>
      <c r="I327" s="5" t="n">
        <v>17.0378</v>
      </c>
      <c r="J327" s="4" t="n">
        <v>3.7</v>
      </c>
      <c r="K327" s="5" t="n">
        <v>3.8632</v>
      </c>
      <c r="L327" s="6" t="n">
        <v>0.9436</v>
      </c>
      <c r="M327" s="5" t="n">
        <f aca="false">IF(AND(N(K327)&gt;0,N(L327)&gt;0),K327/L327,"")</f>
        <v>4.09410767274269</v>
      </c>
      <c r="N327" s="2"/>
    </row>
    <row r="328" customFormat="false" ht="15" hidden="false" customHeight="false" outlineLevel="0" collapsed="false">
      <c r="A328" s="2" t="n">
        <v>327</v>
      </c>
      <c r="B328" s="2" t="s">
        <v>782</v>
      </c>
      <c r="C328" s="2" t="s">
        <v>783</v>
      </c>
      <c r="D328" s="2" t="s">
        <v>79</v>
      </c>
      <c r="E328" s="2" t="s">
        <v>155</v>
      </c>
      <c r="F328" s="3" t="n">
        <v>0.001067</v>
      </c>
      <c r="G328" s="3" t="n">
        <f aca="false">SUM($F$2:F328)</f>
        <v>0.647608</v>
      </c>
      <c r="H328" s="4" t="n">
        <v>201.47</v>
      </c>
      <c r="I328" s="5" t="n">
        <v>19.1511</v>
      </c>
      <c r="J328" s="4" t="n">
        <v>10.52</v>
      </c>
      <c r="K328" s="5" t="n">
        <v>7.5579</v>
      </c>
      <c r="L328" s="6" t="n">
        <v>2.9448</v>
      </c>
      <c r="M328" s="5" t="n">
        <f aca="false">IF(AND(N(K328)&gt;0,N(L328)&gt;0),K328/L328,"")</f>
        <v>2.56652404237979</v>
      </c>
      <c r="N328" s="2"/>
    </row>
    <row r="329" customFormat="false" ht="15" hidden="false" customHeight="false" outlineLevel="0" collapsed="false">
      <c r="A329" s="2" t="n">
        <v>328</v>
      </c>
      <c r="B329" s="2" t="s">
        <v>784</v>
      </c>
      <c r="C329" s="2" t="s">
        <v>785</v>
      </c>
      <c r="D329" s="2" t="s">
        <v>93</v>
      </c>
      <c r="E329" s="2" t="s">
        <v>269</v>
      </c>
      <c r="F329" s="3" t="n">
        <v>0.001066</v>
      </c>
      <c r="G329" s="3" t="n">
        <f aca="false">SUM($F$2:F329)</f>
        <v>0.648674</v>
      </c>
      <c r="H329" s="4" t="n">
        <v>22.13</v>
      </c>
      <c r="I329" s="5" t="n">
        <v>11.709</v>
      </c>
      <c r="J329" s="4" t="n">
        <v>1.89</v>
      </c>
      <c r="K329" s="5" t="n">
        <v>4.6624</v>
      </c>
      <c r="L329" s="6" t="n">
        <v>1.7752</v>
      </c>
      <c r="M329" s="5" t="n">
        <f aca="false">IF(AND(N(K329)&gt;0,N(L329)&gt;0),K329/L329,"")</f>
        <v>2.62640829202343</v>
      </c>
      <c r="N329" s="2"/>
    </row>
    <row r="330" customFormat="false" ht="15" hidden="false" customHeight="false" outlineLevel="0" collapsed="false">
      <c r="A330" s="2" t="n">
        <v>329</v>
      </c>
      <c r="B330" s="2" t="s">
        <v>786</v>
      </c>
      <c r="C330" s="2" t="s">
        <v>787</v>
      </c>
      <c r="D330" s="2" t="s">
        <v>22</v>
      </c>
      <c r="E330" s="2" t="s">
        <v>120</v>
      </c>
      <c r="F330" s="3" t="n">
        <v>0.001065</v>
      </c>
      <c r="G330" s="3" t="n">
        <f aca="false">SUM($F$2:F330)</f>
        <v>0.649739</v>
      </c>
      <c r="H330" s="4" t="n">
        <v>87.05</v>
      </c>
      <c r="I330" s="5" t="n">
        <v>1088.1251</v>
      </c>
      <c r="J330" s="4" t="n">
        <v>0.08</v>
      </c>
      <c r="K330" s="5" t="n">
        <v>5.5399</v>
      </c>
      <c r="L330" s="6" t="n">
        <v>2.833</v>
      </c>
      <c r="M330" s="5" t="n">
        <f aca="false">IF(AND(N(K330)&gt;0,N(L330)&gt;0),K330/L330,"")</f>
        <v>1.95548888104483</v>
      </c>
      <c r="N330" s="2" t="s">
        <v>343</v>
      </c>
    </row>
    <row r="331" customFormat="false" ht="15" hidden="false" customHeight="false" outlineLevel="0" collapsed="false">
      <c r="A331" s="2" t="n">
        <v>330</v>
      </c>
      <c r="B331" s="2" t="s">
        <v>788</v>
      </c>
      <c r="C331" s="2" t="s">
        <v>789</v>
      </c>
      <c r="D331" s="2" t="s">
        <v>79</v>
      </c>
      <c r="E331" s="2" t="s">
        <v>227</v>
      </c>
      <c r="F331" s="3" t="n">
        <v>0.001061</v>
      </c>
      <c r="G331" s="3" t="n">
        <f aca="false">SUM($F$2:F331)</f>
        <v>0.6508</v>
      </c>
      <c r="H331" s="4" t="n">
        <v>58.18</v>
      </c>
      <c r="I331" s="5" t="n">
        <v>10.8141</v>
      </c>
      <c r="J331" s="4" t="n">
        <v>5.38</v>
      </c>
      <c r="K331" s="5" t="n">
        <v>4.3437</v>
      </c>
      <c r="L331" s="6" t="n">
        <v>2.246</v>
      </c>
      <c r="M331" s="5" t="n">
        <f aca="false">IF(AND(N(K331)&gt;0,N(L331)&gt;0),K331/L331,"")</f>
        <v>1.9339715048976</v>
      </c>
      <c r="N331" s="2"/>
    </row>
    <row r="332" customFormat="false" ht="15" hidden="false" customHeight="false" outlineLevel="0" collapsed="false">
      <c r="A332" s="2" t="n">
        <v>331</v>
      </c>
      <c r="B332" s="2" t="s">
        <v>790</v>
      </c>
      <c r="C332" s="2" t="s">
        <v>791</v>
      </c>
      <c r="D332" s="2" t="s">
        <v>26</v>
      </c>
      <c r="E332" s="2" t="s">
        <v>103</v>
      </c>
      <c r="F332" s="3" t="n">
        <v>0.00106</v>
      </c>
      <c r="G332" s="3" t="n">
        <f aca="false">SUM($F$2:F332)</f>
        <v>0.65186</v>
      </c>
      <c r="H332" s="4" t="n">
        <v>36.18</v>
      </c>
      <c r="I332" s="5" t="n">
        <v>17.9109</v>
      </c>
      <c r="J332" s="4" t="n">
        <v>2.02</v>
      </c>
      <c r="K332" s="5" t="n">
        <v>5.1864</v>
      </c>
      <c r="L332" s="6" t="n">
        <v>1.733</v>
      </c>
      <c r="M332" s="5" t="n">
        <f aca="false">IF(AND(N(K332)&gt;0,N(L332)&gt;0),K332/L332,"")</f>
        <v>2.99272937103289</v>
      </c>
      <c r="N332" s="2"/>
    </row>
    <row r="333" customFormat="false" ht="15" hidden="false" customHeight="false" outlineLevel="0" collapsed="false">
      <c r="A333" s="2" t="n">
        <v>332</v>
      </c>
      <c r="B333" s="2" t="s">
        <v>792</v>
      </c>
      <c r="C333" s="2" t="s">
        <v>793</v>
      </c>
      <c r="D333" s="2" t="s">
        <v>62</v>
      </c>
      <c r="E333" s="2" t="s">
        <v>189</v>
      </c>
      <c r="F333" s="3" t="n">
        <v>0.001057</v>
      </c>
      <c r="G333" s="3" t="n">
        <f aca="false">SUM($F$2:F333)</f>
        <v>0.652917</v>
      </c>
      <c r="H333" s="4" t="n">
        <v>167.34</v>
      </c>
      <c r="I333" s="5" t="n">
        <v>32.9409</v>
      </c>
      <c r="J333" s="4" t="n">
        <v>5.08</v>
      </c>
      <c r="K333" s="5" t="n">
        <v>5.3345</v>
      </c>
      <c r="L333" s="6" t="n">
        <v>4.9126</v>
      </c>
      <c r="M333" s="5" t="n">
        <f aca="false">IF(AND(N(K333)&gt;0,N(L333)&gt;0),K333/L333,"")</f>
        <v>1.08588120343606</v>
      </c>
      <c r="N333" s="2"/>
    </row>
    <row r="334" customFormat="false" ht="15" hidden="false" customHeight="false" outlineLevel="0" collapsed="false">
      <c r="A334" s="2" t="n">
        <v>333</v>
      </c>
      <c r="B334" s="2" t="s">
        <v>794</v>
      </c>
      <c r="C334" s="2" t="s">
        <v>795</v>
      </c>
      <c r="D334" s="2" t="s">
        <v>66</v>
      </c>
      <c r="E334" s="2" t="s">
        <v>796</v>
      </c>
      <c r="F334" s="3" t="n">
        <v>0.001056</v>
      </c>
      <c r="G334" s="3" t="n">
        <f aca="false">SUM($F$2:F334)</f>
        <v>0.653973</v>
      </c>
      <c r="H334" s="4" t="n">
        <v>166.15</v>
      </c>
      <c r="I334" s="5" t="n">
        <v>31.5275</v>
      </c>
      <c r="J334" s="4" t="n">
        <v>5.27</v>
      </c>
      <c r="K334" s="5" t="n">
        <v>5.1188</v>
      </c>
      <c r="L334" s="6" t="n">
        <v>0.8711</v>
      </c>
      <c r="M334" s="5" t="n">
        <f aca="false">IF(AND(N(K334)&gt;0,N(L334)&gt;0),K334/L334,"")</f>
        <v>5.87624842153599</v>
      </c>
      <c r="N334" s="2"/>
    </row>
    <row r="335" customFormat="false" ht="15" hidden="false" customHeight="false" outlineLevel="0" collapsed="false">
      <c r="A335" s="2" t="n">
        <v>334</v>
      </c>
      <c r="B335" s="2" t="s">
        <v>797</v>
      </c>
      <c r="C335" s="2" t="s">
        <v>798</v>
      </c>
      <c r="D335" s="2" t="s">
        <v>93</v>
      </c>
      <c r="E335" s="2" t="s">
        <v>678</v>
      </c>
      <c r="F335" s="3" t="n">
        <v>0.001056</v>
      </c>
      <c r="G335" s="3" t="n">
        <f aca="false">SUM($F$2:F335)</f>
        <v>0.655029</v>
      </c>
      <c r="H335" s="4" t="n">
        <v>140.43</v>
      </c>
      <c r="I335" s="5" t="n">
        <v>30.2651</v>
      </c>
      <c r="J335" s="4" t="n">
        <v>4.64</v>
      </c>
      <c r="K335" s="5" t="n">
        <v>5.004</v>
      </c>
      <c r="L335" s="6" t="n">
        <v>1.7673</v>
      </c>
      <c r="M335" s="5" t="n">
        <f aca="false">IF(AND(N(K335)&gt;0,N(L335)&gt;0),K335/L335,"")</f>
        <v>2.83143778645391</v>
      </c>
      <c r="N335" s="2"/>
    </row>
    <row r="336" customFormat="false" ht="15" hidden="false" customHeight="false" outlineLevel="0" collapsed="false">
      <c r="A336" s="2" t="n">
        <v>335</v>
      </c>
      <c r="B336" s="2" t="s">
        <v>799</v>
      </c>
      <c r="C336" s="2" t="s">
        <v>800</v>
      </c>
      <c r="D336" s="2" t="s">
        <v>79</v>
      </c>
      <c r="E336" s="2" t="s">
        <v>80</v>
      </c>
      <c r="F336" s="3" t="n">
        <v>0.001055</v>
      </c>
      <c r="G336" s="3" t="n">
        <f aca="false">SUM($F$2:F336)</f>
        <v>0.656084</v>
      </c>
      <c r="H336" s="4" t="n">
        <v>39.1</v>
      </c>
      <c r="I336" s="5" t="n">
        <v>11.108</v>
      </c>
      <c r="J336" s="4" t="n">
        <v>3.52</v>
      </c>
      <c r="K336" s="5" t="n">
        <v>3.7499</v>
      </c>
      <c r="L336" s="6" t="n">
        <v>3.5825</v>
      </c>
      <c r="M336" s="5" t="n">
        <f aca="false">IF(AND(N(K336)&gt;0,N(L336)&gt;0),K336/L336,"")</f>
        <v>1.04672714584787</v>
      </c>
      <c r="N336" s="2"/>
    </row>
    <row r="337" customFormat="false" ht="15" hidden="false" customHeight="false" outlineLevel="0" collapsed="false">
      <c r="A337" s="2" t="n">
        <v>336</v>
      </c>
      <c r="B337" s="2" t="s">
        <v>801</v>
      </c>
      <c r="C337" s="2" t="s">
        <v>802</v>
      </c>
      <c r="D337" s="2" t="s">
        <v>33</v>
      </c>
      <c r="E337" s="2" t="s">
        <v>244</v>
      </c>
      <c r="F337" s="3" t="n">
        <v>0.001054</v>
      </c>
      <c r="G337" s="3" t="n">
        <f aca="false">SUM($F$2:F337)</f>
        <v>0.657138</v>
      </c>
      <c r="H337" s="4" t="n">
        <v>108.73</v>
      </c>
      <c r="I337" s="5" t="n">
        <v>52.5266</v>
      </c>
      <c r="J337" s="4" t="n">
        <v>2.07</v>
      </c>
      <c r="K337" s="5" t="n">
        <v>4.9469</v>
      </c>
      <c r="L337" s="6" t="n">
        <v>3.6589</v>
      </c>
      <c r="M337" s="5" t="n">
        <f aca="false">IF(AND(N(K337)&gt;0,N(L337)&gt;0),K337/L337,"")</f>
        <v>1.35201836617563</v>
      </c>
      <c r="N337" s="2"/>
    </row>
    <row r="338" customFormat="false" ht="15" hidden="false" customHeight="false" outlineLevel="0" collapsed="false">
      <c r="A338" s="2" t="n">
        <v>337</v>
      </c>
      <c r="B338" s="2" t="s">
        <v>803</v>
      </c>
      <c r="C338" s="2" t="s">
        <v>804</v>
      </c>
      <c r="D338" s="2" t="s">
        <v>22</v>
      </c>
      <c r="E338" s="2" t="s">
        <v>675</v>
      </c>
      <c r="F338" s="3" t="n">
        <v>0.001048</v>
      </c>
      <c r="G338" s="3" t="n">
        <f aca="false">SUM($F$2:F338)</f>
        <v>0.658186</v>
      </c>
      <c r="H338" s="4" t="n">
        <v>107.05</v>
      </c>
      <c r="I338" s="5" t="n">
        <v>24.7801</v>
      </c>
      <c r="J338" s="4" t="n">
        <v>4.32</v>
      </c>
      <c r="K338" s="5" t="n">
        <v>4.4084</v>
      </c>
      <c r="L338" s="6" t="n">
        <v>0.8043</v>
      </c>
      <c r="M338" s="5" t="n">
        <f aca="false">IF(AND(N(K338)&gt;0,N(L338)&gt;0),K338/L338,"")</f>
        <v>5.4810394131543</v>
      </c>
      <c r="N338" s="2"/>
    </row>
    <row r="339" customFormat="false" ht="15" hidden="false" customHeight="false" outlineLevel="0" collapsed="false">
      <c r="A339" s="2" t="n">
        <v>338</v>
      </c>
      <c r="B339" s="2" t="s">
        <v>805</v>
      </c>
      <c r="C339" s="2" t="s">
        <v>806</v>
      </c>
      <c r="D339" s="2" t="s">
        <v>22</v>
      </c>
      <c r="E339" s="2" t="s">
        <v>109</v>
      </c>
      <c r="F339" s="3" t="n">
        <v>0.001042</v>
      </c>
      <c r="G339" s="3" t="n">
        <f aca="false">SUM($F$2:F339)</f>
        <v>0.659228</v>
      </c>
      <c r="H339" s="4" t="n">
        <v>380.12</v>
      </c>
      <c r="I339" s="5" t="n">
        <v>30.0253</v>
      </c>
      <c r="J339" s="4" t="n">
        <v>12.66</v>
      </c>
      <c r="K339" s="5" t="n">
        <v>5.333</v>
      </c>
      <c r="L339" s="6" t="n">
        <v>4.4886</v>
      </c>
      <c r="M339" s="5" t="n">
        <f aca="false">IF(AND(N(K339)&gt;0,N(L339)&gt;0),K339/L339,"")</f>
        <v>1.18812101768926</v>
      </c>
      <c r="N339" s="2"/>
    </row>
    <row r="340" customFormat="false" ht="15" hidden="false" customHeight="false" outlineLevel="0" collapsed="false">
      <c r="A340" s="2" t="n">
        <v>339</v>
      </c>
      <c r="B340" s="2" t="s">
        <v>807</v>
      </c>
      <c r="C340" s="2" t="s">
        <v>808</v>
      </c>
      <c r="D340" s="2" t="s">
        <v>93</v>
      </c>
      <c r="E340" s="2" t="s">
        <v>539</v>
      </c>
      <c r="F340" s="3" t="n">
        <v>0.001041</v>
      </c>
      <c r="G340" s="3" t="n">
        <f aca="false">SUM($F$2:F340)</f>
        <v>0.660269</v>
      </c>
      <c r="H340" s="4" t="n">
        <v>73.48</v>
      </c>
      <c r="I340" s="5" t="n">
        <v>23.2532</v>
      </c>
      <c r="J340" s="4" t="n">
        <v>3.16</v>
      </c>
      <c r="K340" s="5" t="n">
        <v>6.7441</v>
      </c>
      <c r="L340" s="6" t="n">
        <v>2.2925</v>
      </c>
      <c r="M340" s="5" t="n">
        <f aca="false">IF(AND(N(K340)&gt;0,N(L340)&gt;0),K340/L340,"")</f>
        <v>2.94181025081788</v>
      </c>
      <c r="N340" s="2"/>
    </row>
    <row r="341" customFormat="false" ht="15" hidden="false" customHeight="false" outlineLevel="0" collapsed="false">
      <c r="A341" s="2" t="n">
        <v>340</v>
      </c>
      <c r="B341" s="2" t="s">
        <v>809</v>
      </c>
      <c r="C341" s="2" t="s">
        <v>810</v>
      </c>
      <c r="D341" s="2" t="s">
        <v>22</v>
      </c>
      <c r="E341" s="2" t="s">
        <v>439</v>
      </c>
      <c r="F341" s="3" t="n">
        <v>0.001039</v>
      </c>
      <c r="G341" s="3" t="n">
        <f aca="false">SUM($F$2:F341)</f>
        <v>0.661308</v>
      </c>
      <c r="H341" s="4" t="n">
        <v>41.9</v>
      </c>
      <c r="I341" s="5"/>
      <c r="J341" s="4" t="n">
        <v>-1.61</v>
      </c>
      <c r="K341" s="5" t="n">
        <v>4.6762</v>
      </c>
      <c r="L341" s="6" t="n">
        <v>0.3167</v>
      </c>
      <c r="M341" s="5" t="n">
        <f aca="false">IF(AND(N(K341)&gt;0,N(L341)&gt;0),K341/L341,"")</f>
        <v>14.7653931165141</v>
      </c>
      <c r="N341" s="2" t="s">
        <v>50</v>
      </c>
    </row>
    <row r="342" customFormat="false" ht="15" hidden="false" customHeight="false" outlineLevel="0" collapsed="false">
      <c r="A342" s="2" t="n">
        <v>341</v>
      </c>
      <c r="B342" s="2" t="s">
        <v>811</v>
      </c>
      <c r="C342" s="2" t="s">
        <v>812</v>
      </c>
      <c r="D342" s="2" t="s">
        <v>16</v>
      </c>
      <c r="E342" s="2" t="s">
        <v>43</v>
      </c>
      <c r="F342" s="3" t="n">
        <v>0.001023</v>
      </c>
      <c r="G342" s="3" t="n">
        <f aca="false">SUM($F$2:F342)</f>
        <v>0.662331</v>
      </c>
      <c r="H342" s="4" t="n">
        <v>84.08</v>
      </c>
      <c r="I342" s="5" t="n">
        <v>38.3927</v>
      </c>
      <c r="J342" s="4" t="n">
        <v>2.19</v>
      </c>
      <c r="K342" s="5" t="n">
        <v>4.3998</v>
      </c>
      <c r="L342" s="6" t="n">
        <v>4.6304</v>
      </c>
      <c r="M342" s="5" t="n">
        <f aca="false">IF(AND(N(K342)&gt;0,N(L342)&gt;0),K342/L342,"")</f>
        <v>0.950198686938493</v>
      </c>
      <c r="N342" s="2"/>
    </row>
    <row r="343" customFormat="false" ht="15" hidden="false" customHeight="false" outlineLevel="0" collapsed="false">
      <c r="A343" s="2" t="n">
        <v>342</v>
      </c>
      <c r="B343" s="2" t="s">
        <v>813</v>
      </c>
      <c r="C343" s="2" t="s">
        <v>814</v>
      </c>
      <c r="D343" s="2" t="s">
        <v>22</v>
      </c>
      <c r="E343" s="2" t="s">
        <v>815</v>
      </c>
      <c r="F343" s="3" t="n">
        <v>0.001022</v>
      </c>
      <c r="G343" s="3" t="n">
        <f aca="false">SUM($F$2:F343)</f>
        <v>0.663353</v>
      </c>
      <c r="H343" s="4" t="n">
        <v>46.2</v>
      </c>
      <c r="I343" s="5" t="n">
        <v>28.6957</v>
      </c>
      <c r="J343" s="4" t="n">
        <v>1.61</v>
      </c>
      <c r="K343" s="5" t="n">
        <v>7.6629</v>
      </c>
      <c r="L343" s="6" t="n">
        <v>4.2891</v>
      </c>
      <c r="M343" s="5" t="n">
        <f aca="false">IF(AND(N(K343)&gt;0,N(L343)&gt;0),K343/L343,"")</f>
        <v>1.78659858711618</v>
      </c>
      <c r="N343" s="2"/>
    </row>
    <row r="344" customFormat="false" ht="15" hidden="false" customHeight="false" outlineLevel="0" collapsed="false">
      <c r="A344" s="2" t="n">
        <v>343</v>
      </c>
      <c r="B344" s="2" t="s">
        <v>816</v>
      </c>
      <c r="C344" s="2" t="s">
        <v>817</v>
      </c>
      <c r="D344" s="2" t="s">
        <v>26</v>
      </c>
      <c r="E344" s="2" t="s">
        <v>103</v>
      </c>
      <c r="F344" s="3" t="n">
        <v>0.001021</v>
      </c>
      <c r="G344" s="3" t="n">
        <f aca="false">SUM($F$2:F344)</f>
        <v>0.664374</v>
      </c>
      <c r="H344" s="4" t="n">
        <v>32.78</v>
      </c>
      <c r="I344" s="5" t="n">
        <v>5.3128</v>
      </c>
      <c r="J344" s="4" t="n">
        <v>6.17</v>
      </c>
      <c r="K344" s="5" t="n">
        <v>4.8496</v>
      </c>
      <c r="L344" s="6" t="n">
        <v>2.2662</v>
      </c>
      <c r="M344" s="5" t="n">
        <f aca="false">IF(AND(N(K344)&gt;0,N(L344)&gt;0),K344/L344,"")</f>
        <v>2.13996999382226</v>
      </c>
      <c r="N344" s="2"/>
    </row>
    <row r="345" customFormat="false" ht="15" hidden="false" customHeight="false" outlineLevel="0" collapsed="false">
      <c r="A345" s="2" t="n">
        <v>344</v>
      </c>
      <c r="B345" s="2" t="s">
        <v>818</v>
      </c>
      <c r="C345" s="2" t="s">
        <v>819</v>
      </c>
      <c r="D345" s="2" t="s">
        <v>16</v>
      </c>
      <c r="E345" s="2" t="s">
        <v>449</v>
      </c>
      <c r="F345" s="3" t="n">
        <v>0.00102</v>
      </c>
      <c r="G345" s="3" t="n">
        <f aca="false">SUM($F$2:F345)</f>
        <v>0.665394</v>
      </c>
      <c r="H345" s="4" t="n">
        <v>76.38</v>
      </c>
      <c r="I345" s="5"/>
      <c r="J345" s="4" t="n">
        <v>-0.2</v>
      </c>
      <c r="K345" s="5" t="n">
        <v>10.5218</v>
      </c>
      <c r="L345" s="6" t="n">
        <v>2.2746</v>
      </c>
      <c r="M345" s="5" t="n">
        <f aca="false">IF(AND(N(K345)&gt;0,N(L345)&gt;0),K345/L345,"")</f>
        <v>4.62578035698584</v>
      </c>
      <c r="N345" s="2" t="s">
        <v>50</v>
      </c>
    </row>
    <row r="346" customFormat="false" ht="15" hidden="false" customHeight="false" outlineLevel="0" collapsed="false">
      <c r="A346" s="2" t="n">
        <v>345</v>
      </c>
      <c r="B346" s="2" t="s">
        <v>820</v>
      </c>
      <c r="C346" s="2" t="s">
        <v>821</v>
      </c>
      <c r="D346" s="2" t="s">
        <v>26</v>
      </c>
      <c r="E346" s="2" t="s">
        <v>822</v>
      </c>
      <c r="F346" s="3" t="n">
        <v>0.001012</v>
      </c>
      <c r="G346" s="3" t="n">
        <f aca="false">SUM($F$2:F346)</f>
        <v>0.666406</v>
      </c>
      <c r="H346" s="4" t="n">
        <v>90.75</v>
      </c>
      <c r="I346" s="5" t="n">
        <v>45.603</v>
      </c>
      <c r="J346" s="4" t="n">
        <v>1.99</v>
      </c>
      <c r="K346" s="5" t="n">
        <v>4.5045</v>
      </c>
      <c r="L346" s="6" t="n">
        <v>1.0548</v>
      </c>
      <c r="M346" s="5" t="n">
        <f aca="false">IF(AND(N(K346)&gt;0,N(L346)&gt;0),K346/L346,"")</f>
        <v>4.27047781569966</v>
      </c>
      <c r="N346" s="2"/>
    </row>
    <row r="347" customFormat="false" ht="15" hidden="false" customHeight="false" outlineLevel="0" collapsed="false">
      <c r="A347" s="2" t="n">
        <v>346</v>
      </c>
      <c r="B347" s="2" t="s">
        <v>823</v>
      </c>
      <c r="C347" s="2" t="s">
        <v>824</v>
      </c>
      <c r="D347" s="2" t="s">
        <v>33</v>
      </c>
      <c r="E347" s="2" t="s">
        <v>49</v>
      </c>
      <c r="F347" s="3" t="n">
        <v>0.00101</v>
      </c>
      <c r="G347" s="3" t="n">
        <f aca="false">SUM($F$2:F347)</f>
        <v>0.667416</v>
      </c>
      <c r="H347" s="4" t="n">
        <v>65.26</v>
      </c>
      <c r="I347" s="5"/>
      <c r="J347" s="4" t="n">
        <v>-0.67</v>
      </c>
      <c r="K347" s="5" t="n">
        <v>5.4467</v>
      </c>
      <c r="L347" s="6" t="n">
        <v>5.3994</v>
      </c>
      <c r="M347" s="5" t="n">
        <f aca="false">IF(AND(N(K347)&gt;0,N(L347)&gt;0),K347/L347,"")</f>
        <v>1.00876023261844</v>
      </c>
      <c r="N347" s="2" t="s">
        <v>50</v>
      </c>
    </row>
    <row r="348" customFormat="false" ht="15" hidden="false" customHeight="false" outlineLevel="0" collapsed="false">
      <c r="A348" s="2" t="n">
        <v>347</v>
      </c>
      <c r="B348" s="2" t="s">
        <v>825</v>
      </c>
      <c r="C348" s="2" t="s">
        <v>826</v>
      </c>
      <c r="D348" s="2" t="s">
        <v>22</v>
      </c>
      <c r="E348" s="2" t="s">
        <v>83</v>
      </c>
      <c r="F348" s="3" t="n">
        <v>0.001009</v>
      </c>
      <c r="G348" s="3" t="n">
        <f aca="false">SUM($F$2:F348)</f>
        <v>0.668425</v>
      </c>
      <c r="H348" s="4" t="n">
        <v>110.52</v>
      </c>
      <c r="I348" s="5" t="n">
        <v>29.7898</v>
      </c>
      <c r="J348" s="4" t="n">
        <v>3.71</v>
      </c>
      <c r="K348" s="5" t="n">
        <v>5.7334</v>
      </c>
      <c r="L348" s="6" t="n">
        <v>1.4603</v>
      </c>
      <c r="M348" s="5" t="n">
        <f aca="false">IF(AND(N(K348)&gt;0,N(L348)&gt;0),K348/L348,"")</f>
        <v>3.92617955214682</v>
      </c>
      <c r="N348" s="2"/>
    </row>
    <row r="349" customFormat="false" ht="15" hidden="false" customHeight="false" outlineLevel="0" collapsed="false">
      <c r="A349" s="2" t="n">
        <v>348</v>
      </c>
      <c r="B349" s="2" t="s">
        <v>827</v>
      </c>
      <c r="C349" s="2" t="s">
        <v>828</v>
      </c>
      <c r="D349" s="2" t="s">
        <v>79</v>
      </c>
      <c r="E349" s="2" t="s">
        <v>80</v>
      </c>
      <c r="F349" s="3" t="n">
        <v>0.001008</v>
      </c>
      <c r="G349" s="3" t="n">
        <f aca="false">SUM($F$2:F349)</f>
        <v>0.669433</v>
      </c>
      <c r="H349" s="4" t="n">
        <v>90.63</v>
      </c>
      <c r="I349" s="5" t="n">
        <v>10.6875</v>
      </c>
      <c r="J349" s="4" t="n">
        <v>8.48</v>
      </c>
      <c r="K349" s="5" t="n">
        <v>5.1418</v>
      </c>
      <c r="L349" s="6" t="n">
        <v>3.7276</v>
      </c>
      <c r="M349" s="5" t="n">
        <f aca="false">IF(AND(N(K349)&gt;0,N(L349)&gt;0),K349/L349,"")</f>
        <v>1.37938620023608</v>
      </c>
      <c r="N349" s="2"/>
    </row>
    <row r="350" customFormat="false" ht="15" hidden="false" customHeight="false" outlineLevel="0" collapsed="false">
      <c r="A350" s="2" t="n">
        <v>349</v>
      </c>
      <c r="B350" s="2" t="s">
        <v>829</v>
      </c>
      <c r="C350" s="2" t="s">
        <v>830</v>
      </c>
      <c r="D350" s="2" t="s">
        <v>33</v>
      </c>
      <c r="E350" s="2" t="s">
        <v>49</v>
      </c>
      <c r="F350" s="3" t="n">
        <v>0.001007</v>
      </c>
      <c r="G350" s="3" t="n">
        <f aca="false">SUM($F$2:F350)</f>
        <v>0.67044</v>
      </c>
      <c r="H350" s="4" t="n">
        <v>57.16</v>
      </c>
      <c r="I350" s="5" t="n">
        <v>20.8613</v>
      </c>
      <c r="J350" s="4" t="n">
        <v>2.74</v>
      </c>
      <c r="K350" s="5" t="n">
        <v>8.7503</v>
      </c>
      <c r="L350" s="6" t="n">
        <v>10.9442</v>
      </c>
      <c r="M350" s="5" t="n">
        <f aca="false">IF(AND(N(K350)&gt;0,N(L350)&gt;0),K350/L350,"")</f>
        <v>0.799537654648124</v>
      </c>
      <c r="N350" s="2"/>
    </row>
    <row r="351" customFormat="false" ht="15" hidden="false" customHeight="false" outlineLevel="0" collapsed="false">
      <c r="A351" s="2" t="n">
        <v>350</v>
      </c>
      <c r="B351" s="2" t="s">
        <v>831</v>
      </c>
      <c r="C351" s="2" t="s">
        <v>832</v>
      </c>
      <c r="D351" s="2" t="s">
        <v>22</v>
      </c>
      <c r="E351" s="2" t="s">
        <v>40</v>
      </c>
      <c r="F351" s="3" t="n">
        <v>0.001003</v>
      </c>
      <c r="G351" s="3" t="n">
        <f aca="false">SUM($F$2:F351)</f>
        <v>0.671443</v>
      </c>
      <c r="H351" s="4" t="n">
        <v>160.9</v>
      </c>
      <c r="I351" s="5"/>
      <c r="J351" s="4" t="n">
        <v>-4.05</v>
      </c>
      <c r="K351" s="5" t="n">
        <v>8.1771</v>
      </c>
      <c r="L351" s="6" t="n">
        <v>4.0831</v>
      </c>
      <c r="M351" s="5" t="n">
        <f aca="false">IF(AND(N(K351)&gt;0,N(L351)&gt;0),K351/L351,"")</f>
        <v>2.00266954030026</v>
      </c>
      <c r="N351" s="2" t="s">
        <v>50</v>
      </c>
    </row>
    <row r="352" customFormat="false" ht="15" hidden="false" customHeight="false" outlineLevel="0" collapsed="false">
      <c r="A352" s="2" t="n">
        <v>351</v>
      </c>
      <c r="B352" s="2" t="s">
        <v>833</v>
      </c>
      <c r="C352" s="2" t="s">
        <v>834</v>
      </c>
      <c r="D352" s="2" t="s">
        <v>93</v>
      </c>
      <c r="E352" s="2" t="s">
        <v>835</v>
      </c>
      <c r="F352" s="3" t="n">
        <v>0.001003</v>
      </c>
      <c r="G352" s="3" t="n">
        <f aca="false">SUM($F$2:F352)</f>
        <v>0.672446</v>
      </c>
      <c r="H352" s="4" t="n">
        <v>47.25</v>
      </c>
      <c r="I352" s="5" t="n">
        <v>22.0794</v>
      </c>
      <c r="J352" s="4" t="n">
        <v>2.14</v>
      </c>
      <c r="K352" s="5" t="n">
        <v>5.0317</v>
      </c>
      <c r="L352" s="6" t="n">
        <v>1.0679</v>
      </c>
      <c r="M352" s="5" t="n">
        <f aca="false">IF(AND(N(K352)&gt;0,N(L352)&gt;0),K352/L352,"")</f>
        <v>4.71177076505291</v>
      </c>
      <c r="N352" s="2"/>
    </row>
    <row r="353" customFormat="false" ht="15" hidden="false" customHeight="false" outlineLevel="0" collapsed="false">
      <c r="A353" s="2" t="n">
        <v>352</v>
      </c>
      <c r="B353" s="2" t="s">
        <v>836</v>
      </c>
      <c r="C353" s="2" t="s">
        <v>837</v>
      </c>
      <c r="D353" s="2" t="s">
        <v>66</v>
      </c>
      <c r="E353" s="2" t="s">
        <v>67</v>
      </c>
      <c r="F353" s="3" t="n">
        <v>0.001</v>
      </c>
      <c r="G353" s="3" t="n">
        <f aca="false">SUM($F$2:F353)</f>
        <v>0.673446</v>
      </c>
      <c r="H353" s="4" t="n">
        <v>27.44</v>
      </c>
      <c r="I353" s="5" t="n">
        <v>11.0201</v>
      </c>
      <c r="J353" s="4" t="n">
        <v>2.49</v>
      </c>
      <c r="K353" s="5" t="n">
        <v>9.2491</v>
      </c>
      <c r="L353" s="6" t="n">
        <v>1.0751</v>
      </c>
      <c r="M353" s="5" t="n">
        <f aca="false">IF(AND(N(K353)&gt;0,N(L353)&gt;0),K353/L353,"")</f>
        <v>8.60301367314668</v>
      </c>
      <c r="N353" s="2"/>
    </row>
    <row r="354" customFormat="false" ht="15" hidden="false" customHeight="false" outlineLevel="0" collapsed="false">
      <c r="A354" s="2" t="n">
        <v>353</v>
      </c>
      <c r="B354" s="2" t="s">
        <v>838</v>
      </c>
      <c r="C354" s="2" t="s">
        <v>839</v>
      </c>
      <c r="D354" s="2" t="s">
        <v>22</v>
      </c>
      <c r="E354" s="2" t="s">
        <v>109</v>
      </c>
      <c r="F354" s="3" t="n">
        <v>0.000996</v>
      </c>
      <c r="G354" s="3" t="n">
        <f aca="false">SUM($F$2:F354)</f>
        <v>0.674442</v>
      </c>
      <c r="H354" s="4" t="n">
        <v>35.74</v>
      </c>
      <c r="I354" s="5" t="n">
        <v>10.7651</v>
      </c>
      <c r="J354" s="4" t="n">
        <v>3.32</v>
      </c>
      <c r="K354" s="5" t="n">
        <v>4.5057</v>
      </c>
      <c r="L354" s="6" t="n">
        <v>0.5834</v>
      </c>
      <c r="M354" s="5" t="n">
        <f aca="false">IF(AND(N(K354)&gt;0,N(L354)&gt;0),K354/L354,"")</f>
        <v>7.7231744943435</v>
      </c>
      <c r="N354" s="2"/>
    </row>
    <row r="355" customFormat="false" ht="15" hidden="false" customHeight="false" outlineLevel="0" collapsed="false">
      <c r="A355" s="2" t="n">
        <v>354</v>
      </c>
      <c r="B355" s="2" t="s">
        <v>840</v>
      </c>
      <c r="C355" s="2" t="s">
        <v>841</v>
      </c>
      <c r="D355" s="2" t="s">
        <v>93</v>
      </c>
      <c r="E355" s="2" t="s">
        <v>186</v>
      </c>
      <c r="F355" s="3" t="n">
        <v>0.000996</v>
      </c>
      <c r="G355" s="3" t="n">
        <f aca="false">SUM($F$2:F355)</f>
        <v>0.675438</v>
      </c>
      <c r="H355" s="4" t="n">
        <v>49.25</v>
      </c>
      <c r="I355" s="5" t="n">
        <v>7.6121</v>
      </c>
      <c r="J355" s="4" t="n">
        <v>6.47</v>
      </c>
      <c r="K355" s="5" t="n">
        <v>4.8696</v>
      </c>
      <c r="L355" s="6" t="n">
        <v>0.6527</v>
      </c>
      <c r="M355" s="5" t="n">
        <f aca="false">IF(AND(N(K355)&gt;0,N(L355)&gt;0),K355/L355,"")</f>
        <v>7.46070170062816</v>
      </c>
      <c r="N355" s="2"/>
    </row>
    <row r="356" customFormat="false" ht="15" hidden="false" customHeight="false" outlineLevel="0" collapsed="false">
      <c r="A356" s="2" t="n">
        <v>355</v>
      </c>
      <c r="B356" s="2" t="s">
        <v>842</v>
      </c>
      <c r="C356" s="2" t="s">
        <v>843</v>
      </c>
      <c r="D356" s="2" t="s">
        <v>79</v>
      </c>
      <c r="E356" s="2" t="s">
        <v>227</v>
      </c>
      <c r="F356" s="3" t="n">
        <v>0.000996</v>
      </c>
      <c r="G356" s="3" t="n">
        <f aca="false">SUM($F$2:F356)</f>
        <v>0.676434</v>
      </c>
      <c r="H356" s="4" t="n">
        <v>107.76</v>
      </c>
      <c r="I356" s="5" t="n">
        <v>19.5927</v>
      </c>
      <c r="J356" s="4" t="n">
        <v>5.5</v>
      </c>
      <c r="K356" s="5" t="n">
        <v>6.6283</v>
      </c>
      <c r="L356" s="6" t="n">
        <v>4.2525</v>
      </c>
      <c r="M356" s="5" t="n">
        <f aca="false">IF(AND(N(K356)&gt;0,N(L356)&gt;0),K356/L356,"")</f>
        <v>1.55868312757202</v>
      </c>
      <c r="N356" s="2"/>
    </row>
    <row r="357" customFormat="false" ht="15" hidden="false" customHeight="false" outlineLevel="0" collapsed="false">
      <c r="A357" s="2" t="n">
        <v>356</v>
      </c>
      <c r="B357" s="2" t="s">
        <v>844</v>
      </c>
      <c r="C357" s="2" t="s">
        <v>845</v>
      </c>
      <c r="D357" s="2" t="s">
        <v>93</v>
      </c>
      <c r="E357" s="2" t="s">
        <v>846</v>
      </c>
      <c r="F357" s="3" t="n">
        <v>0.000995</v>
      </c>
      <c r="G357" s="3" t="n">
        <f aca="false">SUM($F$2:F357)</f>
        <v>0.677429</v>
      </c>
      <c r="H357" s="4" t="n">
        <v>98.63</v>
      </c>
      <c r="I357" s="5" t="n">
        <v>11.4553</v>
      </c>
      <c r="J357" s="4" t="n">
        <v>8.61</v>
      </c>
      <c r="K357" s="5" t="n">
        <v>3.7792</v>
      </c>
      <c r="L357" s="6" t="n">
        <v>0.5543</v>
      </c>
      <c r="M357" s="5" t="n">
        <f aca="false">IF(AND(N(K357)&gt;0,N(L357)&gt;0),K357/L357,"")</f>
        <v>6.81796860905647</v>
      </c>
      <c r="N357" s="2"/>
    </row>
    <row r="358" customFormat="false" ht="15" hidden="false" customHeight="false" outlineLevel="0" collapsed="false">
      <c r="A358" s="2" t="n">
        <v>357</v>
      </c>
      <c r="B358" s="2" t="s">
        <v>847</v>
      </c>
      <c r="C358" s="2" t="s">
        <v>848</v>
      </c>
      <c r="D358" s="2" t="s">
        <v>79</v>
      </c>
      <c r="E358" s="2" t="s">
        <v>360</v>
      </c>
      <c r="F358" s="3" t="n">
        <v>0.000993</v>
      </c>
      <c r="G358" s="3" t="n">
        <f aca="false">SUM($F$2:F358)</f>
        <v>0.678422</v>
      </c>
      <c r="H358" s="4" t="n">
        <v>59.07</v>
      </c>
      <c r="I358" s="5" t="n">
        <v>12.4097</v>
      </c>
      <c r="J358" s="4" t="n">
        <v>4.76</v>
      </c>
      <c r="K358" s="5" t="n">
        <v>5.421</v>
      </c>
      <c r="L358" s="6" t="n">
        <v>2.7457</v>
      </c>
      <c r="M358" s="5" t="n">
        <f aca="false">IF(AND(N(K358)&gt;0,N(L358)&gt;0),K358/L358,"")</f>
        <v>1.97435990822013</v>
      </c>
      <c r="N358" s="2"/>
    </row>
    <row r="359" customFormat="false" ht="15" hidden="false" customHeight="false" outlineLevel="0" collapsed="false">
      <c r="A359" s="2" t="n">
        <v>358</v>
      </c>
      <c r="B359" s="2" t="s">
        <v>849</v>
      </c>
      <c r="C359" s="2" t="s">
        <v>850</v>
      </c>
      <c r="D359" s="2" t="s">
        <v>86</v>
      </c>
      <c r="E359" s="2" t="s">
        <v>442</v>
      </c>
      <c r="F359" s="3" t="n">
        <v>0.00099</v>
      </c>
      <c r="G359" s="3" t="n">
        <f aca="false">SUM($F$2:F359)</f>
        <v>0.679412</v>
      </c>
      <c r="H359" s="4" t="n">
        <v>22.58</v>
      </c>
      <c r="I359" s="5"/>
      <c r="J359" s="4" t="n">
        <v>-0.66</v>
      </c>
      <c r="K359" s="5" t="n">
        <v>6.6618</v>
      </c>
      <c r="L359" s="6" t="n">
        <v>6.4841</v>
      </c>
      <c r="M359" s="5" t="n">
        <f aca="false">IF(AND(N(K359)&gt;0,N(L359)&gt;0),K359/L359,"")</f>
        <v>1.02740549960673</v>
      </c>
      <c r="N359" s="2" t="s">
        <v>50</v>
      </c>
    </row>
    <row r="360" customFormat="false" ht="15" hidden="false" customHeight="false" outlineLevel="0" collapsed="false">
      <c r="A360" s="2" t="n">
        <v>359</v>
      </c>
      <c r="B360" s="2" t="s">
        <v>851</v>
      </c>
      <c r="C360" s="2" t="s">
        <v>852</v>
      </c>
      <c r="D360" s="2" t="s">
        <v>26</v>
      </c>
      <c r="E360" s="2" t="s">
        <v>774</v>
      </c>
      <c r="F360" s="3" t="n">
        <v>0.00099</v>
      </c>
      <c r="G360" s="3" t="n">
        <f aca="false">SUM($F$2:F360)</f>
        <v>0.680402</v>
      </c>
      <c r="H360" s="4" t="n">
        <v>81.79</v>
      </c>
      <c r="I360" s="5" t="n">
        <v>6.1682</v>
      </c>
      <c r="J360" s="4" t="n">
        <v>13.26</v>
      </c>
      <c r="K360" s="5" t="n">
        <v>5.6792</v>
      </c>
      <c r="L360" s="6" t="n">
        <v>2.6567</v>
      </c>
      <c r="M360" s="5" t="n">
        <f aca="false">IF(AND(N(K360)&gt;0,N(L360)&gt;0),K360/L360,"")</f>
        <v>2.13768961493582</v>
      </c>
      <c r="N360" s="2"/>
    </row>
    <row r="361" customFormat="false" ht="15" hidden="false" customHeight="false" outlineLevel="0" collapsed="false">
      <c r="A361" s="2" t="n">
        <v>360</v>
      </c>
      <c r="B361" s="2" t="s">
        <v>853</v>
      </c>
      <c r="C361" s="2" t="s">
        <v>854</v>
      </c>
      <c r="D361" s="2" t="s">
        <v>22</v>
      </c>
      <c r="E361" s="2" t="s">
        <v>439</v>
      </c>
      <c r="F361" s="3" t="n">
        <v>0.000987</v>
      </c>
      <c r="G361" s="3" t="n">
        <f aca="false">SUM($F$2:F361)</f>
        <v>0.681389</v>
      </c>
      <c r="H361" s="4" t="n">
        <v>100.2</v>
      </c>
      <c r="I361" s="5" t="n">
        <v>9.9503</v>
      </c>
      <c r="J361" s="4" t="n">
        <v>10.07</v>
      </c>
      <c r="K361" s="5" t="n">
        <v>3.8906</v>
      </c>
      <c r="L361" s="6" t="n">
        <v>0.9284</v>
      </c>
      <c r="M361" s="5" t="n">
        <f aca="false">IF(AND(N(K361)&gt;0,N(L361)&gt;0),K361/L361,"")</f>
        <v>4.19065058164584</v>
      </c>
      <c r="N361" s="2"/>
    </row>
    <row r="362" customFormat="false" ht="15" hidden="false" customHeight="false" outlineLevel="0" collapsed="false">
      <c r="A362" s="2" t="n">
        <v>361</v>
      </c>
      <c r="B362" s="2" t="s">
        <v>855</v>
      </c>
      <c r="C362" s="2" t="s">
        <v>856</v>
      </c>
      <c r="D362" s="2" t="s">
        <v>22</v>
      </c>
      <c r="E362" s="2" t="s">
        <v>259</v>
      </c>
      <c r="F362" s="3" t="n">
        <v>0.000986</v>
      </c>
      <c r="G362" s="3" t="n">
        <f aca="false">SUM($F$2:F362)</f>
        <v>0.682375</v>
      </c>
      <c r="H362" s="4" t="n">
        <v>39.6</v>
      </c>
      <c r="I362" s="5" t="n">
        <v>31.9355</v>
      </c>
      <c r="J362" s="4" t="n">
        <v>1.24</v>
      </c>
      <c r="K362" s="5" t="n">
        <v>4.724</v>
      </c>
      <c r="L362" s="6" t="n">
        <v>1.0756</v>
      </c>
      <c r="M362" s="5" t="n">
        <f aca="false">IF(AND(N(K362)&gt;0,N(L362)&gt;0),K362/L362,"")</f>
        <v>4.39196727407958</v>
      </c>
      <c r="N362" s="2"/>
    </row>
    <row r="363" customFormat="false" ht="15" hidden="false" customHeight="false" outlineLevel="0" collapsed="false">
      <c r="A363" s="2" t="n">
        <v>362</v>
      </c>
      <c r="B363" s="2" t="s">
        <v>857</v>
      </c>
      <c r="C363" s="2" t="s">
        <v>858</v>
      </c>
      <c r="D363" s="2" t="s">
        <v>79</v>
      </c>
      <c r="E363" s="2" t="s">
        <v>360</v>
      </c>
      <c r="F363" s="3" t="n">
        <v>0.000985</v>
      </c>
      <c r="G363" s="3" t="n">
        <f aca="false">SUM($F$2:F363)</f>
        <v>0.68336</v>
      </c>
      <c r="H363" s="4" t="n">
        <v>87.78</v>
      </c>
      <c r="I363" s="5" t="n">
        <v>10.8908</v>
      </c>
      <c r="J363" s="4" t="n">
        <v>8.06</v>
      </c>
      <c r="K363" s="5" t="n">
        <v>5.229</v>
      </c>
      <c r="L363" s="6" t="n">
        <v>0.9558</v>
      </c>
      <c r="M363" s="5" t="n">
        <f aca="false">IF(AND(N(K363)&gt;0,N(L363)&gt;0),K363/L363,"")</f>
        <v>5.47080979284369</v>
      </c>
      <c r="N363" s="2"/>
    </row>
    <row r="364" customFormat="false" ht="15" hidden="false" customHeight="false" outlineLevel="0" collapsed="false">
      <c r="A364" s="2" t="n">
        <v>363</v>
      </c>
      <c r="B364" s="2" t="s">
        <v>859</v>
      </c>
      <c r="C364" s="2" t="s">
        <v>860</v>
      </c>
      <c r="D364" s="2" t="s">
        <v>62</v>
      </c>
      <c r="E364" s="2" t="s">
        <v>530</v>
      </c>
      <c r="F364" s="3" t="n">
        <v>0.000985</v>
      </c>
      <c r="G364" s="3" t="n">
        <f aca="false">SUM($F$2:F364)</f>
        <v>0.684345</v>
      </c>
      <c r="H364" s="4" t="n">
        <v>80.27</v>
      </c>
      <c r="I364" s="5" t="n">
        <v>18.3265</v>
      </c>
      <c r="J364" s="4" t="n">
        <v>4.38</v>
      </c>
      <c r="K364" s="5" t="n">
        <v>4.4278</v>
      </c>
      <c r="L364" s="6" t="n">
        <v>0.7103</v>
      </c>
      <c r="M364" s="5" t="n">
        <f aca="false">IF(AND(N(K364)&gt;0,N(L364)&gt;0),K364/L364,"")</f>
        <v>6.23370406870337</v>
      </c>
      <c r="N364" s="2"/>
    </row>
    <row r="365" customFormat="false" ht="15" hidden="false" customHeight="false" outlineLevel="0" collapsed="false">
      <c r="A365" s="2" t="n">
        <v>364</v>
      </c>
      <c r="B365" s="2" t="s">
        <v>861</v>
      </c>
      <c r="C365" s="2" t="s">
        <v>862</v>
      </c>
      <c r="D365" s="2" t="s">
        <v>171</v>
      </c>
      <c r="E365" s="2" t="s">
        <v>399</v>
      </c>
      <c r="F365" s="3" t="n">
        <v>0.000984</v>
      </c>
      <c r="G365" s="3" t="n">
        <f aca="false">SUM($F$2:F365)</f>
        <v>0.685329</v>
      </c>
      <c r="H365" s="4" t="n">
        <v>58.57</v>
      </c>
      <c r="I365" s="5" t="n">
        <v>32.0055</v>
      </c>
      <c r="J365" s="4" t="n">
        <v>1.83</v>
      </c>
      <c r="K365" s="5" t="n">
        <v>6.4501</v>
      </c>
      <c r="L365" s="6" t="n">
        <v>2.8873</v>
      </c>
      <c r="M365" s="5" t="n">
        <f aca="false">IF(AND(N(K365)&gt;0,N(L365)&gt;0),K365/L365,"")</f>
        <v>2.23395559865618</v>
      </c>
      <c r="N365" s="2"/>
    </row>
    <row r="366" customFormat="false" ht="15" hidden="false" customHeight="false" outlineLevel="0" collapsed="false">
      <c r="A366" s="2" t="n">
        <v>365</v>
      </c>
      <c r="B366" s="2" t="s">
        <v>863</v>
      </c>
      <c r="C366" s="2" t="s">
        <v>864</v>
      </c>
      <c r="D366" s="2" t="s">
        <v>22</v>
      </c>
      <c r="E366" s="2" t="s">
        <v>83</v>
      </c>
      <c r="F366" s="3" t="n">
        <v>0.000982</v>
      </c>
      <c r="G366" s="3" t="n">
        <f aca="false">SUM($F$2:F366)</f>
        <v>0.686311</v>
      </c>
      <c r="H366" s="4" t="n">
        <v>25.45</v>
      </c>
      <c r="I366" s="5" t="n">
        <v>18.0496</v>
      </c>
      <c r="J366" s="4" t="n">
        <v>1.41</v>
      </c>
      <c r="K366" s="5" t="n">
        <v>6.4427</v>
      </c>
      <c r="L366" s="6" t="n">
        <v>1.8384</v>
      </c>
      <c r="M366" s="5" t="n">
        <f aca="false">IF(AND(N(K366)&gt;0,N(L366)&gt;0),K366/L366,"")</f>
        <v>3.50451479547433</v>
      </c>
      <c r="N366" s="2"/>
    </row>
    <row r="367" customFormat="false" ht="15" hidden="false" customHeight="false" outlineLevel="0" collapsed="false">
      <c r="A367" s="2" t="n">
        <v>366</v>
      </c>
      <c r="B367" s="2" t="s">
        <v>865</v>
      </c>
      <c r="C367" s="2" t="s">
        <v>866</v>
      </c>
      <c r="D367" s="2" t="s">
        <v>22</v>
      </c>
      <c r="E367" s="2" t="s">
        <v>259</v>
      </c>
      <c r="F367" s="3" t="n">
        <v>0.000982</v>
      </c>
      <c r="G367" s="3" t="n">
        <f aca="false">SUM($F$2:F367)</f>
        <v>0.687293</v>
      </c>
      <c r="H367" s="4" t="n">
        <v>42.9</v>
      </c>
      <c r="I367" s="5" t="n">
        <v>25.2353</v>
      </c>
      <c r="J367" s="4" t="n">
        <v>1.7</v>
      </c>
      <c r="K367" s="5" t="n">
        <v>4.37</v>
      </c>
      <c r="L367" s="6" t="n">
        <v>3.6179</v>
      </c>
      <c r="M367" s="5" t="n">
        <f aca="false">IF(AND(N(K367)&gt;0,N(L367)&gt;0),K367/L367,"")</f>
        <v>1.20788302606484</v>
      </c>
      <c r="N367" s="2"/>
    </row>
    <row r="368" customFormat="false" ht="15" hidden="false" customHeight="false" outlineLevel="0" collapsed="false">
      <c r="A368" s="2" t="n">
        <v>367</v>
      </c>
      <c r="B368" s="2" t="s">
        <v>867</v>
      </c>
      <c r="C368" s="2" t="s">
        <v>868</v>
      </c>
      <c r="D368" s="2" t="s">
        <v>22</v>
      </c>
      <c r="E368" s="2" t="s">
        <v>117</v>
      </c>
      <c r="F368" s="3" t="n">
        <v>0.000977</v>
      </c>
      <c r="G368" s="3" t="n">
        <f aca="false">SUM($F$2:F368)</f>
        <v>0.68827</v>
      </c>
      <c r="H368" s="4" t="n">
        <v>66.32</v>
      </c>
      <c r="I368" s="5" t="n">
        <v>26.7419</v>
      </c>
      <c r="J368" s="4" t="n">
        <v>2.48</v>
      </c>
      <c r="K368" s="5" t="n">
        <v>13.3899</v>
      </c>
      <c r="L368" s="6" t="n">
        <v>4.2562</v>
      </c>
      <c r="M368" s="5" t="n">
        <f aca="false">IF(AND(N(K368)&gt;0,N(L368)&gt;0),K368/L368,"")</f>
        <v>3.1459752831164</v>
      </c>
      <c r="N368" s="2"/>
    </row>
    <row r="369" customFormat="false" ht="15" hidden="false" customHeight="false" outlineLevel="0" collapsed="false">
      <c r="A369" s="2" t="n">
        <v>368</v>
      </c>
      <c r="B369" s="2" t="s">
        <v>869</v>
      </c>
      <c r="C369" s="2" t="s">
        <v>870</v>
      </c>
      <c r="D369" s="2" t="s">
        <v>79</v>
      </c>
      <c r="E369" s="2" t="s">
        <v>80</v>
      </c>
      <c r="F369" s="3" t="n">
        <v>0.000971</v>
      </c>
      <c r="G369" s="3" t="n">
        <f aca="false">SUM($F$2:F369)</f>
        <v>0.689241</v>
      </c>
      <c r="H369" s="4" t="n">
        <v>29.61</v>
      </c>
      <c r="I369" s="5" t="n">
        <v>12.2355</v>
      </c>
      <c r="J369" s="4" t="n">
        <v>2.42</v>
      </c>
      <c r="K369" s="5" t="n">
        <v>5.9235</v>
      </c>
      <c r="L369" s="6" t="n">
        <v>5.388</v>
      </c>
      <c r="M369" s="5" t="n">
        <f aca="false">IF(AND(N(K369)&gt;0,N(L369)&gt;0),K369/L369,"")</f>
        <v>1.09938752783964</v>
      </c>
      <c r="N369" s="2"/>
    </row>
    <row r="370" customFormat="false" ht="15" hidden="false" customHeight="false" outlineLevel="0" collapsed="false">
      <c r="A370" s="2" t="n">
        <v>369</v>
      </c>
      <c r="B370" s="2" t="s">
        <v>871</v>
      </c>
      <c r="C370" s="2" t="s">
        <v>872</v>
      </c>
      <c r="D370" s="2" t="s">
        <v>16</v>
      </c>
      <c r="E370" s="2" t="s">
        <v>17</v>
      </c>
      <c r="F370" s="3" t="n">
        <v>0.000969</v>
      </c>
      <c r="G370" s="3" t="n">
        <f aca="false">SUM($F$2:F370)</f>
        <v>0.69021</v>
      </c>
      <c r="H370" s="4" t="n">
        <v>36.01</v>
      </c>
      <c r="I370" s="5" t="n">
        <v>19.895</v>
      </c>
      <c r="J370" s="4" t="n">
        <v>1.81</v>
      </c>
      <c r="K370" s="5" t="n">
        <v>7.8301</v>
      </c>
      <c r="L370" s="6" t="n">
        <v>3.0929</v>
      </c>
      <c r="M370" s="5" t="n">
        <f aca="false">IF(AND(N(K370)&gt;0,N(L370)&gt;0),K370/L370,"")</f>
        <v>2.53163697500727</v>
      </c>
      <c r="N370" s="2"/>
    </row>
    <row r="371" customFormat="false" ht="15" hidden="false" customHeight="false" outlineLevel="0" collapsed="false">
      <c r="A371" s="2" t="n">
        <v>370</v>
      </c>
      <c r="B371" s="2" t="s">
        <v>873</v>
      </c>
      <c r="C371" s="2" t="s">
        <v>874</v>
      </c>
      <c r="D371" s="2" t="s">
        <v>171</v>
      </c>
      <c r="E371" s="2" t="s">
        <v>496</v>
      </c>
      <c r="F371" s="3" t="n">
        <v>0.000968</v>
      </c>
      <c r="G371" s="3" t="n">
        <f aca="false">SUM($F$2:F371)</f>
        <v>0.691178</v>
      </c>
      <c r="H371" s="4" t="n">
        <v>52.92</v>
      </c>
      <c r="I371" s="5" t="n">
        <v>14.6593</v>
      </c>
      <c r="J371" s="4" t="n">
        <v>3.61</v>
      </c>
      <c r="K371" s="5" t="n">
        <v>5.3697</v>
      </c>
      <c r="L371" s="6" t="n">
        <v>2.4085</v>
      </c>
      <c r="M371" s="5" t="n">
        <f aca="false">IF(AND(N(K371)&gt;0,N(L371)&gt;0),K371/L371,"")</f>
        <v>2.22947892879386</v>
      </c>
      <c r="N371" s="2"/>
    </row>
    <row r="372" customFormat="false" ht="15" hidden="false" customHeight="false" outlineLevel="0" collapsed="false">
      <c r="A372" s="2" t="n">
        <v>371</v>
      </c>
      <c r="B372" s="2" t="s">
        <v>875</v>
      </c>
      <c r="C372" s="2" t="s">
        <v>876</v>
      </c>
      <c r="D372" s="2" t="s">
        <v>93</v>
      </c>
      <c r="E372" s="2" t="s">
        <v>285</v>
      </c>
      <c r="F372" s="3" t="n">
        <v>0.000967</v>
      </c>
      <c r="G372" s="3" t="n">
        <f aca="false">SUM($F$2:F372)</f>
        <v>0.692145</v>
      </c>
      <c r="H372" s="4" t="n">
        <v>39.15</v>
      </c>
      <c r="I372" s="5" t="n">
        <v>54.375</v>
      </c>
      <c r="J372" s="4" t="n">
        <v>0.72</v>
      </c>
      <c r="K372" s="5" t="n">
        <v>6.8668</v>
      </c>
      <c r="L372" s="6" t="n">
        <v>3.6478</v>
      </c>
      <c r="M372" s="5" t="n">
        <f aca="false">IF(AND(N(K372)&gt;0,N(L372)&gt;0),K372/L372,"")</f>
        <v>1.882449695707</v>
      </c>
      <c r="N372" s="2"/>
    </row>
    <row r="373" customFormat="false" ht="15" hidden="false" customHeight="false" outlineLevel="0" collapsed="false">
      <c r="A373" s="2" t="n">
        <v>372</v>
      </c>
      <c r="B373" s="2" t="s">
        <v>877</v>
      </c>
      <c r="C373" s="2" t="s">
        <v>878</v>
      </c>
      <c r="D373" s="2" t="s">
        <v>79</v>
      </c>
      <c r="E373" s="2" t="s">
        <v>80</v>
      </c>
      <c r="F373" s="3" t="n">
        <v>0.000964</v>
      </c>
      <c r="G373" s="3" t="n">
        <f aca="false">SUM($F$2:F373)</f>
        <v>0.693109</v>
      </c>
      <c r="H373" s="4" t="n">
        <v>165.77</v>
      </c>
      <c r="I373" s="5" t="n">
        <v>18.5841</v>
      </c>
      <c r="J373" s="4" t="n">
        <v>8.92</v>
      </c>
      <c r="K373" s="5" t="n">
        <v>3.4741</v>
      </c>
      <c r="L373" s="6" t="n">
        <v>6.809</v>
      </c>
      <c r="M373" s="5" t="n">
        <f aca="false">IF(AND(N(K373)&gt;0,N(L373)&gt;0),K373/L373,"")</f>
        <v>0.510221765310618</v>
      </c>
      <c r="N373" s="2"/>
    </row>
    <row r="374" customFormat="false" ht="15" hidden="false" customHeight="false" outlineLevel="0" collapsed="false">
      <c r="A374" s="2" t="n">
        <v>373</v>
      </c>
      <c r="B374" s="2" t="s">
        <v>879</v>
      </c>
      <c r="C374" s="2" t="s">
        <v>880</v>
      </c>
      <c r="D374" s="2" t="s">
        <v>93</v>
      </c>
      <c r="E374" s="2" t="s">
        <v>94</v>
      </c>
      <c r="F374" s="3" t="n">
        <v>0.000964</v>
      </c>
      <c r="G374" s="3" t="n">
        <f aca="false">SUM($F$2:F374)</f>
        <v>0.694073</v>
      </c>
      <c r="H374" s="4" t="n">
        <v>74.21</v>
      </c>
      <c r="I374" s="5" t="n">
        <v>11.6135</v>
      </c>
      <c r="J374" s="4" t="n">
        <v>6.39</v>
      </c>
      <c r="K374" s="5" t="n">
        <v>6.3568</v>
      </c>
      <c r="L374" s="6" t="n">
        <v>0.9818</v>
      </c>
      <c r="M374" s="5" t="n">
        <f aca="false">IF(AND(N(K374)&gt;0,N(L374)&gt;0),K374/L374,"")</f>
        <v>6.47463841922999</v>
      </c>
      <c r="N374" s="2"/>
    </row>
    <row r="375" customFormat="false" ht="15" hidden="false" customHeight="false" outlineLevel="0" collapsed="false">
      <c r="A375" s="2" t="n">
        <v>374</v>
      </c>
      <c r="B375" s="2" t="s">
        <v>881</v>
      </c>
      <c r="C375" s="2" t="s">
        <v>882</v>
      </c>
      <c r="D375" s="2" t="s">
        <v>58</v>
      </c>
      <c r="E375" s="2" t="s">
        <v>656</v>
      </c>
      <c r="F375" s="3" t="n">
        <v>0.00096</v>
      </c>
      <c r="G375" s="3" t="n">
        <f aca="false">SUM($F$2:F375)</f>
        <v>0.695033</v>
      </c>
      <c r="H375" s="4" t="n">
        <v>12.12</v>
      </c>
      <c r="I375" s="5" t="n">
        <v>75.75</v>
      </c>
      <c r="J375" s="4" t="n">
        <v>0.16</v>
      </c>
      <c r="K375" s="5" t="n">
        <v>5.8821</v>
      </c>
      <c r="L375" s="6" t="n">
        <v>0.0707</v>
      </c>
      <c r="M375" s="5" t="n">
        <f aca="false">IF(AND(N(K375)&gt;0,N(L375)&gt;0),K375/L375,"")</f>
        <v>83.1980198019802</v>
      </c>
      <c r="N375" s="2"/>
    </row>
    <row r="376" customFormat="false" ht="15" hidden="false" customHeight="false" outlineLevel="0" collapsed="false">
      <c r="A376" s="2" t="n">
        <v>375</v>
      </c>
      <c r="B376" s="2" t="s">
        <v>883</v>
      </c>
      <c r="C376" s="2" t="s">
        <v>884</v>
      </c>
      <c r="D376" s="2" t="s">
        <v>16</v>
      </c>
      <c r="E376" s="2" t="s">
        <v>17</v>
      </c>
      <c r="F376" s="3" t="n">
        <v>0.000958</v>
      </c>
      <c r="G376" s="3" t="n">
        <f aca="false">SUM($F$2:F376)</f>
        <v>0.695991</v>
      </c>
      <c r="H376" s="4" t="n">
        <v>33.61</v>
      </c>
      <c r="I376" s="5" t="n">
        <v>49.4265</v>
      </c>
      <c r="J376" s="4" t="n">
        <v>0.68</v>
      </c>
      <c r="K376" s="5" t="n">
        <v>4.6113</v>
      </c>
      <c r="L376" s="6" t="n">
        <v>3.7367</v>
      </c>
      <c r="M376" s="5" t="n">
        <f aca="false">IF(AND(N(K376)&gt;0,N(L376)&gt;0),K376/L376,"")</f>
        <v>1.23405678807504</v>
      </c>
      <c r="N376" s="2"/>
    </row>
    <row r="377" customFormat="false" ht="15" hidden="false" customHeight="false" outlineLevel="0" collapsed="false">
      <c r="A377" s="2" t="n">
        <v>376</v>
      </c>
      <c r="B377" s="2" t="s">
        <v>885</v>
      </c>
      <c r="C377" s="2" t="s">
        <v>886</v>
      </c>
      <c r="D377" s="2" t="s">
        <v>79</v>
      </c>
      <c r="E377" s="2" t="s">
        <v>288</v>
      </c>
      <c r="F377" s="3" t="n">
        <v>0.000954</v>
      </c>
      <c r="G377" s="3" t="n">
        <f aca="false">SUM($F$2:F377)</f>
        <v>0.696945</v>
      </c>
      <c r="H377" s="4" t="n">
        <v>171.36</v>
      </c>
      <c r="I377" s="5" t="n">
        <v>12.7405</v>
      </c>
      <c r="J377" s="4" t="n">
        <v>13.45</v>
      </c>
      <c r="K377" s="5" t="n">
        <v>4.2666</v>
      </c>
      <c r="L377" s="6" t="n">
        <v>2.5219</v>
      </c>
      <c r="M377" s="5" t="n">
        <f aca="false">IF(AND(N(K377)&gt;0,N(L377)&gt;0),K377/L377,"")</f>
        <v>1.69181965978032</v>
      </c>
      <c r="N377" s="2"/>
    </row>
    <row r="378" customFormat="false" ht="15" hidden="false" customHeight="false" outlineLevel="0" collapsed="false">
      <c r="A378" s="2" t="n">
        <v>377</v>
      </c>
      <c r="B378" s="2" t="s">
        <v>887</v>
      </c>
      <c r="C378" s="2" t="s">
        <v>888</v>
      </c>
      <c r="D378" s="2" t="s">
        <v>79</v>
      </c>
      <c r="E378" s="2" t="s">
        <v>230</v>
      </c>
      <c r="F378" s="3" t="n">
        <v>0.000953</v>
      </c>
      <c r="G378" s="3" t="n">
        <f aca="false">SUM($F$2:F378)</f>
        <v>0.697898</v>
      </c>
      <c r="H378" s="4" t="n">
        <v>12.45</v>
      </c>
      <c r="I378" s="5" t="n">
        <v>31.125</v>
      </c>
      <c r="J378" s="4" t="n">
        <v>0.4</v>
      </c>
      <c r="K378" s="5" t="n">
        <v>5.9196</v>
      </c>
      <c r="L378" s="6" t="n">
        <v>1.872</v>
      </c>
      <c r="M378" s="5" t="n">
        <f aca="false">IF(AND(N(K378)&gt;0,N(L378)&gt;0),K378/L378,"")</f>
        <v>3.16217948717949</v>
      </c>
      <c r="N378" s="2"/>
    </row>
    <row r="379" customFormat="false" ht="15" hidden="false" customHeight="false" outlineLevel="0" collapsed="false">
      <c r="A379" s="2" t="n">
        <v>378</v>
      </c>
      <c r="B379" s="2" t="s">
        <v>889</v>
      </c>
      <c r="C379" s="2" t="s">
        <v>890</v>
      </c>
      <c r="D379" s="2" t="s">
        <v>93</v>
      </c>
      <c r="E379" s="2" t="s">
        <v>381</v>
      </c>
      <c r="F379" s="3" t="n">
        <v>0.000949</v>
      </c>
      <c r="G379" s="3" t="n">
        <f aca="false">SUM($F$2:F379)</f>
        <v>0.698847</v>
      </c>
      <c r="H379" s="4" t="n">
        <v>212.16</v>
      </c>
      <c r="I379" s="5" t="n">
        <v>15.4074</v>
      </c>
      <c r="J379" s="4" t="n">
        <v>13.77</v>
      </c>
      <c r="K379" s="5" t="n">
        <v>13.931</v>
      </c>
      <c r="L379" s="6" t="n">
        <v>0.4327</v>
      </c>
      <c r="M379" s="5" t="n">
        <f aca="false">IF(AND(N(K379)&gt;0,N(L379)&gt;0),K379/L379,"")</f>
        <v>32.1955165241507</v>
      </c>
      <c r="N379" s="2"/>
    </row>
    <row r="380" customFormat="false" ht="15" hidden="false" customHeight="false" outlineLevel="0" collapsed="false">
      <c r="A380" s="2" t="n">
        <v>379</v>
      </c>
      <c r="B380" s="2" t="s">
        <v>891</v>
      </c>
      <c r="C380" s="2" t="s">
        <v>892</v>
      </c>
      <c r="D380" s="2" t="s">
        <v>26</v>
      </c>
      <c r="E380" s="2" t="s">
        <v>27</v>
      </c>
      <c r="F380" s="3" t="n">
        <v>0.000946</v>
      </c>
      <c r="G380" s="3" t="n">
        <f aca="false">SUM($F$2:F380)</f>
        <v>0.699793</v>
      </c>
      <c r="H380" s="4" t="n">
        <v>45.93</v>
      </c>
      <c r="I380" s="5" t="n">
        <v>13.2746</v>
      </c>
      <c r="J380" s="4" t="n">
        <v>3.46</v>
      </c>
      <c r="K380" s="5" t="n">
        <v>4.5714</v>
      </c>
      <c r="L380" s="6" t="n">
        <v>1.5917</v>
      </c>
      <c r="M380" s="5" t="n">
        <f aca="false">IF(AND(N(K380)&gt;0,N(L380)&gt;0),K380/L380,"")</f>
        <v>2.87202362254194</v>
      </c>
      <c r="N380" s="2"/>
    </row>
    <row r="381" customFormat="false" ht="15" hidden="false" customHeight="false" outlineLevel="0" collapsed="false">
      <c r="A381" s="2" t="n">
        <v>380</v>
      </c>
      <c r="B381" s="2" t="s">
        <v>893</v>
      </c>
      <c r="C381" s="2" t="s">
        <v>894</v>
      </c>
      <c r="D381" s="2" t="s">
        <v>86</v>
      </c>
      <c r="E381" s="2" t="s">
        <v>253</v>
      </c>
      <c r="F381" s="3" t="n">
        <v>0.000942</v>
      </c>
      <c r="G381" s="3" t="n">
        <f aca="false">SUM($F$2:F381)</f>
        <v>0.700735</v>
      </c>
      <c r="H381" s="4" t="n">
        <v>15</v>
      </c>
      <c r="I381" s="5" t="n">
        <v>25.4237</v>
      </c>
      <c r="J381" s="4" t="n">
        <v>0.59</v>
      </c>
      <c r="K381" s="5" t="n">
        <v>5.6965</v>
      </c>
      <c r="L381" s="6" t="n">
        <v>9.5375</v>
      </c>
      <c r="M381" s="5" t="n">
        <f aca="false">IF(AND(N(K381)&gt;0,N(L381)&gt;0),K381/L381,"")</f>
        <v>0.597273918741809</v>
      </c>
      <c r="N381" s="2"/>
    </row>
    <row r="382" customFormat="false" ht="15" hidden="false" customHeight="false" outlineLevel="0" collapsed="false">
      <c r="A382" s="2" t="n">
        <v>381</v>
      </c>
      <c r="B382" s="2" t="s">
        <v>895</v>
      </c>
      <c r="C382" s="2" t="s">
        <v>896</v>
      </c>
      <c r="D382" s="2" t="s">
        <v>79</v>
      </c>
      <c r="E382" s="2" t="s">
        <v>80</v>
      </c>
      <c r="F382" s="3" t="n">
        <v>0.00094</v>
      </c>
      <c r="G382" s="3" t="n">
        <f aca="false">SUM($F$2:F382)</f>
        <v>0.701675</v>
      </c>
      <c r="H382" s="4" t="n">
        <v>83</v>
      </c>
      <c r="I382" s="5" t="n">
        <v>15.009</v>
      </c>
      <c r="J382" s="4" t="n">
        <v>5.53</v>
      </c>
      <c r="K382" s="5" t="n">
        <v>5.5699</v>
      </c>
      <c r="L382" s="6" t="n">
        <v>4.7072</v>
      </c>
      <c r="M382" s="5" t="n">
        <f aca="false">IF(AND(N(K382)&gt;0,N(L382)&gt;0),K382/L382,"")</f>
        <v>1.18327243371856</v>
      </c>
      <c r="N382" s="2"/>
    </row>
    <row r="383" customFormat="false" ht="15" hidden="false" customHeight="false" outlineLevel="0" collapsed="false">
      <c r="A383" s="2" t="n">
        <v>382</v>
      </c>
      <c r="B383" s="2" t="s">
        <v>897</v>
      </c>
      <c r="C383" s="2" t="s">
        <v>898</v>
      </c>
      <c r="D383" s="2" t="s">
        <v>79</v>
      </c>
      <c r="E383" s="2" t="s">
        <v>80</v>
      </c>
      <c r="F383" s="3" t="n">
        <v>0.000934</v>
      </c>
      <c r="G383" s="3" t="n">
        <f aca="false">SUM($F$2:F383)</f>
        <v>0.702609</v>
      </c>
      <c r="H383" s="4" t="n">
        <v>95</v>
      </c>
      <c r="I383" s="5" t="n">
        <v>12.3537</v>
      </c>
      <c r="J383" s="4" t="n">
        <v>7.69</v>
      </c>
      <c r="K383" s="5" t="n">
        <v>4.1301</v>
      </c>
      <c r="L383" s="6" t="n">
        <v>3.2512</v>
      </c>
      <c r="M383" s="5" t="n">
        <f aca="false">IF(AND(N(K383)&gt;0,N(L383)&gt;0),K383/L383,"")</f>
        <v>1.27033095472441</v>
      </c>
      <c r="N383" s="2"/>
    </row>
    <row r="384" customFormat="false" ht="15" hidden="false" customHeight="false" outlineLevel="0" collapsed="false">
      <c r="A384" s="2" t="n">
        <v>383</v>
      </c>
      <c r="B384" s="2" t="s">
        <v>899</v>
      </c>
      <c r="C384" s="2" t="s">
        <v>900</v>
      </c>
      <c r="D384" s="2" t="s">
        <v>93</v>
      </c>
      <c r="E384" s="2" t="s">
        <v>381</v>
      </c>
      <c r="F384" s="3" t="n">
        <v>0.000933</v>
      </c>
      <c r="G384" s="3" t="n">
        <f aca="false">SUM($F$2:F384)</f>
        <v>0.703542</v>
      </c>
      <c r="H384" s="4" t="n">
        <v>168.76</v>
      </c>
      <c r="I384" s="5" t="n">
        <v>7.8238</v>
      </c>
      <c r="J384" s="4" t="n">
        <v>21.57</v>
      </c>
      <c r="K384" s="5" t="n">
        <v>5.5793</v>
      </c>
      <c r="L384" s="6" t="n">
        <v>0.2033</v>
      </c>
      <c r="M384" s="5" t="n">
        <f aca="false">IF(AND(N(K384)&gt;0,N(L384)&gt;0),K384/L384,"")</f>
        <v>27.4436792916872</v>
      </c>
      <c r="N384" s="2"/>
    </row>
    <row r="385" customFormat="false" ht="15" hidden="false" customHeight="false" outlineLevel="0" collapsed="false">
      <c r="A385" s="2" t="n">
        <v>384</v>
      </c>
      <c r="B385" s="2" t="s">
        <v>901</v>
      </c>
      <c r="C385" s="2" t="s">
        <v>902</v>
      </c>
      <c r="D385" s="2" t="s">
        <v>79</v>
      </c>
      <c r="E385" s="2" t="s">
        <v>80</v>
      </c>
      <c r="F385" s="3" t="n">
        <v>0.000933</v>
      </c>
      <c r="G385" s="3" t="n">
        <f aca="false">SUM($F$2:F385)</f>
        <v>0.704475</v>
      </c>
      <c r="H385" s="4" t="n">
        <v>29.36</v>
      </c>
      <c r="I385" s="5" t="n">
        <v>10.2657</v>
      </c>
      <c r="J385" s="4" t="n">
        <v>2.86</v>
      </c>
      <c r="K385" s="5" t="n">
        <v>5.5446</v>
      </c>
      <c r="L385" s="6" t="n">
        <v>3.5635</v>
      </c>
      <c r="M385" s="5" t="n">
        <f aca="false">IF(AND(N(K385)&gt;0,N(L385)&gt;0),K385/L385,"")</f>
        <v>1.5559421916655</v>
      </c>
      <c r="N385" s="2"/>
    </row>
    <row r="386" customFormat="false" ht="15" hidden="false" customHeight="false" outlineLevel="0" collapsed="false">
      <c r="A386" s="2" t="n">
        <v>385</v>
      </c>
      <c r="B386" s="2" t="s">
        <v>903</v>
      </c>
      <c r="C386" s="2" t="s">
        <v>904</v>
      </c>
      <c r="D386" s="2" t="s">
        <v>16</v>
      </c>
      <c r="E386" s="2" t="s">
        <v>148</v>
      </c>
      <c r="F386" s="3" t="n">
        <v>0.000931</v>
      </c>
      <c r="G386" s="3" t="n">
        <f aca="false">SUM($F$2:F386)</f>
        <v>0.705406</v>
      </c>
      <c r="H386" s="4" t="n">
        <v>31.96</v>
      </c>
      <c r="I386" s="5" t="n">
        <v>35.5111</v>
      </c>
      <c r="J386" s="4" t="n">
        <v>0.9</v>
      </c>
      <c r="K386" s="5" t="n">
        <v>9.6549</v>
      </c>
      <c r="L386" s="6" t="n">
        <v>6.0266</v>
      </c>
      <c r="M386" s="5" t="n">
        <f aca="false">IF(AND(N(K386)&gt;0,N(L386)&gt;0),K386/L386,"")</f>
        <v>1.602047589022</v>
      </c>
      <c r="N386" s="2"/>
    </row>
    <row r="387" customFormat="false" ht="15" hidden="false" customHeight="false" outlineLevel="0" collapsed="false">
      <c r="A387" s="2" t="n">
        <v>386</v>
      </c>
      <c r="B387" s="2" t="s">
        <v>905</v>
      </c>
      <c r="C387" s="2" t="s">
        <v>906</v>
      </c>
      <c r="D387" s="2" t="s">
        <v>171</v>
      </c>
      <c r="E387" s="2" t="s">
        <v>907</v>
      </c>
      <c r="F387" s="3" t="n">
        <v>0.000931</v>
      </c>
      <c r="G387" s="3" t="n">
        <f aca="false">SUM($F$2:F387)</f>
        <v>0.706337</v>
      </c>
      <c r="H387" s="4" t="n">
        <v>96.52</v>
      </c>
      <c r="I387" s="5" t="n">
        <v>47.3137</v>
      </c>
      <c r="J387" s="4" t="n">
        <v>2.04</v>
      </c>
      <c r="K387" s="5" t="n">
        <v>5.9357</v>
      </c>
      <c r="L387" s="6" t="n">
        <v>4.9945</v>
      </c>
      <c r="M387" s="5" t="n">
        <f aca="false">IF(AND(N(K387)&gt;0,N(L387)&gt;0),K387/L387,"")</f>
        <v>1.18844729202122</v>
      </c>
      <c r="N387" s="2"/>
    </row>
    <row r="388" customFormat="false" ht="15" hidden="false" customHeight="false" outlineLevel="0" collapsed="false">
      <c r="A388" s="2" t="n">
        <v>387</v>
      </c>
      <c r="B388" s="2" t="s">
        <v>908</v>
      </c>
      <c r="C388" s="2" t="s">
        <v>909</v>
      </c>
      <c r="D388" s="2" t="s">
        <v>79</v>
      </c>
      <c r="E388" s="2" t="s">
        <v>288</v>
      </c>
      <c r="F388" s="3" t="n">
        <v>0.000926</v>
      </c>
      <c r="G388" s="3" t="n">
        <f aca="false">SUM($F$2:F388)</f>
        <v>0.707263</v>
      </c>
      <c r="H388" s="4" t="n">
        <v>108</v>
      </c>
      <c r="I388" s="5" t="n">
        <v>8.3721</v>
      </c>
      <c r="J388" s="4" t="n">
        <v>12.9</v>
      </c>
      <c r="K388" s="5" t="n">
        <v>4.1493</v>
      </c>
      <c r="L388" s="6" t="n">
        <v>1.5552</v>
      </c>
      <c r="M388" s="5" t="n">
        <f aca="false">IF(AND(N(K388)&gt;0,N(L388)&gt;0),K388/L388,"")</f>
        <v>2.66801697530864</v>
      </c>
      <c r="N388" s="2"/>
    </row>
    <row r="389" customFormat="false" ht="15" hidden="false" customHeight="false" outlineLevel="0" collapsed="false">
      <c r="A389" s="2" t="n">
        <v>388</v>
      </c>
      <c r="B389" s="2" t="s">
        <v>910</v>
      </c>
      <c r="C389" s="2" t="s">
        <v>911</v>
      </c>
      <c r="D389" s="2" t="s">
        <v>16</v>
      </c>
      <c r="E389" s="2" t="s">
        <v>315</v>
      </c>
      <c r="F389" s="3" t="n">
        <v>0.000926</v>
      </c>
      <c r="G389" s="3" t="n">
        <f aca="false">SUM($F$2:F389)</f>
        <v>0.708189</v>
      </c>
      <c r="H389" s="4" t="n">
        <v>34.76</v>
      </c>
      <c r="I389" s="5" t="n">
        <v>34.4158</v>
      </c>
      <c r="J389" s="4" t="n">
        <v>1.01</v>
      </c>
      <c r="K389" s="5" t="n">
        <v>4.5933</v>
      </c>
      <c r="L389" s="6" t="n">
        <v>3.4575</v>
      </c>
      <c r="M389" s="5" t="n">
        <f aca="false">IF(AND(N(K389)&gt;0,N(L389)&gt;0),K389/L389,"")</f>
        <v>1.3285032537961</v>
      </c>
      <c r="N389" s="2"/>
    </row>
    <row r="390" customFormat="false" ht="15" hidden="false" customHeight="false" outlineLevel="0" collapsed="false">
      <c r="A390" s="2" t="n">
        <v>389</v>
      </c>
      <c r="B390" s="2" t="s">
        <v>912</v>
      </c>
      <c r="C390" s="2" t="s">
        <v>913</v>
      </c>
      <c r="D390" s="2" t="s">
        <v>79</v>
      </c>
      <c r="E390" s="2" t="s">
        <v>241</v>
      </c>
      <c r="F390" s="3" t="n">
        <v>0.000924</v>
      </c>
      <c r="G390" s="3" t="n">
        <f aca="false">SUM($F$2:F390)</f>
        <v>0.709113</v>
      </c>
      <c r="H390" s="4" t="n">
        <v>10.03</v>
      </c>
      <c r="I390" s="5" t="n">
        <v>19.6667</v>
      </c>
      <c r="J390" s="4" t="n">
        <v>0.51</v>
      </c>
      <c r="K390" s="5" t="n">
        <v>3.7898</v>
      </c>
      <c r="L390" s="6" t="n">
        <v>0.5135</v>
      </c>
      <c r="M390" s="5" t="n">
        <f aca="false">IF(AND(N(K390)&gt;0,N(L390)&gt;0),K390/L390,"")</f>
        <v>7.38033106134372</v>
      </c>
      <c r="N390" s="2"/>
    </row>
    <row r="391" customFormat="false" ht="15" hidden="false" customHeight="false" outlineLevel="0" collapsed="false">
      <c r="A391" s="2" t="n">
        <v>390</v>
      </c>
      <c r="B391" s="2" t="s">
        <v>914</v>
      </c>
      <c r="C391" s="2" t="s">
        <v>915</v>
      </c>
      <c r="D391" s="2" t="s">
        <v>22</v>
      </c>
      <c r="E391" s="2" t="s">
        <v>109</v>
      </c>
      <c r="F391" s="3" t="n">
        <v>0.000924</v>
      </c>
      <c r="G391" s="3" t="n">
        <f aca="false">SUM($F$2:F391)</f>
        <v>0.710037</v>
      </c>
      <c r="H391" s="4" t="n">
        <v>288.45</v>
      </c>
      <c r="I391" s="5" t="n">
        <v>27.3932</v>
      </c>
      <c r="J391" s="4" t="n">
        <v>10.53</v>
      </c>
      <c r="K391" s="5" t="n">
        <v>4.491</v>
      </c>
      <c r="L391" s="6" t="n">
        <v>1.121</v>
      </c>
      <c r="M391" s="5" t="n">
        <f aca="false">IF(AND(N(K391)&gt;0,N(L391)&gt;0),K391/L391,"")</f>
        <v>4.00624442462087</v>
      </c>
      <c r="N391" s="2"/>
    </row>
    <row r="392" customFormat="false" ht="15" hidden="false" customHeight="false" outlineLevel="0" collapsed="false">
      <c r="A392" s="2" t="n">
        <v>391</v>
      </c>
      <c r="B392" s="2" t="s">
        <v>916</v>
      </c>
      <c r="C392" s="2" t="s">
        <v>917</v>
      </c>
      <c r="D392" s="2" t="s">
        <v>171</v>
      </c>
      <c r="E392" s="2" t="s">
        <v>496</v>
      </c>
      <c r="F392" s="3" t="n">
        <v>0.000919</v>
      </c>
      <c r="G392" s="3" t="n">
        <f aca="false">SUM($F$2:F392)</f>
        <v>0.710956</v>
      </c>
      <c r="H392" s="4" t="n">
        <v>71.96</v>
      </c>
      <c r="I392" s="5" t="n">
        <v>18.1259</v>
      </c>
      <c r="J392" s="4" t="n">
        <v>3.97</v>
      </c>
      <c r="K392" s="5" t="n">
        <v>5.4872</v>
      </c>
      <c r="L392" s="6" t="n">
        <v>2.3865</v>
      </c>
      <c r="M392" s="5" t="n">
        <f aca="false">IF(AND(N(K392)&gt;0,N(L392)&gt;0),K392/L392,"")</f>
        <v>2.29926670856903</v>
      </c>
      <c r="N392" s="2"/>
    </row>
    <row r="393" customFormat="false" ht="15" hidden="false" customHeight="false" outlineLevel="0" collapsed="false">
      <c r="A393" s="2" t="n">
        <v>392</v>
      </c>
      <c r="B393" s="2" t="s">
        <v>918</v>
      </c>
      <c r="C393" s="2" t="s">
        <v>919</v>
      </c>
      <c r="D393" s="2" t="s">
        <v>22</v>
      </c>
      <c r="E393" s="2" t="s">
        <v>259</v>
      </c>
      <c r="F393" s="3" t="n">
        <v>0.000915</v>
      </c>
      <c r="G393" s="3" t="n">
        <f aca="false">SUM($F$2:F393)</f>
        <v>0.711871</v>
      </c>
      <c r="H393" s="4" t="n">
        <v>95.12</v>
      </c>
      <c r="I393" s="5" t="n">
        <v>19.858</v>
      </c>
      <c r="J393" s="4" t="n">
        <v>4.79</v>
      </c>
      <c r="K393" s="5" t="n">
        <v>4.3628</v>
      </c>
      <c r="L393" s="6" t="n">
        <v>1.7058</v>
      </c>
      <c r="M393" s="5" t="n">
        <f aca="false">IF(AND(N(K393)&gt;0,N(L393)&gt;0),K393/L393,"")</f>
        <v>2.55762691992027</v>
      </c>
      <c r="N393" s="2"/>
    </row>
    <row r="394" customFormat="false" ht="15" hidden="false" customHeight="false" outlineLevel="0" collapsed="false">
      <c r="A394" s="2" t="n">
        <v>393</v>
      </c>
      <c r="B394" s="2" t="s">
        <v>920</v>
      </c>
      <c r="C394" s="2" t="s">
        <v>921</v>
      </c>
      <c r="D394" s="2" t="s">
        <v>93</v>
      </c>
      <c r="E394" s="2" t="s">
        <v>238</v>
      </c>
      <c r="F394" s="3" t="n">
        <v>0.000911</v>
      </c>
      <c r="G394" s="3" t="n">
        <f aca="false">SUM($F$2:F394)</f>
        <v>0.712782</v>
      </c>
      <c r="H394" s="4" t="n">
        <v>202.48</v>
      </c>
      <c r="I394" s="5" t="n">
        <v>21.8425</v>
      </c>
      <c r="J394" s="4" t="n">
        <v>9.27</v>
      </c>
      <c r="K394" s="5" t="n">
        <v>5.3818</v>
      </c>
      <c r="L394" s="6" t="n">
        <v>1.8157</v>
      </c>
      <c r="M394" s="5" t="n">
        <f aca="false">IF(AND(N(K394)&gt;0,N(L394)&gt;0),K394/L394,"")</f>
        <v>2.96403590901581</v>
      </c>
      <c r="N394" s="2"/>
    </row>
    <row r="395" customFormat="false" ht="15" hidden="false" customHeight="false" outlineLevel="0" collapsed="false">
      <c r="A395" s="2" t="n">
        <v>394</v>
      </c>
      <c r="B395" s="2" t="s">
        <v>922</v>
      </c>
      <c r="C395" s="2" t="s">
        <v>923</v>
      </c>
      <c r="D395" s="2" t="s">
        <v>16</v>
      </c>
      <c r="E395" s="2" t="s">
        <v>143</v>
      </c>
      <c r="F395" s="3" t="n">
        <v>0.00091</v>
      </c>
      <c r="G395" s="3" t="n">
        <f aca="false">SUM($F$2:F395)</f>
        <v>0.713692</v>
      </c>
      <c r="H395" s="4" t="n">
        <v>134.31</v>
      </c>
      <c r="I395" s="5" t="n">
        <v>85.0063</v>
      </c>
      <c r="J395" s="4" t="n">
        <v>1.58</v>
      </c>
      <c r="K395" s="5" t="n">
        <v>5.0793</v>
      </c>
      <c r="L395" s="6" t="n">
        <v>4.9328</v>
      </c>
      <c r="M395" s="5" t="n">
        <f aca="false">IF(AND(N(K395)&gt;0,N(L395)&gt;0),K395/L395,"")</f>
        <v>1.02969915666559</v>
      </c>
      <c r="N395" s="2"/>
    </row>
    <row r="396" customFormat="false" ht="15" hidden="false" customHeight="false" outlineLevel="0" collapsed="false">
      <c r="A396" s="2" t="n">
        <v>395</v>
      </c>
      <c r="B396" s="2" t="s">
        <v>924</v>
      </c>
      <c r="C396" s="2" t="s">
        <v>925</v>
      </c>
      <c r="D396" s="2" t="s">
        <v>16</v>
      </c>
      <c r="E396" s="2" t="s">
        <v>449</v>
      </c>
      <c r="F396" s="3" t="n">
        <v>0.000909</v>
      </c>
      <c r="G396" s="3" t="n">
        <f aca="false">SUM($F$2:F396)</f>
        <v>0.714601</v>
      </c>
      <c r="H396" s="4" t="n">
        <v>110.55</v>
      </c>
      <c r="I396" s="5" t="n">
        <v>17.9464</v>
      </c>
      <c r="J396" s="4" t="n">
        <v>6.16</v>
      </c>
      <c r="K396" s="5" t="n">
        <v>4.3201</v>
      </c>
      <c r="L396" s="6" t="n">
        <v>1.508</v>
      </c>
      <c r="M396" s="5" t="n">
        <f aca="false">IF(AND(N(K396)&gt;0,N(L396)&gt;0),K396/L396,"")</f>
        <v>2.86478779840849</v>
      </c>
      <c r="N396" s="2"/>
    </row>
    <row r="397" customFormat="false" ht="15" hidden="false" customHeight="false" outlineLevel="0" collapsed="false">
      <c r="A397" s="2" t="n">
        <v>396</v>
      </c>
      <c r="B397" s="2" t="s">
        <v>926</v>
      </c>
      <c r="C397" s="2" t="s">
        <v>927</v>
      </c>
      <c r="D397" s="2" t="s">
        <v>93</v>
      </c>
      <c r="E397" s="2" t="s">
        <v>238</v>
      </c>
      <c r="F397" s="3" t="n">
        <v>0.000909</v>
      </c>
      <c r="G397" s="3" t="n">
        <f aca="false">SUM($F$2:F397)</f>
        <v>0.71551</v>
      </c>
      <c r="H397" s="4" t="n">
        <v>64.35</v>
      </c>
      <c r="I397" s="5" t="n">
        <v>13.4062</v>
      </c>
      <c r="J397" s="4" t="n">
        <v>4.8</v>
      </c>
      <c r="K397" s="5" t="n">
        <v>4.194</v>
      </c>
      <c r="L397" s="6" t="n">
        <v>0.7779</v>
      </c>
      <c r="M397" s="5" t="n">
        <f aca="false">IF(AND(N(K397)&gt;0,N(L397)&gt;0),K397/L397,"")</f>
        <v>5.39143848823756</v>
      </c>
      <c r="N397" s="2"/>
    </row>
    <row r="398" customFormat="false" ht="15" hidden="false" customHeight="false" outlineLevel="0" collapsed="false">
      <c r="A398" s="2" t="n">
        <v>397</v>
      </c>
      <c r="B398" s="2" t="s">
        <v>928</v>
      </c>
      <c r="C398" s="2" t="s">
        <v>929</v>
      </c>
      <c r="D398" s="2" t="s">
        <v>79</v>
      </c>
      <c r="E398" s="2" t="s">
        <v>80</v>
      </c>
      <c r="F398" s="3" t="n">
        <v>0.000908</v>
      </c>
      <c r="G398" s="3" t="n">
        <f aca="false">SUM($F$2:F398)</f>
        <v>0.716418</v>
      </c>
      <c r="H398" s="4" t="n">
        <v>61.48</v>
      </c>
      <c r="I398" s="5" t="n">
        <v>12.0313</v>
      </c>
      <c r="J398" s="4" t="n">
        <v>5.11</v>
      </c>
      <c r="K398" s="5" t="n">
        <v>4.1016</v>
      </c>
      <c r="L398" s="6" t="n">
        <v>5.1579</v>
      </c>
      <c r="M398" s="5" t="n">
        <f aca="false">IF(AND(N(K398)&gt;0,N(L398)&gt;0),K398/L398,"")</f>
        <v>0.795207351829233</v>
      </c>
      <c r="N398" s="2"/>
    </row>
    <row r="399" customFormat="false" ht="15" hidden="false" customHeight="false" outlineLevel="0" collapsed="false">
      <c r="A399" s="2" t="n">
        <v>398</v>
      </c>
      <c r="B399" s="2" t="s">
        <v>930</v>
      </c>
      <c r="C399" s="2" t="s">
        <v>931</v>
      </c>
      <c r="D399" s="2" t="s">
        <v>93</v>
      </c>
      <c r="E399" s="2" t="s">
        <v>548</v>
      </c>
      <c r="F399" s="3" t="n">
        <v>0.000907</v>
      </c>
      <c r="G399" s="3" t="n">
        <f aca="false">SUM($F$2:F399)</f>
        <v>0.717325</v>
      </c>
      <c r="H399" s="4" t="n">
        <v>13.08</v>
      </c>
      <c r="I399" s="5" t="n">
        <v>9.7612</v>
      </c>
      <c r="J399" s="4" t="n">
        <v>1.34</v>
      </c>
      <c r="K399" s="5" t="n">
        <v>3.737</v>
      </c>
      <c r="L399" s="6" t="n">
        <v>0.6807</v>
      </c>
      <c r="M399" s="5" t="n">
        <f aca="false">IF(AND(N(K399)&gt;0,N(L399)&gt;0),K399/L399,"")</f>
        <v>5.4899368297341</v>
      </c>
      <c r="N399" s="2"/>
    </row>
    <row r="400" customFormat="false" ht="15" hidden="false" customHeight="false" outlineLevel="0" collapsed="false">
      <c r="A400" s="2" t="n">
        <v>399</v>
      </c>
      <c r="B400" s="2" t="s">
        <v>932</v>
      </c>
      <c r="C400" s="2" t="s">
        <v>933</v>
      </c>
      <c r="D400" s="2" t="s">
        <v>171</v>
      </c>
      <c r="E400" s="2" t="s">
        <v>496</v>
      </c>
      <c r="F400" s="3" t="n">
        <v>0.000905</v>
      </c>
      <c r="G400" s="3" t="n">
        <f aca="false">SUM($F$2:F400)</f>
        <v>0.71823</v>
      </c>
      <c r="H400" s="4" t="n">
        <v>84.65</v>
      </c>
      <c r="I400" s="5" t="n">
        <v>21.7609</v>
      </c>
      <c r="J400" s="4" t="n">
        <v>3.89</v>
      </c>
      <c r="K400" s="5" t="n">
        <v>6.1325</v>
      </c>
      <c r="L400" s="6" t="n">
        <v>3.5226</v>
      </c>
      <c r="M400" s="5" t="n">
        <f aca="false">IF(AND(N(K400)&gt;0,N(L400)&gt;0),K400/L400,"")</f>
        <v>1.74090160676773</v>
      </c>
      <c r="N400" s="2"/>
    </row>
    <row r="401" customFormat="false" ht="15" hidden="false" customHeight="false" outlineLevel="0" collapsed="false">
      <c r="A401" s="2" t="n">
        <v>400</v>
      </c>
      <c r="B401" s="2" t="s">
        <v>934</v>
      </c>
      <c r="C401" s="2" t="s">
        <v>935</v>
      </c>
      <c r="D401" s="2" t="s">
        <v>33</v>
      </c>
      <c r="E401" s="2" t="s">
        <v>49</v>
      </c>
      <c r="F401" s="3" t="n">
        <v>0.000902</v>
      </c>
      <c r="G401" s="3" t="n">
        <f aca="false">SUM($F$2:F401)</f>
        <v>0.719132</v>
      </c>
      <c r="H401" s="4" t="n">
        <v>290.07</v>
      </c>
      <c r="I401" s="5" t="n">
        <v>29.8426</v>
      </c>
      <c r="J401" s="4" t="n">
        <v>9.72</v>
      </c>
      <c r="K401" s="5" t="n">
        <v>5.7827</v>
      </c>
      <c r="L401" s="6" t="n">
        <v>19.9032</v>
      </c>
      <c r="M401" s="5" t="n">
        <f aca="false">IF(AND(N(K401)&gt;0,N(L401)&gt;0),K401/L401,"")</f>
        <v>0.290541219502392</v>
      </c>
      <c r="N401" s="2"/>
    </row>
    <row r="402" customFormat="false" ht="15" hidden="false" customHeight="false" outlineLevel="0" collapsed="false">
      <c r="A402" s="2" t="n">
        <v>401</v>
      </c>
      <c r="B402" s="2" t="s">
        <v>936</v>
      </c>
      <c r="C402" s="2" t="s">
        <v>937</v>
      </c>
      <c r="D402" s="2" t="s">
        <v>79</v>
      </c>
      <c r="E402" s="2" t="s">
        <v>80</v>
      </c>
      <c r="F402" s="3" t="n">
        <v>0.000902</v>
      </c>
      <c r="G402" s="3" t="n">
        <f aca="false">SUM($F$2:F402)</f>
        <v>0.720034</v>
      </c>
      <c r="H402" s="4" t="n">
        <v>32.74</v>
      </c>
      <c r="I402" s="5" t="n">
        <v>17.508</v>
      </c>
      <c r="J402" s="4" t="n">
        <v>1.87</v>
      </c>
      <c r="K402" s="5" t="n">
        <v>4.6925</v>
      </c>
      <c r="L402" s="6" t="n">
        <v>7.3643</v>
      </c>
      <c r="M402" s="5" t="n">
        <f aca="false">IF(AND(N(K402)&gt;0,N(L402)&gt;0),K402/L402,"")</f>
        <v>0.637195660144209</v>
      </c>
      <c r="N402" s="2"/>
    </row>
    <row r="403" customFormat="false" ht="15" hidden="false" customHeight="false" outlineLevel="0" collapsed="false">
      <c r="A403" s="2" t="n">
        <v>402</v>
      </c>
      <c r="B403" s="2" t="s">
        <v>938</v>
      </c>
      <c r="C403" s="2" t="s">
        <v>939</v>
      </c>
      <c r="D403" s="2" t="s">
        <v>58</v>
      </c>
      <c r="E403" s="2" t="s">
        <v>700</v>
      </c>
      <c r="F403" s="3" t="n">
        <v>0.0009</v>
      </c>
      <c r="G403" s="3" t="n">
        <f aca="false">SUM($F$2:F403)</f>
        <v>0.720934</v>
      </c>
      <c r="H403" s="4" t="n">
        <v>150.55</v>
      </c>
      <c r="I403" s="5" t="n">
        <v>18.2044</v>
      </c>
      <c r="J403" s="4" t="n">
        <v>8.27</v>
      </c>
      <c r="K403" s="5" t="n">
        <v>3.9241</v>
      </c>
      <c r="L403" s="6" t="n">
        <v>3.436</v>
      </c>
      <c r="M403" s="5" t="n">
        <f aca="false">IF(AND(N(K403)&gt;0,N(L403)&gt;0),K403/L403,"")</f>
        <v>1.14205471478463</v>
      </c>
      <c r="N403" s="2"/>
    </row>
    <row r="404" customFormat="false" ht="15" hidden="false" customHeight="false" outlineLevel="0" collapsed="false">
      <c r="A404" s="2" t="n">
        <v>403</v>
      </c>
      <c r="B404" s="2" t="s">
        <v>940</v>
      </c>
      <c r="C404" s="2" t="s">
        <v>941</v>
      </c>
      <c r="D404" s="2" t="s">
        <v>16</v>
      </c>
      <c r="E404" s="2" t="s">
        <v>143</v>
      </c>
      <c r="F404" s="3" t="n">
        <v>0.000898</v>
      </c>
      <c r="G404" s="3" t="n">
        <f aca="false">SUM($F$2:F404)</f>
        <v>0.721832</v>
      </c>
      <c r="H404" s="4" t="n">
        <v>31.24</v>
      </c>
      <c r="I404" s="5" t="n">
        <v>12.9627</v>
      </c>
      <c r="J404" s="4" t="n">
        <v>2.41</v>
      </c>
      <c r="K404" s="5" t="n">
        <v>4.2236</v>
      </c>
      <c r="L404" s="6" t="n">
        <v>1.3765</v>
      </c>
      <c r="M404" s="5" t="n">
        <f aca="false">IF(AND(N(K404)&gt;0,N(L404)&gt;0),K404/L404,"")</f>
        <v>3.0683617871413</v>
      </c>
      <c r="N404" s="2"/>
    </row>
    <row r="405" customFormat="false" ht="15" hidden="false" customHeight="false" outlineLevel="0" collapsed="false">
      <c r="A405" s="2" t="n">
        <v>404</v>
      </c>
      <c r="B405" s="2" t="s">
        <v>942</v>
      </c>
      <c r="C405" s="2" t="s">
        <v>943</v>
      </c>
      <c r="D405" s="2" t="s">
        <v>16</v>
      </c>
      <c r="E405" s="2" t="s">
        <v>148</v>
      </c>
      <c r="F405" s="3" t="n">
        <v>0.000898</v>
      </c>
      <c r="G405" s="3" t="n">
        <f aca="false">SUM($F$2:F405)</f>
        <v>0.72273</v>
      </c>
      <c r="H405" s="4" t="n">
        <v>209.84</v>
      </c>
      <c r="I405" s="5" t="n">
        <v>47.9087</v>
      </c>
      <c r="J405" s="4" t="n">
        <v>4.38</v>
      </c>
      <c r="K405" s="5" t="n">
        <v>7.4319</v>
      </c>
      <c r="L405" s="6" t="n">
        <v>7.14</v>
      </c>
      <c r="M405" s="5" t="n">
        <f aca="false">IF(AND(N(K405)&gt;0,N(L405)&gt;0),K405/L405,"")</f>
        <v>1.04088235294118</v>
      </c>
      <c r="N405" s="2"/>
    </row>
    <row r="406" customFormat="false" ht="15" hidden="false" customHeight="false" outlineLevel="0" collapsed="false">
      <c r="A406" s="2" t="n">
        <v>405</v>
      </c>
      <c r="B406" s="2" t="s">
        <v>944</v>
      </c>
      <c r="C406" s="2" t="s">
        <v>945</v>
      </c>
      <c r="D406" s="2" t="s">
        <v>26</v>
      </c>
      <c r="E406" s="2" t="s">
        <v>103</v>
      </c>
      <c r="F406" s="3" t="n">
        <v>0.000898</v>
      </c>
      <c r="G406" s="3" t="n">
        <f aca="false">SUM($F$2:F406)</f>
        <v>0.723628</v>
      </c>
      <c r="H406" s="4" t="n">
        <v>24.26</v>
      </c>
      <c r="I406" s="5" t="n">
        <v>10.5939</v>
      </c>
      <c r="J406" s="4" t="n">
        <v>2.29</v>
      </c>
      <c r="K406" s="5" t="n">
        <v>6.6641</v>
      </c>
      <c r="L406" s="6" t="n">
        <v>4.5031</v>
      </c>
      <c r="M406" s="5" t="n">
        <f aca="false">IF(AND(N(K406)&gt;0,N(L406)&gt;0),K406/L406,"")</f>
        <v>1.4798916302103</v>
      </c>
      <c r="N406" s="2"/>
    </row>
    <row r="407" customFormat="false" ht="15" hidden="false" customHeight="false" outlineLevel="0" collapsed="false">
      <c r="A407" s="2" t="n">
        <v>406</v>
      </c>
      <c r="B407" s="2" t="s">
        <v>946</v>
      </c>
      <c r="C407" s="2" t="s">
        <v>947</v>
      </c>
      <c r="D407" s="2" t="s">
        <v>22</v>
      </c>
      <c r="E407" s="2" t="s">
        <v>40</v>
      </c>
      <c r="F407" s="3" t="n">
        <v>0.000897</v>
      </c>
      <c r="G407" s="3" t="n">
        <f aca="false">SUM($F$2:F407)</f>
        <v>0.724525</v>
      </c>
      <c r="H407" s="4" t="n">
        <v>85.65</v>
      </c>
      <c r="I407" s="5"/>
      <c r="J407" s="4" t="n">
        <v>-0.5</v>
      </c>
      <c r="K407" s="5" t="n">
        <v>5.213</v>
      </c>
      <c r="L407" s="6" t="n">
        <v>5.2998</v>
      </c>
      <c r="M407" s="5" t="n">
        <f aca="false">IF(AND(N(K407)&gt;0,N(L407)&gt;0),K407/L407,"")</f>
        <v>0.983622023472584</v>
      </c>
      <c r="N407" s="2" t="s">
        <v>50</v>
      </c>
    </row>
    <row r="408" customFormat="false" ht="15" hidden="false" customHeight="false" outlineLevel="0" collapsed="false">
      <c r="A408" s="2" t="n">
        <v>407</v>
      </c>
      <c r="B408" s="2" t="s">
        <v>948</v>
      </c>
      <c r="C408" s="2" t="s">
        <v>949</v>
      </c>
      <c r="D408" s="2" t="s">
        <v>62</v>
      </c>
      <c r="E408" s="2" t="s">
        <v>950</v>
      </c>
      <c r="F408" s="3" t="n">
        <v>0.000897</v>
      </c>
      <c r="G408" s="3" t="n">
        <f aca="false">SUM($F$2:F408)</f>
        <v>0.725422</v>
      </c>
      <c r="H408" s="4" t="n">
        <v>44.38</v>
      </c>
      <c r="I408" s="5"/>
      <c r="J408" s="4" t="n">
        <v>-10.59</v>
      </c>
      <c r="K408" s="5" t="n">
        <v>4.8707</v>
      </c>
      <c r="L408" s="6" t="n">
        <v>0.5015</v>
      </c>
      <c r="M408" s="5" t="n">
        <f aca="false">IF(AND(N(K408)&gt;0,N(L408)&gt;0),K408/L408,"")</f>
        <v>9.7122632103689</v>
      </c>
      <c r="N408" s="2" t="s">
        <v>50</v>
      </c>
    </row>
    <row r="409" customFormat="false" ht="15" hidden="false" customHeight="false" outlineLevel="0" collapsed="false">
      <c r="A409" s="2" t="n">
        <v>408</v>
      </c>
      <c r="B409" s="2" t="s">
        <v>951</v>
      </c>
      <c r="C409" s="2" t="s">
        <v>952</v>
      </c>
      <c r="D409" s="2" t="s">
        <v>22</v>
      </c>
      <c r="E409" s="2" t="s">
        <v>83</v>
      </c>
      <c r="F409" s="3" t="n">
        <v>0.000897</v>
      </c>
      <c r="G409" s="3" t="n">
        <f aca="false">SUM($F$2:F409)</f>
        <v>0.726319</v>
      </c>
      <c r="H409" s="4" t="n">
        <v>111.25</v>
      </c>
      <c r="I409" s="5" t="n">
        <v>16.9073</v>
      </c>
      <c r="J409" s="4" t="n">
        <v>6.58</v>
      </c>
      <c r="K409" s="5" t="n">
        <v>5.031</v>
      </c>
      <c r="L409" s="6" t="n">
        <v>1.4844</v>
      </c>
      <c r="M409" s="5" t="n">
        <f aca="false">IF(AND(N(K409)&gt;0,N(L409)&gt;0),K409/L409,"")</f>
        <v>3.38924818108327</v>
      </c>
      <c r="N409" s="2"/>
    </row>
    <row r="410" customFormat="false" ht="15" hidden="false" customHeight="false" outlineLevel="0" collapsed="false">
      <c r="A410" s="2" t="n">
        <v>409</v>
      </c>
      <c r="B410" s="2" t="s">
        <v>953</v>
      </c>
      <c r="C410" s="2" t="s">
        <v>954</v>
      </c>
      <c r="D410" s="2" t="s">
        <v>93</v>
      </c>
      <c r="E410" s="2" t="s">
        <v>94</v>
      </c>
      <c r="F410" s="3" t="n">
        <v>0.000897</v>
      </c>
      <c r="G410" s="3" t="n">
        <f aca="false">SUM($F$2:F410)</f>
        <v>0.727216</v>
      </c>
      <c r="H410" s="4" t="n">
        <v>21.25</v>
      </c>
      <c r="I410" s="5" t="n">
        <v>6.4006</v>
      </c>
      <c r="J410" s="4" t="n">
        <v>3.32</v>
      </c>
      <c r="K410" s="5" t="n">
        <v>7.4645</v>
      </c>
      <c r="L410" s="6" t="n">
        <v>0.487</v>
      </c>
      <c r="M410" s="5" t="n">
        <f aca="false">IF(AND(N(K410)&gt;0,N(L410)&gt;0),K410/L410,"")</f>
        <v>15.3275154004107</v>
      </c>
      <c r="N410" s="2"/>
    </row>
    <row r="411" customFormat="false" ht="15" hidden="false" customHeight="false" outlineLevel="0" collapsed="false">
      <c r="A411" s="2" t="n">
        <v>410</v>
      </c>
      <c r="B411" s="2" t="s">
        <v>955</v>
      </c>
      <c r="C411" s="2" t="s">
        <v>956</v>
      </c>
      <c r="D411" s="2" t="s">
        <v>22</v>
      </c>
      <c r="E411" s="2" t="s">
        <v>483</v>
      </c>
      <c r="F411" s="3" t="n">
        <v>0.000897</v>
      </c>
      <c r="G411" s="3" t="n">
        <f aca="false">SUM($F$2:F411)</f>
        <v>0.728113</v>
      </c>
      <c r="H411" s="4" t="n">
        <v>140.74</v>
      </c>
      <c r="I411" s="5" t="n">
        <v>17.0387</v>
      </c>
      <c r="J411" s="4" t="n">
        <v>8.26</v>
      </c>
      <c r="K411" s="5" t="n">
        <v>3.8861</v>
      </c>
      <c r="L411" s="6" t="n">
        <v>0.9904</v>
      </c>
      <c r="M411" s="5" t="n">
        <f aca="false">IF(AND(N(K411)&gt;0,N(L411)&gt;0),K411/L411,"")</f>
        <v>3.92376817447496</v>
      </c>
      <c r="N411" s="2"/>
    </row>
    <row r="412" customFormat="false" ht="15" hidden="false" customHeight="false" outlineLevel="0" collapsed="false">
      <c r="A412" s="2" t="n">
        <v>411</v>
      </c>
      <c r="B412" s="2" t="s">
        <v>957</v>
      </c>
      <c r="C412" s="2" t="s">
        <v>958</v>
      </c>
      <c r="D412" s="2" t="s">
        <v>26</v>
      </c>
      <c r="E412" s="2" t="s">
        <v>774</v>
      </c>
      <c r="F412" s="3" t="n">
        <v>0.000896</v>
      </c>
      <c r="G412" s="3" t="n">
        <f aca="false">SUM($F$2:F412)</f>
        <v>0.729009</v>
      </c>
      <c r="H412" s="4" t="n">
        <v>40.29</v>
      </c>
      <c r="I412" s="5"/>
      <c r="J412" s="4" t="n">
        <v>-1.39</v>
      </c>
      <c r="K412" s="5" t="n">
        <v>4.0265</v>
      </c>
      <c r="L412" s="6" t="n">
        <v>1.0076</v>
      </c>
      <c r="M412" s="5" t="n">
        <f aca="false">IF(AND(N(K412)&gt;0,N(L412)&gt;0),K412/L412,"")</f>
        <v>3.99612941643509</v>
      </c>
      <c r="N412" s="2" t="s">
        <v>50</v>
      </c>
    </row>
    <row r="413" customFormat="false" ht="15" hidden="false" customHeight="false" outlineLevel="0" collapsed="false">
      <c r="A413" s="2" t="n">
        <v>412</v>
      </c>
      <c r="B413" s="2" t="s">
        <v>959</v>
      </c>
      <c r="C413" s="2" t="s">
        <v>960</v>
      </c>
      <c r="D413" s="2" t="s">
        <v>93</v>
      </c>
      <c r="E413" s="2" t="s">
        <v>961</v>
      </c>
      <c r="F413" s="3" t="n">
        <v>0.000892</v>
      </c>
      <c r="G413" s="3" t="n">
        <f aca="false">SUM($F$2:F413)</f>
        <v>0.729901</v>
      </c>
      <c r="H413" s="4" t="n">
        <v>66</v>
      </c>
      <c r="I413" s="5"/>
      <c r="J413" s="4" t="n">
        <v>-1.3</v>
      </c>
      <c r="K413" s="5" t="n">
        <v>4.2766</v>
      </c>
      <c r="L413" s="6" t="n">
        <v>0.7596</v>
      </c>
      <c r="M413" s="5" t="n">
        <f aca="false">IF(AND(N(K413)&gt;0,N(L413)&gt;0),K413/L413,"")</f>
        <v>5.63006845708268</v>
      </c>
      <c r="N413" s="2" t="s">
        <v>50</v>
      </c>
    </row>
    <row r="414" customFormat="false" ht="15" hidden="false" customHeight="false" outlineLevel="0" collapsed="false">
      <c r="A414" s="2" t="n">
        <v>413</v>
      </c>
      <c r="B414" s="2" t="s">
        <v>962</v>
      </c>
      <c r="C414" s="2" t="s">
        <v>963</v>
      </c>
      <c r="D414" s="2" t="s">
        <v>16</v>
      </c>
      <c r="E414" s="2" t="s">
        <v>160</v>
      </c>
      <c r="F414" s="3" t="n">
        <v>0.000891</v>
      </c>
      <c r="G414" s="3" t="n">
        <f aca="false">SUM($F$2:F414)</f>
        <v>0.730792</v>
      </c>
      <c r="H414" s="4" t="n">
        <v>223.9</v>
      </c>
      <c r="I414" s="5" t="n">
        <v>71.9936</v>
      </c>
      <c r="J414" s="4" t="n">
        <v>3.11</v>
      </c>
      <c r="K414" s="5" t="n">
        <v>10.3233</v>
      </c>
      <c r="L414" s="6" t="n">
        <v>21.7787</v>
      </c>
      <c r="M414" s="5" t="n">
        <f aca="false">IF(AND(N(K414)&gt;0,N(L414)&gt;0),K414/L414,"")</f>
        <v>0.474009008802178</v>
      </c>
      <c r="N414" s="2"/>
    </row>
    <row r="415" customFormat="false" ht="15" hidden="false" customHeight="false" outlineLevel="0" collapsed="false">
      <c r="A415" s="2" t="n">
        <v>414</v>
      </c>
      <c r="B415" s="2" t="s">
        <v>964</v>
      </c>
      <c r="C415" s="2" t="s">
        <v>965</v>
      </c>
      <c r="D415" s="2" t="s">
        <v>22</v>
      </c>
      <c r="E415" s="2" t="s">
        <v>259</v>
      </c>
      <c r="F415" s="3" t="n">
        <v>0.00089</v>
      </c>
      <c r="G415" s="3" t="n">
        <f aca="false">SUM($F$2:F415)</f>
        <v>0.731682</v>
      </c>
      <c r="H415" s="4" t="n">
        <v>76.4</v>
      </c>
      <c r="I415" s="5" t="n">
        <v>40.2105</v>
      </c>
      <c r="J415" s="4" t="n">
        <v>1.9</v>
      </c>
      <c r="K415" s="5" t="n">
        <v>6.2995</v>
      </c>
      <c r="L415" s="6" t="n">
        <v>3.26</v>
      </c>
      <c r="M415" s="5" t="n">
        <f aca="false">IF(AND(N(K415)&gt;0,N(L415)&gt;0),K415/L415,"")</f>
        <v>1.93236196319018</v>
      </c>
      <c r="N415" s="2"/>
    </row>
    <row r="416" customFormat="false" ht="15" hidden="false" customHeight="false" outlineLevel="0" collapsed="false">
      <c r="A416" s="2" t="n">
        <v>415</v>
      </c>
      <c r="B416" s="2" t="s">
        <v>966</v>
      </c>
      <c r="C416" s="2" t="s">
        <v>967</v>
      </c>
      <c r="D416" s="2" t="s">
        <v>93</v>
      </c>
      <c r="E416" s="2" t="s">
        <v>269</v>
      </c>
      <c r="F416" s="3" t="n">
        <v>0.000885</v>
      </c>
      <c r="G416" s="3" t="n">
        <f aca="false">SUM($F$2:F416)</f>
        <v>0.732567</v>
      </c>
      <c r="H416" s="4" t="n">
        <v>29.99</v>
      </c>
      <c r="I416" s="5"/>
      <c r="J416" s="4" t="n">
        <v>-0.38</v>
      </c>
      <c r="K416" s="5" t="n">
        <v>3.2262</v>
      </c>
      <c r="L416" s="6" t="n">
        <v>0.4211</v>
      </c>
      <c r="M416" s="5" t="n">
        <f aca="false">IF(AND(N(K416)&gt;0,N(L416)&gt;0),K416/L416,"")</f>
        <v>7.66136309665163</v>
      </c>
      <c r="N416" s="2" t="s">
        <v>50</v>
      </c>
    </row>
    <row r="417" customFormat="false" ht="15" hidden="false" customHeight="false" outlineLevel="0" collapsed="false">
      <c r="A417" s="2" t="n">
        <v>416</v>
      </c>
      <c r="B417" s="2" t="s">
        <v>968</v>
      </c>
      <c r="C417" s="2" t="s">
        <v>969</v>
      </c>
      <c r="D417" s="2" t="s">
        <v>16</v>
      </c>
      <c r="E417" s="2" t="s">
        <v>37</v>
      </c>
      <c r="F417" s="3" t="n">
        <v>0.000883</v>
      </c>
      <c r="G417" s="3" t="n">
        <f aca="false">SUM($F$2:F417)</f>
        <v>0.73345</v>
      </c>
      <c r="H417" s="4" t="n">
        <v>156.7</v>
      </c>
      <c r="I417" s="5" t="n">
        <v>23.2148</v>
      </c>
      <c r="J417" s="4" t="n">
        <v>6.75</v>
      </c>
      <c r="K417" s="5" t="n">
        <v>4.599</v>
      </c>
      <c r="L417" s="6" t="n">
        <v>0.536</v>
      </c>
      <c r="M417" s="5" t="n">
        <f aca="false">IF(AND(N(K417)&gt;0,N(L417)&gt;0),K417/L417,"")</f>
        <v>8.58022388059701</v>
      </c>
      <c r="N417" s="2"/>
    </row>
    <row r="418" customFormat="false" ht="15" hidden="false" customHeight="false" outlineLevel="0" collapsed="false">
      <c r="A418" s="2" t="n">
        <v>417</v>
      </c>
      <c r="B418" s="2" t="s">
        <v>970</v>
      </c>
      <c r="C418" s="2" t="s">
        <v>971</v>
      </c>
      <c r="D418" s="2" t="s">
        <v>58</v>
      </c>
      <c r="E418" s="2" t="s">
        <v>214</v>
      </c>
      <c r="F418" s="3" t="n">
        <v>0.000883</v>
      </c>
      <c r="G418" s="3" t="n">
        <f aca="false">SUM($F$2:F418)</f>
        <v>0.734333</v>
      </c>
      <c r="H418" s="4" t="n">
        <v>79.71</v>
      </c>
      <c r="I418" s="5" t="n">
        <v>17.8322</v>
      </c>
      <c r="J418" s="4" t="n">
        <v>4.47</v>
      </c>
      <c r="K418" s="5" t="n">
        <v>4.735</v>
      </c>
      <c r="L418" s="6" t="n">
        <v>1.6952</v>
      </c>
      <c r="M418" s="5" t="n">
        <f aca="false">IF(AND(N(K418)&gt;0,N(L418)&gt;0),K418/L418,"")</f>
        <v>2.79318074563473</v>
      </c>
      <c r="N418" s="2"/>
    </row>
    <row r="419" customFormat="false" ht="15" hidden="false" customHeight="false" outlineLevel="0" collapsed="false">
      <c r="A419" s="2" t="n">
        <v>418</v>
      </c>
      <c r="B419" s="2" t="s">
        <v>972</v>
      </c>
      <c r="C419" s="2" t="s">
        <v>973</v>
      </c>
      <c r="D419" s="2" t="s">
        <v>16</v>
      </c>
      <c r="E419" s="2" t="s">
        <v>148</v>
      </c>
      <c r="F419" s="3" t="n">
        <v>0.00088</v>
      </c>
      <c r="G419" s="3" t="n">
        <f aca="false">SUM($F$2:F419)</f>
        <v>0.735213</v>
      </c>
      <c r="H419" s="4" t="n">
        <v>47.06</v>
      </c>
      <c r="I419" s="5"/>
      <c r="J419" s="4" t="n">
        <v>-0.11</v>
      </c>
      <c r="K419" s="5" t="n">
        <v>4.0131</v>
      </c>
      <c r="L419" s="6" t="n">
        <v>2.4275</v>
      </c>
      <c r="M419" s="5" t="n">
        <f aca="false">IF(AND(N(K419)&gt;0,N(L419)&gt;0),K419/L419,"")</f>
        <v>1.65318228630278</v>
      </c>
      <c r="N419" s="2" t="s">
        <v>50</v>
      </c>
    </row>
    <row r="420" customFormat="false" ht="15" hidden="false" customHeight="false" outlineLevel="0" collapsed="false">
      <c r="A420" s="2" t="n">
        <v>419</v>
      </c>
      <c r="B420" s="2" t="s">
        <v>974</v>
      </c>
      <c r="C420" s="2" t="s">
        <v>975</v>
      </c>
      <c r="D420" s="2" t="s">
        <v>26</v>
      </c>
      <c r="E420" s="2" t="s">
        <v>27</v>
      </c>
      <c r="F420" s="3" t="n">
        <v>0.00088</v>
      </c>
      <c r="G420" s="3" t="n">
        <f aca="false">SUM($F$2:F420)</f>
        <v>0.736093</v>
      </c>
      <c r="H420" s="4" t="n">
        <v>67.45</v>
      </c>
      <c r="I420" s="5" t="n">
        <v>56.6807</v>
      </c>
      <c r="J420" s="4" t="n">
        <v>1.19</v>
      </c>
      <c r="K420" s="5" t="n">
        <v>4.7035</v>
      </c>
      <c r="L420" s="6" t="n">
        <v>3.4508</v>
      </c>
      <c r="M420" s="5" t="n">
        <f aca="false">IF(AND(N(K420)&gt;0,N(L420)&gt;0),K420/L420,"")</f>
        <v>1.36301727135737</v>
      </c>
      <c r="N420" s="2"/>
    </row>
    <row r="421" customFormat="false" ht="15" hidden="false" customHeight="false" outlineLevel="0" collapsed="false">
      <c r="A421" s="2" t="n">
        <v>420</v>
      </c>
      <c r="B421" s="2" t="s">
        <v>976</v>
      </c>
      <c r="C421" s="2" t="s">
        <v>977</v>
      </c>
      <c r="D421" s="2" t="s">
        <v>22</v>
      </c>
      <c r="E421" s="2" t="s">
        <v>109</v>
      </c>
      <c r="F421" s="3" t="n">
        <v>0.000879</v>
      </c>
      <c r="G421" s="3" t="n">
        <f aca="false">SUM($F$2:F421)</f>
        <v>0.736972</v>
      </c>
      <c r="H421" s="4" t="n">
        <v>94.46</v>
      </c>
      <c r="I421" s="5" t="n">
        <v>37.0431</v>
      </c>
      <c r="J421" s="4" t="n">
        <v>2.55</v>
      </c>
      <c r="K421" s="5" t="n">
        <v>5.3611</v>
      </c>
      <c r="L421" s="6" t="n">
        <v>1.5415</v>
      </c>
      <c r="M421" s="5" t="n">
        <f aca="false">IF(AND(N(K421)&gt;0,N(L421)&gt;0),K421/L421,"")</f>
        <v>3.47784625364904</v>
      </c>
      <c r="N421" s="2"/>
    </row>
    <row r="422" customFormat="false" ht="15" hidden="false" customHeight="false" outlineLevel="0" collapsed="false">
      <c r="A422" s="2" t="n">
        <v>421</v>
      </c>
      <c r="B422" s="2" t="s">
        <v>978</v>
      </c>
      <c r="C422" s="2" t="s">
        <v>979</v>
      </c>
      <c r="D422" s="2" t="s">
        <v>93</v>
      </c>
      <c r="E422" s="2" t="s">
        <v>381</v>
      </c>
      <c r="F422" s="3" t="n">
        <v>0.000878</v>
      </c>
      <c r="G422" s="3" t="n">
        <f aca="false">SUM($F$2:F422)</f>
        <v>0.73785</v>
      </c>
      <c r="H422" s="4" t="n">
        <v>48.09</v>
      </c>
      <c r="I422" s="5" t="n">
        <v>21.7602</v>
      </c>
      <c r="J422" s="4" t="n">
        <v>2.21</v>
      </c>
      <c r="K422" s="5" t="n">
        <v>5.6136</v>
      </c>
      <c r="L422" s="6" t="n">
        <v>0.7757</v>
      </c>
      <c r="M422" s="5" t="n">
        <f aca="false">IF(AND(N(K422)&gt;0,N(L422)&gt;0),K422/L422,"")</f>
        <v>7.23681835761248</v>
      </c>
      <c r="N422" s="2"/>
    </row>
    <row r="423" customFormat="false" ht="15" hidden="false" customHeight="false" outlineLevel="0" collapsed="false">
      <c r="A423" s="2" t="n">
        <v>422</v>
      </c>
      <c r="B423" s="2" t="s">
        <v>980</v>
      </c>
      <c r="C423" s="2" t="s">
        <v>981</v>
      </c>
      <c r="D423" s="2" t="s">
        <v>33</v>
      </c>
      <c r="E423" s="2" t="s">
        <v>329</v>
      </c>
      <c r="F423" s="3" t="n">
        <v>0.000878</v>
      </c>
      <c r="G423" s="3" t="n">
        <f aca="false">SUM($F$2:F423)</f>
        <v>0.738728</v>
      </c>
      <c r="H423" s="4" t="n">
        <v>85.49</v>
      </c>
      <c r="I423" s="5" t="n">
        <v>35.1811</v>
      </c>
      <c r="J423" s="4" t="n">
        <v>2.43</v>
      </c>
      <c r="K423" s="5" t="n">
        <v>5.1046</v>
      </c>
      <c r="L423" s="6" t="n">
        <v>3.2332</v>
      </c>
      <c r="M423" s="5" t="n">
        <f aca="false">IF(AND(N(K423)&gt;0,N(L423)&gt;0),K423/L423,"")</f>
        <v>1.57880737349994</v>
      </c>
      <c r="N423" s="2"/>
    </row>
    <row r="424" customFormat="false" ht="15" hidden="false" customHeight="false" outlineLevel="0" collapsed="false">
      <c r="A424" s="2" t="n">
        <v>423</v>
      </c>
      <c r="B424" s="2" t="s">
        <v>982</v>
      </c>
      <c r="C424" s="2" t="s">
        <v>983</v>
      </c>
      <c r="D424" s="2" t="s">
        <v>26</v>
      </c>
      <c r="E424" s="2" t="s">
        <v>221</v>
      </c>
      <c r="F424" s="3" t="n">
        <v>0.000877</v>
      </c>
      <c r="G424" s="3" t="n">
        <f aca="false">SUM($F$2:F424)</f>
        <v>0.739605</v>
      </c>
      <c r="H424" s="4" t="n">
        <v>109.1</v>
      </c>
      <c r="I424" s="5" t="n">
        <v>6.9757</v>
      </c>
      <c r="J424" s="4" t="n">
        <v>15.64</v>
      </c>
      <c r="K424" s="5" t="n">
        <v>5.4039</v>
      </c>
      <c r="L424" s="6" t="n">
        <v>4.2841</v>
      </c>
      <c r="M424" s="5" t="n">
        <f aca="false">IF(AND(N(K424)&gt;0,N(L424)&gt;0),K424/L424,"")</f>
        <v>1.26138512172918</v>
      </c>
      <c r="N424" s="2"/>
    </row>
    <row r="425" customFormat="false" ht="15" hidden="false" customHeight="false" outlineLevel="0" collapsed="false">
      <c r="A425" s="2" t="n">
        <v>424</v>
      </c>
      <c r="B425" s="2" t="s">
        <v>984</v>
      </c>
      <c r="C425" s="2" t="s">
        <v>985</v>
      </c>
      <c r="D425" s="2" t="s">
        <v>86</v>
      </c>
      <c r="E425" s="2" t="s">
        <v>442</v>
      </c>
      <c r="F425" s="3" t="n">
        <v>0.000877</v>
      </c>
      <c r="G425" s="3" t="n">
        <f aca="false">SUM($F$2:F425)</f>
        <v>0.740482</v>
      </c>
      <c r="H425" s="4" t="n">
        <v>37</v>
      </c>
      <c r="I425" s="5" t="n">
        <v>32.4561</v>
      </c>
      <c r="J425" s="4" t="n">
        <v>1.14</v>
      </c>
      <c r="K425" s="5" t="n">
        <v>5.2335</v>
      </c>
      <c r="L425" s="6" t="n">
        <v>6.9698</v>
      </c>
      <c r="M425" s="5" t="n">
        <f aca="false">IF(AND(N(K425)&gt;0,N(L425)&gt;0),K425/L425,"")</f>
        <v>0.750882378260495</v>
      </c>
      <c r="N425" s="2"/>
    </row>
    <row r="426" customFormat="false" ht="15" hidden="false" customHeight="false" outlineLevel="0" collapsed="false">
      <c r="A426" s="2" t="n">
        <v>425</v>
      </c>
      <c r="B426" s="2" t="s">
        <v>986</v>
      </c>
      <c r="C426" s="2" t="s">
        <v>987</v>
      </c>
      <c r="D426" s="2" t="s">
        <v>171</v>
      </c>
      <c r="E426" s="2" t="s">
        <v>399</v>
      </c>
      <c r="F426" s="3" t="n">
        <v>0.000874</v>
      </c>
      <c r="G426" s="3" t="n">
        <f aca="false">SUM($F$2:F426)</f>
        <v>0.741356</v>
      </c>
      <c r="H426" s="4" t="n">
        <v>47.07</v>
      </c>
      <c r="I426" s="5" t="n">
        <v>20.8274</v>
      </c>
      <c r="J426" s="4" t="n">
        <v>2.26</v>
      </c>
      <c r="K426" s="5" t="n">
        <v>5.5358</v>
      </c>
      <c r="L426" s="6" t="n">
        <v>1.5664</v>
      </c>
      <c r="M426" s="5" t="n">
        <f aca="false">IF(AND(N(K426)&gt;0,N(L426)&gt;0),K426/L426,"")</f>
        <v>3.53409090909091</v>
      </c>
      <c r="N426" s="2"/>
    </row>
    <row r="427" customFormat="false" ht="15" hidden="false" customHeight="false" outlineLevel="0" collapsed="false">
      <c r="A427" s="2" t="n">
        <v>426</v>
      </c>
      <c r="B427" s="2" t="s">
        <v>988</v>
      </c>
      <c r="C427" s="2" t="s">
        <v>989</v>
      </c>
      <c r="D427" s="2" t="s">
        <v>22</v>
      </c>
      <c r="E427" s="2" t="s">
        <v>302</v>
      </c>
      <c r="F427" s="3" t="n">
        <v>0.000872</v>
      </c>
      <c r="G427" s="3" t="n">
        <f aca="false">SUM($F$2:F427)</f>
        <v>0.742228</v>
      </c>
      <c r="H427" s="4" t="n">
        <v>58.92</v>
      </c>
      <c r="I427" s="5" t="n">
        <v>28.1914</v>
      </c>
      <c r="J427" s="4" t="n">
        <v>2.09</v>
      </c>
      <c r="K427" s="5" t="n">
        <v>6.7346</v>
      </c>
      <c r="L427" s="6" t="n">
        <v>1.0086</v>
      </c>
      <c r="M427" s="5" t="n">
        <f aca="false">IF(AND(N(K427)&gt;0,N(L427)&gt;0),K427/L427,"")</f>
        <v>6.67717628395796</v>
      </c>
      <c r="N427" s="2"/>
    </row>
    <row r="428" customFormat="false" ht="15" hidden="false" customHeight="false" outlineLevel="0" collapsed="false">
      <c r="A428" s="2" t="n">
        <v>427</v>
      </c>
      <c r="B428" s="2" t="s">
        <v>990</v>
      </c>
      <c r="C428" s="2" t="s">
        <v>991</v>
      </c>
      <c r="D428" s="2" t="s">
        <v>22</v>
      </c>
      <c r="E428" s="2" t="s">
        <v>83</v>
      </c>
      <c r="F428" s="3" t="n">
        <v>0.000871</v>
      </c>
      <c r="G428" s="3" t="n">
        <f aca="false">SUM($F$2:F428)</f>
        <v>0.743099</v>
      </c>
      <c r="H428" s="4" t="n">
        <v>21.91</v>
      </c>
      <c r="I428" s="5" t="n">
        <v>15.4296</v>
      </c>
      <c r="J428" s="4" t="n">
        <v>1.42</v>
      </c>
      <c r="K428" s="5" t="n">
        <v>3.4207</v>
      </c>
      <c r="L428" s="6" t="n">
        <v>2.3124</v>
      </c>
      <c r="M428" s="5" t="n">
        <f aca="false">IF(AND(N(K428)&gt;0,N(L428)&gt;0),K428/L428,"")</f>
        <v>1.47928559072825</v>
      </c>
      <c r="N428" s="2"/>
    </row>
    <row r="429" customFormat="false" ht="15" hidden="false" customHeight="false" outlineLevel="0" collapsed="false">
      <c r="A429" s="2" t="n">
        <v>428</v>
      </c>
      <c r="B429" s="2" t="s">
        <v>992</v>
      </c>
      <c r="C429" s="2" t="s">
        <v>993</v>
      </c>
      <c r="D429" s="2" t="s">
        <v>62</v>
      </c>
      <c r="E429" s="2" t="s">
        <v>994</v>
      </c>
      <c r="F429" s="3" t="n">
        <v>0.00087</v>
      </c>
      <c r="G429" s="3" t="n">
        <f aca="false">SUM($F$2:F429)</f>
        <v>0.743969</v>
      </c>
      <c r="H429" s="4" t="n">
        <v>50</v>
      </c>
      <c r="I429" s="5"/>
      <c r="J429" s="4" t="n">
        <v>-0.33</v>
      </c>
      <c r="K429" s="5" t="n">
        <v>8.9051</v>
      </c>
      <c r="L429" s="6" t="n">
        <v>21.3938</v>
      </c>
      <c r="M429" s="5" t="n">
        <f aca="false">IF(AND(N(K429)&gt;0,N(L429)&gt;0),K429/L429,"")</f>
        <v>0.416246763080893</v>
      </c>
      <c r="N429" s="2" t="s">
        <v>50</v>
      </c>
    </row>
    <row r="430" customFormat="false" ht="15" hidden="false" customHeight="false" outlineLevel="0" collapsed="false">
      <c r="A430" s="2" t="n">
        <v>429</v>
      </c>
      <c r="B430" s="2" t="s">
        <v>995</v>
      </c>
      <c r="C430" s="2" t="s">
        <v>996</v>
      </c>
      <c r="D430" s="2" t="s">
        <v>33</v>
      </c>
      <c r="E430" s="2" t="s">
        <v>34</v>
      </c>
      <c r="F430" s="3" t="n">
        <v>0.00087</v>
      </c>
      <c r="G430" s="3" t="n">
        <f aca="false">SUM($F$2:F430)</f>
        <v>0.744839</v>
      </c>
      <c r="H430" s="4" t="n">
        <v>35.53</v>
      </c>
      <c r="I430" s="5" t="n">
        <v>12.7348</v>
      </c>
      <c r="J430" s="4" t="n">
        <v>2.79</v>
      </c>
      <c r="K430" s="5" t="n">
        <v>4.1937</v>
      </c>
      <c r="L430" s="6" t="n">
        <v>3.1508</v>
      </c>
      <c r="M430" s="5" t="n">
        <f aca="false">IF(AND(N(K430)&gt;0,N(L430)&gt;0),K430/L430,"")</f>
        <v>1.33099530278025</v>
      </c>
      <c r="N430" s="2"/>
    </row>
    <row r="431" customFormat="false" ht="15" hidden="false" customHeight="false" outlineLevel="0" collapsed="false">
      <c r="A431" s="2" t="n">
        <v>430</v>
      </c>
      <c r="B431" s="2" t="s">
        <v>997</v>
      </c>
      <c r="C431" s="2" t="s">
        <v>998</v>
      </c>
      <c r="D431" s="2" t="s">
        <v>86</v>
      </c>
      <c r="E431" s="2" t="s">
        <v>717</v>
      </c>
      <c r="F431" s="3" t="n">
        <v>0.00087</v>
      </c>
      <c r="G431" s="3" t="n">
        <f aca="false">SUM($F$2:F431)</f>
        <v>0.745709</v>
      </c>
      <c r="H431" s="4" t="n">
        <v>28.66</v>
      </c>
      <c r="I431" s="5" t="n">
        <v>716.5</v>
      </c>
      <c r="J431" s="4" t="n">
        <v>0.04</v>
      </c>
      <c r="K431" s="5" t="n">
        <v>4.7182</v>
      </c>
      <c r="L431" s="6" t="n">
        <v>4.6011</v>
      </c>
      <c r="M431" s="5" t="n">
        <f aca="false">IF(AND(N(K431)&gt;0,N(L431)&gt;0),K431/L431,"")</f>
        <v>1.02545043576536</v>
      </c>
      <c r="N431" s="2" t="s">
        <v>343</v>
      </c>
    </row>
    <row r="432" customFormat="false" ht="15" hidden="false" customHeight="false" outlineLevel="0" collapsed="false">
      <c r="A432" s="2" t="n">
        <v>431</v>
      </c>
      <c r="B432" s="2" t="s">
        <v>999</v>
      </c>
      <c r="C432" s="2" t="s">
        <v>1000</v>
      </c>
      <c r="D432" s="2" t="s">
        <v>86</v>
      </c>
      <c r="E432" s="2" t="s">
        <v>266</v>
      </c>
      <c r="F432" s="3" t="n">
        <v>0.000868</v>
      </c>
      <c r="G432" s="3" t="n">
        <f aca="false">SUM($F$2:F432)</f>
        <v>0.746577</v>
      </c>
      <c r="H432" s="4" t="n">
        <v>19.87</v>
      </c>
      <c r="I432" s="5" t="n">
        <v>76.4231</v>
      </c>
      <c r="J432" s="4" t="n">
        <v>0.26</v>
      </c>
      <c r="K432" s="5" t="n">
        <v>5.076</v>
      </c>
      <c r="L432" s="6" t="n">
        <v>5.8766</v>
      </c>
      <c r="M432" s="5" t="n">
        <f aca="false">IF(AND(N(K432)&gt;0,N(L432)&gt;0),K432/L432,"")</f>
        <v>0.863764761937175</v>
      </c>
      <c r="N432" s="2"/>
    </row>
    <row r="433" customFormat="false" ht="15" hidden="false" customHeight="false" outlineLevel="0" collapsed="false">
      <c r="A433" s="2" t="n">
        <v>432</v>
      </c>
      <c r="B433" s="2" t="s">
        <v>1001</v>
      </c>
      <c r="C433" s="2" t="s">
        <v>1002</v>
      </c>
      <c r="D433" s="2" t="s">
        <v>62</v>
      </c>
      <c r="E433" s="2" t="s">
        <v>189</v>
      </c>
      <c r="F433" s="3" t="n">
        <v>0.000867</v>
      </c>
      <c r="G433" s="3" t="n">
        <f aca="false">SUM($F$2:F433)</f>
        <v>0.747444</v>
      </c>
      <c r="H433" s="4" t="n">
        <v>76.59</v>
      </c>
      <c r="I433" s="5" t="n">
        <v>21.4538</v>
      </c>
      <c r="J433" s="4" t="n">
        <v>3.57</v>
      </c>
      <c r="K433" s="5" t="n">
        <v>3.9544</v>
      </c>
      <c r="L433" s="6" t="n">
        <v>1.0882</v>
      </c>
      <c r="M433" s="5" t="n">
        <f aca="false">IF(AND(N(K433)&gt;0,N(L433)&gt;0),K433/L433,"")</f>
        <v>3.63389082889175</v>
      </c>
      <c r="N433" s="2"/>
    </row>
    <row r="434" customFormat="false" ht="15" hidden="false" customHeight="false" outlineLevel="0" collapsed="false">
      <c r="A434" s="2" t="n">
        <v>433</v>
      </c>
      <c r="B434" s="2" t="s">
        <v>1003</v>
      </c>
      <c r="C434" s="2" t="s">
        <v>1004</v>
      </c>
      <c r="D434" s="2" t="s">
        <v>93</v>
      </c>
      <c r="E434" s="2" t="s">
        <v>1005</v>
      </c>
      <c r="F434" s="3" t="n">
        <v>0.000866</v>
      </c>
      <c r="G434" s="3" t="n">
        <f aca="false">SUM($F$2:F434)</f>
        <v>0.74831</v>
      </c>
      <c r="H434" s="4" t="n">
        <v>73.4</v>
      </c>
      <c r="I434" s="5"/>
      <c r="J434" s="4" t="n">
        <v>-3.41</v>
      </c>
      <c r="K434" s="5" t="n">
        <v>3.3865</v>
      </c>
      <c r="L434" s="6" t="n">
        <v>0.3796</v>
      </c>
      <c r="M434" s="5" t="n">
        <f aca="false">IF(AND(N(K434)&gt;0,N(L434)&gt;0),K434/L434,"")</f>
        <v>8.92123287671233</v>
      </c>
      <c r="N434" s="2" t="s">
        <v>50</v>
      </c>
    </row>
    <row r="435" customFormat="false" ht="15" hidden="false" customHeight="false" outlineLevel="0" collapsed="false">
      <c r="A435" s="2" t="n">
        <v>434</v>
      </c>
      <c r="B435" s="2" t="s">
        <v>1006</v>
      </c>
      <c r="C435" s="2" t="s">
        <v>1007</v>
      </c>
      <c r="D435" s="2" t="s">
        <v>16</v>
      </c>
      <c r="E435" s="2" t="s">
        <v>106</v>
      </c>
      <c r="F435" s="3" t="n">
        <v>0.000863</v>
      </c>
      <c r="G435" s="3" t="n">
        <f aca="false">SUM($F$2:F435)</f>
        <v>0.749173</v>
      </c>
      <c r="H435" s="4" t="n">
        <v>32.62</v>
      </c>
      <c r="I435" s="5" t="n">
        <v>163.1</v>
      </c>
      <c r="J435" s="4" t="n">
        <v>0.2</v>
      </c>
      <c r="K435" s="5" t="n">
        <v>5.0032</v>
      </c>
      <c r="L435" s="6" t="n">
        <v>1.5073</v>
      </c>
      <c r="M435" s="5" t="n">
        <f aca="false">IF(AND(N(K435)&gt;0,N(L435)&gt;0),K435/L435,"")</f>
        <v>3.31931267829894</v>
      </c>
      <c r="N435" s="2"/>
    </row>
    <row r="436" customFormat="false" ht="15" hidden="false" customHeight="false" outlineLevel="0" collapsed="false">
      <c r="A436" s="2" t="n">
        <v>435</v>
      </c>
      <c r="B436" s="2" t="s">
        <v>1008</v>
      </c>
      <c r="C436" s="2" t="s">
        <v>1009</v>
      </c>
      <c r="D436" s="2" t="s">
        <v>62</v>
      </c>
      <c r="E436" s="2" t="s">
        <v>994</v>
      </c>
      <c r="F436" s="3" t="n">
        <v>0.000861</v>
      </c>
      <c r="G436" s="3" t="n">
        <f aca="false">SUM($F$2:F436)</f>
        <v>0.750034</v>
      </c>
      <c r="H436" s="4" t="n">
        <v>254.63</v>
      </c>
      <c r="I436" s="5" t="n">
        <v>59.493</v>
      </c>
      <c r="J436" s="4" t="n">
        <v>4.28</v>
      </c>
      <c r="K436" s="5" t="n">
        <v>5.3049</v>
      </c>
      <c r="L436" s="6" t="n">
        <v>2.5282</v>
      </c>
      <c r="M436" s="5" t="n">
        <f aca="false">IF(AND(N(K436)&gt;0,N(L436)&gt;0),K436/L436,"")</f>
        <v>2.09829127442449</v>
      </c>
      <c r="N436" s="2"/>
    </row>
    <row r="437" customFormat="false" ht="15" hidden="false" customHeight="false" outlineLevel="0" collapsed="false">
      <c r="A437" s="2" t="n">
        <v>436</v>
      </c>
      <c r="B437" s="2" t="s">
        <v>1010</v>
      </c>
      <c r="C437" s="2" t="s">
        <v>1011</v>
      </c>
      <c r="D437" s="2" t="s">
        <v>22</v>
      </c>
      <c r="E437" s="2" t="s">
        <v>675</v>
      </c>
      <c r="F437" s="3" t="n">
        <v>0.00086</v>
      </c>
      <c r="G437" s="3" t="n">
        <f aca="false">SUM($F$2:F437)</f>
        <v>0.750894</v>
      </c>
      <c r="H437" s="4" t="n">
        <v>32.41</v>
      </c>
      <c r="I437" s="5" t="n">
        <v>25.7222</v>
      </c>
      <c r="J437" s="4" t="n">
        <v>1.26</v>
      </c>
      <c r="K437" s="5" t="n">
        <v>3.2051</v>
      </c>
      <c r="L437" s="6" t="n">
        <v>1.2903</v>
      </c>
      <c r="M437" s="5" t="n">
        <f aca="false">IF(AND(N(K437)&gt;0,N(L437)&gt;0),K437/L437,"")</f>
        <v>2.48399596992947</v>
      </c>
      <c r="N437" s="2"/>
    </row>
    <row r="438" customFormat="false" ht="15" hidden="false" customHeight="false" outlineLevel="0" collapsed="false">
      <c r="A438" s="2" t="n">
        <v>437</v>
      </c>
      <c r="B438" s="2" t="s">
        <v>1012</v>
      </c>
      <c r="C438" s="2" t="s">
        <v>1013</v>
      </c>
      <c r="D438" s="2" t="s">
        <v>79</v>
      </c>
      <c r="E438" s="2" t="s">
        <v>230</v>
      </c>
      <c r="F438" s="3" t="n">
        <v>0.00086</v>
      </c>
      <c r="G438" s="3" t="n">
        <f aca="false">SUM($F$2:F438)</f>
        <v>0.751754</v>
      </c>
      <c r="H438" s="4" t="n">
        <v>73.87</v>
      </c>
      <c r="I438" s="5" t="n">
        <v>17.1392</v>
      </c>
      <c r="J438" s="4" t="n">
        <v>4.31</v>
      </c>
      <c r="K438" s="5" t="n">
        <v>5.2204</v>
      </c>
      <c r="L438" s="6" t="n">
        <v>2.468</v>
      </c>
      <c r="M438" s="5" t="n">
        <f aca="false">IF(AND(N(K438)&gt;0,N(L438)&gt;0),K438/L438,"")</f>
        <v>2.11523500810373</v>
      </c>
      <c r="N438" s="2"/>
    </row>
    <row r="439" customFormat="false" ht="15" hidden="false" customHeight="false" outlineLevel="0" collapsed="false">
      <c r="A439" s="2" t="n">
        <v>438</v>
      </c>
      <c r="B439" s="2" t="s">
        <v>1014</v>
      </c>
      <c r="C439" s="2" t="s">
        <v>1015</v>
      </c>
      <c r="D439" s="2" t="s">
        <v>93</v>
      </c>
      <c r="E439" s="2" t="s">
        <v>1016</v>
      </c>
      <c r="F439" s="3" t="n">
        <v>0.000859</v>
      </c>
      <c r="G439" s="3" t="n">
        <f aca="false">SUM($F$2:F439)</f>
        <v>0.752613</v>
      </c>
      <c r="H439" s="4" t="n">
        <v>123.69</v>
      </c>
      <c r="I439" s="5" t="n">
        <v>10.9752</v>
      </c>
      <c r="J439" s="4" t="n">
        <v>11.27</v>
      </c>
      <c r="K439" s="5" t="n">
        <v>5.9303</v>
      </c>
      <c r="L439" s="6" t="n">
        <v>1.4625</v>
      </c>
      <c r="M439" s="5" t="n">
        <f aca="false">IF(AND(N(K439)&gt;0,N(L439)&gt;0),K439/L439,"")</f>
        <v>4.05490598290598</v>
      </c>
      <c r="N439" s="2"/>
    </row>
    <row r="440" customFormat="false" ht="15" hidden="false" customHeight="false" outlineLevel="0" collapsed="false">
      <c r="A440" s="2" t="n">
        <v>439</v>
      </c>
      <c r="B440" s="2" t="s">
        <v>1017</v>
      </c>
      <c r="C440" s="2" t="s">
        <v>1018</v>
      </c>
      <c r="D440" s="2" t="s">
        <v>93</v>
      </c>
      <c r="E440" s="2" t="s">
        <v>381</v>
      </c>
      <c r="F440" s="3" t="n">
        <v>0.000857</v>
      </c>
      <c r="G440" s="3" t="n">
        <f aca="false">SUM($F$2:F440)</f>
        <v>0.75347</v>
      </c>
      <c r="H440" s="4" t="n">
        <v>34.77</v>
      </c>
      <c r="I440" s="5"/>
      <c r="J440" s="4" t="n">
        <v>-0.62</v>
      </c>
      <c r="K440" s="5" t="n">
        <v>4.2444</v>
      </c>
      <c r="L440" s="6" t="n">
        <v>2.0453</v>
      </c>
      <c r="M440" s="5" t="n">
        <f aca="false">IF(AND(N(K440)&gt;0,N(L440)&gt;0),K440/L440,"")</f>
        <v>2.07519679264656</v>
      </c>
      <c r="N440" s="2" t="s">
        <v>50</v>
      </c>
    </row>
    <row r="441" customFormat="false" ht="15" hidden="false" customHeight="false" outlineLevel="0" collapsed="false">
      <c r="A441" s="2" t="n">
        <v>440</v>
      </c>
      <c r="B441" s="2" t="s">
        <v>1019</v>
      </c>
      <c r="C441" s="2" t="s">
        <v>1020</v>
      </c>
      <c r="D441" s="2" t="s">
        <v>86</v>
      </c>
      <c r="E441" s="2" t="s">
        <v>194</v>
      </c>
      <c r="F441" s="3" t="n">
        <v>0.000855</v>
      </c>
      <c r="G441" s="3" t="n">
        <f aca="false">SUM($F$2:F441)</f>
        <v>0.754325</v>
      </c>
      <c r="H441" s="4" t="n">
        <v>57.43</v>
      </c>
      <c r="I441" s="5" t="n">
        <v>18.4071</v>
      </c>
      <c r="J441" s="4" t="n">
        <v>3.12</v>
      </c>
      <c r="K441" s="5" t="n">
        <v>4.3997</v>
      </c>
      <c r="L441" s="6" t="n">
        <v>5.9537</v>
      </c>
      <c r="M441" s="5" t="n">
        <f aca="false">IF(AND(N(K441)&gt;0,N(L441)&gt;0),K441/L441,"")</f>
        <v>0.738985840737693</v>
      </c>
      <c r="N441" s="2"/>
    </row>
    <row r="442" customFormat="false" ht="15" hidden="false" customHeight="false" outlineLevel="0" collapsed="false">
      <c r="A442" s="2" t="n">
        <v>441</v>
      </c>
      <c r="B442" s="2" t="s">
        <v>1021</v>
      </c>
      <c r="C442" s="2" t="s">
        <v>1022</v>
      </c>
      <c r="D442" s="2" t="s">
        <v>79</v>
      </c>
      <c r="E442" s="2" t="s">
        <v>80</v>
      </c>
      <c r="F442" s="3" t="n">
        <v>0.000854</v>
      </c>
      <c r="G442" s="3" t="n">
        <f aca="false">SUM($F$2:F442)</f>
        <v>0.755179</v>
      </c>
      <c r="H442" s="4" t="n">
        <v>44.82</v>
      </c>
      <c r="I442" s="5" t="n">
        <v>18.3689</v>
      </c>
      <c r="J442" s="4" t="n">
        <v>2.44</v>
      </c>
      <c r="K442" s="5" t="n">
        <v>5.8361</v>
      </c>
      <c r="L442" s="6" t="n">
        <v>5.1685</v>
      </c>
      <c r="M442" s="5" t="n">
        <f aca="false">IF(AND(N(K442)&gt;0,N(L442)&gt;0),K442/L442,"")</f>
        <v>1.12916706974944</v>
      </c>
      <c r="N442" s="2"/>
    </row>
    <row r="443" customFormat="false" ht="15" hidden="false" customHeight="false" outlineLevel="0" collapsed="false">
      <c r="A443" s="2" t="n">
        <v>442</v>
      </c>
      <c r="B443" s="2" t="s">
        <v>1023</v>
      </c>
      <c r="C443" s="2" t="s">
        <v>1024</v>
      </c>
      <c r="D443" s="2" t="s">
        <v>26</v>
      </c>
      <c r="E443" s="2" t="s">
        <v>90</v>
      </c>
      <c r="F443" s="3" t="n">
        <v>0.000851</v>
      </c>
      <c r="G443" s="3" t="n">
        <f aca="false">SUM($F$2:F443)</f>
        <v>0.75603</v>
      </c>
      <c r="H443" s="4" t="n">
        <v>82</v>
      </c>
      <c r="I443" s="5" t="n">
        <v>4.8122</v>
      </c>
      <c r="J443" s="4" t="n">
        <v>17.04</v>
      </c>
      <c r="K443" s="5" t="n">
        <v>4.1082</v>
      </c>
      <c r="L443" s="6" t="n">
        <v>0.4767</v>
      </c>
      <c r="M443" s="5" t="n">
        <f aca="false">IF(AND(N(K443)&gt;0,N(L443)&gt;0),K443/L443,"")</f>
        <v>8.61799874134676</v>
      </c>
      <c r="N443" s="2"/>
    </row>
    <row r="444" customFormat="false" ht="15" hidden="false" customHeight="false" outlineLevel="0" collapsed="false">
      <c r="A444" s="2" t="n">
        <v>443</v>
      </c>
      <c r="B444" s="2" t="s">
        <v>1025</v>
      </c>
      <c r="C444" s="2" t="s">
        <v>1026</v>
      </c>
      <c r="D444" s="2" t="s">
        <v>86</v>
      </c>
      <c r="E444" s="2" t="s">
        <v>266</v>
      </c>
      <c r="F444" s="3" t="n">
        <v>0.000848</v>
      </c>
      <c r="G444" s="3" t="n">
        <f aca="false">SUM($F$2:F444)</f>
        <v>0.756878</v>
      </c>
      <c r="H444" s="4" t="n">
        <v>37.68</v>
      </c>
      <c r="I444" s="5" t="n">
        <v>23.55</v>
      </c>
      <c r="J444" s="4" t="n">
        <v>1.6</v>
      </c>
      <c r="K444" s="5" t="n">
        <v>8.9035</v>
      </c>
      <c r="L444" s="6" t="n">
        <v>15.581</v>
      </c>
      <c r="M444" s="5" t="n">
        <f aca="false">IF(AND(N(K444)&gt;0,N(L444)&gt;0),K444/L444,"")</f>
        <v>0.571433155766639</v>
      </c>
      <c r="N444" s="2"/>
    </row>
    <row r="445" customFormat="false" ht="15" hidden="false" customHeight="false" outlineLevel="0" collapsed="false">
      <c r="A445" s="2" t="n">
        <v>444</v>
      </c>
      <c r="B445" s="2" t="s">
        <v>1027</v>
      </c>
      <c r="C445" s="2" t="s">
        <v>1028</v>
      </c>
      <c r="D445" s="2" t="s">
        <v>93</v>
      </c>
      <c r="E445" s="2" t="s">
        <v>285</v>
      </c>
      <c r="F445" s="3" t="n">
        <v>0.000847</v>
      </c>
      <c r="G445" s="3" t="n">
        <f aca="false">SUM($F$2:F445)</f>
        <v>0.757725</v>
      </c>
      <c r="H445" s="4" t="n">
        <v>99.47</v>
      </c>
      <c r="I445" s="5" t="n">
        <v>26.9566</v>
      </c>
      <c r="J445" s="4" t="n">
        <v>3.69</v>
      </c>
      <c r="K445" s="5" t="n">
        <v>4.9497</v>
      </c>
      <c r="L445" s="6" t="n">
        <v>1.2766</v>
      </c>
      <c r="M445" s="5" t="n">
        <f aca="false">IF(AND(N(K445)&gt;0,N(L445)&gt;0),K445/L445,"")</f>
        <v>3.87725207582641</v>
      </c>
      <c r="N445" s="2"/>
    </row>
    <row r="446" customFormat="false" ht="15" hidden="false" customHeight="false" outlineLevel="0" collapsed="false">
      <c r="A446" s="2" t="n">
        <v>445</v>
      </c>
      <c r="B446" s="2" t="s">
        <v>1029</v>
      </c>
      <c r="C446" s="2" t="s">
        <v>1030</v>
      </c>
      <c r="D446" s="2" t="s">
        <v>33</v>
      </c>
      <c r="E446" s="2" t="s">
        <v>46</v>
      </c>
      <c r="F446" s="3" t="n">
        <v>0.000847</v>
      </c>
      <c r="G446" s="3" t="n">
        <f aca="false">SUM($F$2:F446)</f>
        <v>0.758572</v>
      </c>
      <c r="H446" s="4" t="n">
        <v>23.95</v>
      </c>
      <c r="I446" s="5" t="n">
        <v>18.1439</v>
      </c>
      <c r="J446" s="4" t="n">
        <v>1.32</v>
      </c>
      <c r="K446" s="5" t="n">
        <v>3.5874</v>
      </c>
      <c r="L446" s="6" t="n">
        <v>0.6301</v>
      </c>
      <c r="M446" s="5" t="n">
        <f aca="false">IF(AND(N(K446)&gt;0,N(L446)&gt;0),K446/L446,"")</f>
        <v>5.69338200285669</v>
      </c>
      <c r="N446" s="2"/>
    </row>
    <row r="447" customFormat="false" ht="15" hidden="false" customHeight="false" outlineLevel="0" collapsed="false">
      <c r="A447" s="2" t="n">
        <v>446</v>
      </c>
      <c r="B447" s="2" t="s">
        <v>1031</v>
      </c>
      <c r="C447" s="2" t="s">
        <v>1032</v>
      </c>
      <c r="D447" s="2" t="s">
        <v>171</v>
      </c>
      <c r="E447" s="2" t="s">
        <v>496</v>
      </c>
      <c r="F447" s="3" t="n">
        <v>0.000847</v>
      </c>
      <c r="G447" s="3" t="n">
        <f aca="false">SUM($F$2:F447)</f>
        <v>0.759419</v>
      </c>
      <c r="H447" s="4" t="n">
        <v>79.76</v>
      </c>
      <c r="I447" s="5" t="n">
        <v>17.6071</v>
      </c>
      <c r="J447" s="4" t="n">
        <v>4.53</v>
      </c>
      <c r="K447" s="5" t="n">
        <v>4.7148</v>
      </c>
      <c r="L447" s="6" t="n">
        <v>1.7669</v>
      </c>
      <c r="M447" s="5" t="n">
        <f aca="false">IF(AND(N(K447)&gt;0,N(L447)&gt;0),K447/L447,"")</f>
        <v>2.66840228649046</v>
      </c>
      <c r="N447" s="2"/>
    </row>
    <row r="448" customFormat="false" ht="15" hidden="false" customHeight="false" outlineLevel="0" collapsed="false">
      <c r="A448" s="2" t="n">
        <v>447</v>
      </c>
      <c r="B448" s="2" t="s">
        <v>1033</v>
      </c>
      <c r="C448" s="2" t="s">
        <v>1034</v>
      </c>
      <c r="D448" s="2" t="s">
        <v>93</v>
      </c>
      <c r="E448" s="2" t="s">
        <v>285</v>
      </c>
      <c r="F448" s="3" t="n">
        <v>0.000847</v>
      </c>
      <c r="G448" s="3" t="n">
        <f aca="false">SUM($F$2:F448)</f>
        <v>0.760266</v>
      </c>
      <c r="H448" s="4" t="n">
        <v>52</v>
      </c>
      <c r="I448" s="5" t="n">
        <v>92.8571</v>
      </c>
      <c r="J448" s="4" t="n">
        <v>0.56</v>
      </c>
      <c r="K448" s="5" t="n">
        <v>6.0739</v>
      </c>
      <c r="L448" s="6" t="n">
        <v>4.4208</v>
      </c>
      <c r="M448" s="5" t="n">
        <f aca="false">IF(AND(N(K448)&gt;0,N(L448)&gt;0),K448/L448,"")</f>
        <v>1.37393684401013</v>
      </c>
      <c r="N448" s="2"/>
    </row>
    <row r="449" customFormat="false" ht="15" hidden="false" customHeight="false" outlineLevel="0" collapsed="false">
      <c r="A449" s="2" t="n">
        <v>448</v>
      </c>
      <c r="B449" s="2" t="s">
        <v>1035</v>
      </c>
      <c r="C449" s="2" t="s">
        <v>1036</v>
      </c>
      <c r="D449" s="2" t="s">
        <v>22</v>
      </c>
      <c r="E449" s="2" t="s">
        <v>259</v>
      </c>
      <c r="F449" s="3" t="n">
        <v>0.000838</v>
      </c>
      <c r="G449" s="3" t="n">
        <f aca="false">SUM($F$2:F449)</f>
        <v>0.761104</v>
      </c>
      <c r="H449" s="4" t="n">
        <v>65.05</v>
      </c>
      <c r="I449" s="5" t="n">
        <v>84.4805</v>
      </c>
      <c r="J449" s="4" t="n">
        <v>0.77</v>
      </c>
      <c r="K449" s="5" t="n">
        <v>4.5485</v>
      </c>
      <c r="L449" s="6" t="n">
        <v>1.8423</v>
      </c>
      <c r="M449" s="5" t="n">
        <f aca="false">IF(AND(N(K449)&gt;0,N(L449)&gt;0),K449/L449,"")</f>
        <v>2.46892471367313</v>
      </c>
      <c r="N449" s="2"/>
    </row>
    <row r="450" customFormat="false" ht="15" hidden="false" customHeight="false" outlineLevel="0" collapsed="false">
      <c r="A450" s="2" t="n">
        <v>449</v>
      </c>
      <c r="B450" s="2" t="s">
        <v>1037</v>
      </c>
      <c r="C450" s="2" t="s">
        <v>1038</v>
      </c>
      <c r="D450" s="2" t="s">
        <v>58</v>
      </c>
      <c r="E450" s="2" t="s">
        <v>326</v>
      </c>
      <c r="F450" s="3" t="n">
        <v>0.000836</v>
      </c>
      <c r="G450" s="3" t="n">
        <f aca="false">SUM($F$2:F450)</f>
        <v>0.76194</v>
      </c>
      <c r="H450" s="4" t="n">
        <v>19.93</v>
      </c>
      <c r="I450" s="5" t="n">
        <v>15.2137</v>
      </c>
      <c r="J450" s="4" t="n">
        <v>1.31</v>
      </c>
      <c r="K450" s="5" t="n">
        <v>5.9433</v>
      </c>
      <c r="L450" s="6" t="n">
        <v>0.6099</v>
      </c>
      <c r="M450" s="5" t="n">
        <f aca="false">IF(AND(N(K450)&gt;0,N(L450)&gt;0),K450/L450,"")</f>
        <v>9.74471224790949</v>
      </c>
      <c r="N450" s="2"/>
    </row>
    <row r="451" customFormat="false" ht="15" hidden="false" customHeight="false" outlineLevel="0" collapsed="false">
      <c r="A451" s="2" t="n">
        <v>450</v>
      </c>
      <c r="B451" s="2" t="s">
        <v>1039</v>
      </c>
      <c r="C451" s="2" t="s">
        <v>1040</v>
      </c>
      <c r="D451" s="2" t="s">
        <v>22</v>
      </c>
      <c r="E451" s="2" t="s">
        <v>675</v>
      </c>
      <c r="F451" s="3" t="n">
        <v>0.000835</v>
      </c>
      <c r="G451" s="3" t="n">
        <f aca="false">SUM($F$2:F451)</f>
        <v>0.762775</v>
      </c>
      <c r="H451" s="4" t="n">
        <v>30.25</v>
      </c>
      <c r="I451" s="5" t="n">
        <v>14.2689</v>
      </c>
      <c r="J451" s="4" t="n">
        <v>2.12</v>
      </c>
      <c r="K451" s="5" t="n">
        <v>3.9815</v>
      </c>
      <c r="L451" s="6" t="n">
        <v>1.4082</v>
      </c>
      <c r="M451" s="5" t="n">
        <f aca="false">IF(AND(N(K451)&gt;0,N(L451)&gt;0),K451/L451,"")</f>
        <v>2.82736827155234</v>
      </c>
      <c r="N451" s="2"/>
    </row>
    <row r="452" customFormat="false" ht="15" hidden="false" customHeight="false" outlineLevel="0" collapsed="false">
      <c r="A452" s="2" t="n">
        <v>451</v>
      </c>
      <c r="B452" s="2" t="s">
        <v>1041</v>
      </c>
      <c r="C452" s="2" t="s">
        <v>1042</v>
      </c>
      <c r="D452" s="2" t="s">
        <v>93</v>
      </c>
      <c r="E452" s="2" t="s">
        <v>1005</v>
      </c>
      <c r="F452" s="3" t="n">
        <v>0.000835</v>
      </c>
      <c r="G452" s="3" t="n">
        <f aca="false">SUM($F$2:F452)</f>
        <v>0.76361</v>
      </c>
      <c r="H452" s="4" t="n">
        <v>13.05</v>
      </c>
      <c r="I452" s="5" t="n">
        <v>18.913</v>
      </c>
      <c r="J452" s="4" t="n">
        <v>0.69</v>
      </c>
      <c r="K452" s="5" t="n">
        <v>5.1304</v>
      </c>
      <c r="L452" s="6" t="n">
        <v>0.5393</v>
      </c>
      <c r="M452" s="5" t="n">
        <f aca="false">IF(AND(N(K452)&gt;0,N(L452)&gt;0),K452/L452,"")</f>
        <v>9.51307250139069</v>
      </c>
      <c r="N452" s="2"/>
    </row>
    <row r="453" customFormat="false" ht="15" hidden="false" customHeight="false" outlineLevel="0" collapsed="false">
      <c r="A453" s="2" t="n">
        <v>452</v>
      </c>
      <c r="B453" s="2" t="s">
        <v>1043</v>
      </c>
      <c r="C453" s="2" t="s">
        <v>1044</v>
      </c>
      <c r="D453" s="2" t="s">
        <v>58</v>
      </c>
      <c r="E453" s="2" t="s">
        <v>452</v>
      </c>
      <c r="F453" s="3" t="n">
        <v>0.000831</v>
      </c>
      <c r="G453" s="3" t="n">
        <f aca="false">SUM($F$2:F453)</f>
        <v>0.764441</v>
      </c>
      <c r="H453" s="4" t="n">
        <v>28.02</v>
      </c>
      <c r="I453" s="5" t="n">
        <v>121.8261</v>
      </c>
      <c r="J453" s="4" t="n">
        <v>0.23</v>
      </c>
      <c r="K453" s="5" t="n">
        <v>7.09</v>
      </c>
      <c r="L453" s="6" t="n">
        <v>2.3267</v>
      </c>
      <c r="M453" s="5" t="n">
        <f aca="false">IF(AND(N(K453)&gt;0,N(L453)&gt;0),K453/L453,"")</f>
        <v>3.04723428031117</v>
      </c>
      <c r="N453" s="2"/>
    </row>
    <row r="454" customFormat="false" ht="15" hidden="false" customHeight="false" outlineLevel="0" collapsed="false">
      <c r="A454" s="2" t="n">
        <v>453</v>
      </c>
      <c r="B454" s="2" t="s">
        <v>1045</v>
      </c>
      <c r="C454" s="2" t="s">
        <v>1046</v>
      </c>
      <c r="D454" s="2" t="s">
        <v>22</v>
      </c>
      <c r="E454" s="2" t="s">
        <v>117</v>
      </c>
      <c r="F454" s="3" t="n">
        <v>0.000831</v>
      </c>
      <c r="G454" s="3" t="n">
        <f aca="false">SUM($F$2:F454)</f>
        <v>0.765272</v>
      </c>
      <c r="H454" s="4" t="n">
        <v>133.63</v>
      </c>
      <c r="I454" s="5" t="n">
        <v>20.3704</v>
      </c>
      <c r="J454" s="4" t="n">
        <v>6.56</v>
      </c>
      <c r="K454" s="5" t="n">
        <v>4.0158</v>
      </c>
      <c r="L454" s="6" t="n">
        <v>2.3951</v>
      </c>
      <c r="M454" s="5" t="n">
        <f aca="false">IF(AND(N(K454)&gt;0,N(L454)&gt;0),K454/L454,"")</f>
        <v>1.67667320779926</v>
      </c>
      <c r="N454" s="2"/>
    </row>
    <row r="455" customFormat="false" ht="15" hidden="false" customHeight="false" outlineLevel="0" collapsed="false">
      <c r="A455" s="2" t="n">
        <v>454</v>
      </c>
      <c r="B455" s="2" t="s">
        <v>1047</v>
      </c>
      <c r="C455" s="2" t="s">
        <v>1048</v>
      </c>
      <c r="D455" s="2" t="s">
        <v>33</v>
      </c>
      <c r="E455" s="2" t="s">
        <v>244</v>
      </c>
      <c r="F455" s="3" t="n">
        <v>0.000831</v>
      </c>
      <c r="G455" s="3" t="n">
        <f aca="false">SUM($F$2:F455)</f>
        <v>0.766103</v>
      </c>
      <c r="H455" s="4" t="n">
        <v>78.17</v>
      </c>
      <c r="I455" s="5" t="n">
        <v>23.059</v>
      </c>
      <c r="J455" s="4" t="n">
        <v>3.39</v>
      </c>
      <c r="K455" s="5" t="n">
        <v>4.2942</v>
      </c>
      <c r="L455" s="6" t="n">
        <v>2.9182</v>
      </c>
      <c r="M455" s="5" t="n">
        <f aca="false">IF(AND(N(K455)&gt;0,N(L455)&gt;0),K455/L455,"")</f>
        <v>1.4715235419094</v>
      </c>
      <c r="N455" s="2"/>
    </row>
    <row r="456" customFormat="false" ht="15" hidden="false" customHeight="false" outlineLevel="0" collapsed="false">
      <c r="A456" s="2" t="n">
        <v>455</v>
      </c>
      <c r="B456" s="2" t="s">
        <v>1049</v>
      </c>
      <c r="C456" s="2" t="s">
        <v>1050</v>
      </c>
      <c r="D456" s="2" t="s">
        <v>22</v>
      </c>
      <c r="E456" s="2" t="s">
        <v>1051</v>
      </c>
      <c r="F456" s="3" t="n">
        <v>0.000826</v>
      </c>
      <c r="G456" s="3" t="n">
        <f aca="false">SUM($F$2:F456)</f>
        <v>0.766929</v>
      </c>
      <c r="H456" s="4" t="n">
        <v>36.96</v>
      </c>
      <c r="I456" s="5" t="n">
        <v>32.1391</v>
      </c>
      <c r="J456" s="4" t="n">
        <v>1.15</v>
      </c>
      <c r="K456" s="5" t="n">
        <v>3.7833</v>
      </c>
      <c r="L456" s="6" t="n">
        <v>0.7147</v>
      </c>
      <c r="M456" s="5" t="n">
        <f aca="false">IF(AND(N(K456)&gt;0,N(L456)&gt;0),K456/L456,"")</f>
        <v>5.29354974115013</v>
      </c>
      <c r="N456" s="2"/>
    </row>
    <row r="457" customFormat="false" ht="15" hidden="false" customHeight="false" outlineLevel="0" collapsed="false">
      <c r="A457" s="2" t="n">
        <v>456</v>
      </c>
      <c r="B457" s="2" t="s">
        <v>1052</v>
      </c>
      <c r="C457" s="2" t="s">
        <v>1053</v>
      </c>
      <c r="D457" s="2" t="s">
        <v>93</v>
      </c>
      <c r="E457" s="2" t="s">
        <v>238</v>
      </c>
      <c r="F457" s="3" t="n">
        <v>0.00082</v>
      </c>
      <c r="G457" s="3" t="n">
        <f aca="false">SUM($F$2:F457)</f>
        <v>0.767749</v>
      </c>
      <c r="H457" s="4" t="n">
        <v>47.86</v>
      </c>
      <c r="I457" s="5" t="n">
        <v>11.6448</v>
      </c>
      <c r="J457" s="4" t="n">
        <v>4.11</v>
      </c>
      <c r="K457" s="5" t="n">
        <v>2.9343</v>
      </c>
      <c r="L457" s="6" t="n">
        <v>0.5331</v>
      </c>
      <c r="M457" s="5" t="n">
        <f aca="false">IF(AND(N(K457)&gt;0,N(L457)&gt;0),K457/L457,"")</f>
        <v>5.50422059651097</v>
      </c>
      <c r="N457" s="2"/>
    </row>
    <row r="458" customFormat="false" ht="15" hidden="false" customHeight="false" outlineLevel="0" collapsed="false">
      <c r="A458" s="2" t="n">
        <v>457</v>
      </c>
      <c r="B458" s="2" t="s">
        <v>1054</v>
      </c>
      <c r="C458" s="2" t="s">
        <v>1055</v>
      </c>
      <c r="D458" s="2" t="s">
        <v>79</v>
      </c>
      <c r="E458" s="2" t="s">
        <v>1056</v>
      </c>
      <c r="F458" s="3" t="n">
        <v>0.000819</v>
      </c>
      <c r="G458" s="3" t="n">
        <f aca="false">SUM($F$2:F458)</f>
        <v>0.768568</v>
      </c>
      <c r="H458" s="4" t="n">
        <v>40.06</v>
      </c>
      <c r="I458" s="5" t="n">
        <v>54.1351</v>
      </c>
      <c r="J458" s="4" t="n">
        <v>0.74</v>
      </c>
      <c r="K458" s="5" t="n">
        <v>10.2661</v>
      </c>
      <c r="L458" s="6" t="n">
        <v>3.2455</v>
      </c>
      <c r="M458" s="5" t="n">
        <f aca="false">IF(AND(N(K458)&gt;0,N(L458)&gt;0),K458/L458,"")</f>
        <v>3.16317978739794</v>
      </c>
      <c r="N458" s="2"/>
    </row>
    <row r="459" customFormat="false" ht="15" hidden="false" customHeight="false" outlineLevel="0" collapsed="false">
      <c r="A459" s="2" t="n">
        <v>458</v>
      </c>
      <c r="B459" s="2" t="s">
        <v>1057</v>
      </c>
      <c r="C459" s="2" t="s">
        <v>1058</v>
      </c>
      <c r="D459" s="2" t="s">
        <v>66</v>
      </c>
      <c r="E459" s="2" t="s">
        <v>67</v>
      </c>
      <c r="F459" s="3" t="n">
        <v>0.000818</v>
      </c>
      <c r="G459" s="3" t="n">
        <f aca="false">SUM($F$2:F459)</f>
        <v>0.769386</v>
      </c>
      <c r="H459" s="4" t="n">
        <v>36.25</v>
      </c>
      <c r="I459" s="5" t="n">
        <v>20.2514</v>
      </c>
      <c r="J459" s="4" t="n">
        <v>1.79</v>
      </c>
      <c r="K459" s="5" t="n">
        <v>4.2018</v>
      </c>
      <c r="L459" s="6" t="n">
        <v>1.2493</v>
      </c>
      <c r="M459" s="5" t="n">
        <f aca="false">IF(AND(N(K459)&gt;0,N(L459)&gt;0),K459/L459,"")</f>
        <v>3.36332346113824</v>
      </c>
      <c r="N459" s="2"/>
    </row>
    <row r="460" customFormat="false" ht="15" hidden="false" customHeight="false" outlineLevel="0" collapsed="false">
      <c r="A460" s="2" t="n">
        <v>459</v>
      </c>
      <c r="B460" s="2" t="s">
        <v>1059</v>
      </c>
      <c r="C460" s="2" t="s">
        <v>1060</v>
      </c>
      <c r="D460" s="2" t="s">
        <v>79</v>
      </c>
      <c r="E460" s="2" t="s">
        <v>230</v>
      </c>
      <c r="F460" s="3" t="n">
        <v>0.000817</v>
      </c>
      <c r="G460" s="3" t="n">
        <f aca="false">SUM($F$2:F460)</f>
        <v>0.770203</v>
      </c>
      <c r="H460" s="4" t="n">
        <v>60.56</v>
      </c>
      <c r="I460" s="5" t="n">
        <v>21.101</v>
      </c>
      <c r="J460" s="4" t="n">
        <v>2.87</v>
      </c>
      <c r="K460" s="5" t="n">
        <v>4.4863</v>
      </c>
      <c r="L460" s="6" t="n">
        <v>2.8503</v>
      </c>
      <c r="M460" s="5" t="n">
        <f aca="false">IF(AND(N(K460)&gt;0,N(L460)&gt;0),K460/L460,"")</f>
        <v>1.57397466933305</v>
      </c>
      <c r="N460" s="2"/>
    </row>
    <row r="461" customFormat="false" ht="15" hidden="false" customHeight="false" outlineLevel="0" collapsed="false">
      <c r="A461" s="2" t="n">
        <v>460</v>
      </c>
      <c r="B461" s="2" t="s">
        <v>1061</v>
      </c>
      <c r="C461" s="2" t="s">
        <v>1062</v>
      </c>
      <c r="D461" s="2" t="s">
        <v>26</v>
      </c>
      <c r="E461" s="2" t="s">
        <v>27</v>
      </c>
      <c r="F461" s="3" t="n">
        <v>0.000814</v>
      </c>
      <c r="G461" s="3" t="n">
        <f aca="false">SUM($F$2:F461)</f>
        <v>0.771017</v>
      </c>
      <c r="H461" s="4" t="n">
        <v>85.57</v>
      </c>
      <c r="I461" s="5" t="n">
        <v>17.357</v>
      </c>
      <c r="J461" s="4" t="n">
        <v>4.93</v>
      </c>
      <c r="K461" s="5" t="n">
        <v>4.2576</v>
      </c>
      <c r="L461" s="6" t="n">
        <v>3.1622</v>
      </c>
      <c r="M461" s="5" t="n">
        <f aca="false">IF(AND(N(K461)&gt;0,N(L461)&gt;0),K461/L461,"")</f>
        <v>1.34640440199861</v>
      </c>
      <c r="N461" s="2"/>
    </row>
    <row r="462" customFormat="false" ht="15" hidden="false" customHeight="false" outlineLevel="0" collapsed="false">
      <c r="A462" s="2" t="n">
        <v>461</v>
      </c>
      <c r="B462" s="2" t="s">
        <v>1063</v>
      </c>
      <c r="C462" s="2" t="s">
        <v>1064</v>
      </c>
      <c r="D462" s="2" t="s">
        <v>22</v>
      </c>
      <c r="E462" s="2" t="s">
        <v>675</v>
      </c>
      <c r="F462" s="3" t="n">
        <v>0.000813</v>
      </c>
      <c r="G462" s="3" t="n">
        <f aca="false">SUM($F$2:F462)</f>
        <v>0.77183</v>
      </c>
      <c r="H462" s="4" t="n">
        <v>83.83</v>
      </c>
      <c r="I462" s="5" t="n">
        <v>19.4953</v>
      </c>
      <c r="J462" s="4" t="n">
        <v>4.3</v>
      </c>
      <c r="K462" s="5" t="n">
        <v>3.9316</v>
      </c>
      <c r="L462" s="6" t="n">
        <v>2.3662</v>
      </c>
      <c r="M462" s="5" t="n">
        <f aca="false">IF(AND(N(K462)&gt;0,N(L462)&gt;0),K462/L462,"")</f>
        <v>1.66156706956301</v>
      </c>
      <c r="N462" s="2"/>
    </row>
    <row r="463" customFormat="false" ht="15" hidden="false" customHeight="false" outlineLevel="0" collapsed="false">
      <c r="A463" s="2" t="n">
        <v>462</v>
      </c>
      <c r="B463" s="2" t="s">
        <v>1065</v>
      </c>
      <c r="C463" s="2" t="s">
        <v>1066</v>
      </c>
      <c r="D463" s="2" t="s">
        <v>22</v>
      </c>
      <c r="E463" s="2" t="s">
        <v>109</v>
      </c>
      <c r="F463" s="3" t="n">
        <v>0.000813</v>
      </c>
      <c r="G463" s="3" t="n">
        <f aca="false">SUM($F$2:F463)</f>
        <v>0.772643</v>
      </c>
      <c r="H463" s="4" t="n">
        <v>76.91</v>
      </c>
      <c r="I463" s="5" t="n">
        <v>30.1608</v>
      </c>
      <c r="J463" s="4" t="n">
        <v>2.55</v>
      </c>
      <c r="K463" s="5" t="n">
        <v>4.1727</v>
      </c>
      <c r="L463" s="6" t="n">
        <v>0.5728</v>
      </c>
      <c r="M463" s="5" t="n">
        <f aca="false">IF(AND(N(K463)&gt;0,N(L463)&gt;0),K463/L463,"")</f>
        <v>7.28474162011173</v>
      </c>
      <c r="N463" s="2"/>
    </row>
    <row r="464" customFormat="false" ht="15" hidden="false" customHeight="false" outlineLevel="0" collapsed="false">
      <c r="A464" s="2" t="n">
        <v>463</v>
      </c>
      <c r="B464" s="2" t="s">
        <v>1067</v>
      </c>
      <c r="C464" s="2" t="s">
        <v>1068</v>
      </c>
      <c r="D464" s="2" t="s">
        <v>79</v>
      </c>
      <c r="E464" s="2" t="s">
        <v>80</v>
      </c>
      <c r="F464" s="3" t="n">
        <v>0.000813</v>
      </c>
      <c r="G464" s="3" t="n">
        <f aca="false">SUM($F$2:F464)</f>
        <v>0.773456</v>
      </c>
      <c r="H464" s="4" t="n">
        <v>77.79</v>
      </c>
      <c r="I464" s="5" t="n">
        <v>13.052</v>
      </c>
      <c r="J464" s="4" t="n">
        <v>5.96</v>
      </c>
      <c r="K464" s="5" t="n">
        <v>3.9975</v>
      </c>
      <c r="L464" s="6" t="n">
        <v>3.7089</v>
      </c>
      <c r="M464" s="5" t="n">
        <f aca="false">IF(AND(N(K464)&gt;0,N(L464)&gt;0),K464/L464,"")</f>
        <v>1.07781282860147</v>
      </c>
      <c r="N464" s="2"/>
    </row>
    <row r="465" customFormat="false" ht="15" hidden="false" customHeight="false" outlineLevel="0" collapsed="false">
      <c r="A465" s="2" t="n">
        <v>464</v>
      </c>
      <c r="B465" s="2" t="s">
        <v>1069</v>
      </c>
      <c r="C465" s="2" t="s">
        <v>1070</v>
      </c>
      <c r="D465" s="2" t="s">
        <v>22</v>
      </c>
      <c r="E465" s="2" t="s">
        <v>1051</v>
      </c>
      <c r="F465" s="3" t="n">
        <v>0.000812</v>
      </c>
      <c r="G465" s="3" t="n">
        <f aca="false">SUM($F$2:F465)</f>
        <v>0.774268</v>
      </c>
      <c r="H465" s="4" t="n">
        <v>76.77</v>
      </c>
      <c r="I465" s="5" t="n">
        <v>14.5398</v>
      </c>
      <c r="J465" s="4" t="n">
        <v>5.28</v>
      </c>
      <c r="K465" s="5" t="n">
        <v>4.1885</v>
      </c>
      <c r="L465" s="6" t="n">
        <v>1.4173</v>
      </c>
      <c r="M465" s="5" t="n">
        <f aca="false">IF(AND(N(K465)&gt;0,N(L465)&gt;0),K465/L465,"")</f>
        <v>2.95526705708036</v>
      </c>
      <c r="N465" s="2"/>
    </row>
    <row r="466" customFormat="false" ht="15" hidden="false" customHeight="false" outlineLevel="0" collapsed="false">
      <c r="A466" s="2" t="n">
        <v>465</v>
      </c>
      <c r="B466" s="2" t="s">
        <v>1071</v>
      </c>
      <c r="C466" s="2" t="s">
        <v>1072</v>
      </c>
      <c r="D466" s="2" t="s">
        <v>171</v>
      </c>
      <c r="E466" s="2" t="s">
        <v>496</v>
      </c>
      <c r="F466" s="3" t="n">
        <v>0.000812</v>
      </c>
      <c r="G466" s="3" t="n">
        <f aca="false">SUM($F$2:F466)</f>
        <v>0.77508</v>
      </c>
      <c r="H466" s="4" t="n">
        <v>74.31</v>
      </c>
      <c r="I466" s="5" t="n">
        <v>16.0151</v>
      </c>
      <c r="J466" s="4" t="n">
        <v>4.64</v>
      </c>
      <c r="K466" s="5" t="n">
        <v>4.6708</v>
      </c>
      <c r="L466" s="6" t="n">
        <v>2.0204</v>
      </c>
      <c r="M466" s="5" t="n">
        <f aca="false">IF(AND(N(K466)&gt;0,N(L466)&gt;0),K466/L466,"")</f>
        <v>2.31181944169471</v>
      </c>
      <c r="N466" s="2"/>
    </row>
    <row r="467" customFormat="false" ht="15" hidden="false" customHeight="false" outlineLevel="0" collapsed="false">
      <c r="A467" s="2" t="n">
        <v>466</v>
      </c>
      <c r="B467" s="2" t="s">
        <v>1073</v>
      </c>
      <c r="C467" s="2" t="s">
        <v>1074</v>
      </c>
      <c r="D467" s="2" t="s">
        <v>79</v>
      </c>
      <c r="E467" s="2" t="s">
        <v>230</v>
      </c>
      <c r="F467" s="3" t="n">
        <v>0.000809</v>
      </c>
      <c r="G467" s="3" t="n">
        <f aca="false">SUM($F$2:F467)</f>
        <v>0.775889</v>
      </c>
      <c r="H467" s="4" t="n">
        <v>14.76</v>
      </c>
      <c r="I467" s="5"/>
      <c r="J467" s="4" t="n">
        <v>-3.78</v>
      </c>
      <c r="K467" s="5" t="n">
        <v>3.7906</v>
      </c>
      <c r="L467" s="6" t="n">
        <v>5.5806</v>
      </c>
      <c r="M467" s="5" t="n">
        <f aca="false">IF(AND(N(K467)&gt;0,N(L467)&gt;0),K467/L467,"")</f>
        <v>0.679245959215855</v>
      </c>
      <c r="N467" s="2" t="s">
        <v>50</v>
      </c>
    </row>
    <row r="468" customFormat="false" ht="15" hidden="false" customHeight="false" outlineLevel="0" collapsed="false">
      <c r="A468" s="2" t="n">
        <v>467</v>
      </c>
      <c r="B468" s="2" t="s">
        <v>1075</v>
      </c>
      <c r="C468" s="2" t="s">
        <v>1076</v>
      </c>
      <c r="D468" s="2" t="s">
        <v>93</v>
      </c>
      <c r="E468" s="2" t="s">
        <v>175</v>
      </c>
      <c r="F468" s="3" t="n">
        <v>0.000809</v>
      </c>
      <c r="G468" s="3" t="n">
        <f aca="false">SUM($F$2:F468)</f>
        <v>0.776698</v>
      </c>
      <c r="H468" s="4" t="n">
        <v>48.49</v>
      </c>
      <c r="I468" s="5" t="n">
        <v>8.1359</v>
      </c>
      <c r="J468" s="4" t="n">
        <v>5.96</v>
      </c>
      <c r="K468" s="5" t="n">
        <v>2.986</v>
      </c>
      <c r="L468" s="6" t="n">
        <v>0.4823</v>
      </c>
      <c r="M468" s="5" t="n">
        <f aca="false">IF(AND(N(K468)&gt;0,N(L468)&gt;0),K468/L468,"")</f>
        <v>6.1911673232428</v>
      </c>
      <c r="N468" s="2"/>
    </row>
    <row r="469" customFormat="false" ht="15" hidden="false" customHeight="false" outlineLevel="0" collapsed="false">
      <c r="A469" s="2" t="n">
        <v>468</v>
      </c>
      <c r="B469" s="2" t="s">
        <v>1077</v>
      </c>
      <c r="C469" s="2" t="s">
        <v>1078</v>
      </c>
      <c r="D469" s="2" t="s">
        <v>86</v>
      </c>
      <c r="E469" s="2" t="s">
        <v>717</v>
      </c>
      <c r="F469" s="3" t="n">
        <v>0.000807</v>
      </c>
      <c r="G469" s="3" t="n">
        <f aca="false">SUM($F$2:F469)</f>
        <v>0.777505</v>
      </c>
      <c r="H469" s="4" t="n">
        <v>34.58</v>
      </c>
      <c r="I469" s="5" t="n">
        <v>24.0139</v>
      </c>
      <c r="J469" s="4" t="n">
        <v>1.44</v>
      </c>
      <c r="K469" s="5" t="n">
        <v>4.0059</v>
      </c>
      <c r="L469" s="6" t="n">
        <v>5.0833</v>
      </c>
      <c r="M469" s="5" t="n">
        <f aca="false">IF(AND(N(K469)&gt;0,N(L469)&gt;0),K469/L469,"")</f>
        <v>0.788051069187339</v>
      </c>
      <c r="N469" s="2"/>
    </row>
    <row r="470" customFormat="false" ht="15" hidden="false" customHeight="false" outlineLevel="0" collapsed="false">
      <c r="A470" s="2" t="n">
        <v>469</v>
      </c>
      <c r="B470" s="2" t="s">
        <v>1079</v>
      </c>
      <c r="C470" s="2" t="s">
        <v>1080</v>
      </c>
      <c r="D470" s="2" t="s">
        <v>93</v>
      </c>
      <c r="E470" s="2" t="s">
        <v>548</v>
      </c>
      <c r="F470" s="3" t="n">
        <v>0.000806</v>
      </c>
      <c r="G470" s="3" t="n">
        <f aca="false">SUM($F$2:F470)</f>
        <v>0.778311</v>
      </c>
      <c r="H470" s="4" t="n">
        <v>47.05</v>
      </c>
      <c r="I470" s="5" t="n">
        <v>16.0034</v>
      </c>
      <c r="J470" s="4" t="n">
        <v>2.94</v>
      </c>
      <c r="K470" s="5" t="n">
        <v>3.5687</v>
      </c>
      <c r="L470" s="6" t="n">
        <v>2.7417</v>
      </c>
      <c r="M470" s="5" t="n">
        <f aca="false">IF(AND(N(K470)&gt;0,N(L470)&gt;0),K470/L470,"")</f>
        <v>1.30163767005872</v>
      </c>
      <c r="N470" s="2"/>
    </row>
    <row r="471" customFormat="false" ht="15" hidden="false" customHeight="false" outlineLevel="0" collapsed="false">
      <c r="A471" s="2" t="n">
        <v>470</v>
      </c>
      <c r="B471" s="2" t="s">
        <v>1081</v>
      </c>
      <c r="C471" s="2" t="s">
        <v>1082</v>
      </c>
      <c r="D471" s="2" t="s">
        <v>79</v>
      </c>
      <c r="E471" s="2" t="s">
        <v>227</v>
      </c>
      <c r="F471" s="3" t="n">
        <v>0.000805</v>
      </c>
      <c r="G471" s="3" t="n">
        <f aca="false">SUM($F$2:F471)</f>
        <v>0.779116</v>
      </c>
      <c r="H471" s="4" t="n">
        <v>37.03</v>
      </c>
      <c r="I471" s="5" t="n">
        <v>56.9692</v>
      </c>
      <c r="J471" s="4" t="n">
        <v>0.65</v>
      </c>
      <c r="K471" s="5" t="n">
        <v>4.7582</v>
      </c>
      <c r="L471" s="6" t="n">
        <v>37.3667</v>
      </c>
      <c r="M471" s="5" t="n">
        <f aca="false">IF(AND(N(K471)&gt;0,N(L471)&gt;0),K471/L471,"")</f>
        <v>0.127337977396987</v>
      </c>
      <c r="N471" s="2"/>
    </row>
    <row r="472" customFormat="false" ht="15" hidden="false" customHeight="false" outlineLevel="0" collapsed="false">
      <c r="A472" s="2" t="n">
        <v>471</v>
      </c>
      <c r="B472" s="2" t="s">
        <v>1083</v>
      </c>
      <c r="C472" s="2" t="s">
        <v>1084</v>
      </c>
      <c r="D472" s="2" t="s">
        <v>22</v>
      </c>
      <c r="E472" s="2" t="s">
        <v>40</v>
      </c>
      <c r="F472" s="3" t="n">
        <v>0.000805</v>
      </c>
      <c r="G472" s="3" t="n">
        <f aca="false">SUM($F$2:F472)</f>
        <v>0.779921</v>
      </c>
      <c r="H472" s="4" t="n">
        <v>116.26</v>
      </c>
      <c r="I472" s="5" t="n">
        <v>23.9218</v>
      </c>
      <c r="J472" s="4" t="n">
        <v>4.86</v>
      </c>
      <c r="K472" s="5" t="n">
        <v>4.6805</v>
      </c>
      <c r="L472" s="6" t="n">
        <v>1.4149</v>
      </c>
      <c r="M472" s="5" t="n">
        <f aca="false">IF(AND(N(K472)&gt;0,N(L472)&gt;0),K472/L472,"")</f>
        <v>3.30800763304827</v>
      </c>
      <c r="N472" s="2"/>
    </row>
    <row r="473" customFormat="false" ht="15" hidden="false" customHeight="false" outlineLevel="0" collapsed="false">
      <c r="A473" s="2" t="n">
        <v>472</v>
      </c>
      <c r="B473" s="2" t="s">
        <v>1085</v>
      </c>
      <c r="C473" s="2" t="s">
        <v>1086</v>
      </c>
      <c r="D473" s="2" t="s">
        <v>33</v>
      </c>
      <c r="E473" s="2" t="s">
        <v>244</v>
      </c>
      <c r="F473" s="3" t="n">
        <v>0.000803</v>
      </c>
      <c r="G473" s="3" t="n">
        <f aca="false">SUM($F$2:F473)</f>
        <v>0.780724</v>
      </c>
      <c r="H473" s="4" t="n">
        <v>126.38</v>
      </c>
      <c r="I473" s="5" t="n">
        <v>34.6247</v>
      </c>
      <c r="J473" s="4" t="n">
        <v>3.65</v>
      </c>
      <c r="K473" s="5" t="n">
        <v>4.2965</v>
      </c>
      <c r="L473" s="6" t="n">
        <v>2.3307</v>
      </c>
      <c r="M473" s="5" t="n">
        <f aca="false">IF(AND(N(K473)&gt;0,N(L473)&gt;0),K473/L473,"")</f>
        <v>1.84343759385592</v>
      </c>
      <c r="N473" s="2"/>
    </row>
    <row r="474" customFormat="false" ht="15" hidden="false" customHeight="false" outlineLevel="0" collapsed="false">
      <c r="A474" s="2" t="n">
        <v>473</v>
      </c>
      <c r="B474" s="2" t="s">
        <v>1087</v>
      </c>
      <c r="C474" s="2" t="s">
        <v>1088</v>
      </c>
      <c r="D474" s="2" t="s">
        <v>22</v>
      </c>
      <c r="E474" s="2" t="s">
        <v>117</v>
      </c>
      <c r="F474" s="3" t="n">
        <v>0.000799</v>
      </c>
      <c r="G474" s="3" t="n">
        <f aca="false">SUM($F$2:F474)</f>
        <v>0.781523</v>
      </c>
      <c r="H474" s="4" t="n">
        <v>264</v>
      </c>
      <c r="I474" s="5" t="n">
        <v>41.6404</v>
      </c>
      <c r="J474" s="4" t="n">
        <v>6.34</v>
      </c>
      <c r="K474" s="5" t="n">
        <v>4.7742</v>
      </c>
      <c r="L474" s="6" t="n">
        <v>1.9153</v>
      </c>
      <c r="M474" s="5" t="n">
        <f aca="false">IF(AND(N(K474)&gt;0,N(L474)&gt;0),K474/L474,"")</f>
        <v>2.492664334569</v>
      </c>
      <c r="N474" s="2"/>
    </row>
    <row r="475" customFormat="false" ht="15" hidden="false" customHeight="false" outlineLevel="0" collapsed="false">
      <c r="A475" s="2" t="n">
        <v>474</v>
      </c>
      <c r="B475" s="2" t="s">
        <v>1089</v>
      </c>
      <c r="C475" s="2" t="s">
        <v>1090</v>
      </c>
      <c r="D475" s="2" t="s">
        <v>22</v>
      </c>
      <c r="E475" s="2" t="s">
        <v>83</v>
      </c>
      <c r="F475" s="3" t="n">
        <v>0.000797</v>
      </c>
      <c r="G475" s="3" t="n">
        <f aca="false">SUM($F$2:F475)</f>
        <v>0.78232</v>
      </c>
      <c r="H475" s="4" t="n">
        <v>262.51</v>
      </c>
      <c r="I475" s="5" t="n">
        <v>30.278</v>
      </c>
      <c r="J475" s="4" t="n">
        <v>8.67</v>
      </c>
      <c r="K475" s="5" t="n">
        <v>3.224</v>
      </c>
      <c r="L475" s="6" t="n">
        <v>3.616</v>
      </c>
      <c r="M475" s="5" t="n">
        <f aca="false">IF(AND(N(K475)&gt;0,N(L475)&gt;0),K475/L475,"")</f>
        <v>0.891592920353982</v>
      </c>
      <c r="N475" s="2"/>
    </row>
    <row r="476" customFormat="false" ht="15" hidden="false" customHeight="false" outlineLevel="0" collapsed="false">
      <c r="A476" s="2" t="n">
        <v>475</v>
      </c>
      <c r="B476" s="2" t="s">
        <v>1091</v>
      </c>
      <c r="C476" s="2" t="s">
        <v>1092</v>
      </c>
      <c r="D476" s="2" t="s">
        <v>79</v>
      </c>
      <c r="E476" s="2" t="s">
        <v>80</v>
      </c>
      <c r="F476" s="3" t="n">
        <v>0.000788</v>
      </c>
      <c r="G476" s="3" t="n">
        <f aca="false">SUM($F$2:F476)</f>
        <v>0.783108</v>
      </c>
      <c r="H476" s="4" t="n">
        <v>23.28</v>
      </c>
      <c r="I476" s="5" t="n">
        <v>11.1923</v>
      </c>
      <c r="J476" s="4" t="n">
        <v>2.08</v>
      </c>
      <c r="K476" s="5" t="n">
        <v>4.4445</v>
      </c>
      <c r="L476" s="6" t="n">
        <v>3.3329</v>
      </c>
      <c r="M476" s="5" t="n">
        <f aca="false">IF(AND(N(K476)&gt;0,N(L476)&gt;0),K476/L476,"")</f>
        <v>1.33352335803654</v>
      </c>
      <c r="N476" s="2"/>
    </row>
    <row r="477" customFormat="false" ht="15" hidden="false" customHeight="false" outlineLevel="0" collapsed="false">
      <c r="A477" s="2" t="n">
        <v>476</v>
      </c>
      <c r="B477" s="2" t="s">
        <v>1093</v>
      </c>
      <c r="C477" s="2" t="s">
        <v>1094</v>
      </c>
      <c r="D477" s="2" t="s">
        <v>93</v>
      </c>
      <c r="E477" s="2" t="s">
        <v>175</v>
      </c>
      <c r="F477" s="3" t="n">
        <v>0.000788</v>
      </c>
      <c r="G477" s="3" t="n">
        <f aca="false">SUM($F$2:F477)</f>
        <v>0.783896</v>
      </c>
      <c r="H477" s="4" t="n">
        <v>16.91</v>
      </c>
      <c r="I477" s="5" t="n">
        <v>4.4383</v>
      </c>
      <c r="J477" s="4" t="n">
        <v>3.81</v>
      </c>
      <c r="K477" s="5" t="n">
        <v>3.4098</v>
      </c>
      <c r="L477" s="6" t="n">
        <v>0.473</v>
      </c>
      <c r="M477" s="5" t="n">
        <f aca="false">IF(AND(N(K477)&gt;0,N(L477)&gt;0),K477/L477,"")</f>
        <v>7.20887949260042</v>
      </c>
      <c r="N477" s="2"/>
    </row>
    <row r="478" customFormat="false" ht="15" hidden="false" customHeight="false" outlineLevel="0" collapsed="false">
      <c r="A478" s="2" t="n">
        <v>477</v>
      </c>
      <c r="B478" s="2" t="s">
        <v>1095</v>
      </c>
      <c r="C478" s="2" t="s">
        <v>1096</v>
      </c>
      <c r="D478" s="2" t="s">
        <v>79</v>
      </c>
      <c r="E478" s="2" t="s">
        <v>80</v>
      </c>
      <c r="F478" s="3" t="n">
        <v>0.000786</v>
      </c>
      <c r="G478" s="3" t="n">
        <f aca="false">SUM($F$2:F478)</f>
        <v>0.784682</v>
      </c>
      <c r="H478" s="4" t="n">
        <v>70.16</v>
      </c>
      <c r="I478" s="5" t="n">
        <v>10.5663</v>
      </c>
      <c r="J478" s="4" t="n">
        <v>6.64</v>
      </c>
      <c r="K478" s="5" t="n">
        <v>4.3634</v>
      </c>
      <c r="L478" s="6" t="n">
        <v>5.2095</v>
      </c>
      <c r="M478" s="5" t="n">
        <f aca="false">IF(AND(N(K478)&gt;0,N(L478)&gt;0),K478/L478,"")</f>
        <v>0.837585180919474</v>
      </c>
      <c r="N478" s="2"/>
    </row>
    <row r="479" customFormat="false" ht="15" hidden="false" customHeight="false" outlineLevel="0" collapsed="false">
      <c r="A479" s="2" t="n">
        <v>478</v>
      </c>
      <c r="B479" s="2" t="s">
        <v>1097</v>
      </c>
      <c r="C479" s="2" t="s">
        <v>1098</v>
      </c>
      <c r="D479" s="2" t="s">
        <v>16</v>
      </c>
      <c r="E479" s="2" t="s">
        <v>143</v>
      </c>
      <c r="F479" s="3" t="n">
        <v>0.000785</v>
      </c>
      <c r="G479" s="3" t="n">
        <f aca="false">SUM($F$2:F479)</f>
        <v>0.785467</v>
      </c>
      <c r="H479" s="4" t="n">
        <v>131.5</v>
      </c>
      <c r="I479" s="5" t="n">
        <v>30.7963</v>
      </c>
      <c r="J479" s="4" t="n">
        <v>4.27</v>
      </c>
      <c r="K479" s="5" t="n">
        <v>3.8118</v>
      </c>
      <c r="L479" s="6" t="n">
        <v>4.3269</v>
      </c>
      <c r="M479" s="5" t="n">
        <f aca="false">IF(AND(N(K479)&gt;0,N(L479)&gt;0),K479/L479,"")</f>
        <v>0.880954031754836</v>
      </c>
      <c r="N479" s="2"/>
    </row>
    <row r="480" customFormat="false" ht="15" hidden="false" customHeight="false" outlineLevel="0" collapsed="false">
      <c r="A480" s="2" t="n">
        <v>479</v>
      </c>
      <c r="B480" s="2" t="s">
        <v>1099</v>
      </c>
      <c r="C480" s="2" t="s">
        <v>1100</v>
      </c>
      <c r="D480" s="2" t="s">
        <v>79</v>
      </c>
      <c r="E480" s="2" t="s">
        <v>80</v>
      </c>
      <c r="F480" s="3" t="n">
        <v>0.000785</v>
      </c>
      <c r="G480" s="3" t="n">
        <f aca="false">SUM($F$2:F480)</f>
        <v>0.786252</v>
      </c>
      <c r="H480" s="4" t="n">
        <v>41.92</v>
      </c>
      <c r="I480" s="5" t="n">
        <v>14.3072</v>
      </c>
      <c r="J480" s="4" t="n">
        <v>2.93</v>
      </c>
      <c r="K480" s="5" t="n">
        <v>4.5837</v>
      </c>
      <c r="L480" s="6" t="n">
        <v>7.8326</v>
      </c>
      <c r="M480" s="5" t="n">
        <f aca="false">IF(AND(N(K480)&gt;0,N(L480)&gt;0),K480/L480,"")</f>
        <v>0.585207976916988</v>
      </c>
      <c r="N480" s="2"/>
    </row>
    <row r="481" customFormat="false" ht="15" hidden="false" customHeight="false" outlineLevel="0" collapsed="false">
      <c r="A481" s="2" t="n">
        <v>480</v>
      </c>
      <c r="B481" s="2" t="s">
        <v>1101</v>
      </c>
      <c r="C481" s="2" t="s">
        <v>1102</v>
      </c>
      <c r="D481" s="2" t="s">
        <v>66</v>
      </c>
      <c r="E481" s="2" t="s">
        <v>67</v>
      </c>
      <c r="F481" s="3" t="n">
        <v>0.000782</v>
      </c>
      <c r="G481" s="3" t="n">
        <f aca="false">SUM($F$2:F481)</f>
        <v>0.787034</v>
      </c>
      <c r="H481" s="4" t="n">
        <v>27.69</v>
      </c>
      <c r="I481" s="5" t="n">
        <v>22.152</v>
      </c>
      <c r="J481" s="4" t="n">
        <v>1.25</v>
      </c>
      <c r="K481" s="5" t="n">
        <v>14.4849</v>
      </c>
      <c r="L481" s="6" t="n">
        <v>1.9831</v>
      </c>
      <c r="M481" s="5" t="n">
        <f aca="false">IF(AND(N(K481)&gt;0,N(L481)&gt;0),K481/L481,"")</f>
        <v>7.30417023851546</v>
      </c>
      <c r="N481" s="2"/>
    </row>
    <row r="482" customFormat="false" ht="15" hidden="false" customHeight="false" outlineLevel="0" collapsed="false">
      <c r="A482" s="2" t="n">
        <v>481</v>
      </c>
      <c r="B482" s="2" t="s">
        <v>1103</v>
      </c>
      <c r="C482" s="2" t="s">
        <v>1104</v>
      </c>
      <c r="D482" s="2" t="s">
        <v>79</v>
      </c>
      <c r="E482" s="2" t="s">
        <v>80</v>
      </c>
      <c r="F482" s="3" t="n">
        <v>0.000778</v>
      </c>
      <c r="G482" s="3" t="n">
        <f aca="false">SUM($F$2:F482)</f>
        <v>0.787812</v>
      </c>
      <c r="H482" s="4" t="n">
        <v>44.45</v>
      </c>
      <c r="I482" s="5" t="n">
        <v>12.2115</v>
      </c>
      <c r="J482" s="4" t="n">
        <v>3.64</v>
      </c>
      <c r="K482" s="5" t="n">
        <v>3.1663</v>
      </c>
      <c r="L482" s="6" t="n">
        <v>3.0303</v>
      </c>
      <c r="M482" s="5" t="n">
        <f aca="false">IF(AND(N(K482)&gt;0,N(L482)&gt;0),K482/L482,"")</f>
        <v>1.04488004488004</v>
      </c>
      <c r="N482" s="2"/>
    </row>
    <row r="483" customFormat="false" ht="15" hidden="false" customHeight="false" outlineLevel="0" collapsed="false">
      <c r="A483" s="2" t="n">
        <v>482</v>
      </c>
      <c r="B483" s="2" t="s">
        <v>1105</v>
      </c>
      <c r="C483" s="2" t="s">
        <v>1106</v>
      </c>
      <c r="D483" s="2" t="s">
        <v>22</v>
      </c>
      <c r="E483" s="2" t="s">
        <v>83</v>
      </c>
      <c r="F483" s="3" t="n">
        <v>0.000777</v>
      </c>
      <c r="G483" s="3" t="n">
        <f aca="false">SUM($F$2:F483)</f>
        <v>0.788589</v>
      </c>
      <c r="H483" s="4" t="n">
        <v>95.21</v>
      </c>
      <c r="I483" s="5" t="n">
        <v>27.3592</v>
      </c>
      <c r="J483" s="4" t="n">
        <v>3.48</v>
      </c>
      <c r="K483" s="5" t="n">
        <v>4.2094</v>
      </c>
      <c r="L483" s="6" t="n">
        <v>1.9031</v>
      </c>
      <c r="M483" s="5" t="n">
        <f aca="false">IF(AND(N(K483)&gt;0,N(L483)&gt;0),K483/L483,"")</f>
        <v>2.21186485208344</v>
      </c>
      <c r="N483" s="2"/>
    </row>
    <row r="484" customFormat="false" ht="15" hidden="false" customHeight="false" outlineLevel="0" collapsed="false">
      <c r="A484" s="2" t="n">
        <v>483</v>
      </c>
      <c r="B484" s="2" t="s">
        <v>1107</v>
      </c>
      <c r="C484" s="2" t="s">
        <v>1108</v>
      </c>
      <c r="D484" s="2" t="s">
        <v>33</v>
      </c>
      <c r="E484" s="2" t="s">
        <v>244</v>
      </c>
      <c r="F484" s="3" t="n">
        <v>0.000774</v>
      </c>
      <c r="G484" s="3" t="n">
        <f aca="false">SUM($F$2:F484)</f>
        <v>0.789363</v>
      </c>
      <c r="H484" s="4" t="n">
        <v>281.69</v>
      </c>
      <c r="I484" s="5" t="n">
        <v>30.453</v>
      </c>
      <c r="J484" s="4" t="n">
        <v>9.25</v>
      </c>
      <c r="K484" s="5" t="n">
        <v>2.1819</v>
      </c>
      <c r="L484" s="6" t="n">
        <v>3.4544</v>
      </c>
      <c r="M484" s="5" t="n">
        <f aca="false">IF(AND(N(K484)&gt;0,N(L484)&gt;0),K484/L484,"")</f>
        <v>0.631629226493747</v>
      </c>
      <c r="N484" s="2"/>
    </row>
    <row r="485" customFormat="false" ht="15" hidden="false" customHeight="false" outlineLevel="0" collapsed="false">
      <c r="A485" s="2" t="n">
        <v>484</v>
      </c>
      <c r="B485" s="2" t="s">
        <v>1109</v>
      </c>
      <c r="C485" s="2" t="s">
        <v>1110</v>
      </c>
      <c r="D485" s="2" t="s">
        <v>86</v>
      </c>
      <c r="E485" s="2" t="s">
        <v>203</v>
      </c>
      <c r="F485" s="3" t="n">
        <v>0.000773</v>
      </c>
      <c r="G485" s="3" t="n">
        <f aca="false">SUM($F$2:F485)</f>
        <v>0.790136</v>
      </c>
      <c r="H485" s="4" t="n">
        <v>28.68</v>
      </c>
      <c r="I485" s="5" t="n">
        <v>9.993</v>
      </c>
      <c r="J485" s="4" t="n">
        <v>2.87</v>
      </c>
      <c r="K485" s="5" t="n">
        <v>4.7623</v>
      </c>
      <c r="L485" s="6" t="n">
        <v>6.2617</v>
      </c>
      <c r="M485" s="5" t="n">
        <f aca="false">IF(AND(N(K485)&gt;0,N(L485)&gt;0),K485/L485,"")</f>
        <v>0.76054426114314</v>
      </c>
      <c r="N485" s="2"/>
    </row>
    <row r="486" customFormat="false" ht="15" hidden="false" customHeight="false" outlineLevel="0" collapsed="false">
      <c r="A486" s="2" t="n">
        <v>485</v>
      </c>
      <c r="B486" s="2" t="s">
        <v>1111</v>
      </c>
      <c r="C486" s="2" t="s">
        <v>1112</v>
      </c>
      <c r="D486" s="2" t="s">
        <v>16</v>
      </c>
      <c r="E486" s="2" t="s">
        <v>17</v>
      </c>
      <c r="F486" s="3" t="n">
        <v>0.00077</v>
      </c>
      <c r="G486" s="3" t="n">
        <f aca="false">SUM($F$2:F486)</f>
        <v>0.790906</v>
      </c>
      <c r="H486" s="4" t="n">
        <v>36.2</v>
      </c>
      <c r="I486" s="5" t="n">
        <v>603.3334</v>
      </c>
      <c r="J486" s="4" t="n">
        <v>0.06</v>
      </c>
      <c r="K486" s="5" t="n">
        <v>3.9871</v>
      </c>
      <c r="L486" s="6" t="n">
        <v>3.8207</v>
      </c>
      <c r="M486" s="5" t="n">
        <f aca="false">IF(AND(N(K486)&gt;0,N(L486)&gt;0),K486/L486,"")</f>
        <v>1.0435522286492</v>
      </c>
      <c r="N486" s="2" t="s">
        <v>343</v>
      </c>
    </row>
    <row r="487" customFormat="false" ht="15" hidden="false" customHeight="false" outlineLevel="0" collapsed="false">
      <c r="A487" s="2" t="n">
        <v>486</v>
      </c>
      <c r="B487" s="2" t="s">
        <v>1113</v>
      </c>
      <c r="C487" s="2" t="s">
        <v>1114</v>
      </c>
      <c r="D487" s="2" t="s">
        <v>22</v>
      </c>
      <c r="E487" s="2" t="s">
        <v>30</v>
      </c>
      <c r="F487" s="3" t="n">
        <v>0.000765</v>
      </c>
      <c r="G487" s="3" t="n">
        <f aca="false">SUM($F$2:F487)</f>
        <v>0.791671</v>
      </c>
      <c r="H487" s="4" t="n">
        <v>67.01</v>
      </c>
      <c r="I487" s="5" t="n">
        <v>21.0063</v>
      </c>
      <c r="J487" s="4" t="n">
        <v>3.19</v>
      </c>
      <c r="K487" s="5" t="n">
        <v>4.1637</v>
      </c>
      <c r="L487" s="6" t="n">
        <v>1.387</v>
      </c>
      <c r="M487" s="5" t="n">
        <f aca="false">IF(AND(N(K487)&gt;0,N(L487)&gt;0),K487/L487,"")</f>
        <v>3.00194664744052</v>
      </c>
      <c r="N487" s="2"/>
    </row>
    <row r="488" customFormat="false" ht="15" hidden="false" customHeight="false" outlineLevel="0" collapsed="false">
      <c r="A488" s="2" t="n">
        <v>487</v>
      </c>
      <c r="B488" s="2" t="s">
        <v>1115</v>
      </c>
      <c r="C488" s="2" t="s">
        <v>1116</v>
      </c>
      <c r="D488" s="2" t="s">
        <v>16</v>
      </c>
      <c r="E488" s="2" t="s">
        <v>143</v>
      </c>
      <c r="F488" s="3" t="n">
        <v>0.000765</v>
      </c>
      <c r="G488" s="3" t="n">
        <f aca="false">SUM($F$2:F488)</f>
        <v>0.792436</v>
      </c>
      <c r="H488" s="4" t="n">
        <v>92.43</v>
      </c>
      <c r="I488" s="5" t="n">
        <v>15.4565</v>
      </c>
      <c r="J488" s="4" t="n">
        <v>5.98</v>
      </c>
      <c r="K488" s="5" t="n">
        <v>4.0472</v>
      </c>
      <c r="L488" s="6" t="n">
        <v>1.7572</v>
      </c>
      <c r="M488" s="5" t="n">
        <f aca="false">IF(AND(N(K488)&gt;0,N(L488)&gt;0),K488/L488,"")</f>
        <v>2.30320965171864</v>
      </c>
      <c r="N488" s="2"/>
    </row>
    <row r="489" customFormat="false" ht="15" hidden="false" customHeight="false" outlineLevel="0" collapsed="false">
      <c r="A489" s="2" t="n">
        <v>488</v>
      </c>
      <c r="B489" s="2" t="s">
        <v>1117</v>
      </c>
      <c r="C489" s="2" t="s">
        <v>1118</v>
      </c>
      <c r="D489" s="2" t="s">
        <v>171</v>
      </c>
      <c r="E489" s="2" t="s">
        <v>399</v>
      </c>
      <c r="F489" s="3" t="n">
        <v>0.000762</v>
      </c>
      <c r="G489" s="3" t="n">
        <f aca="false">SUM($F$2:F489)</f>
        <v>0.793198</v>
      </c>
      <c r="H489" s="4" t="n">
        <v>69.83</v>
      </c>
      <c r="I489" s="5" t="n">
        <v>25.2094</v>
      </c>
      <c r="J489" s="4" t="n">
        <v>2.77</v>
      </c>
      <c r="K489" s="5" t="n">
        <v>4.2958</v>
      </c>
      <c r="L489" s="6" t="n">
        <v>2.5398</v>
      </c>
      <c r="M489" s="5" t="n">
        <f aca="false">IF(AND(N(K489)&gt;0,N(L489)&gt;0),K489/L489,"")</f>
        <v>1.69139302307268</v>
      </c>
      <c r="N489" s="2"/>
    </row>
    <row r="490" customFormat="false" ht="15" hidden="false" customHeight="false" outlineLevel="0" collapsed="false">
      <c r="A490" s="2" t="n">
        <v>489</v>
      </c>
      <c r="B490" s="2" t="s">
        <v>1119</v>
      </c>
      <c r="C490" s="2" t="s">
        <v>1120</v>
      </c>
      <c r="D490" s="2" t="s">
        <v>66</v>
      </c>
      <c r="E490" s="2" t="s">
        <v>643</v>
      </c>
      <c r="F490" s="3" t="n">
        <v>0.000761</v>
      </c>
      <c r="G490" s="3" t="n">
        <f aca="false">SUM($F$2:F490)</f>
        <v>0.793959</v>
      </c>
      <c r="H490" s="4" t="n">
        <v>36.73</v>
      </c>
      <c r="I490" s="5" t="n">
        <v>9.1825</v>
      </c>
      <c r="J490" s="4" t="n">
        <v>4</v>
      </c>
      <c r="K490" s="5" t="n">
        <v>4.2282</v>
      </c>
      <c r="L490" s="6" t="n">
        <v>3.3612</v>
      </c>
      <c r="M490" s="5" t="n">
        <f aca="false">IF(AND(N(K490)&gt;0,N(L490)&gt;0),K490/L490,"")</f>
        <v>1.25794359157444</v>
      </c>
      <c r="N490" s="2"/>
    </row>
    <row r="491" customFormat="false" ht="15" hidden="false" customHeight="false" outlineLevel="0" collapsed="false">
      <c r="A491" s="2" t="n">
        <v>490</v>
      </c>
      <c r="B491" s="2" t="s">
        <v>1121</v>
      </c>
      <c r="C491" s="2" t="s">
        <v>1122</v>
      </c>
      <c r="D491" s="2" t="s">
        <v>171</v>
      </c>
      <c r="E491" s="2" t="s">
        <v>496</v>
      </c>
      <c r="F491" s="3" t="n">
        <v>0.000757</v>
      </c>
      <c r="G491" s="3" t="n">
        <f aca="false">SUM($F$2:F491)</f>
        <v>0.794716</v>
      </c>
      <c r="H491" s="4" t="n">
        <v>18.56</v>
      </c>
      <c r="I491" s="5" t="n">
        <v>19.7447</v>
      </c>
      <c r="J491" s="4" t="n">
        <v>0.94</v>
      </c>
      <c r="K491" s="5" t="n">
        <v>3.9041</v>
      </c>
      <c r="L491" s="6" t="n">
        <v>2.133</v>
      </c>
      <c r="M491" s="5" t="n">
        <f aca="false">IF(AND(N(K491)&gt;0,N(L491)&gt;0),K491/L491,"")</f>
        <v>1.83033286451008</v>
      </c>
      <c r="N491" s="2"/>
    </row>
    <row r="492" customFormat="false" ht="15" hidden="false" customHeight="false" outlineLevel="0" collapsed="false">
      <c r="A492" s="2" t="n">
        <v>491</v>
      </c>
      <c r="B492" s="2" t="s">
        <v>1123</v>
      </c>
      <c r="C492" s="2" t="s">
        <v>1124</v>
      </c>
      <c r="D492" s="2" t="s">
        <v>93</v>
      </c>
      <c r="E492" s="2" t="s">
        <v>961</v>
      </c>
      <c r="F492" s="3" t="n">
        <v>0.000753</v>
      </c>
      <c r="G492" s="3" t="n">
        <f aca="false">SUM($F$2:F492)</f>
        <v>0.795469</v>
      </c>
      <c r="H492" s="4" t="n">
        <v>69.94</v>
      </c>
      <c r="I492" s="5" t="n">
        <v>14.1579</v>
      </c>
      <c r="J492" s="4" t="n">
        <v>4.94</v>
      </c>
      <c r="K492" s="5" t="n">
        <v>3.6409</v>
      </c>
      <c r="L492" s="6" t="n">
        <v>0.3708</v>
      </c>
      <c r="M492" s="5" t="n">
        <f aca="false">IF(AND(N(K492)&gt;0,N(L492)&gt;0),K492/L492,"")</f>
        <v>9.81903991370011</v>
      </c>
      <c r="N492" s="2"/>
    </row>
    <row r="493" customFormat="false" ht="15" hidden="false" customHeight="false" outlineLevel="0" collapsed="false">
      <c r="A493" s="2" t="n">
        <v>492</v>
      </c>
      <c r="B493" s="2" t="s">
        <v>1125</v>
      </c>
      <c r="C493" s="2" t="s">
        <v>1126</v>
      </c>
      <c r="D493" s="2" t="s">
        <v>33</v>
      </c>
      <c r="E493" s="2" t="s">
        <v>329</v>
      </c>
      <c r="F493" s="3" t="n">
        <v>0.000753</v>
      </c>
      <c r="G493" s="3" t="n">
        <f aca="false">SUM($F$2:F493)</f>
        <v>0.796222</v>
      </c>
      <c r="H493" s="4" t="n">
        <v>23.43</v>
      </c>
      <c r="I493" s="5" t="n">
        <v>40.3966</v>
      </c>
      <c r="J493" s="4" t="n">
        <v>0.58</v>
      </c>
      <c r="K493" s="5" t="n">
        <v>3.7633</v>
      </c>
      <c r="L493" s="6" t="n">
        <v>1.3174</v>
      </c>
      <c r="M493" s="5" t="n">
        <f aca="false">IF(AND(N(K493)&gt;0,N(L493)&gt;0),K493/L493,"")</f>
        <v>2.8566115075148</v>
      </c>
      <c r="N493" s="2"/>
    </row>
    <row r="494" customFormat="false" ht="15" hidden="false" customHeight="false" outlineLevel="0" collapsed="false">
      <c r="A494" s="2" t="n">
        <v>493</v>
      </c>
      <c r="B494" s="2" t="s">
        <v>1127</v>
      </c>
      <c r="C494" s="2" t="s">
        <v>1128</v>
      </c>
      <c r="D494" s="2" t="s">
        <v>79</v>
      </c>
      <c r="E494" s="2" t="s">
        <v>276</v>
      </c>
      <c r="F494" s="3" t="n">
        <v>0.000752</v>
      </c>
      <c r="G494" s="3" t="n">
        <f aca="false">SUM($F$2:F494)</f>
        <v>0.796974</v>
      </c>
      <c r="H494" s="4" t="n">
        <v>71.07</v>
      </c>
      <c r="I494" s="5" t="n">
        <v>9.4508</v>
      </c>
      <c r="J494" s="4" t="n">
        <v>7.52</v>
      </c>
      <c r="K494" s="5" t="n">
        <v>3.1256</v>
      </c>
      <c r="L494" s="6" t="n">
        <v>3.8445</v>
      </c>
      <c r="M494" s="5" t="n">
        <f aca="false">IF(AND(N(K494)&gt;0,N(L494)&gt;0),K494/L494,"")</f>
        <v>0.813005592404734</v>
      </c>
      <c r="N494" s="2"/>
    </row>
    <row r="495" customFormat="false" ht="15" hidden="false" customHeight="false" outlineLevel="0" collapsed="false">
      <c r="A495" s="2" t="n">
        <v>494</v>
      </c>
      <c r="B495" s="2" t="s">
        <v>1129</v>
      </c>
      <c r="C495" s="2" t="s">
        <v>1130</v>
      </c>
      <c r="D495" s="2" t="s">
        <v>58</v>
      </c>
      <c r="E495" s="2" t="s">
        <v>326</v>
      </c>
      <c r="F495" s="3" t="n">
        <v>0.000751</v>
      </c>
      <c r="G495" s="3" t="n">
        <f aca="false">SUM($F$2:F495)</f>
        <v>0.797725</v>
      </c>
      <c r="H495" s="4" t="n">
        <v>61.37</v>
      </c>
      <c r="I495" s="5" t="n">
        <v>15.899</v>
      </c>
      <c r="J495" s="4" t="n">
        <v>3.86</v>
      </c>
      <c r="K495" s="5" t="n">
        <v>2.9493</v>
      </c>
      <c r="L495" s="6" t="n">
        <v>2.5051</v>
      </c>
      <c r="M495" s="5" t="n">
        <f aca="false">IF(AND(N(K495)&gt;0,N(L495)&gt;0),K495/L495,"")</f>
        <v>1.17731827072772</v>
      </c>
      <c r="N495" s="2"/>
    </row>
    <row r="496" customFormat="false" ht="15" hidden="false" customHeight="false" outlineLevel="0" collapsed="false">
      <c r="A496" s="2" t="n">
        <v>495</v>
      </c>
      <c r="B496" s="2" t="s">
        <v>1131</v>
      </c>
      <c r="C496" s="2" t="s">
        <v>1132</v>
      </c>
      <c r="D496" s="2" t="s">
        <v>58</v>
      </c>
      <c r="E496" s="2" t="s">
        <v>326</v>
      </c>
      <c r="F496" s="3" t="n">
        <v>0.000751</v>
      </c>
      <c r="G496" s="3" t="n">
        <f aca="false">SUM($F$2:F496)</f>
        <v>0.798476</v>
      </c>
      <c r="H496" s="4" t="n">
        <v>75.26</v>
      </c>
      <c r="I496" s="5" t="n">
        <v>13.6836</v>
      </c>
      <c r="J496" s="4" t="n">
        <v>5.5</v>
      </c>
      <c r="K496" s="5" t="n">
        <v>3.411</v>
      </c>
      <c r="L496" s="6" t="n">
        <v>0.4055</v>
      </c>
      <c r="M496" s="5" t="n">
        <f aca="false">IF(AND(N(K496)&gt;0,N(L496)&gt;0),K496/L496,"")</f>
        <v>8.41183723797781</v>
      </c>
      <c r="N496" s="2"/>
    </row>
    <row r="497" customFormat="false" ht="15" hidden="false" customHeight="false" outlineLevel="0" collapsed="false">
      <c r="A497" s="2" t="n">
        <v>496</v>
      </c>
      <c r="B497" s="2" t="s">
        <v>1133</v>
      </c>
      <c r="C497" s="2" t="s">
        <v>1134</v>
      </c>
      <c r="D497" s="2" t="s">
        <v>22</v>
      </c>
      <c r="E497" s="2" t="s">
        <v>525</v>
      </c>
      <c r="F497" s="3" t="n">
        <v>0.000748</v>
      </c>
      <c r="G497" s="3" t="n">
        <f aca="false">SUM($F$2:F497)</f>
        <v>0.799224</v>
      </c>
      <c r="H497" s="4" t="n">
        <v>88.13</v>
      </c>
      <c r="I497" s="5" t="n">
        <v>19.0346</v>
      </c>
      <c r="J497" s="4" t="n">
        <v>4.63</v>
      </c>
      <c r="K497" s="5" t="n">
        <v>3.7002</v>
      </c>
      <c r="L497" s="6" t="n">
        <v>2.8137</v>
      </c>
      <c r="M497" s="5" t="n">
        <f aca="false">IF(AND(N(K497)&gt;0,N(L497)&gt;0),K497/L497,"")</f>
        <v>1.3150655720226</v>
      </c>
      <c r="N497" s="2"/>
    </row>
    <row r="498" customFormat="false" ht="15" hidden="false" customHeight="false" outlineLevel="0" collapsed="false">
      <c r="A498" s="2" t="n">
        <v>497</v>
      </c>
      <c r="B498" s="2" t="s">
        <v>1135</v>
      </c>
      <c r="C498" s="2" t="s">
        <v>1136</v>
      </c>
      <c r="D498" s="2" t="s">
        <v>16</v>
      </c>
      <c r="E498" s="2" t="s">
        <v>148</v>
      </c>
      <c r="F498" s="3" t="n">
        <v>0.000748</v>
      </c>
      <c r="G498" s="3" t="n">
        <f aca="false">SUM($F$2:F498)</f>
        <v>0.799972</v>
      </c>
      <c r="H498" s="4" t="n">
        <v>350.65</v>
      </c>
      <c r="I498" s="5" t="n">
        <v>22.608</v>
      </c>
      <c r="J498" s="4" t="n">
        <v>15.51</v>
      </c>
      <c r="K498" s="5" t="n">
        <v>4.4727</v>
      </c>
      <c r="L498" s="6" t="n">
        <v>6.949</v>
      </c>
      <c r="M498" s="5" t="n">
        <f aca="false">IF(AND(N(K498)&gt;0,N(L498)&gt;0),K498/L498,"")</f>
        <v>0.643646567851489</v>
      </c>
      <c r="N498" s="2"/>
    </row>
    <row r="499" customFormat="false" ht="15" hidden="false" customHeight="false" outlineLevel="0" collapsed="false">
      <c r="A499" s="2" t="n">
        <v>498</v>
      </c>
      <c r="B499" s="2" t="s">
        <v>1137</v>
      </c>
      <c r="C499" s="2" t="s">
        <v>1138</v>
      </c>
      <c r="D499" s="2" t="s">
        <v>22</v>
      </c>
      <c r="E499" s="2" t="s">
        <v>83</v>
      </c>
      <c r="F499" s="3" t="n">
        <v>0.000746</v>
      </c>
      <c r="G499" s="3" t="n">
        <f aca="false">SUM($F$2:F499)</f>
        <v>0.800718</v>
      </c>
      <c r="H499" s="4" t="n">
        <v>289.58</v>
      </c>
      <c r="I499" s="5" t="n">
        <v>39.6685</v>
      </c>
      <c r="J499" s="4" t="n">
        <v>7.3</v>
      </c>
      <c r="K499" s="5" t="n">
        <v>4.7183</v>
      </c>
      <c r="L499" s="6" t="n">
        <v>4.0342</v>
      </c>
      <c r="M499" s="5" t="n">
        <f aca="false">IF(AND(N(K499)&gt;0,N(L499)&gt;0),K499/L499,"")</f>
        <v>1.16957513261613</v>
      </c>
      <c r="N499" s="2"/>
    </row>
    <row r="500" customFormat="false" ht="15" hidden="false" customHeight="false" outlineLevel="0" collapsed="false">
      <c r="A500" s="2" t="n">
        <v>499</v>
      </c>
      <c r="B500" s="2" t="s">
        <v>1139</v>
      </c>
      <c r="C500" s="2" t="s">
        <v>1140</v>
      </c>
      <c r="D500" s="2" t="s">
        <v>16</v>
      </c>
      <c r="E500" s="2" t="s">
        <v>43</v>
      </c>
      <c r="F500" s="3" t="n">
        <v>0.000746</v>
      </c>
      <c r="G500" s="3" t="n">
        <f aca="false">SUM($F$2:F500)</f>
        <v>0.801464</v>
      </c>
      <c r="H500" s="4" t="n">
        <v>72.77</v>
      </c>
      <c r="I500" s="5" t="n">
        <v>34.3255</v>
      </c>
      <c r="J500" s="4" t="n">
        <v>2.12</v>
      </c>
      <c r="K500" s="5" t="n">
        <v>5.0684</v>
      </c>
      <c r="L500" s="6" t="n">
        <v>4.8839</v>
      </c>
      <c r="M500" s="5" t="n">
        <f aca="false">IF(AND(N(K500)&gt;0,N(L500)&gt;0),K500/L500,"")</f>
        <v>1.03777718626508</v>
      </c>
      <c r="N500" s="2"/>
    </row>
    <row r="501" customFormat="false" ht="15" hidden="false" customHeight="false" outlineLevel="0" collapsed="false">
      <c r="A501" s="2" t="n">
        <v>500</v>
      </c>
      <c r="B501" s="2" t="s">
        <v>1141</v>
      </c>
      <c r="C501" s="2" t="s">
        <v>1142</v>
      </c>
      <c r="D501" s="2" t="s">
        <v>86</v>
      </c>
      <c r="E501" s="2" t="s">
        <v>442</v>
      </c>
      <c r="F501" s="3" t="n">
        <v>0.000744</v>
      </c>
      <c r="G501" s="3" t="n">
        <f aca="false">SUM($F$2:F501)</f>
        <v>0.802208</v>
      </c>
      <c r="H501" s="4" t="n">
        <v>35.66</v>
      </c>
      <c r="I501" s="5" t="n">
        <v>32.7156</v>
      </c>
      <c r="J501" s="4" t="n">
        <v>1.09</v>
      </c>
      <c r="K501" s="5" t="n">
        <v>4.2629</v>
      </c>
      <c r="L501" s="6" t="n">
        <v>6.7907</v>
      </c>
      <c r="M501" s="5" t="n">
        <f aca="false">IF(AND(N(K501)&gt;0,N(L501)&gt;0),K501/L501,"")</f>
        <v>0.627755606933011</v>
      </c>
      <c r="N501" s="2"/>
    </row>
    <row r="502" customFormat="false" ht="15" hidden="false" customHeight="false" outlineLevel="0" collapsed="false">
      <c r="A502" s="2" t="n">
        <v>501</v>
      </c>
      <c r="B502" s="2" t="s">
        <v>1143</v>
      </c>
      <c r="C502" s="2" t="s">
        <v>1144</v>
      </c>
      <c r="D502" s="2" t="s">
        <v>58</v>
      </c>
      <c r="E502" s="2" t="s">
        <v>214</v>
      </c>
      <c r="F502" s="3" t="n">
        <v>0.000744</v>
      </c>
      <c r="G502" s="3" t="n">
        <f aca="false">SUM($F$2:F502)</f>
        <v>0.802952</v>
      </c>
      <c r="H502" s="4" t="n">
        <v>170.61</v>
      </c>
      <c r="I502" s="5" t="n">
        <v>32.8096</v>
      </c>
      <c r="J502" s="4" t="n">
        <v>5.2</v>
      </c>
      <c r="K502" s="5" t="n">
        <v>5.2651</v>
      </c>
      <c r="L502" s="6" t="n">
        <v>0.9252</v>
      </c>
      <c r="M502" s="5" t="n">
        <f aca="false">IF(AND(N(K502)&gt;0,N(L502)&gt;0),K502/L502,"")</f>
        <v>5.69076956333766</v>
      </c>
      <c r="N502" s="2"/>
    </row>
    <row r="503" customFormat="false" ht="15" hidden="false" customHeight="false" outlineLevel="0" collapsed="false">
      <c r="A503" s="2" t="n">
        <v>502</v>
      </c>
      <c r="B503" s="2" t="s">
        <v>1145</v>
      </c>
      <c r="C503" s="2" t="s">
        <v>1146</v>
      </c>
      <c r="D503" s="2" t="s">
        <v>86</v>
      </c>
      <c r="E503" s="2" t="s">
        <v>442</v>
      </c>
      <c r="F503" s="3" t="n">
        <v>0.000742</v>
      </c>
      <c r="G503" s="3" t="n">
        <f aca="false">SUM($F$2:F503)</f>
        <v>0.803694</v>
      </c>
      <c r="H503" s="4" t="n">
        <v>30.8</v>
      </c>
      <c r="I503" s="5" t="n">
        <v>162.1053</v>
      </c>
      <c r="J503" s="4" t="n">
        <v>0.19</v>
      </c>
      <c r="K503" s="5" t="n">
        <v>2.4017</v>
      </c>
      <c r="L503" s="6" t="n">
        <v>7.5703</v>
      </c>
      <c r="M503" s="5" t="n">
        <f aca="false">IF(AND(N(K503)&gt;0,N(L503)&gt;0),K503/L503,"")</f>
        <v>0.317252949024477</v>
      </c>
      <c r="N503" s="2"/>
    </row>
    <row r="504" customFormat="false" ht="15" hidden="false" customHeight="false" outlineLevel="0" collapsed="false">
      <c r="A504" s="2" t="n">
        <v>503</v>
      </c>
      <c r="B504" s="2" t="s">
        <v>1147</v>
      </c>
      <c r="C504" s="2" t="s">
        <v>1148</v>
      </c>
      <c r="D504" s="2" t="s">
        <v>86</v>
      </c>
      <c r="E504" s="2" t="s">
        <v>717</v>
      </c>
      <c r="F504" s="3" t="n">
        <v>0.000741</v>
      </c>
      <c r="G504" s="3" t="n">
        <f aca="false">SUM($F$2:F504)</f>
        <v>0.804435</v>
      </c>
      <c r="H504" s="4" t="n">
        <v>52.94</v>
      </c>
      <c r="I504" s="5"/>
      <c r="J504" s="4" t="n">
        <v>-2.72</v>
      </c>
      <c r="K504" s="5" t="n">
        <v>4.062</v>
      </c>
      <c r="L504" s="6" t="n">
        <v>4.0702</v>
      </c>
      <c r="M504" s="5" t="n">
        <f aca="false">IF(AND(N(K504)&gt;0,N(L504)&gt;0),K504/L504,"")</f>
        <v>0.997985356984915</v>
      </c>
      <c r="N504" s="2" t="s">
        <v>50</v>
      </c>
    </row>
    <row r="505" customFormat="false" ht="15" hidden="false" customHeight="false" outlineLevel="0" collapsed="false">
      <c r="A505" s="2" t="n">
        <v>504</v>
      </c>
      <c r="B505" s="2" t="s">
        <v>1149</v>
      </c>
      <c r="C505" s="2" t="s">
        <v>1150</v>
      </c>
      <c r="D505" s="2" t="s">
        <v>62</v>
      </c>
      <c r="E505" s="2" t="s">
        <v>189</v>
      </c>
      <c r="F505" s="3" t="n">
        <v>0.000736</v>
      </c>
      <c r="G505" s="3" t="n">
        <f aca="false">SUM($F$2:F505)</f>
        <v>0.805171</v>
      </c>
      <c r="H505" s="4" t="n">
        <v>69.06</v>
      </c>
      <c r="I505" s="5" t="n">
        <v>44.2692</v>
      </c>
      <c r="J505" s="4" t="n">
        <v>1.56</v>
      </c>
      <c r="K505" s="5" t="n">
        <v>3.1625</v>
      </c>
      <c r="L505" s="6" t="n">
        <v>1.7169</v>
      </c>
      <c r="M505" s="5" t="n">
        <f aca="false">IF(AND(N(K505)&gt;0,N(L505)&gt;0),K505/L505,"")</f>
        <v>1.84198264313588</v>
      </c>
      <c r="N505" s="2"/>
    </row>
    <row r="506" customFormat="false" ht="15" hidden="false" customHeight="false" outlineLevel="0" collapsed="false">
      <c r="A506" s="2" t="n">
        <v>505</v>
      </c>
      <c r="B506" s="2" t="s">
        <v>1151</v>
      </c>
      <c r="C506" s="2" t="s">
        <v>1152</v>
      </c>
      <c r="D506" s="2" t="s">
        <v>26</v>
      </c>
      <c r="E506" s="2" t="s">
        <v>27</v>
      </c>
      <c r="F506" s="3" t="n">
        <v>0.000734</v>
      </c>
      <c r="G506" s="3" t="n">
        <f aca="false">SUM($F$2:F506)</f>
        <v>0.805905</v>
      </c>
      <c r="H506" s="4" t="n">
        <v>69.09</v>
      </c>
      <c r="I506" s="5" t="n">
        <v>87.4557</v>
      </c>
      <c r="J506" s="4" t="n">
        <v>0.79</v>
      </c>
      <c r="K506" s="5" t="n">
        <v>6.9523</v>
      </c>
      <c r="L506" s="6" t="n">
        <v>9.1215</v>
      </c>
      <c r="M506" s="5" t="n">
        <f aca="false">IF(AND(N(K506)&gt;0,N(L506)&gt;0),K506/L506,"")</f>
        <v>0.762188236583895</v>
      </c>
      <c r="N506" s="2"/>
    </row>
    <row r="507" customFormat="false" ht="15" hidden="false" customHeight="false" outlineLevel="0" collapsed="false">
      <c r="A507" s="2" t="n">
        <v>506</v>
      </c>
      <c r="B507" s="2" t="s">
        <v>1153</v>
      </c>
      <c r="C507" s="2" t="s">
        <v>1154</v>
      </c>
      <c r="D507" s="2" t="s">
        <v>22</v>
      </c>
      <c r="E507" s="2" t="s">
        <v>109</v>
      </c>
      <c r="F507" s="3" t="n">
        <v>0.000734</v>
      </c>
      <c r="G507" s="3" t="n">
        <f aca="false">SUM($F$2:F507)</f>
        <v>0.806639</v>
      </c>
      <c r="H507" s="4" t="n">
        <v>86.02</v>
      </c>
      <c r="I507" s="5" t="n">
        <v>37.0776</v>
      </c>
      <c r="J507" s="4" t="n">
        <v>2.32</v>
      </c>
      <c r="K507" s="5" t="n">
        <v>4.5259</v>
      </c>
      <c r="L507" s="6" t="n">
        <v>0.7608</v>
      </c>
      <c r="M507" s="5" t="n">
        <f aca="false">IF(AND(N(K507)&gt;0,N(L507)&gt;0),K507/L507,"")</f>
        <v>5.94886961093586</v>
      </c>
      <c r="N507" s="2"/>
    </row>
    <row r="508" customFormat="false" ht="15" hidden="false" customHeight="false" outlineLevel="0" collapsed="false">
      <c r="A508" s="2" t="n">
        <v>507</v>
      </c>
      <c r="B508" s="2" t="s">
        <v>1155</v>
      </c>
      <c r="C508" s="2" t="s">
        <v>1156</v>
      </c>
      <c r="D508" s="2" t="s">
        <v>16</v>
      </c>
      <c r="E508" s="2" t="s">
        <v>43</v>
      </c>
      <c r="F508" s="3" t="n">
        <v>0.000732</v>
      </c>
      <c r="G508" s="3" t="n">
        <f aca="false">SUM($F$2:F508)</f>
        <v>0.807371</v>
      </c>
      <c r="H508" s="4" t="n">
        <v>113.15</v>
      </c>
      <c r="I508" s="5" t="n">
        <v>37.9698</v>
      </c>
      <c r="J508" s="4" t="n">
        <v>2.98</v>
      </c>
      <c r="K508" s="5" t="n">
        <v>3.4942</v>
      </c>
      <c r="L508" s="6" t="n">
        <v>4.0346</v>
      </c>
      <c r="M508" s="5" t="n">
        <f aca="false">IF(AND(N(K508)&gt;0,N(L508)&gt;0),K508/L508,"")</f>
        <v>0.866058593169087</v>
      </c>
      <c r="N508" s="2"/>
    </row>
    <row r="509" customFormat="false" ht="15" hidden="false" customHeight="false" outlineLevel="0" collapsed="false">
      <c r="A509" s="2" t="n">
        <v>508</v>
      </c>
      <c r="B509" s="2" t="s">
        <v>1157</v>
      </c>
      <c r="C509" s="2" t="s">
        <v>1158</v>
      </c>
      <c r="D509" s="2" t="s">
        <v>26</v>
      </c>
      <c r="E509" s="2" t="s">
        <v>774</v>
      </c>
      <c r="F509" s="3" t="n">
        <v>0.000731</v>
      </c>
      <c r="G509" s="3" t="n">
        <f aca="false">SUM($F$2:F509)</f>
        <v>0.808102</v>
      </c>
      <c r="H509" s="4" t="n">
        <v>11.42</v>
      </c>
      <c r="I509" s="5"/>
      <c r="J509" s="4" t="n">
        <v>-0.24</v>
      </c>
      <c r="K509" s="5" t="n">
        <v>4.3554</v>
      </c>
      <c r="L509" s="6" t="n">
        <v>0.9322</v>
      </c>
      <c r="M509" s="5" t="n">
        <f aca="false">IF(AND(N(K509)&gt;0,N(L509)&gt;0),K509/L509,"")</f>
        <v>4.67217335335765</v>
      </c>
      <c r="N509" s="2" t="s">
        <v>50</v>
      </c>
    </row>
    <row r="510" customFormat="false" ht="15" hidden="false" customHeight="false" outlineLevel="0" collapsed="false">
      <c r="A510" s="2" t="n">
        <v>509</v>
      </c>
      <c r="B510" s="2" t="s">
        <v>1159</v>
      </c>
      <c r="C510" s="2" t="s">
        <v>1160</v>
      </c>
      <c r="D510" s="2" t="s">
        <v>79</v>
      </c>
      <c r="E510" s="2" t="s">
        <v>80</v>
      </c>
      <c r="F510" s="3" t="n">
        <v>0.000728</v>
      </c>
      <c r="G510" s="3" t="n">
        <f aca="false">SUM($F$2:F510)</f>
        <v>0.80883</v>
      </c>
      <c r="H510" s="4" t="n">
        <v>22.43</v>
      </c>
      <c r="I510" s="5" t="n">
        <v>15.5764</v>
      </c>
      <c r="J510" s="4" t="n">
        <v>1.44</v>
      </c>
      <c r="K510" s="5" t="n">
        <v>3.9476</v>
      </c>
      <c r="L510" s="6" t="n">
        <v>6.8957</v>
      </c>
      <c r="M510" s="5" t="n">
        <f aca="false">IF(AND(N(K510)&gt;0,N(L510)&gt;0),K510/L510,"")</f>
        <v>0.572472700378497</v>
      </c>
      <c r="N510" s="2"/>
    </row>
    <row r="511" customFormat="false" ht="15" hidden="false" customHeight="false" outlineLevel="0" collapsed="false">
      <c r="A511" s="2" t="n">
        <v>510</v>
      </c>
      <c r="B511" s="2" t="s">
        <v>1161</v>
      </c>
      <c r="C511" s="2" t="s">
        <v>1162</v>
      </c>
      <c r="D511" s="2" t="s">
        <v>93</v>
      </c>
      <c r="E511" s="2" t="s">
        <v>678</v>
      </c>
      <c r="F511" s="3" t="n">
        <v>0.000728</v>
      </c>
      <c r="G511" s="3" t="n">
        <f aca="false">SUM($F$2:F511)</f>
        <v>0.809558</v>
      </c>
      <c r="H511" s="4" t="n">
        <v>103.03</v>
      </c>
      <c r="I511" s="5"/>
      <c r="J511" s="4" t="n">
        <v>-9.57</v>
      </c>
      <c r="K511" s="5" t="n">
        <v>3.5437</v>
      </c>
      <c r="L511" s="6" t="n">
        <v>1.0377</v>
      </c>
      <c r="M511" s="5" t="n">
        <f aca="false">IF(AND(N(K511)&gt;0,N(L511)&gt;0),K511/L511,"")</f>
        <v>3.41495615303074</v>
      </c>
      <c r="N511" s="2" t="s">
        <v>50</v>
      </c>
    </row>
    <row r="512" customFormat="false" ht="15" hidden="false" customHeight="false" outlineLevel="0" collapsed="false">
      <c r="A512" s="2" t="n">
        <v>511</v>
      </c>
      <c r="B512" s="2" t="s">
        <v>1163</v>
      </c>
      <c r="C512" s="2" t="s">
        <v>1164</v>
      </c>
      <c r="D512" s="2" t="s">
        <v>93</v>
      </c>
      <c r="E512" s="2" t="s">
        <v>381</v>
      </c>
      <c r="F512" s="3" t="n">
        <v>0.000724</v>
      </c>
      <c r="G512" s="3" t="n">
        <f aca="false">SUM($F$2:F512)</f>
        <v>0.810282</v>
      </c>
      <c r="H512" s="4" t="n">
        <v>26.62</v>
      </c>
      <c r="I512" s="5" t="n">
        <v>32.8642</v>
      </c>
      <c r="J512" s="4" t="n">
        <v>0.81</v>
      </c>
      <c r="K512" s="5" t="n">
        <v>3.395</v>
      </c>
      <c r="L512" s="6" t="n">
        <v>1.7286</v>
      </c>
      <c r="M512" s="5" t="n">
        <f aca="false">IF(AND(N(K512)&gt;0,N(L512)&gt;0),K512/L512,"")</f>
        <v>1.96401712368391</v>
      </c>
      <c r="N512" s="2"/>
    </row>
    <row r="513" customFormat="false" ht="15" hidden="false" customHeight="false" outlineLevel="0" collapsed="false">
      <c r="A513" s="2" t="n">
        <v>512</v>
      </c>
      <c r="B513" s="2" t="s">
        <v>1165</v>
      </c>
      <c r="C513" s="2" t="s">
        <v>1166</v>
      </c>
      <c r="D513" s="2" t="s">
        <v>16</v>
      </c>
      <c r="E513" s="2" t="s">
        <v>17</v>
      </c>
      <c r="F513" s="3" t="n">
        <v>0.000721</v>
      </c>
      <c r="G513" s="3" t="n">
        <f aca="false">SUM($F$2:F513)</f>
        <v>0.811003</v>
      </c>
      <c r="H513" s="4" t="n">
        <v>21.59</v>
      </c>
      <c r="I513" s="5" t="n">
        <v>15.5324</v>
      </c>
      <c r="J513" s="4" t="n">
        <v>1.39</v>
      </c>
      <c r="K513" s="5" t="n">
        <v>4.5703</v>
      </c>
      <c r="L513" s="6" t="n">
        <v>2.5255</v>
      </c>
      <c r="M513" s="5" t="n">
        <f aca="false">IF(AND(N(K513)&gt;0,N(L513)&gt;0),K513/L513,"")</f>
        <v>1.80966145317759</v>
      </c>
      <c r="N513" s="2"/>
    </row>
    <row r="514" customFormat="false" ht="15" hidden="false" customHeight="false" outlineLevel="0" collapsed="false">
      <c r="A514" s="2" t="n">
        <v>513</v>
      </c>
      <c r="B514" s="2" t="s">
        <v>1167</v>
      </c>
      <c r="C514" s="2" t="s">
        <v>1168</v>
      </c>
      <c r="D514" s="2" t="s">
        <v>16</v>
      </c>
      <c r="E514" s="2" t="s">
        <v>106</v>
      </c>
      <c r="F514" s="3" t="n">
        <v>0.00072</v>
      </c>
      <c r="G514" s="3" t="n">
        <f aca="false">SUM($F$2:F514)</f>
        <v>0.811723</v>
      </c>
      <c r="H514" s="4" t="n">
        <v>95.36</v>
      </c>
      <c r="I514" s="5"/>
      <c r="J514" s="4" t="n">
        <v>-12.62</v>
      </c>
      <c r="K514" s="5" t="n">
        <v>3.7851</v>
      </c>
      <c r="L514" s="6" t="n">
        <v>3.1616</v>
      </c>
      <c r="M514" s="5" t="n">
        <f aca="false">IF(AND(N(K514)&gt;0,N(L514)&gt;0),K514/L514,"")</f>
        <v>1.19721027327935</v>
      </c>
      <c r="N514" s="2" t="s">
        <v>50</v>
      </c>
    </row>
    <row r="515" customFormat="false" ht="15" hidden="false" customHeight="false" outlineLevel="0" collapsed="false">
      <c r="A515" s="2" t="n">
        <v>514</v>
      </c>
      <c r="B515" s="2" t="s">
        <v>1169</v>
      </c>
      <c r="C515" s="2" t="s">
        <v>1170</v>
      </c>
      <c r="D515" s="2" t="s">
        <v>22</v>
      </c>
      <c r="E515" s="2" t="s">
        <v>53</v>
      </c>
      <c r="F515" s="3" t="n">
        <v>0.000718</v>
      </c>
      <c r="G515" s="3" t="n">
        <f aca="false">SUM($F$2:F515)</f>
        <v>0.812441</v>
      </c>
      <c r="H515" s="4" t="n">
        <v>129.75</v>
      </c>
      <c r="I515" s="5" t="n">
        <v>188.0435</v>
      </c>
      <c r="J515" s="4" t="n">
        <v>0.69</v>
      </c>
      <c r="K515" s="5" t="n">
        <v>2.9001</v>
      </c>
      <c r="L515" s="6" t="n">
        <v>0.6898</v>
      </c>
      <c r="M515" s="5" t="n">
        <f aca="false">IF(AND(N(K515)&gt;0,N(L515)&gt;0),K515/L515,"")</f>
        <v>4.20426210495796</v>
      </c>
      <c r="N515" s="2"/>
    </row>
    <row r="516" customFormat="false" ht="15" hidden="false" customHeight="false" outlineLevel="0" collapsed="false">
      <c r="A516" s="2" t="n">
        <v>515</v>
      </c>
      <c r="B516" s="2" t="s">
        <v>1171</v>
      </c>
      <c r="C516" s="2" t="s">
        <v>1172</v>
      </c>
      <c r="D516" s="2" t="s">
        <v>171</v>
      </c>
      <c r="E516" s="2" t="s">
        <v>907</v>
      </c>
      <c r="F516" s="3" t="n">
        <v>0.000717</v>
      </c>
      <c r="G516" s="3" t="n">
        <f aca="false">SUM($F$2:F516)</f>
        <v>0.813158</v>
      </c>
      <c r="H516" s="4" t="n">
        <v>30.89</v>
      </c>
      <c r="I516" s="5" t="n">
        <v>35.9186</v>
      </c>
      <c r="J516" s="4" t="n">
        <v>0.86</v>
      </c>
      <c r="K516" s="5" t="n">
        <v>7.6186</v>
      </c>
      <c r="L516" s="6" t="n">
        <v>4.8403</v>
      </c>
      <c r="M516" s="5" t="n">
        <f aca="false">IF(AND(N(K516)&gt;0,N(L516)&gt;0),K516/L516,"")</f>
        <v>1.57399334751978</v>
      </c>
      <c r="N516" s="2"/>
    </row>
    <row r="517" customFormat="false" ht="15" hidden="false" customHeight="false" outlineLevel="0" collapsed="false">
      <c r="A517" s="2" t="n">
        <v>516</v>
      </c>
      <c r="B517" s="2" t="s">
        <v>1173</v>
      </c>
      <c r="C517" s="2" t="s">
        <v>1174</v>
      </c>
      <c r="D517" s="2" t="s">
        <v>93</v>
      </c>
      <c r="E517" s="2" t="s">
        <v>269</v>
      </c>
      <c r="F517" s="3" t="n">
        <v>0.000714</v>
      </c>
      <c r="G517" s="3" t="n">
        <f aca="false">SUM($F$2:F517)</f>
        <v>0.813872</v>
      </c>
      <c r="H517" s="4" t="n">
        <v>120.42</v>
      </c>
      <c r="I517" s="5" t="n">
        <v>16.7018</v>
      </c>
      <c r="J517" s="4" t="n">
        <v>7.21</v>
      </c>
      <c r="K517" s="5" t="n">
        <v>3.5735</v>
      </c>
      <c r="L517" s="6" t="n">
        <v>1.6582</v>
      </c>
      <c r="M517" s="5" t="n">
        <f aca="false">IF(AND(N(K517)&gt;0,N(L517)&gt;0),K517/L517,"")</f>
        <v>2.15504764202147</v>
      </c>
      <c r="N517" s="2"/>
    </row>
    <row r="518" customFormat="false" ht="15" hidden="false" customHeight="false" outlineLevel="0" collapsed="false">
      <c r="A518" s="2" t="n">
        <v>517</v>
      </c>
      <c r="B518" s="2" t="s">
        <v>1175</v>
      </c>
      <c r="C518" s="2" t="s">
        <v>1176</v>
      </c>
      <c r="D518" s="2" t="s">
        <v>93</v>
      </c>
      <c r="E518" s="2" t="s">
        <v>381</v>
      </c>
      <c r="F518" s="3" t="n">
        <v>0.000712</v>
      </c>
      <c r="G518" s="3" t="n">
        <f aca="false">SUM($F$2:F518)</f>
        <v>0.814584</v>
      </c>
      <c r="H518" s="4" t="n">
        <v>250.87</v>
      </c>
      <c r="I518" s="5" t="n">
        <v>10.3837</v>
      </c>
      <c r="J518" s="4" t="n">
        <v>24.16</v>
      </c>
      <c r="K518" s="5" t="n">
        <v>2.9909</v>
      </c>
      <c r="L518" s="6" t="n">
        <v>0.135</v>
      </c>
      <c r="M518" s="5" t="n">
        <f aca="false">IF(AND(N(K518)&gt;0,N(L518)&gt;0),K518/L518,"")</f>
        <v>22.1548148148148</v>
      </c>
      <c r="N518" s="2"/>
    </row>
    <row r="519" customFormat="false" ht="15" hidden="false" customHeight="false" outlineLevel="0" collapsed="false">
      <c r="A519" s="2" t="n">
        <v>518</v>
      </c>
      <c r="B519" s="2" t="s">
        <v>1177</v>
      </c>
      <c r="C519" s="2" t="s">
        <v>1178</v>
      </c>
      <c r="D519" s="2" t="s">
        <v>86</v>
      </c>
      <c r="E519" s="2" t="s">
        <v>140</v>
      </c>
      <c r="F519" s="3" t="n">
        <v>0.00071</v>
      </c>
      <c r="G519" s="3" t="n">
        <f aca="false">SUM($F$2:F519)</f>
        <v>0.815294</v>
      </c>
      <c r="H519" s="4" t="n">
        <v>19.28</v>
      </c>
      <c r="I519" s="5" t="n">
        <v>25.3684</v>
      </c>
      <c r="J519" s="4" t="n">
        <v>0.76</v>
      </c>
      <c r="K519" s="5" t="n">
        <v>4.1046</v>
      </c>
      <c r="L519" s="6" t="n">
        <v>8.6201</v>
      </c>
      <c r="M519" s="5" t="n">
        <f aca="false">IF(AND(N(K519)&gt;0,N(L519)&gt;0),K519/L519,"")</f>
        <v>0.476166169766012</v>
      </c>
      <c r="N519" s="2"/>
    </row>
    <row r="520" customFormat="false" ht="15" hidden="false" customHeight="false" outlineLevel="0" collapsed="false">
      <c r="A520" s="2" t="n">
        <v>519</v>
      </c>
      <c r="B520" s="2" t="s">
        <v>1179</v>
      </c>
      <c r="C520" s="2" t="s">
        <v>1180</v>
      </c>
      <c r="D520" s="2" t="s">
        <v>93</v>
      </c>
      <c r="E520" s="2" t="s">
        <v>269</v>
      </c>
      <c r="F520" s="3" t="n">
        <v>0.000709</v>
      </c>
      <c r="G520" s="3" t="n">
        <f aca="false">SUM($F$2:F520)</f>
        <v>0.816003</v>
      </c>
      <c r="H520" s="4" t="n">
        <v>44.59</v>
      </c>
      <c r="I520" s="5" t="n">
        <v>17.0843</v>
      </c>
      <c r="J520" s="4" t="n">
        <v>2.61</v>
      </c>
      <c r="K520" s="5" t="n">
        <v>3.6383</v>
      </c>
      <c r="L520" s="6" t="n">
        <v>1.9152</v>
      </c>
      <c r="M520" s="5" t="n">
        <f aca="false">IF(AND(N(K520)&gt;0,N(L520)&gt;0),K520/L520,"")</f>
        <v>1.89969715956558</v>
      </c>
      <c r="N520" s="2"/>
    </row>
    <row r="521" customFormat="false" ht="15" hidden="false" customHeight="false" outlineLevel="0" collapsed="false">
      <c r="A521" s="2" t="n">
        <v>520</v>
      </c>
      <c r="B521" s="2" t="s">
        <v>1181</v>
      </c>
      <c r="C521" s="2" t="s">
        <v>1182</v>
      </c>
      <c r="D521" s="2" t="s">
        <v>16</v>
      </c>
      <c r="E521" s="2" t="s">
        <v>148</v>
      </c>
      <c r="F521" s="3" t="n">
        <v>0.000706</v>
      </c>
      <c r="G521" s="3" t="n">
        <f aca="false">SUM($F$2:F521)</f>
        <v>0.816709</v>
      </c>
      <c r="H521" s="4" t="n">
        <v>57.93</v>
      </c>
      <c r="I521" s="5" t="n">
        <v>40.7958</v>
      </c>
      <c r="J521" s="4" t="n">
        <v>1.42</v>
      </c>
      <c r="K521" s="5" t="n">
        <v>3.6122</v>
      </c>
      <c r="L521" s="6" t="n">
        <v>4.2688</v>
      </c>
      <c r="M521" s="5" t="n">
        <f aca="false">IF(AND(N(K521)&gt;0,N(L521)&gt;0),K521/L521,"")</f>
        <v>0.846186281859071</v>
      </c>
      <c r="N521" s="2"/>
    </row>
    <row r="522" customFormat="false" ht="15" hidden="false" customHeight="false" outlineLevel="0" collapsed="false">
      <c r="A522" s="2" t="n">
        <v>521</v>
      </c>
      <c r="B522" s="2" t="s">
        <v>1183</v>
      </c>
      <c r="C522" s="2" t="s">
        <v>1184</v>
      </c>
      <c r="D522" s="2" t="s">
        <v>33</v>
      </c>
      <c r="E522" s="2" t="s">
        <v>329</v>
      </c>
      <c r="F522" s="3" t="n">
        <v>0.000705</v>
      </c>
      <c r="G522" s="3" t="n">
        <f aca="false">SUM($F$2:F522)</f>
        <v>0.817414</v>
      </c>
      <c r="H522" s="4" t="n">
        <v>23.25</v>
      </c>
      <c r="I522" s="5" t="n">
        <v>387.5</v>
      </c>
      <c r="J522" s="4" t="n">
        <v>0.06</v>
      </c>
      <c r="K522" s="5" t="n">
        <v>2.8739</v>
      </c>
      <c r="L522" s="6" t="n">
        <v>3.1526</v>
      </c>
      <c r="M522" s="5" t="n">
        <f aca="false">IF(AND(N(K522)&gt;0,N(L522)&gt;0),K522/L522,"")</f>
        <v>0.911596777263211</v>
      </c>
      <c r="N522" s="2"/>
    </row>
    <row r="523" customFormat="false" ht="15" hidden="false" customHeight="false" outlineLevel="0" collapsed="false">
      <c r="A523" s="2" t="n">
        <v>522</v>
      </c>
      <c r="B523" s="2" t="s">
        <v>1185</v>
      </c>
      <c r="C523" s="2" t="s">
        <v>1186</v>
      </c>
      <c r="D523" s="2" t="s">
        <v>86</v>
      </c>
      <c r="E523" s="2" t="s">
        <v>562</v>
      </c>
      <c r="F523" s="3" t="n">
        <v>0.000704</v>
      </c>
      <c r="G523" s="3" t="n">
        <f aca="false">SUM($F$2:F523)</f>
        <v>0.818118</v>
      </c>
      <c r="H523" s="4" t="n">
        <v>15.15</v>
      </c>
      <c r="I523" s="5"/>
      <c r="J523" s="4" t="n">
        <v>-0.83</v>
      </c>
      <c r="K523" s="5" t="n">
        <v>3.0503</v>
      </c>
      <c r="L523" s="6" t="n">
        <v>1.1985</v>
      </c>
      <c r="M523" s="5" t="n">
        <f aca="false">IF(AND(N(K523)&gt;0,N(L523)&gt;0),K523/L523,"")</f>
        <v>2.54509803921569</v>
      </c>
      <c r="N523" s="2" t="s">
        <v>50</v>
      </c>
    </row>
    <row r="524" customFormat="false" ht="15" hidden="false" customHeight="false" outlineLevel="0" collapsed="false">
      <c r="A524" s="2" t="n">
        <v>523</v>
      </c>
      <c r="B524" s="2" t="s">
        <v>1187</v>
      </c>
      <c r="C524" s="2" t="s">
        <v>1188</v>
      </c>
      <c r="D524" s="2" t="s">
        <v>79</v>
      </c>
      <c r="E524" s="2" t="s">
        <v>230</v>
      </c>
      <c r="F524" s="3" t="n">
        <v>0.000704</v>
      </c>
      <c r="G524" s="3" t="n">
        <f aca="false">SUM($F$2:F524)</f>
        <v>0.818822</v>
      </c>
      <c r="H524" s="4" t="n">
        <v>151.39</v>
      </c>
      <c r="I524" s="5" t="n">
        <v>20.5973</v>
      </c>
      <c r="J524" s="4" t="n">
        <v>7.35</v>
      </c>
      <c r="K524" s="5" t="n">
        <v>6.4488</v>
      </c>
      <c r="L524" s="6" t="n">
        <v>3.4199</v>
      </c>
      <c r="M524" s="5" t="n">
        <f aca="false">IF(AND(N(K524)&gt;0,N(L524)&gt;0),K524/L524,"")</f>
        <v>1.88566917161321</v>
      </c>
      <c r="N524" s="2"/>
    </row>
    <row r="525" customFormat="false" ht="15" hidden="false" customHeight="false" outlineLevel="0" collapsed="false">
      <c r="A525" s="2" t="n">
        <v>524</v>
      </c>
      <c r="B525" s="2" t="s">
        <v>1189</v>
      </c>
      <c r="C525" s="2" t="s">
        <v>1190</v>
      </c>
      <c r="D525" s="2" t="s">
        <v>86</v>
      </c>
      <c r="E525" s="2" t="s">
        <v>717</v>
      </c>
      <c r="F525" s="3" t="n">
        <v>0.000703</v>
      </c>
      <c r="G525" s="3" t="n">
        <f aca="false">SUM($F$2:F525)</f>
        <v>0.819525</v>
      </c>
      <c r="H525" s="4" t="n">
        <v>34.59</v>
      </c>
      <c r="I525" s="5" t="n">
        <v>24.1888</v>
      </c>
      <c r="J525" s="4" t="n">
        <v>1.43</v>
      </c>
      <c r="K525" s="5" t="n">
        <v>4.0623</v>
      </c>
      <c r="L525" s="6" t="n">
        <v>3.7121</v>
      </c>
      <c r="M525" s="5" t="n">
        <f aca="false">IF(AND(N(K525)&gt;0,N(L525)&gt;0),K525/L525,"")</f>
        <v>1.0943401309232</v>
      </c>
      <c r="N525" s="2"/>
    </row>
    <row r="526" customFormat="false" ht="15" hidden="false" customHeight="false" outlineLevel="0" collapsed="false">
      <c r="A526" s="2" t="n">
        <v>525</v>
      </c>
      <c r="B526" s="2" t="s">
        <v>1191</v>
      </c>
      <c r="C526" s="2" t="s">
        <v>1192</v>
      </c>
      <c r="D526" s="2" t="s">
        <v>66</v>
      </c>
      <c r="E526" s="2" t="s">
        <v>67</v>
      </c>
      <c r="F526" s="3" t="n">
        <v>0.000701</v>
      </c>
      <c r="G526" s="3" t="n">
        <f aca="false">SUM($F$2:F526)</f>
        <v>0.820226</v>
      </c>
      <c r="H526" s="4" t="n">
        <v>34.7</v>
      </c>
      <c r="I526" s="5" t="n">
        <v>6.367</v>
      </c>
      <c r="J526" s="4" t="n">
        <v>5.45</v>
      </c>
      <c r="K526" s="5" t="n">
        <v>4.8292</v>
      </c>
      <c r="L526" s="6" t="n">
        <v>0.7313</v>
      </c>
      <c r="M526" s="5" t="n">
        <f aca="false">IF(AND(N(K526)&gt;0,N(L526)&gt;0),K526/L526,"")</f>
        <v>6.60358266101463</v>
      </c>
      <c r="N526" s="2"/>
    </row>
    <row r="527" customFormat="false" ht="15" hidden="false" customHeight="false" outlineLevel="0" collapsed="false">
      <c r="A527" s="2" t="n">
        <v>526</v>
      </c>
      <c r="B527" s="2" t="s">
        <v>1193</v>
      </c>
      <c r="C527" s="2" t="s">
        <v>1194</v>
      </c>
      <c r="D527" s="2" t="s">
        <v>16</v>
      </c>
      <c r="E527" s="2" t="s">
        <v>106</v>
      </c>
      <c r="F527" s="3" t="n">
        <v>0.000699</v>
      </c>
      <c r="G527" s="3" t="n">
        <f aca="false">SUM($F$2:F527)</f>
        <v>0.820925</v>
      </c>
      <c r="H527" s="4" t="n">
        <v>90.73</v>
      </c>
      <c r="I527" s="5" t="n">
        <v>48.7796</v>
      </c>
      <c r="J527" s="4" t="n">
        <v>1.86</v>
      </c>
      <c r="K527" s="5" t="n">
        <v>4.1783</v>
      </c>
      <c r="L527" s="6" t="n">
        <v>2.5559</v>
      </c>
      <c r="M527" s="5" t="n">
        <f aca="false">IF(AND(N(K527)&gt;0,N(L527)&gt;0),K527/L527,"")</f>
        <v>1.6347666184123</v>
      </c>
      <c r="N527" s="2"/>
    </row>
    <row r="528" customFormat="false" ht="15" hidden="false" customHeight="false" outlineLevel="0" collapsed="false">
      <c r="A528" s="2" t="n">
        <v>527</v>
      </c>
      <c r="B528" s="2" t="s">
        <v>1195</v>
      </c>
      <c r="C528" s="2" t="s">
        <v>1196</v>
      </c>
      <c r="D528" s="2" t="s">
        <v>86</v>
      </c>
      <c r="E528" s="2" t="s">
        <v>203</v>
      </c>
      <c r="F528" s="3" t="n">
        <v>0.000699</v>
      </c>
      <c r="G528" s="3" t="n">
        <f aca="false">SUM($F$2:F528)</f>
        <v>0.821624</v>
      </c>
      <c r="H528" s="4" t="n">
        <v>14.66</v>
      </c>
      <c r="I528" s="5" t="n">
        <v>81.4444</v>
      </c>
      <c r="J528" s="4" t="n">
        <v>0.18</v>
      </c>
      <c r="K528" s="5" t="n">
        <v>3.5431</v>
      </c>
      <c r="L528" s="6" t="n">
        <v>5.2323</v>
      </c>
      <c r="M528" s="5" t="n">
        <f aca="false">IF(AND(N(K528)&gt;0,N(L528)&gt;0),K528/L528,"")</f>
        <v>0.677159184297536</v>
      </c>
      <c r="N528" s="2"/>
    </row>
    <row r="529" customFormat="false" ht="15" hidden="false" customHeight="false" outlineLevel="0" collapsed="false">
      <c r="A529" s="2" t="n">
        <v>528</v>
      </c>
      <c r="B529" s="2" t="s">
        <v>1197</v>
      </c>
      <c r="C529" s="2" t="s">
        <v>1198</v>
      </c>
      <c r="D529" s="2" t="s">
        <v>62</v>
      </c>
      <c r="E529" s="2" t="s">
        <v>1199</v>
      </c>
      <c r="F529" s="3" t="n">
        <v>0.000698</v>
      </c>
      <c r="G529" s="3" t="n">
        <f aca="false">SUM($F$2:F529)</f>
        <v>0.822322</v>
      </c>
      <c r="H529" s="4" t="n">
        <v>88.47</v>
      </c>
      <c r="I529" s="5" t="n">
        <v>21.2668</v>
      </c>
      <c r="J529" s="4" t="n">
        <v>4.16</v>
      </c>
      <c r="K529" s="5" t="n">
        <v>4.6714</v>
      </c>
      <c r="L529" s="6" t="n">
        <v>2.7765</v>
      </c>
      <c r="M529" s="5" t="n">
        <f aca="false">IF(AND(N(K529)&gt;0,N(L529)&gt;0),K529/L529,"")</f>
        <v>1.68247793985233</v>
      </c>
      <c r="N529" s="2"/>
    </row>
    <row r="530" customFormat="false" ht="15" hidden="false" customHeight="false" outlineLevel="0" collapsed="false">
      <c r="A530" s="2" t="n">
        <v>529</v>
      </c>
      <c r="B530" s="2" t="s">
        <v>1200</v>
      </c>
      <c r="C530" s="2" t="s">
        <v>1201</v>
      </c>
      <c r="D530" s="2" t="s">
        <v>93</v>
      </c>
      <c r="E530" s="2" t="s">
        <v>256</v>
      </c>
      <c r="F530" s="3" t="n">
        <v>0.000697</v>
      </c>
      <c r="G530" s="3" t="n">
        <f aca="false">SUM($F$2:F530)</f>
        <v>0.823019</v>
      </c>
      <c r="H530" s="4" t="n">
        <v>63.28</v>
      </c>
      <c r="I530" s="5" t="n">
        <v>20.0889</v>
      </c>
      <c r="J530" s="4" t="n">
        <v>3.15</v>
      </c>
      <c r="K530" s="5" t="n">
        <v>3.0776</v>
      </c>
      <c r="L530" s="6" t="n">
        <v>1.0164</v>
      </c>
      <c r="M530" s="5" t="n">
        <f aca="false">IF(AND(N(K530)&gt;0,N(L530)&gt;0),K530/L530,"")</f>
        <v>3.02794175521448</v>
      </c>
      <c r="N530" s="2"/>
    </row>
    <row r="531" customFormat="false" ht="15" hidden="false" customHeight="false" outlineLevel="0" collapsed="false">
      <c r="A531" s="2" t="n">
        <v>530</v>
      </c>
      <c r="B531" s="2" t="s">
        <v>1202</v>
      </c>
      <c r="C531" s="2" t="s">
        <v>1203</v>
      </c>
      <c r="D531" s="2" t="s">
        <v>26</v>
      </c>
      <c r="E531" s="2" t="s">
        <v>103</v>
      </c>
      <c r="F531" s="3" t="n">
        <v>0.000693</v>
      </c>
      <c r="G531" s="3" t="n">
        <f aca="false">SUM($F$2:F531)</f>
        <v>0.823712</v>
      </c>
      <c r="H531" s="4" t="n">
        <v>52.76</v>
      </c>
      <c r="I531" s="5"/>
      <c r="J531" s="4" t="n">
        <v>-1.25</v>
      </c>
      <c r="K531" s="5" t="n">
        <v>4.6861</v>
      </c>
      <c r="L531" s="6" t="n">
        <v>1.2547</v>
      </c>
      <c r="M531" s="5" t="n">
        <f aca="false">IF(AND(N(K531)&gt;0,N(L531)&gt;0),K531/L531,"")</f>
        <v>3.73483701283175</v>
      </c>
      <c r="N531" s="2" t="s">
        <v>50</v>
      </c>
    </row>
    <row r="532" customFormat="false" ht="15" hidden="false" customHeight="false" outlineLevel="0" collapsed="false">
      <c r="A532" s="2" t="n">
        <v>531</v>
      </c>
      <c r="B532" s="2" t="s">
        <v>1204</v>
      </c>
      <c r="C532" s="2" t="s">
        <v>1205</v>
      </c>
      <c r="D532" s="2" t="s">
        <v>22</v>
      </c>
      <c r="E532" s="2" t="s">
        <v>117</v>
      </c>
      <c r="F532" s="3" t="n">
        <v>0.000692</v>
      </c>
      <c r="G532" s="3" t="n">
        <f aca="false">SUM($F$2:F532)</f>
        <v>0.824404</v>
      </c>
      <c r="H532" s="4" t="n">
        <v>55.97</v>
      </c>
      <c r="I532" s="5" t="n">
        <v>8.2796</v>
      </c>
      <c r="J532" s="4" t="n">
        <v>6.76</v>
      </c>
      <c r="K532" s="5" t="n">
        <v>2.9305</v>
      </c>
      <c r="L532" s="6" t="n">
        <v>0.5584</v>
      </c>
      <c r="M532" s="5" t="n">
        <f aca="false">IF(AND(N(K532)&gt;0,N(L532)&gt;0),K532/L532,"")</f>
        <v>5.24803008595989</v>
      </c>
      <c r="N532" s="2"/>
    </row>
    <row r="533" customFormat="false" ht="15" hidden="false" customHeight="false" outlineLevel="0" collapsed="false">
      <c r="A533" s="2" t="n">
        <v>532</v>
      </c>
      <c r="B533" s="2" t="s">
        <v>1206</v>
      </c>
      <c r="C533" s="2" t="s">
        <v>1207</v>
      </c>
      <c r="D533" s="2" t="s">
        <v>93</v>
      </c>
      <c r="E533" s="2" t="s">
        <v>539</v>
      </c>
      <c r="F533" s="3" t="n">
        <v>0.000689</v>
      </c>
      <c r="G533" s="3" t="n">
        <f aca="false">SUM($F$2:F533)</f>
        <v>0.825093</v>
      </c>
      <c r="H533" s="4" t="n">
        <v>20.51</v>
      </c>
      <c r="I533" s="5" t="n">
        <v>31.5538</v>
      </c>
      <c r="J533" s="4" t="n">
        <v>0.65</v>
      </c>
      <c r="K533" s="5" t="n">
        <v>8.2435</v>
      </c>
      <c r="L533" s="6" t="n">
        <v>0.6308</v>
      </c>
      <c r="M533" s="5" t="n">
        <f aca="false">IF(AND(N(K533)&gt;0,N(L533)&gt;0),K533/L533,"")</f>
        <v>13.0683259353202</v>
      </c>
      <c r="N533" s="2"/>
    </row>
    <row r="534" customFormat="false" ht="15" hidden="false" customHeight="false" outlineLevel="0" collapsed="false">
      <c r="A534" s="2" t="n">
        <v>533</v>
      </c>
      <c r="B534" s="2" t="s">
        <v>1208</v>
      </c>
      <c r="C534" s="2" t="s">
        <v>1209</v>
      </c>
      <c r="D534" s="2" t="s">
        <v>33</v>
      </c>
      <c r="E534" s="2" t="s">
        <v>1210</v>
      </c>
      <c r="F534" s="3" t="n">
        <v>0.000689</v>
      </c>
      <c r="G534" s="3" t="n">
        <f aca="false">SUM($F$2:F534)</f>
        <v>0.825782</v>
      </c>
      <c r="H534" s="4" t="n">
        <v>13.68</v>
      </c>
      <c r="I534" s="5" t="n">
        <v>17.5385</v>
      </c>
      <c r="J534" s="4" t="n">
        <v>0.78</v>
      </c>
      <c r="K534" s="5" t="n">
        <v>3.5925</v>
      </c>
      <c r="L534" s="6" t="n">
        <v>0.5863</v>
      </c>
      <c r="M534" s="5" t="n">
        <f aca="false">IF(AND(N(K534)&gt;0,N(L534)&gt;0),K534/L534,"")</f>
        <v>6.12740917618966</v>
      </c>
      <c r="N534" s="2"/>
    </row>
    <row r="535" customFormat="false" ht="15" hidden="false" customHeight="false" outlineLevel="0" collapsed="false">
      <c r="A535" s="2" t="n">
        <v>534</v>
      </c>
      <c r="B535" s="2" t="s">
        <v>1211</v>
      </c>
      <c r="C535" s="2" t="s">
        <v>1212</v>
      </c>
      <c r="D535" s="2" t="s">
        <v>22</v>
      </c>
      <c r="E535" s="2" t="s">
        <v>117</v>
      </c>
      <c r="F535" s="3" t="n">
        <v>0.000686</v>
      </c>
      <c r="G535" s="3" t="n">
        <f aca="false">SUM($F$2:F535)</f>
        <v>0.826468</v>
      </c>
      <c r="H535" s="4" t="n">
        <v>57.33</v>
      </c>
      <c r="I535" s="5" t="n">
        <v>24.3957</v>
      </c>
      <c r="J535" s="4" t="n">
        <v>2.35</v>
      </c>
      <c r="K535" s="5" t="n">
        <v>5.37</v>
      </c>
      <c r="L535" s="6" t="n">
        <v>3.965</v>
      </c>
      <c r="M535" s="5" t="n">
        <f aca="false">IF(AND(N(K535)&gt;0,N(L535)&gt;0),K535/L535,"")</f>
        <v>1.35435056746532</v>
      </c>
      <c r="N535" s="2"/>
    </row>
    <row r="536" customFormat="false" ht="15" hidden="false" customHeight="false" outlineLevel="0" collapsed="false">
      <c r="A536" s="2" t="n">
        <v>535</v>
      </c>
      <c r="B536" s="2" t="s">
        <v>1213</v>
      </c>
      <c r="C536" s="2" t="s">
        <v>1214</v>
      </c>
      <c r="D536" s="2" t="s">
        <v>16</v>
      </c>
      <c r="E536" s="2" t="s">
        <v>160</v>
      </c>
      <c r="F536" s="3" t="n">
        <v>0.000684</v>
      </c>
      <c r="G536" s="3" t="n">
        <f aca="false">SUM($F$2:F536)</f>
        <v>0.827152</v>
      </c>
      <c r="H536" s="4" t="n">
        <v>77.98</v>
      </c>
      <c r="I536" s="5" t="n">
        <v>18.8358</v>
      </c>
      <c r="J536" s="4" t="n">
        <v>4.14</v>
      </c>
      <c r="K536" s="5" t="n">
        <v>3.5845</v>
      </c>
      <c r="L536" s="6" t="n">
        <v>5.9062</v>
      </c>
      <c r="M536" s="5" t="n">
        <f aca="false">IF(AND(N(K536)&gt;0,N(L536)&gt;0),K536/L536,"")</f>
        <v>0.606904608716264</v>
      </c>
      <c r="N536" s="2"/>
    </row>
    <row r="537" customFormat="false" ht="15" hidden="false" customHeight="false" outlineLevel="0" collapsed="false">
      <c r="A537" s="2" t="n">
        <v>536</v>
      </c>
      <c r="B537" s="2" t="s">
        <v>1215</v>
      </c>
      <c r="C537" s="2" t="s">
        <v>1216</v>
      </c>
      <c r="D537" s="2" t="s">
        <v>93</v>
      </c>
      <c r="E537" s="2" t="s">
        <v>381</v>
      </c>
      <c r="F537" s="3" t="n">
        <v>0.00068</v>
      </c>
      <c r="G537" s="3" t="n">
        <f aca="false">SUM($F$2:F537)</f>
        <v>0.827832</v>
      </c>
      <c r="H537" s="4" t="n">
        <v>184.55</v>
      </c>
      <c r="I537" s="5" t="n">
        <v>6.8683</v>
      </c>
      <c r="J537" s="4" t="n">
        <v>26.87</v>
      </c>
      <c r="K537" s="5" t="n">
        <v>3.313</v>
      </c>
      <c r="L537" s="6" t="n">
        <v>0.1843</v>
      </c>
      <c r="M537" s="5" t="n">
        <f aca="false">IF(AND(N(K537)&gt;0,N(L537)&gt;0),K537/L537,"")</f>
        <v>17.9761258817146</v>
      </c>
      <c r="N537" s="2"/>
    </row>
    <row r="538" customFormat="false" ht="15" hidden="false" customHeight="false" outlineLevel="0" collapsed="false">
      <c r="A538" s="2" t="n">
        <v>537</v>
      </c>
      <c r="B538" s="2" t="s">
        <v>1217</v>
      </c>
      <c r="C538" s="2" t="s">
        <v>1218</v>
      </c>
      <c r="D538" s="2" t="s">
        <v>26</v>
      </c>
      <c r="E538" s="2" t="s">
        <v>27</v>
      </c>
      <c r="F538" s="3" t="n">
        <v>0.000678</v>
      </c>
      <c r="G538" s="3" t="n">
        <f aca="false">SUM($F$2:F538)</f>
        <v>0.82851</v>
      </c>
      <c r="H538" s="4" t="n">
        <v>30.73</v>
      </c>
      <c r="I538" s="5" t="n">
        <v>16.5215</v>
      </c>
      <c r="J538" s="4" t="n">
        <v>1.86</v>
      </c>
      <c r="K538" s="5" t="n">
        <v>5.3881</v>
      </c>
      <c r="L538" s="6" t="n">
        <v>3.5813</v>
      </c>
      <c r="M538" s="5" t="n">
        <f aca="false">IF(AND(N(K538)&gt;0,N(L538)&gt;0),K538/L538,"")</f>
        <v>1.50450953564348</v>
      </c>
      <c r="N538" s="2"/>
    </row>
    <row r="539" customFormat="false" ht="15" hidden="false" customHeight="false" outlineLevel="0" collapsed="false">
      <c r="A539" s="2" t="n">
        <v>538</v>
      </c>
      <c r="B539" s="2" t="s">
        <v>1219</v>
      </c>
      <c r="C539" s="2" t="s">
        <v>1220</v>
      </c>
      <c r="D539" s="2" t="s">
        <v>16</v>
      </c>
      <c r="E539" s="2" t="s">
        <v>160</v>
      </c>
      <c r="F539" s="3" t="n">
        <v>0.000672</v>
      </c>
      <c r="G539" s="3" t="n">
        <f aca="false">SUM($F$2:F539)</f>
        <v>0.829182</v>
      </c>
      <c r="H539" s="4" t="n">
        <v>36.01</v>
      </c>
      <c r="I539" s="5" t="n">
        <v>42.869</v>
      </c>
      <c r="J539" s="4" t="n">
        <v>0.84</v>
      </c>
      <c r="K539" s="5" t="n">
        <v>3.0756</v>
      </c>
      <c r="L539" s="6" t="n">
        <v>4.8435</v>
      </c>
      <c r="M539" s="5" t="n">
        <f aca="false">IF(AND(N(K539)&gt;0,N(L539)&gt;0),K539/L539,"")</f>
        <v>0.634995354598947</v>
      </c>
      <c r="N539" s="2"/>
    </row>
    <row r="540" customFormat="false" ht="15" hidden="false" customHeight="false" outlineLevel="0" collapsed="false">
      <c r="A540" s="2" t="n">
        <v>539</v>
      </c>
      <c r="B540" s="2" t="s">
        <v>1221</v>
      </c>
      <c r="C540" s="2" t="s">
        <v>1222</v>
      </c>
      <c r="D540" s="2" t="s">
        <v>93</v>
      </c>
      <c r="E540" s="2" t="s">
        <v>269</v>
      </c>
      <c r="F540" s="3" t="n">
        <v>0.000672</v>
      </c>
      <c r="G540" s="3" t="n">
        <f aca="false">SUM($F$2:F540)</f>
        <v>0.829854</v>
      </c>
      <c r="H540" s="4" t="n">
        <v>47.07</v>
      </c>
      <c r="I540" s="5" t="n">
        <v>6.8615</v>
      </c>
      <c r="J540" s="4" t="n">
        <v>6.86</v>
      </c>
      <c r="K540" s="5" t="n">
        <v>3.3342</v>
      </c>
      <c r="L540" s="6" t="n">
        <v>0.3607</v>
      </c>
      <c r="M540" s="5" t="n">
        <f aca="false">IF(AND(N(K540)&gt;0,N(L540)&gt;0),K540/L540,"")</f>
        <v>9.24369281951761</v>
      </c>
      <c r="N540" s="2"/>
    </row>
    <row r="541" customFormat="false" ht="15" hidden="false" customHeight="false" outlineLevel="0" collapsed="false">
      <c r="A541" s="2" t="n">
        <v>540</v>
      </c>
      <c r="B541" s="2" t="s">
        <v>1223</v>
      </c>
      <c r="C541" s="2" t="s">
        <v>1224</v>
      </c>
      <c r="D541" s="2" t="s">
        <v>93</v>
      </c>
      <c r="E541" s="2" t="s">
        <v>548</v>
      </c>
      <c r="F541" s="3" t="n">
        <v>0.000671</v>
      </c>
      <c r="G541" s="3" t="n">
        <f aca="false">SUM($F$2:F541)</f>
        <v>0.830525</v>
      </c>
      <c r="H541" s="4" t="n">
        <v>42.79</v>
      </c>
      <c r="I541" s="5" t="n">
        <v>18.7675</v>
      </c>
      <c r="J541" s="4" t="n">
        <v>2.28</v>
      </c>
      <c r="K541" s="5" t="n">
        <v>3.1232</v>
      </c>
      <c r="L541" s="6" t="n">
        <v>1.6134</v>
      </c>
      <c r="M541" s="5" t="n">
        <f aca="false">IF(AND(N(K541)&gt;0,N(L541)&gt;0),K541/L541,"")</f>
        <v>1.93578777736457</v>
      </c>
      <c r="N541" s="2"/>
    </row>
    <row r="542" customFormat="false" ht="15" hidden="false" customHeight="false" outlineLevel="0" collapsed="false">
      <c r="A542" s="2" t="n">
        <v>541</v>
      </c>
      <c r="B542" s="2" t="s">
        <v>1225</v>
      </c>
      <c r="C542" s="2" t="s">
        <v>1226</v>
      </c>
      <c r="D542" s="2" t="s">
        <v>33</v>
      </c>
      <c r="E542" s="2" t="s">
        <v>34</v>
      </c>
      <c r="F542" s="3" t="n">
        <v>0.000669</v>
      </c>
      <c r="G542" s="3" t="n">
        <f aca="false">SUM($F$2:F542)</f>
        <v>0.831194</v>
      </c>
      <c r="H542" s="4" t="n">
        <v>20.16</v>
      </c>
      <c r="I542" s="5" t="n">
        <v>42</v>
      </c>
      <c r="J542" s="4" t="n">
        <v>0.48</v>
      </c>
      <c r="K542" s="5" t="n">
        <v>7.0216</v>
      </c>
      <c r="L542" s="6" t="n">
        <v>2.2523</v>
      </c>
      <c r="M542" s="5" t="n">
        <f aca="false">IF(AND(N(K542)&gt;0,N(L542)&gt;0),K542/L542,"")</f>
        <v>3.11752430848466</v>
      </c>
      <c r="N542" s="2"/>
    </row>
    <row r="543" customFormat="false" ht="15" hidden="false" customHeight="false" outlineLevel="0" collapsed="false">
      <c r="A543" s="2" t="n">
        <v>542</v>
      </c>
      <c r="B543" s="2" t="s">
        <v>1227</v>
      </c>
      <c r="C543" s="2" t="s">
        <v>1228</v>
      </c>
      <c r="D543" s="2" t="s">
        <v>86</v>
      </c>
      <c r="E543" s="2" t="s">
        <v>562</v>
      </c>
      <c r="F543" s="3" t="n">
        <v>0.000668</v>
      </c>
      <c r="G543" s="3" t="n">
        <f aca="false">SUM($F$2:F543)</f>
        <v>0.831862</v>
      </c>
      <c r="H543" s="4" t="n">
        <v>15.68</v>
      </c>
      <c r="I543" s="5" t="n">
        <v>21.1892</v>
      </c>
      <c r="J543" s="4" t="n">
        <v>0.74</v>
      </c>
      <c r="K543" s="5" t="n">
        <v>3.7018</v>
      </c>
      <c r="L543" s="6" t="n">
        <v>2.5696</v>
      </c>
      <c r="M543" s="5" t="n">
        <f aca="false">IF(AND(N(K543)&gt;0,N(L543)&gt;0),K543/L543,"")</f>
        <v>1.44061332503113</v>
      </c>
      <c r="N543" s="2"/>
    </row>
    <row r="544" customFormat="false" ht="15" hidden="false" customHeight="false" outlineLevel="0" collapsed="false">
      <c r="A544" s="2" t="n">
        <v>543</v>
      </c>
      <c r="B544" s="2" t="s">
        <v>1229</v>
      </c>
      <c r="C544" s="2" t="s">
        <v>1230</v>
      </c>
      <c r="D544" s="2" t="s">
        <v>79</v>
      </c>
      <c r="E544" s="2" t="s">
        <v>80</v>
      </c>
      <c r="F544" s="3" t="n">
        <v>0.000667</v>
      </c>
      <c r="G544" s="3" t="n">
        <f aca="false">SUM($F$2:F544)</f>
        <v>0.832529</v>
      </c>
      <c r="H544" s="4" t="n">
        <v>25.5</v>
      </c>
      <c r="I544" s="5" t="n">
        <v>11.087</v>
      </c>
      <c r="J544" s="4" t="n">
        <v>2.3</v>
      </c>
      <c r="K544" s="5" t="n">
        <v>3.1029</v>
      </c>
      <c r="L544" s="6" t="n">
        <v>3.5217</v>
      </c>
      <c r="M544" s="5" t="n">
        <f aca="false">IF(AND(N(K544)&gt;0,N(L544)&gt;0),K544/L544,"")</f>
        <v>0.881080160149928</v>
      </c>
      <c r="N544" s="2"/>
    </row>
    <row r="545" customFormat="false" ht="15" hidden="false" customHeight="false" outlineLevel="0" collapsed="false">
      <c r="A545" s="2" t="n">
        <v>544</v>
      </c>
      <c r="B545" s="2" t="s">
        <v>1231</v>
      </c>
      <c r="C545" s="2" t="s">
        <v>1232</v>
      </c>
      <c r="D545" s="2" t="s">
        <v>22</v>
      </c>
      <c r="E545" s="2" t="s">
        <v>109</v>
      </c>
      <c r="F545" s="3" t="n">
        <v>0.000664</v>
      </c>
      <c r="G545" s="3" t="n">
        <f aca="false">SUM($F$2:F545)</f>
        <v>0.833193</v>
      </c>
      <c r="H545" s="4" t="n">
        <v>67.12</v>
      </c>
      <c r="I545" s="5" t="n">
        <v>30.0987</v>
      </c>
      <c r="J545" s="4" t="n">
        <v>2.23</v>
      </c>
      <c r="K545" s="5" t="n">
        <v>3.1913</v>
      </c>
      <c r="L545" s="6" t="n">
        <v>5.6271</v>
      </c>
      <c r="M545" s="5" t="n">
        <f aca="false">IF(AND(N(K545)&gt;0,N(L545)&gt;0),K545/L545,"")</f>
        <v>0.567130493504647</v>
      </c>
      <c r="N545" s="2"/>
    </row>
    <row r="546" customFormat="false" ht="15" hidden="false" customHeight="false" outlineLevel="0" collapsed="false">
      <c r="A546" s="2" t="n">
        <v>545</v>
      </c>
      <c r="B546" s="2" t="s">
        <v>1233</v>
      </c>
      <c r="C546" s="2" t="s">
        <v>1234</v>
      </c>
      <c r="D546" s="2" t="s">
        <v>86</v>
      </c>
      <c r="E546" s="2" t="s">
        <v>442</v>
      </c>
      <c r="F546" s="3" t="n">
        <v>0.000663</v>
      </c>
      <c r="G546" s="3" t="n">
        <f aca="false">SUM($F$2:F546)</f>
        <v>0.833856</v>
      </c>
      <c r="H546" s="4" t="n">
        <v>26.76</v>
      </c>
      <c r="I546" s="5" t="n">
        <v>20.7442</v>
      </c>
      <c r="J546" s="4" t="n">
        <v>1.29</v>
      </c>
      <c r="K546" s="5" t="n">
        <v>5.8028</v>
      </c>
      <c r="L546" s="6" t="n">
        <v>9.4279</v>
      </c>
      <c r="M546" s="5" t="n">
        <f aca="false">IF(AND(N(K546)&gt;0,N(L546)&gt;0),K546/L546,"")</f>
        <v>0.615492315361852</v>
      </c>
      <c r="N546" s="2"/>
    </row>
    <row r="547" customFormat="false" ht="15" hidden="false" customHeight="false" outlineLevel="0" collapsed="false">
      <c r="A547" s="2" t="n">
        <v>546</v>
      </c>
      <c r="B547" s="2" t="s">
        <v>1235</v>
      </c>
      <c r="C547" s="2" t="s">
        <v>1236</v>
      </c>
      <c r="D547" s="2" t="s">
        <v>62</v>
      </c>
      <c r="E547" s="2" t="s">
        <v>189</v>
      </c>
      <c r="F547" s="3" t="n">
        <v>0.000663</v>
      </c>
      <c r="G547" s="3" t="n">
        <f aca="false">SUM($F$2:F547)</f>
        <v>0.834519</v>
      </c>
      <c r="H547" s="4" t="n">
        <v>40.44</v>
      </c>
      <c r="I547" s="5" t="n">
        <v>21.8595</v>
      </c>
      <c r="J547" s="4" t="n">
        <v>1.85</v>
      </c>
      <c r="K547" s="5" t="n">
        <v>3.7091</v>
      </c>
      <c r="L547" s="6" t="n">
        <v>1.1134</v>
      </c>
      <c r="M547" s="5" t="n">
        <f aca="false">IF(AND(N(K547)&gt;0,N(L547)&gt;0),K547/L547,"")</f>
        <v>3.33132746542123</v>
      </c>
      <c r="N547" s="2"/>
    </row>
    <row r="548" customFormat="false" ht="15" hidden="false" customHeight="false" outlineLevel="0" collapsed="false">
      <c r="A548" s="2" t="n">
        <v>547</v>
      </c>
      <c r="B548" s="2" t="s">
        <v>1237</v>
      </c>
      <c r="C548" s="2" t="s">
        <v>1238</v>
      </c>
      <c r="D548" s="2" t="s">
        <v>93</v>
      </c>
      <c r="E548" s="2" t="s">
        <v>1016</v>
      </c>
      <c r="F548" s="3" t="n">
        <v>0.000661</v>
      </c>
      <c r="G548" s="3" t="n">
        <f aca="false">SUM($F$2:F548)</f>
        <v>0.83518</v>
      </c>
      <c r="H548" s="4" t="n">
        <v>42.83</v>
      </c>
      <c r="I548" s="5" t="n">
        <v>21.415</v>
      </c>
      <c r="J548" s="4" t="n">
        <v>2</v>
      </c>
      <c r="K548" s="5" t="n">
        <v>3.1342</v>
      </c>
      <c r="L548" s="6" t="n">
        <v>1.1436</v>
      </c>
      <c r="M548" s="5" t="n">
        <f aca="false">IF(AND(N(K548)&gt;0,N(L548)&gt;0),K548/L548,"")</f>
        <v>2.74064358167191</v>
      </c>
      <c r="N548" s="2"/>
    </row>
    <row r="549" customFormat="false" ht="15" hidden="false" customHeight="false" outlineLevel="0" collapsed="false">
      <c r="A549" s="2" t="n">
        <v>548</v>
      </c>
      <c r="B549" s="2" t="s">
        <v>1239</v>
      </c>
      <c r="C549" s="2" t="s">
        <v>1240</v>
      </c>
      <c r="D549" s="2" t="s">
        <v>16</v>
      </c>
      <c r="E549" s="2" t="s">
        <v>106</v>
      </c>
      <c r="F549" s="3" t="n">
        <v>0.000661</v>
      </c>
      <c r="G549" s="3" t="n">
        <f aca="false">SUM($F$2:F549)</f>
        <v>0.835841</v>
      </c>
      <c r="H549" s="4" t="n">
        <v>184.04</v>
      </c>
      <c r="I549" s="5"/>
      <c r="J549" s="4" t="n">
        <v>-0.9</v>
      </c>
      <c r="K549" s="5" t="n">
        <v>5.6234</v>
      </c>
      <c r="L549" s="6" t="n">
        <v>15.136</v>
      </c>
      <c r="M549" s="5" t="n">
        <f aca="false">IF(AND(N(K549)&gt;0,N(L549)&gt;0),K549/L549,"")</f>
        <v>0.371524841437632</v>
      </c>
      <c r="N549" s="2" t="s">
        <v>50</v>
      </c>
    </row>
    <row r="550" customFormat="false" ht="15" hidden="false" customHeight="false" outlineLevel="0" collapsed="false">
      <c r="A550" s="2" t="n">
        <v>549</v>
      </c>
      <c r="B550" s="2" t="s">
        <v>1241</v>
      </c>
      <c r="C550" s="2" t="s">
        <v>1242</v>
      </c>
      <c r="D550" s="2" t="s">
        <v>16</v>
      </c>
      <c r="E550" s="2" t="s">
        <v>17</v>
      </c>
      <c r="F550" s="3" t="n">
        <v>0.000661</v>
      </c>
      <c r="G550" s="3" t="n">
        <f aca="false">SUM($F$2:F550)</f>
        <v>0.836502</v>
      </c>
      <c r="H550" s="4" t="n">
        <v>66.1</v>
      </c>
      <c r="I550" s="5" t="n">
        <v>10.4921</v>
      </c>
      <c r="J550" s="4" t="n">
        <v>6.3</v>
      </c>
      <c r="K550" s="5" t="n">
        <v>2.4724</v>
      </c>
      <c r="L550" s="6" t="n">
        <v>0.5652</v>
      </c>
      <c r="M550" s="5" t="n">
        <f aca="false">IF(AND(N(K550)&gt;0,N(L550)&gt;0),K550/L550,"")</f>
        <v>4.37438075017693</v>
      </c>
      <c r="N550" s="2"/>
    </row>
    <row r="551" customFormat="false" ht="15" hidden="false" customHeight="false" outlineLevel="0" collapsed="false">
      <c r="A551" s="2" t="n">
        <v>550</v>
      </c>
      <c r="B551" s="2" t="s">
        <v>1243</v>
      </c>
      <c r="C551" s="2" t="s">
        <v>1244</v>
      </c>
      <c r="D551" s="2" t="s">
        <v>93</v>
      </c>
      <c r="E551" s="2" t="s">
        <v>738</v>
      </c>
      <c r="F551" s="3" t="n">
        <v>0.000659</v>
      </c>
      <c r="G551" s="3" t="n">
        <f aca="false">SUM($F$2:F551)</f>
        <v>0.837161</v>
      </c>
      <c r="H551" s="4" t="n">
        <v>21.57</v>
      </c>
      <c r="I551" s="5" t="n">
        <v>69.5806</v>
      </c>
      <c r="J551" s="4" t="n">
        <v>0.31</v>
      </c>
      <c r="K551" s="5" t="n">
        <v>5.2684</v>
      </c>
      <c r="L551" s="6" t="n">
        <v>3.8542</v>
      </c>
      <c r="M551" s="5" t="n">
        <f aca="false">IF(AND(N(K551)&gt;0,N(L551)&gt;0),K551/L551,"")</f>
        <v>1.3669243941674</v>
      </c>
      <c r="N551" s="2"/>
    </row>
    <row r="552" customFormat="false" ht="15" hidden="false" customHeight="false" outlineLevel="0" collapsed="false">
      <c r="A552" s="2" t="n">
        <v>551</v>
      </c>
      <c r="B552" s="2" t="s">
        <v>1245</v>
      </c>
      <c r="C552" s="2" t="s">
        <v>1246</v>
      </c>
      <c r="D552" s="2" t="s">
        <v>22</v>
      </c>
      <c r="E552" s="2" t="s">
        <v>675</v>
      </c>
      <c r="F552" s="3" t="n">
        <v>0.000659</v>
      </c>
      <c r="G552" s="3" t="n">
        <f aca="false">SUM($F$2:F552)</f>
        <v>0.83782</v>
      </c>
      <c r="H552" s="4" t="n">
        <v>6.62</v>
      </c>
      <c r="I552" s="5" t="n">
        <v>9.1944</v>
      </c>
      <c r="J552" s="4" t="n">
        <v>0.72</v>
      </c>
      <c r="K552" s="5" t="n">
        <v>4.8363</v>
      </c>
      <c r="L552" s="6" t="n">
        <v>0.9364</v>
      </c>
      <c r="M552" s="5" t="n">
        <f aca="false">IF(AND(N(K552)&gt;0,N(L552)&gt;0),K552/L552,"")</f>
        <v>5.16478000854336</v>
      </c>
      <c r="N552" s="2"/>
    </row>
    <row r="553" customFormat="false" ht="15" hidden="false" customHeight="false" outlineLevel="0" collapsed="false">
      <c r="A553" s="2" t="n">
        <v>552</v>
      </c>
      <c r="B553" s="2" t="s">
        <v>1247</v>
      </c>
      <c r="C553" s="2" t="s">
        <v>1248</v>
      </c>
      <c r="D553" s="2" t="s">
        <v>58</v>
      </c>
      <c r="E553" s="2" t="s">
        <v>700</v>
      </c>
      <c r="F553" s="3" t="n">
        <v>0.000659</v>
      </c>
      <c r="G553" s="3" t="n">
        <f aca="false">SUM($F$2:F553)</f>
        <v>0.838479</v>
      </c>
      <c r="H553" s="4" t="n">
        <v>79.5</v>
      </c>
      <c r="I553" s="5" t="n">
        <v>11.1345</v>
      </c>
      <c r="J553" s="4" t="n">
        <v>7.14</v>
      </c>
      <c r="K553" s="5" t="n">
        <v>3.304</v>
      </c>
      <c r="L553" s="6" t="n">
        <v>1.3121</v>
      </c>
      <c r="M553" s="5" t="n">
        <f aca="false">IF(AND(N(K553)&gt;0,N(L553)&gt;0),K553/L553,"")</f>
        <v>2.51810075451566</v>
      </c>
      <c r="N553" s="2"/>
    </row>
    <row r="554" customFormat="false" ht="15" hidden="false" customHeight="false" outlineLevel="0" collapsed="false">
      <c r="A554" s="2" t="n">
        <v>553</v>
      </c>
      <c r="B554" s="2" t="s">
        <v>1249</v>
      </c>
      <c r="C554" s="2" t="s">
        <v>1250</v>
      </c>
      <c r="D554" s="2" t="s">
        <v>22</v>
      </c>
      <c r="E554" s="2" t="s">
        <v>305</v>
      </c>
      <c r="F554" s="3" t="n">
        <v>0.000658</v>
      </c>
      <c r="G554" s="3" t="n">
        <f aca="false">SUM($F$2:F554)</f>
        <v>0.839137</v>
      </c>
      <c r="H554" s="4" t="n">
        <v>18.1</v>
      </c>
      <c r="I554" s="5"/>
      <c r="J554" s="4" t="n">
        <v>-0.38</v>
      </c>
      <c r="K554" s="5" t="n">
        <v>3.2796</v>
      </c>
      <c r="L554" s="6" t="n">
        <v>1.4299</v>
      </c>
      <c r="M554" s="5" t="n">
        <f aca="false">IF(AND(N(K554)&gt;0,N(L554)&gt;0),K554/L554,"")</f>
        <v>2.29358696412337</v>
      </c>
      <c r="N554" s="2" t="s">
        <v>50</v>
      </c>
    </row>
    <row r="555" customFormat="false" ht="15" hidden="false" customHeight="false" outlineLevel="0" collapsed="false">
      <c r="A555" s="2" t="n">
        <v>554</v>
      </c>
      <c r="B555" s="2" t="s">
        <v>1251</v>
      </c>
      <c r="C555" s="2" t="s">
        <v>1252</v>
      </c>
      <c r="D555" s="2" t="s">
        <v>79</v>
      </c>
      <c r="E555" s="2" t="s">
        <v>80</v>
      </c>
      <c r="F555" s="3" t="n">
        <v>0.000657</v>
      </c>
      <c r="G555" s="3" t="n">
        <f aca="false">SUM($F$2:F555)</f>
        <v>0.839794</v>
      </c>
      <c r="H555" s="4" t="n">
        <v>36.83</v>
      </c>
      <c r="I555" s="5" t="n">
        <v>11.4025</v>
      </c>
      <c r="J555" s="4" t="n">
        <v>3.23</v>
      </c>
      <c r="K555" s="5" t="n">
        <v>3.5101</v>
      </c>
      <c r="L555" s="6" t="n">
        <v>3.3158</v>
      </c>
      <c r="M555" s="5" t="n">
        <f aca="false">IF(AND(N(K555)&gt;0,N(L555)&gt;0),K555/L555,"")</f>
        <v>1.0585982266723</v>
      </c>
      <c r="N555" s="2"/>
    </row>
    <row r="556" customFormat="false" ht="15" hidden="false" customHeight="false" outlineLevel="0" collapsed="false">
      <c r="A556" s="2" t="n">
        <v>555</v>
      </c>
      <c r="B556" s="2" t="s">
        <v>1253</v>
      </c>
      <c r="C556" s="2" t="s">
        <v>1254</v>
      </c>
      <c r="D556" s="2" t="s">
        <v>86</v>
      </c>
      <c r="E556" s="2" t="s">
        <v>717</v>
      </c>
      <c r="F556" s="3" t="n">
        <v>0.000656</v>
      </c>
      <c r="G556" s="3" t="n">
        <f aca="false">SUM($F$2:F556)</f>
        <v>0.84045</v>
      </c>
      <c r="H556" s="4" t="n">
        <v>31.08</v>
      </c>
      <c r="I556" s="5" t="n">
        <v>20.5828</v>
      </c>
      <c r="J556" s="4" t="n">
        <v>1.51</v>
      </c>
      <c r="K556" s="5" t="n">
        <v>3.491</v>
      </c>
      <c r="L556" s="6" t="n">
        <v>4.1616</v>
      </c>
      <c r="M556" s="5" t="n">
        <f aca="false">IF(AND(N(K556)&gt;0,N(L556)&gt;0),K556/L556,"")</f>
        <v>0.838860053825452</v>
      </c>
      <c r="N556" s="2"/>
    </row>
    <row r="557" customFormat="false" ht="15" hidden="false" customHeight="false" outlineLevel="0" collapsed="false">
      <c r="A557" s="2" t="n">
        <v>556</v>
      </c>
      <c r="B557" s="2" t="s">
        <v>1255</v>
      </c>
      <c r="C557" s="2" t="s">
        <v>1256</v>
      </c>
      <c r="D557" s="2" t="s">
        <v>86</v>
      </c>
      <c r="E557" s="2" t="s">
        <v>414</v>
      </c>
      <c r="F557" s="3" t="n">
        <v>0.000656</v>
      </c>
      <c r="G557" s="3" t="n">
        <f aca="false">SUM($F$2:F557)</f>
        <v>0.841106</v>
      </c>
      <c r="H557" s="4" t="n">
        <v>60.86</v>
      </c>
      <c r="I557" s="5" t="n">
        <v>61.4747</v>
      </c>
      <c r="J557" s="4" t="n">
        <v>0.99</v>
      </c>
      <c r="K557" s="5" t="n">
        <v>3.5881</v>
      </c>
      <c r="L557" s="6" t="n">
        <v>10.3195</v>
      </c>
      <c r="M557" s="5" t="n">
        <f aca="false">IF(AND(N(K557)&gt;0,N(L557)&gt;0),K557/L557,"")</f>
        <v>0.34770095450361</v>
      </c>
      <c r="N557" s="2"/>
    </row>
    <row r="558" customFormat="false" ht="15" hidden="false" customHeight="false" outlineLevel="0" collapsed="false">
      <c r="A558" s="2" t="n">
        <v>557</v>
      </c>
      <c r="B558" s="2" t="s">
        <v>1257</v>
      </c>
      <c r="C558" s="2" t="s">
        <v>1258</v>
      </c>
      <c r="D558" s="2" t="s">
        <v>93</v>
      </c>
      <c r="E558" s="2" t="s">
        <v>961</v>
      </c>
      <c r="F558" s="3" t="n">
        <v>0.000653</v>
      </c>
      <c r="G558" s="3" t="n">
        <f aca="false">SUM($F$2:F558)</f>
        <v>0.841759</v>
      </c>
      <c r="H558" s="4" t="n">
        <v>26.21</v>
      </c>
      <c r="I558" s="5" t="n">
        <v>14.5611</v>
      </c>
      <c r="J558" s="4" t="n">
        <v>1.8</v>
      </c>
      <c r="K558" s="5" t="n">
        <v>2.7277</v>
      </c>
      <c r="L558" s="6" t="n">
        <v>0.6434</v>
      </c>
      <c r="M558" s="5" t="n">
        <f aca="false">IF(AND(N(K558)&gt;0,N(L558)&gt;0),K558/L558,"")</f>
        <v>4.23950885918558</v>
      </c>
      <c r="N558" s="2"/>
    </row>
    <row r="559" customFormat="false" ht="15" hidden="false" customHeight="false" outlineLevel="0" collapsed="false">
      <c r="A559" s="2" t="n">
        <v>558</v>
      </c>
      <c r="B559" s="2" t="s">
        <v>1259</v>
      </c>
      <c r="C559" s="2" t="s">
        <v>1260</v>
      </c>
      <c r="D559" s="2" t="s">
        <v>33</v>
      </c>
      <c r="E559" s="2" t="s">
        <v>555</v>
      </c>
      <c r="F559" s="3" t="n">
        <v>0.000649</v>
      </c>
      <c r="G559" s="3" t="n">
        <f aca="false">SUM($F$2:F559)</f>
        <v>0.842408</v>
      </c>
      <c r="H559" s="4" t="n">
        <v>26.84</v>
      </c>
      <c r="I559" s="5" t="n">
        <v>31.9524</v>
      </c>
      <c r="J559" s="4" t="n">
        <v>0.84</v>
      </c>
      <c r="K559" s="5" t="n">
        <v>4.7841</v>
      </c>
      <c r="L559" s="6" t="n">
        <v>7.2977</v>
      </c>
      <c r="M559" s="5" t="n">
        <f aca="false">IF(AND(N(K559)&gt;0,N(L559)&gt;0),K559/L559,"")</f>
        <v>0.655562711539252</v>
      </c>
      <c r="N559" s="2"/>
    </row>
    <row r="560" customFormat="false" ht="15" hidden="false" customHeight="false" outlineLevel="0" collapsed="false">
      <c r="A560" s="2" t="n">
        <v>559</v>
      </c>
      <c r="B560" s="2" t="s">
        <v>1261</v>
      </c>
      <c r="C560" s="2" t="s">
        <v>1262</v>
      </c>
      <c r="D560" s="2" t="s">
        <v>16</v>
      </c>
      <c r="E560" s="2" t="s">
        <v>160</v>
      </c>
      <c r="F560" s="3" t="n">
        <v>0.000647</v>
      </c>
      <c r="G560" s="3" t="n">
        <f aca="false">SUM($F$2:F560)</f>
        <v>0.843055</v>
      </c>
      <c r="H560" s="4" t="n">
        <v>200.4</v>
      </c>
      <c r="I560" s="5" t="n">
        <v>22.4161</v>
      </c>
      <c r="J560" s="4" t="n">
        <v>8.94</v>
      </c>
      <c r="K560" s="5" t="n">
        <v>3.1948</v>
      </c>
      <c r="L560" s="6" t="n">
        <v>1.7888</v>
      </c>
      <c r="M560" s="5" t="n">
        <f aca="false">IF(AND(N(K560)&gt;0,N(L560)&gt;0),K560/L560,"")</f>
        <v>1.78600178890877</v>
      </c>
      <c r="N560" s="2"/>
    </row>
    <row r="561" customFormat="false" ht="15" hidden="false" customHeight="false" outlineLevel="0" collapsed="false">
      <c r="A561" s="2" t="n">
        <v>560</v>
      </c>
      <c r="B561" s="2" t="s">
        <v>1263</v>
      </c>
      <c r="C561" s="2" t="s">
        <v>1264</v>
      </c>
      <c r="D561" s="2" t="s">
        <v>93</v>
      </c>
      <c r="E561" s="2" t="s">
        <v>285</v>
      </c>
      <c r="F561" s="3" t="n">
        <v>0.000647</v>
      </c>
      <c r="G561" s="3" t="n">
        <f aca="false">SUM($F$2:F561)</f>
        <v>0.843702</v>
      </c>
      <c r="H561" s="4" t="n">
        <v>107.33</v>
      </c>
      <c r="I561" s="5" t="n">
        <v>25.3735</v>
      </c>
      <c r="J561" s="4" t="n">
        <v>4.23</v>
      </c>
      <c r="K561" s="5" t="n">
        <v>2.9239</v>
      </c>
      <c r="L561" s="6" t="n">
        <v>4.057</v>
      </c>
      <c r="M561" s="5" t="n">
        <f aca="false">IF(AND(N(K561)&gt;0,N(L561)&gt;0),K561/L561,"")</f>
        <v>0.720704954399803</v>
      </c>
      <c r="N561" s="2"/>
    </row>
    <row r="562" customFormat="false" ht="15" hidden="false" customHeight="false" outlineLevel="0" collapsed="false">
      <c r="A562" s="2" t="n">
        <v>561</v>
      </c>
      <c r="B562" s="2" t="s">
        <v>1265</v>
      </c>
      <c r="C562" s="2" t="s">
        <v>1266</v>
      </c>
      <c r="D562" s="2" t="s">
        <v>93</v>
      </c>
      <c r="E562" s="2" t="s">
        <v>238</v>
      </c>
      <c r="F562" s="3" t="n">
        <v>0.000647</v>
      </c>
      <c r="G562" s="3" t="n">
        <f aca="false">SUM($F$2:F562)</f>
        <v>0.844349</v>
      </c>
      <c r="H562" s="4" t="n">
        <v>140.34</v>
      </c>
      <c r="I562" s="5" t="n">
        <v>11.7834</v>
      </c>
      <c r="J562" s="4" t="n">
        <v>11.91</v>
      </c>
      <c r="K562" s="5" t="n">
        <v>3.5482</v>
      </c>
      <c r="L562" s="6" t="n">
        <v>0.8323</v>
      </c>
      <c r="M562" s="5" t="n">
        <f aca="false">IF(AND(N(K562)&gt;0,N(L562)&gt;0),K562/L562,"")</f>
        <v>4.26312627658296</v>
      </c>
      <c r="N562" s="2"/>
    </row>
    <row r="563" customFormat="false" ht="15" hidden="false" customHeight="false" outlineLevel="0" collapsed="false">
      <c r="A563" s="2" t="n">
        <v>562</v>
      </c>
      <c r="B563" s="2" t="s">
        <v>1267</v>
      </c>
      <c r="C563" s="2" t="s">
        <v>1268</v>
      </c>
      <c r="D563" s="2" t="s">
        <v>22</v>
      </c>
      <c r="E563" s="2" t="s">
        <v>40</v>
      </c>
      <c r="F563" s="3" t="n">
        <v>0.000646</v>
      </c>
      <c r="G563" s="3" t="n">
        <f aca="false">SUM($F$2:F563)</f>
        <v>0.844995</v>
      </c>
      <c r="H563" s="4" t="n">
        <v>22.88</v>
      </c>
      <c r="I563" s="5" t="n">
        <v>23.5876</v>
      </c>
      <c r="J563" s="4" t="n">
        <v>0.97</v>
      </c>
      <c r="K563" s="5" t="n">
        <v>7.5714</v>
      </c>
      <c r="L563" s="6" t="n">
        <v>1.1972</v>
      </c>
      <c r="M563" s="5" t="n">
        <f aca="false">IF(AND(N(K563)&gt;0,N(L563)&gt;0),K563/L563,"")</f>
        <v>6.32425659873037</v>
      </c>
      <c r="N563" s="2"/>
    </row>
    <row r="564" customFormat="false" ht="15" hidden="false" customHeight="false" outlineLevel="0" collapsed="false">
      <c r="A564" s="2" t="n">
        <v>563</v>
      </c>
      <c r="B564" s="2" t="s">
        <v>1269</v>
      </c>
      <c r="C564" s="2" t="s">
        <v>1270</v>
      </c>
      <c r="D564" s="2" t="s">
        <v>79</v>
      </c>
      <c r="E564" s="2" t="s">
        <v>80</v>
      </c>
      <c r="F564" s="3" t="n">
        <v>0.000644</v>
      </c>
      <c r="G564" s="3" t="n">
        <f aca="false">SUM($F$2:F564)</f>
        <v>0.845639</v>
      </c>
      <c r="H564" s="4" t="n">
        <v>61.09</v>
      </c>
      <c r="I564" s="5" t="n">
        <v>14.174</v>
      </c>
      <c r="J564" s="4" t="n">
        <v>4.31</v>
      </c>
      <c r="K564" s="5" t="n">
        <v>3.2143</v>
      </c>
      <c r="L564" s="6" t="n">
        <v>3.835</v>
      </c>
      <c r="M564" s="5" t="n">
        <f aca="false">IF(AND(N(K564)&gt;0,N(L564)&gt;0),K564/L564,"")</f>
        <v>0.838148631029987</v>
      </c>
      <c r="N564" s="2"/>
    </row>
    <row r="565" customFormat="false" ht="15" hidden="false" customHeight="false" outlineLevel="0" collapsed="false">
      <c r="A565" s="2" t="n">
        <v>564</v>
      </c>
      <c r="B565" s="2" t="s">
        <v>1271</v>
      </c>
      <c r="C565" s="2" t="s">
        <v>1272</v>
      </c>
      <c r="D565" s="2" t="s">
        <v>86</v>
      </c>
      <c r="E565" s="2" t="s">
        <v>194</v>
      </c>
      <c r="F565" s="3" t="n">
        <v>0.000643</v>
      </c>
      <c r="G565" s="3" t="n">
        <f aca="false">SUM($F$2:F565)</f>
        <v>0.846282</v>
      </c>
      <c r="H565" s="4" t="n">
        <v>28.22</v>
      </c>
      <c r="I565" s="5" t="n">
        <v>20.3022</v>
      </c>
      <c r="J565" s="4" t="n">
        <v>1.39</v>
      </c>
      <c r="K565" s="5" t="n">
        <v>4.9705</v>
      </c>
      <c r="L565" s="6" t="n">
        <v>2.5715</v>
      </c>
      <c r="M565" s="5" t="n">
        <f aca="false">IF(AND(N(K565)&gt;0,N(L565)&gt;0),K565/L565,"")</f>
        <v>1.93291853004083</v>
      </c>
      <c r="N565" s="2"/>
    </row>
    <row r="566" customFormat="false" ht="15" hidden="false" customHeight="false" outlineLevel="0" collapsed="false">
      <c r="A566" s="2" t="n">
        <v>565</v>
      </c>
      <c r="B566" s="2" t="s">
        <v>1273</v>
      </c>
      <c r="C566" s="2" t="s">
        <v>1274</v>
      </c>
      <c r="D566" s="2" t="s">
        <v>33</v>
      </c>
      <c r="E566" s="2" t="s">
        <v>127</v>
      </c>
      <c r="F566" s="3" t="n">
        <v>0.00064</v>
      </c>
      <c r="G566" s="3" t="n">
        <f aca="false">SUM($F$2:F566)</f>
        <v>0.846922</v>
      </c>
      <c r="H566" s="4" t="n">
        <v>41.52</v>
      </c>
      <c r="I566" s="5" t="n">
        <v>29.6571</v>
      </c>
      <c r="J566" s="4" t="n">
        <v>1.4</v>
      </c>
      <c r="K566" s="5" t="n">
        <v>3.3378</v>
      </c>
      <c r="L566" s="6" t="n">
        <v>5.9402</v>
      </c>
      <c r="M566" s="5" t="n">
        <f aca="false">IF(AND(N(K566)&gt;0,N(L566)&gt;0),K566/L566,"")</f>
        <v>0.56190027271809</v>
      </c>
      <c r="N566" s="2"/>
    </row>
    <row r="567" customFormat="false" ht="15" hidden="false" customHeight="false" outlineLevel="0" collapsed="false">
      <c r="A567" s="2" t="n">
        <v>566</v>
      </c>
      <c r="B567" s="2" t="s">
        <v>1275</v>
      </c>
      <c r="C567" s="2" t="s">
        <v>1276</v>
      </c>
      <c r="D567" s="2" t="s">
        <v>79</v>
      </c>
      <c r="E567" s="2" t="s">
        <v>80</v>
      </c>
      <c r="F567" s="3" t="n">
        <v>0.000639</v>
      </c>
      <c r="G567" s="3" t="n">
        <f aca="false">SUM($F$2:F567)</f>
        <v>0.847561</v>
      </c>
      <c r="H567" s="4" t="n">
        <v>38.89</v>
      </c>
      <c r="I567" s="5" t="n">
        <v>11.3382</v>
      </c>
      <c r="J567" s="4" t="n">
        <v>3.43</v>
      </c>
      <c r="K567" s="5" t="n">
        <v>5.5541</v>
      </c>
      <c r="L567" s="6" t="n">
        <v>3.6837</v>
      </c>
      <c r="M567" s="5" t="n">
        <f aca="false">IF(AND(N(K567)&gt;0,N(L567)&gt;0),K567/L567,"")</f>
        <v>1.5077503596927</v>
      </c>
      <c r="N567" s="2"/>
    </row>
    <row r="568" customFormat="false" ht="15" hidden="false" customHeight="false" outlineLevel="0" collapsed="false">
      <c r="A568" s="2" t="n">
        <v>567</v>
      </c>
      <c r="B568" s="2" t="s">
        <v>1277</v>
      </c>
      <c r="C568" s="2" t="s">
        <v>1278</v>
      </c>
      <c r="D568" s="2" t="s">
        <v>33</v>
      </c>
      <c r="E568" s="2" t="s">
        <v>49</v>
      </c>
      <c r="F568" s="3" t="n">
        <v>0.000639</v>
      </c>
      <c r="G568" s="3" t="n">
        <f aca="false">SUM($F$2:F568)</f>
        <v>0.8482</v>
      </c>
      <c r="H568" s="4" t="n">
        <v>26.39</v>
      </c>
      <c r="I568" s="5" t="n">
        <v>11.8363</v>
      </c>
      <c r="J568" s="4" t="n">
        <v>2.23</v>
      </c>
      <c r="K568" s="5" t="n">
        <v>4.548</v>
      </c>
      <c r="L568" s="6" t="n">
        <v>3.9942</v>
      </c>
      <c r="M568" s="5" t="n">
        <f aca="false">IF(AND(N(K568)&gt;0,N(L568)&gt;0),K568/L568,"")</f>
        <v>1.13865104401382</v>
      </c>
      <c r="N568" s="2"/>
    </row>
    <row r="569" customFormat="false" ht="15" hidden="false" customHeight="false" outlineLevel="0" collapsed="false">
      <c r="A569" s="2" t="n">
        <v>568</v>
      </c>
      <c r="B569" s="2" t="s">
        <v>1279</v>
      </c>
      <c r="C569" s="2" t="s">
        <v>1280</v>
      </c>
      <c r="D569" s="2" t="s">
        <v>79</v>
      </c>
      <c r="E569" s="2" t="s">
        <v>230</v>
      </c>
      <c r="F569" s="3" t="n">
        <v>0.000637</v>
      </c>
      <c r="G569" s="3" t="n">
        <f aca="false">SUM($F$2:F569)</f>
        <v>0.848837</v>
      </c>
      <c r="H569" s="4" t="n">
        <v>13.28</v>
      </c>
      <c r="I569" s="5"/>
      <c r="J569" s="4" t="n">
        <v>-9.39</v>
      </c>
      <c r="K569" s="5" t="n">
        <v>5.1301</v>
      </c>
      <c r="L569" s="6" t="n">
        <v>6.3789</v>
      </c>
      <c r="M569" s="5" t="n">
        <f aca="false">IF(AND(N(K569)&gt;0,N(L569)&gt;0),K569/L569,"")</f>
        <v>0.804229569361489</v>
      </c>
      <c r="N569" s="2" t="s">
        <v>50</v>
      </c>
    </row>
    <row r="570" customFormat="false" ht="15" hidden="false" customHeight="false" outlineLevel="0" collapsed="false">
      <c r="A570" s="2" t="n">
        <v>569</v>
      </c>
      <c r="B570" s="2" t="s">
        <v>1281</v>
      </c>
      <c r="C570" s="2" t="s">
        <v>1282</v>
      </c>
      <c r="D570" s="2" t="s">
        <v>33</v>
      </c>
      <c r="E570" s="2" t="s">
        <v>127</v>
      </c>
      <c r="F570" s="3" t="n">
        <v>0.000636</v>
      </c>
      <c r="G570" s="3" t="n">
        <f aca="false">SUM($F$2:F570)</f>
        <v>0.849473</v>
      </c>
      <c r="H570" s="4" t="n">
        <v>72.67</v>
      </c>
      <c r="I570" s="5"/>
      <c r="J570" s="4" t="n">
        <v>-0.26</v>
      </c>
      <c r="K570" s="5" t="n">
        <v>5.719</v>
      </c>
      <c r="L570" s="6" t="n">
        <v>2.5206</v>
      </c>
      <c r="M570" s="5" t="n">
        <f aca="false">IF(AND(N(K570)&gt;0,N(L570)&gt;0),K570/L570,"")</f>
        <v>2.26890422915179</v>
      </c>
      <c r="N570" s="2" t="s">
        <v>50</v>
      </c>
    </row>
    <row r="571" customFormat="false" ht="15" hidden="false" customHeight="false" outlineLevel="0" collapsed="false">
      <c r="A571" s="2" t="n">
        <v>570</v>
      </c>
      <c r="B571" s="2" t="s">
        <v>1283</v>
      </c>
      <c r="C571" s="2" t="s">
        <v>1284</v>
      </c>
      <c r="D571" s="2" t="s">
        <v>22</v>
      </c>
      <c r="E571" s="2" t="s">
        <v>117</v>
      </c>
      <c r="F571" s="3" t="n">
        <v>0.000635</v>
      </c>
      <c r="G571" s="3" t="n">
        <f aca="false">SUM($F$2:F571)</f>
        <v>0.850108</v>
      </c>
      <c r="H571" s="4" t="n">
        <v>49.43</v>
      </c>
      <c r="I571" s="5" t="n">
        <v>17.9094</v>
      </c>
      <c r="J571" s="4" t="n">
        <v>2.76</v>
      </c>
      <c r="K571" s="5" t="n">
        <v>2.8973</v>
      </c>
      <c r="L571" s="6" t="n">
        <v>0.3168</v>
      </c>
      <c r="M571" s="5" t="n">
        <f aca="false">IF(AND(N(K571)&gt;0,N(L571)&gt;0),K571/L571,"")</f>
        <v>9.14551767676768</v>
      </c>
      <c r="N571" s="2"/>
    </row>
    <row r="572" customFormat="false" ht="15" hidden="false" customHeight="false" outlineLevel="0" collapsed="false">
      <c r="A572" s="2" t="n">
        <v>571</v>
      </c>
      <c r="B572" s="2" t="s">
        <v>1285</v>
      </c>
      <c r="C572" s="2" t="s">
        <v>1286</v>
      </c>
      <c r="D572" s="2" t="s">
        <v>22</v>
      </c>
      <c r="E572" s="2" t="s">
        <v>83</v>
      </c>
      <c r="F572" s="3" t="n">
        <v>0.000635</v>
      </c>
      <c r="G572" s="3" t="n">
        <f aca="false">SUM($F$2:F572)</f>
        <v>0.850743</v>
      </c>
      <c r="H572" s="4" t="n">
        <v>265.84</v>
      </c>
      <c r="I572" s="5" t="n">
        <v>28.5849</v>
      </c>
      <c r="J572" s="4" t="n">
        <v>9.3</v>
      </c>
      <c r="K572" s="5" t="n">
        <v>3.1393</v>
      </c>
      <c r="L572" s="6" t="n">
        <v>2.7248</v>
      </c>
      <c r="M572" s="5" t="n">
        <f aca="false">IF(AND(N(K572)&gt;0,N(L572)&gt;0),K572/L572,"")</f>
        <v>1.15212125660599</v>
      </c>
      <c r="N572" s="2"/>
    </row>
    <row r="573" customFormat="false" ht="15" hidden="false" customHeight="false" outlineLevel="0" collapsed="false">
      <c r="A573" s="2" t="n">
        <v>572</v>
      </c>
      <c r="B573" s="2" t="s">
        <v>1287</v>
      </c>
      <c r="C573" s="2" t="s">
        <v>1288</v>
      </c>
      <c r="D573" s="2" t="s">
        <v>86</v>
      </c>
      <c r="E573" s="2" t="s">
        <v>266</v>
      </c>
      <c r="F573" s="3" t="n">
        <v>0.000634</v>
      </c>
      <c r="G573" s="3" t="n">
        <f aca="false">SUM($F$2:F573)</f>
        <v>0.851377</v>
      </c>
      <c r="H573" s="4" t="n">
        <v>67.87</v>
      </c>
      <c r="I573" s="5" t="n">
        <v>19.6156</v>
      </c>
      <c r="J573" s="4" t="n">
        <v>3.46</v>
      </c>
      <c r="K573" s="5" t="n">
        <v>3.3331</v>
      </c>
      <c r="L573" s="6" t="n">
        <v>7.6486</v>
      </c>
      <c r="M573" s="5" t="n">
        <f aca="false">IF(AND(N(K573)&gt;0,N(L573)&gt;0),K573/L573,"")</f>
        <v>0.435779096828178</v>
      </c>
      <c r="N573" s="2"/>
    </row>
    <row r="574" customFormat="false" ht="15" hidden="false" customHeight="false" outlineLevel="0" collapsed="false">
      <c r="A574" s="2" t="n">
        <v>573</v>
      </c>
      <c r="B574" s="2" t="s">
        <v>1289</v>
      </c>
      <c r="C574" s="2" t="s">
        <v>1290</v>
      </c>
      <c r="D574" s="2" t="s">
        <v>79</v>
      </c>
      <c r="E574" s="2" t="s">
        <v>80</v>
      </c>
      <c r="F574" s="3" t="n">
        <v>0.000631</v>
      </c>
      <c r="G574" s="3" t="n">
        <f aca="false">SUM($F$2:F574)</f>
        <v>0.852008</v>
      </c>
      <c r="H574" s="4" t="n">
        <v>81.2</v>
      </c>
      <c r="I574" s="5" t="n">
        <v>14.6835</v>
      </c>
      <c r="J574" s="4" t="n">
        <v>5.53</v>
      </c>
      <c r="K574" s="5" t="n">
        <v>3.8464</v>
      </c>
      <c r="L574" s="6" t="n">
        <v>4.0544</v>
      </c>
      <c r="M574" s="5" t="n">
        <f aca="false">IF(AND(N(K574)&gt;0,N(L574)&gt;0),K574/L574,"")</f>
        <v>0.94869771112865</v>
      </c>
      <c r="N574" s="2"/>
    </row>
    <row r="575" customFormat="false" ht="15" hidden="false" customHeight="false" outlineLevel="0" collapsed="false">
      <c r="A575" s="2" t="n">
        <v>574</v>
      </c>
      <c r="B575" s="2" t="s">
        <v>1291</v>
      </c>
      <c r="C575" s="2" t="s">
        <v>1292</v>
      </c>
      <c r="D575" s="2" t="s">
        <v>33</v>
      </c>
      <c r="E575" s="2" t="s">
        <v>46</v>
      </c>
      <c r="F575" s="3" t="n">
        <v>0.000628</v>
      </c>
      <c r="G575" s="3" t="n">
        <f aca="false">SUM($F$2:F575)</f>
        <v>0.852636</v>
      </c>
      <c r="H575" s="4" t="n">
        <v>34.77</v>
      </c>
      <c r="I575" s="5" t="n">
        <v>22.4323</v>
      </c>
      <c r="J575" s="4" t="n">
        <v>1.55</v>
      </c>
      <c r="K575" s="5" t="n">
        <v>4.4338</v>
      </c>
      <c r="L575" s="6" t="n">
        <v>1.9383</v>
      </c>
      <c r="M575" s="5" t="n">
        <f aca="false">IF(AND(N(K575)&gt;0,N(L575)&gt;0),K575/L575,"")</f>
        <v>2.28746840014446</v>
      </c>
      <c r="N575" s="2"/>
    </row>
    <row r="576" customFormat="false" ht="15" hidden="false" customHeight="false" outlineLevel="0" collapsed="false">
      <c r="A576" s="2" t="n">
        <v>575</v>
      </c>
      <c r="B576" s="2" t="s">
        <v>1293</v>
      </c>
      <c r="C576" s="2" t="s">
        <v>1294</v>
      </c>
      <c r="D576" s="2" t="s">
        <v>22</v>
      </c>
      <c r="E576" s="2" t="s">
        <v>1051</v>
      </c>
      <c r="F576" s="3" t="n">
        <v>0.000626</v>
      </c>
      <c r="G576" s="3" t="n">
        <f aca="false">SUM($F$2:F576)</f>
        <v>0.853262</v>
      </c>
      <c r="H576" s="4" t="n">
        <v>56.55</v>
      </c>
      <c r="I576" s="5" t="n">
        <v>25.473</v>
      </c>
      <c r="J576" s="4" t="n">
        <v>2.22</v>
      </c>
      <c r="K576" s="5" t="n">
        <v>2.6299</v>
      </c>
      <c r="L576" s="6" t="n">
        <v>0.1405</v>
      </c>
      <c r="M576" s="5" t="n">
        <f aca="false">IF(AND(N(K576)&gt;0,N(L576)&gt;0),K576/L576,"")</f>
        <v>18.7181494661922</v>
      </c>
      <c r="N576" s="2"/>
    </row>
    <row r="577" customFormat="false" ht="15" hidden="false" customHeight="false" outlineLevel="0" collapsed="false">
      <c r="A577" s="2" t="n">
        <v>576</v>
      </c>
      <c r="B577" s="2" t="s">
        <v>1295</v>
      </c>
      <c r="C577" s="2" t="s">
        <v>1296</v>
      </c>
      <c r="D577" s="2" t="s">
        <v>79</v>
      </c>
      <c r="E577" s="2" t="s">
        <v>227</v>
      </c>
      <c r="F577" s="3" t="n">
        <v>0.000623</v>
      </c>
      <c r="G577" s="3" t="n">
        <f aca="false">SUM($F$2:F577)</f>
        <v>0.853885</v>
      </c>
      <c r="H577" s="4" t="n">
        <v>88.34</v>
      </c>
      <c r="I577" s="5" t="n">
        <v>13.446</v>
      </c>
      <c r="J577" s="4" t="n">
        <v>6.57</v>
      </c>
      <c r="K577" s="5" t="n">
        <v>5.9207</v>
      </c>
      <c r="L577" s="6" t="n">
        <v>6.8977</v>
      </c>
      <c r="M577" s="5" t="n">
        <f aca="false">IF(AND(N(K577)&gt;0,N(L577)&gt;0),K577/L577,"")</f>
        <v>0.858358583295881</v>
      </c>
      <c r="N577" s="2"/>
    </row>
    <row r="578" customFormat="false" ht="15" hidden="false" customHeight="false" outlineLevel="0" collapsed="false">
      <c r="A578" s="2" t="n">
        <v>577</v>
      </c>
      <c r="B578" s="2" t="s">
        <v>1297</v>
      </c>
      <c r="C578" s="2" t="s">
        <v>1298</v>
      </c>
      <c r="D578" s="2" t="s">
        <v>93</v>
      </c>
      <c r="E578" s="2" t="s">
        <v>961</v>
      </c>
      <c r="F578" s="3" t="n">
        <v>0.000622</v>
      </c>
      <c r="G578" s="3" t="n">
        <f aca="false">SUM($F$2:F578)</f>
        <v>0.854507</v>
      </c>
      <c r="H578" s="4" t="n">
        <v>54.41</v>
      </c>
      <c r="I578" s="5"/>
      <c r="J578" s="4" t="n">
        <v>-4.6</v>
      </c>
      <c r="K578" s="5" t="n">
        <v>3.0961</v>
      </c>
      <c r="L578" s="6" t="n">
        <v>0.4119</v>
      </c>
      <c r="M578" s="5" t="n">
        <f aca="false">IF(AND(N(K578)&gt;0,N(L578)&gt;0),K578/L578,"")</f>
        <v>7.51663025006069</v>
      </c>
      <c r="N578" s="2" t="s">
        <v>50</v>
      </c>
    </row>
    <row r="579" customFormat="false" ht="15" hidden="false" customHeight="false" outlineLevel="0" collapsed="false">
      <c r="A579" s="2" t="n">
        <v>578</v>
      </c>
      <c r="B579" s="2" t="s">
        <v>1299</v>
      </c>
      <c r="C579" s="2" t="s">
        <v>1300</v>
      </c>
      <c r="D579" s="2" t="s">
        <v>22</v>
      </c>
      <c r="E579" s="2" t="s">
        <v>40</v>
      </c>
      <c r="F579" s="3" t="n">
        <v>0.000621</v>
      </c>
      <c r="G579" s="3" t="n">
        <f aca="false">SUM($F$2:F579)</f>
        <v>0.855128</v>
      </c>
      <c r="H579" s="4" t="n">
        <v>35.21</v>
      </c>
      <c r="I579" s="5" t="n">
        <v>130.4074</v>
      </c>
      <c r="J579" s="4" t="n">
        <v>0.27</v>
      </c>
      <c r="K579" s="5" t="n">
        <v>4.6665</v>
      </c>
      <c r="L579" s="6" t="n">
        <v>7.9154</v>
      </c>
      <c r="M579" s="5" t="n">
        <f aca="false">IF(AND(N(K579)&gt;0,N(L579)&gt;0),K579/L579,"")</f>
        <v>0.589546959092402</v>
      </c>
      <c r="N579" s="2"/>
    </row>
    <row r="580" customFormat="false" ht="15" hidden="false" customHeight="false" outlineLevel="0" collapsed="false">
      <c r="A580" s="2" t="n">
        <v>579</v>
      </c>
      <c r="B580" s="2" t="s">
        <v>1301</v>
      </c>
      <c r="C580" s="2" t="s">
        <v>1302</v>
      </c>
      <c r="D580" s="2" t="s">
        <v>26</v>
      </c>
      <c r="E580" s="2" t="s">
        <v>221</v>
      </c>
      <c r="F580" s="3" t="n">
        <v>0.000619</v>
      </c>
      <c r="G580" s="3" t="n">
        <f aca="false">SUM($F$2:F580)</f>
        <v>0.855747</v>
      </c>
      <c r="H580" s="4" t="n">
        <v>41.72</v>
      </c>
      <c r="I580" s="5"/>
      <c r="J580" s="4" t="n">
        <v>-0.1</v>
      </c>
      <c r="K580" s="5" t="n">
        <v>14.9856</v>
      </c>
      <c r="L580" s="6" t="n">
        <v>7.7485</v>
      </c>
      <c r="M580" s="5" t="n">
        <f aca="false">IF(AND(N(K580)&gt;0,N(L580)&gt;0),K580/L580,"")</f>
        <v>1.93400012905724</v>
      </c>
      <c r="N580" s="2" t="s">
        <v>50</v>
      </c>
    </row>
    <row r="581" customFormat="false" ht="15" hidden="false" customHeight="false" outlineLevel="0" collapsed="false">
      <c r="A581" s="2" t="n">
        <v>580</v>
      </c>
      <c r="B581" s="2" t="s">
        <v>1303</v>
      </c>
      <c r="C581" s="2" t="s">
        <v>1304</v>
      </c>
      <c r="D581" s="2" t="s">
        <v>79</v>
      </c>
      <c r="E581" s="2" t="s">
        <v>288</v>
      </c>
      <c r="F581" s="3" t="n">
        <v>0.000618</v>
      </c>
      <c r="G581" s="3" t="n">
        <f aca="false">SUM($F$2:F581)</f>
        <v>0.856365</v>
      </c>
      <c r="H581" s="4" t="n">
        <v>99.37</v>
      </c>
      <c r="I581" s="5" t="n">
        <v>7.5509</v>
      </c>
      <c r="J581" s="4" t="n">
        <v>13.16</v>
      </c>
      <c r="K581" s="5" t="n">
        <v>2.1076</v>
      </c>
      <c r="L581" s="6" t="n">
        <v>1.1086</v>
      </c>
      <c r="M581" s="5" t="n">
        <f aca="false">IF(AND(N(K581)&gt;0,N(L581)&gt;0),K581/L581,"")</f>
        <v>1.90113656864514</v>
      </c>
      <c r="N581" s="2"/>
    </row>
    <row r="582" customFormat="false" ht="15" hidden="false" customHeight="false" outlineLevel="0" collapsed="false">
      <c r="A582" s="2" t="n">
        <v>581</v>
      </c>
      <c r="B582" s="2" t="s">
        <v>1305</v>
      </c>
      <c r="C582" s="2" t="s">
        <v>1306</v>
      </c>
      <c r="D582" s="2" t="s">
        <v>16</v>
      </c>
      <c r="E582" s="2" t="s">
        <v>148</v>
      </c>
      <c r="F582" s="3" t="n">
        <v>0.000618</v>
      </c>
      <c r="G582" s="3" t="n">
        <f aca="false">SUM($F$2:F582)</f>
        <v>0.856983</v>
      </c>
      <c r="H582" s="4" t="n">
        <v>46.08</v>
      </c>
      <c r="I582" s="5" t="n">
        <v>17.8605</v>
      </c>
      <c r="J582" s="4" t="n">
        <v>2.58</v>
      </c>
      <c r="K582" s="5" t="n">
        <v>3.4052</v>
      </c>
      <c r="L582" s="6" t="n">
        <v>0.7706</v>
      </c>
      <c r="M582" s="5" t="n">
        <f aca="false">IF(AND(N(K582)&gt;0,N(L582)&gt;0),K582/L582,"")</f>
        <v>4.41889436802492</v>
      </c>
      <c r="N582" s="2"/>
    </row>
    <row r="583" customFormat="false" ht="15" hidden="false" customHeight="false" outlineLevel="0" collapsed="false">
      <c r="A583" s="2" t="n">
        <v>582</v>
      </c>
      <c r="B583" s="2" t="s">
        <v>1307</v>
      </c>
      <c r="C583" s="2" t="s">
        <v>1308</v>
      </c>
      <c r="D583" s="2" t="s">
        <v>93</v>
      </c>
      <c r="E583" s="2" t="s">
        <v>1005</v>
      </c>
      <c r="F583" s="3" t="n">
        <v>0.000618</v>
      </c>
      <c r="G583" s="3" t="n">
        <f aca="false">SUM($F$2:F583)</f>
        <v>0.857601</v>
      </c>
      <c r="H583" s="4" t="n">
        <v>66.41</v>
      </c>
      <c r="I583" s="5" t="n">
        <v>13.4433</v>
      </c>
      <c r="J583" s="4" t="n">
        <v>4.94</v>
      </c>
      <c r="K583" s="5" t="n">
        <v>3.6295</v>
      </c>
      <c r="L583" s="6" t="n">
        <v>1.0568</v>
      </c>
      <c r="M583" s="5" t="n">
        <f aca="false">IF(AND(N(K583)&gt;0,N(L583)&gt;0),K583/L583,"")</f>
        <v>3.43442467827404</v>
      </c>
      <c r="N583" s="2"/>
    </row>
    <row r="584" customFormat="false" ht="15" hidden="false" customHeight="false" outlineLevel="0" collapsed="false">
      <c r="A584" s="2" t="n">
        <v>583</v>
      </c>
      <c r="B584" s="2" t="s">
        <v>1309</v>
      </c>
      <c r="C584" s="2" t="s">
        <v>1310</v>
      </c>
      <c r="D584" s="2" t="s">
        <v>79</v>
      </c>
      <c r="E584" s="2" t="s">
        <v>288</v>
      </c>
      <c r="F584" s="3" t="n">
        <v>0.000618</v>
      </c>
      <c r="G584" s="3" t="n">
        <f aca="false">SUM($F$2:F584)</f>
        <v>0.858219</v>
      </c>
      <c r="H584" s="4" t="n">
        <v>564.27</v>
      </c>
      <c r="I584" s="5" t="n">
        <v>12.4535</v>
      </c>
      <c r="J584" s="4" t="n">
        <v>45.31</v>
      </c>
      <c r="K584" s="5" t="n">
        <v>5.8574</v>
      </c>
      <c r="L584" s="6" t="n">
        <v>4.494</v>
      </c>
      <c r="M584" s="5" t="n">
        <f aca="false">IF(AND(N(K584)&gt;0,N(L584)&gt;0),K584/L584,"")</f>
        <v>1.30338228749444</v>
      </c>
      <c r="N584" s="2"/>
    </row>
    <row r="585" customFormat="false" ht="15" hidden="false" customHeight="false" outlineLevel="0" collapsed="false">
      <c r="A585" s="2" t="n">
        <v>584</v>
      </c>
      <c r="B585" s="2" t="s">
        <v>1311</v>
      </c>
      <c r="C585" s="2" t="s">
        <v>1312</v>
      </c>
      <c r="D585" s="2" t="s">
        <v>16</v>
      </c>
      <c r="E585" s="2" t="s">
        <v>148</v>
      </c>
      <c r="F585" s="3" t="n">
        <v>0.000616</v>
      </c>
      <c r="G585" s="3" t="n">
        <f aca="false">SUM($F$2:F585)</f>
        <v>0.858835</v>
      </c>
      <c r="H585" s="4" t="n">
        <v>34.97</v>
      </c>
      <c r="I585" s="5" t="n">
        <v>19.8665</v>
      </c>
      <c r="J585" s="4" t="n">
        <v>1.76</v>
      </c>
      <c r="K585" s="5" t="n">
        <v>5.7484</v>
      </c>
      <c r="L585" s="6" t="n">
        <v>3.3106</v>
      </c>
      <c r="M585" s="5" t="n">
        <f aca="false">IF(AND(N(K585)&gt;0,N(L585)&gt;0),K585/L585,"")</f>
        <v>1.73636198876337</v>
      </c>
      <c r="N585" s="2"/>
    </row>
    <row r="586" customFormat="false" ht="15" hidden="false" customHeight="false" outlineLevel="0" collapsed="false">
      <c r="A586" s="2" t="n">
        <v>585</v>
      </c>
      <c r="B586" s="2" t="s">
        <v>1313</v>
      </c>
      <c r="C586" s="2" t="s">
        <v>1314</v>
      </c>
      <c r="D586" s="2" t="s">
        <v>33</v>
      </c>
      <c r="E586" s="2" t="s">
        <v>46</v>
      </c>
      <c r="F586" s="3" t="n">
        <v>0.000616</v>
      </c>
      <c r="G586" s="3" t="n">
        <f aca="false">SUM($F$2:F586)</f>
        <v>0.859451</v>
      </c>
      <c r="H586" s="4" t="n">
        <v>223.31</v>
      </c>
      <c r="I586" s="5" t="n">
        <v>25.0629</v>
      </c>
      <c r="J586" s="4" t="n">
        <v>8.91</v>
      </c>
      <c r="K586" s="5" t="n">
        <v>3.4973</v>
      </c>
      <c r="L586" s="6" t="n">
        <v>2.2433</v>
      </c>
      <c r="M586" s="5" t="n">
        <f aca="false">IF(AND(N(K586)&gt;0,N(L586)&gt;0),K586/L586,"")</f>
        <v>1.55899790487229</v>
      </c>
      <c r="N586" s="2"/>
    </row>
    <row r="587" customFormat="false" ht="15" hidden="false" customHeight="false" outlineLevel="0" collapsed="false">
      <c r="A587" s="2" t="n">
        <v>586</v>
      </c>
      <c r="B587" s="2" t="s">
        <v>1315</v>
      </c>
      <c r="C587" s="2" t="s">
        <v>1316</v>
      </c>
      <c r="D587" s="2" t="s">
        <v>79</v>
      </c>
      <c r="E587" s="2" t="s">
        <v>80</v>
      </c>
      <c r="F587" s="3" t="n">
        <v>0.000614</v>
      </c>
      <c r="G587" s="3" t="n">
        <f aca="false">SUM($F$2:F587)</f>
        <v>0.860065</v>
      </c>
      <c r="H587" s="4" t="n">
        <v>72.82</v>
      </c>
      <c r="I587" s="5" t="n">
        <v>13.5353</v>
      </c>
      <c r="J587" s="4" t="n">
        <v>5.38</v>
      </c>
      <c r="K587" s="5" t="n">
        <v>2.8728</v>
      </c>
      <c r="L587" s="6" t="n">
        <v>3.8245</v>
      </c>
      <c r="M587" s="5" t="n">
        <f aca="false">IF(AND(N(K587)&gt;0,N(L587)&gt;0),K587/L587,"")</f>
        <v>0.751157013988757</v>
      </c>
      <c r="N587" s="2"/>
    </row>
    <row r="588" customFormat="false" ht="15" hidden="false" customHeight="false" outlineLevel="0" collapsed="false">
      <c r="A588" s="2" t="n">
        <v>587</v>
      </c>
      <c r="B588" s="2" t="s">
        <v>1317</v>
      </c>
      <c r="C588" s="2" t="s">
        <v>1318</v>
      </c>
      <c r="D588" s="2" t="s">
        <v>16</v>
      </c>
      <c r="E588" s="2" t="s">
        <v>17</v>
      </c>
      <c r="F588" s="3" t="n">
        <v>0.000614</v>
      </c>
      <c r="G588" s="3" t="n">
        <f aca="false">SUM($F$2:F588)</f>
        <v>0.860679</v>
      </c>
      <c r="H588" s="4" t="n">
        <v>29.36</v>
      </c>
      <c r="I588" s="5" t="n">
        <v>6.1811</v>
      </c>
      <c r="J588" s="4" t="n">
        <v>4.75</v>
      </c>
      <c r="K588" s="5" t="n">
        <v>2.7305</v>
      </c>
      <c r="L588" s="6" t="n">
        <v>1.6147</v>
      </c>
      <c r="M588" s="5" t="n">
        <f aca="false">IF(AND(N(K588)&gt;0,N(L588)&gt;0),K588/L588,"")</f>
        <v>1.69102619681675</v>
      </c>
      <c r="N588" s="2"/>
    </row>
    <row r="589" customFormat="false" ht="15" hidden="false" customHeight="false" outlineLevel="0" collapsed="false">
      <c r="A589" s="2" t="n">
        <v>588</v>
      </c>
      <c r="B589" s="2" t="s">
        <v>1319</v>
      </c>
      <c r="C589" s="2" t="s">
        <v>1320</v>
      </c>
      <c r="D589" s="2" t="s">
        <v>62</v>
      </c>
      <c r="E589" s="2" t="s">
        <v>681</v>
      </c>
      <c r="F589" s="3" t="n">
        <v>0.00061</v>
      </c>
      <c r="G589" s="3" t="n">
        <f aca="false">SUM($F$2:F589)</f>
        <v>0.861289</v>
      </c>
      <c r="H589" s="4" t="n">
        <v>114.55</v>
      </c>
      <c r="I589" s="5" t="n">
        <v>24.5815</v>
      </c>
      <c r="J589" s="4" t="n">
        <v>4.66</v>
      </c>
      <c r="K589" s="5" t="n">
        <v>3.2863</v>
      </c>
      <c r="L589" s="6" t="n">
        <v>8.7188</v>
      </c>
      <c r="M589" s="5" t="n">
        <f aca="false">IF(AND(N(K589)&gt;0,N(L589)&gt;0),K589/L589,"")</f>
        <v>0.376921135936138</v>
      </c>
      <c r="N589" s="2"/>
    </row>
    <row r="590" customFormat="false" ht="15" hidden="false" customHeight="false" outlineLevel="0" collapsed="false">
      <c r="A590" s="2" t="n">
        <v>589</v>
      </c>
      <c r="B590" s="2" t="s">
        <v>1321</v>
      </c>
      <c r="C590" s="2" t="s">
        <v>1322</v>
      </c>
      <c r="D590" s="2" t="s">
        <v>22</v>
      </c>
      <c r="E590" s="2" t="s">
        <v>83</v>
      </c>
      <c r="F590" s="3" t="n">
        <v>0.00061</v>
      </c>
      <c r="G590" s="3" t="n">
        <f aca="false">SUM($F$2:F590)</f>
        <v>0.861899</v>
      </c>
      <c r="H590" s="4" t="n">
        <v>16.21</v>
      </c>
      <c r="I590" s="5" t="n">
        <v>180.1111</v>
      </c>
      <c r="J590" s="4" t="n">
        <v>0.09</v>
      </c>
      <c r="K590" s="5" t="n">
        <v>4.037</v>
      </c>
      <c r="L590" s="6" t="n">
        <v>3.9389</v>
      </c>
      <c r="M590" s="5" t="n">
        <f aca="false">IF(AND(N(K590)&gt;0,N(L590)&gt;0),K590/L590,"")</f>
        <v>1.02490543045013</v>
      </c>
      <c r="N590" s="2"/>
    </row>
    <row r="591" customFormat="false" ht="15" hidden="false" customHeight="false" outlineLevel="0" collapsed="false">
      <c r="A591" s="2" t="n">
        <v>590</v>
      </c>
      <c r="B591" s="2" t="s">
        <v>1323</v>
      </c>
      <c r="C591" s="2" t="s">
        <v>1324</v>
      </c>
      <c r="D591" s="2" t="s">
        <v>79</v>
      </c>
      <c r="E591" s="2" t="s">
        <v>80</v>
      </c>
      <c r="F591" s="3" t="n">
        <v>0.000604</v>
      </c>
      <c r="G591" s="3" t="n">
        <f aca="false">SUM($F$2:F591)</f>
        <v>0.862503</v>
      </c>
      <c r="H591" s="4" t="n">
        <v>46.44</v>
      </c>
      <c r="I591" s="5" t="n">
        <v>11.8168</v>
      </c>
      <c r="J591" s="4" t="n">
        <v>3.93</v>
      </c>
      <c r="K591" s="5" t="n">
        <v>2.704</v>
      </c>
      <c r="L591" s="6" t="n">
        <v>3.317</v>
      </c>
      <c r="M591" s="5" t="n">
        <f aca="false">IF(AND(N(K591)&gt;0,N(L591)&gt;0),K591/L591,"")</f>
        <v>0.815194452818812</v>
      </c>
      <c r="N591" s="2"/>
    </row>
    <row r="592" customFormat="false" ht="15" hidden="false" customHeight="false" outlineLevel="0" collapsed="false">
      <c r="A592" s="2" t="n">
        <v>591</v>
      </c>
      <c r="B592" s="2" t="s">
        <v>1325</v>
      </c>
      <c r="C592" s="2" t="s">
        <v>1326</v>
      </c>
      <c r="D592" s="2" t="s">
        <v>171</v>
      </c>
      <c r="E592" s="2" t="s">
        <v>386</v>
      </c>
      <c r="F592" s="3" t="n">
        <v>0.000603</v>
      </c>
      <c r="G592" s="3" t="n">
        <f aca="false">SUM($F$2:F592)</f>
        <v>0.863106</v>
      </c>
      <c r="H592" s="4" t="n">
        <v>84.85</v>
      </c>
      <c r="I592" s="5" t="n">
        <v>23.1831</v>
      </c>
      <c r="J592" s="4" t="n">
        <v>3.66</v>
      </c>
      <c r="K592" s="5" t="n">
        <v>3.3631</v>
      </c>
      <c r="L592" s="6" t="n">
        <v>4.8218</v>
      </c>
      <c r="M592" s="5" t="n">
        <f aca="false">IF(AND(N(K592)&gt;0,N(L592)&gt;0),K592/L592,"")</f>
        <v>0.697478120204073</v>
      </c>
      <c r="N592" s="2"/>
    </row>
    <row r="593" customFormat="false" ht="15" hidden="false" customHeight="false" outlineLevel="0" collapsed="false">
      <c r="A593" s="2" t="n">
        <v>592</v>
      </c>
      <c r="B593" s="2" t="s">
        <v>1327</v>
      </c>
      <c r="C593" s="2" t="s">
        <v>1328</v>
      </c>
      <c r="D593" s="2" t="s">
        <v>79</v>
      </c>
      <c r="E593" s="2" t="s">
        <v>80</v>
      </c>
      <c r="F593" s="3" t="n">
        <v>0.000603</v>
      </c>
      <c r="G593" s="3" t="n">
        <f aca="false">SUM($F$2:F593)</f>
        <v>0.863709</v>
      </c>
      <c r="H593" s="4" t="n">
        <v>34.59</v>
      </c>
      <c r="I593" s="5" t="n">
        <v>11.3039</v>
      </c>
      <c r="J593" s="4" t="n">
        <v>3.06</v>
      </c>
      <c r="K593" s="5" t="n">
        <v>4.1426</v>
      </c>
      <c r="L593" s="6" t="n">
        <v>3.7375</v>
      </c>
      <c r="M593" s="5" t="n">
        <f aca="false">IF(AND(N(K593)&gt;0,N(L593)&gt;0),K593/L593,"")</f>
        <v>1.10838795986622</v>
      </c>
      <c r="N593" s="2"/>
    </row>
    <row r="594" customFormat="false" ht="15" hidden="false" customHeight="false" outlineLevel="0" collapsed="false">
      <c r="A594" s="2" t="n">
        <v>593</v>
      </c>
      <c r="B594" s="2" t="s">
        <v>1329</v>
      </c>
      <c r="C594" s="2" t="s">
        <v>1330</v>
      </c>
      <c r="D594" s="2" t="s">
        <v>79</v>
      </c>
      <c r="E594" s="2" t="s">
        <v>80</v>
      </c>
      <c r="F594" s="3" t="n">
        <v>0.0006</v>
      </c>
      <c r="G594" s="3" t="n">
        <f aca="false">SUM($F$2:F594)</f>
        <v>0.864309</v>
      </c>
      <c r="H594" s="4" t="n">
        <v>12.59</v>
      </c>
      <c r="I594" s="5" t="n">
        <v>419.6667</v>
      </c>
      <c r="J594" s="4" t="n">
        <v>0.03</v>
      </c>
      <c r="K594" s="5" t="n">
        <v>5.226</v>
      </c>
      <c r="L594" s="6" t="n">
        <v>2.5731</v>
      </c>
      <c r="M594" s="5" t="n">
        <f aca="false">IF(AND(N(K594)&gt;0,N(L594)&gt;0),K594/L594,"")</f>
        <v>2.03101317476973</v>
      </c>
      <c r="N594" s="2"/>
    </row>
    <row r="595" customFormat="false" ht="15" hidden="false" customHeight="false" outlineLevel="0" collapsed="false">
      <c r="A595" s="2" t="n">
        <v>594</v>
      </c>
      <c r="B595" s="2" t="s">
        <v>1331</v>
      </c>
      <c r="C595" s="2" t="s">
        <v>1332</v>
      </c>
      <c r="D595" s="2" t="s">
        <v>93</v>
      </c>
      <c r="E595" s="2" t="s">
        <v>186</v>
      </c>
      <c r="F595" s="3" t="n">
        <v>0.0006</v>
      </c>
      <c r="G595" s="3" t="n">
        <f aca="false">SUM($F$2:F595)</f>
        <v>0.864909</v>
      </c>
      <c r="H595" s="4" t="n">
        <v>37.09</v>
      </c>
      <c r="I595" s="5" t="n">
        <v>14.5451</v>
      </c>
      <c r="J595" s="4" t="n">
        <v>2.55</v>
      </c>
      <c r="K595" s="5" t="n">
        <v>3.9197</v>
      </c>
      <c r="L595" s="6" t="n">
        <v>0.5866</v>
      </c>
      <c r="M595" s="5" t="n">
        <f aca="false">IF(AND(N(K595)&gt;0,N(L595)&gt;0),K595/L595,"")</f>
        <v>6.68206614387999</v>
      </c>
      <c r="N595" s="2"/>
    </row>
    <row r="596" customFormat="false" ht="15" hidden="false" customHeight="false" outlineLevel="0" collapsed="false">
      <c r="A596" s="2" t="n">
        <v>595</v>
      </c>
      <c r="B596" s="2" t="s">
        <v>1333</v>
      </c>
      <c r="C596" s="2" t="s">
        <v>1334</v>
      </c>
      <c r="D596" s="2" t="s">
        <v>22</v>
      </c>
      <c r="E596" s="2" t="s">
        <v>117</v>
      </c>
      <c r="F596" s="3" t="n">
        <v>0.000593</v>
      </c>
      <c r="G596" s="3" t="n">
        <f aca="false">SUM($F$2:F596)</f>
        <v>0.865502</v>
      </c>
      <c r="H596" s="4" t="n">
        <v>19.9</v>
      </c>
      <c r="I596" s="5" t="n">
        <v>23.9759</v>
      </c>
      <c r="J596" s="4" t="n">
        <v>0.83</v>
      </c>
      <c r="K596" s="5" t="n">
        <v>4.8657</v>
      </c>
      <c r="L596" s="6" t="n">
        <v>0.3444</v>
      </c>
      <c r="M596" s="5" t="n">
        <f aca="false">IF(AND(N(K596)&gt;0,N(L596)&gt;0),K596/L596,"")</f>
        <v>14.1280487804878</v>
      </c>
      <c r="N596" s="2"/>
    </row>
    <row r="597" customFormat="false" ht="15" hidden="false" customHeight="false" outlineLevel="0" collapsed="false">
      <c r="A597" s="2" t="n">
        <v>596</v>
      </c>
      <c r="B597" s="2" t="s">
        <v>1335</v>
      </c>
      <c r="C597" s="2" t="s">
        <v>1336</v>
      </c>
      <c r="D597" s="2" t="s">
        <v>22</v>
      </c>
      <c r="E597" s="2" t="s">
        <v>97</v>
      </c>
      <c r="F597" s="3" t="n">
        <v>0.000588</v>
      </c>
      <c r="G597" s="3" t="n">
        <f aca="false">SUM($F$2:F597)</f>
        <v>0.86609</v>
      </c>
      <c r="H597" s="4" t="n">
        <v>188.19</v>
      </c>
      <c r="I597" s="5" t="n">
        <v>33.132</v>
      </c>
      <c r="J597" s="4" t="n">
        <v>5.68</v>
      </c>
      <c r="K597" s="5" t="n">
        <v>2.9202</v>
      </c>
      <c r="L597" s="6" t="n">
        <v>1.3651</v>
      </c>
      <c r="M597" s="5" t="n">
        <f aca="false">IF(AND(N(K597)&gt;0,N(L597)&gt;0),K597/L597,"")</f>
        <v>2.13918394256831</v>
      </c>
      <c r="N597" s="2"/>
    </row>
    <row r="598" customFormat="false" ht="15" hidden="false" customHeight="false" outlineLevel="0" collapsed="false">
      <c r="A598" s="2" t="n">
        <v>597</v>
      </c>
      <c r="B598" s="2" t="s">
        <v>1337</v>
      </c>
      <c r="C598" s="2" t="s">
        <v>1338</v>
      </c>
      <c r="D598" s="2" t="s">
        <v>26</v>
      </c>
      <c r="E598" s="2" t="s">
        <v>27</v>
      </c>
      <c r="F598" s="3" t="n">
        <v>0.000588</v>
      </c>
      <c r="G598" s="3" t="n">
        <f aca="false">SUM($F$2:F598)</f>
        <v>0.866678</v>
      </c>
      <c r="H598" s="4" t="n">
        <v>18.85</v>
      </c>
      <c r="I598" s="5" t="n">
        <v>25.473</v>
      </c>
      <c r="J598" s="4" t="n">
        <v>0.74</v>
      </c>
      <c r="K598" s="5" t="n">
        <v>3.0762</v>
      </c>
      <c r="L598" s="6" t="n">
        <v>0.7331</v>
      </c>
      <c r="M598" s="5" t="n">
        <f aca="false">IF(AND(N(K598)&gt;0,N(L598)&gt;0),K598/L598,"")</f>
        <v>4.19615332151139</v>
      </c>
      <c r="N598" s="2"/>
    </row>
    <row r="599" customFormat="false" ht="15" hidden="false" customHeight="false" outlineLevel="0" collapsed="false">
      <c r="A599" s="2" t="n">
        <v>598</v>
      </c>
      <c r="B599" s="2" t="s">
        <v>1339</v>
      </c>
      <c r="C599" s="2" t="s">
        <v>1340</v>
      </c>
      <c r="D599" s="2" t="s">
        <v>79</v>
      </c>
      <c r="E599" s="2" t="s">
        <v>360</v>
      </c>
      <c r="F599" s="3" t="n">
        <v>0.000587</v>
      </c>
      <c r="G599" s="3" t="n">
        <f aca="false">SUM($F$2:F599)</f>
        <v>0.867265</v>
      </c>
      <c r="H599" s="4" t="n">
        <v>134.09</v>
      </c>
      <c r="I599" s="5" t="n">
        <v>18.0228</v>
      </c>
      <c r="J599" s="4" t="n">
        <v>7.44</v>
      </c>
      <c r="K599" s="5" t="n">
        <v>3.5539</v>
      </c>
      <c r="L599" s="6" t="n">
        <v>3.2563</v>
      </c>
      <c r="M599" s="5" t="n">
        <f aca="false">IF(AND(N(K599)&gt;0,N(L599)&gt;0),K599/L599,"")</f>
        <v>1.09139207075515</v>
      </c>
      <c r="N599" s="2"/>
    </row>
    <row r="600" customFormat="false" ht="15" hidden="false" customHeight="false" outlineLevel="0" collapsed="false">
      <c r="A600" s="2" t="n">
        <v>599</v>
      </c>
      <c r="B600" s="2" t="s">
        <v>1341</v>
      </c>
      <c r="C600" s="2" t="s">
        <v>1342</v>
      </c>
      <c r="D600" s="2" t="s">
        <v>16</v>
      </c>
      <c r="E600" s="2" t="s">
        <v>449</v>
      </c>
      <c r="F600" s="3" t="n">
        <v>0.000586</v>
      </c>
      <c r="G600" s="3" t="n">
        <f aca="false">SUM($F$2:F600)</f>
        <v>0.867851</v>
      </c>
      <c r="H600" s="4" t="n">
        <v>22.73</v>
      </c>
      <c r="I600" s="5" t="n">
        <v>73.3226</v>
      </c>
      <c r="J600" s="4" t="n">
        <v>0.31</v>
      </c>
      <c r="K600" s="5" t="n">
        <v>3.0042</v>
      </c>
      <c r="L600" s="6" t="n">
        <v>2.3405</v>
      </c>
      <c r="M600" s="5" t="n">
        <f aca="false">IF(AND(N(K600)&gt;0,N(L600)&gt;0),K600/L600,"")</f>
        <v>1.28357188634907</v>
      </c>
      <c r="N600" s="2"/>
    </row>
    <row r="601" customFormat="false" ht="15" hidden="false" customHeight="false" outlineLevel="0" collapsed="false">
      <c r="A601" s="2" t="n">
        <v>600</v>
      </c>
      <c r="B601" s="2" t="s">
        <v>1343</v>
      </c>
      <c r="C601" s="2" t="s">
        <v>1344</v>
      </c>
      <c r="D601" s="2" t="s">
        <v>22</v>
      </c>
      <c r="E601" s="2" t="s">
        <v>525</v>
      </c>
      <c r="F601" s="3" t="n">
        <v>0.000585</v>
      </c>
      <c r="G601" s="3" t="n">
        <f aca="false">SUM($F$2:F601)</f>
        <v>0.868436</v>
      </c>
      <c r="H601" s="4" t="n">
        <v>1146.11</v>
      </c>
      <c r="I601" s="5" t="n">
        <v>9.2675</v>
      </c>
      <c r="J601" s="4" t="n">
        <v>123.67</v>
      </c>
      <c r="K601" s="5" t="n">
        <v>4.8537</v>
      </c>
      <c r="L601" s="6" t="n">
        <v>0.9576</v>
      </c>
      <c r="M601" s="5" t="n">
        <f aca="false">IF(AND(N(K601)&gt;0,N(L601)&gt;0),K601/L601,"")</f>
        <v>5.06860902255639</v>
      </c>
      <c r="N601" s="2"/>
    </row>
    <row r="602" customFormat="false" ht="15" hidden="false" customHeight="false" outlineLevel="0" collapsed="false">
      <c r="A602" s="2" t="n">
        <v>601</v>
      </c>
      <c r="B602" s="2" t="s">
        <v>1345</v>
      </c>
      <c r="C602" s="2" t="s">
        <v>1346</v>
      </c>
      <c r="D602" s="2" t="s">
        <v>62</v>
      </c>
      <c r="E602" s="2" t="s">
        <v>681</v>
      </c>
      <c r="F602" s="3" t="n">
        <v>0.000581</v>
      </c>
      <c r="G602" s="3" t="n">
        <f aca="false">SUM($F$2:F602)</f>
        <v>0.869017</v>
      </c>
      <c r="H602" s="4" t="n">
        <v>55.41</v>
      </c>
      <c r="I602" s="5" t="n">
        <v>22.5244</v>
      </c>
      <c r="J602" s="4" t="n">
        <v>2.46</v>
      </c>
      <c r="K602" s="5" t="n">
        <v>3.1453</v>
      </c>
      <c r="L602" s="6" t="n">
        <v>0.9509</v>
      </c>
      <c r="M602" s="5" t="n">
        <f aca="false">IF(AND(N(K602)&gt;0,N(L602)&gt;0),K602/L602,"")</f>
        <v>3.30770848669681</v>
      </c>
      <c r="N602" s="2"/>
    </row>
    <row r="603" customFormat="false" ht="15" hidden="false" customHeight="false" outlineLevel="0" collapsed="false">
      <c r="A603" s="2" t="n">
        <v>602</v>
      </c>
      <c r="B603" s="2" t="s">
        <v>1347</v>
      </c>
      <c r="C603" s="2" t="s">
        <v>1348</v>
      </c>
      <c r="D603" s="2" t="s">
        <v>62</v>
      </c>
      <c r="E603" s="2" t="s">
        <v>530</v>
      </c>
      <c r="F603" s="3" t="n">
        <v>0.000578</v>
      </c>
      <c r="G603" s="3" t="n">
        <f aca="false">SUM($F$2:F603)</f>
        <v>0.869595</v>
      </c>
      <c r="H603" s="4" t="n">
        <v>75.66</v>
      </c>
      <c r="I603" s="5" t="n">
        <v>25.6475</v>
      </c>
      <c r="J603" s="4" t="n">
        <v>2.95</v>
      </c>
      <c r="K603" s="5" t="n">
        <v>2.6399</v>
      </c>
      <c r="L603" s="6" t="n">
        <v>0.4088</v>
      </c>
      <c r="M603" s="5" t="n">
        <f aca="false">IF(AND(N(K603)&gt;0,N(L603)&gt;0),K603/L603,"")</f>
        <v>6.45768101761252</v>
      </c>
      <c r="N603" s="2"/>
    </row>
    <row r="604" customFormat="false" ht="15" hidden="false" customHeight="false" outlineLevel="0" collapsed="false">
      <c r="A604" s="2" t="n">
        <v>603</v>
      </c>
      <c r="B604" s="2" t="s">
        <v>1349</v>
      </c>
      <c r="C604" s="2" t="s">
        <v>1350</v>
      </c>
      <c r="D604" s="2" t="s">
        <v>33</v>
      </c>
      <c r="E604" s="2" t="s">
        <v>329</v>
      </c>
      <c r="F604" s="3" t="n">
        <v>0.000578</v>
      </c>
      <c r="G604" s="3" t="n">
        <f aca="false">SUM($F$2:F604)</f>
        <v>0.870173</v>
      </c>
      <c r="H604" s="4" t="n">
        <v>155.22</v>
      </c>
      <c r="I604" s="5" t="n">
        <v>129.35</v>
      </c>
      <c r="J604" s="4" t="n">
        <v>1.2</v>
      </c>
      <c r="K604" s="5" t="n">
        <v>3.8816</v>
      </c>
      <c r="L604" s="6" t="n">
        <v>1.7974</v>
      </c>
      <c r="M604" s="5" t="n">
        <f aca="false">IF(AND(N(K604)&gt;0,N(L604)&gt;0),K604/L604,"")</f>
        <v>2.15956381439858</v>
      </c>
      <c r="N604" s="2"/>
    </row>
    <row r="605" customFormat="false" ht="15" hidden="false" customHeight="false" outlineLevel="0" collapsed="false">
      <c r="A605" s="2" t="n">
        <v>604</v>
      </c>
      <c r="B605" s="2" t="s">
        <v>1351</v>
      </c>
      <c r="C605" s="2" t="s">
        <v>1352</v>
      </c>
      <c r="D605" s="2" t="s">
        <v>33</v>
      </c>
      <c r="E605" s="2" t="s">
        <v>555</v>
      </c>
      <c r="F605" s="3" t="n">
        <v>0.000578</v>
      </c>
      <c r="G605" s="3" t="n">
        <f aca="false">SUM($F$2:F605)</f>
        <v>0.870751</v>
      </c>
      <c r="H605" s="4" t="n">
        <v>25.71</v>
      </c>
      <c r="I605" s="5" t="n">
        <v>36.7286</v>
      </c>
      <c r="J605" s="4" t="n">
        <v>0.7</v>
      </c>
      <c r="K605" s="5" t="n">
        <v>4.9299</v>
      </c>
      <c r="L605" s="6" t="n">
        <v>4.0887</v>
      </c>
      <c r="M605" s="5" t="n">
        <f aca="false">IF(AND(N(K605)&gt;0,N(L605)&gt;0),K605/L605,"")</f>
        <v>1.2057377650598</v>
      </c>
      <c r="N605" s="2"/>
    </row>
    <row r="606" customFormat="false" ht="15" hidden="false" customHeight="false" outlineLevel="0" collapsed="false">
      <c r="A606" s="2" t="n">
        <v>605</v>
      </c>
      <c r="B606" s="2" t="s">
        <v>1353</v>
      </c>
      <c r="C606" s="2" t="s">
        <v>1354</v>
      </c>
      <c r="D606" s="2" t="s">
        <v>66</v>
      </c>
      <c r="E606" s="2" t="s">
        <v>235</v>
      </c>
      <c r="F606" s="3" t="n">
        <v>0.000573</v>
      </c>
      <c r="G606" s="3" t="n">
        <f aca="false">SUM($F$2:F606)</f>
        <v>0.871324</v>
      </c>
      <c r="H606" s="4" t="n">
        <v>33.17</v>
      </c>
      <c r="I606" s="5" t="n">
        <v>17.0979</v>
      </c>
      <c r="J606" s="4" t="n">
        <v>1.94</v>
      </c>
      <c r="K606" s="5" t="n">
        <v>2.9546</v>
      </c>
      <c r="L606" s="6" t="n">
        <v>3.0545</v>
      </c>
      <c r="M606" s="5" t="n">
        <f aca="false">IF(AND(N(K606)&gt;0,N(L606)&gt;0),K606/L606,"")</f>
        <v>0.967294156163038</v>
      </c>
      <c r="N606" s="2"/>
    </row>
    <row r="607" customFormat="false" ht="15" hidden="false" customHeight="false" outlineLevel="0" collapsed="false">
      <c r="A607" s="2" t="n">
        <v>606</v>
      </c>
      <c r="B607" s="2" t="s">
        <v>1355</v>
      </c>
      <c r="C607" s="2" t="s">
        <v>1356</v>
      </c>
      <c r="D607" s="2" t="s">
        <v>16</v>
      </c>
      <c r="E607" s="2" t="s">
        <v>43</v>
      </c>
      <c r="F607" s="3" t="n">
        <v>0.000573</v>
      </c>
      <c r="G607" s="3" t="n">
        <f aca="false">SUM($F$2:F607)</f>
        <v>0.871897</v>
      </c>
      <c r="H607" s="4" t="n">
        <v>73.05</v>
      </c>
      <c r="I607" s="5"/>
      <c r="J607" s="4" t="n">
        <v>-0.5</v>
      </c>
      <c r="K607" s="5" t="n">
        <v>3.3075</v>
      </c>
      <c r="L607" s="6" t="n">
        <v>1.5067</v>
      </c>
      <c r="M607" s="5" t="n">
        <f aca="false">IF(AND(N(K607)&gt;0,N(L607)&gt;0),K607/L607,"")</f>
        <v>2.1951947965753</v>
      </c>
      <c r="N607" s="2" t="s">
        <v>50</v>
      </c>
    </row>
    <row r="608" customFormat="false" ht="15" hidden="false" customHeight="false" outlineLevel="0" collapsed="false">
      <c r="A608" s="2" t="n">
        <v>607</v>
      </c>
      <c r="B608" s="2" t="s">
        <v>1357</v>
      </c>
      <c r="C608" s="2" t="s">
        <v>1358</v>
      </c>
      <c r="D608" s="2" t="s">
        <v>79</v>
      </c>
      <c r="E608" s="2" t="s">
        <v>80</v>
      </c>
      <c r="F608" s="3" t="n">
        <v>0.00057</v>
      </c>
      <c r="G608" s="3" t="n">
        <f aca="false">SUM($F$2:F608)</f>
        <v>0.872467</v>
      </c>
      <c r="H608" s="4" t="n">
        <v>31.74</v>
      </c>
      <c r="I608" s="5" t="n">
        <v>11.2155</v>
      </c>
      <c r="J608" s="4" t="n">
        <v>2.83</v>
      </c>
      <c r="K608" s="5" t="n">
        <v>3.3313</v>
      </c>
      <c r="L608" s="6" t="n">
        <v>3.496</v>
      </c>
      <c r="M608" s="5" t="n">
        <f aca="false">IF(AND(N(K608)&gt;0,N(L608)&gt;0),K608/L608,"")</f>
        <v>0.952889016018307</v>
      </c>
      <c r="N608" s="2"/>
    </row>
    <row r="609" customFormat="false" ht="15" hidden="false" customHeight="false" outlineLevel="0" collapsed="false">
      <c r="A609" s="2" t="n">
        <v>608</v>
      </c>
      <c r="B609" s="2" t="s">
        <v>1359</v>
      </c>
      <c r="C609" s="2" t="s">
        <v>1360</v>
      </c>
      <c r="D609" s="2" t="s">
        <v>33</v>
      </c>
      <c r="E609" s="2" t="s">
        <v>244</v>
      </c>
      <c r="F609" s="3" t="n">
        <v>0.00057</v>
      </c>
      <c r="G609" s="3" t="n">
        <f aca="false">SUM($F$2:F609)</f>
        <v>0.873037</v>
      </c>
      <c r="H609" s="4" t="n">
        <v>87.29</v>
      </c>
      <c r="I609" s="5" t="n">
        <v>22.614</v>
      </c>
      <c r="J609" s="4" t="n">
        <v>3.86</v>
      </c>
      <c r="K609" s="5" t="n">
        <v>3.0268</v>
      </c>
      <c r="L609" s="6" t="n">
        <v>4.528</v>
      </c>
      <c r="M609" s="5" t="n">
        <f aca="false">IF(AND(N(K609)&gt;0,N(L609)&gt;0),K609/L609,"")</f>
        <v>0.668462897526502</v>
      </c>
      <c r="N609" s="2"/>
    </row>
    <row r="610" customFormat="false" ht="15" hidden="false" customHeight="false" outlineLevel="0" collapsed="false">
      <c r="A610" s="2" t="n">
        <v>609</v>
      </c>
      <c r="B610" s="2" t="s">
        <v>1361</v>
      </c>
      <c r="C610" s="2" t="s">
        <v>1362</v>
      </c>
      <c r="D610" s="2" t="s">
        <v>16</v>
      </c>
      <c r="E610" s="2" t="s">
        <v>148</v>
      </c>
      <c r="F610" s="3" t="n">
        <v>0.000568</v>
      </c>
      <c r="G610" s="3" t="n">
        <f aca="false">SUM($F$2:F610)</f>
        <v>0.873605</v>
      </c>
      <c r="H610" s="4" t="n">
        <v>92.25</v>
      </c>
      <c r="I610" s="5" t="n">
        <v>19.7961</v>
      </c>
      <c r="J610" s="4" t="n">
        <v>4.66</v>
      </c>
      <c r="K610" s="5" t="n">
        <v>2.4068</v>
      </c>
      <c r="L610" s="6" t="n">
        <v>0.9828</v>
      </c>
      <c r="M610" s="5" t="n">
        <f aca="false">IF(AND(N(K610)&gt;0,N(L610)&gt;0),K610/L610,"")</f>
        <v>2.44892144892145</v>
      </c>
      <c r="N610" s="2"/>
    </row>
    <row r="611" customFormat="false" ht="15" hidden="false" customHeight="false" outlineLevel="0" collapsed="false">
      <c r="A611" s="2" t="n">
        <v>610</v>
      </c>
      <c r="B611" s="2" t="s">
        <v>1363</v>
      </c>
      <c r="C611" s="2" t="s">
        <v>1364</v>
      </c>
      <c r="D611" s="2" t="s">
        <v>93</v>
      </c>
      <c r="E611" s="2" t="s">
        <v>186</v>
      </c>
      <c r="F611" s="3" t="n">
        <v>0.000568</v>
      </c>
      <c r="G611" s="3" t="n">
        <f aca="false">SUM($F$2:F611)</f>
        <v>0.874173</v>
      </c>
      <c r="H611" s="4" t="n">
        <v>9.25</v>
      </c>
      <c r="I611" s="5" t="n">
        <v>14.2308</v>
      </c>
      <c r="J611" s="4" t="n">
        <v>0.65</v>
      </c>
      <c r="K611" s="5" t="n">
        <v>2.7387</v>
      </c>
      <c r="L611" s="6" t="n">
        <v>0.3171</v>
      </c>
      <c r="M611" s="5" t="n">
        <f aca="false">IF(AND(N(K611)&gt;0,N(L611)&gt;0),K611/L611,"")</f>
        <v>8.63670766319773</v>
      </c>
      <c r="N611" s="2"/>
    </row>
    <row r="612" customFormat="false" ht="15" hidden="false" customHeight="false" outlineLevel="0" collapsed="false">
      <c r="A612" s="2" t="n">
        <v>611</v>
      </c>
      <c r="B612" s="2" t="s">
        <v>1365</v>
      </c>
      <c r="C612" s="2" t="s">
        <v>1366</v>
      </c>
      <c r="D612" s="2" t="s">
        <v>93</v>
      </c>
      <c r="E612" s="2" t="s">
        <v>269</v>
      </c>
      <c r="F612" s="3" t="n">
        <v>0.000567</v>
      </c>
      <c r="G612" s="3" t="n">
        <f aca="false">SUM($F$2:F612)</f>
        <v>0.87474</v>
      </c>
      <c r="H612" s="4" t="n">
        <v>60.34</v>
      </c>
      <c r="I612" s="5" t="n">
        <v>17.2894</v>
      </c>
      <c r="J612" s="4" t="n">
        <v>3.49</v>
      </c>
      <c r="K612" s="5" t="n">
        <v>2.2107</v>
      </c>
      <c r="L612" s="6" t="n">
        <v>0.6115</v>
      </c>
      <c r="M612" s="5" t="n">
        <f aca="false">IF(AND(N(K612)&gt;0,N(L612)&gt;0),K612/L612,"")</f>
        <v>3.61520850367948</v>
      </c>
      <c r="N612" s="2"/>
    </row>
    <row r="613" customFormat="false" ht="15" hidden="false" customHeight="false" outlineLevel="0" collapsed="false">
      <c r="A613" s="2" t="n">
        <v>612</v>
      </c>
      <c r="B613" s="2" t="s">
        <v>1367</v>
      </c>
      <c r="C613" s="2" t="s">
        <v>1368</v>
      </c>
      <c r="D613" s="2" t="s">
        <v>26</v>
      </c>
      <c r="E613" s="2" t="s">
        <v>1369</v>
      </c>
      <c r="F613" s="3" t="n">
        <v>0.000567</v>
      </c>
      <c r="G613" s="3" t="n">
        <f aca="false">SUM($F$2:F613)</f>
        <v>0.875307</v>
      </c>
      <c r="H613" s="4" t="n">
        <v>154.85</v>
      </c>
      <c r="I613" s="5" t="n">
        <v>81.9312</v>
      </c>
      <c r="J613" s="4" t="n">
        <v>1.89</v>
      </c>
      <c r="K613" s="5" t="n">
        <v>3.1672</v>
      </c>
      <c r="L613" s="6" t="n">
        <v>6.6832</v>
      </c>
      <c r="M613" s="5" t="n">
        <f aca="false">IF(AND(N(K613)&gt;0,N(L613)&gt;0),K613/L613,"")</f>
        <v>0.473904716303567</v>
      </c>
      <c r="N613" s="2"/>
    </row>
    <row r="614" customFormat="false" ht="15" hidden="false" customHeight="false" outlineLevel="0" collapsed="false">
      <c r="A614" s="2" t="n">
        <v>613</v>
      </c>
      <c r="B614" s="2" t="s">
        <v>1370</v>
      </c>
      <c r="C614" s="2" t="s">
        <v>1371</v>
      </c>
      <c r="D614" s="2" t="s">
        <v>79</v>
      </c>
      <c r="E614" s="2" t="s">
        <v>227</v>
      </c>
      <c r="F614" s="3" t="n">
        <v>0.00056</v>
      </c>
      <c r="G614" s="3" t="n">
        <f aca="false">SUM($F$2:F614)</f>
        <v>0.875867</v>
      </c>
      <c r="H614" s="4" t="n">
        <v>23.72</v>
      </c>
      <c r="I614" s="5" t="n">
        <v>43.1273</v>
      </c>
      <c r="J614" s="4" t="n">
        <v>0.55</v>
      </c>
      <c r="K614" s="5" t="n">
        <v>3.5939</v>
      </c>
      <c r="L614" s="6" t="n">
        <v>5.8947</v>
      </c>
      <c r="M614" s="5" t="n">
        <f aca="false">IF(AND(N(K614)&gt;0,N(L614)&gt;0),K614/L614,"")</f>
        <v>0.609683274806182</v>
      </c>
      <c r="N614" s="2"/>
    </row>
    <row r="615" customFormat="false" ht="15" hidden="false" customHeight="false" outlineLevel="0" collapsed="false">
      <c r="A615" s="2" t="n">
        <v>614</v>
      </c>
      <c r="B615" s="2" t="s">
        <v>1372</v>
      </c>
      <c r="C615" s="2" t="s">
        <v>1373</v>
      </c>
      <c r="D615" s="2" t="s">
        <v>79</v>
      </c>
      <c r="E615" s="2" t="s">
        <v>360</v>
      </c>
      <c r="F615" s="3" t="n">
        <v>0.000557</v>
      </c>
      <c r="G615" s="3" t="n">
        <f aca="false">SUM($F$2:F615)</f>
        <v>0.876424</v>
      </c>
      <c r="H615" s="4" t="n">
        <v>100.34</v>
      </c>
      <c r="I615" s="5" t="n">
        <v>5.9303</v>
      </c>
      <c r="J615" s="4" t="n">
        <v>16.92</v>
      </c>
      <c r="K615" s="5"/>
      <c r="L615" s="6"/>
      <c r="M615" s="5" t="str">
        <f aca="false">IF(AND(N(K615)&gt;0,N(L615)&gt;0),K615/L615,"")</f>
        <v/>
      </c>
      <c r="N615" s="2"/>
    </row>
    <row r="616" customFormat="false" ht="15" hidden="false" customHeight="false" outlineLevel="0" collapsed="false">
      <c r="A616" s="2" t="n">
        <v>615</v>
      </c>
      <c r="B616" s="2" t="s">
        <v>1374</v>
      </c>
      <c r="C616" s="2" t="s">
        <v>1375</v>
      </c>
      <c r="D616" s="2" t="s">
        <v>26</v>
      </c>
      <c r="E616" s="2" t="s">
        <v>822</v>
      </c>
      <c r="F616" s="3" t="n">
        <v>0.000556</v>
      </c>
      <c r="G616" s="3" t="n">
        <f aca="false">SUM($F$2:F616)</f>
        <v>0.87698</v>
      </c>
      <c r="H616" s="4" t="n">
        <v>25.07</v>
      </c>
      <c r="I616" s="5"/>
      <c r="J616" s="4" t="n">
        <v>-1.49</v>
      </c>
      <c r="K616" s="5" t="n">
        <v>3.056</v>
      </c>
      <c r="L616" s="6" t="n">
        <v>0.7619</v>
      </c>
      <c r="M616" s="5" t="n">
        <f aca="false">IF(AND(N(K616)&gt;0,N(L616)&gt;0),K616/L616,"")</f>
        <v>4.01102506890668</v>
      </c>
      <c r="N616" s="2" t="s">
        <v>50</v>
      </c>
    </row>
    <row r="617" customFormat="false" ht="15" hidden="false" customHeight="false" outlineLevel="0" collapsed="false">
      <c r="A617" s="2" t="n">
        <v>616</v>
      </c>
      <c r="B617" s="2" t="s">
        <v>1376</v>
      </c>
      <c r="C617" s="2" t="s">
        <v>1377</v>
      </c>
      <c r="D617" s="2" t="s">
        <v>22</v>
      </c>
      <c r="E617" s="2" t="s">
        <v>659</v>
      </c>
      <c r="F617" s="3" t="n">
        <v>0.000555</v>
      </c>
      <c r="G617" s="3" t="n">
        <f aca="false">SUM($F$2:F617)</f>
        <v>0.877535</v>
      </c>
      <c r="H617" s="4" t="n">
        <v>16.54</v>
      </c>
      <c r="I617" s="5" t="n">
        <v>13.4472</v>
      </c>
      <c r="J617" s="4" t="n">
        <v>1.23</v>
      </c>
      <c r="K617" s="5" t="n">
        <v>2.2675</v>
      </c>
      <c r="L617" s="6" t="n">
        <v>1.215</v>
      </c>
      <c r="M617" s="5" t="n">
        <f aca="false">IF(AND(N(K617)&gt;0,N(L617)&gt;0),K617/L617,"")</f>
        <v>1.86625514403292</v>
      </c>
      <c r="N617" s="2"/>
    </row>
    <row r="618" customFormat="false" ht="15" hidden="false" customHeight="false" outlineLevel="0" collapsed="false">
      <c r="A618" s="2" t="n">
        <v>617</v>
      </c>
      <c r="B618" s="2" t="s">
        <v>1378</v>
      </c>
      <c r="C618" s="2" t="s">
        <v>1379</v>
      </c>
      <c r="D618" s="2" t="s">
        <v>22</v>
      </c>
      <c r="E618" s="2" t="s">
        <v>97</v>
      </c>
      <c r="F618" s="3" t="n">
        <v>0.000552</v>
      </c>
      <c r="G618" s="3" t="n">
        <f aca="false">SUM($F$2:F618)</f>
        <v>0.878087</v>
      </c>
      <c r="H618" s="4" t="n">
        <v>18.81</v>
      </c>
      <c r="I618" s="5" t="n">
        <v>7.3477</v>
      </c>
      <c r="J618" s="4" t="n">
        <v>2.56</v>
      </c>
      <c r="K618" s="5" t="n">
        <v>2.8562</v>
      </c>
      <c r="L618" s="6" t="n">
        <v>0.3733</v>
      </c>
      <c r="M618" s="5" t="n">
        <f aca="false">IF(AND(N(K618)&gt;0,N(L618)&gt;0),K618/L618,"")</f>
        <v>7.65121885882668</v>
      </c>
      <c r="N618" s="2"/>
    </row>
    <row r="619" customFormat="false" ht="15" hidden="false" customHeight="false" outlineLevel="0" collapsed="false">
      <c r="A619" s="2" t="n">
        <v>618</v>
      </c>
      <c r="B619" s="2" t="s">
        <v>1380</v>
      </c>
      <c r="C619" s="2" t="s">
        <v>1381</v>
      </c>
      <c r="D619" s="2" t="s">
        <v>16</v>
      </c>
      <c r="E619" s="2" t="s">
        <v>17</v>
      </c>
      <c r="F619" s="3" t="n">
        <v>0.000551</v>
      </c>
      <c r="G619" s="3" t="n">
        <f aca="false">SUM($F$2:F619)</f>
        <v>0.878638</v>
      </c>
      <c r="H619" s="4" t="n">
        <v>38.94</v>
      </c>
      <c r="I619" s="5" t="n">
        <v>23.7439</v>
      </c>
      <c r="J619" s="4" t="n">
        <v>1.64</v>
      </c>
      <c r="K619" s="5" t="n">
        <v>2.8312</v>
      </c>
      <c r="L619" s="6" t="n">
        <v>3.2058</v>
      </c>
      <c r="M619" s="5" t="n">
        <f aca="false">IF(AND(N(K619)&gt;0,N(L619)&gt;0),K619/L619,"")</f>
        <v>0.883149291908416</v>
      </c>
      <c r="N619" s="2"/>
    </row>
    <row r="620" customFormat="false" ht="15" hidden="false" customHeight="false" outlineLevel="0" collapsed="false">
      <c r="A620" s="2" t="n">
        <v>619</v>
      </c>
      <c r="B620" s="2" t="s">
        <v>1382</v>
      </c>
      <c r="C620" s="2" t="s">
        <v>1383</v>
      </c>
      <c r="D620" s="2" t="s">
        <v>93</v>
      </c>
      <c r="E620" s="2" t="s">
        <v>567</v>
      </c>
      <c r="F620" s="3" t="n">
        <v>0.000551</v>
      </c>
      <c r="G620" s="3" t="n">
        <f aca="false">SUM($F$2:F620)</f>
        <v>0.879189</v>
      </c>
      <c r="H620" s="4" t="n">
        <v>99.05</v>
      </c>
      <c r="I620" s="5" t="n">
        <v>14.0297</v>
      </c>
      <c r="J620" s="4" t="n">
        <v>7.06</v>
      </c>
      <c r="K620" s="5" t="n">
        <v>4.5063</v>
      </c>
      <c r="L620" s="6" t="n">
        <v>4.4787</v>
      </c>
      <c r="M620" s="5" t="n">
        <f aca="false">IF(AND(N(K620)&gt;0,N(L620)&gt;0),K620/L620,"")</f>
        <v>1.00616250251189</v>
      </c>
      <c r="N620" s="2"/>
    </row>
    <row r="621" customFormat="false" ht="15" hidden="false" customHeight="false" outlineLevel="0" collapsed="false">
      <c r="A621" s="2" t="n">
        <v>620</v>
      </c>
      <c r="B621" s="2" t="s">
        <v>1384</v>
      </c>
      <c r="C621" s="2" t="s">
        <v>1385</v>
      </c>
      <c r="D621" s="2" t="s">
        <v>62</v>
      </c>
      <c r="E621" s="2" t="s">
        <v>189</v>
      </c>
      <c r="F621" s="3" t="n">
        <v>0.00055</v>
      </c>
      <c r="G621" s="3" t="n">
        <f aca="false">SUM($F$2:F621)</f>
        <v>0.879739</v>
      </c>
      <c r="H621" s="4" t="n">
        <v>191.54</v>
      </c>
      <c r="I621" s="5" t="n">
        <v>29.1094</v>
      </c>
      <c r="J621" s="4" t="n">
        <v>6.58</v>
      </c>
      <c r="K621" s="5" t="n">
        <v>2.5707</v>
      </c>
      <c r="L621" s="6" t="n">
        <v>3.8102</v>
      </c>
      <c r="M621" s="5" t="n">
        <f aca="false">IF(AND(N(K621)&gt;0,N(L621)&gt;0),K621/L621,"")</f>
        <v>0.674688992703795</v>
      </c>
      <c r="N621" s="2"/>
    </row>
    <row r="622" customFormat="false" ht="15" hidden="false" customHeight="false" outlineLevel="0" collapsed="false">
      <c r="A622" s="2" t="n">
        <v>621</v>
      </c>
      <c r="B622" s="2" t="s">
        <v>1386</v>
      </c>
      <c r="C622" s="2" t="s">
        <v>1387</v>
      </c>
      <c r="D622" s="2" t="s">
        <v>16</v>
      </c>
      <c r="E622" s="2" t="s">
        <v>148</v>
      </c>
      <c r="F622" s="3" t="n">
        <v>0.000549</v>
      </c>
      <c r="G622" s="3" t="n">
        <f aca="false">SUM($F$2:F622)</f>
        <v>0.880288</v>
      </c>
      <c r="H622" s="4" t="n">
        <v>81.65</v>
      </c>
      <c r="I622" s="5" t="n">
        <v>39.2548</v>
      </c>
      <c r="J622" s="4" t="n">
        <v>2.08</v>
      </c>
      <c r="K622" s="5" t="n">
        <v>2.9394</v>
      </c>
      <c r="L622" s="6" t="n">
        <v>3.8051</v>
      </c>
      <c r="M622" s="5" t="n">
        <f aca="false">IF(AND(N(K622)&gt;0,N(L622)&gt;0),K622/L622,"")</f>
        <v>0.772489553493995</v>
      </c>
      <c r="N622" s="2"/>
    </row>
    <row r="623" customFormat="false" ht="15" hidden="false" customHeight="false" outlineLevel="0" collapsed="false">
      <c r="A623" s="2" t="n">
        <v>622</v>
      </c>
      <c r="B623" s="2" t="s">
        <v>1388</v>
      </c>
      <c r="C623" s="2" t="s">
        <v>1389</v>
      </c>
      <c r="D623" s="2" t="s">
        <v>16</v>
      </c>
      <c r="E623" s="2" t="s">
        <v>17</v>
      </c>
      <c r="F623" s="3" t="n">
        <v>0.000548</v>
      </c>
      <c r="G623" s="3" t="n">
        <f aca="false">SUM($F$2:F623)</f>
        <v>0.880836</v>
      </c>
      <c r="H623" s="4" t="n">
        <v>37.01</v>
      </c>
      <c r="I623" s="5" t="n">
        <v>54.4265</v>
      </c>
      <c r="J623" s="4" t="n">
        <v>0.68</v>
      </c>
      <c r="K623" s="5" t="n">
        <v>2.7655</v>
      </c>
      <c r="L623" s="6" t="n">
        <v>2.2972</v>
      </c>
      <c r="M623" s="5" t="n">
        <f aca="false">IF(AND(N(K623)&gt;0,N(L623)&gt;0),K623/L623,"")</f>
        <v>1.20385686923211</v>
      </c>
      <c r="N623" s="2"/>
    </row>
    <row r="624" customFormat="false" ht="15" hidden="false" customHeight="false" outlineLevel="0" collapsed="false">
      <c r="A624" s="2" t="n">
        <v>623</v>
      </c>
      <c r="B624" s="2" t="s">
        <v>1390</v>
      </c>
      <c r="C624" s="2" t="s">
        <v>1391</v>
      </c>
      <c r="D624" s="2" t="s">
        <v>58</v>
      </c>
      <c r="E624" s="2" t="s">
        <v>1392</v>
      </c>
      <c r="F624" s="3" t="n">
        <v>0.000546</v>
      </c>
      <c r="G624" s="3" t="n">
        <f aca="false">SUM($F$2:F624)</f>
        <v>0.881382</v>
      </c>
      <c r="H624" s="4" t="n">
        <v>72.53</v>
      </c>
      <c r="I624" s="5" t="n">
        <v>10.9397</v>
      </c>
      <c r="J624" s="4" t="n">
        <v>6.63</v>
      </c>
      <c r="K624" s="5" t="n">
        <v>3.3876</v>
      </c>
      <c r="L624" s="6" t="n">
        <v>1.1635</v>
      </c>
      <c r="M624" s="5" t="n">
        <f aca="false">IF(AND(N(K624)&gt;0,N(L624)&gt;0),K624/L624,"")</f>
        <v>2.91155994843146</v>
      </c>
      <c r="N624" s="2"/>
    </row>
    <row r="625" customFormat="false" ht="15" hidden="false" customHeight="false" outlineLevel="0" collapsed="false">
      <c r="A625" s="2" t="n">
        <v>624</v>
      </c>
      <c r="B625" s="2" t="s">
        <v>1393</v>
      </c>
      <c r="C625" s="2" t="s">
        <v>1394</v>
      </c>
      <c r="D625" s="2" t="s">
        <v>93</v>
      </c>
      <c r="E625" s="2" t="s">
        <v>94</v>
      </c>
      <c r="F625" s="3" t="n">
        <v>0.000545</v>
      </c>
      <c r="G625" s="3" t="n">
        <f aca="false">SUM($F$2:F625)</f>
        <v>0.881927</v>
      </c>
      <c r="H625" s="4" t="n">
        <v>124.33</v>
      </c>
      <c r="I625" s="5" t="n">
        <v>15.7579</v>
      </c>
      <c r="J625" s="4" t="n">
        <v>7.89</v>
      </c>
      <c r="K625" s="5" t="n">
        <v>3.7653</v>
      </c>
      <c r="L625" s="6" t="n">
        <v>1.6068</v>
      </c>
      <c r="M625" s="5" t="n">
        <f aca="false">IF(AND(N(K625)&gt;0,N(L625)&gt;0),K625/L625,"")</f>
        <v>2.34335324869305</v>
      </c>
      <c r="N625" s="2"/>
    </row>
    <row r="626" customFormat="false" ht="15" hidden="false" customHeight="false" outlineLevel="0" collapsed="false">
      <c r="A626" s="2" t="n">
        <v>625</v>
      </c>
      <c r="B626" s="2" t="s">
        <v>1395</v>
      </c>
      <c r="C626" s="2" t="s">
        <v>1396</v>
      </c>
      <c r="D626" s="2" t="s">
        <v>93</v>
      </c>
      <c r="E626" s="2" t="s">
        <v>678</v>
      </c>
      <c r="F626" s="3" t="n">
        <v>0.000544</v>
      </c>
      <c r="G626" s="3" t="n">
        <f aca="false">SUM($F$2:F626)</f>
        <v>0.882471</v>
      </c>
      <c r="H626" s="4" t="n">
        <v>35.56</v>
      </c>
      <c r="I626" s="5" t="n">
        <v>20.2045</v>
      </c>
      <c r="J626" s="4" t="n">
        <v>1.76</v>
      </c>
      <c r="K626" s="5" t="n">
        <v>2.7639</v>
      </c>
      <c r="L626" s="6" t="n">
        <v>0.5876</v>
      </c>
      <c r="M626" s="5" t="n">
        <f aca="false">IF(AND(N(K626)&gt;0,N(L626)&gt;0),K626/L626,"")</f>
        <v>4.70371000680735</v>
      </c>
      <c r="N626" s="2"/>
    </row>
    <row r="627" customFormat="false" ht="15" hidden="false" customHeight="false" outlineLevel="0" collapsed="false">
      <c r="A627" s="2" t="n">
        <v>626</v>
      </c>
      <c r="B627" s="2" t="s">
        <v>1397</v>
      </c>
      <c r="C627" s="2" t="s">
        <v>1398</v>
      </c>
      <c r="D627" s="2" t="s">
        <v>79</v>
      </c>
      <c r="E627" s="2" t="s">
        <v>276</v>
      </c>
      <c r="F627" s="3" t="n">
        <v>0.000543</v>
      </c>
      <c r="G627" s="3" t="n">
        <f aca="false">SUM($F$2:F627)</f>
        <v>0.883014</v>
      </c>
      <c r="H627" s="4" t="n">
        <v>42.52</v>
      </c>
      <c r="I627" s="5" t="n">
        <v>8.3691</v>
      </c>
      <c r="J627" s="4" t="n">
        <v>5.08</v>
      </c>
      <c r="K627" s="5" t="n">
        <v>3.1979</v>
      </c>
      <c r="L627" s="6" t="n">
        <v>4.376</v>
      </c>
      <c r="M627" s="5" t="n">
        <f aca="false">IF(AND(N(K627)&gt;0,N(L627)&gt;0),K627/L627,"")</f>
        <v>0.730781535648995</v>
      </c>
      <c r="N627" s="2"/>
    </row>
    <row r="628" customFormat="false" ht="15" hidden="false" customHeight="false" outlineLevel="0" collapsed="false">
      <c r="A628" s="2" t="n">
        <v>627</v>
      </c>
      <c r="B628" s="2" t="s">
        <v>1399</v>
      </c>
      <c r="C628" s="2" t="s">
        <v>1400</v>
      </c>
      <c r="D628" s="2" t="s">
        <v>79</v>
      </c>
      <c r="E628" s="2" t="s">
        <v>241</v>
      </c>
      <c r="F628" s="3" t="n">
        <v>0.00054</v>
      </c>
      <c r="G628" s="3" t="n">
        <f aca="false">SUM($F$2:F628)</f>
        <v>0.883554</v>
      </c>
      <c r="H628" s="4" t="n">
        <v>49.84</v>
      </c>
      <c r="I628" s="5" t="n">
        <v>3.9524</v>
      </c>
      <c r="J628" s="4" t="n">
        <v>12.61</v>
      </c>
      <c r="K628" s="5" t="n">
        <v>2.8664</v>
      </c>
      <c r="L628" s="6" t="n">
        <v>0.4192</v>
      </c>
      <c r="M628" s="5" t="n">
        <f aca="false">IF(AND(N(K628)&gt;0,N(L628)&gt;0),K628/L628,"")</f>
        <v>6.83778625954199</v>
      </c>
      <c r="N628" s="2"/>
    </row>
    <row r="629" customFormat="false" ht="15" hidden="false" customHeight="false" outlineLevel="0" collapsed="false">
      <c r="A629" s="2" t="n">
        <v>628</v>
      </c>
      <c r="B629" s="2" t="s">
        <v>1401</v>
      </c>
      <c r="C629" s="2" t="s">
        <v>1402</v>
      </c>
      <c r="D629" s="2" t="s">
        <v>62</v>
      </c>
      <c r="E629" s="2" t="s">
        <v>189</v>
      </c>
      <c r="F629" s="3" t="n">
        <v>0.000539</v>
      </c>
      <c r="G629" s="3" t="n">
        <f aca="false">SUM($F$2:F629)</f>
        <v>0.884093</v>
      </c>
      <c r="H629" s="4" t="n">
        <v>49.63</v>
      </c>
      <c r="I629" s="5" t="n">
        <v>14.727</v>
      </c>
      <c r="J629" s="4" t="n">
        <v>3.37</v>
      </c>
      <c r="K629" s="5" t="n">
        <v>2.6695</v>
      </c>
      <c r="L629" s="6" t="n">
        <v>0.761</v>
      </c>
      <c r="M629" s="5" t="n">
        <f aca="false">IF(AND(N(K629)&gt;0,N(L629)&gt;0),K629/L629,"")</f>
        <v>3.50788436268068</v>
      </c>
      <c r="N629" s="2"/>
    </row>
    <row r="630" customFormat="false" ht="15" hidden="false" customHeight="false" outlineLevel="0" collapsed="false">
      <c r="A630" s="2" t="n">
        <v>629</v>
      </c>
      <c r="B630" s="2" t="s">
        <v>1403</v>
      </c>
      <c r="C630" s="2" t="s">
        <v>1404</v>
      </c>
      <c r="D630" s="2" t="s">
        <v>86</v>
      </c>
      <c r="E630" s="2" t="s">
        <v>562</v>
      </c>
      <c r="F630" s="3" t="n">
        <v>0.000539</v>
      </c>
      <c r="G630" s="3" t="n">
        <f aca="false">SUM($F$2:F630)</f>
        <v>0.884632</v>
      </c>
      <c r="H630" s="4" t="n">
        <v>12.27</v>
      </c>
      <c r="I630" s="5" t="n">
        <v>17.0417</v>
      </c>
      <c r="J630" s="4" t="n">
        <v>0.72</v>
      </c>
      <c r="K630" s="5" t="n">
        <v>2.5201</v>
      </c>
      <c r="L630" s="6" t="n">
        <v>2.2177</v>
      </c>
      <c r="M630" s="5" t="n">
        <f aca="false">IF(AND(N(K630)&gt;0,N(L630)&gt;0),K630/L630,"")</f>
        <v>1.13635748748704</v>
      </c>
      <c r="N630" s="2"/>
    </row>
    <row r="631" customFormat="false" ht="15" hidden="false" customHeight="false" outlineLevel="0" collapsed="false">
      <c r="A631" s="2" t="n">
        <v>630</v>
      </c>
      <c r="B631" s="2" t="s">
        <v>1405</v>
      </c>
      <c r="C631" s="2" t="s">
        <v>1406</v>
      </c>
      <c r="D631" s="2" t="s">
        <v>93</v>
      </c>
      <c r="E631" s="2" t="s">
        <v>269</v>
      </c>
      <c r="F631" s="3" t="n">
        <v>0.000536</v>
      </c>
      <c r="G631" s="3" t="n">
        <f aca="false">SUM($F$2:F631)</f>
        <v>0.885168</v>
      </c>
      <c r="H631" s="4" t="n">
        <v>41.01</v>
      </c>
      <c r="I631" s="5" t="n">
        <v>22.9106</v>
      </c>
      <c r="J631" s="4" t="n">
        <v>1.79</v>
      </c>
      <c r="K631" s="5" t="n">
        <v>2.477</v>
      </c>
      <c r="L631" s="6" t="n">
        <v>0.2873</v>
      </c>
      <c r="M631" s="5" t="n">
        <f aca="false">IF(AND(N(K631)&gt;0,N(L631)&gt;0),K631/L631,"")</f>
        <v>8.6216498433693</v>
      </c>
      <c r="N631" s="2"/>
    </row>
    <row r="632" customFormat="false" ht="15" hidden="false" customHeight="false" outlineLevel="0" collapsed="false">
      <c r="A632" s="2" t="n">
        <v>631</v>
      </c>
      <c r="B632" s="2" t="s">
        <v>1407</v>
      </c>
      <c r="C632" s="2" t="s">
        <v>1408</v>
      </c>
      <c r="D632" s="2" t="s">
        <v>79</v>
      </c>
      <c r="E632" s="2" t="s">
        <v>80</v>
      </c>
      <c r="F632" s="3" t="n">
        <v>0.000535</v>
      </c>
      <c r="G632" s="3" t="n">
        <f aca="false">SUM($F$2:F632)</f>
        <v>0.885703</v>
      </c>
      <c r="H632" s="4" t="n">
        <v>182.89</v>
      </c>
      <c r="I632" s="5" t="n">
        <v>16.3441</v>
      </c>
      <c r="J632" s="4" t="n">
        <v>11.19</v>
      </c>
      <c r="K632" s="5" t="n">
        <v>3.3038</v>
      </c>
      <c r="L632" s="6" t="n">
        <v>5.4278</v>
      </c>
      <c r="M632" s="5" t="n">
        <f aca="false">IF(AND(N(K632)&gt;0,N(L632)&gt;0),K632/L632,"")</f>
        <v>0.608681233648992</v>
      </c>
      <c r="N632" s="2"/>
    </row>
    <row r="633" customFormat="false" ht="15" hidden="false" customHeight="false" outlineLevel="0" collapsed="false">
      <c r="A633" s="2" t="n">
        <v>632</v>
      </c>
      <c r="B633" s="2" t="s">
        <v>1409</v>
      </c>
      <c r="C633" s="2" t="s">
        <v>1410</v>
      </c>
      <c r="D633" s="2" t="s">
        <v>62</v>
      </c>
      <c r="E633" s="2" t="s">
        <v>189</v>
      </c>
      <c r="F633" s="3" t="n">
        <v>0.000535</v>
      </c>
      <c r="G633" s="3" t="n">
        <f aca="false">SUM($F$2:F633)</f>
        <v>0.886238</v>
      </c>
      <c r="H633" s="4" t="n">
        <v>68.96</v>
      </c>
      <c r="I633" s="5" t="n">
        <v>97.1268</v>
      </c>
      <c r="J633" s="4" t="n">
        <v>0.71</v>
      </c>
      <c r="K633" s="5" t="n">
        <v>2.3707</v>
      </c>
      <c r="L633" s="6" t="n">
        <v>2.0432</v>
      </c>
      <c r="M633" s="5" t="n">
        <f aca="false">IF(AND(N(K633)&gt;0,N(L633)&gt;0),K633/L633,"")</f>
        <v>1.16028778386844</v>
      </c>
      <c r="N633" s="2"/>
    </row>
    <row r="634" customFormat="false" ht="15" hidden="false" customHeight="false" outlineLevel="0" collapsed="false">
      <c r="A634" s="2" t="n">
        <v>633</v>
      </c>
      <c r="B634" s="2" t="s">
        <v>1411</v>
      </c>
      <c r="C634" s="2" t="s">
        <v>1412</v>
      </c>
      <c r="D634" s="2" t="s">
        <v>79</v>
      </c>
      <c r="E634" s="2" t="s">
        <v>227</v>
      </c>
      <c r="F634" s="3" t="n">
        <v>0.000534</v>
      </c>
      <c r="G634" s="3" t="n">
        <f aca="false">SUM($F$2:F634)</f>
        <v>0.886772</v>
      </c>
      <c r="H634" s="4" t="n">
        <v>94.11</v>
      </c>
      <c r="I634" s="5" t="n">
        <v>33.2544</v>
      </c>
      <c r="J634" s="4" t="n">
        <v>2.83</v>
      </c>
      <c r="K634" s="5" t="n">
        <v>3.34</v>
      </c>
      <c r="L634" s="6" t="n">
        <v>4.9962</v>
      </c>
      <c r="M634" s="5" t="n">
        <f aca="false">IF(AND(N(K634)&gt;0,N(L634)&gt;0),K634/L634,"")</f>
        <v>0.668508066130259</v>
      </c>
      <c r="N634" s="2"/>
    </row>
    <row r="635" customFormat="false" ht="15" hidden="false" customHeight="false" outlineLevel="0" collapsed="false">
      <c r="A635" s="2" t="n">
        <v>634</v>
      </c>
      <c r="B635" s="2" t="s">
        <v>1413</v>
      </c>
      <c r="C635" s="2" t="s">
        <v>1414</v>
      </c>
      <c r="D635" s="2" t="s">
        <v>16</v>
      </c>
      <c r="E635" s="2" t="s">
        <v>106</v>
      </c>
      <c r="F635" s="3" t="n">
        <v>0.000534</v>
      </c>
      <c r="G635" s="3" t="n">
        <f aca="false">SUM($F$2:F635)</f>
        <v>0.887306</v>
      </c>
      <c r="H635" s="4" t="n">
        <v>35.5</v>
      </c>
      <c r="I635" s="5" t="n">
        <v>507.1429</v>
      </c>
      <c r="J635" s="4" t="n">
        <v>0.07</v>
      </c>
      <c r="K635" s="5" t="n">
        <v>6.6173</v>
      </c>
      <c r="L635" s="6" t="n">
        <v>6.9955</v>
      </c>
      <c r="M635" s="5" t="n">
        <f aca="false">IF(AND(N(K635)&gt;0,N(L635)&gt;0),K635/L635,"")</f>
        <v>0.94593667357587</v>
      </c>
      <c r="N635" s="2" t="s">
        <v>343</v>
      </c>
    </row>
    <row r="636" customFormat="false" ht="15" hidden="false" customHeight="false" outlineLevel="0" collapsed="false">
      <c r="A636" s="2" t="n">
        <v>635</v>
      </c>
      <c r="B636" s="2" t="s">
        <v>1415</v>
      </c>
      <c r="C636" s="2" t="s">
        <v>1416</v>
      </c>
      <c r="D636" s="2" t="s">
        <v>79</v>
      </c>
      <c r="E636" s="2" t="s">
        <v>80</v>
      </c>
      <c r="F636" s="3" t="n">
        <v>0.000532</v>
      </c>
      <c r="G636" s="3" t="n">
        <f aca="false">SUM($F$2:F636)</f>
        <v>0.887838</v>
      </c>
      <c r="H636" s="4" t="n">
        <v>22.65</v>
      </c>
      <c r="I636" s="5"/>
      <c r="J636" s="4" t="n">
        <v>-2.72</v>
      </c>
      <c r="K636" s="5" t="n">
        <v>3.2732</v>
      </c>
      <c r="L636" s="6" t="n">
        <v>29.6836</v>
      </c>
      <c r="M636" s="5" t="n">
        <f aca="false">IF(AND(N(K636)&gt;0,N(L636)&gt;0),K636/L636,"")</f>
        <v>0.110269643843739</v>
      </c>
      <c r="N636" s="2" t="s">
        <v>50</v>
      </c>
    </row>
    <row r="637" customFormat="false" ht="15" hidden="false" customHeight="false" outlineLevel="0" collapsed="false">
      <c r="A637" s="2" t="n">
        <v>636</v>
      </c>
      <c r="B637" s="2" t="s">
        <v>1417</v>
      </c>
      <c r="C637" s="2" t="s">
        <v>1418</v>
      </c>
      <c r="D637" s="2" t="s">
        <v>93</v>
      </c>
      <c r="E637" s="2" t="s">
        <v>269</v>
      </c>
      <c r="F637" s="3" t="n">
        <v>0.00053</v>
      </c>
      <c r="G637" s="3" t="n">
        <f aca="false">SUM($F$2:F637)</f>
        <v>0.888368</v>
      </c>
      <c r="H637" s="4" t="n">
        <v>91.89</v>
      </c>
      <c r="I637" s="5" t="n">
        <v>17.7052</v>
      </c>
      <c r="J637" s="4" t="n">
        <v>5.19</v>
      </c>
      <c r="K637" s="5" t="n">
        <v>2.453</v>
      </c>
      <c r="L637" s="6" t="n">
        <v>0.6491</v>
      </c>
      <c r="M637" s="5" t="n">
        <f aca="false">IF(AND(N(K637)&gt;0,N(L637)&gt;0),K637/L637,"")</f>
        <v>3.77907872438761</v>
      </c>
      <c r="N637" s="2"/>
    </row>
    <row r="638" customFormat="false" ht="15" hidden="false" customHeight="false" outlineLevel="0" collapsed="false">
      <c r="A638" s="2" t="n">
        <v>637</v>
      </c>
      <c r="B638" s="2" t="s">
        <v>1419</v>
      </c>
      <c r="C638" s="2" t="s">
        <v>1420</v>
      </c>
      <c r="D638" s="2" t="s">
        <v>62</v>
      </c>
      <c r="E638" s="2" t="s">
        <v>189</v>
      </c>
      <c r="F638" s="3" t="n">
        <v>0.000525</v>
      </c>
      <c r="G638" s="3" t="n">
        <f aca="false">SUM($F$2:F638)</f>
        <v>0.888893</v>
      </c>
      <c r="H638" s="4" t="n">
        <v>125.39</v>
      </c>
      <c r="I638" s="5" t="n">
        <v>32.4845</v>
      </c>
      <c r="J638" s="4" t="n">
        <v>3.86</v>
      </c>
      <c r="K638" s="5" t="n">
        <v>2.6175</v>
      </c>
      <c r="L638" s="6" t="n">
        <v>2.3665</v>
      </c>
      <c r="M638" s="5" t="n">
        <f aca="false">IF(AND(N(K638)&gt;0,N(L638)&gt;0),K638/L638,"")</f>
        <v>1.10606380731037</v>
      </c>
      <c r="N638" s="2"/>
    </row>
    <row r="639" customFormat="false" ht="15" hidden="false" customHeight="false" outlineLevel="0" collapsed="false">
      <c r="A639" s="2" t="n">
        <v>638</v>
      </c>
      <c r="B639" s="2" t="s">
        <v>1421</v>
      </c>
      <c r="C639" s="2" t="s">
        <v>1422</v>
      </c>
      <c r="D639" s="2" t="s">
        <v>16</v>
      </c>
      <c r="E639" s="2" t="s">
        <v>160</v>
      </c>
      <c r="F639" s="3" t="n">
        <v>0.000524</v>
      </c>
      <c r="G639" s="3" t="n">
        <f aca="false">SUM($F$2:F639)</f>
        <v>0.889417</v>
      </c>
      <c r="H639" s="4" t="n">
        <v>77.16</v>
      </c>
      <c r="I639" s="5" t="n">
        <v>52.8493</v>
      </c>
      <c r="J639" s="4" t="n">
        <v>1.46</v>
      </c>
      <c r="K639" s="5" t="n">
        <v>2.7716</v>
      </c>
      <c r="L639" s="6" t="n">
        <v>0.9834</v>
      </c>
      <c r="M639" s="5" t="n">
        <f aca="false">IF(AND(N(K639)&gt;0,N(L639)&gt;0),K639/L639,"")</f>
        <v>2.81838519422412</v>
      </c>
      <c r="N639" s="2"/>
    </row>
    <row r="640" customFormat="false" ht="15" hidden="false" customHeight="false" outlineLevel="0" collapsed="false">
      <c r="A640" s="2" t="n">
        <v>639</v>
      </c>
      <c r="B640" s="2" t="s">
        <v>1423</v>
      </c>
      <c r="C640" s="2" t="s">
        <v>1424</v>
      </c>
      <c r="D640" s="2" t="s">
        <v>16</v>
      </c>
      <c r="E640" s="2" t="s">
        <v>106</v>
      </c>
      <c r="F640" s="3" t="n">
        <v>0.000522</v>
      </c>
      <c r="G640" s="3" t="n">
        <f aca="false">SUM($F$2:F640)</f>
        <v>0.889939</v>
      </c>
      <c r="H640" s="4" t="n">
        <v>49.51</v>
      </c>
      <c r="I640" s="5" t="n">
        <v>112.5227</v>
      </c>
      <c r="J640" s="4" t="n">
        <v>0.44</v>
      </c>
      <c r="K640" s="5" t="n">
        <v>2.7663</v>
      </c>
      <c r="L640" s="6" t="n">
        <v>6.1559</v>
      </c>
      <c r="M640" s="5" t="n">
        <f aca="false">IF(AND(N(K640)&gt;0,N(L640)&gt;0),K640/L640,"")</f>
        <v>0.449373771503761</v>
      </c>
      <c r="N640" s="2"/>
    </row>
    <row r="641" customFormat="false" ht="15" hidden="false" customHeight="false" outlineLevel="0" collapsed="false">
      <c r="A641" s="2" t="n">
        <v>640</v>
      </c>
      <c r="B641" s="2" t="s">
        <v>1425</v>
      </c>
      <c r="C641" s="2" t="s">
        <v>1426</v>
      </c>
      <c r="D641" s="2" t="s">
        <v>79</v>
      </c>
      <c r="E641" s="2" t="s">
        <v>80</v>
      </c>
      <c r="F641" s="3" t="n">
        <v>0.000522</v>
      </c>
      <c r="G641" s="3" t="n">
        <f aca="false">SUM($F$2:F641)</f>
        <v>0.890461</v>
      </c>
      <c r="H641" s="4" t="n">
        <v>78.87</v>
      </c>
      <c r="I641" s="5" t="n">
        <v>9.5484</v>
      </c>
      <c r="J641" s="4" t="n">
        <v>8.26</v>
      </c>
      <c r="K641" s="5" t="n">
        <v>2.6645</v>
      </c>
      <c r="L641" s="6" t="n">
        <v>3.2227</v>
      </c>
      <c r="M641" s="5" t="n">
        <f aca="false">IF(AND(N(K641)&gt;0,N(L641)&gt;0),K641/L641,"")</f>
        <v>0.826791199925528</v>
      </c>
      <c r="N641" s="2"/>
    </row>
    <row r="642" customFormat="false" ht="15" hidden="false" customHeight="false" outlineLevel="0" collapsed="false">
      <c r="A642" s="2" t="n">
        <v>641</v>
      </c>
      <c r="B642" s="2" t="s">
        <v>1427</v>
      </c>
      <c r="C642" s="2" t="s">
        <v>1428</v>
      </c>
      <c r="D642" s="2" t="s">
        <v>58</v>
      </c>
      <c r="E642" s="2" t="s">
        <v>59</v>
      </c>
      <c r="F642" s="3" t="n">
        <v>0.000517</v>
      </c>
      <c r="G642" s="3" t="n">
        <f aca="false">SUM($F$2:F642)</f>
        <v>0.890978</v>
      </c>
      <c r="H642" s="4" t="n">
        <v>46.23</v>
      </c>
      <c r="I642" s="5" t="n">
        <v>34.5</v>
      </c>
      <c r="J642" s="4" t="n">
        <v>1.34</v>
      </c>
      <c r="K642" s="5" t="n">
        <v>2.7885</v>
      </c>
      <c r="L642" s="6" t="n">
        <v>0.0895</v>
      </c>
      <c r="M642" s="5" t="n">
        <f aca="false">IF(AND(N(K642)&gt;0,N(L642)&gt;0),K642/L642,"")</f>
        <v>31.1564245810056</v>
      </c>
      <c r="N642" s="2"/>
    </row>
    <row r="643" customFormat="false" ht="15" hidden="false" customHeight="false" outlineLevel="0" collapsed="false">
      <c r="A643" s="2" t="n">
        <v>642</v>
      </c>
      <c r="B643" s="2" t="s">
        <v>1429</v>
      </c>
      <c r="C643" s="2" t="s">
        <v>1430</v>
      </c>
      <c r="D643" s="2" t="s">
        <v>79</v>
      </c>
      <c r="E643" s="2" t="s">
        <v>80</v>
      </c>
      <c r="F643" s="3" t="n">
        <v>0.000517</v>
      </c>
      <c r="G643" s="3" t="n">
        <f aca="false">SUM($F$2:F643)</f>
        <v>0.891495</v>
      </c>
      <c r="H643" s="4" t="n">
        <v>50.28</v>
      </c>
      <c r="I643" s="5" t="n">
        <v>9.4511</v>
      </c>
      <c r="J643" s="4" t="n">
        <v>5.32</v>
      </c>
      <c r="K643" s="5" t="n">
        <v>2.0508</v>
      </c>
      <c r="L643" s="6" t="n">
        <v>3.8555</v>
      </c>
      <c r="M643" s="5" t="n">
        <f aca="false">IF(AND(N(K643)&gt;0,N(L643)&gt;0),K643/L643,"")</f>
        <v>0.531915445467514</v>
      </c>
      <c r="N643" s="2"/>
    </row>
    <row r="644" customFormat="false" ht="15" hidden="false" customHeight="false" outlineLevel="0" collapsed="false">
      <c r="A644" s="2" t="n">
        <v>643</v>
      </c>
      <c r="B644" s="2" t="s">
        <v>1431</v>
      </c>
      <c r="C644" s="2" t="s">
        <v>1432</v>
      </c>
      <c r="D644" s="2" t="s">
        <v>16</v>
      </c>
      <c r="E644" s="2" t="s">
        <v>43</v>
      </c>
      <c r="F644" s="3" t="n">
        <v>0.000517</v>
      </c>
      <c r="G644" s="3" t="n">
        <f aca="false">SUM($F$2:F644)</f>
        <v>0.892012</v>
      </c>
      <c r="H644" s="4" t="n">
        <v>77.75</v>
      </c>
      <c r="I644" s="5" t="n">
        <v>119.6154</v>
      </c>
      <c r="J644" s="4" t="n">
        <v>0.65</v>
      </c>
      <c r="K644" s="5" t="n">
        <v>3.3071</v>
      </c>
      <c r="L644" s="6" t="n">
        <v>3.0926</v>
      </c>
      <c r="M644" s="5" t="n">
        <f aca="false">IF(AND(N(K644)&gt;0,N(L644)&gt;0),K644/L644,"")</f>
        <v>1.06935911530751</v>
      </c>
      <c r="N644" s="2"/>
    </row>
    <row r="645" customFormat="false" ht="15" hidden="false" customHeight="false" outlineLevel="0" collapsed="false">
      <c r="A645" s="2" t="n">
        <v>644</v>
      </c>
      <c r="B645" s="2" t="s">
        <v>1433</v>
      </c>
      <c r="C645" s="2" t="s">
        <v>1434</v>
      </c>
      <c r="D645" s="2" t="s">
        <v>171</v>
      </c>
      <c r="E645" s="2" t="s">
        <v>1435</v>
      </c>
      <c r="F645" s="3" t="n">
        <v>0.000515</v>
      </c>
      <c r="G645" s="3" t="n">
        <f aca="false">SUM($F$2:F645)</f>
        <v>0.892527</v>
      </c>
      <c r="H645" s="4" t="n">
        <v>36.1</v>
      </c>
      <c r="I645" s="5" t="n">
        <v>13.0325</v>
      </c>
      <c r="J645" s="4" t="n">
        <v>2.77</v>
      </c>
      <c r="K645" s="5" t="n">
        <v>3.0235</v>
      </c>
      <c r="L645" s="6" t="n">
        <v>1.5755</v>
      </c>
      <c r="M645" s="5" t="n">
        <f aca="false">IF(AND(N(K645)&gt;0,N(L645)&gt;0),K645/L645,"")</f>
        <v>1.9190733100603</v>
      </c>
      <c r="N645" s="2"/>
    </row>
    <row r="646" customFormat="false" ht="15" hidden="false" customHeight="false" outlineLevel="0" collapsed="false">
      <c r="A646" s="2" t="n">
        <v>645</v>
      </c>
      <c r="B646" s="2" t="s">
        <v>1436</v>
      </c>
      <c r="C646" s="2" t="s">
        <v>1437</v>
      </c>
      <c r="D646" s="2" t="s">
        <v>171</v>
      </c>
      <c r="E646" s="2" t="s">
        <v>399</v>
      </c>
      <c r="F646" s="3" t="n">
        <v>0.000513</v>
      </c>
      <c r="G646" s="3" t="n">
        <f aca="false">SUM($F$2:F646)</f>
        <v>0.89304</v>
      </c>
      <c r="H646" s="4" t="n">
        <v>72.86</v>
      </c>
      <c r="I646" s="5" t="n">
        <v>17.9017</v>
      </c>
      <c r="J646" s="4" t="n">
        <v>4.07</v>
      </c>
      <c r="K646" s="5" t="n">
        <v>2.7502</v>
      </c>
      <c r="L646" s="6" t="n">
        <v>3.6566</v>
      </c>
      <c r="M646" s="5" t="n">
        <f aca="false">IF(AND(N(K646)&gt;0,N(L646)&gt;0),K646/L646,"")</f>
        <v>0.752119455231636</v>
      </c>
      <c r="N646" s="2"/>
    </row>
    <row r="647" customFormat="false" ht="15" hidden="false" customHeight="false" outlineLevel="0" collapsed="false">
      <c r="A647" s="2" t="n">
        <v>646</v>
      </c>
      <c r="B647" s="2" t="s">
        <v>1438</v>
      </c>
      <c r="C647" s="2" t="s">
        <v>1439</v>
      </c>
      <c r="D647" s="2" t="s">
        <v>79</v>
      </c>
      <c r="E647" s="2" t="s">
        <v>227</v>
      </c>
      <c r="F647" s="3" t="n">
        <v>0.000511</v>
      </c>
      <c r="G647" s="3" t="n">
        <f aca="false">SUM($F$2:F647)</f>
        <v>0.893551</v>
      </c>
      <c r="H647" s="4" t="n">
        <v>36.78</v>
      </c>
      <c r="I647" s="5" t="n">
        <v>8.8201</v>
      </c>
      <c r="J647" s="4" t="n">
        <v>4.17</v>
      </c>
      <c r="K647" s="5" t="n">
        <v>2.6112</v>
      </c>
      <c r="L647" s="6" t="n">
        <v>2.0928</v>
      </c>
      <c r="M647" s="5" t="n">
        <f aca="false">IF(AND(N(K647)&gt;0,N(L647)&gt;0),K647/L647,"")</f>
        <v>1.24770642201835</v>
      </c>
      <c r="N647" s="2"/>
    </row>
    <row r="648" customFormat="false" ht="15" hidden="false" customHeight="false" outlineLevel="0" collapsed="false">
      <c r="A648" s="2" t="n">
        <v>647</v>
      </c>
      <c r="B648" s="2" t="s">
        <v>1440</v>
      </c>
      <c r="C648" s="2" t="s">
        <v>1441</v>
      </c>
      <c r="D648" s="2" t="s">
        <v>66</v>
      </c>
      <c r="E648" s="2" t="s">
        <v>235</v>
      </c>
      <c r="F648" s="3" t="n">
        <v>0.00051</v>
      </c>
      <c r="G648" s="3" t="n">
        <f aca="false">SUM($F$2:F648)</f>
        <v>0.894061</v>
      </c>
      <c r="H648" s="4" t="n">
        <v>36.76</v>
      </c>
      <c r="I648" s="5" t="n">
        <v>6.22</v>
      </c>
      <c r="J648" s="4" t="n">
        <v>5.91</v>
      </c>
      <c r="K648" s="5" t="n">
        <v>2.7373</v>
      </c>
      <c r="L648" s="6" t="n">
        <v>1.1496</v>
      </c>
      <c r="M648" s="5" t="n">
        <f aca="false">IF(AND(N(K648)&gt;0,N(L648)&gt;0),K648/L648,"")</f>
        <v>2.38108907446068</v>
      </c>
      <c r="N648" s="2"/>
    </row>
    <row r="649" customFormat="false" ht="15" hidden="false" customHeight="false" outlineLevel="0" collapsed="false">
      <c r="A649" s="2" t="n">
        <v>648</v>
      </c>
      <c r="B649" s="2" t="s">
        <v>1442</v>
      </c>
      <c r="C649" s="2" t="s">
        <v>1443</v>
      </c>
      <c r="D649" s="2" t="s">
        <v>33</v>
      </c>
      <c r="E649" s="2" t="s">
        <v>46</v>
      </c>
      <c r="F649" s="3" t="n">
        <v>0.000509</v>
      </c>
      <c r="G649" s="3" t="n">
        <f aca="false">SUM($F$2:F649)</f>
        <v>0.89457</v>
      </c>
      <c r="H649" s="4" t="n">
        <v>28.37</v>
      </c>
      <c r="I649" s="5"/>
      <c r="J649" s="4" t="n">
        <v>-12.42</v>
      </c>
      <c r="K649" s="5" t="n">
        <v>2.6413</v>
      </c>
      <c r="L649" s="6" t="n">
        <v>0.7843</v>
      </c>
      <c r="M649" s="5" t="n">
        <f aca="false">IF(AND(N(K649)&gt;0,N(L649)&gt;0),K649/L649,"")</f>
        <v>3.36771643503761</v>
      </c>
      <c r="N649" s="2" t="s">
        <v>50</v>
      </c>
    </row>
    <row r="650" customFormat="false" ht="15" hidden="false" customHeight="false" outlineLevel="0" collapsed="false">
      <c r="A650" s="2" t="n">
        <v>649</v>
      </c>
      <c r="B650" s="2" t="s">
        <v>1444</v>
      </c>
      <c r="C650" s="2" t="s">
        <v>1445</v>
      </c>
      <c r="D650" s="2" t="s">
        <v>79</v>
      </c>
      <c r="E650" s="2" t="s">
        <v>227</v>
      </c>
      <c r="F650" s="3" t="n">
        <v>0.000509</v>
      </c>
      <c r="G650" s="3" t="n">
        <f aca="false">SUM($F$2:F650)</f>
        <v>0.895079</v>
      </c>
      <c r="H650" s="4" t="n">
        <v>47.45</v>
      </c>
      <c r="I650" s="5"/>
      <c r="J650" s="4" t="n">
        <v>-7.7</v>
      </c>
      <c r="K650" s="5" t="n">
        <v>6.125</v>
      </c>
      <c r="L650" s="6" t="n">
        <v>3.05</v>
      </c>
      <c r="M650" s="5" t="n">
        <f aca="false">IF(AND(N(K650)&gt;0,N(L650)&gt;0),K650/L650,"")</f>
        <v>2.00819672131148</v>
      </c>
      <c r="N650" s="2" t="s">
        <v>50</v>
      </c>
    </row>
    <row r="651" customFormat="false" ht="15" hidden="false" customHeight="false" outlineLevel="0" collapsed="false">
      <c r="A651" s="2" t="n">
        <v>650</v>
      </c>
      <c r="B651" s="2" t="s">
        <v>1446</v>
      </c>
      <c r="C651" s="2" t="s">
        <v>1447</v>
      </c>
      <c r="D651" s="2" t="s">
        <v>16</v>
      </c>
      <c r="E651" s="2" t="s">
        <v>17</v>
      </c>
      <c r="F651" s="3" t="n">
        <v>0.000506</v>
      </c>
      <c r="G651" s="3" t="n">
        <f aca="false">SUM($F$2:F651)</f>
        <v>0.895585</v>
      </c>
      <c r="H651" s="4" t="n">
        <v>39.37</v>
      </c>
      <c r="I651" s="5" t="n">
        <v>61.5156</v>
      </c>
      <c r="J651" s="4" t="n">
        <v>0.64</v>
      </c>
      <c r="K651" s="5" t="n">
        <v>3.1087</v>
      </c>
      <c r="L651" s="6" t="n">
        <v>0.6501</v>
      </c>
      <c r="M651" s="5" t="n">
        <f aca="false">IF(AND(N(K651)&gt;0,N(L651)&gt;0),K651/L651,"")</f>
        <v>4.78187971081372</v>
      </c>
      <c r="N651" s="2"/>
    </row>
    <row r="652" customFormat="false" ht="15" hidden="false" customHeight="false" outlineLevel="0" collapsed="false">
      <c r="A652" s="2" t="n">
        <v>651</v>
      </c>
      <c r="B652" s="2" t="s">
        <v>1448</v>
      </c>
      <c r="C652" s="2" t="s">
        <v>1449</v>
      </c>
      <c r="D652" s="2" t="s">
        <v>93</v>
      </c>
      <c r="E652" s="2" t="s">
        <v>678</v>
      </c>
      <c r="F652" s="3" t="n">
        <v>0.000505</v>
      </c>
      <c r="G652" s="3" t="n">
        <f aca="false">SUM($F$2:F652)</f>
        <v>0.89609</v>
      </c>
      <c r="H652" s="4" t="n">
        <v>72.58</v>
      </c>
      <c r="I652" s="5" t="n">
        <v>3.2201</v>
      </c>
      <c r="J652" s="4" t="n">
        <v>22.54</v>
      </c>
      <c r="K652" s="5" t="n">
        <v>5.2733</v>
      </c>
      <c r="L652" s="6" t="n">
        <v>1.2868</v>
      </c>
      <c r="M652" s="5" t="n">
        <f aca="false">IF(AND(N(K652)&gt;0,N(L652)&gt;0),K652/L652,"")</f>
        <v>4.09799502642213</v>
      </c>
      <c r="N652" s="2"/>
    </row>
    <row r="653" customFormat="false" ht="15" hidden="false" customHeight="false" outlineLevel="0" collapsed="false">
      <c r="A653" s="2" t="n">
        <v>652</v>
      </c>
      <c r="B653" s="2" t="s">
        <v>1450</v>
      </c>
      <c r="C653" s="2" t="s">
        <v>1451</v>
      </c>
      <c r="D653" s="2" t="s">
        <v>171</v>
      </c>
      <c r="E653" s="2" t="s">
        <v>386</v>
      </c>
      <c r="F653" s="3" t="n">
        <v>0.000504</v>
      </c>
      <c r="G653" s="3" t="n">
        <f aca="false">SUM($F$2:F653)</f>
        <v>0.896594</v>
      </c>
      <c r="H653" s="4" t="n">
        <v>47.26</v>
      </c>
      <c r="I653" s="5" t="n">
        <v>21.1928</v>
      </c>
      <c r="J653" s="4" t="n">
        <v>2.23</v>
      </c>
      <c r="K653" s="5" t="n">
        <v>2.9225</v>
      </c>
      <c r="L653" s="6" t="n">
        <v>2.7718</v>
      </c>
      <c r="M653" s="5" t="n">
        <f aca="false">IF(AND(N(K653)&gt;0,N(L653)&gt;0),K653/L653,"")</f>
        <v>1.0543690020925</v>
      </c>
      <c r="N653" s="2"/>
    </row>
    <row r="654" customFormat="false" ht="15" hidden="false" customHeight="false" outlineLevel="0" collapsed="false">
      <c r="A654" s="2" t="n">
        <v>653</v>
      </c>
      <c r="B654" s="2" t="s">
        <v>1452</v>
      </c>
      <c r="C654" s="2" t="s">
        <v>1453</v>
      </c>
      <c r="D654" s="2" t="s">
        <v>58</v>
      </c>
      <c r="E654" s="2" t="s">
        <v>59</v>
      </c>
      <c r="F654" s="3" t="n">
        <v>0.000503</v>
      </c>
      <c r="G654" s="3" t="n">
        <f aca="false">SUM($F$2:F654)</f>
        <v>0.897097</v>
      </c>
      <c r="H654" s="4" t="n">
        <v>110.7</v>
      </c>
      <c r="I654" s="5" t="n">
        <v>52.7143</v>
      </c>
      <c r="J654" s="4" t="n">
        <v>2.1</v>
      </c>
      <c r="K654" s="5" t="n">
        <v>4.5161</v>
      </c>
      <c r="L654" s="6" t="n">
        <v>1.0284</v>
      </c>
      <c r="M654" s="5" t="n">
        <f aca="false">IF(AND(N(K654)&gt;0,N(L654)&gt;0),K654/L654,"")</f>
        <v>4.39138467522365</v>
      </c>
      <c r="N654" s="2"/>
    </row>
    <row r="655" customFormat="false" ht="15" hidden="false" customHeight="false" outlineLevel="0" collapsed="false">
      <c r="A655" s="2" t="n">
        <v>654</v>
      </c>
      <c r="B655" s="2" t="s">
        <v>1454</v>
      </c>
      <c r="C655" s="2" t="s">
        <v>1455</v>
      </c>
      <c r="D655" s="2" t="s">
        <v>62</v>
      </c>
      <c r="E655" s="2" t="s">
        <v>461</v>
      </c>
      <c r="F655" s="3" t="n">
        <v>0.000503</v>
      </c>
      <c r="G655" s="3" t="n">
        <f aca="false">SUM($F$2:F655)</f>
        <v>0.8976</v>
      </c>
      <c r="H655" s="4" t="n">
        <v>150.94</v>
      </c>
      <c r="I655" s="5" t="n">
        <v>11.1973</v>
      </c>
      <c r="J655" s="4" t="n">
        <v>13.48</v>
      </c>
      <c r="K655" s="5" t="n">
        <v>2.4677</v>
      </c>
      <c r="L655" s="6" t="n">
        <v>0.5967</v>
      </c>
      <c r="M655" s="5" t="n">
        <f aca="false">IF(AND(N(K655)&gt;0,N(L655)&gt;0),K655/L655,"")</f>
        <v>4.13557901793196</v>
      </c>
      <c r="N655" s="2"/>
    </row>
    <row r="656" customFormat="false" ht="15" hidden="false" customHeight="false" outlineLevel="0" collapsed="false">
      <c r="A656" s="2" t="n">
        <v>655</v>
      </c>
      <c r="B656" s="2" t="s">
        <v>1456</v>
      </c>
      <c r="C656" s="2" t="s">
        <v>1457</v>
      </c>
      <c r="D656" s="2" t="s">
        <v>16</v>
      </c>
      <c r="E656" s="2" t="s">
        <v>43</v>
      </c>
      <c r="F656" s="3" t="n">
        <v>0.000502</v>
      </c>
      <c r="G656" s="3" t="n">
        <f aca="false">SUM($F$2:F656)</f>
        <v>0.898102</v>
      </c>
      <c r="H656" s="4" t="n">
        <v>60.62</v>
      </c>
      <c r="I656" s="5"/>
      <c r="J656" s="4" t="n">
        <v>-0.83</v>
      </c>
      <c r="K656" s="5" t="n">
        <v>2.8694</v>
      </c>
      <c r="L656" s="6" t="n">
        <v>5.4907</v>
      </c>
      <c r="M656" s="5" t="n">
        <f aca="false">IF(AND(N(K656)&gt;0,N(L656)&gt;0),K656/L656,"")</f>
        <v>0.522592747737083</v>
      </c>
      <c r="N656" s="2" t="s">
        <v>50</v>
      </c>
    </row>
    <row r="657" customFormat="false" ht="15" hidden="false" customHeight="false" outlineLevel="0" collapsed="false">
      <c r="A657" s="2" t="n">
        <v>656</v>
      </c>
      <c r="B657" s="2" t="s">
        <v>1458</v>
      </c>
      <c r="C657" s="2" t="s">
        <v>1459</v>
      </c>
      <c r="D657" s="2" t="s">
        <v>16</v>
      </c>
      <c r="E657" s="2" t="s">
        <v>148</v>
      </c>
      <c r="F657" s="3" t="n">
        <v>0.0005</v>
      </c>
      <c r="G657" s="3" t="n">
        <f aca="false">SUM($F$2:F657)</f>
        <v>0.898602</v>
      </c>
      <c r="H657" s="4" t="n">
        <v>25.53</v>
      </c>
      <c r="I657" s="5" t="n">
        <v>23.422</v>
      </c>
      <c r="J657" s="4" t="n">
        <v>1.09</v>
      </c>
      <c r="K657" s="5" t="n">
        <v>2.8155</v>
      </c>
      <c r="L657" s="6" t="n">
        <v>5.9793</v>
      </c>
      <c r="M657" s="5" t="n">
        <f aca="false">IF(AND(N(K657)&gt;0,N(L657)&gt;0),K657/L657,"")</f>
        <v>0.47087451708394</v>
      </c>
      <c r="N657" s="2"/>
    </row>
    <row r="658" customFormat="false" ht="15" hidden="false" customHeight="false" outlineLevel="0" collapsed="false">
      <c r="A658" s="2" t="n">
        <v>657</v>
      </c>
      <c r="B658" s="2" t="s">
        <v>1460</v>
      </c>
      <c r="C658" s="2" t="s">
        <v>1461</v>
      </c>
      <c r="D658" s="2" t="s">
        <v>79</v>
      </c>
      <c r="E658" s="2" t="s">
        <v>80</v>
      </c>
      <c r="F658" s="3" t="n">
        <v>0.000499</v>
      </c>
      <c r="G658" s="3" t="n">
        <f aca="false">SUM($F$2:F658)</f>
        <v>0.899101</v>
      </c>
      <c r="H658" s="4" t="n">
        <v>51.22</v>
      </c>
      <c r="I658" s="5" t="n">
        <v>12.4623</v>
      </c>
      <c r="J658" s="4" t="n">
        <v>4.11</v>
      </c>
      <c r="K658" s="5" t="n">
        <v>2.6614</v>
      </c>
      <c r="L658" s="6" t="n">
        <v>3.6769</v>
      </c>
      <c r="M658" s="5" t="n">
        <f aca="false">IF(AND(N(K658)&gt;0,N(L658)&gt;0),K658/L658,"")</f>
        <v>0.723816258261035</v>
      </c>
      <c r="N658" s="2"/>
    </row>
    <row r="659" customFormat="false" ht="15" hidden="false" customHeight="false" outlineLevel="0" collapsed="false">
      <c r="A659" s="2" t="n">
        <v>658</v>
      </c>
      <c r="B659" s="2" t="s">
        <v>1462</v>
      </c>
      <c r="C659" s="2" t="s">
        <v>1463</v>
      </c>
      <c r="D659" s="2" t="s">
        <v>79</v>
      </c>
      <c r="E659" s="2" t="s">
        <v>80</v>
      </c>
      <c r="F659" s="3" t="n">
        <v>0.000495</v>
      </c>
      <c r="G659" s="3" t="n">
        <f aca="false">SUM($F$2:F659)</f>
        <v>0.899596</v>
      </c>
      <c r="H659" s="4" t="n">
        <v>75.9</v>
      </c>
      <c r="I659" s="5" t="n">
        <v>9.4994</v>
      </c>
      <c r="J659" s="4" t="n">
        <v>7.99</v>
      </c>
      <c r="K659" s="5" t="n">
        <v>1.5767</v>
      </c>
      <c r="L659" s="6" t="n">
        <v>2.0966</v>
      </c>
      <c r="M659" s="5" t="n">
        <f aca="false">IF(AND(N(K659)&gt;0,N(L659)&gt;0),K659/L659,"")</f>
        <v>0.752027091481446</v>
      </c>
      <c r="N659" s="2"/>
    </row>
    <row r="660" customFormat="false" ht="15" hidden="false" customHeight="false" outlineLevel="0" collapsed="false">
      <c r="A660" s="2" t="n">
        <v>659</v>
      </c>
      <c r="B660" s="2" t="s">
        <v>1464</v>
      </c>
      <c r="C660" s="2" t="s">
        <v>1465</v>
      </c>
      <c r="D660" s="2" t="s">
        <v>93</v>
      </c>
      <c r="E660" s="2" t="s">
        <v>94</v>
      </c>
      <c r="F660" s="3" t="n">
        <v>0.000494</v>
      </c>
      <c r="G660" s="3" t="n">
        <f aca="false">SUM($F$2:F660)</f>
        <v>0.90009</v>
      </c>
      <c r="H660" s="4" t="n">
        <v>15.46</v>
      </c>
      <c r="I660" s="5" t="n">
        <v>7.9691</v>
      </c>
      <c r="J660" s="4" t="n">
        <v>1.94</v>
      </c>
      <c r="K660" s="5" t="n">
        <v>2.5907</v>
      </c>
      <c r="L660" s="6" t="n">
        <v>0.4506</v>
      </c>
      <c r="M660" s="5" t="n">
        <f aca="false">IF(AND(N(K660)&gt;0,N(L660)&gt;0),K660/L660,"")</f>
        <v>5.74944518419885</v>
      </c>
      <c r="N660" s="2"/>
    </row>
    <row r="661" customFormat="false" ht="15" hidden="false" customHeight="false" outlineLevel="0" collapsed="false">
      <c r="A661" s="2" t="n">
        <v>660</v>
      </c>
      <c r="B661" s="2" t="s">
        <v>1466</v>
      </c>
      <c r="C661" s="2" t="s">
        <v>1467</v>
      </c>
      <c r="D661" s="2" t="s">
        <v>16</v>
      </c>
      <c r="E661" s="2" t="s">
        <v>17</v>
      </c>
      <c r="F661" s="3" t="n">
        <v>0.000493</v>
      </c>
      <c r="G661" s="3" t="n">
        <f aca="false">SUM($F$2:F661)</f>
        <v>0.900583</v>
      </c>
      <c r="H661" s="4" t="n">
        <v>37.61</v>
      </c>
      <c r="I661" s="5" t="n">
        <v>15.7364</v>
      </c>
      <c r="J661" s="4" t="n">
        <v>2.39</v>
      </c>
      <c r="K661" s="5" t="n">
        <v>2.2865</v>
      </c>
      <c r="L661" s="6" t="n">
        <v>2.7479</v>
      </c>
      <c r="M661" s="5" t="n">
        <f aca="false">IF(AND(N(K661)&gt;0,N(L661)&gt;0),K661/L661,"")</f>
        <v>0.832089959605517</v>
      </c>
      <c r="N661" s="2"/>
    </row>
    <row r="662" customFormat="false" ht="15" hidden="false" customHeight="false" outlineLevel="0" collapsed="false">
      <c r="A662" s="2" t="n">
        <v>661</v>
      </c>
      <c r="B662" s="2" t="s">
        <v>1468</v>
      </c>
      <c r="C662" s="2" t="s">
        <v>1469</v>
      </c>
      <c r="D662" s="2" t="s">
        <v>79</v>
      </c>
      <c r="E662" s="2" t="s">
        <v>80</v>
      </c>
      <c r="F662" s="3" t="n">
        <v>0.000492</v>
      </c>
      <c r="G662" s="3" t="n">
        <f aca="false">SUM($F$2:F662)</f>
        <v>0.901075</v>
      </c>
      <c r="H662" s="4" t="n">
        <v>40.52</v>
      </c>
      <c r="I662" s="5" t="n">
        <v>11.848</v>
      </c>
      <c r="J662" s="4" t="n">
        <v>3.42</v>
      </c>
      <c r="K662" s="5" t="n">
        <v>3.7037</v>
      </c>
      <c r="L662" s="6" t="n">
        <v>3.4856</v>
      </c>
      <c r="M662" s="5" t="n">
        <f aca="false">IF(AND(N(K662)&gt;0,N(L662)&gt;0),K662/L662,"")</f>
        <v>1.06257172366307</v>
      </c>
      <c r="N662" s="2"/>
    </row>
    <row r="663" customFormat="false" ht="15" hidden="false" customHeight="false" outlineLevel="0" collapsed="false">
      <c r="A663" s="2" t="n">
        <v>662</v>
      </c>
      <c r="B663" s="2" t="s">
        <v>1470</v>
      </c>
      <c r="C663" s="2" t="s">
        <v>1471</v>
      </c>
      <c r="D663" s="2" t="s">
        <v>79</v>
      </c>
      <c r="E663" s="2" t="s">
        <v>80</v>
      </c>
      <c r="F663" s="3" t="n">
        <v>0.000492</v>
      </c>
      <c r="G663" s="3" t="n">
        <f aca="false">SUM($F$2:F663)</f>
        <v>0.901567</v>
      </c>
      <c r="H663" s="4" t="n">
        <v>32.29</v>
      </c>
      <c r="I663" s="5" t="n">
        <v>10.1861</v>
      </c>
      <c r="J663" s="4" t="n">
        <v>3.17</v>
      </c>
      <c r="K663" s="5" t="n">
        <v>2.3898</v>
      </c>
      <c r="L663" s="6" t="n">
        <v>3.1401</v>
      </c>
      <c r="M663" s="5" t="n">
        <f aca="false">IF(AND(N(K663)&gt;0,N(L663)&gt;0),K663/L663,"")</f>
        <v>0.761058565013853</v>
      </c>
      <c r="N663" s="2"/>
    </row>
    <row r="664" customFormat="false" ht="15" hidden="false" customHeight="false" outlineLevel="0" collapsed="false">
      <c r="A664" s="2" t="n">
        <v>663</v>
      </c>
      <c r="B664" s="2" t="s">
        <v>1472</v>
      </c>
      <c r="C664" s="2" t="s">
        <v>1473</v>
      </c>
      <c r="D664" s="2" t="s">
        <v>58</v>
      </c>
      <c r="E664" s="2" t="s">
        <v>452</v>
      </c>
      <c r="F664" s="3" t="n">
        <v>0.000492</v>
      </c>
      <c r="G664" s="3" t="n">
        <f aca="false">SUM($F$2:F664)</f>
        <v>0.902059</v>
      </c>
      <c r="H664" s="4" t="n">
        <v>57.25</v>
      </c>
      <c r="I664" s="5" t="n">
        <v>31.6298</v>
      </c>
      <c r="J664" s="4" t="n">
        <v>1.81</v>
      </c>
      <c r="K664" s="5" t="n">
        <v>3.3127</v>
      </c>
      <c r="L664" s="6" t="n">
        <v>4.6921</v>
      </c>
      <c r="M664" s="5" t="n">
        <f aca="false">IF(AND(N(K664)&gt;0,N(L664)&gt;0),K664/L664,"")</f>
        <v>0.70601649581211</v>
      </c>
      <c r="N664" s="2"/>
    </row>
    <row r="665" customFormat="false" ht="15" hidden="false" customHeight="false" outlineLevel="0" collapsed="false">
      <c r="A665" s="2" t="n">
        <v>664</v>
      </c>
      <c r="B665" s="2" t="s">
        <v>1474</v>
      </c>
      <c r="C665" s="2" t="s">
        <v>1475</v>
      </c>
      <c r="D665" s="2" t="s">
        <v>62</v>
      </c>
      <c r="E665" s="2" t="s">
        <v>189</v>
      </c>
      <c r="F665" s="3" t="n">
        <v>0.000491</v>
      </c>
      <c r="G665" s="3" t="n">
        <f aca="false">SUM($F$2:F665)</f>
        <v>0.90255</v>
      </c>
      <c r="H665" s="4" t="n">
        <v>92.56</v>
      </c>
      <c r="I665" s="5" t="n">
        <v>18.8898</v>
      </c>
      <c r="J665" s="4" t="n">
        <v>4.9</v>
      </c>
      <c r="K665" s="5" t="n">
        <v>2.2798</v>
      </c>
      <c r="L665" s="6" t="n">
        <v>1.2376</v>
      </c>
      <c r="M665" s="5" t="n">
        <f aca="false">IF(AND(N(K665)&gt;0,N(L665)&gt;0),K665/L665,"")</f>
        <v>1.84211376858436</v>
      </c>
      <c r="N665" s="2"/>
    </row>
    <row r="666" customFormat="false" ht="15" hidden="false" customHeight="false" outlineLevel="0" collapsed="false">
      <c r="A666" s="2" t="n">
        <v>665</v>
      </c>
      <c r="B666" s="2" t="s">
        <v>1476</v>
      </c>
      <c r="C666" s="2" t="s">
        <v>1477</v>
      </c>
      <c r="D666" s="2" t="s">
        <v>33</v>
      </c>
      <c r="E666" s="2" t="s">
        <v>244</v>
      </c>
      <c r="F666" s="3" t="n">
        <v>0.000491</v>
      </c>
      <c r="G666" s="3" t="n">
        <f aca="false">SUM($F$2:F666)</f>
        <v>0.903041</v>
      </c>
      <c r="H666" s="4" t="n">
        <v>13.61</v>
      </c>
      <c r="I666" s="5"/>
      <c r="J666" s="4" t="n">
        <v>-0.04</v>
      </c>
      <c r="K666" s="5" t="n">
        <v>2.9684</v>
      </c>
      <c r="L666" s="6" t="n">
        <v>3.4104</v>
      </c>
      <c r="M666" s="5" t="n">
        <f aca="false">IF(AND(N(K666)&gt;0,N(L666)&gt;0),K666/L666,"")</f>
        <v>0.870396434435843</v>
      </c>
      <c r="N666" s="2" t="s">
        <v>50</v>
      </c>
    </row>
    <row r="667" customFormat="false" ht="15" hidden="false" customHeight="false" outlineLevel="0" collapsed="false">
      <c r="A667" s="2" t="n">
        <v>666</v>
      </c>
      <c r="B667" s="2" t="s">
        <v>1478</v>
      </c>
      <c r="C667" s="2" t="s">
        <v>1479</v>
      </c>
      <c r="D667" s="2" t="s">
        <v>79</v>
      </c>
      <c r="E667" s="2" t="s">
        <v>80</v>
      </c>
      <c r="F667" s="3" t="n">
        <v>0.00049</v>
      </c>
      <c r="G667" s="3" t="n">
        <f aca="false">SUM($F$2:F667)</f>
        <v>0.903531</v>
      </c>
      <c r="H667" s="4" t="n">
        <v>52.24</v>
      </c>
      <c r="I667" s="5" t="n">
        <v>10.3037</v>
      </c>
      <c r="J667" s="4" t="n">
        <v>5.07</v>
      </c>
      <c r="K667" s="5" t="n">
        <v>2.2079</v>
      </c>
      <c r="L667" s="6" t="n">
        <v>3.3908</v>
      </c>
      <c r="M667" s="5" t="n">
        <f aca="false">IF(AND(N(K667)&gt;0,N(L667)&gt;0),K667/L667,"")</f>
        <v>0.651144272737997</v>
      </c>
      <c r="N667" s="2"/>
    </row>
    <row r="668" customFormat="false" ht="15" hidden="false" customHeight="false" outlineLevel="0" collapsed="false">
      <c r="A668" s="2" t="n">
        <v>667</v>
      </c>
      <c r="B668" s="2" t="s">
        <v>1480</v>
      </c>
      <c r="C668" s="2" t="s">
        <v>1481</v>
      </c>
      <c r="D668" s="2" t="s">
        <v>22</v>
      </c>
      <c r="E668" s="2" t="s">
        <v>30</v>
      </c>
      <c r="F668" s="3" t="n">
        <v>0.00049</v>
      </c>
      <c r="G668" s="3" t="n">
        <f aca="false">SUM($F$2:F668)</f>
        <v>0.904021</v>
      </c>
      <c r="H668" s="4" t="n">
        <v>87.68</v>
      </c>
      <c r="I668" s="5" t="n">
        <v>69.5873</v>
      </c>
      <c r="J668" s="4" t="n">
        <v>1.26</v>
      </c>
      <c r="K668" s="5" t="n">
        <v>2.0975</v>
      </c>
      <c r="L668" s="6" t="n">
        <v>3.7419</v>
      </c>
      <c r="M668" s="5" t="n">
        <f aca="false">IF(AND(N(K668)&gt;0,N(L668)&gt;0),K668/L668,"")</f>
        <v>0.560544108607927</v>
      </c>
      <c r="N668" s="2"/>
    </row>
    <row r="669" customFormat="false" ht="15" hidden="false" customHeight="false" outlineLevel="0" collapsed="false">
      <c r="A669" s="2" t="n">
        <v>668</v>
      </c>
      <c r="B669" s="2" t="s">
        <v>1482</v>
      </c>
      <c r="C669" s="2" t="s">
        <v>1483</v>
      </c>
      <c r="D669" s="2" t="s">
        <v>79</v>
      </c>
      <c r="E669" s="2" t="s">
        <v>288</v>
      </c>
      <c r="F669" s="3" t="n">
        <v>0.000489</v>
      </c>
      <c r="G669" s="3" t="n">
        <f aca="false">SUM($F$2:F669)</f>
        <v>0.90451</v>
      </c>
      <c r="H669" s="4" t="n">
        <v>6.2</v>
      </c>
      <c r="I669" s="5" t="n">
        <v>5</v>
      </c>
      <c r="J669" s="4" t="n">
        <v>1.24</v>
      </c>
      <c r="K669" s="5" t="n">
        <v>1.9336</v>
      </c>
      <c r="L669" s="6" t="n">
        <v>0.479</v>
      </c>
      <c r="M669" s="5" t="n">
        <f aca="false">IF(AND(N(K669)&gt;0,N(L669)&gt;0),K669/L669,"")</f>
        <v>4.03674321503132</v>
      </c>
      <c r="N669" s="2"/>
    </row>
    <row r="670" customFormat="false" ht="15" hidden="false" customHeight="false" outlineLevel="0" collapsed="false">
      <c r="A670" s="2" t="n">
        <v>669</v>
      </c>
      <c r="B670" s="2" t="s">
        <v>1484</v>
      </c>
      <c r="C670" s="2" t="s">
        <v>1485</v>
      </c>
      <c r="D670" s="2" t="s">
        <v>26</v>
      </c>
      <c r="E670" s="2" t="s">
        <v>103</v>
      </c>
      <c r="F670" s="3" t="n">
        <v>0.000488</v>
      </c>
      <c r="G670" s="3" t="n">
        <f aca="false">SUM($F$2:F670)</f>
        <v>0.904998</v>
      </c>
      <c r="H670" s="4" t="n">
        <v>13.26</v>
      </c>
      <c r="I670" s="5" t="n">
        <v>165.75</v>
      </c>
      <c r="J670" s="4" t="n">
        <v>0.08</v>
      </c>
      <c r="K670" s="5" t="n">
        <v>5.2165</v>
      </c>
      <c r="L670" s="6" t="n">
        <v>1.2105</v>
      </c>
      <c r="M670" s="5" t="n">
        <f aca="false">IF(AND(N(K670)&gt;0,N(L670)&gt;0),K670/L670,"")</f>
        <v>4.30937629078893</v>
      </c>
      <c r="N670" s="2"/>
    </row>
    <row r="671" customFormat="false" ht="15" hidden="false" customHeight="false" outlineLevel="0" collapsed="false">
      <c r="A671" s="2" t="n">
        <v>670</v>
      </c>
      <c r="B671" s="2" t="s">
        <v>1486</v>
      </c>
      <c r="C671" s="2" t="s">
        <v>1487</v>
      </c>
      <c r="D671" s="2" t="s">
        <v>22</v>
      </c>
      <c r="E671" s="2" t="s">
        <v>112</v>
      </c>
      <c r="F671" s="3" t="n">
        <v>0.000486</v>
      </c>
      <c r="G671" s="3" t="n">
        <f aca="false">SUM($F$2:F671)</f>
        <v>0.905484</v>
      </c>
      <c r="H671" s="4" t="n">
        <v>29.47</v>
      </c>
      <c r="I671" s="5" t="n">
        <v>6.6674</v>
      </c>
      <c r="J671" s="4" t="n">
        <v>4.42</v>
      </c>
      <c r="K671" s="5" t="n">
        <v>2.2512</v>
      </c>
      <c r="L671" s="6" t="n">
        <v>0.9552</v>
      </c>
      <c r="M671" s="5" t="n">
        <f aca="false">IF(AND(N(K671)&gt;0,N(L671)&gt;0),K671/L671,"")</f>
        <v>2.35678391959799</v>
      </c>
      <c r="N671" s="2"/>
    </row>
    <row r="672" customFormat="false" ht="15" hidden="false" customHeight="false" outlineLevel="0" collapsed="false">
      <c r="A672" s="2" t="n">
        <v>671</v>
      </c>
      <c r="B672" s="2" t="s">
        <v>1488</v>
      </c>
      <c r="C672" s="2" t="s">
        <v>1489</v>
      </c>
      <c r="D672" s="2" t="s">
        <v>79</v>
      </c>
      <c r="E672" s="2" t="s">
        <v>80</v>
      </c>
      <c r="F672" s="3" t="n">
        <v>0.000486</v>
      </c>
      <c r="G672" s="3" t="n">
        <f aca="false">SUM($F$2:F672)</f>
        <v>0.90597</v>
      </c>
      <c r="H672" s="4" t="n">
        <v>18.29</v>
      </c>
      <c r="I672" s="5"/>
      <c r="J672" s="4" t="n">
        <v>-0.43</v>
      </c>
      <c r="K672" s="5" t="n">
        <v>2.8976</v>
      </c>
      <c r="L672" s="6" t="n">
        <v>4.1981</v>
      </c>
      <c r="M672" s="5" t="n">
        <f aca="false">IF(AND(N(K672)&gt;0,N(L672)&gt;0),K672/L672,"")</f>
        <v>0.690217002929897</v>
      </c>
      <c r="N672" s="2" t="s">
        <v>50</v>
      </c>
    </row>
    <row r="673" customFormat="false" ht="15" hidden="false" customHeight="false" outlineLevel="0" collapsed="false">
      <c r="A673" s="2" t="n">
        <v>672</v>
      </c>
      <c r="B673" s="2" t="s">
        <v>1490</v>
      </c>
      <c r="C673" s="2" t="s">
        <v>1491</v>
      </c>
      <c r="D673" s="2" t="s">
        <v>33</v>
      </c>
      <c r="E673" s="2" t="s">
        <v>46</v>
      </c>
      <c r="F673" s="3" t="n">
        <v>0.000483</v>
      </c>
      <c r="G673" s="3" t="n">
        <f aca="false">SUM($F$2:F673)</f>
        <v>0.906453</v>
      </c>
      <c r="H673" s="4" t="n">
        <v>12.67</v>
      </c>
      <c r="I673" s="5" t="n">
        <v>97.4615</v>
      </c>
      <c r="J673" s="4" t="n">
        <v>0.13</v>
      </c>
      <c r="K673" s="5" t="n">
        <v>4.8166</v>
      </c>
      <c r="L673" s="6" t="n">
        <v>3.0392</v>
      </c>
      <c r="M673" s="5" t="n">
        <f aca="false">IF(AND(N(K673)&gt;0,N(L673)&gt;0),K673/L673,"")</f>
        <v>1.58482495393525</v>
      </c>
      <c r="N673" s="2"/>
    </row>
    <row r="674" customFormat="false" ht="15" hidden="false" customHeight="false" outlineLevel="0" collapsed="false">
      <c r="A674" s="2" t="n">
        <v>673</v>
      </c>
      <c r="B674" s="2" t="s">
        <v>1492</v>
      </c>
      <c r="C674" s="2" t="s">
        <v>1493</v>
      </c>
      <c r="D674" s="2" t="s">
        <v>79</v>
      </c>
      <c r="E674" s="2" t="s">
        <v>230</v>
      </c>
      <c r="F674" s="3" t="n">
        <v>0.000477</v>
      </c>
      <c r="G674" s="3" t="n">
        <f aca="false">SUM($F$2:F674)</f>
        <v>0.90693</v>
      </c>
      <c r="H674" s="4" t="n">
        <v>57.94</v>
      </c>
      <c r="I674" s="5" t="n">
        <v>9.6246</v>
      </c>
      <c r="J674" s="4" t="n">
        <v>6.02</v>
      </c>
      <c r="K674" s="5" t="n">
        <v>5.1161</v>
      </c>
      <c r="L674" s="6" t="n">
        <v>1.5676</v>
      </c>
      <c r="M674" s="5" t="n">
        <f aca="false">IF(AND(N(K674)&gt;0,N(L674)&gt;0),K674/L674,"")</f>
        <v>3.26365144169431</v>
      </c>
      <c r="N674" s="2"/>
    </row>
    <row r="675" customFormat="false" ht="15" hidden="false" customHeight="false" outlineLevel="0" collapsed="false">
      <c r="A675" s="2" t="n">
        <v>674</v>
      </c>
      <c r="B675" s="2" t="s">
        <v>1494</v>
      </c>
      <c r="C675" s="2" t="s">
        <v>1495</v>
      </c>
      <c r="D675" s="2" t="s">
        <v>93</v>
      </c>
      <c r="E675" s="2" t="s">
        <v>961</v>
      </c>
      <c r="F675" s="3" t="n">
        <v>0.000477</v>
      </c>
      <c r="G675" s="3" t="n">
        <f aca="false">SUM($F$2:F675)</f>
        <v>0.907407</v>
      </c>
      <c r="H675" s="4" t="n">
        <v>86.95</v>
      </c>
      <c r="I675" s="5" t="n">
        <v>10.0753</v>
      </c>
      <c r="J675" s="4" t="n">
        <v>8.63</v>
      </c>
      <c r="K675" s="5" t="n">
        <v>2.1139</v>
      </c>
      <c r="L675" s="6" t="n">
        <v>0.5247</v>
      </c>
      <c r="M675" s="5" t="n">
        <f aca="false">IF(AND(N(K675)&gt;0,N(L675)&gt;0),K675/L675,"")</f>
        <v>4.02877834953307</v>
      </c>
      <c r="N675" s="2"/>
    </row>
    <row r="676" customFormat="false" ht="15" hidden="false" customHeight="false" outlineLevel="0" collapsed="false">
      <c r="A676" s="2" t="n">
        <v>675</v>
      </c>
      <c r="B676" s="2" t="s">
        <v>1496</v>
      </c>
      <c r="C676" s="2" t="s">
        <v>1497</v>
      </c>
      <c r="D676" s="2" t="s">
        <v>33</v>
      </c>
      <c r="E676" s="2" t="s">
        <v>127</v>
      </c>
      <c r="F676" s="3" t="n">
        <v>0.000477</v>
      </c>
      <c r="G676" s="3" t="n">
        <f aca="false">SUM($F$2:F676)</f>
        <v>0.907884</v>
      </c>
      <c r="H676" s="4" t="n">
        <v>19.41</v>
      </c>
      <c r="I676" s="5"/>
      <c r="J676" s="4" t="n">
        <v>-0.39</v>
      </c>
      <c r="K676" s="5" t="n">
        <v>2.4937</v>
      </c>
      <c r="L676" s="6" t="n">
        <v>3.2542</v>
      </c>
      <c r="M676" s="5" t="n">
        <f aca="false">IF(AND(N(K676)&gt;0,N(L676)&gt;0),K676/L676,"")</f>
        <v>0.766302009710528</v>
      </c>
      <c r="N676" s="2" t="s">
        <v>50</v>
      </c>
    </row>
    <row r="677" customFormat="false" ht="15" hidden="false" customHeight="false" outlineLevel="0" collapsed="false">
      <c r="A677" s="2" t="n">
        <v>676</v>
      </c>
      <c r="B677" s="2" t="s">
        <v>1498</v>
      </c>
      <c r="C677" s="2" t="s">
        <v>1499</v>
      </c>
      <c r="D677" s="2" t="s">
        <v>66</v>
      </c>
      <c r="E677" s="2" t="s">
        <v>668</v>
      </c>
      <c r="F677" s="3" t="n">
        <v>0.000477</v>
      </c>
      <c r="G677" s="3" t="n">
        <f aca="false">SUM($F$2:F677)</f>
        <v>0.908361</v>
      </c>
      <c r="H677" s="4" t="n">
        <v>57.47</v>
      </c>
      <c r="I677" s="5"/>
      <c r="J677" s="4" t="n">
        <v>-0.85</v>
      </c>
      <c r="K677" s="5" t="n">
        <v>1.9705</v>
      </c>
      <c r="L677" s="6" t="n">
        <v>1.3703</v>
      </c>
      <c r="M677" s="5" t="n">
        <f aca="false">IF(AND(N(K677)&gt;0,N(L677)&gt;0),K677/L677,"")</f>
        <v>1.43800627599796</v>
      </c>
      <c r="N677" s="2" t="s">
        <v>50</v>
      </c>
    </row>
    <row r="678" customFormat="false" ht="15" hidden="false" customHeight="false" outlineLevel="0" collapsed="false">
      <c r="A678" s="2" t="n">
        <v>677</v>
      </c>
      <c r="B678" s="2" t="s">
        <v>1500</v>
      </c>
      <c r="C678" s="2" t="s">
        <v>1501</v>
      </c>
      <c r="D678" s="2" t="s">
        <v>93</v>
      </c>
      <c r="E678" s="2" t="s">
        <v>678</v>
      </c>
      <c r="F678" s="3" t="n">
        <v>0.000475</v>
      </c>
      <c r="G678" s="3" t="n">
        <f aca="false">SUM($F$2:F678)</f>
        <v>0.908836</v>
      </c>
      <c r="H678" s="4" t="n">
        <v>16.13</v>
      </c>
      <c r="I678" s="5"/>
      <c r="J678" s="4" t="n">
        <v>-6.23</v>
      </c>
      <c r="K678" s="5" t="n">
        <v>2.1657</v>
      </c>
      <c r="L678" s="6" t="n">
        <v>0.3025</v>
      </c>
      <c r="M678" s="5" t="n">
        <f aca="false">IF(AND(N(K678)&gt;0,N(L678)&gt;0),K678/L678,"")</f>
        <v>7.15933884297521</v>
      </c>
      <c r="N678" s="2" t="s">
        <v>50</v>
      </c>
    </row>
    <row r="679" customFormat="false" ht="15" hidden="false" customHeight="false" outlineLevel="0" collapsed="false">
      <c r="A679" s="2" t="n">
        <v>678</v>
      </c>
      <c r="B679" s="2" t="s">
        <v>1502</v>
      </c>
      <c r="C679" s="2" t="s">
        <v>1503</v>
      </c>
      <c r="D679" s="2" t="s">
        <v>26</v>
      </c>
      <c r="E679" s="2" t="s">
        <v>27</v>
      </c>
      <c r="F679" s="3" t="n">
        <v>0.000474</v>
      </c>
      <c r="G679" s="3" t="n">
        <f aca="false">SUM($F$2:F679)</f>
        <v>0.90931</v>
      </c>
      <c r="H679" s="4" t="n">
        <v>56.24</v>
      </c>
      <c r="I679" s="5" t="n">
        <v>63.9091</v>
      </c>
      <c r="J679" s="4" t="n">
        <v>0.88</v>
      </c>
      <c r="K679" s="5" t="n">
        <v>5.6861</v>
      </c>
      <c r="L679" s="6" t="n">
        <v>4.0834</v>
      </c>
      <c r="M679" s="5" t="n">
        <f aca="false">IF(AND(N(K679)&gt;0,N(L679)&gt;0),K679/L679,"")</f>
        <v>1.39249155115835</v>
      </c>
      <c r="N679" s="2"/>
    </row>
    <row r="680" customFormat="false" ht="15" hidden="false" customHeight="false" outlineLevel="0" collapsed="false">
      <c r="A680" s="2" t="n">
        <v>679</v>
      </c>
      <c r="B680" s="2" t="s">
        <v>1504</v>
      </c>
      <c r="C680" s="2" t="s">
        <v>1505</v>
      </c>
      <c r="D680" s="2" t="s">
        <v>93</v>
      </c>
      <c r="E680" s="2" t="s">
        <v>678</v>
      </c>
      <c r="F680" s="3" t="n">
        <v>0.000474</v>
      </c>
      <c r="G680" s="3" t="n">
        <f aca="false">SUM($F$2:F680)</f>
        <v>0.909784</v>
      </c>
      <c r="H680" s="4" t="n">
        <v>50.3</v>
      </c>
      <c r="I680" s="5" t="n">
        <v>17.7739</v>
      </c>
      <c r="J680" s="4" t="n">
        <v>2.83</v>
      </c>
      <c r="K680" s="5" t="n">
        <v>5.13</v>
      </c>
      <c r="L680" s="6" t="n">
        <v>2.5587</v>
      </c>
      <c r="M680" s="5" t="n">
        <f aca="false">IF(AND(N(K680)&gt;0,N(L680)&gt;0),K680/L680,"")</f>
        <v>2.00492437565951</v>
      </c>
      <c r="N680" s="2"/>
    </row>
    <row r="681" customFormat="false" ht="15" hidden="false" customHeight="false" outlineLevel="0" collapsed="false">
      <c r="A681" s="2" t="n">
        <v>680</v>
      </c>
      <c r="B681" s="2" t="s">
        <v>1506</v>
      </c>
      <c r="C681" s="2" t="s">
        <v>1507</v>
      </c>
      <c r="D681" s="2" t="s">
        <v>33</v>
      </c>
      <c r="E681" s="2" t="s">
        <v>34</v>
      </c>
      <c r="F681" s="3" t="n">
        <v>0.000471</v>
      </c>
      <c r="G681" s="3" t="n">
        <f aca="false">SUM($F$2:F681)</f>
        <v>0.910255</v>
      </c>
      <c r="H681" s="4" t="n">
        <v>46.8</v>
      </c>
      <c r="I681" s="5" t="n">
        <v>13.1092</v>
      </c>
      <c r="J681" s="4" t="n">
        <v>3.57</v>
      </c>
      <c r="K681" s="5" t="n">
        <v>2.2171</v>
      </c>
      <c r="L681" s="6" t="n">
        <v>2.0067</v>
      </c>
      <c r="M681" s="5" t="n">
        <f aca="false">IF(AND(N(K681)&gt;0,N(L681)&gt;0),K681/L681,"")</f>
        <v>1.10484875666517</v>
      </c>
      <c r="N681" s="2"/>
    </row>
    <row r="682" customFormat="false" ht="15" hidden="false" customHeight="false" outlineLevel="0" collapsed="false">
      <c r="A682" s="2" t="n">
        <v>681</v>
      </c>
      <c r="B682" s="2" t="s">
        <v>1508</v>
      </c>
      <c r="C682" s="2" t="s">
        <v>1509</v>
      </c>
      <c r="D682" s="2" t="s">
        <v>86</v>
      </c>
      <c r="E682" s="2" t="s">
        <v>442</v>
      </c>
      <c r="F682" s="3" t="n">
        <v>0.000469</v>
      </c>
      <c r="G682" s="3" t="n">
        <f aca="false">SUM($F$2:F682)</f>
        <v>0.910724</v>
      </c>
      <c r="H682" s="4" t="n">
        <v>20</v>
      </c>
      <c r="I682" s="5" t="n">
        <v>37.7358</v>
      </c>
      <c r="J682" s="4" t="n">
        <v>0.53</v>
      </c>
      <c r="K682" s="5" t="n">
        <v>2.7537</v>
      </c>
      <c r="L682" s="6" t="n">
        <v>5.6546</v>
      </c>
      <c r="M682" s="5" t="n">
        <f aca="false">IF(AND(N(K682)&gt;0,N(L682)&gt;0),K682/L682,"")</f>
        <v>0.486984048385385</v>
      </c>
      <c r="N682" s="2"/>
    </row>
    <row r="683" customFormat="false" ht="15" hidden="false" customHeight="false" outlineLevel="0" collapsed="false">
      <c r="A683" s="2" t="n">
        <v>682</v>
      </c>
      <c r="B683" s="2" t="s">
        <v>1510</v>
      </c>
      <c r="C683" s="2" t="s">
        <v>1511</v>
      </c>
      <c r="D683" s="2" t="s">
        <v>171</v>
      </c>
      <c r="E683" s="2" t="s">
        <v>496</v>
      </c>
      <c r="F683" s="3" t="n">
        <v>0.000468</v>
      </c>
      <c r="G683" s="3" t="n">
        <f aca="false">SUM($F$2:F683)</f>
        <v>0.911192</v>
      </c>
      <c r="H683" s="4" t="n">
        <v>131.15</v>
      </c>
      <c r="I683" s="5" t="n">
        <v>20.9505</v>
      </c>
      <c r="J683" s="4" t="n">
        <v>6.26</v>
      </c>
      <c r="K683" s="5" t="n">
        <v>3.1616</v>
      </c>
      <c r="L683" s="6" t="n">
        <v>3.1822</v>
      </c>
      <c r="M683" s="5" t="n">
        <f aca="false">IF(AND(N(K683)&gt;0,N(L683)&gt;0),K683/L683,"")</f>
        <v>0.993526491106782</v>
      </c>
      <c r="N683" s="2"/>
    </row>
    <row r="684" customFormat="false" ht="15" hidden="false" customHeight="false" outlineLevel="0" collapsed="false">
      <c r="A684" s="2" t="n">
        <v>683</v>
      </c>
      <c r="B684" s="2" t="s">
        <v>1512</v>
      </c>
      <c r="C684" s="2" t="s">
        <v>1513</v>
      </c>
      <c r="D684" s="2" t="s">
        <v>86</v>
      </c>
      <c r="E684" s="2" t="s">
        <v>562</v>
      </c>
      <c r="F684" s="3" t="n">
        <v>0.000466</v>
      </c>
      <c r="G684" s="3" t="n">
        <f aca="false">SUM($F$2:F684)</f>
        <v>0.911658</v>
      </c>
      <c r="H684" s="4" t="n">
        <v>11.09</v>
      </c>
      <c r="I684" s="5" t="n">
        <v>50.4091</v>
      </c>
      <c r="J684" s="4" t="n">
        <v>0.22</v>
      </c>
      <c r="K684" s="5" t="n">
        <v>2.0621</v>
      </c>
      <c r="L684" s="6" t="n">
        <v>2.0582</v>
      </c>
      <c r="M684" s="5" t="n">
        <f aca="false">IF(AND(N(K684)&gt;0,N(L684)&gt;0),K684/L684,"")</f>
        <v>1.00189485958605</v>
      </c>
      <c r="N684" s="2"/>
    </row>
    <row r="685" customFormat="false" ht="15" hidden="false" customHeight="false" outlineLevel="0" collapsed="false">
      <c r="A685" s="2" t="n">
        <v>684</v>
      </c>
      <c r="B685" s="2" t="s">
        <v>1514</v>
      </c>
      <c r="C685" s="2" t="s">
        <v>1515</v>
      </c>
      <c r="D685" s="2" t="s">
        <v>33</v>
      </c>
      <c r="E685" s="2" t="s">
        <v>34</v>
      </c>
      <c r="F685" s="3" t="n">
        <v>0.000465</v>
      </c>
      <c r="G685" s="3" t="n">
        <f aca="false">SUM($F$2:F685)</f>
        <v>0.912123</v>
      </c>
      <c r="H685" s="4" t="n">
        <v>42.78</v>
      </c>
      <c r="I685" s="5"/>
      <c r="J685" s="4" t="n">
        <v>-1.92</v>
      </c>
      <c r="K685" s="5" t="n">
        <v>2.4908</v>
      </c>
      <c r="L685" s="6" t="n">
        <v>2.9994</v>
      </c>
      <c r="M685" s="5" t="n">
        <f aca="false">IF(AND(N(K685)&gt;0,N(L685)&gt;0),K685/L685,"")</f>
        <v>0.83043275321731</v>
      </c>
      <c r="N685" s="2" t="s">
        <v>50</v>
      </c>
    </row>
    <row r="686" customFormat="false" ht="15" hidden="false" customHeight="false" outlineLevel="0" collapsed="false">
      <c r="A686" s="2" t="n">
        <v>685</v>
      </c>
      <c r="B686" s="2" t="s">
        <v>1516</v>
      </c>
      <c r="C686" s="2" t="s">
        <v>1517</v>
      </c>
      <c r="D686" s="2" t="s">
        <v>86</v>
      </c>
      <c r="E686" s="2" t="s">
        <v>562</v>
      </c>
      <c r="F686" s="3" t="n">
        <v>0.000464</v>
      </c>
      <c r="G686" s="3" t="n">
        <f aca="false">SUM($F$2:F686)</f>
        <v>0.912587</v>
      </c>
      <c r="H686" s="4" t="n">
        <v>18.23</v>
      </c>
      <c r="I686" s="5"/>
      <c r="J686" s="4" t="n">
        <v>-0.68</v>
      </c>
      <c r="K686" s="5" t="n">
        <v>2.0571</v>
      </c>
      <c r="L686" s="6" t="n">
        <v>1.3709</v>
      </c>
      <c r="M686" s="5" t="n">
        <f aca="false">IF(AND(N(K686)&gt;0,N(L686)&gt;0),K686/L686,"")</f>
        <v>1.50054708585601</v>
      </c>
      <c r="N686" s="2" t="s">
        <v>50</v>
      </c>
    </row>
    <row r="687" customFormat="false" ht="15" hidden="false" customHeight="false" outlineLevel="0" collapsed="false">
      <c r="A687" s="2" t="n">
        <v>686</v>
      </c>
      <c r="B687" s="2" t="s">
        <v>1518</v>
      </c>
      <c r="C687" s="2" t="s">
        <v>1519</v>
      </c>
      <c r="D687" s="2" t="s">
        <v>86</v>
      </c>
      <c r="E687" s="2" t="s">
        <v>442</v>
      </c>
      <c r="F687" s="3" t="n">
        <v>0.000464</v>
      </c>
      <c r="G687" s="3" t="n">
        <f aca="false">SUM($F$2:F687)</f>
        <v>0.913051</v>
      </c>
      <c r="H687" s="4" t="n">
        <v>28.66</v>
      </c>
      <c r="I687" s="5" t="n">
        <v>106.1481</v>
      </c>
      <c r="J687" s="4" t="n">
        <v>0.27</v>
      </c>
      <c r="K687" s="5" t="n">
        <v>3.297</v>
      </c>
      <c r="L687" s="6" t="n">
        <v>14.7135</v>
      </c>
      <c r="M687" s="5" t="n">
        <f aca="false">IF(AND(N(K687)&gt;0,N(L687)&gt;0),K687/L687,"")</f>
        <v>0.224079926598022</v>
      </c>
      <c r="N687" s="2"/>
    </row>
    <row r="688" customFormat="false" ht="15" hidden="false" customHeight="false" outlineLevel="0" collapsed="false">
      <c r="A688" s="2" t="n">
        <v>687</v>
      </c>
      <c r="B688" s="2" t="s">
        <v>1520</v>
      </c>
      <c r="C688" s="2" t="s">
        <v>1521</v>
      </c>
      <c r="D688" s="2" t="s">
        <v>79</v>
      </c>
      <c r="E688" s="2" t="s">
        <v>80</v>
      </c>
      <c r="F688" s="3" t="n">
        <v>0.000464</v>
      </c>
      <c r="G688" s="3" t="n">
        <f aca="false">SUM($F$2:F688)</f>
        <v>0.913515</v>
      </c>
      <c r="H688" s="4" t="n">
        <v>140.24</v>
      </c>
      <c r="I688" s="5" t="n">
        <v>15.3604</v>
      </c>
      <c r="J688" s="4" t="n">
        <v>9.13</v>
      </c>
      <c r="K688" s="5" t="n">
        <v>1.9707</v>
      </c>
      <c r="L688" s="6" t="n">
        <v>6.1484</v>
      </c>
      <c r="M688" s="5" t="n">
        <f aca="false">IF(AND(N(K688)&gt;0,N(L688)&gt;0),K688/L688,"")</f>
        <v>0.320522412334916</v>
      </c>
      <c r="N688" s="2"/>
    </row>
    <row r="689" customFormat="false" ht="15" hidden="false" customHeight="false" outlineLevel="0" collapsed="false">
      <c r="A689" s="2" t="n">
        <v>688</v>
      </c>
      <c r="B689" s="2" t="s">
        <v>1522</v>
      </c>
      <c r="C689" s="2" t="s">
        <v>1523</v>
      </c>
      <c r="D689" s="2" t="s">
        <v>62</v>
      </c>
      <c r="E689" s="2" t="s">
        <v>189</v>
      </c>
      <c r="F689" s="3" t="n">
        <v>0.000463</v>
      </c>
      <c r="G689" s="3" t="n">
        <f aca="false">SUM($F$2:F689)</f>
        <v>0.913978</v>
      </c>
      <c r="H689" s="4" t="n">
        <v>14.53</v>
      </c>
      <c r="I689" s="5"/>
      <c r="J689" s="4" t="n">
        <v>-2.02</v>
      </c>
      <c r="K689" s="5" t="n">
        <v>2.1868</v>
      </c>
      <c r="L689" s="6" t="n">
        <v>0.3772</v>
      </c>
      <c r="M689" s="5" t="n">
        <f aca="false">IF(AND(N(K689)&gt;0,N(L689)&gt;0),K689/L689,"")</f>
        <v>5.79745493107105</v>
      </c>
      <c r="N689" s="2" t="s">
        <v>50</v>
      </c>
    </row>
    <row r="690" customFormat="false" ht="15" hidden="false" customHeight="false" outlineLevel="0" collapsed="false">
      <c r="A690" s="2" t="n">
        <v>689</v>
      </c>
      <c r="B690" s="2" t="s">
        <v>1524</v>
      </c>
      <c r="C690" s="2" t="s">
        <v>1525</v>
      </c>
      <c r="D690" s="2" t="s">
        <v>79</v>
      </c>
      <c r="E690" s="2" t="s">
        <v>80</v>
      </c>
      <c r="F690" s="3" t="n">
        <v>0.000462</v>
      </c>
      <c r="G690" s="3" t="n">
        <f aca="false">SUM($F$2:F690)</f>
        <v>0.91444</v>
      </c>
      <c r="H690" s="4" t="n">
        <v>28.75</v>
      </c>
      <c r="I690" s="5" t="n">
        <v>9.3344</v>
      </c>
      <c r="J690" s="4" t="n">
        <v>3.08</v>
      </c>
      <c r="K690" s="5" t="n">
        <v>2.4097</v>
      </c>
      <c r="L690" s="6" t="n">
        <v>3.1728</v>
      </c>
      <c r="M690" s="5" t="n">
        <f aca="false">IF(AND(N(K690)&gt;0,N(L690)&gt;0),K690/L690,"")</f>
        <v>0.759486888552698</v>
      </c>
      <c r="N690" s="2"/>
    </row>
    <row r="691" customFormat="false" ht="15" hidden="false" customHeight="false" outlineLevel="0" collapsed="false">
      <c r="A691" s="2" t="n">
        <v>690</v>
      </c>
      <c r="B691" s="2" t="s">
        <v>1526</v>
      </c>
      <c r="C691" s="2" t="s">
        <v>1527</v>
      </c>
      <c r="D691" s="2" t="s">
        <v>22</v>
      </c>
      <c r="E691" s="2" t="s">
        <v>40</v>
      </c>
      <c r="F691" s="3" t="n">
        <v>0.00046</v>
      </c>
      <c r="G691" s="3" t="n">
        <f aca="false">SUM($F$2:F691)</f>
        <v>0.9149</v>
      </c>
      <c r="H691" s="4" t="n">
        <v>151.36</v>
      </c>
      <c r="I691" s="5" t="n">
        <v>25.3534</v>
      </c>
      <c r="J691" s="4" t="n">
        <v>5.97</v>
      </c>
      <c r="K691" s="5" t="n">
        <v>1.0801</v>
      </c>
      <c r="L691" s="6" t="n">
        <v>1.983</v>
      </c>
      <c r="M691" s="5" t="n">
        <f aca="false">IF(AND(N(K691)&gt;0,N(L691)&gt;0),K691/L691,"")</f>
        <v>0.544679778113969</v>
      </c>
      <c r="N691" s="2"/>
    </row>
    <row r="692" customFormat="false" ht="15" hidden="false" customHeight="false" outlineLevel="0" collapsed="false">
      <c r="A692" s="2" t="n">
        <v>691</v>
      </c>
      <c r="B692" s="2" t="s">
        <v>1528</v>
      </c>
      <c r="C692" s="2" t="s">
        <v>1529</v>
      </c>
      <c r="D692" s="2" t="s">
        <v>22</v>
      </c>
      <c r="E692" s="2" t="s">
        <v>1530</v>
      </c>
      <c r="F692" s="3" t="n">
        <v>0.000458</v>
      </c>
      <c r="G692" s="3" t="n">
        <f aca="false">SUM($F$2:F692)</f>
        <v>0.915358</v>
      </c>
      <c r="H692" s="4" t="n">
        <v>27.89</v>
      </c>
      <c r="I692" s="5" t="n">
        <v>6.5934</v>
      </c>
      <c r="J692" s="4" t="n">
        <v>4.23</v>
      </c>
      <c r="K692" s="5" t="n">
        <v>2.222</v>
      </c>
      <c r="L692" s="6" t="n">
        <v>1.0879</v>
      </c>
      <c r="M692" s="5" t="n">
        <f aca="false">IF(AND(N(K692)&gt;0,N(L692)&gt;0),K692/L692,"")</f>
        <v>2.04246713852376</v>
      </c>
      <c r="N692" s="2"/>
    </row>
    <row r="693" customFormat="false" ht="15" hidden="false" customHeight="false" outlineLevel="0" collapsed="false">
      <c r="A693" s="2" t="n">
        <v>692</v>
      </c>
      <c r="B693" s="2" t="s">
        <v>1531</v>
      </c>
      <c r="C693" s="2" t="s">
        <v>1532</v>
      </c>
      <c r="D693" s="2" t="s">
        <v>171</v>
      </c>
      <c r="E693" s="2" t="s">
        <v>386</v>
      </c>
      <c r="F693" s="3" t="n">
        <v>0.000457</v>
      </c>
      <c r="G693" s="3" t="n">
        <f aca="false">SUM($F$2:F693)</f>
        <v>0.915815</v>
      </c>
      <c r="H693" s="4" t="n">
        <v>62.61</v>
      </c>
      <c r="I693" s="5" t="n">
        <v>22.0458</v>
      </c>
      <c r="J693" s="4" t="n">
        <v>2.84</v>
      </c>
      <c r="K693" s="5" t="n">
        <v>2.6207</v>
      </c>
      <c r="L693" s="6" t="n">
        <v>3.1631</v>
      </c>
      <c r="M693" s="5" t="n">
        <f aca="false">IF(AND(N(K693)&gt;0,N(L693)&gt;0),K693/L693,"")</f>
        <v>0.828522651828902</v>
      </c>
      <c r="N693" s="2"/>
    </row>
    <row r="694" customFormat="false" ht="15" hidden="false" customHeight="false" outlineLevel="0" collapsed="false">
      <c r="A694" s="2" t="n">
        <v>693</v>
      </c>
      <c r="B694" s="2" t="s">
        <v>1533</v>
      </c>
      <c r="C694" s="2" t="s">
        <v>1534</v>
      </c>
      <c r="D694" s="2" t="s">
        <v>16</v>
      </c>
      <c r="E694" s="2" t="s">
        <v>178</v>
      </c>
      <c r="F694" s="3" t="n">
        <v>0.000457</v>
      </c>
      <c r="G694" s="3" t="n">
        <f aca="false">SUM($F$2:F694)</f>
        <v>0.916272</v>
      </c>
      <c r="H694" s="4" t="n">
        <v>12.2</v>
      </c>
      <c r="I694" s="5" t="n">
        <v>32.973</v>
      </c>
      <c r="J694" s="4" t="n">
        <v>0.37</v>
      </c>
      <c r="K694" s="5" t="n">
        <v>2.6574</v>
      </c>
      <c r="L694" s="6" t="n">
        <v>0.1775</v>
      </c>
      <c r="M694" s="5" t="n">
        <f aca="false">IF(AND(N(K694)&gt;0,N(L694)&gt;0),K694/L694,"")</f>
        <v>14.9712676056338</v>
      </c>
      <c r="N694" s="2"/>
    </row>
    <row r="695" customFormat="false" ht="15" hidden="false" customHeight="false" outlineLevel="0" collapsed="false">
      <c r="A695" s="2" t="n">
        <v>694</v>
      </c>
      <c r="B695" s="2" t="s">
        <v>1535</v>
      </c>
      <c r="C695" s="2" t="s">
        <v>1536</v>
      </c>
      <c r="D695" s="2" t="s">
        <v>16</v>
      </c>
      <c r="E695" s="2" t="s">
        <v>148</v>
      </c>
      <c r="F695" s="3" t="n">
        <v>0.000453</v>
      </c>
      <c r="G695" s="3" t="n">
        <f aca="false">SUM($F$2:F695)</f>
        <v>0.916725</v>
      </c>
      <c r="H695" s="4" t="n">
        <v>53.14</v>
      </c>
      <c r="I695" s="5" t="n">
        <v>23.5133</v>
      </c>
      <c r="J695" s="4" t="n">
        <v>2.26</v>
      </c>
      <c r="K695" s="5" t="n">
        <v>2.6087</v>
      </c>
      <c r="L695" s="6" t="n">
        <v>2.4587</v>
      </c>
      <c r="M695" s="5" t="n">
        <f aca="false">IF(AND(N(K695)&gt;0,N(L695)&gt;0),K695/L695,"")</f>
        <v>1.06100784967666</v>
      </c>
      <c r="N695" s="2"/>
    </row>
    <row r="696" customFormat="false" ht="15" hidden="false" customHeight="false" outlineLevel="0" collapsed="false">
      <c r="A696" s="2" t="n">
        <v>695</v>
      </c>
      <c r="B696" s="2" t="s">
        <v>1537</v>
      </c>
      <c r="C696" s="2" t="s">
        <v>1538</v>
      </c>
      <c r="D696" s="2" t="s">
        <v>86</v>
      </c>
      <c r="E696" s="2" t="s">
        <v>253</v>
      </c>
      <c r="F696" s="3" t="n">
        <v>0.000453</v>
      </c>
      <c r="G696" s="3" t="n">
        <f aca="false">SUM($F$2:F696)</f>
        <v>0.917178</v>
      </c>
      <c r="H696" s="4" t="n">
        <v>13.27</v>
      </c>
      <c r="I696" s="5" t="n">
        <v>165.875</v>
      </c>
      <c r="J696" s="4" t="n">
        <v>0.08</v>
      </c>
      <c r="K696" s="5" t="n">
        <v>2.2366</v>
      </c>
      <c r="L696" s="6" t="n">
        <v>5.5555</v>
      </c>
      <c r="M696" s="5" t="n">
        <f aca="false">IF(AND(N(K696)&gt;0,N(L696)&gt;0),K696/L696,"")</f>
        <v>0.402592025920259</v>
      </c>
      <c r="N696" s="2"/>
    </row>
    <row r="697" customFormat="false" ht="15" hidden="false" customHeight="false" outlineLevel="0" collapsed="false">
      <c r="A697" s="2" t="n">
        <v>696</v>
      </c>
      <c r="B697" s="2" t="s">
        <v>1539</v>
      </c>
      <c r="C697" s="2" t="s">
        <v>1540</v>
      </c>
      <c r="D697" s="2" t="s">
        <v>62</v>
      </c>
      <c r="E697" s="2" t="s">
        <v>189</v>
      </c>
      <c r="F697" s="3" t="n">
        <v>0.000452</v>
      </c>
      <c r="G697" s="3" t="n">
        <f aca="false">SUM($F$2:F697)</f>
        <v>0.91763</v>
      </c>
      <c r="H697" s="4" t="n">
        <v>67.77</v>
      </c>
      <c r="I697" s="5"/>
      <c r="J697" s="4" t="n">
        <v>-9.58</v>
      </c>
      <c r="K697" s="5" t="n">
        <v>8.6608</v>
      </c>
      <c r="L697" s="6" t="n">
        <v>0.7668</v>
      </c>
      <c r="M697" s="5" t="n">
        <f aca="false">IF(AND(N(K697)&gt;0,N(L697)&gt;0),K697/L697,"")</f>
        <v>11.2947313510694</v>
      </c>
      <c r="N697" s="2" t="s">
        <v>50</v>
      </c>
    </row>
    <row r="698" customFormat="false" ht="15" hidden="false" customHeight="false" outlineLevel="0" collapsed="false">
      <c r="A698" s="2" t="n">
        <v>697</v>
      </c>
      <c r="B698" s="2" t="s">
        <v>1541</v>
      </c>
      <c r="C698" s="2" t="s">
        <v>1542</v>
      </c>
      <c r="D698" s="2" t="s">
        <v>16</v>
      </c>
      <c r="E698" s="2" t="s">
        <v>43</v>
      </c>
      <c r="F698" s="3" t="n">
        <v>0.000451</v>
      </c>
      <c r="G698" s="3" t="n">
        <f aca="false">SUM($F$2:F698)</f>
        <v>0.918081</v>
      </c>
      <c r="H698" s="4" t="n">
        <v>44.22</v>
      </c>
      <c r="I698" s="5" t="n">
        <v>116.3684</v>
      </c>
      <c r="J698" s="4" t="n">
        <v>0.38</v>
      </c>
      <c r="K698" s="5" t="n">
        <v>2.6989</v>
      </c>
      <c r="L698" s="6" t="n">
        <v>3.9532</v>
      </c>
      <c r="M698" s="5" t="n">
        <f aca="false">IF(AND(N(K698)&gt;0,N(L698)&gt;0),K698/L698,"")</f>
        <v>0.682712739046848</v>
      </c>
      <c r="N698" s="2"/>
    </row>
    <row r="699" customFormat="false" ht="15" hidden="false" customHeight="false" outlineLevel="0" collapsed="false">
      <c r="A699" s="2" t="n">
        <v>698</v>
      </c>
      <c r="B699" s="2" t="s">
        <v>1543</v>
      </c>
      <c r="C699" s="2" t="s">
        <v>1544</v>
      </c>
      <c r="D699" s="2" t="s">
        <v>93</v>
      </c>
      <c r="E699" s="2" t="s">
        <v>548</v>
      </c>
      <c r="F699" s="3" t="n">
        <v>0.000451</v>
      </c>
      <c r="G699" s="3" t="n">
        <f aca="false">SUM($F$2:F699)</f>
        <v>0.918532</v>
      </c>
      <c r="H699" s="4" t="n">
        <v>22.54</v>
      </c>
      <c r="I699" s="5" t="n">
        <v>28.5316</v>
      </c>
      <c r="J699" s="4" t="n">
        <v>0.79</v>
      </c>
      <c r="K699" s="5" t="n">
        <v>2.2878</v>
      </c>
      <c r="L699" s="6" t="n">
        <v>2.2662</v>
      </c>
      <c r="M699" s="5" t="n">
        <f aca="false">IF(AND(N(K699)&gt;0,N(L699)&gt;0),K699/L699,"")</f>
        <v>1.00953137410643</v>
      </c>
      <c r="N699" s="2"/>
    </row>
    <row r="700" customFormat="false" ht="15" hidden="false" customHeight="false" outlineLevel="0" collapsed="false">
      <c r="A700" s="2" t="n">
        <v>699</v>
      </c>
      <c r="B700" s="2" t="s">
        <v>1545</v>
      </c>
      <c r="C700" s="2" t="s">
        <v>1546</v>
      </c>
      <c r="D700" s="2" t="s">
        <v>16</v>
      </c>
      <c r="E700" s="2" t="s">
        <v>148</v>
      </c>
      <c r="F700" s="3" t="n">
        <v>0.00045</v>
      </c>
      <c r="G700" s="3" t="n">
        <f aca="false">SUM($F$2:F700)</f>
        <v>0.918982</v>
      </c>
      <c r="H700" s="4" t="n">
        <v>39.26</v>
      </c>
      <c r="I700" s="5" t="n">
        <v>26.527</v>
      </c>
      <c r="J700" s="4" t="n">
        <v>1.48</v>
      </c>
      <c r="K700" s="5" t="n">
        <v>5.331</v>
      </c>
      <c r="L700" s="6" t="n">
        <v>5.3273</v>
      </c>
      <c r="M700" s="5" t="n">
        <f aca="false">IF(AND(N(K700)&gt;0,N(L700)&gt;0),K700/L700,"")</f>
        <v>1.0006945356935</v>
      </c>
      <c r="N700" s="2"/>
    </row>
    <row r="701" customFormat="false" ht="15" hidden="false" customHeight="false" outlineLevel="0" collapsed="false">
      <c r="A701" s="2" t="n">
        <v>700</v>
      </c>
      <c r="B701" s="2" t="s">
        <v>1547</v>
      </c>
      <c r="C701" s="2" t="s">
        <v>1548</v>
      </c>
      <c r="D701" s="2" t="s">
        <v>93</v>
      </c>
      <c r="E701" s="2" t="s">
        <v>181</v>
      </c>
      <c r="F701" s="3" t="n">
        <v>0.000449</v>
      </c>
      <c r="G701" s="3" t="n">
        <f aca="false">SUM($F$2:F701)</f>
        <v>0.919431</v>
      </c>
      <c r="H701" s="4" t="n">
        <v>34.24</v>
      </c>
      <c r="I701" s="5" t="n">
        <v>13.8623</v>
      </c>
      <c r="J701" s="4" t="n">
        <v>2.47</v>
      </c>
      <c r="K701" s="5" t="n">
        <v>1.9791</v>
      </c>
      <c r="L701" s="6" t="n">
        <v>1.3737</v>
      </c>
      <c r="M701" s="5" t="n">
        <f aca="false">IF(AND(N(K701)&gt;0,N(L701)&gt;0),K701/L701,"")</f>
        <v>1.44070757807382</v>
      </c>
      <c r="N701" s="2"/>
    </row>
    <row r="702" customFormat="false" ht="15" hidden="false" customHeight="false" outlineLevel="0" collapsed="false">
      <c r="A702" s="2" t="n">
        <v>701</v>
      </c>
      <c r="B702" s="2" t="s">
        <v>1549</v>
      </c>
      <c r="C702" s="2" t="s">
        <v>1550</v>
      </c>
      <c r="D702" s="2" t="s">
        <v>58</v>
      </c>
      <c r="E702" s="2" t="s">
        <v>700</v>
      </c>
      <c r="F702" s="3" t="n">
        <v>0.000449</v>
      </c>
      <c r="G702" s="3" t="n">
        <f aca="false">SUM($F$2:F702)</f>
        <v>0.91988</v>
      </c>
      <c r="H702" s="4" t="n">
        <v>32.33</v>
      </c>
      <c r="I702" s="5" t="n">
        <v>11.7564</v>
      </c>
      <c r="J702" s="4" t="n">
        <v>2.75</v>
      </c>
      <c r="K702" s="5" t="n">
        <v>2.0231</v>
      </c>
      <c r="L702" s="6" t="n">
        <v>2.3563</v>
      </c>
      <c r="M702" s="5" t="n">
        <f aca="false">IF(AND(N(K702)&gt;0,N(L702)&gt;0),K702/L702,"")</f>
        <v>0.858591860119679</v>
      </c>
      <c r="N702" s="2"/>
    </row>
    <row r="703" customFormat="false" ht="15" hidden="false" customHeight="false" outlineLevel="0" collapsed="false">
      <c r="A703" s="2" t="n">
        <v>702</v>
      </c>
      <c r="B703" s="2" t="s">
        <v>1551</v>
      </c>
      <c r="C703" s="2" t="s">
        <v>1552</v>
      </c>
      <c r="D703" s="2" t="s">
        <v>33</v>
      </c>
      <c r="E703" s="2" t="s">
        <v>46</v>
      </c>
      <c r="F703" s="3" t="n">
        <v>0.000448</v>
      </c>
      <c r="G703" s="3" t="n">
        <f aca="false">SUM($F$2:F703)</f>
        <v>0.920328</v>
      </c>
      <c r="H703" s="4" t="n">
        <v>25.77</v>
      </c>
      <c r="I703" s="5" t="n">
        <v>12.3301</v>
      </c>
      <c r="J703" s="4" t="n">
        <v>2.09</v>
      </c>
      <c r="K703" s="5" t="n">
        <v>2.0939</v>
      </c>
      <c r="L703" s="6" t="n">
        <v>1.0734</v>
      </c>
      <c r="M703" s="5" t="n">
        <f aca="false">IF(AND(N(K703)&gt;0,N(L703)&gt;0),K703/L703,"")</f>
        <v>1.95071734674865</v>
      </c>
      <c r="N703" s="2"/>
    </row>
    <row r="704" customFormat="false" ht="15" hidden="false" customHeight="false" outlineLevel="0" collapsed="false">
      <c r="A704" s="2" t="n">
        <v>703</v>
      </c>
      <c r="B704" s="2" t="s">
        <v>1553</v>
      </c>
      <c r="C704" s="2" t="s">
        <v>1554</v>
      </c>
      <c r="D704" s="2" t="s">
        <v>93</v>
      </c>
      <c r="E704" s="2" t="s">
        <v>548</v>
      </c>
      <c r="F704" s="3" t="n">
        <v>0.000448</v>
      </c>
      <c r="G704" s="3" t="n">
        <f aca="false">SUM($F$2:F704)</f>
        <v>0.920776</v>
      </c>
      <c r="H704" s="4" t="n">
        <v>81.92</v>
      </c>
      <c r="I704" s="5" t="n">
        <v>22.2609</v>
      </c>
      <c r="J704" s="4" t="n">
        <v>3.68</v>
      </c>
      <c r="K704" s="5" t="n">
        <v>4.7845</v>
      </c>
      <c r="L704" s="6" t="n">
        <v>1.7669</v>
      </c>
      <c r="M704" s="5" t="n">
        <f aca="false">IF(AND(N(K704)&gt;0,N(L704)&gt;0),K704/L704,"")</f>
        <v>2.70784990661611</v>
      </c>
      <c r="N704" s="2"/>
    </row>
    <row r="705" customFormat="false" ht="15" hidden="false" customHeight="false" outlineLevel="0" collapsed="false">
      <c r="A705" s="2" t="n">
        <v>704</v>
      </c>
      <c r="B705" s="2" t="s">
        <v>1555</v>
      </c>
      <c r="C705" s="2" t="s">
        <v>1556</v>
      </c>
      <c r="D705" s="2" t="s">
        <v>16</v>
      </c>
      <c r="E705" s="2" t="s">
        <v>449</v>
      </c>
      <c r="F705" s="3" t="n">
        <v>0.000446</v>
      </c>
      <c r="G705" s="3" t="n">
        <f aca="false">SUM($F$2:F705)</f>
        <v>0.921222</v>
      </c>
      <c r="H705" s="4" t="n">
        <v>72.74</v>
      </c>
      <c r="I705" s="5" t="n">
        <v>57.7302</v>
      </c>
      <c r="J705" s="4" t="n">
        <v>1.26</v>
      </c>
      <c r="K705" s="5" t="n">
        <v>2.7603</v>
      </c>
      <c r="L705" s="6" t="n">
        <v>5.4529</v>
      </c>
      <c r="M705" s="5" t="n">
        <f aca="false">IF(AND(N(K705)&gt;0,N(L705)&gt;0),K705/L705,"")</f>
        <v>0.506207705991307</v>
      </c>
      <c r="N705" s="2"/>
    </row>
    <row r="706" customFormat="false" ht="15" hidden="false" customHeight="false" outlineLevel="0" collapsed="false">
      <c r="A706" s="2" t="n">
        <v>705</v>
      </c>
      <c r="B706" s="2" t="s">
        <v>1557</v>
      </c>
      <c r="C706" s="2" t="s">
        <v>1558</v>
      </c>
      <c r="D706" s="2" t="s">
        <v>86</v>
      </c>
      <c r="E706" s="2" t="s">
        <v>87</v>
      </c>
      <c r="F706" s="3" t="n">
        <v>0.000445</v>
      </c>
      <c r="G706" s="3" t="n">
        <f aca="false">SUM($F$2:F706)</f>
        <v>0.921667</v>
      </c>
      <c r="H706" s="4" t="n">
        <v>12.9</v>
      </c>
      <c r="I706" s="5" t="n">
        <v>44.4828</v>
      </c>
      <c r="J706" s="4" t="n">
        <v>0.29</v>
      </c>
      <c r="K706" s="5" t="n">
        <v>3.0278</v>
      </c>
      <c r="L706" s="6" t="n">
        <v>0.2799</v>
      </c>
      <c r="M706" s="5" t="n">
        <f aca="false">IF(AND(N(K706)&gt;0,N(L706)&gt;0),K706/L706,"")</f>
        <v>10.8174347981422</v>
      </c>
      <c r="N706" s="2"/>
    </row>
    <row r="707" customFormat="false" ht="15" hidden="false" customHeight="false" outlineLevel="0" collapsed="false">
      <c r="A707" s="2" t="n">
        <v>706</v>
      </c>
      <c r="B707" s="2" t="s">
        <v>1559</v>
      </c>
      <c r="C707" s="2" t="s">
        <v>1560</v>
      </c>
      <c r="D707" s="2" t="s">
        <v>79</v>
      </c>
      <c r="E707" s="2" t="s">
        <v>297</v>
      </c>
      <c r="F707" s="3" t="n">
        <v>0.000443</v>
      </c>
      <c r="G707" s="3" t="n">
        <f aca="false">SUM($F$2:F707)</f>
        <v>0.92211</v>
      </c>
      <c r="H707" s="4" t="n">
        <v>38.76</v>
      </c>
      <c r="I707" s="5" t="n">
        <v>14.4089</v>
      </c>
      <c r="J707" s="4" t="n">
        <v>2.69</v>
      </c>
      <c r="K707" s="5" t="n">
        <v>2.2204</v>
      </c>
      <c r="L707" s="6" t="n">
        <v>1.748</v>
      </c>
      <c r="M707" s="5" t="n">
        <f aca="false">IF(AND(N(K707)&gt;0,N(L707)&gt;0),K707/L707,"")</f>
        <v>1.27025171624714</v>
      </c>
      <c r="N707" s="2"/>
    </row>
    <row r="708" customFormat="false" ht="15" hidden="false" customHeight="false" outlineLevel="0" collapsed="false">
      <c r="A708" s="2" t="n">
        <v>707</v>
      </c>
      <c r="B708" s="2" t="s">
        <v>1561</v>
      </c>
      <c r="C708" s="2" t="s">
        <v>1562</v>
      </c>
      <c r="D708" s="2" t="s">
        <v>62</v>
      </c>
      <c r="E708" s="2" t="s">
        <v>1199</v>
      </c>
      <c r="F708" s="3" t="n">
        <v>0.000442</v>
      </c>
      <c r="G708" s="3" t="n">
        <f aca="false">SUM($F$2:F708)</f>
        <v>0.922552</v>
      </c>
      <c r="H708" s="4" t="n">
        <v>175.49</v>
      </c>
      <c r="I708" s="5"/>
      <c r="J708" s="4" t="n">
        <v>-3.6</v>
      </c>
      <c r="K708" s="5" t="n">
        <v>2.225</v>
      </c>
      <c r="L708" s="6" t="n">
        <v>1.0775</v>
      </c>
      <c r="M708" s="5" t="n">
        <f aca="false">IF(AND(N(K708)&gt;0,N(L708)&gt;0),K708/L708,"")</f>
        <v>2.06496519721578</v>
      </c>
      <c r="N708" s="2" t="s">
        <v>50</v>
      </c>
    </row>
    <row r="709" customFormat="false" ht="15" hidden="false" customHeight="false" outlineLevel="0" collapsed="false">
      <c r="A709" s="2" t="n">
        <v>708</v>
      </c>
      <c r="B709" s="2" t="s">
        <v>1563</v>
      </c>
      <c r="C709" s="2" t="s">
        <v>1564</v>
      </c>
      <c r="D709" s="2" t="s">
        <v>22</v>
      </c>
      <c r="E709" s="2" t="s">
        <v>1565</v>
      </c>
      <c r="F709" s="3" t="n">
        <v>0.000442</v>
      </c>
      <c r="G709" s="3" t="n">
        <f aca="false">SUM($F$2:F709)</f>
        <v>0.922994</v>
      </c>
      <c r="H709" s="4" t="n">
        <v>45.77</v>
      </c>
      <c r="I709" s="5" t="n">
        <v>18.9132</v>
      </c>
      <c r="J709" s="4" t="n">
        <v>2.42</v>
      </c>
      <c r="K709" s="5" t="n">
        <v>2.6346</v>
      </c>
      <c r="L709" s="6" t="n">
        <v>1.4613</v>
      </c>
      <c r="M709" s="5" t="n">
        <f aca="false">IF(AND(N(K709)&gt;0,N(L709)&gt;0),K709/L709,"")</f>
        <v>1.80291521248204</v>
      </c>
      <c r="N709" s="2"/>
    </row>
    <row r="710" customFormat="false" ht="15" hidden="false" customHeight="false" outlineLevel="0" collapsed="false">
      <c r="A710" s="2" t="n">
        <v>709</v>
      </c>
      <c r="B710" s="2" t="s">
        <v>1566</v>
      </c>
      <c r="C710" s="2" t="s">
        <v>1567</v>
      </c>
      <c r="D710" s="2" t="s">
        <v>22</v>
      </c>
      <c r="E710" s="2" t="s">
        <v>83</v>
      </c>
      <c r="F710" s="3" t="n">
        <v>0.00044</v>
      </c>
      <c r="G710" s="3" t="n">
        <f aca="false">SUM($F$2:F710)</f>
        <v>0.923434</v>
      </c>
      <c r="H710" s="4" t="n">
        <v>35.29</v>
      </c>
      <c r="I710" s="5" t="n">
        <v>20.0511</v>
      </c>
      <c r="J710" s="4" t="n">
        <v>1.76</v>
      </c>
      <c r="K710" s="5" t="n">
        <v>1.819</v>
      </c>
      <c r="L710" s="6" t="n">
        <v>2.8686</v>
      </c>
      <c r="M710" s="5" t="n">
        <f aca="false">IF(AND(N(K710)&gt;0,N(L710)&gt;0),K710/L710,"")</f>
        <v>0.634107230007669</v>
      </c>
      <c r="N710" s="2"/>
    </row>
    <row r="711" customFormat="false" ht="15" hidden="false" customHeight="false" outlineLevel="0" collapsed="false">
      <c r="A711" s="2" t="n">
        <v>710</v>
      </c>
      <c r="B711" s="2" t="s">
        <v>1568</v>
      </c>
      <c r="C711" s="2" t="s">
        <v>1569</v>
      </c>
      <c r="D711" s="2" t="s">
        <v>26</v>
      </c>
      <c r="E711" s="2" t="s">
        <v>90</v>
      </c>
      <c r="F711" s="3" t="n">
        <v>0.00044</v>
      </c>
      <c r="G711" s="3" t="n">
        <f aca="false">SUM($F$2:F711)</f>
        <v>0.923874</v>
      </c>
      <c r="H711" s="4" t="n">
        <v>35.59</v>
      </c>
      <c r="I711" s="5"/>
      <c r="J711" s="4" t="n">
        <v>-3.17</v>
      </c>
      <c r="K711" s="5" t="n">
        <v>1.8205</v>
      </c>
      <c r="L711" s="6" t="n">
        <v>0.0437</v>
      </c>
      <c r="M711" s="5" t="n">
        <f aca="false">IF(AND(N(K711)&gt;0,N(L711)&gt;0),K711/L711,"")</f>
        <v>41.6590389016018</v>
      </c>
      <c r="N711" s="2" t="s">
        <v>50</v>
      </c>
    </row>
    <row r="712" customFormat="false" ht="15" hidden="false" customHeight="false" outlineLevel="0" collapsed="false">
      <c r="A712" s="2" t="n">
        <v>711</v>
      </c>
      <c r="B712" s="2" t="s">
        <v>1570</v>
      </c>
      <c r="C712" s="2" t="s">
        <v>1571</v>
      </c>
      <c r="D712" s="2" t="s">
        <v>33</v>
      </c>
      <c r="E712" s="2" t="s">
        <v>342</v>
      </c>
      <c r="F712" s="3" t="n">
        <v>0.00044</v>
      </c>
      <c r="G712" s="3" t="n">
        <f aca="false">SUM($F$2:F712)</f>
        <v>0.924314</v>
      </c>
      <c r="H712" s="4" t="n">
        <v>26.86</v>
      </c>
      <c r="I712" s="5" t="n">
        <v>29.1957</v>
      </c>
      <c r="J712" s="4" t="n">
        <v>0.92</v>
      </c>
      <c r="K712" s="5" t="n">
        <v>2.0609</v>
      </c>
      <c r="L712" s="6" t="n">
        <v>1.5723</v>
      </c>
      <c r="M712" s="5" t="n">
        <f aca="false">IF(AND(N(K712)&gt;0,N(L712)&gt;0),K712/L712,"")</f>
        <v>1.31075494498505</v>
      </c>
      <c r="N712" s="2"/>
    </row>
    <row r="713" customFormat="false" ht="15" hidden="false" customHeight="false" outlineLevel="0" collapsed="false">
      <c r="A713" s="2" t="n">
        <v>712</v>
      </c>
      <c r="B713" s="2" t="s">
        <v>1572</v>
      </c>
      <c r="C713" s="2" t="s">
        <v>1573</v>
      </c>
      <c r="D713" s="2" t="s">
        <v>58</v>
      </c>
      <c r="E713" s="2" t="s">
        <v>59</v>
      </c>
      <c r="F713" s="3" t="n">
        <v>0.000439</v>
      </c>
      <c r="G713" s="3" t="n">
        <f aca="false">SUM($F$2:F713)</f>
        <v>0.924753</v>
      </c>
      <c r="H713" s="4" t="n">
        <v>68.48</v>
      </c>
      <c r="I713" s="5" t="n">
        <v>13.2456</v>
      </c>
      <c r="J713" s="4" t="n">
        <v>5.17</v>
      </c>
      <c r="K713" s="5" t="n">
        <v>2.3266</v>
      </c>
      <c r="L713" s="6" t="n">
        <v>0.2127</v>
      </c>
      <c r="M713" s="5" t="n">
        <f aca="false">IF(AND(N(K713)&gt;0,N(L713)&gt;0),K713/L713,"")</f>
        <v>10.9384109073813</v>
      </c>
      <c r="N713" s="2"/>
    </row>
    <row r="714" customFormat="false" ht="15" hidden="false" customHeight="false" outlineLevel="0" collapsed="false">
      <c r="A714" s="2" t="n">
        <v>713</v>
      </c>
      <c r="B714" s="2" t="s">
        <v>1574</v>
      </c>
      <c r="C714" s="2" t="s">
        <v>1575</v>
      </c>
      <c r="D714" s="2" t="s">
        <v>79</v>
      </c>
      <c r="E714" s="2" t="s">
        <v>80</v>
      </c>
      <c r="F714" s="3" t="n">
        <v>0.000437</v>
      </c>
      <c r="G714" s="3" t="n">
        <f aca="false">SUM($F$2:F714)</f>
        <v>0.92519</v>
      </c>
      <c r="H714" s="4" t="n">
        <v>69.72</v>
      </c>
      <c r="I714" s="5" t="n">
        <v>11.505</v>
      </c>
      <c r="J714" s="4" t="n">
        <v>6.06</v>
      </c>
      <c r="K714" s="5" t="n">
        <v>2.5545</v>
      </c>
      <c r="L714" s="6" t="n">
        <v>3.8039</v>
      </c>
      <c r="M714" s="5" t="n">
        <f aca="false">IF(AND(N(K714)&gt;0,N(L714)&gt;0),K714/L714,"")</f>
        <v>0.671547622177239</v>
      </c>
      <c r="N714" s="2"/>
    </row>
    <row r="715" customFormat="false" ht="15" hidden="false" customHeight="false" outlineLevel="0" collapsed="false">
      <c r="A715" s="2" t="n">
        <v>714</v>
      </c>
      <c r="B715" s="2" t="s">
        <v>1576</v>
      </c>
      <c r="C715" s="2" t="s">
        <v>1577</v>
      </c>
      <c r="D715" s="2" t="s">
        <v>79</v>
      </c>
      <c r="E715" s="2" t="s">
        <v>100</v>
      </c>
      <c r="F715" s="3" t="n">
        <v>0.000437</v>
      </c>
      <c r="G715" s="3" t="n">
        <f aca="false">SUM($F$2:F715)</f>
        <v>0.925627</v>
      </c>
      <c r="H715" s="4" t="n">
        <v>25.17</v>
      </c>
      <c r="I715" s="5" t="n">
        <v>6.1995</v>
      </c>
      <c r="J715" s="4" t="n">
        <v>4.06</v>
      </c>
      <c r="K715" s="5" t="n">
        <v>2.9239</v>
      </c>
      <c r="L715" s="6" t="n">
        <v>0.9744</v>
      </c>
      <c r="M715" s="5" t="n">
        <f aca="false">IF(AND(N(K715)&gt;0,N(L715)&gt;0),K715/L715,"")</f>
        <v>3.0007183908046</v>
      </c>
      <c r="N715" s="2"/>
    </row>
    <row r="716" customFormat="false" ht="15" hidden="false" customHeight="false" outlineLevel="0" collapsed="false">
      <c r="A716" s="2" t="n">
        <v>715</v>
      </c>
      <c r="B716" s="2" t="s">
        <v>1578</v>
      </c>
      <c r="C716" s="2" t="s">
        <v>1579</v>
      </c>
      <c r="D716" s="2" t="s">
        <v>62</v>
      </c>
      <c r="E716" s="2" t="s">
        <v>189</v>
      </c>
      <c r="F716" s="3" t="n">
        <v>0.000436</v>
      </c>
      <c r="G716" s="3" t="n">
        <f aca="false">SUM($F$2:F716)</f>
        <v>0.926063</v>
      </c>
      <c r="H716" s="4" t="n">
        <v>66.67</v>
      </c>
      <c r="I716" s="5"/>
      <c r="J716" s="4" t="n">
        <v>-2.22</v>
      </c>
      <c r="K716" s="5" t="n">
        <v>2.0754</v>
      </c>
      <c r="L716" s="6" t="n">
        <v>0.9665</v>
      </c>
      <c r="M716" s="5" t="n">
        <f aca="false">IF(AND(N(K716)&gt;0,N(L716)&gt;0),K716/L716,"")</f>
        <v>2.14733574754268</v>
      </c>
      <c r="N716" s="2" t="s">
        <v>50</v>
      </c>
    </row>
    <row r="717" customFormat="false" ht="15" hidden="false" customHeight="false" outlineLevel="0" collapsed="false">
      <c r="A717" s="2" t="n">
        <v>716</v>
      </c>
      <c r="B717" s="2" t="s">
        <v>1580</v>
      </c>
      <c r="C717" s="2" t="s">
        <v>1581</v>
      </c>
      <c r="D717" s="2" t="s">
        <v>22</v>
      </c>
      <c r="E717" s="2" t="s">
        <v>305</v>
      </c>
      <c r="F717" s="3" t="n">
        <v>0.000436</v>
      </c>
      <c r="G717" s="3" t="n">
        <f aca="false">SUM($F$2:F717)</f>
        <v>0.926499</v>
      </c>
      <c r="H717" s="4" t="n">
        <v>117.26</v>
      </c>
      <c r="I717" s="5"/>
      <c r="J717" s="4" t="n">
        <v>-18.02</v>
      </c>
      <c r="K717" s="5" t="n">
        <v>4.1423</v>
      </c>
      <c r="L717" s="6" t="n">
        <v>0.3537</v>
      </c>
      <c r="M717" s="5" t="n">
        <f aca="false">IF(AND(N(K717)&gt;0,N(L717)&gt;0),K717/L717,"")</f>
        <v>11.71133729149</v>
      </c>
      <c r="N717" s="2" t="s">
        <v>50</v>
      </c>
    </row>
    <row r="718" customFormat="false" ht="15" hidden="false" customHeight="false" outlineLevel="0" collapsed="false">
      <c r="A718" s="2" t="n">
        <v>717</v>
      </c>
      <c r="B718" s="2" t="s">
        <v>1582</v>
      </c>
      <c r="C718" s="2" t="s">
        <v>1583</v>
      </c>
      <c r="D718" s="2" t="s">
        <v>26</v>
      </c>
      <c r="E718" s="2" t="s">
        <v>103</v>
      </c>
      <c r="F718" s="3" t="n">
        <v>0.000435</v>
      </c>
      <c r="G718" s="3" t="n">
        <f aca="false">SUM($F$2:F718)</f>
        <v>0.926934</v>
      </c>
      <c r="H718" s="4" t="n">
        <v>156.16</v>
      </c>
      <c r="I718" s="5" t="n">
        <v>5.9376</v>
      </c>
      <c r="J718" s="4" t="n">
        <v>26.3</v>
      </c>
      <c r="K718" s="5" t="n">
        <v>2.7615</v>
      </c>
      <c r="L718" s="6" t="n">
        <v>2.0276</v>
      </c>
      <c r="M718" s="5" t="n">
        <f aca="false">IF(AND(N(K718)&gt;0,N(L718)&gt;0),K718/L718,"")</f>
        <v>1.36195502071414</v>
      </c>
      <c r="N718" s="2"/>
    </row>
    <row r="719" customFormat="false" ht="15" hidden="false" customHeight="false" outlineLevel="0" collapsed="false">
      <c r="A719" s="2" t="n">
        <v>718</v>
      </c>
      <c r="B719" s="2" t="s">
        <v>1584</v>
      </c>
      <c r="C719" s="2" t="s">
        <v>1585</v>
      </c>
      <c r="D719" s="2" t="s">
        <v>16</v>
      </c>
      <c r="E719" s="2" t="s">
        <v>160</v>
      </c>
      <c r="F719" s="3" t="n">
        <v>0.000433</v>
      </c>
      <c r="G719" s="3" t="n">
        <f aca="false">SUM($F$2:F719)</f>
        <v>0.927367</v>
      </c>
      <c r="H719" s="4" t="n">
        <v>129.85</v>
      </c>
      <c r="I719" s="5" t="n">
        <v>76.8343</v>
      </c>
      <c r="J719" s="4" t="n">
        <v>1.69</v>
      </c>
      <c r="K719" s="5" t="n">
        <v>2.3202</v>
      </c>
      <c r="L719" s="6" t="n">
        <v>2.7794</v>
      </c>
      <c r="M719" s="5" t="n">
        <f aca="false">IF(AND(N(K719)&gt;0,N(L719)&gt;0),K719/L719,"")</f>
        <v>0.834784485860258</v>
      </c>
      <c r="N719" s="2"/>
    </row>
    <row r="720" customFormat="false" ht="15" hidden="false" customHeight="false" outlineLevel="0" collapsed="false">
      <c r="A720" s="2" t="n">
        <v>719</v>
      </c>
      <c r="B720" s="2" t="s">
        <v>1586</v>
      </c>
      <c r="C720" s="2" t="s">
        <v>1587</v>
      </c>
      <c r="D720" s="2" t="s">
        <v>62</v>
      </c>
      <c r="E720" s="2" t="s">
        <v>1588</v>
      </c>
      <c r="F720" s="3" t="n">
        <v>0.000432</v>
      </c>
      <c r="G720" s="3" t="n">
        <f aca="false">SUM($F$2:F720)</f>
        <v>0.927799</v>
      </c>
      <c r="H720" s="4" t="n">
        <v>51.42</v>
      </c>
      <c r="I720" s="5" t="n">
        <v>19.8533</v>
      </c>
      <c r="J720" s="4" t="n">
        <v>2.59</v>
      </c>
      <c r="K720" s="5" t="n">
        <v>2.9937</v>
      </c>
      <c r="L720" s="6" t="n">
        <v>0.8594</v>
      </c>
      <c r="M720" s="5" t="n">
        <f aca="false">IF(AND(N(K720)&gt;0,N(L720)&gt;0),K720/L720,"")</f>
        <v>3.48347684430998</v>
      </c>
      <c r="N720" s="2"/>
    </row>
    <row r="721" customFormat="false" ht="15" hidden="false" customHeight="false" outlineLevel="0" collapsed="false">
      <c r="A721" s="2" t="n">
        <v>720</v>
      </c>
      <c r="B721" s="2" t="s">
        <v>1589</v>
      </c>
      <c r="C721" s="2" t="s">
        <v>1590</v>
      </c>
      <c r="D721" s="2" t="s">
        <v>58</v>
      </c>
      <c r="E721" s="2" t="s">
        <v>761</v>
      </c>
      <c r="F721" s="3" t="n">
        <v>0.000432</v>
      </c>
      <c r="G721" s="3" t="n">
        <f aca="false">SUM($F$2:F721)</f>
        <v>0.928231</v>
      </c>
      <c r="H721" s="4" t="n">
        <v>5.6</v>
      </c>
      <c r="I721" s="5"/>
      <c r="J721" s="4" t="n">
        <v>-0.53</v>
      </c>
      <c r="K721" s="5" t="n">
        <v>2.385</v>
      </c>
      <c r="L721" s="6" t="n">
        <v>0.3292</v>
      </c>
      <c r="M721" s="5" t="n">
        <f aca="false">IF(AND(N(K721)&gt;0,N(L721)&gt;0),K721/L721,"")</f>
        <v>7.24483596597813</v>
      </c>
      <c r="N721" s="2" t="s">
        <v>50</v>
      </c>
    </row>
    <row r="722" customFormat="false" ht="15" hidden="false" customHeight="false" outlineLevel="0" collapsed="false">
      <c r="A722" s="2" t="n">
        <v>721</v>
      </c>
      <c r="B722" s="2" t="s">
        <v>1591</v>
      </c>
      <c r="C722" s="2" t="s">
        <v>1592</v>
      </c>
      <c r="D722" s="2" t="s">
        <v>62</v>
      </c>
      <c r="E722" s="2" t="s">
        <v>189</v>
      </c>
      <c r="F722" s="3" t="n">
        <v>0.000431</v>
      </c>
      <c r="G722" s="3" t="n">
        <f aca="false">SUM($F$2:F722)</f>
        <v>0.928662</v>
      </c>
      <c r="H722" s="4" t="n">
        <v>155.42</v>
      </c>
      <c r="I722" s="5" t="n">
        <v>27.853</v>
      </c>
      <c r="J722" s="4" t="n">
        <v>5.58</v>
      </c>
      <c r="K722" s="5" t="n">
        <v>2.6744</v>
      </c>
      <c r="L722" s="6" t="n">
        <v>1.3539</v>
      </c>
      <c r="M722" s="5" t="n">
        <f aca="false">IF(AND(N(K722)&gt;0,N(L722)&gt;0),K722/L722,"")</f>
        <v>1.97533052662678</v>
      </c>
      <c r="N722" s="2"/>
    </row>
    <row r="723" customFormat="false" ht="15" hidden="false" customHeight="false" outlineLevel="0" collapsed="false">
      <c r="A723" s="2" t="n">
        <v>722</v>
      </c>
      <c r="B723" s="2" t="s">
        <v>1593</v>
      </c>
      <c r="C723" s="2" t="s">
        <v>1594</v>
      </c>
      <c r="D723" s="2" t="s">
        <v>16</v>
      </c>
      <c r="E723" s="2" t="s">
        <v>148</v>
      </c>
      <c r="F723" s="3" t="n">
        <v>0.00043</v>
      </c>
      <c r="G723" s="3" t="n">
        <f aca="false">SUM($F$2:F723)</f>
        <v>0.929092</v>
      </c>
      <c r="H723" s="4" t="n">
        <v>63.37</v>
      </c>
      <c r="I723" s="5" t="n">
        <v>20.9834</v>
      </c>
      <c r="J723" s="4" t="n">
        <v>3.02</v>
      </c>
      <c r="K723" s="5" t="n">
        <v>2.1512</v>
      </c>
      <c r="L723" s="6" t="n">
        <v>0.5556</v>
      </c>
      <c r="M723" s="5" t="n">
        <f aca="false">IF(AND(N(K723)&gt;0,N(L723)&gt;0),K723/L723,"")</f>
        <v>3.87185025197984</v>
      </c>
      <c r="N723" s="2"/>
    </row>
    <row r="724" customFormat="false" ht="15" hidden="false" customHeight="false" outlineLevel="0" collapsed="false">
      <c r="A724" s="2" t="n">
        <v>723</v>
      </c>
      <c r="B724" s="2" t="s">
        <v>1595</v>
      </c>
      <c r="C724" s="2" t="s">
        <v>1596</v>
      </c>
      <c r="D724" s="2" t="s">
        <v>79</v>
      </c>
      <c r="E724" s="2" t="s">
        <v>80</v>
      </c>
      <c r="F724" s="3" t="n">
        <v>0.000429</v>
      </c>
      <c r="G724" s="3" t="n">
        <f aca="false">SUM($F$2:F724)</f>
        <v>0.929521</v>
      </c>
      <c r="H724" s="4" t="n">
        <v>21.03</v>
      </c>
      <c r="I724" s="5" t="n">
        <v>12.8232</v>
      </c>
      <c r="J724" s="4" t="n">
        <v>1.64</v>
      </c>
      <c r="K724" s="5" t="n">
        <v>2.1252</v>
      </c>
      <c r="L724" s="6" t="n">
        <v>4.1911</v>
      </c>
      <c r="M724" s="5" t="n">
        <f aca="false">IF(AND(N(K724)&gt;0,N(L724)&gt;0),K724/L724,"")</f>
        <v>0.507074515043783</v>
      </c>
      <c r="N724" s="2"/>
    </row>
    <row r="725" customFormat="false" ht="15" hidden="false" customHeight="false" outlineLevel="0" collapsed="false">
      <c r="A725" s="2" t="n">
        <v>724</v>
      </c>
      <c r="B725" s="2" t="s">
        <v>1597</v>
      </c>
      <c r="C725" s="2" t="s">
        <v>1598</v>
      </c>
      <c r="D725" s="2" t="s">
        <v>93</v>
      </c>
      <c r="E725" s="2" t="s">
        <v>181</v>
      </c>
      <c r="F725" s="3" t="n">
        <v>0.000428</v>
      </c>
      <c r="G725" s="3" t="n">
        <f aca="false">SUM($F$2:F725)</f>
        <v>0.929949</v>
      </c>
      <c r="H725" s="4" t="n">
        <v>46.21</v>
      </c>
      <c r="I725" s="5"/>
      <c r="J725" s="4" t="n">
        <v>-0.03</v>
      </c>
      <c r="K725" s="5" t="n">
        <v>3.3355</v>
      </c>
      <c r="L725" s="6" t="n">
        <v>0.7594</v>
      </c>
      <c r="M725" s="5" t="n">
        <f aca="false">IF(AND(N(K725)&gt;0,N(L725)&gt;0),K725/L725,"")</f>
        <v>4.39228338161707</v>
      </c>
      <c r="N725" s="2" t="s">
        <v>50</v>
      </c>
    </row>
    <row r="726" customFormat="false" ht="15" hidden="false" customHeight="false" outlineLevel="0" collapsed="false">
      <c r="A726" s="2" t="n">
        <v>725</v>
      </c>
      <c r="B726" s="2" t="s">
        <v>1599</v>
      </c>
      <c r="C726" s="2" t="s">
        <v>1600</v>
      </c>
      <c r="D726" s="2" t="s">
        <v>86</v>
      </c>
      <c r="E726" s="2" t="s">
        <v>1601</v>
      </c>
      <c r="F726" s="3" t="n">
        <v>0.000424</v>
      </c>
      <c r="G726" s="3" t="n">
        <f aca="false">SUM($F$2:F726)</f>
        <v>0.930373</v>
      </c>
      <c r="H726" s="4" t="n">
        <v>64.56</v>
      </c>
      <c r="I726" s="5" t="n">
        <v>30.3099</v>
      </c>
      <c r="J726" s="4" t="n">
        <v>2.13</v>
      </c>
      <c r="K726" s="5" t="n">
        <v>3.6754</v>
      </c>
      <c r="L726" s="6" t="n">
        <v>6.7089</v>
      </c>
      <c r="M726" s="5" t="n">
        <f aca="false">IF(AND(N(K726)&gt;0,N(L726)&gt;0),K726/L726,"")</f>
        <v>0.547839437165556</v>
      </c>
      <c r="N726" s="2"/>
    </row>
    <row r="727" customFormat="false" ht="15" hidden="false" customHeight="false" outlineLevel="0" collapsed="false">
      <c r="A727" s="2" t="n">
        <v>726</v>
      </c>
      <c r="B727" s="2" t="s">
        <v>1602</v>
      </c>
      <c r="C727" s="2" t="s">
        <v>1603</v>
      </c>
      <c r="D727" s="2" t="s">
        <v>66</v>
      </c>
      <c r="E727" s="2" t="s">
        <v>312</v>
      </c>
      <c r="F727" s="3" t="n">
        <v>0.000419</v>
      </c>
      <c r="G727" s="3" t="n">
        <f aca="false">SUM($F$2:F727)</f>
        <v>0.930792</v>
      </c>
      <c r="H727" s="4" t="n">
        <v>47.29</v>
      </c>
      <c r="I727" s="5" t="n">
        <v>12.7466</v>
      </c>
      <c r="J727" s="4" t="n">
        <v>3.71</v>
      </c>
      <c r="K727" s="5" t="n">
        <v>2.3968</v>
      </c>
      <c r="L727" s="6" t="n">
        <v>1.4386</v>
      </c>
      <c r="M727" s="5" t="n">
        <f aca="false">IF(AND(N(K727)&gt;0,N(L727)&gt;0),K727/L727,"")</f>
        <v>1.66606422911164</v>
      </c>
      <c r="N727" s="2"/>
    </row>
    <row r="728" customFormat="false" ht="15" hidden="false" customHeight="false" outlineLevel="0" collapsed="false">
      <c r="A728" s="2" t="n">
        <v>727</v>
      </c>
      <c r="B728" s="2" t="s">
        <v>1604</v>
      </c>
      <c r="C728" s="2" t="s">
        <v>1605</v>
      </c>
      <c r="D728" s="2" t="s">
        <v>33</v>
      </c>
      <c r="E728" s="2" t="s">
        <v>127</v>
      </c>
      <c r="F728" s="3" t="n">
        <v>0.000418</v>
      </c>
      <c r="G728" s="3" t="n">
        <f aca="false">SUM($F$2:F728)</f>
        <v>0.93121</v>
      </c>
      <c r="H728" s="4" t="n">
        <v>18.7</v>
      </c>
      <c r="I728" s="5" t="n">
        <v>32.807</v>
      </c>
      <c r="J728" s="4" t="n">
        <v>0.57</v>
      </c>
      <c r="K728" s="5" t="n">
        <v>5.3365</v>
      </c>
      <c r="L728" s="6" t="n">
        <v>4.388</v>
      </c>
      <c r="M728" s="5" t="n">
        <f aca="false">IF(AND(N(K728)&gt;0,N(L728)&gt;0),K728/L728,"")</f>
        <v>1.21615770282589</v>
      </c>
      <c r="N728" s="2"/>
    </row>
    <row r="729" customFormat="false" ht="15" hidden="false" customHeight="false" outlineLevel="0" collapsed="false">
      <c r="A729" s="2" t="n">
        <v>728</v>
      </c>
      <c r="B729" s="2" t="s">
        <v>1606</v>
      </c>
      <c r="C729" s="2" t="s">
        <v>1607</v>
      </c>
      <c r="D729" s="2" t="s">
        <v>16</v>
      </c>
      <c r="E729" s="2" t="s">
        <v>1608</v>
      </c>
      <c r="F729" s="3" t="n">
        <v>0.000415</v>
      </c>
      <c r="G729" s="3" t="n">
        <f aca="false">SUM($F$2:F729)</f>
        <v>0.931625</v>
      </c>
      <c r="H729" s="4" t="n">
        <v>16.36</v>
      </c>
      <c r="I729" s="5" t="n">
        <v>36.3556</v>
      </c>
      <c r="J729" s="4" t="n">
        <v>0.45</v>
      </c>
      <c r="K729" s="5" t="n">
        <v>1.9353</v>
      </c>
      <c r="L729" s="6" t="n">
        <v>1.2985</v>
      </c>
      <c r="M729" s="5" t="n">
        <f aca="false">IF(AND(N(K729)&gt;0,N(L729)&gt;0),K729/L729,"")</f>
        <v>1.49041201386215</v>
      </c>
      <c r="N729" s="2"/>
    </row>
    <row r="730" customFormat="false" ht="15" hidden="false" customHeight="false" outlineLevel="0" collapsed="false">
      <c r="A730" s="2" t="n">
        <v>729</v>
      </c>
      <c r="B730" s="2" t="s">
        <v>1609</v>
      </c>
      <c r="C730" s="2" t="s">
        <v>1610</v>
      </c>
      <c r="D730" s="2" t="s">
        <v>16</v>
      </c>
      <c r="E730" s="2" t="s">
        <v>178</v>
      </c>
      <c r="F730" s="3" t="n">
        <v>0.000414</v>
      </c>
      <c r="G730" s="3" t="n">
        <f aca="false">SUM($F$2:F730)</f>
        <v>0.932039</v>
      </c>
      <c r="H730" s="4" t="n">
        <v>10.89</v>
      </c>
      <c r="I730" s="5" t="n">
        <v>14.7162</v>
      </c>
      <c r="J730" s="4" t="n">
        <v>0.74</v>
      </c>
      <c r="K730" s="5" t="n">
        <v>1.74</v>
      </c>
      <c r="L730" s="6" t="n">
        <v>0.1394</v>
      </c>
      <c r="M730" s="5" t="n">
        <f aca="false">IF(AND(N(K730)&gt;0,N(L730)&gt;0),K730/L730,"")</f>
        <v>12.4820659971306</v>
      </c>
      <c r="N730" s="2"/>
    </row>
    <row r="731" customFormat="false" ht="15" hidden="false" customHeight="false" outlineLevel="0" collapsed="false">
      <c r="A731" s="2" t="n">
        <v>730</v>
      </c>
      <c r="B731" s="2" t="s">
        <v>1611</v>
      </c>
      <c r="C731" s="2" t="s">
        <v>1612</v>
      </c>
      <c r="D731" s="2" t="s">
        <v>22</v>
      </c>
      <c r="E731" s="2" t="s">
        <v>53</v>
      </c>
      <c r="F731" s="3" t="n">
        <v>0.000413</v>
      </c>
      <c r="G731" s="3" t="n">
        <f aca="false">SUM($F$2:F731)</f>
        <v>0.932452</v>
      </c>
      <c r="H731" s="4" t="n">
        <v>19.72</v>
      </c>
      <c r="I731" s="5"/>
      <c r="J731" s="4" t="n">
        <v>-0.62</v>
      </c>
      <c r="K731" s="5" t="n">
        <v>3.2523</v>
      </c>
      <c r="L731" s="6" t="n">
        <v>0.5341</v>
      </c>
      <c r="M731" s="5" t="n">
        <f aca="false">IF(AND(N(K731)&gt;0,N(L731)&gt;0),K731/L731,"")</f>
        <v>6.08930911814267</v>
      </c>
      <c r="N731" s="2" t="s">
        <v>50</v>
      </c>
    </row>
    <row r="732" customFormat="false" ht="15" hidden="false" customHeight="false" outlineLevel="0" collapsed="false">
      <c r="A732" s="2" t="n">
        <v>731</v>
      </c>
      <c r="B732" s="2" t="s">
        <v>1613</v>
      </c>
      <c r="C732" s="2" t="s">
        <v>1614</v>
      </c>
      <c r="D732" s="2" t="s">
        <v>22</v>
      </c>
      <c r="E732" s="2" t="s">
        <v>659</v>
      </c>
      <c r="F732" s="3" t="n">
        <v>0.000413</v>
      </c>
      <c r="G732" s="3" t="n">
        <f aca="false">SUM($F$2:F732)</f>
        <v>0.932865</v>
      </c>
      <c r="H732" s="4" t="n">
        <v>31.68</v>
      </c>
      <c r="I732" s="5" t="n">
        <v>18.2069</v>
      </c>
      <c r="J732" s="4" t="n">
        <v>1.74</v>
      </c>
      <c r="K732" s="5" t="n">
        <v>1.9373</v>
      </c>
      <c r="L732" s="6" t="n">
        <v>0.5196</v>
      </c>
      <c r="M732" s="5" t="n">
        <f aca="false">IF(AND(N(K732)&gt;0,N(L732)&gt;0),K732/L732,"")</f>
        <v>3.72844495765974</v>
      </c>
      <c r="N732" s="2"/>
    </row>
    <row r="733" customFormat="false" ht="15" hidden="false" customHeight="false" outlineLevel="0" collapsed="false">
      <c r="A733" s="2" t="n">
        <v>732</v>
      </c>
      <c r="B733" s="2" t="s">
        <v>1615</v>
      </c>
      <c r="C733" s="2" t="s">
        <v>1616</v>
      </c>
      <c r="D733" s="2" t="s">
        <v>93</v>
      </c>
      <c r="E733" s="2" t="s">
        <v>285</v>
      </c>
      <c r="F733" s="3" t="n">
        <v>0.000411</v>
      </c>
      <c r="G733" s="3" t="n">
        <f aca="false">SUM($F$2:F733)</f>
        <v>0.933276</v>
      </c>
      <c r="H733" s="4" t="n">
        <v>56.96</v>
      </c>
      <c r="I733" s="5" t="n">
        <v>59.9579</v>
      </c>
      <c r="J733" s="4" t="n">
        <v>0.95</v>
      </c>
      <c r="K733" s="5" t="n">
        <v>2.4368</v>
      </c>
      <c r="L733" s="6" t="n">
        <v>1.5698</v>
      </c>
      <c r="M733" s="5" t="n">
        <f aca="false">IF(AND(N(K733)&gt;0,N(L733)&gt;0),K733/L733,"")</f>
        <v>1.55229965600713</v>
      </c>
      <c r="N733" s="2"/>
    </row>
    <row r="734" customFormat="false" ht="15" hidden="false" customHeight="false" outlineLevel="0" collapsed="false">
      <c r="A734" s="2" t="n">
        <v>733</v>
      </c>
      <c r="B734" s="2" t="s">
        <v>1617</v>
      </c>
      <c r="C734" s="2" t="s">
        <v>1618</v>
      </c>
      <c r="D734" s="2" t="s">
        <v>16</v>
      </c>
      <c r="E734" s="2" t="s">
        <v>148</v>
      </c>
      <c r="F734" s="3" t="n">
        <v>0.000411</v>
      </c>
      <c r="G734" s="3" t="n">
        <f aca="false">SUM($F$2:F734)</f>
        <v>0.933687</v>
      </c>
      <c r="H734" s="4" t="n">
        <v>43.04</v>
      </c>
      <c r="I734" s="5" t="n">
        <v>13.45</v>
      </c>
      <c r="J734" s="4" t="n">
        <v>3.2</v>
      </c>
      <c r="K734" s="5" t="n">
        <v>1.9536</v>
      </c>
      <c r="L734" s="6" t="n">
        <v>1.7015</v>
      </c>
      <c r="M734" s="5" t="n">
        <f aca="false">IF(AND(N(K734)&gt;0,N(L734)&gt;0),K734/L734,"")</f>
        <v>1.14816338524831</v>
      </c>
      <c r="N734" s="2"/>
    </row>
    <row r="735" customFormat="false" ht="15" hidden="false" customHeight="false" outlineLevel="0" collapsed="false">
      <c r="A735" s="2" t="n">
        <v>734</v>
      </c>
      <c r="B735" s="2" t="s">
        <v>1619</v>
      </c>
      <c r="C735" s="2" t="s">
        <v>1620</v>
      </c>
      <c r="D735" s="2" t="s">
        <v>26</v>
      </c>
      <c r="E735" s="2" t="s">
        <v>221</v>
      </c>
      <c r="F735" s="3" t="n">
        <v>0.000409</v>
      </c>
      <c r="G735" s="3" t="n">
        <f aca="false">SUM($F$2:F735)</f>
        <v>0.934096</v>
      </c>
      <c r="H735" s="4" t="n">
        <v>53.24</v>
      </c>
      <c r="I735" s="5" t="n">
        <v>18.6154</v>
      </c>
      <c r="J735" s="4" t="n">
        <v>2.86</v>
      </c>
      <c r="K735" s="5" t="n">
        <v>9.0082</v>
      </c>
      <c r="L735" s="6" t="n">
        <v>4.7768</v>
      </c>
      <c r="M735" s="5" t="n">
        <f aca="false">IF(AND(N(K735)&gt;0,N(L735)&gt;0),K735/L735,"")</f>
        <v>1.88582314520181</v>
      </c>
      <c r="N735" s="2"/>
    </row>
    <row r="736" customFormat="false" ht="15" hidden="false" customHeight="false" outlineLevel="0" collapsed="false">
      <c r="A736" s="2" t="n">
        <v>735</v>
      </c>
      <c r="B736" s="2" t="s">
        <v>1621</v>
      </c>
      <c r="C736" s="2" t="s">
        <v>1622</v>
      </c>
      <c r="D736" s="2" t="s">
        <v>86</v>
      </c>
      <c r="E736" s="2" t="s">
        <v>562</v>
      </c>
      <c r="F736" s="3" t="n">
        <v>0.000408</v>
      </c>
      <c r="G736" s="3" t="n">
        <f aca="false">SUM($F$2:F736)</f>
        <v>0.934504</v>
      </c>
      <c r="H736" s="4" t="n">
        <v>17.86</v>
      </c>
      <c r="I736" s="5"/>
      <c r="J736" s="4" t="n">
        <v>-0.07</v>
      </c>
      <c r="K736" s="5" t="n">
        <v>1.7669</v>
      </c>
      <c r="L736" s="6" t="n">
        <v>1.6167</v>
      </c>
      <c r="M736" s="5" t="n">
        <f aca="false">IF(AND(N(K736)&gt;0,N(L736)&gt;0),K736/L736,"")</f>
        <v>1.09290530092163</v>
      </c>
      <c r="N736" s="2" t="s">
        <v>50</v>
      </c>
    </row>
    <row r="737" customFormat="false" ht="15" hidden="false" customHeight="false" outlineLevel="0" collapsed="false">
      <c r="A737" s="2" t="n">
        <v>736</v>
      </c>
      <c r="B737" s="2" t="s">
        <v>1623</v>
      </c>
      <c r="C737" s="2" t="s">
        <v>1624</v>
      </c>
      <c r="D737" s="2" t="s">
        <v>33</v>
      </c>
      <c r="E737" s="2" t="s">
        <v>329</v>
      </c>
      <c r="F737" s="3" t="n">
        <v>0.000407</v>
      </c>
      <c r="G737" s="3" t="n">
        <f aca="false">SUM($F$2:F737)</f>
        <v>0.934911</v>
      </c>
      <c r="H737" s="4" t="n">
        <v>9.44</v>
      </c>
      <c r="I737" s="5"/>
      <c r="J737" s="4" t="n">
        <v>-2.73</v>
      </c>
      <c r="K737" s="5" t="n">
        <v>1.8819</v>
      </c>
      <c r="L737" s="6" t="n">
        <v>0.5166</v>
      </c>
      <c r="M737" s="5" t="n">
        <f aca="false">IF(AND(N(K737)&gt;0,N(L737)&gt;0),K737/L737,"")</f>
        <v>3.64285714285714</v>
      </c>
      <c r="N737" s="2" t="s">
        <v>50</v>
      </c>
    </row>
    <row r="738" customFormat="false" ht="15" hidden="false" customHeight="false" outlineLevel="0" collapsed="false">
      <c r="A738" s="2" t="n">
        <v>737</v>
      </c>
      <c r="B738" s="2" t="s">
        <v>1625</v>
      </c>
      <c r="C738" s="2" t="s">
        <v>1626</v>
      </c>
      <c r="D738" s="2" t="s">
        <v>93</v>
      </c>
      <c r="E738" s="2" t="s">
        <v>175</v>
      </c>
      <c r="F738" s="3" t="n">
        <v>0.000403</v>
      </c>
      <c r="G738" s="3" t="n">
        <f aca="false">SUM($F$2:F738)</f>
        <v>0.935314</v>
      </c>
      <c r="H738" s="4" t="n">
        <v>16.12</v>
      </c>
      <c r="I738" s="5" t="n">
        <v>8.3958</v>
      </c>
      <c r="J738" s="4" t="n">
        <v>1.92</v>
      </c>
      <c r="K738" s="5" t="n">
        <v>1.5092</v>
      </c>
      <c r="L738" s="6" t="n">
        <v>0.4047</v>
      </c>
      <c r="M738" s="5" t="n">
        <f aca="false">IF(AND(N(K738)&gt;0,N(L738)&gt;0),K738/L738,"")</f>
        <v>3.72918211020509</v>
      </c>
      <c r="N738" s="2"/>
    </row>
    <row r="739" customFormat="false" ht="15" hidden="false" customHeight="false" outlineLevel="0" collapsed="false">
      <c r="A739" s="2" t="n">
        <v>738</v>
      </c>
      <c r="B739" s="2" t="s">
        <v>1627</v>
      </c>
      <c r="C739" s="2" t="s">
        <v>1628</v>
      </c>
      <c r="D739" s="2" t="s">
        <v>86</v>
      </c>
      <c r="E739" s="2" t="s">
        <v>266</v>
      </c>
      <c r="F739" s="3" t="n">
        <v>0.000401</v>
      </c>
      <c r="G739" s="3" t="n">
        <f aca="false">SUM($F$2:F739)</f>
        <v>0.935715</v>
      </c>
      <c r="H739" s="4" t="n">
        <v>3.65</v>
      </c>
      <c r="I739" s="5"/>
      <c r="J739" s="4" t="n">
        <v>-0.05</v>
      </c>
      <c r="K739" s="5" t="n">
        <v>2.1798</v>
      </c>
      <c r="L739" s="6" t="n">
        <v>1.9728</v>
      </c>
      <c r="M739" s="5" t="n">
        <f aca="false">IF(AND(N(K739)&gt;0,N(L739)&gt;0),K739/L739,"")</f>
        <v>1.10492700729927</v>
      </c>
      <c r="N739" s="2" t="s">
        <v>50</v>
      </c>
    </row>
    <row r="740" customFormat="false" ht="15" hidden="false" customHeight="false" outlineLevel="0" collapsed="false">
      <c r="A740" s="2" t="n">
        <v>739</v>
      </c>
      <c r="B740" s="2" t="s">
        <v>1629</v>
      </c>
      <c r="C740" s="2" t="s">
        <v>1630</v>
      </c>
      <c r="D740" s="2" t="s">
        <v>22</v>
      </c>
      <c r="E740" s="2" t="s">
        <v>30</v>
      </c>
      <c r="F740" s="3" t="n">
        <v>0.0004</v>
      </c>
      <c r="G740" s="3" t="n">
        <f aca="false">SUM($F$2:F740)</f>
        <v>0.936115</v>
      </c>
      <c r="H740" s="4" t="n">
        <v>58.15</v>
      </c>
      <c r="I740" s="5" t="n">
        <v>18.5191</v>
      </c>
      <c r="J740" s="4" t="n">
        <v>3.14</v>
      </c>
      <c r="K740" s="5" t="n">
        <v>2.8451</v>
      </c>
      <c r="L740" s="6" t="n">
        <v>2.0597</v>
      </c>
      <c r="M740" s="5" t="n">
        <f aca="false">IF(AND(N(K740)&gt;0,N(L740)&gt;0),K740/L740,"")</f>
        <v>1.3813176676215</v>
      </c>
      <c r="N740" s="2"/>
    </row>
    <row r="741" customFormat="false" ht="15" hidden="false" customHeight="false" outlineLevel="0" collapsed="false">
      <c r="A741" s="2" t="n">
        <v>740</v>
      </c>
      <c r="B741" s="2" t="s">
        <v>1631</v>
      </c>
      <c r="C741" s="2" t="s">
        <v>1632</v>
      </c>
      <c r="D741" s="2" t="s">
        <v>62</v>
      </c>
      <c r="E741" s="2" t="s">
        <v>950</v>
      </c>
      <c r="F741" s="3" t="n">
        <v>0.000399</v>
      </c>
      <c r="G741" s="3" t="n">
        <f aca="false">SUM($F$2:F741)</f>
        <v>0.936514</v>
      </c>
      <c r="H741" s="4" t="n">
        <v>16.54</v>
      </c>
      <c r="I741" s="5"/>
      <c r="J741" s="4" t="n">
        <v>-1.73</v>
      </c>
      <c r="K741" s="5" t="n">
        <v>1.8853</v>
      </c>
      <c r="L741" s="6" t="n">
        <v>0.2812</v>
      </c>
      <c r="M741" s="5" t="n">
        <f aca="false">IF(AND(N(K741)&gt;0,N(L741)&gt;0),K741/L741,"")</f>
        <v>6.70448079658606</v>
      </c>
      <c r="N741" s="2" t="s">
        <v>50</v>
      </c>
    </row>
    <row r="742" customFormat="false" ht="15" hidden="false" customHeight="false" outlineLevel="0" collapsed="false">
      <c r="A742" s="2" t="n">
        <v>741</v>
      </c>
      <c r="B742" s="2" t="s">
        <v>1633</v>
      </c>
      <c r="C742" s="2" t="s">
        <v>1634</v>
      </c>
      <c r="D742" s="2" t="s">
        <v>58</v>
      </c>
      <c r="E742" s="2" t="s">
        <v>700</v>
      </c>
      <c r="F742" s="3" t="n">
        <v>0.000397</v>
      </c>
      <c r="G742" s="3" t="n">
        <f aca="false">SUM($F$2:F742)</f>
        <v>0.936911</v>
      </c>
      <c r="H742" s="4" t="n">
        <v>78.53</v>
      </c>
      <c r="I742" s="5" t="n">
        <v>13.1102</v>
      </c>
      <c r="J742" s="4" t="n">
        <v>5.99</v>
      </c>
      <c r="K742" s="5" t="n">
        <v>1.744</v>
      </c>
      <c r="L742" s="6" t="n">
        <v>1.3557</v>
      </c>
      <c r="M742" s="5" t="n">
        <f aca="false">IF(AND(N(K742)&gt;0,N(L742)&gt;0),K742/L742,"")</f>
        <v>1.28642029947629</v>
      </c>
      <c r="N742" s="2"/>
    </row>
    <row r="743" customFormat="false" ht="15" hidden="false" customHeight="false" outlineLevel="0" collapsed="false">
      <c r="A743" s="2" t="n">
        <v>742</v>
      </c>
      <c r="B743" s="2" t="s">
        <v>1635</v>
      </c>
      <c r="C743" s="2" t="s">
        <v>1636</v>
      </c>
      <c r="D743" s="2" t="s">
        <v>16</v>
      </c>
      <c r="E743" s="2" t="s">
        <v>17</v>
      </c>
      <c r="F743" s="3" t="n">
        <v>0.000397</v>
      </c>
      <c r="G743" s="3" t="n">
        <f aca="false">SUM($F$2:F743)</f>
        <v>0.937308</v>
      </c>
      <c r="H743" s="4" t="n">
        <v>35.42</v>
      </c>
      <c r="I743" s="5" t="n">
        <v>46.6053</v>
      </c>
      <c r="J743" s="4" t="n">
        <v>0.76</v>
      </c>
      <c r="K743" s="5" t="n">
        <v>2.2302</v>
      </c>
      <c r="L743" s="6" t="n">
        <v>2.007</v>
      </c>
      <c r="M743" s="5" t="n">
        <f aca="false">IF(AND(N(K743)&gt;0,N(L743)&gt;0),K743/L743,"")</f>
        <v>1.11121076233184</v>
      </c>
      <c r="N743" s="2"/>
    </row>
    <row r="744" customFormat="false" ht="15" hidden="false" customHeight="false" outlineLevel="0" collapsed="false">
      <c r="A744" s="2" t="n">
        <v>743</v>
      </c>
      <c r="B744" s="2" t="s">
        <v>1637</v>
      </c>
      <c r="C744" s="2" t="s">
        <v>1637</v>
      </c>
      <c r="D744" s="2" t="s">
        <v>93</v>
      </c>
      <c r="E744" s="2" t="s">
        <v>175</v>
      </c>
      <c r="F744" s="3" t="n">
        <v>0.000395</v>
      </c>
      <c r="G744" s="3" t="n">
        <f aca="false">SUM($F$2:F744)</f>
        <v>0.937703</v>
      </c>
      <c r="H744" s="4" t="n">
        <v>127.2</v>
      </c>
      <c r="I744" s="5" t="n">
        <v>22.4735</v>
      </c>
      <c r="J744" s="4" t="n">
        <v>5.66</v>
      </c>
      <c r="K744" s="5" t="n">
        <v>2.4083</v>
      </c>
      <c r="L744" s="6" t="n">
        <v>0.6983</v>
      </c>
      <c r="M744" s="5" t="n">
        <f aca="false">IF(AND(N(K744)&gt;0,N(L744)&gt;0),K744/L744,"")</f>
        <v>3.44880423886582</v>
      </c>
      <c r="N744" s="2"/>
    </row>
    <row r="745" customFormat="false" ht="15" hidden="false" customHeight="false" outlineLevel="0" collapsed="false">
      <c r="A745" s="2" t="n">
        <v>744</v>
      </c>
      <c r="B745" s="2" t="s">
        <v>1638</v>
      </c>
      <c r="C745" s="2" t="s">
        <v>1639</v>
      </c>
      <c r="D745" s="2" t="s">
        <v>93</v>
      </c>
      <c r="E745" s="2" t="s">
        <v>548</v>
      </c>
      <c r="F745" s="3" t="n">
        <v>0.000395</v>
      </c>
      <c r="G745" s="3" t="n">
        <f aca="false">SUM($F$2:F745)</f>
        <v>0.938098</v>
      </c>
      <c r="H745" s="4" t="n">
        <v>4.95</v>
      </c>
      <c r="I745" s="5" t="n">
        <v>35.3571</v>
      </c>
      <c r="J745" s="4" t="n">
        <v>0.14</v>
      </c>
      <c r="K745" s="5" t="n">
        <v>2.1724</v>
      </c>
      <c r="L745" s="6" t="n">
        <v>0.8882</v>
      </c>
      <c r="M745" s="5" t="n">
        <f aca="false">IF(AND(N(K745)&gt;0,N(L745)&gt;0),K745/L745,"")</f>
        <v>2.44584553028597</v>
      </c>
      <c r="N745" s="2"/>
    </row>
    <row r="746" customFormat="false" ht="15" hidden="false" customHeight="false" outlineLevel="0" collapsed="false">
      <c r="A746" s="2" t="n">
        <v>745</v>
      </c>
      <c r="B746" s="2" t="s">
        <v>1640</v>
      </c>
      <c r="C746" s="2" t="s">
        <v>1641</v>
      </c>
      <c r="D746" s="2" t="s">
        <v>93</v>
      </c>
      <c r="E746" s="2" t="s">
        <v>961</v>
      </c>
      <c r="F746" s="3" t="n">
        <v>0.000395</v>
      </c>
      <c r="G746" s="3" t="n">
        <f aca="false">SUM($F$2:F746)</f>
        <v>0.938493</v>
      </c>
      <c r="H746" s="4" t="n">
        <v>69.11</v>
      </c>
      <c r="I746" s="5" t="n">
        <v>16.4548</v>
      </c>
      <c r="J746" s="4" t="n">
        <v>4.2</v>
      </c>
      <c r="K746" s="5" t="n">
        <v>2.2197</v>
      </c>
      <c r="L746" s="6" t="n">
        <v>0.5636</v>
      </c>
      <c r="M746" s="5" t="n">
        <f aca="false">IF(AND(N(K746)&gt;0,N(L746)&gt;0),K746/L746,"")</f>
        <v>3.93843151171043</v>
      </c>
      <c r="N746" s="2"/>
    </row>
    <row r="747" customFormat="false" ht="15" hidden="false" customHeight="false" outlineLevel="0" collapsed="false">
      <c r="A747" s="2" t="n">
        <v>746</v>
      </c>
      <c r="B747" s="2" t="s">
        <v>1642</v>
      </c>
      <c r="C747" s="2" t="s">
        <v>1643</v>
      </c>
      <c r="D747" s="2" t="s">
        <v>79</v>
      </c>
      <c r="E747" s="2" t="s">
        <v>227</v>
      </c>
      <c r="F747" s="3" t="n">
        <v>0.000393</v>
      </c>
      <c r="G747" s="3" t="n">
        <f aca="false">SUM($F$2:F747)</f>
        <v>0.938886</v>
      </c>
      <c r="H747" s="4" t="n">
        <v>74.43</v>
      </c>
      <c r="I747" s="5" t="n">
        <v>22.9015</v>
      </c>
      <c r="J747" s="4" t="n">
        <v>3.25</v>
      </c>
      <c r="K747" s="5" t="n">
        <v>3.8273</v>
      </c>
      <c r="L747" s="6" t="n">
        <v>6.5548</v>
      </c>
      <c r="M747" s="5" t="n">
        <f aca="false">IF(AND(N(K747)&gt;0,N(L747)&gt;0),K747/L747,"")</f>
        <v>0.583892719838897</v>
      </c>
      <c r="N747" s="2"/>
    </row>
    <row r="748" customFormat="false" ht="15" hidden="false" customHeight="false" outlineLevel="0" collapsed="false">
      <c r="A748" s="2" t="n">
        <v>747</v>
      </c>
      <c r="B748" s="2" t="s">
        <v>1644</v>
      </c>
      <c r="C748" s="2" t="s">
        <v>1645</v>
      </c>
      <c r="D748" s="2" t="s">
        <v>22</v>
      </c>
      <c r="E748" s="2" t="s">
        <v>53</v>
      </c>
      <c r="F748" s="3" t="n">
        <v>0.000391</v>
      </c>
      <c r="G748" s="3" t="n">
        <f aca="false">SUM($F$2:F748)</f>
        <v>0.939277</v>
      </c>
      <c r="H748" s="4" t="n">
        <v>35.02</v>
      </c>
      <c r="I748" s="5"/>
      <c r="J748" s="4" t="n">
        <v>-0.76</v>
      </c>
      <c r="K748" s="5" t="n">
        <v>2.1001</v>
      </c>
      <c r="L748" s="6" t="n">
        <v>0.6459</v>
      </c>
      <c r="M748" s="5" t="n">
        <f aca="false">IF(AND(N(K748)&gt;0,N(L748)&gt;0),K748/L748,"")</f>
        <v>3.25143211023378</v>
      </c>
      <c r="N748" s="2" t="s">
        <v>50</v>
      </c>
    </row>
    <row r="749" customFormat="false" ht="15" hidden="false" customHeight="false" outlineLevel="0" collapsed="false">
      <c r="A749" s="2" t="n">
        <v>748</v>
      </c>
      <c r="B749" s="2" t="s">
        <v>1646</v>
      </c>
      <c r="C749" s="2" t="s">
        <v>1647</v>
      </c>
      <c r="D749" s="2" t="s">
        <v>62</v>
      </c>
      <c r="E749" s="2" t="s">
        <v>461</v>
      </c>
      <c r="F749" s="3" t="n">
        <v>0.00039</v>
      </c>
      <c r="G749" s="3" t="n">
        <f aca="false">SUM($F$2:F749)</f>
        <v>0.939667</v>
      </c>
      <c r="H749" s="4" t="n">
        <v>39.1</v>
      </c>
      <c r="I749" s="5" t="n">
        <v>6.753</v>
      </c>
      <c r="J749" s="4" t="n">
        <v>5.79</v>
      </c>
      <c r="K749" s="5" t="n">
        <v>3.8706</v>
      </c>
      <c r="L749" s="6" t="n">
        <v>1.4512</v>
      </c>
      <c r="M749" s="5" t="n">
        <f aca="false">IF(AND(N(K749)&gt;0,N(L749)&gt;0),K749/L749,"")</f>
        <v>2.66717199558986</v>
      </c>
      <c r="N749" s="2"/>
    </row>
    <row r="750" customFormat="false" ht="15" hidden="false" customHeight="false" outlineLevel="0" collapsed="false">
      <c r="A750" s="2" t="n">
        <v>749</v>
      </c>
      <c r="B750" s="2" t="s">
        <v>1648</v>
      </c>
      <c r="C750" s="2" t="s">
        <v>1649</v>
      </c>
      <c r="D750" s="2" t="s">
        <v>33</v>
      </c>
      <c r="E750" s="2" t="s">
        <v>34</v>
      </c>
      <c r="F750" s="3" t="n">
        <v>0.000389</v>
      </c>
      <c r="G750" s="3" t="n">
        <f aca="false">SUM($F$2:F750)</f>
        <v>0.940056</v>
      </c>
      <c r="H750" s="4" t="n">
        <v>14.13</v>
      </c>
      <c r="I750" s="5"/>
      <c r="J750" s="4" t="n">
        <v>-12.29</v>
      </c>
      <c r="K750" s="5" t="n">
        <v>1.9551</v>
      </c>
      <c r="L750" s="6" t="n">
        <v>0.4717</v>
      </c>
      <c r="M750" s="5" t="n">
        <f aca="false">IF(AND(N(K750)&gt;0,N(L750)&gt;0),K750/L750,"")</f>
        <v>4.14479542081832</v>
      </c>
      <c r="N750" s="2" t="s">
        <v>50</v>
      </c>
    </row>
    <row r="751" customFormat="false" ht="15" hidden="false" customHeight="false" outlineLevel="0" collapsed="false">
      <c r="A751" s="2" t="n">
        <v>750</v>
      </c>
      <c r="B751" s="2" t="s">
        <v>1650</v>
      </c>
      <c r="C751" s="2" t="s">
        <v>1651</v>
      </c>
      <c r="D751" s="2" t="s">
        <v>33</v>
      </c>
      <c r="E751" s="2" t="s">
        <v>329</v>
      </c>
      <c r="F751" s="3" t="n">
        <v>0.000389</v>
      </c>
      <c r="G751" s="3" t="n">
        <f aca="false">SUM($F$2:F751)</f>
        <v>0.940445</v>
      </c>
      <c r="H751" s="4" t="n">
        <v>33.75</v>
      </c>
      <c r="I751" s="5"/>
      <c r="J751" s="4" t="n">
        <v>-2.46</v>
      </c>
      <c r="K751" s="5" t="n">
        <v>1.4785</v>
      </c>
      <c r="L751" s="6" t="n">
        <v>2.4088</v>
      </c>
      <c r="M751" s="5" t="n">
        <f aca="false">IF(AND(N(K751)&gt;0,N(L751)&gt;0),K751/L751,"")</f>
        <v>0.613791099302557</v>
      </c>
      <c r="N751" s="2" t="s">
        <v>50</v>
      </c>
    </row>
    <row r="752" customFormat="false" ht="15" hidden="false" customHeight="false" outlineLevel="0" collapsed="false">
      <c r="A752" s="2" t="n">
        <v>751</v>
      </c>
      <c r="B752" s="2" t="s">
        <v>1652</v>
      </c>
      <c r="C752" s="2" t="s">
        <v>1653</v>
      </c>
      <c r="D752" s="2" t="s">
        <v>79</v>
      </c>
      <c r="E752" s="2" t="s">
        <v>80</v>
      </c>
      <c r="F752" s="3" t="n">
        <v>0.000386</v>
      </c>
      <c r="G752" s="3" t="n">
        <f aca="false">SUM($F$2:F752)</f>
        <v>0.940831</v>
      </c>
      <c r="H752" s="4" t="n">
        <v>49.56</v>
      </c>
      <c r="I752" s="5" t="n">
        <v>13.1809</v>
      </c>
      <c r="J752" s="4" t="n">
        <v>3.76</v>
      </c>
      <c r="K752" s="5" t="n">
        <v>1.7478</v>
      </c>
      <c r="L752" s="6" t="n">
        <v>4.3188</v>
      </c>
      <c r="M752" s="5" t="n">
        <f aca="false">IF(AND(N(K752)&gt;0,N(L752)&gt;0),K752/L752,"")</f>
        <v>0.404695748819116</v>
      </c>
      <c r="N752" s="2"/>
    </row>
    <row r="753" customFormat="false" ht="15" hidden="false" customHeight="false" outlineLevel="0" collapsed="false">
      <c r="A753" s="2" t="n">
        <v>752</v>
      </c>
      <c r="B753" s="2" t="s">
        <v>1654</v>
      </c>
      <c r="C753" s="2" t="s">
        <v>1655</v>
      </c>
      <c r="D753" s="2" t="s">
        <v>79</v>
      </c>
      <c r="E753" s="2" t="s">
        <v>288</v>
      </c>
      <c r="F753" s="3" t="n">
        <v>0.000383</v>
      </c>
      <c r="G753" s="3" t="n">
        <f aca="false">SUM($F$2:F753)</f>
        <v>0.941214</v>
      </c>
      <c r="H753" s="4" t="n">
        <v>116.55</v>
      </c>
      <c r="I753" s="5" t="n">
        <v>25.5592</v>
      </c>
      <c r="J753" s="4" t="n">
        <v>4.56</v>
      </c>
      <c r="K753" s="5" t="n">
        <v>3.9248</v>
      </c>
      <c r="L753" s="6" t="n">
        <v>7.3791</v>
      </c>
      <c r="M753" s="5" t="n">
        <f aca="false">IF(AND(N(K753)&gt;0,N(L753)&gt;0),K753/L753,"")</f>
        <v>0.531880581642748</v>
      </c>
      <c r="N753" s="2"/>
    </row>
    <row r="754" customFormat="false" ht="15" hidden="false" customHeight="false" outlineLevel="0" collapsed="false">
      <c r="A754" s="2" t="n">
        <v>753</v>
      </c>
      <c r="B754" s="2" t="s">
        <v>1656</v>
      </c>
      <c r="C754" s="2" t="s">
        <v>1657</v>
      </c>
      <c r="D754" s="2" t="s">
        <v>33</v>
      </c>
      <c r="E754" s="2" t="s">
        <v>244</v>
      </c>
      <c r="F754" s="3" t="n">
        <v>0.000383</v>
      </c>
      <c r="G754" s="3" t="n">
        <f aca="false">SUM($F$2:F754)</f>
        <v>0.941597</v>
      </c>
      <c r="H754" s="4" t="n">
        <v>75.72</v>
      </c>
      <c r="I754" s="5" t="n">
        <v>16.7152</v>
      </c>
      <c r="J754" s="4" t="n">
        <v>4.53</v>
      </c>
      <c r="K754" s="5" t="n">
        <v>2.1891</v>
      </c>
      <c r="L754" s="6" t="n">
        <v>2.4357</v>
      </c>
      <c r="M754" s="5" t="n">
        <f aca="false">IF(AND(N(K754)&gt;0,N(L754)&gt;0),K754/L754,"")</f>
        <v>0.898756004434044</v>
      </c>
      <c r="N754" s="2"/>
    </row>
    <row r="755" customFormat="false" ht="15" hidden="false" customHeight="false" outlineLevel="0" collapsed="false">
      <c r="A755" s="2" t="n">
        <v>754</v>
      </c>
      <c r="B755" s="2" t="s">
        <v>1658</v>
      </c>
      <c r="C755" s="2" t="s">
        <v>1659</v>
      </c>
      <c r="D755" s="2" t="s">
        <v>93</v>
      </c>
      <c r="E755" s="2" t="s">
        <v>622</v>
      </c>
      <c r="F755" s="3" t="n">
        <v>0.000382</v>
      </c>
      <c r="G755" s="3" t="n">
        <f aca="false">SUM($F$2:F755)</f>
        <v>0.941979</v>
      </c>
      <c r="H755" s="4" t="n">
        <v>17.43</v>
      </c>
      <c r="I755" s="5" t="n">
        <v>7.4807</v>
      </c>
      <c r="J755" s="4" t="n">
        <v>2.33</v>
      </c>
      <c r="K755" s="5" t="n">
        <v>1.9762</v>
      </c>
      <c r="L755" s="6" t="n">
        <v>0.1281</v>
      </c>
      <c r="M755" s="5" t="n">
        <f aca="false">IF(AND(N(K755)&gt;0,N(L755)&gt;0),K755/L755,"")</f>
        <v>15.4270101483216</v>
      </c>
      <c r="N755" s="2"/>
    </row>
    <row r="756" customFormat="false" ht="15" hidden="false" customHeight="false" outlineLevel="0" collapsed="false">
      <c r="A756" s="2" t="n">
        <v>755</v>
      </c>
      <c r="B756" s="2" t="s">
        <v>1660</v>
      </c>
      <c r="C756" s="2" t="s">
        <v>1661</v>
      </c>
      <c r="D756" s="2" t="s">
        <v>22</v>
      </c>
      <c r="E756" s="2" t="s">
        <v>302</v>
      </c>
      <c r="F756" s="3" t="n">
        <v>0.000381</v>
      </c>
      <c r="G756" s="3" t="n">
        <f aca="false">SUM($F$2:F756)</f>
        <v>0.94236</v>
      </c>
      <c r="H756" s="4" t="n">
        <v>164.87</v>
      </c>
      <c r="I756" s="5" t="n">
        <v>19.7686</v>
      </c>
      <c r="J756" s="4" t="n">
        <v>8.34</v>
      </c>
      <c r="K756" s="5" t="n">
        <v>2.0066</v>
      </c>
      <c r="L756" s="6" t="n">
        <v>1.2077</v>
      </c>
      <c r="M756" s="5" t="n">
        <f aca="false">IF(AND(N(K756)&gt;0,N(L756)&gt;0),K756/L756,"")</f>
        <v>1.66150534073031</v>
      </c>
      <c r="N756" s="2"/>
    </row>
    <row r="757" customFormat="false" ht="15" hidden="false" customHeight="false" outlineLevel="0" collapsed="false">
      <c r="A757" s="2" t="n">
        <v>756</v>
      </c>
      <c r="B757" s="2" t="s">
        <v>1662</v>
      </c>
      <c r="C757" s="2" t="s">
        <v>1663</v>
      </c>
      <c r="D757" s="2" t="s">
        <v>16</v>
      </c>
      <c r="E757" s="2" t="s">
        <v>178</v>
      </c>
      <c r="F757" s="3" t="n">
        <v>0.000381</v>
      </c>
      <c r="G757" s="3" t="n">
        <f aca="false">SUM($F$2:F757)</f>
        <v>0.942741</v>
      </c>
      <c r="H757" s="4" t="n">
        <v>54.91</v>
      </c>
      <c r="I757" s="5" t="n">
        <v>39.5036</v>
      </c>
      <c r="J757" s="4" t="n">
        <v>1.39</v>
      </c>
      <c r="K757" s="5" t="n">
        <v>2.8137</v>
      </c>
      <c r="L757" s="6" t="n">
        <v>1.8724</v>
      </c>
      <c r="M757" s="5" t="n">
        <f aca="false">IF(AND(N(K757)&gt;0,N(L757)&gt;0),K757/L757,"")</f>
        <v>1.50272377697073</v>
      </c>
      <c r="N757" s="2"/>
    </row>
    <row r="758" customFormat="false" ht="15" hidden="false" customHeight="false" outlineLevel="0" collapsed="false">
      <c r="A758" s="2" t="n">
        <v>757</v>
      </c>
      <c r="B758" s="2" t="s">
        <v>1664</v>
      </c>
      <c r="C758" s="2" t="s">
        <v>1665</v>
      </c>
      <c r="D758" s="2" t="s">
        <v>79</v>
      </c>
      <c r="E758" s="2" t="s">
        <v>360</v>
      </c>
      <c r="F758" s="3" t="n">
        <v>0.00038</v>
      </c>
      <c r="G758" s="3" t="n">
        <f aca="false">SUM($F$2:F758)</f>
        <v>0.943121</v>
      </c>
      <c r="H758" s="4" t="n">
        <v>48.2</v>
      </c>
      <c r="I758" s="5" t="n">
        <v>11.2617</v>
      </c>
      <c r="J758" s="4" t="n">
        <v>4.28</v>
      </c>
      <c r="K758" s="5" t="n">
        <v>1.9522</v>
      </c>
      <c r="L758" s="6" t="n">
        <v>1.118</v>
      </c>
      <c r="M758" s="5" t="n">
        <f aca="false">IF(AND(N(K758)&gt;0,N(L758)&gt;0),K758/L758,"")</f>
        <v>1.74615384615385</v>
      </c>
      <c r="N758" s="2"/>
    </row>
    <row r="759" customFormat="false" ht="15" hidden="false" customHeight="false" outlineLevel="0" collapsed="false">
      <c r="A759" s="2" t="n">
        <v>758</v>
      </c>
      <c r="B759" s="2" t="s">
        <v>1666</v>
      </c>
      <c r="C759" s="2" t="s">
        <v>1667</v>
      </c>
      <c r="D759" s="2" t="s">
        <v>33</v>
      </c>
      <c r="E759" s="2" t="s">
        <v>49</v>
      </c>
      <c r="F759" s="3" t="n">
        <v>0.000378</v>
      </c>
      <c r="G759" s="3" t="n">
        <f aca="false">SUM($F$2:F759)</f>
        <v>0.943499</v>
      </c>
      <c r="H759" s="4" t="n">
        <v>20.02</v>
      </c>
      <c r="I759" s="5"/>
      <c r="J759" s="4" t="n">
        <v>-0.83</v>
      </c>
      <c r="K759" s="5" t="n">
        <v>1.9039</v>
      </c>
      <c r="L759" s="6" t="n">
        <v>0.7113</v>
      </c>
      <c r="M759" s="5" t="n">
        <f aca="false">IF(AND(N(K759)&gt;0,N(L759)&gt;0),K759/L759,"")</f>
        <v>2.67664839027133</v>
      </c>
      <c r="N759" s="2" t="s">
        <v>50</v>
      </c>
    </row>
    <row r="760" customFormat="false" ht="15" hidden="false" customHeight="false" outlineLevel="0" collapsed="false">
      <c r="A760" s="2" t="n">
        <v>759</v>
      </c>
      <c r="B760" s="2" t="s">
        <v>1668</v>
      </c>
      <c r="C760" s="2" t="s">
        <v>1669</v>
      </c>
      <c r="D760" s="2" t="s">
        <v>16</v>
      </c>
      <c r="E760" s="2" t="s">
        <v>43</v>
      </c>
      <c r="F760" s="3" t="n">
        <v>0.000378</v>
      </c>
      <c r="G760" s="3" t="n">
        <f aca="false">SUM($F$2:F760)</f>
        <v>0.943877</v>
      </c>
      <c r="H760" s="4" t="n">
        <v>29.34</v>
      </c>
      <c r="I760" s="5" t="n">
        <v>10.4413</v>
      </c>
      <c r="J760" s="4" t="n">
        <v>2.81</v>
      </c>
      <c r="K760" s="5" t="n">
        <v>1.731</v>
      </c>
      <c r="L760" s="6" t="n">
        <v>1.9969</v>
      </c>
      <c r="M760" s="5" t="n">
        <f aca="false">IF(AND(N(K760)&gt;0,N(L760)&gt;0),K760/L760,"")</f>
        <v>0.866843607591767</v>
      </c>
      <c r="N760" s="2"/>
    </row>
    <row r="761" customFormat="false" ht="15" hidden="false" customHeight="false" outlineLevel="0" collapsed="false">
      <c r="A761" s="2" t="n">
        <v>760</v>
      </c>
      <c r="B761" s="2" t="s">
        <v>1670</v>
      </c>
      <c r="C761" s="2" t="s">
        <v>1671</v>
      </c>
      <c r="D761" s="2" t="s">
        <v>16</v>
      </c>
      <c r="E761" s="2" t="s">
        <v>315</v>
      </c>
      <c r="F761" s="3" t="n">
        <v>0.000378</v>
      </c>
      <c r="G761" s="3" t="n">
        <f aca="false">SUM($F$2:F761)</f>
        <v>0.944255</v>
      </c>
      <c r="H761" s="4" t="n">
        <v>8.79</v>
      </c>
      <c r="I761" s="5" t="n">
        <v>5.9796</v>
      </c>
      <c r="J761" s="4" t="n">
        <v>1.47</v>
      </c>
      <c r="K761" s="5" t="n">
        <v>2.0968</v>
      </c>
      <c r="L761" s="6" t="n">
        <v>0.6033</v>
      </c>
      <c r="M761" s="5" t="n">
        <f aca="false">IF(AND(N(K761)&gt;0,N(L761)&gt;0),K761/L761,"")</f>
        <v>3.47555113542185</v>
      </c>
      <c r="N761" s="2"/>
    </row>
    <row r="762" customFormat="false" ht="15" hidden="false" customHeight="false" outlineLevel="0" collapsed="false">
      <c r="A762" s="2" t="n">
        <v>761</v>
      </c>
      <c r="B762" s="2" t="s">
        <v>1672</v>
      </c>
      <c r="C762" s="2" t="s">
        <v>1673</v>
      </c>
      <c r="D762" s="2" t="s">
        <v>33</v>
      </c>
      <c r="E762" s="2" t="s">
        <v>49</v>
      </c>
      <c r="F762" s="3" t="n">
        <v>0.000377</v>
      </c>
      <c r="G762" s="3" t="n">
        <f aca="false">SUM($F$2:F762)</f>
        <v>0.944632</v>
      </c>
      <c r="H762" s="4" t="n">
        <v>20.14</v>
      </c>
      <c r="I762" s="5"/>
      <c r="J762" s="4" t="n">
        <v>-1.57</v>
      </c>
      <c r="K762" s="5" t="n">
        <v>2.1273</v>
      </c>
      <c r="L762" s="6" t="n">
        <v>1.0775</v>
      </c>
      <c r="M762" s="5" t="n">
        <f aca="false">IF(AND(N(K762)&gt;0,N(L762)&gt;0),K762/L762,"")</f>
        <v>1.97429234338747</v>
      </c>
      <c r="N762" s="2" t="s">
        <v>50</v>
      </c>
    </row>
    <row r="763" customFormat="false" ht="15" hidden="false" customHeight="false" outlineLevel="0" collapsed="false">
      <c r="A763" s="2" t="n">
        <v>762</v>
      </c>
      <c r="B763" s="2" t="s">
        <v>1674</v>
      </c>
      <c r="C763" s="2" t="s">
        <v>1675</v>
      </c>
      <c r="D763" s="2" t="s">
        <v>26</v>
      </c>
      <c r="E763" s="2" t="s">
        <v>221</v>
      </c>
      <c r="F763" s="3" t="n">
        <v>0.000377</v>
      </c>
      <c r="G763" s="3" t="n">
        <f aca="false">SUM($F$2:F763)</f>
        <v>0.945009</v>
      </c>
      <c r="H763" s="4" t="n">
        <v>56.64</v>
      </c>
      <c r="I763" s="5" t="n">
        <v>7.5119</v>
      </c>
      <c r="J763" s="4" t="n">
        <v>7.54</v>
      </c>
      <c r="K763" s="5" t="n">
        <v>2.4232</v>
      </c>
      <c r="L763" s="6" t="n">
        <v>4.1862</v>
      </c>
      <c r="M763" s="5" t="n">
        <f aca="false">IF(AND(N(K763)&gt;0,N(L763)&gt;0),K763/L763,"")</f>
        <v>0.578854330896756</v>
      </c>
      <c r="N763" s="2"/>
    </row>
    <row r="764" customFormat="false" ht="15" hidden="false" customHeight="false" outlineLevel="0" collapsed="false">
      <c r="A764" s="2" t="n">
        <v>763</v>
      </c>
      <c r="B764" s="2" t="s">
        <v>1676</v>
      </c>
      <c r="C764" s="2" t="s">
        <v>1677</v>
      </c>
      <c r="D764" s="2" t="s">
        <v>16</v>
      </c>
      <c r="E764" s="2" t="s">
        <v>315</v>
      </c>
      <c r="F764" s="3" t="n">
        <v>0.000377</v>
      </c>
      <c r="G764" s="3" t="n">
        <f aca="false">SUM($F$2:F764)</f>
        <v>0.945386</v>
      </c>
      <c r="H764" s="4" t="n">
        <v>35.61</v>
      </c>
      <c r="I764" s="5"/>
      <c r="J764" s="4" t="n">
        <v>-4.49</v>
      </c>
      <c r="K764" s="5" t="n">
        <v>2.1909</v>
      </c>
      <c r="L764" s="6" t="n">
        <v>1.6445</v>
      </c>
      <c r="M764" s="5" t="n">
        <f aca="false">IF(AND(N(K764)&gt;0,N(L764)&gt;0),K764/L764,"")</f>
        <v>1.33225904530252</v>
      </c>
      <c r="N764" s="2" t="s">
        <v>50</v>
      </c>
    </row>
    <row r="765" customFormat="false" ht="15" hidden="false" customHeight="false" outlineLevel="0" collapsed="false">
      <c r="A765" s="2" t="n">
        <v>764</v>
      </c>
      <c r="B765" s="2" t="s">
        <v>1678</v>
      </c>
      <c r="C765" s="2" t="s">
        <v>1679</v>
      </c>
      <c r="D765" s="2" t="s">
        <v>16</v>
      </c>
      <c r="E765" s="2" t="s">
        <v>17</v>
      </c>
      <c r="F765" s="3" t="n">
        <v>0.000377</v>
      </c>
      <c r="G765" s="3" t="n">
        <f aca="false">SUM($F$2:F765)</f>
        <v>0.945763</v>
      </c>
      <c r="H765" s="4" t="n">
        <v>40.41</v>
      </c>
      <c r="I765" s="5" t="n">
        <v>19.6165</v>
      </c>
      <c r="J765" s="4" t="n">
        <v>2.06</v>
      </c>
      <c r="K765" s="5" t="n">
        <v>1.6573</v>
      </c>
      <c r="L765" s="6" t="n">
        <v>1.6512</v>
      </c>
      <c r="M765" s="5" t="n">
        <f aca="false">IF(AND(N(K765)&gt;0,N(L765)&gt;0),K765/L765,"")</f>
        <v>1.00369428294574</v>
      </c>
      <c r="N765" s="2"/>
    </row>
    <row r="766" customFormat="false" ht="15" hidden="false" customHeight="false" outlineLevel="0" collapsed="false">
      <c r="A766" s="2" t="n">
        <v>765</v>
      </c>
      <c r="B766" s="2" t="s">
        <v>1680</v>
      </c>
      <c r="C766" s="2" t="s">
        <v>1681</v>
      </c>
      <c r="D766" s="2" t="s">
        <v>16</v>
      </c>
      <c r="E766" s="2" t="s">
        <v>160</v>
      </c>
      <c r="F766" s="3" t="n">
        <v>0.000377</v>
      </c>
      <c r="G766" s="3" t="n">
        <f aca="false">SUM($F$2:F766)</f>
        <v>0.94614</v>
      </c>
      <c r="H766" s="4" t="n">
        <v>58.67</v>
      </c>
      <c r="I766" s="5" t="n">
        <v>24.5481</v>
      </c>
      <c r="J766" s="4" t="n">
        <v>2.39</v>
      </c>
      <c r="K766" s="5" t="n">
        <v>1.6754</v>
      </c>
      <c r="L766" s="6" t="n">
        <v>2.9692</v>
      </c>
      <c r="M766" s="5" t="n">
        <f aca="false">IF(AND(N(K766)&gt;0,N(L766)&gt;0),K766/L766,"")</f>
        <v>0.564259733261485</v>
      </c>
      <c r="N766" s="2"/>
    </row>
    <row r="767" customFormat="false" ht="15" hidden="false" customHeight="false" outlineLevel="0" collapsed="false">
      <c r="A767" s="2" t="n">
        <v>766</v>
      </c>
      <c r="B767" s="2" t="s">
        <v>1682</v>
      </c>
      <c r="C767" s="2" t="s">
        <v>1683</v>
      </c>
      <c r="D767" s="2" t="s">
        <v>33</v>
      </c>
      <c r="E767" s="2" t="s">
        <v>555</v>
      </c>
      <c r="F767" s="3" t="n">
        <v>0.000376</v>
      </c>
      <c r="G767" s="3" t="n">
        <f aca="false">SUM($F$2:F767)</f>
        <v>0.946516</v>
      </c>
      <c r="H767" s="4" t="n">
        <v>19.54</v>
      </c>
      <c r="I767" s="5" t="n">
        <v>88.8182</v>
      </c>
      <c r="J767" s="4" t="n">
        <v>0.22</v>
      </c>
      <c r="K767" s="5" t="n">
        <v>2.4959</v>
      </c>
      <c r="L767" s="6" t="n">
        <v>1.0585</v>
      </c>
      <c r="M767" s="5" t="n">
        <f aca="false">IF(AND(N(K767)&gt;0,N(L767)&gt;0),K767/L767,"")</f>
        <v>2.35795937647615</v>
      </c>
      <c r="N767" s="2"/>
    </row>
    <row r="768" customFormat="false" ht="15" hidden="false" customHeight="false" outlineLevel="0" collapsed="false">
      <c r="A768" s="2" t="n">
        <v>767</v>
      </c>
      <c r="B768" s="2" t="s">
        <v>1684</v>
      </c>
      <c r="C768" s="2" t="s">
        <v>1685</v>
      </c>
      <c r="D768" s="2" t="s">
        <v>79</v>
      </c>
      <c r="E768" s="2" t="s">
        <v>80</v>
      </c>
      <c r="F768" s="3" t="n">
        <v>0.000374</v>
      </c>
      <c r="G768" s="3" t="n">
        <f aca="false">SUM($F$2:F768)</f>
        <v>0.94689</v>
      </c>
      <c r="H768" s="4" t="n">
        <v>109.46</v>
      </c>
      <c r="I768" s="5" t="n">
        <v>14.7719</v>
      </c>
      <c r="J768" s="4" t="n">
        <v>7.41</v>
      </c>
      <c r="K768" s="5" t="n">
        <v>3.6777</v>
      </c>
      <c r="L768" s="6" t="n">
        <v>5.1563</v>
      </c>
      <c r="M768" s="5" t="n">
        <f aca="false">IF(AND(N(K768)&gt;0,N(L768)&gt;0),K768/L768,"")</f>
        <v>0.713243992785525</v>
      </c>
      <c r="N768" s="2"/>
    </row>
    <row r="769" customFormat="false" ht="15" hidden="false" customHeight="false" outlineLevel="0" collapsed="false">
      <c r="A769" s="2" t="n">
        <v>768</v>
      </c>
      <c r="B769" s="2" t="s">
        <v>1686</v>
      </c>
      <c r="C769" s="2" t="s">
        <v>1687</v>
      </c>
      <c r="D769" s="2" t="s">
        <v>58</v>
      </c>
      <c r="E769" s="2" t="s">
        <v>761</v>
      </c>
      <c r="F769" s="3" t="n">
        <v>0.000373</v>
      </c>
      <c r="G769" s="3" t="n">
        <f aca="false">SUM($F$2:F769)</f>
        <v>0.947263</v>
      </c>
      <c r="H769" s="4" t="n">
        <v>112.76</v>
      </c>
      <c r="I769" s="5" t="n">
        <v>21.5602</v>
      </c>
      <c r="J769" s="4" t="n">
        <v>5.23</v>
      </c>
      <c r="K769" s="5" t="n">
        <v>3.6112</v>
      </c>
      <c r="L769" s="6" t="n">
        <v>2.4048</v>
      </c>
      <c r="M769" s="5" t="n">
        <f aca="false">IF(AND(N(K769)&gt;0,N(L769)&gt;0),K769/L769,"")</f>
        <v>1.50166333998669</v>
      </c>
      <c r="N769" s="2"/>
    </row>
    <row r="770" customFormat="false" ht="15" hidden="false" customHeight="false" outlineLevel="0" collapsed="false">
      <c r="A770" s="2" t="n">
        <v>769</v>
      </c>
      <c r="B770" s="2" t="s">
        <v>1688</v>
      </c>
      <c r="C770" s="2" t="s">
        <v>1689</v>
      </c>
      <c r="D770" s="2" t="s">
        <v>79</v>
      </c>
      <c r="E770" s="2" t="s">
        <v>80</v>
      </c>
      <c r="F770" s="3" t="n">
        <v>0.000372</v>
      </c>
      <c r="G770" s="3" t="n">
        <f aca="false">SUM($F$2:F770)</f>
        <v>0.947635</v>
      </c>
      <c r="H770" s="4" t="n">
        <v>22.93</v>
      </c>
      <c r="I770" s="5" t="n">
        <v>9.5542</v>
      </c>
      <c r="J770" s="4" t="n">
        <v>2.4</v>
      </c>
      <c r="K770" s="5" t="n">
        <v>2.9906</v>
      </c>
      <c r="L770" s="6" t="n">
        <v>3.3442</v>
      </c>
      <c r="M770" s="5" t="n">
        <f aca="false">IF(AND(N(K770)&gt;0,N(L770)&gt;0),K770/L770,"")</f>
        <v>0.894264697087495</v>
      </c>
      <c r="N770" s="2"/>
    </row>
    <row r="771" customFormat="false" ht="15" hidden="false" customHeight="false" outlineLevel="0" collapsed="false">
      <c r="A771" s="2" t="n">
        <v>770</v>
      </c>
      <c r="B771" s="2" t="s">
        <v>1690</v>
      </c>
      <c r="C771" s="2" t="s">
        <v>1691</v>
      </c>
      <c r="D771" s="2" t="s">
        <v>58</v>
      </c>
      <c r="E771" s="2" t="s">
        <v>583</v>
      </c>
      <c r="F771" s="3" t="n">
        <v>0.000372</v>
      </c>
      <c r="G771" s="3" t="n">
        <f aca="false">SUM($F$2:F771)</f>
        <v>0.948007</v>
      </c>
      <c r="H771" s="4" t="n">
        <v>171.4</v>
      </c>
      <c r="I771" s="5"/>
      <c r="J771" s="4" t="n">
        <v>-6.68</v>
      </c>
      <c r="K771" s="5" t="n">
        <v>1.764</v>
      </c>
      <c r="L771" s="6" t="n">
        <v>0.9161</v>
      </c>
      <c r="M771" s="5" t="n">
        <f aca="false">IF(AND(N(K771)&gt;0,N(L771)&gt;0),K771/L771,"")</f>
        <v>1.92555397882327</v>
      </c>
      <c r="N771" s="2" t="s">
        <v>50</v>
      </c>
    </row>
    <row r="772" customFormat="false" ht="15" hidden="false" customHeight="false" outlineLevel="0" collapsed="false">
      <c r="A772" s="2" t="n">
        <v>771</v>
      </c>
      <c r="B772" s="2" t="s">
        <v>1692</v>
      </c>
      <c r="C772" s="2" t="s">
        <v>1693</v>
      </c>
      <c r="D772" s="2" t="s">
        <v>33</v>
      </c>
      <c r="E772" s="2" t="s">
        <v>49</v>
      </c>
      <c r="F772" s="3" t="n">
        <v>0.000371</v>
      </c>
      <c r="G772" s="3" t="n">
        <f aca="false">SUM($F$2:F772)</f>
        <v>0.948378</v>
      </c>
      <c r="H772" s="4" t="n">
        <v>39.55</v>
      </c>
      <c r="I772" s="5" t="n">
        <v>82.3958</v>
      </c>
      <c r="J772" s="4" t="n">
        <v>0.48</v>
      </c>
      <c r="K772" s="5" t="n">
        <v>2.0252</v>
      </c>
      <c r="L772" s="6" t="n">
        <v>6.6118</v>
      </c>
      <c r="M772" s="5" t="n">
        <f aca="false">IF(AND(N(K772)&gt;0,N(L772)&gt;0),K772/L772,"")</f>
        <v>0.306300856045252</v>
      </c>
      <c r="N772" s="2"/>
    </row>
    <row r="773" customFormat="false" ht="15" hidden="false" customHeight="false" outlineLevel="0" collapsed="false">
      <c r="A773" s="2" t="n">
        <v>772</v>
      </c>
      <c r="B773" s="2" t="s">
        <v>1694</v>
      </c>
      <c r="C773" s="2" t="s">
        <v>1695</v>
      </c>
      <c r="D773" s="2" t="s">
        <v>58</v>
      </c>
      <c r="E773" s="2" t="s">
        <v>326</v>
      </c>
      <c r="F773" s="3" t="n">
        <v>0.000369</v>
      </c>
      <c r="G773" s="3" t="n">
        <f aca="false">SUM($F$2:F773)</f>
        <v>0.948747</v>
      </c>
      <c r="H773" s="4" t="n">
        <v>34.55</v>
      </c>
      <c r="I773" s="5" t="n">
        <v>12.7963</v>
      </c>
      <c r="J773" s="4" t="n">
        <v>2.7</v>
      </c>
      <c r="K773" s="5" t="n">
        <v>2.1626</v>
      </c>
      <c r="L773" s="6" t="n">
        <v>0.7012</v>
      </c>
      <c r="M773" s="5" t="n">
        <f aca="false">IF(AND(N(K773)&gt;0,N(L773)&gt;0),K773/L773,"")</f>
        <v>3.08414147176269</v>
      </c>
      <c r="N773" s="2"/>
    </row>
    <row r="774" customFormat="false" ht="15" hidden="false" customHeight="false" outlineLevel="0" collapsed="false">
      <c r="A774" s="2" t="n">
        <v>773</v>
      </c>
      <c r="B774" s="2" t="s">
        <v>1696</v>
      </c>
      <c r="C774" s="2" t="s">
        <v>1697</v>
      </c>
      <c r="D774" s="2" t="s">
        <v>93</v>
      </c>
      <c r="E774" s="2" t="s">
        <v>1698</v>
      </c>
      <c r="F774" s="3" t="n">
        <v>0.000368</v>
      </c>
      <c r="G774" s="3" t="n">
        <f aca="false">SUM($F$2:F774)</f>
        <v>0.949115</v>
      </c>
      <c r="H774" s="4" t="n">
        <v>59.33</v>
      </c>
      <c r="I774" s="5"/>
      <c r="J774" s="4" t="n">
        <v>-1.67</v>
      </c>
      <c r="K774" s="5" t="n">
        <v>1.6833</v>
      </c>
      <c r="L774" s="6" t="n">
        <v>1.3758</v>
      </c>
      <c r="M774" s="5" t="n">
        <f aca="false">IF(AND(N(K774)&gt;0,N(L774)&gt;0),K774/L774,"")</f>
        <v>1.22350632359355</v>
      </c>
      <c r="N774" s="2" t="s">
        <v>50</v>
      </c>
    </row>
    <row r="775" customFormat="false" ht="15" hidden="false" customHeight="false" outlineLevel="0" collapsed="false">
      <c r="A775" s="2" t="n">
        <v>774</v>
      </c>
      <c r="B775" s="2" t="s">
        <v>1699</v>
      </c>
      <c r="C775" s="2" t="s">
        <v>1700</v>
      </c>
      <c r="D775" s="2" t="s">
        <v>22</v>
      </c>
      <c r="E775" s="2" t="s">
        <v>305</v>
      </c>
      <c r="F775" s="3" t="n">
        <v>0.000366</v>
      </c>
      <c r="G775" s="3" t="n">
        <f aca="false">SUM($F$2:F775)</f>
        <v>0.949481</v>
      </c>
      <c r="H775" s="4" t="n">
        <v>14.23</v>
      </c>
      <c r="I775" s="5"/>
      <c r="J775" s="4" t="n">
        <v>-0.05</v>
      </c>
      <c r="K775" s="5" t="n">
        <v>1.8806</v>
      </c>
      <c r="L775" s="6" t="n">
        <v>0.6974</v>
      </c>
      <c r="M775" s="5" t="n">
        <f aca="false">IF(AND(N(K775)&gt;0,N(L775)&gt;0),K775/L775,"")</f>
        <v>2.69658732434758</v>
      </c>
      <c r="N775" s="2" t="s">
        <v>50</v>
      </c>
    </row>
    <row r="776" customFormat="false" ht="15" hidden="false" customHeight="false" outlineLevel="0" collapsed="false">
      <c r="A776" s="2" t="n">
        <v>775</v>
      </c>
      <c r="B776" s="2" t="s">
        <v>1701</v>
      </c>
      <c r="C776" s="2" t="s">
        <v>1702</v>
      </c>
      <c r="D776" s="2" t="s">
        <v>16</v>
      </c>
      <c r="E776" s="2" t="s">
        <v>148</v>
      </c>
      <c r="F776" s="3" t="n">
        <v>0.000365</v>
      </c>
      <c r="G776" s="3" t="n">
        <f aca="false">SUM($F$2:F776)</f>
        <v>0.949846</v>
      </c>
      <c r="H776" s="4" t="n">
        <v>100.25</v>
      </c>
      <c r="I776" s="5" t="n">
        <v>65.954</v>
      </c>
      <c r="J776" s="4" t="n">
        <v>1.52</v>
      </c>
      <c r="K776" s="5" t="n">
        <v>2.8276</v>
      </c>
      <c r="L776" s="6" t="n">
        <v>8.5604</v>
      </c>
      <c r="M776" s="5" t="n">
        <f aca="false">IF(AND(N(K776)&gt;0,N(L776)&gt;0),K776/L776,"")</f>
        <v>0.33031166767908</v>
      </c>
      <c r="N776" s="2"/>
    </row>
    <row r="777" customFormat="false" ht="15" hidden="false" customHeight="false" outlineLevel="0" collapsed="false">
      <c r="A777" s="2" t="n">
        <v>776</v>
      </c>
      <c r="B777" s="2" t="s">
        <v>1703</v>
      </c>
      <c r="C777" s="2" t="s">
        <v>1704</v>
      </c>
      <c r="D777" s="2" t="s">
        <v>86</v>
      </c>
      <c r="E777" s="2" t="s">
        <v>442</v>
      </c>
      <c r="F777" s="3" t="n">
        <v>0.000365</v>
      </c>
      <c r="G777" s="3" t="n">
        <f aca="false">SUM($F$2:F777)</f>
        <v>0.950211</v>
      </c>
      <c r="H777" s="4" t="n">
        <v>19.35</v>
      </c>
      <c r="I777" s="5" t="n">
        <v>55.2857</v>
      </c>
      <c r="J777" s="4" t="n">
        <v>0.35</v>
      </c>
      <c r="K777" s="5" t="n">
        <v>2.8212</v>
      </c>
      <c r="L777" s="6" t="n">
        <v>6.7948</v>
      </c>
      <c r="M777" s="5" t="n">
        <f aca="false">IF(AND(N(K777)&gt;0,N(L777)&gt;0),K777/L777,"")</f>
        <v>0.415199858715488</v>
      </c>
      <c r="N777" s="2"/>
    </row>
    <row r="778" customFormat="false" ht="15" hidden="false" customHeight="false" outlineLevel="0" collapsed="false">
      <c r="A778" s="2" t="n">
        <v>777</v>
      </c>
      <c r="B778" s="2" t="s">
        <v>1705</v>
      </c>
      <c r="C778" s="2" t="s">
        <v>1706</v>
      </c>
      <c r="D778" s="2" t="s">
        <v>22</v>
      </c>
      <c r="E778" s="2" t="s">
        <v>83</v>
      </c>
      <c r="F778" s="3" t="n">
        <v>0.000364</v>
      </c>
      <c r="G778" s="3" t="n">
        <f aca="false">SUM($F$2:F778)</f>
        <v>0.950575</v>
      </c>
      <c r="H778" s="4" t="n">
        <v>45.12</v>
      </c>
      <c r="I778" s="5" t="n">
        <v>125.3333</v>
      </c>
      <c r="J778" s="4" t="n">
        <v>0.36</v>
      </c>
      <c r="K778" s="5" t="n">
        <v>2.0408</v>
      </c>
      <c r="L778" s="6" t="n">
        <v>2.1749</v>
      </c>
      <c r="M778" s="5" t="n">
        <f aca="false">IF(AND(N(K778)&gt;0,N(L778)&gt;0),K778/L778,"")</f>
        <v>0.938341992735298</v>
      </c>
      <c r="N778" s="2"/>
    </row>
    <row r="779" customFormat="false" ht="15" hidden="false" customHeight="false" outlineLevel="0" collapsed="false">
      <c r="A779" s="2" t="n">
        <v>778</v>
      </c>
      <c r="B779" s="2" t="s">
        <v>1707</v>
      </c>
      <c r="C779" s="2" t="s">
        <v>1708</v>
      </c>
      <c r="D779" s="2" t="s">
        <v>79</v>
      </c>
      <c r="E779" s="2" t="s">
        <v>80</v>
      </c>
      <c r="F779" s="3" t="n">
        <v>0.000363</v>
      </c>
      <c r="G779" s="3" t="n">
        <f aca="false">SUM($F$2:F779)</f>
        <v>0.950938</v>
      </c>
      <c r="H779" s="4" t="n">
        <v>13.82</v>
      </c>
      <c r="I779" s="5" t="n">
        <v>13.6832</v>
      </c>
      <c r="J779" s="4" t="n">
        <v>1.01</v>
      </c>
      <c r="K779" s="5" t="n">
        <v>1.7654</v>
      </c>
      <c r="L779" s="6" t="n">
        <v>3.3058</v>
      </c>
      <c r="M779" s="5" t="n">
        <f aca="false">IF(AND(N(K779)&gt;0,N(L779)&gt;0),K779/L779,"")</f>
        <v>0.534031096860064</v>
      </c>
      <c r="N779" s="2"/>
    </row>
    <row r="780" customFormat="false" ht="15" hidden="false" customHeight="false" outlineLevel="0" collapsed="false">
      <c r="A780" s="2" t="n">
        <v>779</v>
      </c>
      <c r="B780" s="2" t="s">
        <v>1709</v>
      </c>
      <c r="C780" s="2" t="s">
        <v>1710</v>
      </c>
      <c r="D780" s="2" t="s">
        <v>93</v>
      </c>
      <c r="E780" s="2" t="s">
        <v>181</v>
      </c>
      <c r="F780" s="3" t="n">
        <v>0.000363</v>
      </c>
      <c r="G780" s="3" t="n">
        <f aca="false">SUM($F$2:F780)</f>
        <v>0.951301</v>
      </c>
      <c r="H780" s="4" t="n">
        <v>32.64</v>
      </c>
      <c r="I780" s="5" t="n">
        <v>10.7368</v>
      </c>
      <c r="J780" s="4" t="n">
        <v>3.04</v>
      </c>
      <c r="K780" s="5" t="n">
        <v>2.1281</v>
      </c>
      <c r="L780" s="6" t="n">
        <v>0.1426</v>
      </c>
      <c r="M780" s="5" t="n">
        <f aca="false">IF(AND(N(K780)&gt;0,N(L780)&gt;0),K780/L780,"")</f>
        <v>14.9235624123422</v>
      </c>
      <c r="N780" s="2"/>
    </row>
    <row r="781" customFormat="false" ht="15" hidden="false" customHeight="false" outlineLevel="0" collapsed="false">
      <c r="A781" s="2" t="n">
        <v>780</v>
      </c>
      <c r="B781" s="2" t="s">
        <v>1711</v>
      </c>
      <c r="C781" s="2" t="s">
        <v>1712</v>
      </c>
      <c r="D781" s="2" t="s">
        <v>79</v>
      </c>
      <c r="E781" s="2" t="s">
        <v>227</v>
      </c>
      <c r="F781" s="3" t="n">
        <v>0.000362</v>
      </c>
      <c r="G781" s="3" t="n">
        <f aca="false">SUM($F$2:F781)</f>
        <v>0.951663</v>
      </c>
      <c r="H781" s="4" t="n">
        <v>129.85</v>
      </c>
      <c r="I781" s="5" t="n">
        <v>7.4031</v>
      </c>
      <c r="J781" s="4" t="n">
        <v>17.54</v>
      </c>
      <c r="K781" s="5" t="n">
        <v>0.86</v>
      </c>
      <c r="L781" s="6" t="n">
        <v>1.042</v>
      </c>
      <c r="M781" s="5" t="n">
        <f aca="false">IF(AND(N(K781)&gt;0,N(L781)&gt;0),K781/L781,"")</f>
        <v>0.825335892514395</v>
      </c>
      <c r="N781" s="2"/>
    </row>
    <row r="782" customFormat="false" ht="15" hidden="false" customHeight="false" outlineLevel="0" collapsed="false">
      <c r="A782" s="2" t="n">
        <v>781</v>
      </c>
      <c r="B782" s="2" t="s">
        <v>1713</v>
      </c>
      <c r="C782" s="2" t="s">
        <v>1714</v>
      </c>
      <c r="D782" s="2" t="s">
        <v>93</v>
      </c>
      <c r="E782" s="2" t="s">
        <v>678</v>
      </c>
      <c r="F782" s="3" t="n">
        <v>0.000357</v>
      </c>
      <c r="G782" s="3" t="n">
        <f aca="false">SUM($F$2:F782)</f>
        <v>0.95202</v>
      </c>
      <c r="H782" s="4" t="n">
        <v>119.86</v>
      </c>
      <c r="I782" s="5" t="n">
        <v>19.2392</v>
      </c>
      <c r="J782" s="4" t="n">
        <v>6.23</v>
      </c>
      <c r="K782" s="5" t="n">
        <v>2.1482</v>
      </c>
      <c r="L782" s="6" t="n">
        <v>3.8227</v>
      </c>
      <c r="M782" s="5" t="n">
        <f aca="false">IF(AND(N(K782)&gt;0,N(L782)&gt;0),K782/L782,"")</f>
        <v>0.561958824914328</v>
      </c>
      <c r="N782" s="2"/>
    </row>
    <row r="783" customFormat="false" ht="15" hidden="false" customHeight="false" outlineLevel="0" collapsed="false">
      <c r="A783" s="2" t="n">
        <v>782</v>
      </c>
      <c r="B783" s="2" t="s">
        <v>1715</v>
      </c>
      <c r="C783" s="2" t="s">
        <v>1716</v>
      </c>
      <c r="D783" s="2" t="s">
        <v>79</v>
      </c>
      <c r="E783" s="2" t="s">
        <v>80</v>
      </c>
      <c r="F783" s="3" t="n">
        <v>0.000356</v>
      </c>
      <c r="G783" s="3" t="n">
        <f aca="false">SUM($F$2:F783)</f>
        <v>0.952376</v>
      </c>
      <c r="H783" s="4" t="n">
        <v>15.3</v>
      </c>
      <c r="I783" s="5" t="n">
        <v>14.8544</v>
      </c>
      <c r="J783" s="4" t="n">
        <v>1.03</v>
      </c>
      <c r="K783" s="5" t="n">
        <v>2.2399</v>
      </c>
      <c r="L783" s="6" t="n">
        <v>3.4227</v>
      </c>
      <c r="M783" s="5" t="n">
        <f aca="false">IF(AND(N(K783)&gt;0,N(L783)&gt;0),K783/L783,"")</f>
        <v>0.654424869255266</v>
      </c>
      <c r="N783" s="2"/>
    </row>
    <row r="784" customFormat="false" ht="15" hidden="false" customHeight="false" outlineLevel="0" collapsed="false">
      <c r="A784" s="2" t="n">
        <v>783</v>
      </c>
      <c r="B784" s="2" t="s">
        <v>1717</v>
      </c>
      <c r="C784" s="2" t="s">
        <v>1718</v>
      </c>
      <c r="D784" s="2" t="s">
        <v>93</v>
      </c>
      <c r="E784" s="2" t="s">
        <v>1005</v>
      </c>
      <c r="F784" s="3" t="n">
        <v>0.000355</v>
      </c>
      <c r="G784" s="3" t="n">
        <f aca="false">SUM($F$2:F784)</f>
        <v>0.952731</v>
      </c>
      <c r="H784" s="4" t="n">
        <v>56.73</v>
      </c>
      <c r="I784" s="5" t="n">
        <v>14.812</v>
      </c>
      <c r="J784" s="4" t="n">
        <v>3.83</v>
      </c>
      <c r="K784" s="5" t="n">
        <v>2.9042</v>
      </c>
      <c r="L784" s="6" t="n">
        <v>0.8524</v>
      </c>
      <c r="M784" s="5" t="n">
        <f aca="false">IF(AND(N(K784)&gt;0,N(L784)&gt;0),K784/L784,"")</f>
        <v>3.40708587517597</v>
      </c>
      <c r="N784" s="2"/>
    </row>
    <row r="785" customFormat="false" ht="15" hidden="false" customHeight="false" outlineLevel="0" collapsed="false">
      <c r="A785" s="2" t="n">
        <v>784</v>
      </c>
      <c r="B785" s="2" t="s">
        <v>1719</v>
      </c>
      <c r="C785" s="2" t="s">
        <v>1720</v>
      </c>
      <c r="D785" s="2" t="s">
        <v>86</v>
      </c>
      <c r="E785" s="2" t="s">
        <v>266</v>
      </c>
      <c r="F785" s="3" t="n">
        <v>0.000354</v>
      </c>
      <c r="G785" s="3" t="n">
        <f aca="false">SUM($F$2:F785)</f>
        <v>0.953085</v>
      </c>
      <c r="H785" s="4" t="n">
        <v>42.88</v>
      </c>
      <c r="I785" s="5" t="n">
        <v>15.3143</v>
      </c>
      <c r="J785" s="4" t="n">
        <v>2.8</v>
      </c>
      <c r="K785" s="5" t="n">
        <v>2.3115</v>
      </c>
      <c r="L785" s="6" t="n">
        <v>6.8008</v>
      </c>
      <c r="M785" s="5" t="n">
        <f aca="false">IF(AND(N(K785)&gt;0,N(L785)&gt;0),K785/L785,"")</f>
        <v>0.339886483943066</v>
      </c>
      <c r="N785" s="2"/>
    </row>
    <row r="786" customFormat="false" ht="15" hidden="false" customHeight="false" outlineLevel="0" collapsed="false">
      <c r="A786" s="2" t="n">
        <v>785</v>
      </c>
      <c r="B786" s="2" t="s">
        <v>1721</v>
      </c>
      <c r="C786" s="2" t="s">
        <v>1722</v>
      </c>
      <c r="D786" s="2" t="s">
        <v>26</v>
      </c>
      <c r="E786" s="2" t="s">
        <v>103</v>
      </c>
      <c r="F786" s="3" t="n">
        <v>0.000353</v>
      </c>
      <c r="G786" s="3" t="n">
        <f aca="false">SUM($F$2:F786)</f>
        <v>0.953438</v>
      </c>
      <c r="H786" s="4" t="n">
        <v>23.78</v>
      </c>
      <c r="I786" s="5"/>
      <c r="J786" s="4" t="n">
        <v>-4.83</v>
      </c>
      <c r="K786" s="5" t="n">
        <v>2.5337</v>
      </c>
      <c r="L786" s="6" t="n">
        <v>1.2592</v>
      </c>
      <c r="M786" s="5" t="n">
        <f aca="false">IF(AND(N(K786)&gt;0,N(L786)&gt;0),K786/L786,"")</f>
        <v>2.01215057179161</v>
      </c>
      <c r="N786" s="2" t="s">
        <v>50</v>
      </c>
    </row>
    <row r="787" customFormat="false" ht="15" hidden="false" customHeight="false" outlineLevel="0" collapsed="false">
      <c r="A787" s="2" t="n">
        <v>786</v>
      </c>
      <c r="B787" s="2" t="s">
        <v>1723</v>
      </c>
      <c r="C787" s="2" t="s">
        <v>1724</v>
      </c>
      <c r="D787" s="2" t="s">
        <v>93</v>
      </c>
      <c r="E787" s="2" t="s">
        <v>238</v>
      </c>
      <c r="F787" s="3" t="n">
        <v>0.000351</v>
      </c>
      <c r="G787" s="3" t="n">
        <f aca="false">SUM($F$2:F787)</f>
        <v>0.953789</v>
      </c>
      <c r="H787" s="4" t="n">
        <v>67.56</v>
      </c>
      <c r="I787" s="5" t="n">
        <v>10.1747</v>
      </c>
      <c r="J787" s="4" t="n">
        <v>6.64</v>
      </c>
      <c r="K787" s="5" t="n">
        <v>2.9058</v>
      </c>
      <c r="L787" s="6" t="n">
        <v>1.4756</v>
      </c>
      <c r="M787" s="5" t="n">
        <f aca="false">IF(AND(N(K787)&gt;0,N(L787)&gt;0),K787/L787,"")</f>
        <v>1.9692328544321</v>
      </c>
      <c r="N787" s="2"/>
    </row>
    <row r="788" customFormat="false" ht="15" hidden="false" customHeight="false" outlineLevel="0" collapsed="false">
      <c r="A788" s="2" t="n">
        <v>787</v>
      </c>
      <c r="B788" s="2" t="s">
        <v>1725</v>
      </c>
      <c r="C788" s="2" t="s">
        <v>1726</v>
      </c>
      <c r="D788" s="2" t="s">
        <v>16</v>
      </c>
      <c r="E788" s="2" t="s">
        <v>37</v>
      </c>
      <c r="F788" s="3" t="n">
        <v>0.000351</v>
      </c>
      <c r="G788" s="3" t="n">
        <f aca="false">SUM($F$2:F788)</f>
        <v>0.95414</v>
      </c>
      <c r="H788" s="4" t="n">
        <v>57.29</v>
      </c>
      <c r="I788" s="5" t="n">
        <v>15.739</v>
      </c>
      <c r="J788" s="4" t="n">
        <v>3.64</v>
      </c>
      <c r="K788" s="5" t="n">
        <v>1.154</v>
      </c>
      <c r="L788" s="6" t="n">
        <v>0.3577</v>
      </c>
      <c r="M788" s="5" t="n">
        <f aca="false">IF(AND(N(K788)&gt;0,N(L788)&gt;0),K788/L788,"")</f>
        <v>3.22616717920045</v>
      </c>
      <c r="N788" s="2"/>
    </row>
    <row r="789" customFormat="false" ht="15" hidden="false" customHeight="false" outlineLevel="0" collapsed="false">
      <c r="A789" s="2" t="n">
        <v>788</v>
      </c>
      <c r="B789" s="2" t="s">
        <v>1727</v>
      </c>
      <c r="C789" s="2" t="s">
        <v>1728</v>
      </c>
      <c r="D789" s="2" t="s">
        <v>86</v>
      </c>
      <c r="E789" s="2" t="s">
        <v>442</v>
      </c>
      <c r="F789" s="3" t="n">
        <v>0.000349</v>
      </c>
      <c r="G789" s="3" t="n">
        <f aca="false">SUM($F$2:F789)</f>
        <v>0.954489</v>
      </c>
      <c r="H789" s="4" t="n">
        <v>22.62</v>
      </c>
      <c r="I789" s="5" t="n">
        <v>20.5636</v>
      </c>
      <c r="J789" s="4" t="n">
        <v>1.1</v>
      </c>
      <c r="K789" s="5" t="n">
        <v>2.4827</v>
      </c>
      <c r="L789" s="6" t="n">
        <v>8.1028</v>
      </c>
      <c r="M789" s="5" t="n">
        <f aca="false">IF(AND(N(K789)&gt;0,N(L789)&gt;0),K789/L789,"")</f>
        <v>0.306400256701387</v>
      </c>
      <c r="N789" s="2"/>
    </row>
    <row r="790" customFormat="false" ht="15" hidden="false" customHeight="false" outlineLevel="0" collapsed="false">
      <c r="A790" s="2" t="n">
        <v>789</v>
      </c>
      <c r="B790" s="2" t="s">
        <v>1729</v>
      </c>
      <c r="C790" s="2" t="s">
        <v>1730</v>
      </c>
      <c r="D790" s="2" t="s">
        <v>33</v>
      </c>
      <c r="E790" s="2" t="s">
        <v>46</v>
      </c>
      <c r="F790" s="3" t="n">
        <v>0.000347</v>
      </c>
      <c r="G790" s="3" t="n">
        <f aca="false">SUM($F$2:F790)</f>
        <v>0.954836</v>
      </c>
      <c r="H790" s="4" t="n">
        <v>115.36</v>
      </c>
      <c r="I790" s="5" t="n">
        <v>20.2386</v>
      </c>
      <c r="J790" s="4" t="n">
        <v>5.7</v>
      </c>
      <c r="K790" s="5" t="n">
        <v>2.1543</v>
      </c>
      <c r="L790" s="6" t="n">
        <v>1.4591</v>
      </c>
      <c r="M790" s="5" t="n">
        <f aca="false">IF(AND(N(K790)&gt;0,N(L790)&gt;0),K790/L790,"")</f>
        <v>1.4764580906038</v>
      </c>
      <c r="N790" s="2"/>
    </row>
    <row r="791" customFormat="false" ht="15" hidden="false" customHeight="false" outlineLevel="0" collapsed="false">
      <c r="A791" s="2" t="n">
        <v>790</v>
      </c>
      <c r="B791" s="2" t="s">
        <v>1731</v>
      </c>
      <c r="C791" s="2" t="s">
        <v>1732</v>
      </c>
      <c r="D791" s="2" t="s">
        <v>93</v>
      </c>
      <c r="E791" s="2" t="s">
        <v>285</v>
      </c>
      <c r="F791" s="3" t="n">
        <v>0.000346</v>
      </c>
      <c r="G791" s="3" t="n">
        <f aca="false">SUM($F$2:F791)</f>
        <v>0.955182</v>
      </c>
      <c r="H791" s="4" t="n">
        <v>61.11</v>
      </c>
      <c r="I791" s="5" t="n">
        <v>32.3333</v>
      </c>
      <c r="J791" s="4" t="n">
        <v>1.89</v>
      </c>
      <c r="K791" s="5" t="n">
        <v>1.3</v>
      </c>
      <c r="L791" s="6" t="n">
        <v>0.9075</v>
      </c>
      <c r="M791" s="5" t="n">
        <f aca="false">IF(AND(N(K791)&gt;0,N(L791)&gt;0),K791/L791,"")</f>
        <v>1.43250688705234</v>
      </c>
      <c r="N791" s="2"/>
    </row>
    <row r="792" customFormat="false" ht="15" hidden="false" customHeight="false" outlineLevel="0" collapsed="false">
      <c r="A792" s="2" t="n">
        <v>791</v>
      </c>
      <c r="B792" s="2" t="s">
        <v>1733</v>
      </c>
      <c r="C792" s="2" t="s">
        <v>1734</v>
      </c>
      <c r="D792" s="2" t="s">
        <v>86</v>
      </c>
      <c r="E792" s="2" t="s">
        <v>717</v>
      </c>
      <c r="F792" s="3" t="n">
        <v>0.000344</v>
      </c>
      <c r="G792" s="3" t="n">
        <f aca="false">SUM($F$2:F792)</f>
        <v>0.955526</v>
      </c>
      <c r="H792" s="4" t="n">
        <v>10.41</v>
      </c>
      <c r="I792" s="5"/>
      <c r="J792" s="4" t="n">
        <v>-0.15</v>
      </c>
      <c r="K792" s="5" t="n">
        <v>2.0932</v>
      </c>
      <c r="L792" s="6" t="n">
        <v>2.0776</v>
      </c>
      <c r="M792" s="5" t="n">
        <f aca="false">IF(AND(N(K792)&gt;0,N(L792)&gt;0),K792/L792,"")</f>
        <v>1.0075086638429</v>
      </c>
      <c r="N792" s="2" t="s">
        <v>50</v>
      </c>
    </row>
    <row r="793" customFormat="false" ht="15" hidden="false" customHeight="false" outlineLevel="0" collapsed="false">
      <c r="A793" s="2" t="n">
        <v>792</v>
      </c>
      <c r="B793" s="2" t="s">
        <v>1735</v>
      </c>
      <c r="C793" s="2" t="s">
        <v>1736</v>
      </c>
      <c r="D793" s="2" t="s">
        <v>79</v>
      </c>
      <c r="E793" s="2" t="s">
        <v>80</v>
      </c>
      <c r="F793" s="3" t="n">
        <v>0.000344</v>
      </c>
      <c r="G793" s="3" t="n">
        <f aca="false">SUM($F$2:F793)</f>
        <v>0.95587</v>
      </c>
      <c r="H793" s="4" t="n">
        <v>33.29</v>
      </c>
      <c r="I793" s="5" t="n">
        <v>21.6169</v>
      </c>
      <c r="J793" s="4" t="n">
        <v>1.54</v>
      </c>
      <c r="K793" s="5" t="n">
        <v>3.2232</v>
      </c>
      <c r="L793" s="6" t="n">
        <v>4.7249</v>
      </c>
      <c r="M793" s="5" t="n">
        <f aca="false">IF(AND(N(K793)&gt;0,N(L793)&gt;0),K793/L793,"")</f>
        <v>0.682173167686089</v>
      </c>
      <c r="N793" s="2"/>
    </row>
    <row r="794" customFormat="false" ht="15" hidden="false" customHeight="false" outlineLevel="0" collapsed="false">
      <c r="A794" s="2" t="n">
        <v>793</v>
      </c>
      <c r="B794" s="2" t="s">
        <v>1737</v>
      </c>
      <c r="C794" s="2" t="s">
        <v>1738</v>
      </c>
      <c r="D794" s="2" t="s">
        <v>66</v>
      </c>
      <c r="E794" s="2" t="s">
        <v>668</v>
      </c>
      <c r="F794" s="3" t="n">
        <v>0.000341</v>
      </c>
      <c r="G794" s="3" t="n">
        <f aca="false">SUM($F$2:F794)</f>
        <v>0.956211</v>
      </c>
      <c r="H794" s="4" t="n">
        <v>13.44</v>
      </c>
      <c r="I794" s="5" t="n">
        <v>38.4</v>
      </c>
      <c r="J794" s="4" t="n">
        <v>0.35</v>
      </c>
      <c r="K794" s="5" t="n">
        <v>2.083</v>
      </c>
      <c r="L794" s="6" t="n">
        <v>2.7094</v>
      </c>
      <c r="M794" s="5" t="n">
        <f aca="false">IF(AND(N(K794)&gt;0,N(L794)&gt;0),K794/L794,"")</f>
        <v>0.768804901454197</v>
      </c>
      <c r="N794" s="2"/>
    </row>
    <row r="795" customFormat="false" ht="15" hidden="false" customHeight="false" outlineLevel="0" collapsed="false">
      <c r="A795" s="2" t="n">
        <v>794</v>
      </c>
      <c r="B795" s="2" t="s">
        <v>1739</v>
      </c>
      <c r="C795" s="2" t="s">
        <v>1740</v>
      </c>
      <c r="D795" s="2" t="s">
        <v>86</v>
      </c>
      <c r="E795" s="2" t="s">
        <v>442</v>
      </c>
      <c r="F795" s="3" t="n">
        <v>0.00034</v>
      </c>
      <c r="G795" s="3" t="n">
        <f aca="false">SUM($F$2:F795)</f>
        <v>0.956551</v>
      </c>
      <c r="H795" s="4" t="n">
        <v>18.15</v>
      </c>
      <c r="I795" s="5" t="n">
        <v>129.6429</v>
      </c>
      <c r="J795" s="4" t="n">
        <v>0.14</v>
      </c>
      <c r="K795" s="5" t="n">
        <v>1.85</v>
      </c>
      <c r="L795" s="6" t="n">
        <v>8.4416</v>
      </c>
      <c r="M795" s="5" t="n">
        <f aca="false">IF(AND(N(K795)&gt;0,N(L795)&gt;0),K795/L795,"")</f>
        <v>0.219152767247915</v>
      </c>
      <c r="N795" s="2"/>
    </row>
    <row r="796" customFormat="false" ht="15" hidden="false" customHeight="false" outlineLevel="0" collapsed="false">
      <c r="A796" s="2" t="n">
        <v>795</v>
      </c>
      <c r="B796" s="2" t="s">
        <v>1741</v>
      </c>
      <c r="C796" s="2" t="s">
        <v>1742</v>
      </c>
      <c r="D796" s="2" t="s">
        <v>16</v>
      </c>
      <c r="E796" s="2" t="s">
        <v>17</v>
      </c>
      <c r="F796" s="3" t="n">
        <v>0.000338</v>
      </c>
      <c r="G796" s="3" t="n">
        <f aca="false">SUM($F$2:F796)</f>
        <v>0.956889</v>
      </c>
      <c r="H796" s="4" t="n">
        <v>26.94</v>
      </c>
      <c r="I796" s="5" t="n">
        <v>46.4483</v>
      </c>
      <c r="J796" s="4" t="n">
        <v>0.58</v>
      </c>
      <c r="K796" s="5" t="n">
        <v>1.9561</v>
      </c>
      <c r="L796" s="6" t="n">
        <v>6.3064</v>
      </c>
      <c r="M796" s="5" t="n">
        <f aca="false">IF(AND(N(K796)&gt;0,N(L796)&gt;0),K796/L796,"")</f>
        <v>0.31017696308512</v>
      </c>
      <c r="N796" s="2"/>
    </row>
    <row r="797" customFormat="false" ht="15" hidden="false" customHeight="false" outlineLevel="0" collapsed="false">
      <c r="A797" s="2" t="n">
        <v>796</v>
      </c>
      <c r="B797" s="2" t="s">
        <v>1743</v>
      </c>
      <c r="C797" s="2" t="s">
        <v>1744</v>
      </c>
      <c r="D797" s="2" t="s">
        <v>22</v>
      </c>
      <c r="E797" s="2" t="s">
        <v>1051</v>
      </c>
      <c r="F797" s="3" t="n">
        <v>0.000337</v>
      </c>
      <c r="G797" s="3" t="n">
        <f aca="false">SUM($F$2:F797)</f>
        <v>0.957226</v>
      </c>
      <c r="H797" s="4" t="n">
        <v>50.26</v>
      </c>
      <c r="I797" s="5"/>
      <c r="J797" s="4" t="n">
        <v>-0.44</v>
      </c>
      <c r="K797" s="5" t="n">
        <v>1.9197</v>
      </c>
      <c r="L797" s="6" t="n">
        <v>0.2794</v>
      </c>
      <c r="M797" s="5" t="n">
        <f aca="false">IF(AND(N(K797)&gt;0,N(L797)&gt;0),K797/L797,"")</f>
        <v>6.87079455977094</v>
      </c>
      <c r="N797" s="2" t="s">
        <v>50</v>
      </c>
    </row>
    <row r="798" customFormat="false" ht="15" hidden="false" customHeight="false" outlineLevel="0" collapsed="false">
      <c r="A798" s="2" t="n">
        <v>797</v>
      </c>
      <c r="B798" s="2" t="s">
        <v>1745</v>
      </c>
      <c r="C798" s="2" t="s">
        <v>1746</v>
      </c>
      <c r="D798" s="2" t="s">
        <v>79</v>
      </c>
      <c r="E798" s="2" t="s">
        <v>360</v>
      </c>
      <c r="F798" s="3" t="n">
        <v>0.000337</v>
      </c>
      <c r="G798" s="3" t="n">
        <f aca="false">SUM($F$2:F798)</f>
        <v>0.957563</v>
      </c>
      <c r="H798" s="4" t="n">
        <v>103.64</v>
      </c>
      <c r="I798" s="5" t="n">
        <v>22.2882</v>
      </c>
      <c r="J798" s="4" t="n">
        <v>4.65</v>
      </c>
      <c r="K798" s="5" t="n">
        <v>1.5215</v>
      </c>
      <c r="L798" s="6" t="n">
        <v>1.1828</v>
      </c>
      <c r="M798" s="5" t="n">
        <f aca="false">IF(AND(N(K798)&gt;0,N(L798)&gt;0),K798/L798,"")</f>
        <v>1.28635441325668</v>
      </c>
      <c r="N798" s="2"/>
    </row>
    <row r="799" customFormat="false" ht="15" hidden="false" customHeight="false" outlineLevel="0" collapsed="false">
      <c r="A799" s="2" t="n">
        <v>798</v>
      </c>
      <c r="B799" s="2" t="s">
        <v>1747</v>
      </c>
      <c r="C799" s="2" t="s">
        <v>1748</v>
      </c>
      <c r="D799" s="2" t="s">
        <v>22</v>
      </c>
      <c r="E799" s="2" t="s">
        <v>23</v>
      </c>
      <c r="F799" s="3" t="n">
        <v>0.000336</v>
      </c>
      <c r="G799" s="3" t="n">
        <f aca="false">SUM($F$2:F799)</f>
        <v>0.957899</v>
      </c>
      <c r="H799" s="4" t="n">
        <v>12.88</v>
      </c>
      <c r="I799" s="5" t="n">
        <v>17.8889</v>
      </c>
      <c r="J799" s="4" t="n">
        <v>0.72</v>
      </c>
      <c r="K799" s="5" t="n">
        <v>2.7321</v>
      </c>
      <c r="L799" s="6" t="n">
        <v>2.3405</v>
      </c>
      <c r="M799" s="5" t="n">
        <f aca="false">IF(AND(N(K799)&gt;0,N(L799)&gt;0),K799/L799,"")</f>
        <v>1.16731467635121</v>
      </c>
      <c r="N799" s="2"/>
    </row>
    <row r="800" customFormat="false" ht="15" hidden="false" customHeight="false" outlineLevel="0" collapsed="false">
      <c r="A800" s="2" t="n">
        <v>799</v>
      </c>
      <c r="B800" s="2" t="s">
        <v>1749</v>
      </c>
      <c r="C800" s="2" t="s">
        <v>1750</v>
      </c>
      <c r="D800" s="2" t="s">
        <v>16</v>
      </c>
      <c r="E800" s="2" t="s">
        <v>17</v>
      </c>
      <c r="F800" s="3" t="n">
        <v>0.000335</v>
      </c>
      <c r="G800" s="3" t="n">
        <f aca="false">SUM($F$2:F800)</f>
        <v>0.958234</v>
      </c>
      <c r="H800" s="4" t="n">
        <v>27.82</v>
      </c>
      <c r="I800" s="5" t="n">
        <v>18.0649</v>
      </c>
      <c r="J800" s="4" t="n">
        <v>1.54</v>
      </c>
      <c r="K800" s="5" t="n">
        <v>1.6623</v>
      </c>
      <c r="L800" s="6" t="n">
        <v>1.6687</v>
      </c>
      <c r="M800" s="5" t="n">
        <f aca="false">IF(AND(N(K800)&gt;0,N(L800)&gt;0),K800/L800,"")</f>
        <v>0.996164679091508</v>
      </c>
      <c r="N800" s="2"/>
    </row>
    <row r="801" customFormat="false" ht="15" hidden="false" customHeight="false" outlineLevel="0" collapsed="false">
      <c r="A801" s="2" t="n">
        <v>800</v>
      </c>
      <c r="B801" s="2" t="s">
        <v>1751</v>
      </c>
      <c r="C801" s="2" t="s">
        <v>1752</v>
      </c>
      <c r="D801" s="2" t="s">
        <v>33</v>
      </c>
      <c r="E801" s="2" t="s">
        <v>555</v>
      </c>
      <c r="F801" s="3" t="n">
        <v>0.000335</v>
      </c>
      <c r="G801" s="3" t="n">
        <f aca="false">SUM($F$2:F801)</f>
        <v>0.958569</v>
      </c>
      <c r="H801" s="4" t="n">
        <v>30.24</v>
      </c>
      <c r="I801" s="5"/>
      <c r="J801" s="4" t="n">
        <v>-0.73</v>
      </c>
      <c r="K801" s="5" t="n">
        <v>2.2621</v>
      </c>
      <c r="L801" s="6" t="n">
        <v>8.7329</v>
      </c>
      <c r="M801" s="5" t="n">
        <f aca="false">IF(AND(N(K801)&gt;0,N(L801)&gt;0),K801/L801,"")</f>
        <v>0.259031936699149</v>
      </c>
      <c r="N801" s="2" t="s">
        <v>50</v>
      </c>
    </row>
    <row r="802" customFormat="false" ht="15" hidden="false" customHeight="false" outlineLevel="0" collapsed="false">
      <c r="A802" s="2" t="n">
        <v>801</v>
      </c>
      <c r="B802" s="2" t="s">
        <v>1753</v>
      </c>
      <c r="C802" s="2" t="s">
        <v>1754</v>
      </c>
      <c r="D802" s="2" t="s">
        <v>93</v>
      </c>
      <c r="E802" s="2" t="s">
        <v>846</v>
      </c>
      <c r="F802" s="3" t="n">
        <v>0.000334</v>
      </c>
      <c r="G802" s="3" t="n">
        <f aca="false">SUM($F$2:F802)</f>
        <v>0.958903</v>
      </c>
      <c r="H802" s="4" t="n">
        <v>14.31</v>
      </c>
      <c r="I802" s="5" t="n">
        <v>18.3462</v>
      </c>
      <c r="J802" s="4" t="n">
        <v>0.78</v>
      </c>
      <c r="K802" s="5" t="n">
        <v>1.6427</v>
      </c>
      <c r="L802" s="6" t="n">
        <v>0.4767</v>
      </c>
      <c r="M802" s="5" t="n">
        <f aca="false">IF(AND(N(K802)&gt;0,N(L802)&gt;0),K802/L802,"")</f>
        <v>3.44598279840571</v>
      </c>
      <c r="N802" s="2"/>
    </row>
    <row r="803" customFormat="false" ht="15" hidden="false" customHeight="false" outlineLevel="0" collapsed="false">
      <c r="A803" s="2" t="n">
        <v>802</v>
      </c>
      <c r="B803" s="2" t="s">
        <v>1755</v>
      </c>
      <c r="C803" s="2" t="s">
        <v>1756</v>
      </c>
      <c r="D803" s="2" t="s">
        <v>33</v>
      </c>
      <c r="E803" s="2" t="s">
        <v>49</v>
      </c>
      <c r="F803" s="3" t="n">
        <v>0.000332</v>
      </c>
      <c r="G803" s="3" t="n">
        <f aca="false">SUM($F$2:F803)</f>
        <v>0.959235</v>
      </c>
      <c r="H803" s="4" t="n">
        <v>9.51</v>
      </c>
      <c r="I803" s="5" t="n">
        <v>13.5786</v>
      </c>
      <c r="J803" s="4" t="n">
        <v>0.7</v>
      </c>
      <c r="K803" s="5" t="n">
        <v>2.129</v>
      </c>
      <c r="L803" s="6" t="n">
        <v>4.1559</v>
      </c>
      <c r="M803" s="5" t="n">
        <f aca="false">IF(AND(N(K803)&gt;0,N(L803)&gt;0),K803/L803,"")</f>
        <v>0.512283741187228</v>
      </c>
      <c r="N803" s="2"/>
    </row>
    <row r="804" customFormat="false" ht="15" hidden="false" customHeight="false" outlineLevel="0" collapsed="false">
      <c r="A804" s="2" t="n">
        <v>803</v>
      </c>
      <c r="B804" s="2" t="s">
        <v>1757</v>
      </c>
      <c r="C804" s="2" t="s">
        <v>1758</v>
      </c>
      <c r="D804" s="2" t="s">
        <v>171</v>
      </c>
      <c r="E804" s="2" t="s">
        <v>496</v>
      </c>
      <c r="F804" s="3" t="n">
        <v>0.000331</v>
      </c>
      <c r="G804" s="3" t="n">
        <f aca="false">SUM($F$2:F804)</f>
        <v>0.959566</v>
      </c>
      <c r="H804" s="4" t="n">
        <v>48.07</v>
      </c>
      <c r="I804" s="5" t="n">
        <v>16.0769</v>
      </c>
      <c r="J804" s="4" t="n">
        <v>2.99</v>
      </c>
      <c r="K804" s="5" t="n">
        <v>2.0234</v>
      </c>
      <c r="L804" s="6" t="n">
        <v>1.5651</v>
      </c>
      <c r="M804" s="5" t="n">
        <f aca="false">IF(AND(N(K804)&gt;0,N(L804)&gt;0),K804/L804,"")</f>
        <v>1.29282473963325</v>
      </c>
      <c r="N804" s="2"/>
    </row>
    <row r="805" customFormat="false" ht="15" hidden="false" customHeight="false" outlineLevel="0" collapsed="false">
      <c r="A805" s="2" t="n">
        <v>804</v>
      </c>
      <c r="B805" s="2" t="s">
        <v>1759</v>
      </c>
      <c r="C805" s="2" t="s">
        <v>1760</v>
      </c>
      <c r="D805" s="2" t="s">
        <v>58</v>
      </c>
      <c r="E805" s="2" t="s">
        <v>326</v>
      </c>
      <c r="F805" s="3" t="n">
        <v>0.000325</v>
      </c>
      <c r="G805" s="3" t="n">
        <f aca="false">SUM($F$2:F805)</f>
        <v>0.959891</v>
      </c>
      <c r="H805" s="4" t="n">
        <v>102.5</v>
      </c>
      <c r="I805" s="5" t="n">
        <v>14.6848</v>
      </c>
      <c r="J805" s="4" t="n">
        <v>6.98</v>
      </c>
      <c r="K805" s="5" t="n">
        <v>2.7973</v>
      </c>
      <c r="L805" s="6" t="n">
        <v>1.4495</v>
      </c>
      <c r="M805" s="5" t="n">
        <f aca="false">IF(AND(N(K805)&gt;0,N(L805)&gt;0),K805/L805,"")</f>
        <v>1.92983787512935</v>
      </c>
      <c r="N805" s="2"/>
    </row>
    <row r="806" customFormat="false" ht="15" hidden="false" customHeight="false" outlineLevel="0" collapsed="false">
      <c r="A806" s="2" t="n">
        <v>805</v>
      </c>
      <c r="B806" s="2" t="s">
        <v>1761</v>
      </c>
      <c r="C806" s="2" t="s">
        <v>1762</v>
      </c>
      <c r="D806" s="2" t="s">
        <v>16</v>
      </c>
      <c r="E806" s="2" t="s">
        <v>178</v>
      </c>
      <c r="F806" s="3" t="n">
        <v>0.000324</v>
      </c>
      <c r="G806" s="3" t="n">
        <f aca="false">SUM($F$2:F806)</f>
        <v>0.960215</v>
      </c>
      <c r="H806" s="4" t="n">
        <v>32.89</v>
      </c>
      <c r="I806" s="5" t="n">
        <v>16.9536</v>
      </c>
      <c r="J806" s="4" t="n">
        <v>1.94</v>
      </c>
      <c r="K806" s="5" t="n">
        <v>1.3485</v>
      </c>
      <c r="L806" s="6" t="n">
        <v>0.3399</v>
      </c>
      <c r="M806" s="5" t="n">
        <f aca="false">IF(AND(N(K806)&gt;0,N(L806)&gt;0),K806/L806,"")</f>
        <v>3.96734333627538</v>
      </c>
      <c r="N806" s="2"/>
    </row>
    <row r="807" customFormat="false" ht="15" hidden="false" customHeight="false" outlineLevel="0" collapsed="false">
      <c r="A807" s="2" t="n">
        <v>806</v>
      </c>
      <c r="B807" s="2" t="s">
        <v>1763</v>
      </c>
      <c r="C807" s="2" t="s">
        <v>1764</v>
      </c>
      <c r="D807" s="2" t="s">
        <v>79</v>
      </c>
      <c r="E807" s="2" t="s">
        <v>288</v>
      </c>
      <c r="F807" s="3" t="n">
        <v>0.000322</v>
      </c>
      <c r="G807" s="3" t="n">
        <f aca="false">SUM($F$2:F807)</f>
        <v>0.960537</v>
      </c>
      <c r="H807" s="4" t="n">
        <v>30.11</v>
      </c>
      <c r="I807" s="5" t="n">
        <v>15.1307</v>
      </c>
      <c r="J807" s="4" t="n">
        <v>1.99</v>
      </c>
      <c r="K807" s="5" t="n">
        <v>1.8501</v>
      </c>
      <c r="L807" s="6" t="n">
        <v>1.1676</v>
      </c>
      <c r="M807" s="5" t="n">
        <f aca="false">IF(AND(N(K807)&gt;0,N(L807)&gt;0),K807/L807,"")</f>
        <v>1.58453237410072</v>
      </c>
      <c r="N807" s="2"/>
    </row>
    <row r="808" customFormat="false" ht="15" hidden="false" customHeight="false" outlineLevel="0" collapsed="false">
      <c r="A808" s="2" t="n">
        <v>807</v>
      </c>
      <c r="B808" s="2" t="s">
        <v>1765</v>
      </c>
      <c r="C808" s="2" t="s">
        <v>1766</v>
      </c>
      <c r="D808" s="2" t="s">
        <v>171</v>
      </c>
      <c r="E808" s="2" t="s">
        <v>399</v>
      </c>
      <c r="F808" s="3" t="n">
        <v>0.000322</v>
      </c>
      <c r="G808" s="3" t="n">
        <f aca="false">SUM($F$2:F808)</f>
        <v>0.960859</v>
      </c>
      <c r="H808" s="4" t="n">
        <v>9.57</v>
      </c>
      <c r="I808" s="5" t="n">
        <v>7.4186</v>
      </c>
      <c r="J808" s="4" t="n">
        <v>1.29</v>
      </c>
      <c r="K808" s="5" t="n">
        <v>1.653</v>
      </c>
      <c r="L808" s="6" t="n">
        <v>0.5036</v>
      </c>
      <c r="M808" s="5" t="n">
        <f aca="false">IF(AND(N(K808)&gt;0,N(L808)&gt;0),K808/L808,"")</f>
        <v>3.2823669579031</v>
      </c>
      <c r="N808" s="2"/>
    </row>
    <row r="809" customFormat="false" ht="15" hidden="false" customHeight="false" outlineLevel="0" collapsed="false">
      <c r="A809" s="2" t="n">
        <v>808</v>
      </c>
      <c r="B809" s="2" t="s">
        <v>1767</v>
      </c>
      <c r="C809" s="2" t="s">
        <v>1768</v>
      </c>
      <c r="D809" s="2" t="s">
        <v>22</v>
      </c>
      <c r="E809" s="2" t="s">
        <v>117</v>
      </c>
      <c r="F809" s="3" t="n">
        <v>0.000321</v>
      </c>
      <c r="G809" s="3" t="n">
        <f aca="false">SUM($F$2:F809)</f>
        <v>0.96118</v>
      </c>
      <c r="H809" s="4" t="n">
        <v>20.49</v>
      </c>
      <c r="I809" s="5" t="n">
        <v>136.6</v>
      </c>
      <c r="J809" s="4" t="n">
        <v>0.15</v>
      </c>
      <c r="K809" s="5" t="n">
        <v>3.5192</v>
      </c>
      <c r="L809" s="6" t="n">
        <v>2.116</v>
      </c>
      <c r="M809" s="5" t="n">
        <f aca="false">IF(AND(N(K809)&gt;0,N(L809)&gt;0),K809/L809,"")</f>
        <v>1.66313799621928</v>
      </c>
      <c r="N809" s="2"/>
    </row>
    <row r="810" customFormat="false" ht="15" hidden="false" customHeight="false" outlineLevel="0" collapsed="false">
      <c r="A810" s="2" t="n">
        <v>809</v>
      </c>
      <c r="B810" s="2" t="s">
        <v>1769</v>
      </c>
      <c r="C810" s="2" t="s">
        <v>1770</v>
      </c>
      <c r="D810" s="2" t="s">
        <v>93</v>
      </c>
      <c r="E810" s="2" t="s">
        <v>548</v>
      </c>
      <c r="F810" s="3" t="n">
        <v>0.000318</v>
      </c>
      <c r="G810" s="3" t="n">
        <f aca="false">SUM($F$2:F810)</f>
        <v>0.961498</v>
      </c>
      <c r="H810" s="4" t="n">
        <v>14.73</v>
      </c>
      <c r="I810" s="5" t="n">
        <v>34.2558</v>
      </c>
      <c r="J810" s="4" t="n">
        <v>0.43</v>
      </c>
      <c r="K810" s="5" t="n">
        <v>2.6295</v>
      </c>
      <c r="L810" s="6" t="n">
        <v>1.2346</v>
      </c>
      <c r="M810" s="5" t="n">
        <f aca="false">IF(AND(N(K810)&gt;0,N(L810)&gt;0),K810/L810,"")</f>
        <v>2.12983962416977</v>
      </c>
      <c r="N810" s="2"/>
    </row>
    <row r="811" customFormat="false" ht="15" hidden="false" customHeight="false" outlineLevel="0" collapsed="false">
      <c r="A811" s="2" t="n">
        <v>810</v>
      </c>
      <c r="B811" s="2" t="s">
        <v>1771</v>
      </c>
      <c r="C811" s="2" t="s">
        <v>1772</v>
      </c>
      <c r="D811" s="2" t="s">
        <v>79</v>
      </c>
      <c r="E811" s="2" t="s">
        <v>80</v>
      </c>
      <c r="F811" s="3" t="n">
        <v>0.000317</v>
      </c>
      <c r="G811" s="3" t="n">
        <f aca="false">SUM($F$2:F811)</f>
        <v>0.961815</v>
      </c>
      <c r="H811" s="4" t="n">
        <v>59.93</v>
      </c>
      <c r="I811" s="5" t="n">
        <v>13.7454</v>
      </c>
      <c r="J811" s="4" t="n">
        <v>4.36</v>
      </c>
      <c r="K811" s="5" t="n">
        <v>1.4897</v>
      </c>
      <c r="L811" s="6" t="n">
        <v>5.4431</v>
      </c>
      <c r="M811" s="5" t="n">
        <f aca="false">IF(AND(N(K811)&gt;0,N(L811)&gt;0),K811/L811,"")</f>
        <v>0.273685951020558</v>
      </c>
      <c r="N811" s="2"/>
    </row>
    <row r="812" customFormat="false" ht="15" hidden="false" customHeight="false" outlineLevel="0" collapsed="false">
      <c r="A812" s="2" t="n">
        <v>811</v>
      </c>
      <c r="B812" s="2" t="s">
        <v>1773</v>
      </c>
      <c r="C812" s="2" t="s">
        <v>1774</v>
      </c>
      <c r="D812" s="2"/>
      <c r="E812" s="2"/>
      <c r="F812" s="3" t="n">
        <v>0.000315</v>
      </c>
      <c r="G812" s="3" t="n">
        <f aca="false">SUM($F$2:F812)</f>
        <v>0.96213</v>
      </c>
      <c r="H812" s="4"/>
      <c r="I812" s="5"/>
      <c r="J812" s="4"/>
      <c r="K812" s="5"/>
      <c r="L812" s="6"/>
      <c r="M812" s="5" t="str">
        <f aca="false">IF(AND(N(K812)&gt;0,N(L812)&gt;0),K812/L812,"")</f>
        <v/>
      </c>
      <c r="N812" s="2"/>
    </row>
    <row r="813" customFormat="false" ht="15" hidden="false" customHeight="false" outlineLevel="0" collapsed="false">
      <c r="A813" s="2" t="n">
        <v>812</v>
      </c>
      <c r="B813" s="2" t="s">
        <v>1775</v>
      </c>
      <c r="C813" s="2" t="s">
        <v>1776</v>
      </c>
      <c r="D813" s="2"/>
      <c r="E813" s="2"/>
      <c r="F813" s="3" t="n">
        <v>0.000315</v>
      </c>
      <c r="G813" s="3" t="n">
        <f aca="false">SUM($F$2:F813)</f>
        <v>0.962445</v>
      </c>
      <c r="H813" s="4"/>
      <c r="I813" s="5"/>
      <c r="J813" s="4"/>
      <c r="K813" s="5"/>
      <c r="L813" s="6"/>
      <c r="M813" s="5" t="str">
        <f aca="false">IF(AND(N(K813)&gt;0,N(L813)&gt;0),K813/L813,"")</f>
        <v/>
      </c>
      <c r="N813" s="2"/>
    </row>
    <row r="814" customFormat="false" ht="15" hidden="false" customHeight="false" outlineLevel="0" collapsed="false">
      <c r="A814" s="2" t="n">
        <v>813</v>
      </c>
      <c r="B814" s="2" t="s">
        <v>1777</v>
      </c>
      <c r="C814" s="2" t="s">
        <v>1778</v>
      </c>
      <c r="D814" s="2"/>
      <c r="E814" s="2"/>
      <c r="F814" s="3" t="n">
        <v>0.000314</v>
      </c>
      <c r="G814" s="3" t="n">
        <f aca="false">SUM($F$2:F814)</f>
        <v>0.962759</v>
      </c>
      <c r="H814" s="4"/>
      <c r="I814" s="5"/>
      <c r="J814" s="4"/>
      <c r="K814" s="5"/>
      <c r="L814" s="6"/>
      <c r="M814" s="5" t="str">
        <f aca="false">IF(AND(N(K814)&gt;0,N(L814)&gt;0),K814/L814,"")</f>
        <v/>
      </c>
      <c r="N814" s="2"/>
    </row>
    <row r="815" customFormat="false" ht="15" hidden="false" customHeight="false" outlineLevel="0" collapsed="false">
      <c r="A815" s="2" t="n">
        <v>814</v>
      </c>
      <c r="B815" s="2" t="s">
        <v>1779</v>
      </c>
      <c r="C815" s="2" t="s">
        <v>1780</v>
      </c>
      <c r="D815" s="2"/>
      <c r="E815" s="2"/>
      <c r="F815" s="3" t="n">
        <v>0.000314</v>
      </c>
      <c r="G815" s="3" t="n">
        <f aca="false">SUM($F$2:F815)</f>
        <v>0.963073</v>
      </c>
      <c r="H815" s="4"/>
      <c r="I815" s="5"/>
      <c r="J815" s="4"/>
      <c r="K815" s="5"/>
      <c r="L815" s="6"/>
      <c r="M815" s="5" t="str">
        <f aca="false">IF(AND(N(K815)&gt;0,N(L815)&gt;0),K815/L815,"")</f>
        <v/>
      </c>
      <c r="N815" s="2"/>
    </row>
    <row r="816" customFormat="false" ht="15" hidden="false" customHeight="false" outlineLevel="0" collapsed="false">
      <c r="A816" s="2" t="n">
        <v>815</v>
      </c>
      <c r="B816" s="2" t="s">
        <v>1781</v>
      </c>
      <c r="C816" s="2" t="s">
        <v>1782</v>
      </c>
      <c r="D816" s="2"/>
      <c r="E816" s="2"/>
      <c r="F816" s="3" t="n">
        <v>0.000314</v>
      </c>
      <c r="G816" s="3" t="n">
        <f aca="false">SUM($F$2:F816)</f>
        <v>0.963387</v>
      </c>
      <c r="H816" s="4"/>
      <c r="I816" s="5"/>
      <c r="J816" s="4"/>
      <c r="K816" s="5"/>
      <c r="L816" s="6"/>
      <c r="M816" s="5" t="str">
        <f aca="false">IF(AND(N(K816)&gt;0,N(L816)&gt;0),K816/L816,"")</f>
        <v/>
      </c>
      <c r="N816" s="2"/>
    </row>
    <row r="817" customFormat="false" ht="15" hidden="false" customHeight="false" outlineLevel="0" collapsed="false">
      <c r="A817" s="2" t="n">
        <v>816</v>
      </c>
      <c r="B817" s="2" t="s">
        <v>1783</v>
      </c>
      <c r="C817" s="2" t="s">
        <v>1784</v>
      </c>
      <c r="D817" s="2"/>
      <c r="E817" s="2"/>
      <c r="F817" s="3" t="n">
        <v>0.000313</v>
      </c>
      <c r="G817" s="3" t="n">
        <f aca="false">SUM($F$2:F817)</f>
        <v>0.9637</v>
      </c>
      <c r="H817" s="4"/>
      <c r="I817" s="5"/>
      <c r="J817" s="4"/>
      <c r="K817" s="5"/>
      <c r="L817" s="6"/>
      <c r="M817" s="5" t="str">
        <f aca="false">IF(AND(N(K817)&gt;0,N(L817)&gt;0),K817/L817,"")</f>
        <v/>
      </c>
      <c r="N817" s="2"/>
    </row>
    <row r="818" customFormat="false" ht="15" hidden="false" customHeight="false" outlineLevel="0" collapsed="false">
      <c r="A818" s="2" t="n">
        <v>817</v>
      </c>
      <c r="B818" s="2" t="s">
        <v>1785</v>
      </c>
      <c r="C818" s="2" t="s">
        <v>1786</v>
      </c>
      <c r="D818" s="2"/>
      <c r="E818" s="2"/>
      <c r="F818" s="3" t="n">
        <v>0.000309</v>
      </c>
      <c r="G818" s="3" t="n">
        <f aca="false">SUM($F$2:F818)</f>
        <v>0.964009</v>
      </c>
      <c r="H818" s="4"/>
      <c r="I818" s="5"/>
      <c r="J818" s="4"/>
      <c r="K818" s="5"/>
      <c r="L818" s="6"/>
      <c r="M818" s="5" t="str">
        <f aca="false">IF(AND(N(K818)&gt;0,N(L818)&gt;0),K818/L818,"")</f>
        <v/>
      </c>
      <c r="N818" s="2"/>
    </row>
    <row r="819" customFormat="false" ht="15" hidden="false" customHeight="false" outlineLevel="0" collapsed="false">
      <c r="A819" s="2" t="n">
        <v>818</v>
      </c>
      <c r="B819" s="2" t="s">
        <v>1787</v>
      </c>
      <c r="C819" s="2" t="s">
        <v>1788</v>
      </c>
      <c r="D819" s="2"/>
      <c r="E819" s="2"/>
      <c r="F819" s="3" t="n">
        <v>0.000308</v>
      </c>
      <c r="G819" s="3" t="n">
        <f aca="false">SUM($F$2:F819)</f>
        <v>0.964317</v>
      </c>
      <c r="H819" s="4"/>
      <c r="I819" s="5"/>
      <c r="J819" s="4"/>
      <c r="K819" s="5"/>
      <c r="L819" s="6"/>
      <c r="M819" s="5" t="str">
        <f aca="false">IF(AND(N(K819)&gt;0,N(L819)&gt;0),K819/L819,"")</f>
        <v/>
      </c>
      <c r="N819" s="2"/>
    </row>
    <row r="820" customFormat="false" ht="15" hidden="false" customHeight="false" outlineLevel="0" collapsed="false">
      <c r="A820" s="2" t="n">
        <v>819</v>
      </c>
      <c r="B820" s="2" t="s">
        <v>1789</v>
      </c>
      <c r="C820" s="2" t="s">
        <v>1790</v>
      </c>
      <c r="D820" s="2"/>
      <c r="E820" s="2"/>
      <c r="F820" s="3" t="n">
        <v>0.000307</v>
      </c>
      <c r="G820" s="3" t="n">
        <f aca="false">SUM($F$2:F820)</f>
        <v>0.964624</v>
      </c>
      <c r="H820" s="4"/>
      <c r="I820" s="5"/>
      <c r="J820" s="4"/>
      <c r="K820" s="5"/>
      <c r="L820" s="6"/>
      <c r="M820" s="5" t="str">
        <f aca="false">IF(AND(N(K820)&gt;0,N(L820)&gt;0),K820/L820,"")</f>
        <v/>
      </c>
      <c r="N820" s="2"/>
    </row>
    <row r="821" customFormat="false" ht="15" hidden="false" customHeight="false" outlineLevel="0" collapsed="false">
      <c r="A821" s="2" t="n">
        <v>820</v>
      </c>
      <c r="B821" s="2" t="s">
        <v>1791</v>
      </c>
      <c r="C821" s="2" t="s">
        <v>1792</v>
      </c>
      <c r="D821" s="2"/>
      <c r="E821" s="2"/>
      <c r="F821" s="3" t="n">
        <v>0.000306</v>
      </c>
      <c r="G821" s="3" t="n">
        <f aca="false">SUM($F$2:F821)</f>
        <v>0.96493</v>
      </c>
      <c r="H821" s="4"/>
      <c r="I821" s="5"/>
      <c r="J821" s="4"/>
      <c r="K821" s="5"/>
      <c r="L821" s="6"/>
      <c r="M821" s="5" t="str">
        <f aca="false">IF(AND(N(K821)&gt;0,N(L821)&gt;0),K821/L821,"")</f>
        <v/>
      </c>
      <c r="N821" s="2"/>
    </row>
    <row r="822" customFormat="false" ht="15" hidden="false" customHeight="false" outlineLevel="0" collapsed="false">
      <c r="A822" s="2" t="n">
        <v>821</v>
      </c>
      <c r="B822" s="2" t="s">
        <v>1793</v>
      </c>
      <c r="C822" s="2" t="s">
        <v>1794</v>
      </c>
      <c r="D822" s="2"/>
      <c r="E822" s="2"/>
      <c r="F822" s="3" t="n">
        <v>0.000306</v>
      </c>
      <c r="G822" s="3" t="n">
        <f aca="false">SUM($F$2:F822)</f>
        <v>0.965236</v>
      </c>
      <c r="H822" s="4"/>
      <c r="I822" s="5"/>
      <c r="J822" s="4"/>
      <c r="K822" s="5"/>
      <c r="L822" s="6"/>
      <c r="M822" s="5" t="str">
        <f aca="false">IF(AND(N(K822)&gt;0,N(L822)&gt;0),K822/L822,"")</f>
        <v/>
      </c>
      <c r="N822" s="2"/>
    </row>
    <row r="823" customFormat="false" ht="15" hidden="false" customHeight="false" outlineLevel="0" collapsed="false">
      <c r="A823" s="2" t="n">
        <v>822</v>
      </c>
      <c r="B823" s="2" t="s">
        <v>1795</v>
      </c>
      <c r="C823" s="2" t="s">
        <v>1796</v>
      </c>
      <c r="D823" s="2"/>
      <c r="E823" s="2"/>
      <c r="F823" s="3" t="n">
        <v>0.000304</v>
      </c>
      <c r="G823" s="3" t="n">
        <f aca="false">SUM($F$2:F823)</f>
        <v>0.96554</v>
      </c>
      <c r="H823" s="4"/>
      <c r="I823" s="5"/>
      <c r="J823" s="4"/>
      <c r="K823" s="5"/>
      <c r="L823" s="6"/>
      <c r="M823" s="5" t="str">
        <f aca="false">IF(AND(N(K823)&gt;0,N(L823)&gt;0),K823/L823,"")</f>
        <v/>
      </c>
      <c r="N823" s="2"/>
    </row>
    <row r="824" customFormat="false" ht="15" hidden="false" customHeight="false" outlineLevel="0" collapsed="false">
      <c r="A824" s="2" t="n">
        <v>823</v>
      </c>
      <c r="B824" s="2" t="s">
        <v>1797</v>
      </c>
      <c r="C824" s="2" t="s">
        <v>1798</v>
      </c>
      <c r="D824" s="2"/>
      <c r="E824" s="2"/>
      <c r="F824" s="3" t="n">
        <v>0.000304</v>
      </c>
      <c r="G824" s="3" t="n">
        <f aca="false">SUM($F$2:F824)</f>
        <v>0.965844</v>
      </c>
      <c r="H824" s="4"/>
      <c r="I824" s="5"/>
      <c r="J824" s="4"/>
      <c r="K824" s="5"/>
      <c r="L824" s="6"/>
      <c r="M824" s="5" t="str">
        <f aca="false">IF(AND(N(K824)&gt;0,N(L824)&gt;0),K824/L824,"")</f>
        <v/>
      </c>
      <c r="N824" s="2"/>
    </row>
    <row r="825" customFormat="false" ht="15" hidden="false" customHeight="false" outlineLevel="0" collapsed="false">
      <c r="A825" s="2" t="n">
        <v>824</v>
      </c>
      <c r="B825" s="2" t="s">
        <v>1799</v>
      </c>
      <c r="C825" s="2" t="s">
        <v>1800</v>
      </c>
      <c r="D825" s="2"/>
      <c r="E825" s="2"/>
      <c r="F825" s="3" t="n">
        <v>0.0003</v>
      </c>
      <c r="G825" s="3" t="n">
        <f aca="false">SUM($F$2:F825)</f>
        <v>0.966144</v>
      </c>
      <c r="H825" s="4"/>
      <c r="I825" s="5"/>
      <c r="J825" s="4"/>
      <c r="K825" s="5"/>
      <c r="L825" s="6"/>
      <c r="M825" s="5" t="str">
        <f aca="false">IF(AND(N(K825)&gt;0,N(L825)&gt;0),K825/L825,"")</f>
        <v/>
      </c>
      <c r="N825" s="2"/>
    </row>
    <row r="826" customFormat="false" ht="15" hidden="false" customHeight="false" outlineLevel="0" collapsed="false">
      <c r="A826" s="2" t="n">
        <v>825</v>
      </c>
      <c r="B826" s="2" t="s">
        <v>1801</v>
      </c>
      <c r="C826" s="2" t="s">
        <v>1802</v>
      </c>
      <c r="D826" s="2"/>
      <c r="E826" s="2"/>
      <c r="F826" s="3" t="n">
        <v>0.0003</v>
      </c>
      <c r="G826" s="3" t="n">
        <f aca="false">SUM($F$2:F826)</f>
        <v>0.966444</v>
      </c>
      <c r="H826" s="4"/>
      <c r="I826" s="5"/>
      <c r="J826" s="4"/>
      <c r="K826" s="5"/>
      <c r="L826" s="6"/>
      <c r="M826" s="5" t="str">
        <f aca="false">IF(AND(N(K826)&gt;0,N(L826)&gt;0),K826/L826,"")</f>
        <v/>
      </c>
      <c r="N826" s="2"/>
    </row>
    <row r="827" customFormat="false" ht="15" hidden="false" customHeight="false" outlineLevel="0" collapsed="false">
      <c r="A827" s="2" t="n">
        <v>826</v>
      </c>
      <c r="B827" s="2" t="s">
        <v>1803</v>
      </c>
      <c r="C827" s="2" t="s">
        <v>1804</v>
      </c>
      <c r="D827" s="2"/>
      <c r="E827" s="2"/>
      <c r="F827" s="3" t="n">
        <v>0.000299</v>
      </c>
      <c r="G827" s="3" t="n">
        <f aca="false">SUM($F$2:F827)</f>
        <v>0.966743</v>
      </c>
      <c r="H827" s="4"/>
      <c r="I827" s="5"/>
      <c r="J827" s="4"/>
      <c r="K827" s="5"/>
      <c r="L827" s="6"/>
      <c r="M827" s="5" t="str">
        <f aca="false">IF(AND(N(K827)&gt;0,N(L827)&gt;0),K827/L827,"")</f>
        <v/>
      </c>
      <c r="N827" s="2"/>
    </row>
    <row r="828" customFormat="false" ht="15" hidden="false" customHeight="false" outlineLevel="0" collapsed="false">
      <c r="A828" s="2" t="n">
        <v>827</v>
      </c>
      <c r="B828" s="2" t="s">
        <v>1805</v>
      </c>
      <c r="C828" s="2" t="s">
        <v>1806</v>
      </c>
      <c r="D828" s="2"/>
      <c r="E828" s="2"/>
      <c r="F828" s="3" t="n">
        <v>0.000297</v>
      </c>
      <c r="G828" s="3" t="n">
        <f aca="false">SUM($F$2:F828)</f>
        <v>0.96704</v>
      </c>
      <c r="H828" s="4"/>
      <c r="I828" s="5"/>
      <c r="J828" s="4"/>
      <c r="K828" s="5"/>
      <c r="L828" s="6"/>
      <c r="M828" s="5" t="str">
        <f aca="false">IF(AND(N(K828)&gt;0,N(L828)&gt;0),K828/L828,"")</f>
        <v/>
      </c>
      <c r="N828" s="2"/>
    </row>
    <row r="829" customFormat="false" ht="15" hidden="false" customHeight="false" outlineLevel="0" collapsed="false">
      <c r="A829" s="2" t="n">
        <v>828</v>
      </c>
      <c r="B829" s="2" t="s">
        <v>1807</v>
      </c>
      <c r="C829" s="2" t="s">
        <v>1808</v>
      </c>
      <c r="D829" s="2"/>
      <c r="E829" s="2"/>
      <c r="F829" s="3" t="n">
        <v>0.000293</v>
      </c>
      <c r="G829" s="3" t="n">
        <f aca="false">SUM($F$2:F829)</f>
        <v>0.967333</v>
      </c>
      <c r="H829" s="4"/>
      <c r="I829" s="5"/>
      <c r="J829" s="4"/>
      <c r="K829" s="5"/>
      <c r="L829" s="6"/>
      <c r="M829" s="5" t="str">
        <f aca="false">IF(AND(N(K829)&gt;0,N(L829)&gt;0),K829/L829,"")</f>
        <v/>
      </c>
      <c r="N829" s="2"/>
    </row>
    <row r="830" customFormat="false" ht="15" hidden="false" customHeight="false" outlineLevel="0" collapsed="false">
      <c r="A830" s="2" t="n">
        <v>829</v>
      </c>
      <c r="B830" s="2" t="s">
        <v>1809</v>
      </c>
      <c r="C830" s="2" t="s">
        <v>1810</v>
      </c>
      <c r="D830" s="2"/>
      <c r="E830" s="2"/>
      <c r="F830" s="3" t="n">
        <v>0.000293</v>
      </c>
      <c r="G830" s="3" t="n">
        <f aca="false">SUM($F$2:F830)</f>
        <v>0.967626</v>
      </c>
      <c r="H830" s="4"/>
      <c r="I830" s="5"/>
      <c r="J830" s="4"/>
      <c r="K830" s="5"/>
      <c r="L830" s="6"/>
      <c r="M830" s="5" t="str">
        <f aca="false">IF(AND(N(K830)&gt;0,N(L830)&gt;0),K830/L830,"")</f>
        <v/>
      </c>
      <c r="N830" s="2"/>
    </row>
    <row r="831" customFormat="false" ht="15" hidden="false" customHeight="false" outlineLevel="0" collapsed="false">
      <c r="A831" s="2" t="n">
        <v>830</v>
      </c>
      <c r="B831" s="2" t="s">
        <v>1811</v>
      </c>
      <c r="C831" s="2" t="s">
        <v>1812</v>
      </c>
      <c r="D831" s="2"/>
      <c r="E831" s="2"/>
      <c r="F831" s="3" t="n">
        <v>0.00029</v>
      </c>
      <c r="G831" s="3" t="n">
        <f aca="false">SUM($F$2:F831)</f>
        <v>0.967916</v>
      </c>
      <c r="H831" s="4"/>
      <c r="I831" s="5"/>
      <c r="J831" s="4"/>
      <c r="K831" s="5"/>
      <c r="L831" s="6"/>
      <c r="M831" s="5" t="str">
        <f aca="false">IF(AND(N(K831)&gt;0,N(L831)&gt;0),K831/L831,"")</f>
        <v/>
      </c>
      <c r="N831" s="2"/>
    </row>
    <row r="832" customFormat="false" ht="15" hidden="false" customHeight="false" outlineLevel="0" collapsed="false">
      <c r="A832" s="2" t="n">
        <v>831</v>
      </c>
      <c r="B832" s="2" t="s">
        <v>1813</v>
      </c>
      <c r="C832" s="2" t="s">
        <v>1814</v>
      </c>
      <c r="D832" s="2"/>
      <c r="E832" s="2"/>
      <c r="F832" s="3" t="n">
        <v>0.00029</v>
      </c>
      <c r="G832" s="3" t="n">
        <f aca="false">SUM($F$2:F832)</f>
        <v>0.968206</v>
      </c>
      <c r="H832" s="4"/>
      <c r="I832" s="5"/>
      <c r="J832" s="4"/>
      <c r="K832" s="5"/>
      <c r="L832" s="6"/>
      <c r="M832" s="5" t="str">
        <f aca="false">IF(AND(N(K832)&gt;0,N(L832)&gt;0),K832/L832,"")</f>
        <v/>
      </c>
      <c r="N832" s="2"/>
    </row>
    <row r="833" customFormat="false" ht="15" hidden="false" customHeight="false" outlineLevel="0" collapsed="false">
      <c r="A833" s="2" t="n">
        <v>832</v>
      </c>
      <c r="B833" s="2" t="s">
        <v>1815</v>
      </c>
      <c r="C833" s="2" t="s">
        <v>1816</v>
      </c>
      <c r="D833" s="2"/>
      <c r="E833" s="2"/>
      <c r="F833" s="3" t="n">
        <v>0.000289</v>
      </c>
      <c r="G833" s="3" t="n">
        <f aca="false">SUM($F$2:F833)</f>
        <v>0.968495</v>
      </c>
      <c r="H833" s="4"/>
      <c r="I833" s="5"/>
      <c r="J833" s="4"/>
      <c r="K833" s="5"/>
      <c r="L833" s="6"/>
      <c r="M833" s="5" t="str">
        <f aca="false">IF(AND(N(K833)&gt;0,N(L833)&gt;0),K833/L833,"")</f>
        <v/>
      </c>
      <c r="N833" s="2"/>
    </row>
    <row r="834" customFormat="false" ht="15" hidden="false" customHeight="false" outlineLevel="0" collapsed="false">
      <c r="A834" s="2" t="n">
        <v>833</v>
      </c>
      <c r="B834" s="2" t="s">
        <v>1817</v>
      </c>
      <c r="C834" s="2" t="s">
        <v>1818</v>
      </c>
      <c r="D834" s="2"/>
      <c r="E834" s="2"/>
      <c r="F834" s="3" t="n">
        <v>0.000289</v>
      </c>
      <c r="G834" s="3" t="n">
        <f aca="false">SUM($F$2:F834)</f>
        <v>0.968784</v>
      </c>
      <c r="H834" s="4"/>
      <c r="I834" s="5"/>
      <c r="J834" s="4"/>
      <c r="K834" s="5"/>
      <c r="L834" s="6"/>
      <c r="M834" s="5" t="str">
        <f aca="false">IF(AND(N(K834)&gt;0,N(L834)&gt;0),K834/L834,"")</f>
        <v/>
      </c>
      <c r="N834" s="2"/>
    </row>
    <row r="835" customFormat="false" ht="15" hidden="false" customHeight="false" outlineLevel="0" collapsed="false">
      <c r="A835" s="2" t="n">
        <v>834</v>
      </c>
      <c r="B835" s="2" t="s">
        <v>1819</v>
      </c>
      <c r="C835" s="2" t="s">
        <v>1820</v>
      </c>
      <c r="D835" s="2"/>
      <c r="E835" s="2"/>
      <c r="F835" s="3" t="n">
        <v>0.000287</v>
      </c>
      <c r="G835" s="3" t="n">
        <f aca="false">SUM($F$2:F835)</f>
        <v>0.969071</v>
      </c>
      <c r="H835" s="4"/>
      <c r="I835" s="5"/>
      <c r="J835" s="4"/>
      <c r="K835" s="5"/>
      <c r="L835" s="6"/>
      <c r="M835" s="5" t="str">
        <f aca="false">IF(AND(N(K835)&gt;0,N(L835)&gt;0),K835/L835,"")</f>
        <v/>
      </c>
      <c r="N835" s="2"/>
    </row>
    <row r="836" customFormat="false" ht="15" hidden="false" customHeight="false" outlineLevel="0" collapsed="false">
      <c r="A836" s="2" t="n">
        <v>835</v>
      </c>
      <c r="B836" s="2" t="s">
        <v>1821</v>
      </c>
      <c r="C836" s="2" t="s">
        <v>1822</v>
      </c>
      <c r="D836" s="2"/>
      <c r="E836" s="2"/>
      <c r="F836" s="3" t="n">
        <v>0.000285</v>
      </c>
      <c r="G836" s="3" t="n">
        <f aca="false">SUM($F$2:F836)</f>
        <v>0.969356</v>
      </c>
      <c r="H836" s="4"/>
      <c r="I836" s="5"/>
      <c r="J836" s="4"/>
      <c r="K836" s="5"/>
      <c r="L836" s="6"/>
      <c r="M836" s="5" t="str">
        <f aca="false">IF(AND(N(K836)&gt;0,N(L836)&gt;0),K836/L836,"")</f>
        <v/>
      </c>
      <c r="N836" s="2"/>
    </row>
    <row r="837" customFormat="false" ht="15" hidden="false" customHeight="false" outlineLevel="0" collapsed="false">
      <c r="A837" s="2" t="n">
        <v>836</v>
      </c>
      <c r="B837" s="2" t="s">
        <v>1823</v>
      </c>
      <c r="C837" s="2" t="s">
        <v>1824</v>
      </c>
      <c r="D837" s="2"/>
      <c r="E837" s="2"/>
      <c r="F837" s="3" t="n">
        <v>0.000285</v>
      </c>
      <c r="G837" s="3" t="n">
        <f aca="false">SUM($F$2:F837)</f>
        <v>0.969641</v>
      </c>
      <c r="H837" s="4"/>
      <c r="I837" s="5"/>
      <c r="J837" s="4"/>
      <c r="K837" s="5"/>
      <c r="L837" s="6"/>
      <c r="M837" s="5" t="str">
        <f aca="false">IF(AND(N(K837)&gt;0,N(L837)&gt;0),K837/L837,"")</f>
        <v/>
      </c>
      <c r="N837" s="2"/>
    </row>
    <row r="838" customFormat="false" ht="15" hidden="false" customHeight="false" outlineLevel="0" collapsed="false">
      <c r="A838" s="2" t="n">
        <v>837</v>
      </c>
      <c r="B838" s="2" t="s">
        <v>1825</v>
      </c>
      <c r="C838" s="2" t="s">
        <v>1826</v>
      </c>
      <c r="D838" s="2"/>
      <c r="E838" s="2"/>
      <c r="F838" s="3" t="n">
        <v>0.000285</v>
      </c>
      <c r="G838" s="3" t="n">
        <f aca="false">SUM($F$2:F838)</f>
        <v>0.969926</v>
      </c>
      <c r="H838" s="4"/>
      <c r="I838" s="5"/>
      <c r="J838" s="4"/>
      <c r="K838" s="5"/>
      <c r="L838" s="6"/>
      <c r="M838" s="5" t="str">
        <f aca="false">IF(AND(N(K838)&gt;0,N(L838)&gt;0),K838/L838,"")</f>
        <v/>
      </c>
      <c r="N838" s="2"/>
    </row>
    <row r="839" customFormat="false" ht="15" hidden="false" customHeight="false" outlineLevel="0" collapsed="false">
      <c r="A839" s="2" t="n">
        <v>838</v>
      </c>
      <c r="B839" s="2" t="s">
        <v>1827</v>
      </c>
      <c r="C839" s="2" t="s">
        <v>1828</v>
      </c>
      <c r="D839" s="2"/>
      <c r="E839" s="2"/>
      <c r="F839" s="3" t="n">
        <v>0.000284</v>
      </c>
      <c r="G839" s="3" t="n">
        <f aca="false">SUM($F$2:F839)</f>
        <v>0.97021</v>
      </c>
      <c r="H839" s="4"/>
      <c r="I839" s="5"/>
      <c r="J839" s="4"/>
      <c r="K839" s="5"/>
      <c r="L839" s="6"/>
      <c r="M839" s="5" t="str">
        <f aca="false">IF(AND(N(K839)&gt;0,N(L839)&gt;0),K839/L839,"")</f>
        <v/>
      </c>
      <c r="N839" s="2"/>
    </row>
    <row r="840" customFormat="false" ht="15" hidden="false" customHeight="false" outlineLevel="0" collapsed="false">
      <c r="A840" s="2" t="n">
        <v>839</v>
      </c>
      <c r="B840" s="2" t="s">
        <v>1829</v>
      </c>
      <c r="C840" s="2" t="s">
        <v>1830</v>
      </c>
      <c r="D840" s="2"/>
      <c r="E840" s="2"/>
      <c r="F840" s="3" t="n">
        <v>0.000282</v>
      </c>
      <c r="G840" s="3" t="n">
        <f aca="false">SUM($F$2:F840)</f>
        <v>0.970492</v>
      </c>
      <c r="H840" s="4"/>
      <c r="I840" s="5"/>
      <c r="J840" s="4"/>
      <c r="K840" s="5"/>
      <c r="L840" s="6"/>
      <c r="M840" s="5" t="str">
        <f aca="false">IF(AND(N(K840)&gt;0,N(L840)&gt;0),K840/L840,"")</f>
        <v/>
      </c>
      <c r="N840" s="2"/>
    </row>
    <row r="841" customFormat="false" ht="15" hidden="false" customHeight="false" outlineLevel="0" collapsed="false">
      <c r="A841" s="2" t="n">
        <v>840</v>
      </c>
      <c r="B841" s="2" t="s">
        <v>1831</v>
      </c>
      <c r="C841" s="2" t="s">
        <v>1832</v>
      </c>
      <c r="D841" s="2"/>
      <c r="E841" s="2"/>
      <c r="F841" s="3" t="n">
        <v>0.000281</v>
      </c>
      <c r="G841" s="3" t="n">
        <f aca="false">SUM($F$2:F841)</f>
        <v>0.970773</v>
      </c>
      <c r="H841" s="4"/>
      <c r="I841" s="5"/>
      <c r="J841" s="4"/>
      <c r="K841" s="5"/>
      <c r="L841" s="6"/>
      <c r="M841" s="5" t="str">
        <f aca="false">IF(AND(N(K841)&gt;0,N(L841)&gt;0),K841/L841,"")</f>
        <v/>
      </c>
      <c r="N841" s="2"/>
    </row>
    <row r="842" customFormat="false" ht="15" hidden="false" customHeight="false" outlineLevel="0" collapsed="false">
      <c r="A842" s="2" t="n">
        <v>841</v>
      </c>
      <c r="B842" s="2" t="s">
        <v>1833</v>
      </c>
      <c r="C842" s="2" t="s">
        <v>1834</v>
      </c>
      <c r="D842" s="2"/>
      <c r="E842" s="2"/>
      <c r="F842" s="3" t="n">
        <v>0.000281</v>
      </c>
      <c r="G842" s="3" t="n">
        <f aca="false">SUM($F$2:F842)</f>
        <v>0.971054</v>
      </c>
      <c r="H842" s="4"/>
      <c r="I842" s="5"/>
      <c r="J842" s="4"/>
      <c r="K842" s="5"/>
      <c r="L842" s="6"/>
      <c r="M842" s="5" t="str">
        <f aca="false">IF(AND(N(K842)&gt;0,N(L842)&gt;0),K842/L842,"")</f>
        <v/>
      </c>
      <c r="N842" s="2"/>
    </row>
    <row r="843" customFormat="false" ht="15" hidden="false" customHeight="false" outlineLevel="0" collapsed="false">
      <c r="A843" s="2" t="n">
        <v>842</v>
      </c>
      <c r="B843" s="2" t="s">
        <v>1835</v>
      </c>
      <c r="C843" s="2" t="s">
        <v>1836</v>
      </c>
      <c r="D843" s="2"/>
      <c r="E843" s="2"/>
      <c r="F843" s="3" t="n">
        <v>0.000278</v>
      </c>
      <c r="G843" s="3" t="n">
        <f aca="false">SUM($F$2:F843)</f>
        <v>0.971332</v>
      </c>
      <c r="H843" s="4"/>
      <c r="I843" s="5"/>
      <c r="J843" s="4"/>
      <c r="K843" s="5"/>
      <c r="L843" s="6"/>
      <c r="M843" s="5" t="str">
        <f aca="false">IF(AND(N(K843)&gt;0,N(L843)&gt;0),K843/L843,"")</f>
        <v/>
      </c>
      <c r="N843" s="2"/>
    </row>
    <row r="844" customFormat="false" ht="15" hidden="false" customHeight="false" outlineLevel="0" collapsed="false">
      <c r="A844" s="2" t="n">
        <v>843</v>
      </c>
      <c r="B844" s="2" t="s">
        <v>1837</v>
      </c>
      <c r="C844" s="2" t="s">
        <v>1838</v>
      </c>
      <c r="D844" s="2"/>
      <c r="E844" s="2"/>
      <c r="F844" s="3" t="n">
        <v>0.000278</v>
      </c>
      <c r="G844" s="3" t="n">
        <f aca="false">SUM($F$2:F844)</f>
        <v>0.97161</v>
      </c>
      <c r="H844" s="4"/>
      <c r="I844" s="5"/>
      <c r="J844" s="4"/>
      <c r="K844" s="5"/>
      <c r="L844" s="6"/>
      <c r="M844" s="5" t="str">
        <f aca="false">IF(AND(N(K844)&gt;0,N(L844)&gt;0),K844/L844,"")</f>
        <v/>
      </c>
      <c r="N844" s="2"/>
    </row>
    <row r="845" customFormat="false" ht="15" hidden="false" customHeight="false" outlineLevel="0" collapsed="false">
      <c r="A845" s="2" t="n">
        <v>844</v>
      </c>
      <c r="B845" s="2" t="s">
        <v>1839</v>
      </c>
      <c r="C845" s="2" t="s">
        <v>1840</v>
      </c>
      <c r="D845" s="2"/>
      <c r="E845" s="2"/>
      <c r="F845" s="3" t="n">
        <v>0.000277</v>
      </c>
      <c r="G845" s="3" t="n">
        <f aca="false">SUM($F$2:F845)</f>
        <v>0.971887</v>
      </c>
      <c r="H845" s="4"/>
      <c r="I845" s="5"/>
      <c r="J845" s="4"/>
      <c r="K845" s="5"/>
      <c r="L845" s="6"/>
      <c r="M845" s="5" t="str">
        <f aca="false">IF(AND(N(K845)&gt;0,N(L845)&gt;0),K845/L845,"")</f>
        <v/>
      </c>
      <c r="N845" s="2"/>
    </row>
    <row r="846" customFormat="false" ht="15" hidden="false" customHeight="false" outlineLevel="0" collapsed="false">
      <c r="A846" s="2" t="n">
        <v>845</v>
      </c>
      <c r="B846" s="2" t="s">
        <v>1841</v>
      </c>
      <c r="C846" s="2" t="s">
        <v>1842</v>
      </c>
      <c r="D846" s="2"/>
      <c r="E846" s="2"/>
      <c r="F846" s="3" t="n">
        <v>0.000276</v>
      </c>
      <c r="G846" s="3" t="n">
        <f aca="false">SUM($F$2:F846)</f>
        <v>0.972163</v>
      </c>
      <c r="H846" s="4"/>
      <c r="I846" s="5"/>
      <c r="J846" s="4"/>
      <c r="K846" s="5"/>
      <c r="L846" s="6"/>
      <c r="M846" s="5" t="str">
        <f aca="false">IF(AND(N(K846)&gt;0,N(L846)&gt;0),K846/L846,"")</f>
        <v/>
      </c>
      <c r="N846" s="2"/>
    </row>
    <row r="847" customFormat="false" ht="15" hidden="false" customHeight="false" outlineLevel="0" collapsed="false">
      <c r="A847" s="2" t="n">
        <v>846</v>
      </c>
      <c r="B847" s="2" t="s">
        <v>1843</v>
      </c>
      <c r="C847" s="2" t="s">
        <v>1844</v>
      </c>
      <c r="D847" s="2"/>
      <c r="E847" s="2"/>
      <c r="F847" s="3" t="n">
        <v>0.000275</v>
      </c>
      <c r="G847" s="3" t="n">
        <f aca="false">SUM($F$2:F847)</f>
        <v>0.972438</v>
      </c>
      <c r="H847" s="4"/>
      <c r="I847" s="5"/>
      <c r="J847" s="4"/>
      <c r="K847" s="5"/>
      <c r="L847" s="6"/>
      <c r="M847" s="5" t="str">
        <f aca="false">IF(AND(N(K847)&gt;0,N(L847)&gt;0),K847/L847,"")</f>
        <v/>
      </c>
      <c r="N847" s="2"/>
    </row>
    <row r="848" customFormat="false" ht="15" hidden="false" customHeight="false" outlineLevel="0" collapsed="false">
      <c r="A848" s="2" t="n">
        <v>847</v>
      </c>
      <c r="B848" s="2" t="s">
        <v>1845</v>
      </c>
      <c r="C848" s="2" t="s">
        <v>1846</v>
      </c>
      <c r="D848" s="2"/>
      <c r="E848" s="2"/>
      <c r="F848" s="3" t="n">
        <v>0.00027</v>
      </c>
      <c r="G848" s="3" t="n">
        <f aca="false">SUM($F$2:F848)</f>
        <v>0.972708</v>
      </c>
      <c r="H848" s="4"/>
      <c r="I848" s="5"/>
      <c r="J848" s="4"/>
      <c r="K848" s="5"/>
      <c r="L848" s="6"/>
      <c r="M848" s="5" t="str">
        <f aca="false">IF(AND(N(K848)&gt;0,N(L848)&gt;0),K848/L848,"")</f>
        <v/>
      </c>
      <c r="N848" s="2"/>
    </row>
    <row r="849" customFormat="false" ht="15" hidden="false" customHeight="false" outlineLevel="0" collapsed="false">
      <c r="A849" s="2" t="n">
        <v>848</v>
      </c>
      <c r="B849" s="2" t="s">
        <v>1847</v>
      </c>
      <c r="C849" s="2" t="s">
        <v>1848</v>
      </c>
      <c r="D849" s="2"/>
      <c r="E849" s="2"/>
      <c r="F849" s="3" t="n">
        <v>0.000269</v>
      </c>
      <c r="G849" s="3" t="n">
        <f aca="false">SUM($F$2:F849)</f>
        <v>0.972977</v>
      </c>
      <c r="H849" s="4"/>
      <c r="I849" s="5"/>
      <c r="J849" s="4"/>
      <c r="K849" s="5"/>
      <c r="L849" s="6"/>
      <c r="M849" s="5" t="str">
        <f aca="false">IF(AND(N(K849)&gt;0,N(L849)&gt;0),K849/L849,"")</f>
        <v/>
      </c>
      <c r="N849" s="2"/>
    </row>
    <row r="850" customFormat="false" ht="15" hidden="false" customHeight="false" outlineLevel="0" collapsed="false">
      <c r="A850" s="2" t="n">
        <v>849</v>
      </c>
      <c r="B850" s="2" t="s">
        <v>1849</v>
      </c>
      <c r="C850" s="2" t="s">
        <v>1850</v>
      </c>
      <c r="D850" s="2"/>
      <c r="E850" s="2"/>
      <c r="F850" s="3" t="n">
        <v>0.000265</v>
      </c>
      <c r="G850" s="3" t="n">
        <f aca="false">SUM($F$2:F850)</f>
        <v>0.973242</v>
      </c>
      <c r="H850" s="4"/>
      <c r="I850" s="5"/>
      <c r="J850" s="4"/>
      <c r="K850" s="5"/>
      <c r="L850" s="6"/>
      <c r="M850" s="5" t="str">
        <f aca="false">IF(AND(N(K850)&gt;0,N(L850)&gt;0),K850/L850,"")</f>
        <v/>
      </c>
      <c r="N850" s="2"/>
    </row>
    <row r="851" customFormat="false" ht="15" hidden="false" customHeight="false" outlineLevel="0" collapsed="false">
      <c r="A851" s="2" t="n">
        <v>850</v>
      </c>
      <c r="B851" s="2" t="s">
        <v>1851</v>
      </c>
      <c r="C851" s="2" t="s">
        <v>1852</v>
      </c>
      <c r="D851" s="2"/>
      <c r="E851" s="2"/>
      <c r="F851" s="3" t="n">
        <v>0.000265</v>
      </c>
      <c r="G851" s="3" t="n">
        <f aca="false">SUM($F$2:F851)</f>
        <v>0.973507</v>
      </c>
      <c r="H851" s="4"/>
      <c r="I851" s="5"/>
      <c r="J851" s="4"/>
      <c r="K851" s="5"/>
      <c r="L851" s="6"/>
      <c r="M851" s="5" t="str">
        <f aca="false">IF(AND(N(K851)&gt;0,N(L851)&gt;0),K851/L851,"")</f>
        <v/>
      </c>
      <c r="N851" s="2"/>
    </row>
    <row r="852" customFormat="false" ht="15" hidden="false" customHeight="false" outlineLevel="0" collapsed="false">
      <c r="A852" s="2" t="n">
        <v>851</v>
      </c>
      <c r="B852" s="2" t="s">
        <v>1853</v>
      </c>
      <c r="C852" s="2" t="s">
        <v>1854</v>
      </c>
      <c r="D852" s="2"/>
      <c r="E852" s="2"/>
      <c r="F852" s="3" t="n">
        <v>0.000264</v>
      </c>
      <c r="G852" s="3" t="n">
        <f aca="false">SUM($F$2:F852)</f>
        <v>0.973771</v>
      </c>
      <c r="H852" s="4"/>
      <c r="I852" s="5"/>
      <c r="J852" s="4"/>
      <c r="K852" s="5"/>
      <c r="L852" s="6"/>
      <c r="M852" s="5" t="str">
        <f aca="false">IF(AND(N(K852)&gt;0,N(L852)&gt;0),K852/L852,"")</f>
        <v/>
      </c>
      <c r="N852" s="2"/>
    </row>
    <row r="853" customFormat="false" ht="15" hidden="false" customHeight="false" outlineLevel="0" collapsed="false">
      <c r="A853" s="2" t="n">
        <v>852</v>
      </c>
      <c r="B853" s="2" t="s">
        <v>1855</v>
      </c>
      <c r="C853" s="2" t="s">
        <v>1856</v>
      </c>
      <c r="D853" s="2"/>
      <c r="E853" s="2"/>
      <c r="F853" s="3" t="n">
        <v>0.000264</v>
      </c>
      <c r="G853" s="3" t="n">
        <f aca="false">SUM($F$2:F853)</f>
        <v>0.974035</v>
      </c>
      <c r="H853" s="4"/>
      <c r="I853" s="5"/>
      <c r="J853" s="4"/>
      <c r="K853" s="5"/>
      <c r="L853" s="6"/>
      <c r="M853" s="5" t="str">
        <f aca="false">IF(AND(N(K853)&gt;0,N(L853)&gt;0),K853/L853,"")</f>
        <v/>
      </c>
      <c r="N853" s="2"/>
    </row>
    <row r="854" customFormat="false" ht="15" hidden="false" customHeight="false" outlineLevel="0" collapsed="false">
      <c r="A854" s="2" t="n">
        <v>853</v>
      </c>
      <c r="B854" s="2" t="s">
        <v>1857</v>
      </c>
      <c r="C854" s="2" t="s">
        <v>1858</v>
      </c>
      <c r="D854" s="2"/>
      <c r="E854" s="2"/>
      <c r="F854" s="3" t="n">
        <v>0.000263</v>
      </c>
      <c r="G854" s="3" t="n">
        <f aca="false">SUM($F$2:F854)</f>
        <v>0.974298</v>
      </c>
      <c r="H854" s="4"/>
      <c r="I854" s="5"/>
      <c r="J854" s="4"/>
      <c r="K854" s="5"/>
      <c r="L854" s="6"/>
      <c r="M854" s="5" t="str">
        <f aca="false">IF(AND(N(K854)&gt;0,N(L854)&gt;0),K854/L854,"")</f>
        <v/>
      </c>
      <c r="N854" s="2"/>
    </row>
    <row r="855" customFormat="false" ht="15" hidden="false" customHeight="false" outlineLevel="0" collapsed="false">
      <c r="A855" s="2" t="n">
        <v>854</v>
      </c>
      <c r="B855" s="2" t="s">
        <v>1859</v>
      </c>
      <c r="C855" s="2" t="s">
        <v>1860</v>
      </c>
      <c r="D855" s="2"/>
      <c r="E855" s="2"/>
      <c r="F855" s="3" t="n">
        <v>0.000262</v>
      </c>
      <c r="G855" s="3" t="n">
        <f aca="false">SUM($F$2:F855)</f>
        <v>0.97456</v>
      </c>
      <c r="H855" s="4"/>
      <c r="I855" s="5"/>
      <c r="J855" s="4"/>
      <c r="K855" s="5"/>
      <c r="L855" s="6"/>
      <c r="M855" s="5" t="str">
        <f aca="false">IF(AND(N(K855)&gt;0,N(L855)&gt;0),K855/L855,"")</f>
        <v/>
      </c>
      <c r="N855" s="2"/>
    </row>
    <row r="856" customFormat="false" ht="15" hidden="false" customHeight="false" outlineLevel="0" collapsed="false">
      <c r="A856" s="2" t="n">
        <v>855</v>
      </c>
      <c r="B856" s="2" t="s">
        <v>1861</v>
      </c>
      <c r="C856" s="2" t="s">
        <v>1862</v>
      </c>
      <c r="D856" s="2"/>
      <c r="E856" s="2"/>
      <c r="F856" s="3" t="n">
        <v>0.00026</v>
      </c>
      <c r="G856" s="3" t="n">
        <f aca="false">SUM($F$2:F856)</f>
        <v>0.97482</v>
      </c>
      <c r="H856" s="4"/>
      <c r="I856" s="5"/>
      <c r="J856" s="4"/>
      <c r="K856" s="5"/>
      <c r="L856" s="6"/>
      <c r="M856" s="5" t="str">
        <f aca="false">IF(AND(N(K856)&gt;0,N(L856)&gt;0),K856/L856,"")</f>
        <v/>
      </c>
      <c r="N856" s="2"/>
    </row>
    <row r="857" customFormat="false" ht="15" hidden="false" customHeight="false" outlineLevel="0" collapsed="false">
      <c r="A857" s="2" t="n">
        <v>856</v>
      </c>
      <c r="B857" s="2" t="s">
        <v>1863</v>
      </c>
      <c r="C857" s="2" t="s">
        <v>1864</v>
      </c>
      <c r="D857" s="2"/>
      <c r="E857" s="2"/>
      <c r="F857" s="3" t="n">
        <v>0.00026</v>
      </c>
      <c r="G857" s="3" t="n">
        <f aca="false">SUM($F$2:F857)</f>
        <v>0.97508</v>
      </c>
      <c r="H857" s="4"/>
      <c r="I857" s="5"/>
      <c r="J857" s="4"/>
      <c r="K857" s="5"/>
      <c r="L857" s="6"/>
      <c r="M857" s="5" t="str">
        <f aca="false">IF(AND(N(K857)&gt;0,N(L857)&gt;0),K857/L857,"")</f>
        <v/>
      </c>
      <c r="N857" s="2"/>
    </row>
    <row r="858" customFormat="false" ht="15" hidden="false" customHeight="false" outlineLevel="0" collapsed="false">
      <c r="A858" s="2" t="n">
        <v>857</v>
      </c>
      <c r="B858" s="2" t="s">
        <v>1865</v>
      </c>
      <c r="C858" s="2" t="s">
        <v>1866</v>
      </c>
      <c r="D858" s="2"/>
      <c r="E858" s="2"/>
      <c r="F858" s="3" t="n">
        <v>0.00026</v>
      </c>
      <c r="G858" s="3" t="n">
        <f aca="false">SUM($F$2:F858)</f>
        <v>0.97534</v>
      </c>
      <c r="H858" s="4"/>
      <c r="I858" s="5"/>
      <c r="J858" s="4"/>
      <c r="K858" s="5"/>
      <c r="L858" s="6"/>
      <c r="M858" s="5" t="str">
        <f aca="false">IF(AND(N(K858)&gt;0,N(L858)&gt;0),K858/L858,"")</f>
        <v/>
      </c>
      <c r="N858" s="2"/>
    </row>
    <row r="859" customFormat="false" ht="15" hidden="false" customHeight="false" outlineLevel="0" collapsed="false">
      <c r="A859" s="2" t="n">
        <v>858</v>
      </c>
      <c r="B859" s="2" t="s">
        <v>1867</v>
      </c>
      <c r="C859" s="2" t="s">
        <v>1868</v>
      </c>
      <c r="D859" s="2"/>
      <c r="E859" s="2"/>
      <c r="F859" s="3" t="n">
        <v>0.00026</v>
      </c>
      <c r="G859" s="3" t="n">
        <f aca="false">SUM($F$2:F859)</f>
        <v>0.9756</v>
      </c>
      <c r="H859" s="4"/>
      <c r="I859" s="5"/>
      <c r="J859" s="4"/>
      <c r="K859" s="5"/>
      <c r="L859" s="6"/>
      <c r="M859" s="5" t="str">
        <f aca="false">IF(AND(N(K859)&gt;0,N(L859)&gt;0),K859/L859,"")</f>
        <v/>
      </c>
      <c r="N859" s="2"/>
    </row>
    <row r="860" customFormat="false" ht="15" hidden="false" customHeight="false" outlineLevel="0" collapsed="false">
      <c r="A860" s="2" t="n">
        <v>859</v>
      </c>
      <c r="B860" s="2" t="s">
        <v>1869</v>
      </c>
      <c r="C860" s="2" t="s">
        <v>1870</v>
      </c>
      <c r="D860" s="2"/>
      <c r="E860" s="2"/>
      <c r="F860" s="3" t="n">
        <v>0.000259</v>
      </c>
      <c r="G860" s="3" t="n">
        <f aca="false">SUM($F$2:F860)</f>
        <v>0.975859</v>
      </c>
      <c r="H860" s="4"/>
      <c r="I860" s="5"/>
      <c r="J860" s="4"/>
      <c r="K860" s="5"/>
      <c r="L860" s="6"/>
      <c r="M860" s="5" t="str">
        <f aca="false">IF(AND(N(K860)&gt;0,N(L860)&gt;0),K860/L860,"")</f>
        <v/>
      </c>
      <c r="N860" s="2"/>
    </row>
    <row r="861" customFormat="false" ht="15" hidden="false" customHeight="false" outlineLevel="0" collapsed="false">
      <c r="A861" s="2" t="n">
        <v>860</v>
      </c>
      <c r="B861" s="2" t="s">
        <v>1871</v>
      </c>
      <c r="C861" s="2" t="s">
        <v>1872</v>
      </c>
      <c r="D861" s="2"/>
      <c r="E861" s="2"/>
      <c r="F861" s="3" t="n">
        <v>0.000258</v>
      </c>
      <c r="G861" s="3" t="n">
        <f aca="false">SUM($F$2:F861)</f>
        <v>0.976117</v>
      </c>
      <c r="H861" s="4"/>
      <c r="I861" s="5"/>
      <c r="J861" s="4"/>
      <c r="K861" s="5"/>
      <c r="L861" s="6"/>
      <c r="M861" s="5" t="str">
        <f aca="false">IF(AND(N(K861)&gt;0,N(L861)&gt;0),K861/L861,"")</f>
        <v/>
      </c>
      <c r="N861" s="2"/>
    </row>
    <row r="862" customFormat="false" ht="15" hidden="false" customHeight="false" outlineLevel="0" collapsed="false">
      <c r="A862" s="2" t="n">
        <v>861</v>
      </c>
      <c r="B862" s="2" t="s">
        <v>1873</v>
      </c>
      <c r="C862" s="2" t="s">
        <v>1874</v>
      </c>
      <c r="D862" s="2"/>
      <c r="E862" s="2"/>
      <c r="F862" s="3" t="n">
        <v>0.000257</v>
      </c>
      <c r="G862" s="3" t="n">
        <f aca="false">SUM($F$2:F862)</f>
        <v>0.976374</v>
      </c>
      <c r="H862" s="4"/>
      <c r="I862" s="5"/>
      <c r="J862" s="4"/>
      <c r="K862" s="5"/>
      <c r="L862" s="6"/>
      <c r="M862" s="5" t="str">
        <f aca="false">IF(AND(N(K862)&gt;0,N(L862)&gt;0),K862/L862,"")</f>
        <v/>
      </c>
      <c r="N862" s="2"/>
    </row>
    <row r="863" customFormat="false" ht="15" hidden="false" customHeight="false" outlineLevel="0" collapsed="false">
      <c r="A863" s="2" t="n">
        <v>862</v>
      </c>
      <c r="B863" s="2" t="s">
        <v>1875</v>
      </c>
      <c r="C863" s="2" t="s">
        <v>1876</v>
      </c>
      <c r="D863" s="2"/>
      <c r="E863" s="2"/>
      <c r="F863" s="3" t="n">
        <v>0.000254</v>
      </c>
      <c r="G863" s="3" t="n">
        <f aca="false">SUM($F$2:F863)</f>
        <v>0.976628</v>
      </c>
      <c r="H863" s="4"/>
      <c r="I863" s="5"/>
      <c r="J863" s="4"/>
      <c r="K863" s="5"/>
      <c r="L863" s="6"/>
      <c r="M863" s="5" t="str">
        <f aca="false">IF(AND(N(K863)&gt;0,N(L863)&gt;0),K863/L863,"")</f>
        <v/>
      </c>
      <c r="N863" s="2"/>
    </row>
    <row r="864" customFormat="false" ht="15" hidden="false" customHeight="false" outlineLevel="0" collapsed="false">
      <c r="A864" s="2" t="n">
        <v>863</v>
      </c>
      <c r="B864" s="2" t="s">
        <v>1877</v>
      </c>
      <c r="C864" s="2" t="s">
        <v>1878</v>
      </c>
      <c r="D864" s="2"/>
      <c r="E864" s="2"/>
      <c r="F864" s="3" t="n">
        <v>0.000253</v>
      </c>
      <c r="G864" s="3" t="n">
        <f aca="false">SUM($F$2:F864)</f>
        <v>0.976881</v>
      </c>
      <c r="H864" s="4"/>
      <c r="I864" s="5"/>
      <c r="J864" s="4"/>
      <c r="K864" s="5"/>
      <c r="L864" s="6"/>
      <c r="M864" s="5" t="str">
        <f aca="false">IF(AND(N(K864)&gt;0,N(L864)&gt;0),K864/L864,"")</f>
        <v/>
      </c>
      <c r="N864" s="2"/>
    </row>
    <row r="865" customFormat="false" ht="15" hidden="false" customHeight="false" outlineLevel="0" collapsed="false">
      <c r="A865" s="2" t="n">
        <v>864</v>
      </c>
      <c r="B865" s="2" t="s">
        <v>1879</v>
      </c>
      <c r="C865" s="2" t="s">
        <v>1880</v>
      </c>
      <c r="D865" s="2"/>
      <c r="E865" s="2"/>
      <c r="F865" s="3" t="n">
        <v>0.00025</v>
      </c>
      <c r="G865" s="3" t="n">
        <f aca="false">SUM($F$2:F865)</f>
        <v>0.977131</v>
      </c>
      <c r="H865" s="4"/>
      <c r="I865" s="5"/>
      <c r="J865" s="4"/>
      <c r="K865" s="5"/>
      <c r="L865" s="6"/>
      <c r="M865" s="5" t="str">
        <f aca="false">IF(AND(N(K865)&gt;0,N(L865)&gt;0),K865/L865,"")</f>
        <v/>
      </c>
      <c r="N865" s="2"/>
    </row>
    <row r="866" customFormat="false" ht="15" hidden="false" customHeight="false" outlineLevel="0" collapsed="false">
      <c r="A866" s="2" t="n">
        <v>865</v>
      </c>
      <c r="B866" s="2" t="s">
        <v>1881</v>
      </c>
      <c r="C866" s="2" t="s">
        <v>1882</v>
      </c>
      <c r="D866" s="2"/>
      <c r="E866" s="2"/>
      <c r="F866" s="3" t="n">
        <v>0.00025</v>
      </c>
      <c r="G866" s="3" t="n">
        <f aca="false">SUM($F$2:F866)</f>
        <v>0.977381</v>
      </c>
      <c r="H866" s="4"/>
      <c r="I866" s="5"/>
      <c r="J866" s="4"/>
      <c r="K866" s="5"/>
      <c r="L866" s="6"/>
      <c r="M866" s="5" t="str">
        <f aca="false">IF(AND(N(K866)&gt;0,N(L866)&gt;0),K866/L866,"")</f>
        <v/>
      </c>
      <c r="N866" s="2"/>
    </row>
    <row r="867" customFormat="false" ht="15" hidden="false" customHeight="false" outlineLevel="0" collapsed="false">
      <c r="A867" s="2" t="n">
        <v>866</v>
      </c>
      <c r="B867" s="2" t="s">
        <v>1883</v>
      </c>
      <c r="C867" s="2" t="s">
        <v>1884</v>
      </c>
      <c r="D867" s="2"/>
      <c r="E867" s="2"/>
      <c r="F867" s="3" t="n">
        <v>0.000249</v>
      </c>
      <c r="G867" s="3" t="n">
        <f aca="false">SUM($F$2:F867)</f>
        <v>0.97763</v>
      </c>
      <c r="H867" s="4"/>
      <c r="I867" s="5"/>
      <c r="J867" s="4"/>
      <c r="K867" s="5"/>
      <c r="L867" s="6"/>
      <c r="M867" s="5" t="str">
        <f aca="false">IF(AND(N(K867)&gt;0,N(L867)&gt;0),K867/L867,"")</f>
        <v/>
      </c>
      <c r="N867" s="2"/>
    </row>
    <row r="868" customFormat="false" ht="15" hidden="false" customHeight="false" outlineLevel="0" collapsed="false">
      <c r="A868" s="2" t="n">
        <v>867</v>
      </c>
      <c r="B868" s="2" t="s">
        <v>1885</v>
      </c>
      <c r="C868" s="2" t="s">
        <v>1886</v>
      </c>
      <c r="D868" s="2"/>
      <c r="E868" s="2"/>
      <c r="F868" s="3" t="n">
        <v>0.000247</v>
      </c>
      <c r="G868" s="3" t="n">
        <f aca="false">SUM($F$2:F868)</f>
        <v>0.977877</v>
      </c>
      <c r="H868" s="4"/>
      <c r="I868" s="5"/>
      <c r="J868" s="4"/>
      <c r="K868" s="5"/>
      <c r="L868" s="6"/>
      <c r="M868" s="5" t="str">
        <f aca="false">IF(AND(N(K868)&gt;0,N(L868)&gt;0),K868/L868,"")</f>
        <v/>
      </c>
      <c r="N868" s="2"/>
    </row>
    <row r="869" customFormat="false" ht="15" hidden="false" customHeight="false" outlineLevel="0" collapsed="false">
      <c r="A869" s="2" t="n">
        <v>868</v>
      </c>
      <c r="B869" s="2" t="s">
        <v>1887</v>
      </c>
      <c r="C869" s="2" t="s">
        <v>1888</v>
      </c>
      <c r="D869" s="2"/>
      <c r="E869" s="2"/>
      <c r="F869" s="3" t="n">
        <v>0.000244</v>
      </c>
      <c r="G869" s="3" t="n">
        <f aca="false">SUM($F$2:F869)</f>
        <v>0.978121</v>
      </c>
      <c r="H869" s="4"/>
      <c r="I869" s="5"/>
      <c r="J869" s="4"/>
      <c r="K869" s="5"/>
      <c r="L869" s="6"/>
      <c r="M869" s="5" t="str">
        <f aca="false">IF(AND(N(K869)&gt;0,N(L869)&gt;0),K869/L869,"")</f>
        <v/>
      </c>
      <c r="N869" s="2"/>
    </row>
    <row r="870" customFormat="false" ht="15" hidden="false" customHeight="false" outlineLevel="0" collapsed="false">
      <c r="A870" s="2" t="n">
        <v>869</v>
      </c>
      <c r="B870" s="2" t="s">
        <v>1889</v>
      </c>
      <c r="C870" s="2" t="s">
        <v>1890</v>
      </c>
      <c r="D870" s="2"/>
      <c r="E870" s="2"/>
      <c r="F870" s="3" t="n">
        <v>0.000243</v>
      </c>
      <c r="G870" s="3" t="n">
        <f aca="false">SUM($F$2:F870)</f>
        <v>0.978364</v>
      </c>
      <c r="H870" s="4"/>
      <c r="I870" s="5"/>
      <c r="J870" s="4"/>
      <c r="K870" s="5"/>
      <c r="L870" s="6"/>
      <c r="M870" s="5" t="str">
        <f aca="false">IF(AND(N(K870)&gt;0,N(L870)&gt;0),K870/L870,"")</f>
        <v/>
      </c>
      <c r="N870" s="2"/>
    </row>
    <row r="871" customFormat="false" ht="15" hidden="false" customHeight="false" outlineLevel="0" collapsed="false">
      <c r="A871" s="2" t="n">
        <v>870</v>
      </c>
      <c r="B871" s="2" t="s">
        <v>1891</v>
      </c>
      <c r="C871" s="2" t="s">
        <v>1892</v>
      </c>
      <c r="D871" s="2"/>
      <c r="E871" s="2"/>
      <c r="F871" s="3" t="n">
        <v>0.000242</v>
      </c>
      <c r="G871" s="3" t="n">
        <f aca="false">SUM($F$2:F871)</f>
        <v>0.978606</v>
      </c>
      <c r="H871" s="4"/>
      <c r="I871" s="5"/>
      <c r="J871" s="4"/>
      <c r="K871" s="5"/>
      <c r="L871" s="6"/>
      <c r="M871" s="5" t="str">
        <f aca="false">IF(AND(N(K871)&gt;0,N(L871)&gt;0),K871/L871,"")</f>
        <v/>
      </c>
      <c r="N871" s="2"/>
    </row>
    <row r="872" customFormat="false" ht="15" hidden="false" customHeight="false" outlineLevel="0" collapsed="false">
      <c r="A872" s="2" t="n">
        <v>871</v>
      </c>
      <c r="B872" s="2" t="s">
        <v>1893</v>
      </c>
      <c r="C872" s="2" t="s">
        <v>1894</v>
      </c>
      <c r="D872" s="2"/>
      <c r="E872" s="2"/>
      <c r="F872" s="3" t="n">
        <v>0.000239</v>
      </c>
      <c r="G872" s="3" t="n">
        <f aca="false">SUM($F$2:F872)</f>
        <v>0.978845</v>
      </c>
      <c r="H872" s="4"/>
      <c r="I872" s="5"/>
      <c r="J872" s="4"/>
      <c r="K872" s="5"/>
      <c r="L872" s="6"/>
      <c r="M872" s="5" t="str">
        <f aca="false">IF(AND(N(K872)&gt;0,N(L872)&gt;0),K872/L872,"")</f>
        <v/>
      </c>
      <c r="N872" s="2"/>
    </row>
    <row r="873" customFormat="false" ht="15" hidden="false" customHeight="false" outlineLevel="0" collapsed="false">
      <c r="A873" s="2" t="n">
        <v>872</v>
      </c>
      <c r="B873" s="2" t="s">
        <v>1895</v>
      </c>
      <c r="C873" s="2" t="s">
        <v>1896</v>
      </c>
      <c r="D873" s="2"/>
      <c r="E873" s="2"/>
      <c r="F873" s="3" t="n">
        <v>0.000238</v>
      </c>
      <c r="G873" s="3" t="n">
        <f aca="false">SUM($F$2:F873)</f>
        <v>0.979083</v>
      </c>
      <c r="H873" s="4"/>
      <c r="I873" s="5"/>
      <c r="J873" s="4"/>
      <c r="K873" s="5"/>
      <c r="L873" s="6"/>
      <c r="M873" s="5" t="str">
        <f aca="false">IF(AND(N(K873)&gt;0,N(L873)&gt;0),K873/L873,"")</f>
        <v/>
      </c>
      <c r="N873" s="2"/>
    </row>
    <row r="874" customFormat="false" ht="15" hidden="false" customHeight="false" outlineLevel="0" collapsed="false">
      <c r="A874" s="2" t="n">
        <v>873</v>
      </c>
      <c r="B874" s="2" t="s">
        <v>1897</v>
      </c>
      <c r="C874" s="2" t="s">
        <v>1898</v>
      </c>
      <c r="D874" s="2"/>
      <c r="E874" s="2"/>
      <c r="F874" s="3" t="n">
        <v>0.000238</v>
      </c>
      <c r="G874" s="3" t="n">
        <f aca="false">SUM($F$2:F874)</f>
        <v>0.979321</v>
      </c>
      <c r="H874" s="4"/>
      <c r="I874" s="5"/>
      <c r="J874" s="4"/>
      <c r="K874" s="5"/>
      <c r="L874" s="6"/>
      <c r="M874" s="5" t="str">
        <f aca="false">IF(AND(N(K874)&gt;0,N(L874)&gt;0),K874/L874,"")</f>
        <v/>
      </c>
      <c r="N874" s="2"/>
    </row>
    <row r="875" customFormat="false" ht="15" hidden="false" customHeight="false" outlineLevel="0" collapsed="false">
      <c r="A875" s="2" t="n">
        <v>874</v>
      </c>
      <c r="B875" s="2" t="s">
        <v>1899</v>
      </c>
      <c r="C875" s="2" t="s">
        <v>1900</v>
      </c>
      <c r="D875" s="2"/>
      <c r="E875" s="2"/>
      <c r="F875" s="3" t="n">
        <v>0.000237</v>
      </c>
      <c r="G875" s="3" t="n">
        <f aca="false">SUM($F$2:F875)</f>
        <v>0.979558</v>
      </c>
      <c r="H875" s="4"/>
      <c r="I875" s="5"/>
      <c r="J875" s="4"/>
      <c r="K875" s="5"/>
      <c r="L875" s="6"/>
      <c r="M875" s="5" t="str">
        <f aca="false">IF(AND(N(K875)&gt;0,N(L875)&gt;0),K875/L875,"")</f>
        <v/>
      </c>
      <c r="N875" s="2"/>
    </row>
    <row r="876" customFormat="false" ht="15" hidden="false" customHeight="false" outlineLevel="0" collapsed="false">
      <c r="A876" s="2" t="n">
        <v>875</v>
      </c>
      <c r="B876" s="2" t="s">
        <v>1901</v>
      </c>
      <c r="C876" s="2" t="s">
        <v>1902</v>
      </c>
      <c r="D876" s="2"/>
      <c r="E876" s="2"/>
      <c r="F876" s="3" t="n">
        <v>0.000237</v>
      </c>
      <c r="G876" s="3" t="n">
        <f aca="false">SUM($F$2:F876)</f>
        <v>0.979795</v>
      </c>
      <c r="H876" s="4"/>
      <c r="I876" s="5"/>
      <c r="J876" s="4"/>
      <c r="K876" s="5"/>
      <c r="L876" s="6"/>
      <c r="M876" s="5" t="str">
        <f aca="false">IF(AND(N(K876)&gt;0,N(L876)&gt;0),K876/L876,"")</f>
        <v/>
      </c>
      <c r="N876" s="2"/>
    </row>
    <row r="877" customFormat="false" ht="15" hidden="false" customHeight="false" outlineLevel="0" collapsed="false">
      <c r="A877" s="2" t="n">
        <v>876</v>
      </c>
      <c r="B877" s="2" t="s">
        <v>1903</v>
      </c>
      <c r="C877" s="2" t="s">
        <v>1904</v>
      </c>
      <c r="D877" s="2"/>
      <c r="E877" s="2"/>
      <c r="F877" s="3" t="n">
        <v>0.000236</v>
      </c>
      <c r="G877" s="3" t="n">
        <f aca="false">SUM($F$2:F877)</f>
        <v>0.980031</v>
      </c>
      <c r="H877" s="4"/>
      <c r="I877" s="5"/>
      <c r="J877" s="4"/>
      <c r="K877" s="5"/>
      <c r="L877" s="6"/>
      <c r="M877" s="5" t="str">
        <f aca="false">IF(AND(N(K877)&gt;0,N(L877)&gt;0),K877/L877,"")</f>
        <v/>
      </c>
      <c r="N877" s="2"/>
    </row>
    <row r="878" customFormat="false" ht="15" hidden="false" customHeight="false" outlineLevel="0" collapsed="false">
      <c r="A878" s="2" t="n">
        <v>877</v>
      </c>
      <c r="B878" s="2" t="s">
        <v>1905</v>
      </c>
      <c r="C878" s="2" t="s">
        <v>1906</v>
      </c>
      <c r="D878" s="2"/>
      <c r="E878" s="2"/>
      <c r="F878" s="3" t="n">
        <v>0.000236</v>
      </c>
      <c r="G878" s="3" t="n">
        <f aca="false">SUM($F$2:F878)</f>
        <v>0.980267</v>
      </c>
      <c r="H878" s="4"/>
      <c r="I878" s="5"/>
      <c r="J878" s="4"/>
      <c r="K878" s="5"/>
      <c r="L878" s="6"/>
      <c r="M878" s="5" t="str">
        <f aca="false">IF(AND(N(K878)&gt;0,N(L878)&gt;0),K878/L878,"")</f>
        <v/>
      </c>
      <c r="N878" s="2"/>
    </row>
    <row r="879" customFormat="false" ht="15" hidden="false" customHeight="false" outlineLevel="0" collapsed="false">
      <c r="A879" s="2" t="n">
        <v>878</v>
      </c>
      <c r="B879" s="2" t="s">
        <v>1907</v>
      </c>
      <c r="C879" s="2" t="s">
        <v>1908</v>
      </c>
      <c r="D879" s="2"/>
      <c r="E879" s="2"/>
      <c r="F879" s="3" t="n">
        <v>0.000236</v>
      </c>
      <c r="G879" s="3" t="n">
        <f aca="false">SUM($F$2:F879)</f>
        <v>0.980503</v>
      </c>
      <c r="H879" s="4"/>
      <c r="I879" s="5"/>
      <c r="J879" s="4"/>
      <c r="K879" s="5"/>
      <c r="L879" s="6"/>
      <c r="M879" s="5" t="str">
        <f aca="false">IF(AND(N(K879)&gt;0,N(L879)&gt;0),K879/L879,"")</f>
        <v/>
      </c>
      <c r="N879" s="2"/>
    </row>
    <row r="880" customFormat="false" ht="15" hidden="false" customHeight="false" outlineLevel="0" collapsed="false">
      <c r="A880" s="2" t="n">
        <v>879</v>
      </c>
      <c r="B880" s="2" t="s">
        <v>1909</v>
      </c>
      <c r="C880" s="2" t="s">
        <v>1910</v>
      </c>
      <c r="D880" s="2"/>
      <c r="E880" s="2"/>
      <c r="F880" s="3" t="n">
        <v>0.000235</v>
      </c>
      <c r="G880" s="3" t="n">
        <f aca="false">SUM($F$2:F880)</f>
        <v>0.980738</v>
      </c>
      <c r="H880" s="4"/>
      <c r="I880" s="5"/>
      <c r="J880" s="4"/>
      <c r="K880" s="5"/>
      <c r="L880" s="6"/>
      <c r="M880" s="5" t="str">
        <f aca="false">IF(AND(N(K880)&gt;0,N(L880)&gt;0),K880/L880,"")</f>
        <v/>
      </c>
      <c r="N880" s="2"/>
    </row>
    <row r="881" customFormat="false" ht="15" hidden="false" customHeight="false" outlineLevel="0" collapsed="false">
      <c r="A881" s="2" t="n">
        <v>880</v>
      </c>
      <c r="B881" s="2" t="s">
        <v>1911</v>
      </c>
      <c r="C881" s="2" t="s">
        <v>1912</v>
      </c>
      <c r="D881" s="2"/>
      <c r="E881" s="2"/>
      <c r="F881" s="3" t="n">
        <v>0.000235</v>
      </c>
      <c r="G881" s="3" t="n">
        <f aca="false">SUM($F$2:F881)</f>
        <v>0.980973</v>
      </c>
      <c r="H881" s="4"/>
      <c r="I881" s="5"/>
      <c r="J881" s="4"/>
      <c r="K881" s="5"/>
      <c r="L881" s="6"/>
      <c r="M881" s="5" t="str">
        <f aca="false">IF(AND(N(K881)&gt;0,N(L881)&gt;0),K881/L881,"")</f>
        <v/>
      </c>
      <c r="N881" s="2"/>
    </row>
    <row r="882" customFormat="false" ht="15" hidden="false" customHeight="false" outlineLevel="0" collapsed="false">
      <c r="A882" s="2" t="n">
        <v>881</v>
      </c>
      <c r="B882" s="2" t="s">
        <v>1913</v>
      </c>
      <c r="C882" s="2" t="s">
        <v>1914</v>
      </c>
      <c r="D882" s="2"/>
      <c r="E882" s="2"/>
      <c r="F882" s="3" t="n">
        <v>0.000235</v>
      </c>
      <c r="G882" s="3" t="n">
        <f aca="false">SUM($F$2:F882)</f>
        <v>0.981208</v>
      </c>
      <c r="H882" s="4"/>
      <c r="I882" s="5"/>
      <c r="J882" s="4"/>
      <c r="K882" s="5"/>
      <c r="L882" s="6"/>
      <c r="M882" s="5" t="str">
        <f aca="false">IF(AND(N(K882)&gt;0,N(L882)&gt;0),K882/L882,"")</f>
        <v/>
      </c>
      <c r="N882" s="2"/>
    </row>
    <row r="883" customFormat="false" ht="15" hidden="false" customHeight="false" outlineLevel="0" collapsed="false">
      <c r="A883" s="2" t="n">
        <v>882</v>
      </c>
      <c r="B883" s="2" t="s">
        <v>1915</v>
      </c>
      <c r="C883" s="2" t="s">
        <v>1916</v>
      </c>
      <c r="D883" s="2"/>
      <c r="E883" s="2"/>
      <c r="F883" s="3" t="n">
        <v>0.000234</v>
      </c>
      <c r="G883" s="3" t="n">
        <f aca="false">SUM($F$2:F883)</f>
        <v>0.981442</v>
      </c>
      <c r="H883" s="4"/>
      <c r="I883" s="5"/>
      <c r="J883" s="4"/>
      <c r="K883" s="5"/>
      <c r="L883" s="6"/>
      <c r="M883" s="5" t="str">
        <f aca="false">IF(AND(N(K883)&gt;0,N(L883)&gt;0),K883/L883,"")</f>
        <v/>
      </c>
      <c r="N883" s="2"/>
    </row>
    <row r="884" customFormat="false" ht="15" hidden="false" customHeight="false" outlineLevel="0" collapsed="false">
      <c r="A884" s="2" t="n">
        <v>883</v>
      </c>
      <c r="B884" s="2" t="s">
        <v>1917</v>
      </c>
      <c r="C884" s="2" t="s">
        <v>1918</v>
      </c>
      <c r="D884" s="2"/>
      <c r="E884" s="2"/>
      <c r="F884" s="3" t="n">
        <v>0.000233</v>
      </c>
      <c r="G884" s="3" t="n">
        <f aca="false">SUM($F$2:F884)</f>
        <v>0.981675</v>
      </c>
      <c r="H884" s="4"/>
      <c r="I884" s="5"/>
      <c r="J884" s="4"/>
      <c r="K884" s="5"/>
      <c r="L884" s="6"/>
      <c r="M884" s="5" t="str">
        <f aca="false">IF(AND(N(K884)&gt;0,N(L884)&gt;0),K884/L884,"")</f>
        <v/>
      </c>
      <c r="N884" s="2"/>
    </row>
    <row r="885" customFormat="false" ht="15" hidden="false" customHeight="false" outlineLevel="0" collapsed="false">
      <c r="A885" s="2" t="n">
        <v>884</v>
      </c>
      <c r="B885" s="2" t="s">
        <v>1919</v>
      </c>
      <c r="C885" s="2" t="s">
        <v>1920</v>
      </c>
      <c r="D885" s="2"/>
      <c r="E885" s="2"/>
      <c r="F885" s="3" t="n">
        <v>0.000232</v>
      </c>
      <c r="G885" s="3" t="n">
        <f aca="false">SUM($F$2:F885)</f>
        <v>0.981907</v>
      </c>
      <c r="H885" s="4"/>
      <c r="I885" s="5"/>
      <c r="J885" s="4"/>
      <c r="K885" s="5"/>
      <c r="L885" s="6"/>
      <c r="M885" s="5" t="str">
        <f aca="false">IF(AND(N(K885)&gt;0,N(L885)&gt;0),K885/L885,"")</f>
        <v/>
      </c>
      <c r="N885" s="2"/>
    </row>
    <row r="886" customFormat="false" ht="15" hidden="false" customHeight="false" outlineLevel="0" collapsed="false">
      <c r="A886" s="2" t="n">
        <v>885</v>
      </c>
      <c r="B886" s="2" t="s">
        <v>1921</v>
      </c>
      <c r="C886" s="2" t="s">
        <v>1922</v>
      </c>
      <c r="D886" s="2"/>
      <c r="E886" s="2"/>
      <c r="F886" s="3" t="n">
        <v>0.000232</v>
      </c>
      <c r="G886" s="3" t="n">
        <f aca="false">SUM($F$2:F886)</f>
        <v>0.982139</v>
      </c>
      <c r="H886" s="4"/>
      <c r="I886" s="5"/>
      <c r="J886" s="4"/>
      <c r="K886" s="5"/>
      <c r="L886" s="6"/>
      <c r="M886" s="5" t="str">
        <f aca="false">IF(AND(N(K886)&gt;0,N(L886)&gt;0),K886/L886,"")</f>
        <v/>
      </c>
      <c r="N886" s="2"/>
    </row>
    <row r="887" customFormat="false" ht="15" hidden="false" customHeight="false" outlineLevel="0" collapsed="false">
      <c r="A887" s="2" t="n">
        <v>886</v>
      </c>
      <c r="B887" s="2" t="s">
        <v>1923</v>
      </c>
      <c r="C887" s="2" t="s">
        <v>1924</v>
      </c>
      <c r="D887" s="2"/>
      <c r="E887" s="2"/>
      <c r="F887" s="3" t="n">
        <v>0.000231</v>
      </c>
      <c r="G887" s="3" t="n">
        <f aca="false">SUM($F$2:F887)</f>
        <v>0.98237</v>
      </c>
      <c r="H887" s="4"/>
      <c r="I887" s="5"/>
      <c r="J887" s="4"/>
      <c r="K887" s="5"/>
      <c r="L887" s="6"/>
      <c r="M887" s="5" t="str">
        <f aca="false">IF(AND(N(K887)&gt;0,N(L887)&gt;0),K887/L887,"")</f>
        <v/>
      </c>
      <c r="N887" s="2"/>
    </row>
    <row r="888" customFormat="false" ht="15" hidden="false" customHeight="false" outlineLevel="0" collapsed="false">
      <c r="A888" s="2" t="n">
        <v>887</v>
      </c>
      <c r="B888" s="2" t="s">
        <v>1925</v>
      </c>
      <c r="C888" s="2" t="s">
        <v>1926</v>
      </c>
      <c r="D888" s="2"/>
      <c r="E888" s="2"/>
      <c r="F888" s="3" t="n">
        <v>0.000231</v>
      </c>
      <c r="G888" s="3" t="n">
        <f aca="false">SUM($F$2:F888)</f>
        <v>0.982601</v>
      </c>
      <c r="H888" s="4"/>
      <c r="I888" s="5"/>
      <c r="J888" s="4"/>
      <c r="K888" s="5"/>
      <c r="L888" s="6"/>
      <c r="M888" s="5" t="str">
        <f aca="false">IF(AND(N(K888)&gt;0,N(L888)&gt;0),K888/L888,"")</f>
        <v/>
      </c>
      <c r="N888" s="2"/>
    </row>
    <row r="889" customFormat="false" ht="15" hidden="false" customHeight="false" outlineLevel="0" collapsed="false">
      <c r="A889" s="2" t="n">
        <v>888</v>
      </c>
      <c r="B889" s="2" t="s">
        <v>1927</v>
      </c>
      <c r="C889" s="2" t="s">
        <v>1928</v>
      </c>
      <c r="D889" s="2"/>
      <c r="E889" s="2"/>
      <c r="F889" s="3" t="n">
        <v>0.00023</v>
      </c>
      <c r="G889" s="3" t="n">
        <f aca="false">SUM($F$2:F889)</f>
        <v>0.982831</v>
      </c>
      <c r="H889" s="4"/>
      <c r="I889" s="5"/>
      <c r="J889" s="4"/>
      <c r="K889" s="5"/>
      <c r="L889" s="6"/>
      <c r="M889" s="5" t="str">
        <f aca="false">IF(AND(N(K889)&gt;0,N(L889)&gt;0),K889/L889,"")</f>
        <v/>
      </c>
      <c r="N889" s="2"/>
    </row>
    <row r="890" customFormat="false" ht="15" hidden="false" customHeight="false" outlineLevel="0" collapsed="false">
      <c r="A890" s="2" t="n">
        <v>889</v>
      </c>
      <c r="B890" s="2" t="s">
        <v>1929</v>
      </c>
      <c r="C890" s="2" t="s">
        <v>1930</v>
      </c>
      <c r="D890" s="2"/>
      <c r="E890" s="2"/>
      <c r="F890" s="3" t="n">
        <v>0.000229</v>
      </c>
      <c r="G890" s="3" t="n">
        <f aca="false">SUM($F$2:F890)</f>
        <v>0.98306</v>
      </c>
      <c r="H890" s="4"/>
      <c r="I890" s="5"/>
      <c r="J890" s="4"/>
      <c r="K890" s="5"/>
      <c r="L890" s="6"/>
      <c r="M890" s="5" t="str">
        <f aca="false">IF(AND(N(K890)&gt;0,N(L890)&gt;0),K890/L890,"")</f>
        <v/>
      </c>
      <c r="N890" s="2"/>
    </row>
    <row r="891" customFormat="false" ht="15" hidden="false" customHeight="false" outlineLevel="0" collapsed="false">
      <c r="A891" s="2" t="n">
        <v>890</v>
      </c>
      <c r="B891" s="2" t="s">
        <v>1931</v>
      </c>
      <c r="C891" s="2" t="s">
        <v>1932</v>
      </c>
      <c r="D891" s="2"/>
      <c r="E891" s="2"/>
      <c r="F891" s="3" t="n">
        <v>0.000228</v>
      </c>
      <c r="G891" s="3" t="n">
        <f aca="false">SUM($F$2:F891)</f>
        <v>0.983288</v>
      </c>
      <c r="H891" s="4"/>
      <c r="I891" s="5"/>
      <c r="J891" s="4"/>
      <c r="K891" s="5"/>
      <c r="L891" s="6"/>
      <c r="M891" s="5" t="str">
        <f aca="false">IF(AND(N(K891)&gt;0,N(L891)&gt;0),K891/L891,"")</f>
        <v/>
      </c>
      <c r="N891" s="2"/>
    </row>
    <row r="892" customFormat="false" ht="15" hidden="false" customHeight="false" outlineLevel="0" collapsed="false">
      <c r="A892" s="2" t="n">
        <v>891</v>
      </c>
      <c r="B892" s="2" t="s">
        <v>1933</v>
      </c>
      <c r="C892" s="2" t="s">
        <v>1934</v>
      </c>
      <c r="D892" s="2"/>
      <c r="E892" s="2"/>
      <c r="F892" s="3" t="n">
        <v>0.000227</v>
      </c>
      <c r="G892" s="3" t="n">
        <f aca="false">SUM($F$2:F892)</f>
        <v>0.983515</v>
      </c>
      <c r="H892" s="4"/>
      <c r="I892" s="5"/>
      <c r="J892" s="4"/>
      <c r="K892" s="5"/>
      <c r="L892" s="6"/>
      <c r="M892" s="5" t="str">
        <f aca="false">IF(AND(N(K892)&gt;0,N(L892)&gt;0),K892/L892,"")</f>
        <v/>
      </c>
      <c r="N892" s="2"/>
    </row>
    <row r="893" customFormat="false" ht="15" hidden="false" customHeight="false" outlineLevel="0" collapsed="false">
      <c r="A893" s="2" t="n">
        <v>892</v>
      </c>
      <c r="B893" s="2" t="s">
        <v>1935</v>
      </c>
      <c r="C893" s="2" t="s">
        <v>1936</v>
      </c>
      <c r="D893" s="2"/>
      <c r="E893" s="2"/>
      <c r="F893" s="3" t="n">
        <v>0.000227</v>
      </c>
      <c r="G893" s="3" t="n">
        <f aca="false">SUM($F$2:F893)</f>
        <v>0.983742</v>
      </c>
      <c r="H893" s="4"/>
      <c r="I893" s="5"/>
      <c r="J893" s="4"/>
      <c r="K893" s="5"/>
      <c r="L893" s="6"/>
      <c r="M893" s="5" t="str">
        <f aca="false">IF(AND(N(K893)&gt;0,N(L893)&gt;0),K893/L893,"")</f>
        <v/>
      </c>
      <c r="N893" s="2"/>
    </row>
    <row r="894" customFormat="false" ht="15" hidden="false" customHeight="false" outlineLevel="0" collapsed="false">
      <c r="A894" s="2" t="n">
        <v>893</v>
      </c>
      <c r="B894" s="2" t="s">
        <v>1937</v>
      </c>
      <c r="C894" s="2" t="s">
        <v>1938</v>
      </c>
      <c r="D894" s="2"/>
      <c r="E894" s="2"/>
      <c r="F894" s="3" t="n">
        <v>0.000226</v>
      </c>
      <c r="G894" s="3" t="n">
        <f aca="false">SUM($F$2:F894)</f>
        <v>0.983968</v>
      </c>
      <c r="H894" s="4"/>
      <c r="I894" s="5"/>
      <c r="J894" s="4"/>
      <c r="K894" s="5"/>
      <c r="L894" s="6"/>
      <c r="M894" s="5" t="str">
        <f aca="false">IF(AND(N(K894)&gt;0,N(L894)&gt;0),K894/L894,"")</f>
        <v/>
      </c>
      <c r="N894" s="2"/>
    </row>
    <row r="895" customFormat="false" ht="15" hidden="false" customHeight="false" outlineLevel="0" collapsed="false">
      <c r="A895" s="2" t="n">
        <v>894</v>
      </c>
      <c r="B895" s="2" t="s">
        <v>1939</v>
      </c>
      <c r="C895" s="2" t="s">
        <v>1940</v>
      </c>
      <c r="D895" s="2"/>
      <c r="E895" s="2"/>
      <c r="F895" s="3" t="n">
        <v>0.000226</v>
      </c>
      <c r="G895" s="3" t="n">
        <f aca="false">SUM($F$2:F895)</f>
        <v>0.984194</v>
      </c>
      <c r="H895" s="4"/>
      <c r="I895" s="5"/>
      <c r="J895" s="4"/>
      <c r="K895" s="5"/>
      <c r="L895" s="6"/>
      <c r="M895" s="5" t="str">
        <f aca="false">IF(AND(N(K895)&gt;0,N(L895)&gt;0),K895/L895,"")</f>
        <v/>
      </c>
      <c r="N895" s="2"/>
    </row>
    <row r="896" customFormat="false" ht="15" hidden="false" customHeight="false" outlineLevel="0" collapsed="false">
      <c r="A896" s="2" t="n">
        <v>895</v>
      </c>
      <c r="B896" s="2" t="s">
        <v>1941</v>
      </c>
      <c r="C896" s="2" t="s">
        <v>1942</v>
      </c>
      <c r="D896" s="2"/>
      <c r="E896" s="2"/>
      <c r="F896" s="3" t="n">
        <v>0.000223</v>
      </c>
      <c r="G896" s="3" t="n">
        <f aca="false">SUM($F$2:F896)</f>
        <v>0.984417</v>
      </c>
      <c r="H896" s="4"/>
      <c r="I896" s="5"/>
      <c r="J896" s="4"/>
      <c r="K896" s="5"/>
      <c r="L896" s="6"/>
      <c r="M896" s="5" t="str">
        <f aca="false">IF(AND(N(K896)&gt;0,N(L896)&gt;0),K896/L896,"")</f>
        <v/>
      </c>
      <c r="N896" s="2"/>
    </row>
    <row r="897" customFormat="false" ht="15" hidden="false" customHeight="false" outlineLevel="0" collapsed="false">
      <c r="A897" s="2" t="n">
        <v>896</v>
      </c>
      <c r="B897" s="2" t="s">
        <v>1943</v>
      </c>
      <c r="C897" s="2" t="s">
        <v>1944</v>
      </c>
      <c r="D897" s="2"/>
      <c r="E897" s="2"/>
      <c r="F897" s="3" t="n">
        <v>0.000222</v>
      </c>
      <c r="G897" s="3" t="n">
        <f aca="false">SUM($F$2:F897)</f>
        <v>0.984639</v>
      </c>
      <c r="H897" s="4"/>
      <c r="I897" s="5"/>
      <c r="J897" s="4"/>
      <c r="K897" s="5"/>
      <c r="L897" s="6"/>
      <c r="M897" s="5" t="str">
        <f aca="false">IF(AND(N(K897)&gt;0,N(L897)&gt;0),K897/L897,"")</f>
        <v/>
      </c>
      <c r="N897" s="2"/>
    </row>
    <row r="898" customFormat="false" ht="15" hidden="false" customHeight="false" outlineLevel="0" collapsed="false">
      <c r="A898" s="2" t="n">
        <v>897</v>
      </c>
      <c r="B898" s="2" t="s">
        <v>1945</v>
      </c>
      <c r="C898" s="2" t="s">
        <v>1946</v>
      </c>
      <c r="D898" s="2"/>
      <c r="E898" s="2"/>
      <c r="F898" s="3" t="n">
        <v>0.000219</v>
      </c>
      <c r="G898" s="3" t="n">
        <f aca="false">SUM($F$2:F898)</f>
        <v>0.984858</v>
      </c>
      <c r="H898" s="4"/>
      <c r="I898" s="5"/>
      <c r="J898" s="4"/>
      <c r="K898" s="5"/>
      <c r="L898" s="6"/>
      <c r="M898" s="5" t="str">
        <f aca="false">IF(AND(N(K898)&gt;0,N(L898)&gt;0),K898/L898,"")</f>
        <v/>
      </c>
      <c r="N898" s="2"/>
    </row>
    <row r="899" customFormat="false" ht="15" hidden="false" customHeight="false" outlineLevel="0" collapsed="false">
      <c r="A899" s="2" t="n">
        <v>898</v>
      </c>
      <c r="B899" s="2" t="s">
        <v>1947</v>
      </c>
      <c r="C899" s="2" t="s">
        <v>1948</v>
      </c>
      <c r="D899" s="2"/>
      <c r="E899" s="2"/>
      <c r="F899" s="3" t="n">
        <v>0.000219</v>
      </c>
      <c r="G899" s="3" t="n">
        <f aca="false">SUM($F$2:F899)</f>
        <v>0.985077</v>
      </c>
      <c r="H899" s="4"/>
      <c r="I899" s="5"/>
      <c r="J899" s="4"/>
      <c r="K899" s="5"/>
      <c r="L899" s="6"/>
      <c r="M899" s="5" t="str">
        <f aca="false">IF(AND(N(K899)&gt;0,N(L899)&gt;0),K899/L899,"")</f>
        <v/>
      </c>
      <c r="N899" s="2"/>
    </row>
    <row r="900" customFormat="false" ht="15" hidden="false" customHeight="false" outlineLevel="0" collapsed="false">
      <c r="A900" s="2" t="n">
        <v>899</v>
      </c>
      <c r="B900" s="2" t="s">
        <v>1949</v>
      </c>
      <c r="C900" s="2" t="s">
        <v>1950</v>
      </c>
      <c r="D900" s="2"/>
      <c r="E900" s="2"/>
      <c r="F900" s="3" t="n">
        <v>0.000219</v>
      </c>
      <c r="G900" s="3" t="n">
        <f aca="false">SUM($F$2:F900)</f>
        <v>0.985296</v>
      </c>
      <c r="H900" s="4"/>
      <c r="I900" s="5"/>
      <c r="J900" s="4"/>
      <c r="K900" s="5"/>
      <c r="L900" s="6"/>
      <c r="M900" s="5" t="str">
        <f aca="false">IF(AND(N(K900)&gt;0,N(L900)&gt;0),K900/L900,"")</f>
        <v/>
      </c>
      <c r="N900" s="2"/>
    </row>
    <row r="901" customFormat="false" ht="15" hidden="false" customHeight="false" outlineLevel="0" collapsed="false">
      <c r="A901" s="2" t="n">
        <v>900</v>
      </c>
      <c r="B901" s="2" t="s">
        <v>1951</v>
      </c>
      <c r="C901" s="2" t="s">
        <v>1952</v>
      </c>
      <c r="D901" s="2"/>
      <c r="E901" s="2"/>
      <c r="F901" s="3" t="n">
        <v>0.000218</v>
      </c>
      <c r="G901" s="3" t="n">
        <f aca="false">SUM($F$2:F901)</f>
        <v>0.985514</v>
      </c>
      <c r="H901" s="4"/>
      <c r="I901" s="5"/>
      <c r="J901" s="4"/>
      <c r="K901" s="5"/>
      <c r="L901" s="6"/>
      <c r="M901" s="5" t="str">
        <f aca="false">IF(AND(N(K901)&gt;0,N(L901)&gt;0),K901/L901,"")</f>
        <v/>
      </c>
      <c r="N901" s="2"/>
    </row>
    <row r="902" customFormat="false" ht="15" hidden="false" customHeight="false" outlineLevel="0" collapsed="false">
      <c r="A902" s="2" t="n">
        <v>901</v>
      </c>
      <c r="B902" s="2" t="s">
        <v>1953</v>
      </c>
      <c r="C902" s="2" t="s">
        <v>1954</v>
      </c>
      <c r="D902" s="2"/>
      <c r="E902" s="2"/>
      <c r="F902" s="3" t="n">
        <v>0.000218</v>
      </c>
      <c r="G902" s="3" t="n">
        <f aca="false">SUM($F$2:F902)</f>
        <v>0.985732</v>
      </c>
      <c r="H902" s="4"/>
      <c r="I902" s="5"/>
      <c r="J902" s="4"/>
      <c r="K902" s="5"/>
      <c r="L902" s="6"/>
      <c r="M902" s="5" t="str">
        <f aca="false">IF(AND(N(K902)&gt;0,N(L902)&gt;0),K902/L902,"")</f>
        <v/>
      </c>
      <c r="N902" s="2"/>
    </row>
    <row r="903" customFormat="false" ht="15" hidden="false" customHeight="false" outlineLevel="0" collapsed="false">
      <c r="A903" s="2" t="n">
        <v>902</v>
      </c>
      <c r="B903" s="2" t="s">
        <v>1955</v>
      </c>
      <c r="C903" s="2" t="s">
        <v>1956</v>
      </c>
      <c r="D903" s="2"/>
      <c r="E903" s="2"/>
      <c r="F903" s="3" t="n">
        <v>0.000217</v>
      </c>
      <c r="G903" s="3" t="n">
        <f aca="false">SUM($F$2:F903)</f>
        <v>0.985949</v>
      </c>
      <c r="H903" s="4"/>
      <c r="I903" s="5"/>
      <c r="J903" s="4"/>
      <c r="K903" s="5"/>
      <c r="L903" s="6"/>
      <c r="M903" s="5" t="str">
        <f aca="false">IF(AND(N(K903)&gt;0,N(L903)&gt;0),K903/L903,"")</f>
        <v/>
      </c>
      <c r="N903" s="2"/>
    </row>
    <row r="904" customFormat="false" ht="15" hidden="false" customHeight="false" outlineLevel="0" collapsed="false">
      <c r="A904" s="2" t="n">
        <v>903</v>
      </c>
      <c r="B904" s="2" t="s">
        <v>1957</v>
      </c>
      <c r="C904" s="2" t="s">
        <v>1958</v>
      </c>
      <c r="D904" s="2"/>
      <c r="E904" s="2"/>
      <c r="F904" s="3" t="n">
        <v>0.000215</v>
      </c>
      <c r="G904" s="3" t="n">
        <f aca="false">SUM($F$2:F904)</f>
        <v>0.986164</v>
      </c>
      <c r="H904" s="4"/>
      <c r="I904" s="5"/>
      <c r="J904" s="4"/>
      <c r="K904" s="5"/>
      <c r="L904" s="6"/>
      <c r="M904" s="5" t="str">
        <f aca="false">IF(AND(N(K904)&gt;0,N(L904)&gt;0),K904/L904,"")</f>
        <v/>
      </c>
      <c r="N904" s="2"/>
    </row>
    <row r="905" customFormat="false" ht="15" hidden="false" customHeight="false" outlineLevel="0" collapsed="false">
      <c r="A905" s="2" t="n">
        <v>904</v>
      </c>
      <c r="B905" s="2" t="s">
        <v>1959</v>
      </c>
      <c r="C905" s="2" t="s">
        <v>1960</v>
      </c>
      <c r="D905" s="2"/>
      <c r="E905" s="2"/>
      <c r="F905" s="3" t="n">
        <v>0.000214</v>
      </c>
      <c r="G905" s="3" t="n">
        <f aca="false">SUM($F$2:F905)</f>
        <v>0.986378</v>
      </c>
      <c r="H905" s="4"/>
      <c r="I905" s="5"/>
      <c r="J905" s="4"/>
      <c r="K905" s="5"/>
      <c r="L905" s="6"/>
      <c r="M905" s="5" t="str">
        <f aca="false">IF(AND(N(K905)&gt;0,N(L905)&gt;0),K905/L905,"")</f>
        <v/>
      </c>
      <c r="N905" s="2"/>
    </row>
    <row r="906" customFormat="false" ht="15" hidden="false" customHeight="false" outlineLevel="0" collapsed="false">
      <c r="A906" s="2" t="n">
        <v>905</v>
      </c>
      <c r="B906" s="2" t="s">
        <v>1961</v>
      </c>
      <c r="C906" s="2" t="s">
        <v>1962</v>
      </c>
      <c r="D906" s="2"/>
      <c r="E906" s="2"/>
      <c r="F906" s="3" t="n">
        <v>0.000214</v>
      </c>
      <c r="G906" s="3" t="n">
        <f aca="false">SUM($F$2:F906)</f>
        <v>0.986592</v>
      </c>
      <c r="H906" s="4"/>
      <c r="I906" s="5"/>
      <c r="J906" s="4"/>
      <c r="K906" s="5"/>
      <c r="L906" s="6"/>
      <c r="M906" s="5" t="str">
        <f aca="false">IF(AND(N(K906)&gt;0,N(L906)&gt;0),K906/L906,"")</f>
        <v/>
      </c>
      <c r="N906" s="2"/>
    </row>
    <row r="907" customFormat="false" ht="15" hidden="false" customHeight="false" outlineLevel="0" collapsed="false">
      <c r="A907" s="2" t="n">
        <v>906</v>
      </c>
      <c r="B907" s="2" t="s">
        <v>1963</v>
      </c>
      <c r="C907" s="2" t="s">
        <v>1964</v>
      </c>
      <c r="D907" s="2"/>
      <c r="E907" s="2"/>
      <c r="F907" s="3" t="n">
        <v>0.000213</v>
      </c>
      <c r="G907" s="3" t="n">
        <f aca="false">SUM($F$2:F907)</f>
        <v>0.986805</v>
      </c>
      <c r="H907" s="4"/>
      <c r="I907" s="5"/>
      <c r="J907" s="4"/>
      <c r="K907" s="5"/>
      <c r="L907" s="6"/>
      <c r="M907" s="5" t="str">
        <f aca="false">IF(AND(N(K907)&gt;0,N(L907)&gt;0),K907/L907,"")</f>
        <v/>
      </c>
      <c r="N907" s="2"/>
    </row>
    <row r="908" customFormat="false" ht="15" hidden="false" customHeight="false" outlineLevel="0" collapsed="false">
      <c r="A908" s="2" t="n">
        <v>907</v>
      </c>
      <c r="B908" s="2" t="s">
        <v>1965</v>
      </c>
      <c r="C908" s="2" t="s">
        <v>1966</v>
      </c>
      <c r="D908" s="2"/>
      <c r="E908" s="2"/>
      <c r="F908" s="3" t="n">
        <v>0.000213</v>
      </c>
      <c r="G908" s="3" t="n">
        <f aca="false">SUM($F$2:F908)</f>
        <v>0.987018</v>
      </c>
      <c r="H908" s="4"/>
      <c r="I908" s="5"/>
      <c r="J908" s="4"/>
      <c r="K908" s="5"/>
      <c r="L908" s="6"/>
      <c r="M908" s="5" t="str">
        <f aca="false">IF(AND(N(K908)&gt;0,N(L908)&gt;0),K908/L908,"")</f>
        <v/>
      </c>
      <c r="N908" s="2"/>
    </row>
    <row r="909" customFormat="false" ht="15" hidden="false" customHeight="false" outlineLevel="0" collapsed="false">
      <c r="A909" s="2" t="n">
        <v>908</v>
      </c>
      <c r="B909" s="2" t="s">
        <v>1967</v>
      </c>
      <c r="C909" s="2" t="s">
        <v>1968</v>
      </c>
      <c r="D909" s="2"/>
      <c r="E909" s="2"/>
      <c r="F909" s="3" t="n">
        <v>0.000211</v>
      </c>
      <c r="G909" s="3" t="n">
        <f aca="false">SUM($F$2:F909)</f>
        <v>0.987229</v>
      </c>
      <c r="H909" s="4"/>
      <c r="I909" s="5"/>
      <c r="J909" s="4"/>
      <c r="K909" s="5"/>
      <c r="L909" s="6"/>
      <c r="M909" s="5" t="str">
        <f aca="false">IF(AND(N(K909)&gt;0,N(L909)&gt;0),K909/L909,"")</f>
        <v/>
      </c>
      <c r="N909" s="2"/>
    </row>
    <row r="910" customFormat="false" ht="15" hidden="false" customHeight="false" outlineLevel="0" collapsed="false">
      <c r="A910" s="2" t="n">
        <v>909</v>
      </c>
      <c r="B910" s="2" t="s">
        <v>1969</v>
      </c>
      <c r="C910" s="2" t="s">
        <v>1970</v>
      </c>
      <c r="D910" s="2"/>
      <c r="E910" s="2"/>
      <c r="F910" s="3" t="n">
        <v>0.000208</v>
      </c>
      <c r="G910" s="3" t="n">
        <f aca="false">SUM($F$2:F910)</f>
        <v>0.987437</v>
      </c>
      <c r="H910" s="4"/>
      <c r="I910" s="5"/>
      <c r="J910" s="4"/>
      <c r="K910" s="5"/>
      <c r="L910" s="6"/>
      <c r="M910" s="5" t="str">
        <f aca="false">IF(AND(N(K910)&gt;0,N(L910)&gt;0),K910/L910,"")</f>
        <v/>
      </c>
      <c r="N910" s="2"/>
    </row>
    <row r="911" customFormat="false" ht="15" hidden="false" customHeight="false" outlineLevel="0" collapsed="false">
      <c r="A911" s="2" t="n">
        <v>910</v>
      </c>
      <c r="B911" s="2" t="s">
        <v>1971</v>
      </c>
      <c r="C911" s="2" t="s">
        <v>1972</v>
      </c>
      <c r="D911" s="2"/>
      <c r="E911" s="2"/>
      <c r="F911" s="3" t="n">
        <v>0.000206</v>
      </c>
      <c r="G911" s="3" t="n">
        <f aca="false">SUM($F$2:F911)</f>
        <v>0.987643</v>
      </c>
      <c r="H911" s="4"/>
      <c r="I911" s="5"/>
      <c r="J911" s="4"/>
      <c r="K911" s="5"/>
      <c r="L911" s="6"/>
      <c r="M911" s="5" t="str">
        <f aca="false">IF(AND(N(K911)&gt;0,N(L911)&gt;0),K911/L911,"")</f>
        <v/>
      </c>
      <c r="N911" s="2"/>
    </row>
    <row r="912" customFormat="false" ht="15" hidden="false" customHeight="false" outlineLevel="0" collapsed="false">
      <c r="A912" s="2" t="n">
        <v>911</v>
      </c>
      <c r="B912" s="2" t="s">
        <v>1973</v>
      </c>
      <c r="C912" s="2" t="s">
        <v>1974</v>
      </c>
      <c r="D912" s="2"/>
      <c r="E912" s="2"/>
      <c r="F912" s="3" t="n">
        <v>0.000205</v>
      </c>
      <c r="G912" s="3" t="n">
        <f aca="false">SUM($F$2:F912)</f>
        <v>0.987848</v>
      </c>
      <c r="H912" s="4"/>
      <c r="I912" s="5"/>
      <c r="J912" s="4"/>
      <c r="K912" s="5"/>
      <c r="L912" s="6"/>
      <c r="M912" s="5" t="str">
        <f aca="false">IF(AND(N(K912)&gt;0,N(L912)&gt;0),K912/L912,"")</f>
        <v/>
      </c>
      <c r="N912" s="2"/>
    </row>
    <row r="913" customFormat="false" ht="15" hidden="false" customHeight="false" outlineLevel="0" collapsed="false">
      <c r="A913" s="2" t="n">
        <v>912</v>
      </c>
      <c r="B913" s="2" t="s">
        <v>1975</v>
      </c>
      <c r="C913" s="2" t="s">
        <v>1976</v>
      </c>
      <c r="D913" s="2"/>
      <c r="E913" s="2"/>
      <c r="F913" s="3" t="n">
        <v>0.000205</v>
      </c>
      <c r="G913" s="3" t="n">
        <f aca="false">SUM($F$2:F913)</f>
        <v>0.988053</v>
      </c>
      <c r="H913" s="4"/>
      <c r="I913" s="5"/>
      <c r="J913" s="4"/>
      <c r="K913" s="5"/>
      <c r="L913" s="6"/>
      <c r="M913" s="5" t="str">
        <f aca="false">IF(AND(N(K913)&gt;0,N(L913)&gt;0),K913/L913,"")</f>
        <v/>
      </c>
      <c r="N913" s="2"/>
    </row>
    <row r="914" customFormat="false" ht="15" hidden="false" customHeight="false" outlineLevel="0" collapsed="false">
      <c r="A914" s="2" t="n">
        <v>913</v>
      </c>
      <c r="B914" s="2" t="s">
        <v>1977</v>
      </c>
      <c r="C914" s="2" t="s">
        <v>1978</v>
      </c>
      <c r="D914" s="2"/>
      <c r="E914" s="2"/>
      <c r="F914" s="3" t="n">
        <v>0.000204</v>
      </c>
      <c r="G914" s="3" t="n">
        <f aca="false">SUM($F$2:F914)</f>
        <v>0.988257</v>
      </c>
      <c r="H914" s="4"/>
      <c r="I914" s="5"/>
      <c r="J914" s="4"/>
      <c r="K914" s="5"/>
      <c r="L914" s="6"/>
      <c r="M914" s="5" t="str">
        <f aca="false">IF(AND(N(K914)&gt;0,N(L914)&gt;0),K914/L914,"")</f>
        <v/>
      </c>
      <c r="N914" s="2"/>
    </row>
    <row r="915" customFormat="false" ht="15" hidden="false" customHeight="false" outlineLevel="0" collapsed="false">
      <c r="A915" s="2" t="n">
        <v>914</v>
      </c>
      <c r="B915" s="2" t="s">
        <v>1979</v>
      </c>
      <c r="C915" s="2" t="s">
        <v>1980</v>
      </c>
      <c r="D915" s="2"/>
      <c r="E915" s="2"/>
      <c r="F915" s="3" t="n">
        <v>0.000204</v>
      </c>
      <c r="G915" s="3" t="n">
        <f aca="false">SUM($F$2:F915)</f>
        <v>0.988461</v>
      </c>
      <c r="H915" s="4"/>
      <c r="I915" s="5"/>
      <c r="J915" s="4"/>
      <c r="K915" s="5"/>
      <c r="L915" s="6"/>
      <c r="M915" s="5" t="str">
        <f aca="false">IF(AND(N(K915)&gt;0,N(L915)&gt;0),K915/L915,"")</f>
        <v/>
      </c>
      <c r="N915" s="2"/>
    </row>
    <row r="916" customFormat="false" ht="15" hidden="false" customHeight="false" outlineLevel="0" collapsed="false">
      <c r="A916" s="2" t="n">
        <v>915</v>
      </c>
      <c r="B916" s="2" t="s">
        <v>1981</v>
      </c>
      <c r="C916" s="2" t="s">
        <v>1982</v>
      </c>
      <c r="D916" s="2"/>
      <c r="E916" s="2"/>
      <c r="F916" s="3" t="n">
        <v>0.000194</v>
      </c>
      <c r="G916" s="3" t="n">
        <f aca="false">SUM($F$2:F916)</f>
        <v>0.988655</v>
      </c>
      <c r="H916" s="4"/>
      <c r="I916" s="5"/>
      <c r="J916" s="4"/>
      <c r="K916" s="5"/>
      <c r="L916" s="6"/>
      <c r="M916" s="5" t="str">
        <f aca="false">IF(AND(N(K916)&gt;0,N(L916)&gt;0),K916/L916,"")</f>
        <v/>
      </c>
      <c r="N916" s="2"/>
    </row>
    <row r="917" customFormat="false" ht="15" hidden="false" customHeight="false" outlineLevel="0" collapsed="false">
      <c r="A917" s="2" t="n">
        <v>916</v>
      </c>
      <c r="B917" s="2" t="s">
        <v>1983</v>
      </c>
      <c r="C917" s="2" t="s">
        <v>1984</v>
      </c>
      <c r="D917" s="2"/>
      <c r="E917" s="2"/>
      <c r="F917" s="3" t="n">
        <v>0.000194</v>
      </c>
      <c r="G917" s="3" t="n">
        <f aca="false">SUM($F$2:F917)</f>
        <v>0.988849</v>
      </c>
      <c r="H917" s="4"/>
      <c r="I917" s="5"/>
      <c r="J917" s="4"/>
      <c r="K917" s="5"/>
      <c r="L917" s="6"/>
      <c r="M917" s="5" t="str">
        <f aca="false">IF(AND(N(K917)&gt;0,N(L917)&gt;0),K917/L917,"")</f>
        <v/>
      </c>
      <c r="N917" s="2"/>
    </row>
    <row r="918" customFormat="false" ht="15" hidden="false" customHeight="false" outlineLevel="0" collapsed="false">
      <c r="A918" s="2" t="n">
        <v>917</v>
      </c>
      <c r="B918" s="2" t="s">
        <v>1985</v>
      </c>
      <c r="C918" s="2" t="s">
        <v>1986</v>
      </c>
      <c r="D918" s="2"/>
      <c r="E918" s="2"/>
      <c r="F918" s="3" t="n">
        <v>0.000193</v>
      </c>
      <c r="G918" s="3" t="n">
        <f aca="false">SUM($F$2:F918)</f>
        <v>0.989042</v>
      </c>
      <c r="H918" s="4"/>
      <c r="I918" s="5"/>
      <c r="J918" s="4"/>
      <c r="K918" s="5"/>
      <c r="L918" s="6"/>
      <c r="M918" s="5" t="str">
        <f aca="false">IF(AND(N(K918)&gt;0,N(L918)&gt;0),K918/L918,"")</f>
        <v/>
      </c>
      <c r="N918" s="2"/>
    </row>
    <row r="919" customFormat="false" ht="15" hidden="false" customHeight="false" outlineLevel="0" collapsed="false">
      <c r="A919" s="2" t="n">
        <v>918</v>
      </c>
      <c r="B919" s="2" t="s">
        <v>1987</v>
      </c>
      <c r="C919" s="2" t="s">
        <v>1988</v>
      </c>
      <c r="D919" s="2"/>
      <c r="E919" s="2"/>
      <c r="F919" s="3" t="n">
        <v>0.000188</v>
      </c>
      <c r="G919" s="3" t="n">
        <f aca="false">SUM($F$2:F919)</f>
        <v>0.98923</v>
      </c>
      <c r="H919" s="4"/>
      <c r="I919" s="5"/>
      <c r="J919" s="4"/>
      <c r="K919" s="5"/>
      <c r="L919" s="6"/>
      <c r="M919" s="5" t="str">
        <f aca="false">IF(AND(N(K919)&gt;0,N(L919)&gt;0),K919/L919,"")</f>
        <v/>
      </c>
      <c r="N919" s="2"/>
    </row>
    <row r="920" customFormat="false" ht="15" hidden="false" customHeight="false" outlineLevel="0" collapsed="false">
      <c r="A920" s="2" t="n">
        <v>919</v>
      </c>
      <c r="B920" s="2" t="s">
        <v>1989</v>
      </c>
      <c r="C920" s="2" t="s">
        <v>1990</v>
      </c>
      <c r="D920" s="2"/>
      <c r="E920" s="2"/>
      <c r="F920" s="3" t="n">
        <v>0.000188</v>
      </c>
      <c r="G920" s="3" t="n">
        <f aca="false">SUM($F$2:F920)</f>
        <v>0.989418</v>
      </c>
      <c r="H920" s="4"/>
      <c r="I920" s="5"/>
      <c r="J920" s="4"/>
      <c r="K920" s="5"/>
      <c r="L920" s="6"/>
      <c r="M920" s="5" t="str">
        <f aca="false">IF(AND(N(K920)&gt;0,N(L920)&gt;0),K920/L920,"")</f>
        <v/>
      </c>
      <c r="N920" s="2"/>
    </row>
    <row r="921" customFormat="false" ht="15" hidden="false" customHeight="false" outlineLevel="0" collapsed="false">
      <c r="A921" s="2" t="n">
        <v>920</v>
      </c>
      <c r="B921" s="2" t="s">
        <v>1991</v>
      </c>
      <c r="C921" s="2" t="s">
        <v>1992</v>
      </c>
      <c r="D921" s="2"/>
      <c r="E921" s="2"/>
      <c r="F921" s="3" t="n">
        <v>0.000187</v>
      </c>
      <c r="G921" s="3" t="n">
        <f aca="false">SUM($F$2:F921)</f>
        <v>0.989605</v>
      </c>
      <c r="H921" s="4"/>
      <c r="I921" s="5"/>
      <c r="J921" s="4"/>
      <c r="K921" s="5"/>
      <c r="L921" s="6"/>
      <c r="M921" s="5" t="str">
        <f aca="false">IF(AND(N(K921)&gt;0,N(L921)&gt;0),K921/L921,"")</f>
        <v/>
      </c>
      <c r="N921" s="2"/>
    </row>
    <row r="922" customFormat="false" ht="15" hidden="false" customHeight="false" outlineLevel="0" collapsed="false">
      <c r="A922" s="2" t="n">
        <v>921</v>
      </c>
      <c r="B922" s="2" t="s">
        <v>1993</v>
      </c>
      <c r="C922" s="2" t="s">
        <v>1994</v>
      </c>
      <c r="D922" s="2"/>
      <c r="E922" s="2"/>
      <c r="F922" s="3" t="n">
        <v>0.000187</v>
      </c>
      <c r="G922" s="3" t="n">
        <f aca="false">SUM($F$2:F922)</f>
        <v>0.989792</v>
      </c>
      <c r="H922" s="4"/>
      <c r="I922" s="5"/>
      <c r="J922" s="4"/>
      <c r="K922" s="5"/>
      <c r="L922" s="6"/>
      <c r="M922" s="5" t="str">
        <f aca="false">IF(AND(N(K922)&gt;0,N(L922)&gt;0),K922/L922,"")</f>
        <v/>
      </c>
      <c r="N922" s="2"/>
    </row>
    <row r="923" customFormat="false" ht="15" hidden="false" customHeight="false" outlineLevel="0" collapsed="false">
      <c r="A923" s="2" t="n">
        <v>922</v>
      </c>
      <c r="B923" s="2" t="s">
        <v>1995</v>
      </c>
      <c r="C923" s="2" t="s">
        <v>1996</v>
      </c>
      <c r="D923" s="2"/>
      <c r="E923" s="2"/>
      <c r="F923" s="3" t="n">
        <v>0.000187</v>
      </c>
      <c r="G923" s="3" t="n">
        <f aca="false">SUM($F$2:F923)</f>
        <v>0.989979</v>
      </c>
      <c r="H923" s="4"/>
      <c r="I923" s="5"/>
      <c r="J923" s="4"/>
      <c r="K923" s="5"/>
      <c r="L923" s="6"/>
      <c r="M923" s="5" t="str">
        <f aca="false">IF(AND(N(K923)&gt;0,N(L923)&gt;0),K923/L923,"")</f>
        <v/>
      </c>
      <c r="N923" s="2"/>
    </row>
    <row r="924" customFormat="false" ht="15" hidden="false" customHeight="false" outlineLevel="0" collapsed="false">
      <c r="A924" s="2" t="n">
        <v>923</v>
      </c>
      <c r="B924" s="2" t="s">
        <v>1997</v>
      </c>
      <c r="C924" s="2" t="s">
        <v>1998</v>
      </c>
      <c r="D924" s="2"/>
      <c r="E924" s="2"/>
      <c r="F924" s="3" t="n">
        <v>0.000185</v>
      </c>
      <c r="G924" s="3" t="n">
        <f aca="false">SUM($F$2:F924)</f>
        <v>0.990164</v>
      </c>
      <c r="H924" s="4"/>
      <c r="I924" s="5"/>
      <c r="J924" s="4"/>
      <c r="K924" s="5"/>
      <c r="L924" s="6"/>
      <c r="M924" s="5" t="str">
        <f aca="false">IF(AND(N(K924)&gt;0,N(L924)&gt;0),K924/L924,"")</f>
        <v/>
      </c>
      <c r="N924" s="2"/>
    </row>
    <row r="925" customFormat="false" ht="15" hidden="false" customHeight="false" outlineLevel="0" collapsed="false">
      <c r="A925" s="2" t="n">
        <v>924</v>
      </c>
      <c r="B925" s="2" t="s">
        <v>1999</v>
      </c>
      <c r="C925" s="2" t="s">
        <v>2000</v>
      </c>
      <c r="D925" s="2"/>
      <c r="E925" s="2"/>
      <c r="F925" s="3" t="n">
        <v>0.000184</v>
      </c>
      <c r="G925" s="3" t="n">
        <f aca="false">SUM($F$2:F925)</f>
        <v>0.990348</v>
      </c>
      <c r="H925" s="4"/>
      <c r="I925" s="5"/>
      <c r="J925" s="4"/>
      <c r="K925" s="5"/>
      <c r="L925" s="6"/>
      <c r="M925" s="5" t="str">
        <f aca="false">IF(AND(N(K925)&gt;0,N(L925)&gt;0),K925/L925,"")</f>
        <v/>
      </c>
      <c r="N925" s="2"/>
    </row>
    <row r="926" customFormat="false" ht="15" hidden="false" customHeight="false" outlineLevel="0" collapsed="false">
      <c r="A926" s="2" t="n">
        <v>925</v>
      </c>
      <c r="B926" s="2" t="s">
        <v>2001</v>
      </c>
      <c r="C926" s="2" t="s">
        <v>2002</v>
      </c>
      <c r="D926" s="2"/>
      <c r="E926" s="2"/>
      <c r="F926" s="3" t="n">
        <v>0.000183</v>
      </c>
      <c r="G926" s="3" t="n">
        <f aca="false">SUM($F$2:F926)</f>
        <v>0.990531</v>
      </c>
      <c r="H926" s="4"/>
      <c r="I926" s="5"/>
      <c r="J926" s="4"/>
      <c r="K926" s="5"/>
      <c r="L926" s="6"/>
      <c r="M926" s="5" t="str">
        <f aca="false">IF(AND(N(K926)&gt;0,N(L926)&gt;0),K926/L926,"")</f>
        <v/>
      </c>
      <c r="N926" s="2"/>
    </row>
    <row r="927" customFormat="false" ht="15" hidden="false" customHeight="false" outlineLevel="0" collapsed="false">
      <c r="A927" s="2" t="n">
        <v>926</v>
      </c>
      <c r="B927" s="2" t="s">
        <v>2003</v>
      </c>
      <c r="C927" s="2" t="s">
        <v>2004</v>
      </c>
      <c r="D927" s="2"/>
      <c r="E927" s="2"/>
      <c r="F927" s="3" t="n">
        <v>0.000183</v>
      </c>
      <c r="G927" s="3" t="n">
        <f aca="false">SUM($F$2:F927)</f>
        <v>0.990714</v>
      </c>
      <c r="H927" s="4"/>
      <c r="I927" s="5"/>
      <c r="J927" s="4"/>
      <c r="K927" s="5"/>
      <c r="L927" s="6"/>
      <c r="M927" s="5" t="str">
        <f aca="false">IF(AND(N(K927)&gt;0,N(L927)&gt;0),K927/L927,"")</f>
        <v/>
      </c>
      <c r="N927" s="2"/>
    </row>
    <row r="928" customFormat="false" ht="15" hidden="false" customHeight="false" outlineLevel="0" collapsed="false">
      <c r="A928" s="2" t="n">
        <v>927</v>
      </c>
      <c r="B928" s="2" t="s">
        <v>2005</v>
      </c>
      <c r="C928" s="2" t="s">
        <v>2006</v>
      </c>
      <c r="D928" s="2"/>
      <c r="E928" s="2"/>
      <c r="F928" s="3" t="n">
        <v>0.000182</v>
      </c>
      <c r="G928" s="3" t="n">
        <f aca="false">SUM($F$2:F928)</f>
        <v>0.990896</v>
      </c>
      <c r="H928" s="4"/>
      <c r="I928" s="5"/>
      <c r="J928" s="4"/>
      <c r="K928" s="5"/>
      <c r="L928" s="6"/>
      <c r="M928" s="5" t="str">
        <f aca="false">IF(AND(N(K928)&gt;0,N(L928)&gt;0),K928/L928,"")</f>
        <v/>
      </c>
      <c r="N928" s="2"/>
    </row>
    <row r="929" customFormat="false" ht="15" hidden="false" customHeight="false" outlineLevel="0" collapsed="false">
      <c r="A929" s="2" t="n">
        <v>928</v>
      </c>
      <c r="B929" s="2" t="s">
        <v>2007</v>
      </c>
      <c r="C929" s="2" t="s">
        <v>2008</v>
      </c>
      <c r="D929" s="2"/>
      <c r="E929" s="2"/>
      <c r="F929" s="3" t="n">
        <v>0.000182</v>
      </c>
      <c r="G929" s="3" t="n">
        <f aca="false">SUM($F$2:F929)</f>
        <v>0.991078</v>
      </c>
      <c r="H929" s="4"/>
      <c r="I929" s="5"/>
      <c r="J929" s="4"/>
      <c r="K929" s="5"/>
      <c r="L929" s="6"/>
      <c r="M929" s="5" t="str">
        <f aca="false">IF(AND(N(K929)&gt;0,N(L929)&gt;0),K929/L929,"")</f>
        <v/>
      </c>
      <c r="N929" s="2"/>
    </row>
    <row r="930" customFormat="false" ht="15" hidden="false" customHeight="false" outlineLevel="0" collapsed="false">
      <c r="A930" s="2" t="n">
        <v>929</v>
      </c>
      <c r="B930" s="2" t="s">
        <v>2009</v>
      </c>
      <c r="C930" s="2" t="s">
        <v>2010</v>
      </c>
      <c r="D930" s="2"/>
      <c r="E930" s="2"/>
      <c r="F930" s="3" t="n">
        <v>0.000182</v>
      </c>
      <c r="G930" s="3" t="n">
        <f aca="false">SUM($F$2:F930)</f>
        <v>0.99126</v>
      </c>
      <c r="H930" s="4"/>
      <c r="I930" s="5"/>
      <c r="J930" s="4"/>
      <c r="K930" s="5"/>
      <c r="L930" s="6"/>
      <c r="M930" s="5" t="str">
        <f aca="false">IF(AND(N(K930)&gt;0,N(L930)&gt;0),K930/L930,"")</f>
        <v/>
      </c>
      <c r="N930" s="2"/>
    </row>
    <row r="931" customFormat="false" ht="15" hidden="false" customHeight="false" outlineLevel="0" collapsed="false">
      <c r="A931" s="2" t="n">
        <v>930</v>
      </c>
      <c r="B931" s="2" t="s">
        <v>2011</v>
      </c>
      <c r="C931" s="2" t="s">
        <v>2012</v>
      </c>
      <c r="D931" s="2"/>
      <c r="E931" s="2"/>
      <c r="F931" s="3" t="n">
        <v>0.000178</v>
      </c>
      <c r="G931" s="3" t="n">
        <f aca="false">SUM($F$2:F931)</f>
        <v>0.991438</v>
      </c>
      <c r="H931" s="4"/>
      <c r="I931" s="5"/>
      <c r="J931" s="4"/>
      <c r="K931" s="5"/>
      <c r="L931" s="6"/>
      <c r="M931" s="5" t="str">
        <f aca="false">IF(AND(N(K931)&gt;0,N(L931)&gt;0),K931/L931,"")</f>
        <v/>
      </c>
      <c r="N931" s="2"/>
    </row>
    <row r="932" customFormat="false" ht="15" hidden="false" customHeight="false" outlineLevel="0" collapsed="false">
      <c r="A932" s="2" t="n">
        <v>931</v>
      </c>
      <c r="B932" s="2" t="s">
        <v>2013</v>
      </c>
      <c r="C932" s="2" t="s">
        <v>2014</v>
      </c>
      <c r="D932" s="2"/>
      <c r="E932" s="2"/>
      <c r="F932" s="3" t="n">
        <v>0.000177</v>
      </c>
      <c r="G932" s="3" t="n">
        <f aca="false">SUM($F$2:F932)</f>
        <v>0.991615</v>
      </c>
      <c r="H932" s="4"/>
      <c r="I932" s="5"/>
      <c r="J932" s="4"/>
      <c r="K932" s="5"/>
      <c r="L932" s="6"/>
      <c r="M932" s="5" t="str">
        <f aca="false">IF(AND(N(K932)&gt;0,N(L932)&gt;0),K932/L932,"")</f>
        <v/>
      </c>
      <c r="N932" s="2"/>
    </row>
    <row r="933" customFormat="false" ht="15" hidden="false" customHeight="false" outlineLevel="0" collapsed="false">
      <c r="A933" s="2" t="n">
        <v>932</v>
      </c>
      <c r="B933" s="2" t="s">
        <v>2015</v>
      </c>
      <c r="C933" s="2" t="s">
        <v>2016</v>
      </c>
      <c r="D933" s="2"/>
      <c r="E933" s="2"/>
      <c r="F933" s="3" t="n">
        <v>0.000177</v>
      </c>
      <c r="G933" s="3" t="n">
        <f aca="false">SUM($F$2:F933)</f>
        <v>0.991792</v>
      </c>
      <c r="H933" s="4"/>
      <c r="I933" s="5"/>
      <c r="J933" s="4"/>
      <c r="K933" s="5"/>
      <c r="L933" s="6"/>
      <c r="M933" s="5" t="str">
        <f aca="false">IF(AND(N(K933)&gt;0,N(L933)&gt;0),K933/L933,"")</f>
        <v/>
      </c>
      <c r="N933" s="2"/>
    </row>
    <row r="934" customFormat="false" ht="15" hidden="false" customHeight="false" outlineLevel="0" collapsed="false">
      <c r="A934" s="2" t="n">
        <v>933</v>
      </c>
      <c r="B934" s="2" t="s">
        <v>2017</v>
      </c>
      <c r="C934" s="2" t="s">
        <v>2018</v>
      </c>
      <c r="D934" s="2"/>
      <c r="E934" s="2"/>
      <c r="F934" s="3" t="n">
        <v>0.000175</v>
      </c>
      <c r="G934" s="3" t="n">
        <f aca="false">SUM($F$2:F934)</f>
        <v>0.991967</v>
      </c>
      <c r="H934" s="4"/>
      <c r="I934" s="5"/>
      <c r="J934" s="4"/>
      <c r="K934" s="5"/>
      <c r="L934" s="6"/>
      <c r="M934" s="5" t="str">
        <f aca="false">IF(AND(N(K934)&gt;0,N(L934)&gt;0),K934/L934,"")</f>
        <v/>
      </c>
      <c r="N934" s="2"/>
    </row>
    <row r="935" customFormat="false" ht="15" hidden="false" customHeight="false" outlineLevel="0" collapsed="false">
      <c r="A935" s="2" t="n">
        <v>934</v>
      </c>
      <c r="B935" s="2" t="s">
        <v>2019</v>
      </c>
      <c r="C935" s="2" t="s">
        <v>2020</v>
      </c>
      <c r="D935" s="2"/>
      <c r="E935" s="2"/>
      <c r="F935" s="3" t="n">
        <v>0.000175</v>
      </c>
      <c r="G935" s="3" t="n">
        <f aca="false">SUM($F$2:F935)</f>
        <v>0.992142</v>
      </c>
      <c r="H935" s="4"/>
      <c r="I935" s="5"/>
      <c r="J935" s="4"/>
      <c r="K935" s="5"/>
      <c r="L935" s="6"/>
      <c r="M935" s="5" t="str">
        <f aca="false">IF(AND(N(K935)&gt;0,N(L935)&gt;0),K935/L935,"")</f>
        <v/>
      </c>
      <c r="N935" s="2"/>
    </row>
    <row r="936" customFormat="false" ht="15" hidden="false" customHeight="false" outlineLevel="0" collapsed="false">
      <c r="A936" s="2" t="n">
        <v>935</v>
      </c>
      <c r="B936" s="2" t="s">
        <v>2021</v>
      </c>
      <c r="C936" s="2" t="s">
        <v>2022</v>
      </c>
      <c r="D936" s="2"/>
      <c r="E936" s="2"/>
      <c r="F936" s="3" t="n">
        <v>0.000175</v>
      </c>
      <c r="G936" s="3" t="n">
        <f aca="false">SUM($F$2:F936)</f>
        <v>0.992317</v>
      </c>
      <c r="H936" s="4"/>
      <c r="I936" s="5"/>
      <c r="J936" s="4"/>
      <c r="K936" s="5"/>
      <c r="L936" s="6"/>
      <c r="M936" s="5" t="str">
        <f aca="false">IF(AND(N(K936)&gt;0,N(L936)&gt;0),K936/L936,"")</f>
        <v/>
      </c>
      <c r="N936" s="2"/>
    </row>
    <row r="937" customFormat="false" ht="15" hidden="false" customHeight="false" outlineLevel="0" collapsed="false">
      <c r="A937" s="2" t="n">
        <v>936</v>
      </c>
      <c r="B937" s="2" t="s">
        <v>2023</v>
      </c>
      <c r="C937" s="2" t="s">
        <v>2024</v>
      </c>
      <c r="D937" s="2"/>
      <c r="E937" s="2"/>
      <c r="F937" s="3" t="n">
        <v>0.000173</v>
      </c>
      <c r="G937" s="3" t="n">
        <f aca="false">SUM($F$2:F937)</f>
        <v>0.99249</v>
      </c>
      <c r="H937" s="4"/>
      <c r="I937" s="5"/>
      <c r="J937" s="4"/>
      <c r="K937" s="5"/>
      <c r="L937" s="6"/>
      <c r="M937" s="5" t="str">
        <f aca="false">IF(AND(N(K937)&gt;0,N(L937)&gt;0),K937/L937,"")</f>
        <v/>
      </c>
      <c r="N937" s="2"/>
    </row>
    <row r="938" customFormat="false" ht="15" hidden="false" customHeight="false" outlineLevel="0" collapsed="false">
      <c r="A938" s="2" t="n">
        <v>937</v>
      </c>
      <c r="B938" s="2" t="s">
        <v>2025</v>
      </c>
      <c r="C938" s="2" t="s">
        <v>2026</v>
      </c>
      <c r="D938" s="2"/>
      <c r="E938" s="2"/>
      <c r="F938" s="3" t="n">
        <v>0.000173</v>
      </c>
      <c r="G938" s="3" t="n">
        <f aca="false">SUM($F$2:F938)</f>
        <v>0.992663</v>
      </c>
      <c r="H938" s="4"/>
      <c r="I938" s="5"/>
      <c r="J938" s="4"/>
      <c r="K938" s="5"/>
      <c r="L938" s="6"/>
      <c r="M938" s="5" t="str">
        <f aca="false">IF(AND(N(K938)&gt;0,N(L938)&gt;0),K938/L938,"")</f>
        <v/>
      </c>
      <c r="N938" s="2"/>
    </row>
    <row r="939" customFormat="false" ht="15" hidden="false" customHeight="false" outlineLevel="0" collapsed="false">
      <c r="A939" s="2" t="n">
        <v>938</v>
      </c>
      <c r="B939" s="2" t="s">
        <v>2027</v>
      </c>
      <c r="C939" s="2" t="s">
        <v>2028</v>
      </c>
      <c r="D939" s="2"/>
      <c r="E939" s="2"/>
      <c r="F939" s="3" t="n">
        <v>0.000172</v>
      </c>
      <c r="G939" s="3" t="n">
        <f aca="false">SUM($F$2:F939)</f>
        <v>0.992835</v>
      </c>
      <c r="H939" s="4"/>
      <c r="I939" s="5"/>
      <c r="J939" s="4"/>
      <c r="K939" s="5"/>
      <c r="L939" s="6"/>
      <c r="M939" s="5" t="str">
        <f aca="false">IF(AND(N(K939)&gt;0,N(L939)&gt;0),K939/L939,"")</f>
        <v/>
      </c>
      <c r="N939" s="2"/>
    </row>
    <row r="940" customFormat="false" ht="15" hidden="false" customHeight="false" outlineLevel="0" collapsed="false">
      <c r="A940" s="2" t="n">
        <v>939</v>
      </c>
      <c r="B940" s="2" t="s">
        <v>2029</v>
      </c>
      <c r="C940" s="2" t="s">
        <v>2030</v>
      </c>
      <c r="D940" s="2"/>
      <c r="E940" s="2"/>
      <c r="F940" s="3" t="n">
        <v>0.000171</v>
      </c>
      <c r="G940" s="3" t="n">
        <f aca="false">SUM($F$2:F940)</f>
        <v>0.993006</v>
      </c>
      <c r="H940" s="4"/>
      <c r="I940" s="5"/>
      <c r="J940" s="4"/>
      <c r="K940" s="5"/>
      <c r="L940" s="6"/>
      <c r="M940" s="5" t="str">
        <f aca="false">IF(AND(N(K940)&gt;0,N(L940)&gt;0),K940/L940,"")</f>
        <v/>
      </c>
      <c r="N940" s="2"/>
    </row>
    <row r="941" customFormat="false" ht="15" hidden="false" customHeight="false" outlineLevel="0" collapsed="false">
      <c r="A941" s="2" t="n">
        <v>940</v>
      </c>
      <c r="B941" s="2" t="s">
        <v>2031</v>
      </c>
      <c r="C941" s="2" t="s">
        <v>2032</v>
      </c>
      <c r="D941" s="2"/>
      <c r="E941" s="2"/>
      <c r="F941" s="3" t="n">
        <v>0.00017</v>
      </c>
      <c r="G941" s="3" t="n">
        <f aca="false">SUM($F$2:F941)</f>
        <v>0.993176</v>
      </c>
      <c r="H941" s="4"/>
      <c r="I941" s="5"/>
      <c r="J941" s="4"/>
      <c r="K941" s="5"/>
      <c r="L941" s="6"/>
      <c r="M941" s="5" t="str">
        <f aca="false">IF(AND(N(K941)&gt;0,N(L941)&gt;0),K941/L941,"")</f>
        <v/>
      </c>
      <c r="N941" s="2"/>
    </row>
    <row r="942" customFormat="false" ht="15" hidden="false" customHeight="false" outlineLevel="0" collapsed="false">
      <c r="A942" s="2" t="n">
        <v>941</v>
      </c>
      <c r="B942" s="2" t="s">
        <v>2033</v>
      </c>
      <c r="C942" s="2" t="s">
        <v>2034</v>
      </c>
      <c r="D942" s="2"/>
      <c r="E942" s="2"/>
      <c r="F942" s="3" t="n">
        <v>0.000169</v>
      </c>
      <c r="G942" s="3" t="n">
        <f aca="false">SUM($F$2:F942)</f>
        <v>0.993345</v>
      </c>
      <c r="H942" s="4"/>
      <c r="I942" s="5"/>
      <c r="J942" s="4"/>
      <c r="K942" s="5"/>
      <c r="L942" s="6"/>
      <c r="M942" s="5" t="str">
        <f aca="false">IF(AND(N(K942)&gt;0,N(L942)&gt;0),K942/L942,"")</f>
        <v/>
      </c>
      <c r="N942" s="2"/>
    </row>
    <row r="943" customFormat="false" ht="15" hidden="false" customHeight="false" outlineLevel="0" collapsed="false">
      <c r="A943" s="2" t="n">
        <v>942</v>
      </c>
      <c r="B943" s="2" t="s">
        <v>2035</v>
      </c>
      <c r="C943" s="2" t="s">
        <v>2036</v>
      </c>
      <c r="D943" s="2"/>
      <c r="E943" s="2"/>
      <c r="F943" s="3" t="n">
        <v>0.000169</v>
      </c>
      <c r="G943" s="3" t="n">
        <f aca="false">SUM($F$2:F943)</f>
        <v>0.993514</v>
      </c>
      <c r="H943" s="4"/>
      <c r="I943" s="5"/>
      <c r="J943" s="4"/>
      <c r="K943" s="5"/>
      <c r="L943" s="6"/>
      <c r="M943" s="5" t="str">
        <f aca="false">IF(AND(N(K943)&gt;0,N(L943)&gt;0),K943/L943,"")</f>
        <v/>
      </c>
      <c r="N943" s="2"/>
    </row>
    <row r="944" customFormat="false" ht="15" hidden="false" customHeight="false" outlineLevel="0" collapsed="false">
      <c r="A944" s="2" t="n">
        <v>943</v>
      </c>
      <c r="B944" s="2" t="s">
        <v>2037</v>
      </c>
      <c r="C944" s="2" t="s">
        <v>2038</v>
      </c>
      <c r="D944" s="2"/>
      <c r="E944" s="2"/>
      <c r="F944" s="3" t="n">
        <v>0.000167</v>
      </c>
      <c r="G944" s="3" t="n">
        <f aca="false">SUM($F$2:F944)</f>
        <v>0.993681</v>
      </c>
      <c r="H944" s="4"/>
      <c r="I944" s="5"/>
      <c r="J944" s="4"/>
      <c r="K944" s="5"/>
      <c r="L944" s="6"/>
      <c r="M944" s="5" t="str">
        <f aca="false">IF(AND(N(K944)&gt;0,N(L944)&gt;0),K944/L944,"")</f>
        <v/>
      </c>
      <c r="N944" s="2"/>
    </row>
    <row r="945" customFormat="false" ht="15" hidden="false" customHeight="false" outlineLevel="0" collapsed="false">
      <c r="A945" s="2" t="n">
        <v>944</v>
      </c>
      <c r="B945" s="2" t="s">
        <v>2039</v>
      </c>
      <c r="C945" s="2" t="s">
        <v>2040</v>
      </c>
      <c r="D945" s="2"/>
      <c r="E945" s="2"/>
      <c r="F945" s="3" t="n">
        <v>0.000166</v>
      </c>
      <c r="G945" s="3" t="n">
        <f aca="false">SUM($F$2:F945)</f>
        <v>0.993847</v>
      </c>
      <c r="H945" s="4"/>
      <c r="I945" s="5"/>
      <c r="J945" s="4"/>
      <c r="K945" s="5"/>
      <c r="L945" s="6"/>
      <c r="M945" s="5" t="str">
        <f aca="false">IF(AND(N(K945)&gt;0,N(L945)&gt;0),K945/L945,"")</f>
        <v/>
      </c>
      <c r="N945" s="2"/>
    </row>
    <row r="946" customFormat="false" ht="15" hidden="false" customHeight="false" outlineLevel="0" collapsed="false">
      <c r="A946" s="2" t="n">
        <v>945</v>
      </c>
      <c r="B946" s="2" t="s">
        <v>2041</v>
      </c>
      <c r="C946" s="2" t="s">
        <v>2042</v>
      </c>
      <c r="D946" s="2"/>
      <c r="E946" s="2"/>
      <c r="F946" s="3" t="n">
        <v>0.000163</v>
      </c>
      <c r="G946" s="3" t="n">
        <f aca="false">SUM($F$2:F946)</f>
        <v>0.99401</v>
      </c>
      <c r="H946" s="4"/>
      <c r="I946" s="5"/>
      <c r="J946" s="4"/>
      <c r="K946" s="5"/>
      <c r="L946" s="6"/>
      <c r="M946" s="5" t="str">
        <f aca="false">IF(AND(N(K946)&gt;0,N(L946)&gt;0),K946/L946,"")</f>
        <v/>
      </c>
      <c r="N946" s="2"/>
    </row>
    <row r="947" customFormat="false" ht="15" hidden="false" customHeight="false" outlineLevel="0" collapsed="false">
      <c r="A947" s="2" t="n">
        <v>946</v>
      </c>
      <c r="B947" s="2" t="s">
        <v>2043</v>
      </c>
      <c r="C947" s="2" t="s">
        <v>2044</v>
      </c>
      <c r="D947" s="2"/>
      <c r="E947" s="2"/>
      <c r="F947" s="3" t="n">
        <v>0.00016</v>
      </c>
      <c r="G947" s="3" t="n">
        <f aca="false">SUM($F$2:F947)</f>
        <v>0.99417</v>
      </c>
      <c r="H947" s="4"/>
      <c r="I947" s="5"/>
      <c r="J947" s="4"/>
      <c r="K947" s="5"/>
      <c r="L947" s="6"/>
      <c r="M947" s="5" t="str">
        <f aca="false">IF(AND(N(K947)&gt;0,N(L947)&gt;0),K947/L947,"")</f>
        <v/>
      </c>
      <c r="N947" s="2"/>
    </row>
    <row r="948" customFormat="false" ht="15" hidden="false" customHeight="false" outlineLevel="0" collapsed="false">
      <c r="A948" s="2" t="n">
        <v>947</v>
      </c>
      <c r="B948" s="2" t="s">
        <v>2045</v>
      </c>
      <c r="C948" s="2" t="s">
        <v>2046</v>
      </c>
      <c r="D948" s="2"/>
      <c r="E948" s="2"/>
      <c r="F948" s="3" t="n">
        <v>0.00016</v>
      </c>
      <c r="G948" s="3" t="n">
        <f aca="false">SUM($F$2:F948)</f>
        <v>0.99433</v>
      </c>
      <c r="H948" s="4"/>
      <c r="I948" s="5"/>
      <c r="J948" s="4"/>
      <c r="K948" s="5"/>
      <c r="L948" s="6"/>
      <c r="M948" s="5" t="str">
        <f aca="false">IF(AND(N(K948)&gt;0,N(L948)&gt;0),K948/L948,"")</f>
        <v/>
      </c>
      <c r="N948" s="2"/>
    </row>
    <row r="949" customFormat="false" ht="15" hidden="false" customHeight="false" outlineLevel="0" collapsed="false">
      <c r="A949" s="2" t="n">
        <v>948</v>
      </c>
      <c r="B949" s="2" t="s">
        <v>2047</v>
      </c>
      <c r="C949" s="2" t="s">
        <v>2048</v>
      </c>
      <c r="D949" s="2"/>
      <c r="E949" s="2"/>
      <c r="F949" s="3" t="n">
        <v>0.000159</v>
      </c>
      <c r="G949" s="3" t="n">
        <f aca="false">SUM($F$2:F949)</f>
        <v>0.994489</v>
      </c>
      <c r="H949" s="4"/>
      <c r="I949" s="5"/>
      <c r="J949" s="4"/>
      <c r="K949" s="5"/>
      <c r="L949" s="6"/>
      <c r="M949" s="5" t="str">
        <f aca="false">IF(AND(N(K949)&gt;0,N(L949)&gt;0),K949/L949,"")</f>
        <v/>
      </c>
      <c r="N949" s="2"/>
    </row>
    <row r="950" customFormat="false" ht="15" hidden="false" customHeight="false" outlineLevel="0" collapsed="false">
      <c r="A950" s="2" t="n">
        <v>949</v>
      </c>
      <c r="B950" s="2" t="s">
        <v>2049</v>
      </c>
      <c r="C950" s="2" t="s">
        <v>2050</v>
      </c>
      <c r="D950" s="2"/>
      <c r="E950" s="2"/>
      <c r="F950" s="3" t="n">
        <v>0.000159</v>
      </c>
      <c r="G950" s="3" t="n">
        <f aca="false">SUM($F$2:F950)</f>
        <v>0.994648</v>
      </c>
      <c r="H950" s="4"/>
      <c r="I950" s="5"/>
      <c r="J950" s="4"/>
      <c r="K950" s="5"/>
      <c r="L950" s="6"/>
      <c r="M950" s="5" t="str">
        <f aca="false">IF(AND(N(K950)&gt;0,N(L950)&gt;0),K950/L950,"")</f>
        <v/>
      </c>
      <c r="N950" s="2"/>
    </row>
    <row r="951" customFormat="false" ht="15" hidden="false" customHeight="false" outlineLevel="0" collapsed="false">
      <c r="A951" s="2" t="n">
        <v>950</v>
      </c>
      <c r="B951" s="2" t="s">
        <v>2051</v>
      </c>
      <c r="C951" s="2" t="s">
        <v>2052</v>
      </c>
      <c r="D951" s="2"/>
      <c r="E951" s="2"/>
      <c r="F951" s="3" t="n">
        <v>0.000157</v>
      </c>
      <c r="G951" s="3" t="n">
        <f aca="false">SUM($F$2:F951)</f>
        <v>0.994805</v>
      </c>
      <c r="H951" s="4"/>
      <c r="I951" s="5"/>
      <c r="J951" s="4"/>
      <c r="K951" s="5"/>
      <c r="L951" s="6"/>
      <c r="M951" s="5" t="str">
        <f aca="false">IF(AND(N(K951)&gt;0,N(L951)&gt;0),K951/L951,"")</f>
        <v/>
      </c>
      <c r="N951" s="2"/>
    </row>
    <row r="952" customFormat="false" ht="15" hidden="false" customHeight="false" outlineLevel="0" collapsed="false">
      <c r="A952" s="2" t="n">
        <v>951</v>
      </c>
      <c r="B952" s="2" t="s">
        <v>2053</v>
      </c>
      <c r="C952" s="2" t="s">
        <v>2054</v>
      </c>
      <c r="D952" s="2"/>
      <c r="E952" s="2"/>
      <c r="F952" s="3" t="n">
        <v>0.000156</v>
      </c>
      <c r="G952" s="3" t="n">
        <f aca="false">SUM($F$2:F952)</f>
        <v>0.994961</v>
      </c>
      <c r="H952" s="4"/>
      <c r="I952" s="5"/>
      <c r="J952" s="4"/>
      <c r="K952" s="5"/>
      <c r="L952" s="6"/>
      <c r="M952" s="5" t="str">
        <f aca="false">IF(AND(N(K952)&gt;0,N(L952)&gt;0),K952/L952,"")</f>
        <v/>
      </c>
      <c r="N952" s="2"/>
    </row>
    <row r="953" customFormat="false" ht="15" hidden="false" customHeight="false" outlineLevel="0" collapsed="false">
      <c r="A953" s="2" t="n">
        <v>952</v>
      </c>
      <c r="B953" s="2" t="s">
        <v>2055</v>
      </c>
      <c r="C953" s="2" t="s">
        <v>2056</v>
      </c>
      <c r="D953" s="2"/>
      <c r="E953" s="2"/>
      <c r="F953" s="3" t="n">
        <v>0.000154</v>
      </c>
      <c r="G953" s="3" t="n">
        <f aca="false">SUM($F$2:F953)</f>
        <v>0.995115</v>
      </c>
      <c r="H953" s="4"/>
      <c r="I953" s="5"/>
      <c r="J953" s="4"/>
      <c r="K953" s="5"/>
      <c r="L953" s="6"/>
      <c r="M953" s="5" t="str">
        <f aca="false">IF(AND(N(K953)&gt;0,N(L953)&gt;0),K953/L953,"")</f>
        <v/>
      </c>
      <c r="N953" s="2"/>
    </row>
    <row r="954" customFormat="false" ht="15" hidden="false" customHeight="false" outlineLevel="0" collapsed="false">
      <c r="A954" s="2" t="n">
        <v>953</v>
      </c>
      <c r="B954" s="2" t="s">
        <v>2057</v>
      </c>
      <c r="C954" s="2" t="s">
        <v>2058</v>
      </c>
      <c r="D954" s="2"/>
      <c r="E954" s="2"/>
      <c r="F954" s="3" t="n">
        <v>0.000153</v>
      </c>
      <c r="G954" s="3" t="n">
        <f aca="false">SUM($F$2:F954)</f>
        <v>0.995268</v>
      </c>
      <c r="H954" s="4"/>
      <c r="I954" s="5"/>
      <c r="J954" s="4"/>
      <c r="K954" s="5"/>
      <c r="L954" s="6"/>
      <c r="M954" s="5" t="str">
        <f aca="false">IF(AND(N(K954)&gt;0,N(L954)&gt;0),K954/L954,"")</f>
        <v/>
      </c>
      <c r="N954" s="2"/>
    </row>
    <row r="955" customFormat="false" ht="15" hidden="false" customHeight="false" outlineLevel="0" collapsed="false">
      <c r="A955" s="2" t="n">
        <v>954</v>
      </c>
      <c r="B955" s="2" t="s">
        <v>2059</v>
      </c>
      <c r="C955" s="2" t="s">
        <v>2060</v>
      </c>
      <c r="D955" s="2"/>
      <c r="E955" s="2"/>
      <c r="F955" s="3" t="n">
        <v>0.000152</v>
      </c>
      <c r="G955" s="3" t="n">
        <f aca="false">SUM($F$2:F955)</f>
        <v>0.99542</v>
      </c>
      <c r="H955" s="4"/>
      <c r="I955" s="5"/>
      <c r="J955" s="4"/>
      <c r="K955" s="5"/>
      <c r="L955" s="6"/>
      <c r="M955" s="5" t="str">
        <f aca="false">IF(AND(N(K955)&gt;0,N(L955)&gt;0),K955/L955,"")</f>
        <v/>
      </c>
      <c r="N955" s="2"/>
    </row>
    <row r="956" customFormat="false" ht="15" hidden="false" customHeight="false" outlineLevel="0" collapsed="false">
      <c r="A956" s="2" t="n">
        <v>955</v>
      </c>
      <c r="B956" s="2" t="s">
        <v>2061</v>
      </c>
      <c r="C956" s="2" t="s">
        <v>2062</v>
      </c>
      <c r="D956" s="2"/>
      <c r="E956" s="2"/>
      <c r="F956" s="3" t="n">
        <v>0.000149</v>
      </c>
      <c r="G956" s="3" t="n">
        <f aca="false">SUM($F$2:F956)</f>
        <v>0.995569</v>
      </c>
      <c r="H956" s="4"/>
      <c r="I956" s="5"/>
      <c r="J956" s="4"/>
      <c r="K956" s="5"/>
      <c r="L956" s="6"/>
      <c r="M956" s="5" t="str">
        <f aca="false">IF(AND(N(K956)&gt;0,N(L956)&gt;0),K956/L956,"")</f>
        <v/>
      </c>
      <c r="N956" s="2"/>
    </row>
    <row r="957" customFormat="false" ht="15" hidden="false" customHeight="false" outlineLevel="0" collapsed="false">
      <c r="A957" s="2" t="n">
        <v>956</v>
      </c>
      <c r="B957" s="2" t="s">
        <v>2063</v>
      </c>
      <c r="C957" s="2" t="s">
        <v>2064</v>
      </c>
      <c r="D957" s="2"/>
      <c r="E957" s="2"/>
      <c r="F957" s="3" t="n">
        <v>0.000147</v>
      </c>
      <c r="G957" s="3" t="n">
        <f aca="false">SUM($F$2:F957)</f>
        <v>0.995716</v>
      </c>
      <c r="H957" s="4"/>
      <c r="I957" s="5"/>
      <c r="J957" s="4"/>
      <c r="K957" s="5"/>
      <c r="L957" s="6"/>
      <c r="M957" s="5" t="str">
        <f aca="false">IF(AND(N(K957)&gt;0,N(L957)&gt;0),K957/L957,"")</f>
        <v/>
      </c>
      <c r="N957" s="2"/>
    </row>
    <row r="958" customFormat="false" ht="15" hidden="false" customHeight="false" outlineLevel="0" collapsed="false">
      <c r="A958" s="2" t="n">
        <v>957</v>
      </c>
      <c r="B958" s="2" t="s">
        <v>2065</v>
      </c>
      <c r="C958" s="2" t="s">
        <v>2066</v>
      </c>
      <c r="D958" s="2"/>
      <c r="E958" s="2"/>
      <c r="F958" s="3" t="n">
        <v>0.000146</v>
      </c>
      <c r="G958" s="3" t="n">
        <f aca="false">SUM($F$2:F958)</f>
        <v>0.995862</v>
      </c>
      <c r="H958" s="4"/>
      <c r="I958" s="5"/>
      <c r="J958" s="4"/>
      <c r="K958" s="5"/>
      <c r="L958" s="6"/>
      <c r="M958" s="5" t="str">
        <f aca="false">IF(AND(N(K958)&gt;0,N(L958)&gt;0),K958/L958,"")</f>
        <v/>
      </c>
      <c r="N958" s="2"/>
    </row>
    <row r="959" customFormat="false" ht="15" hidden="false" customHeight="false" outlineLevel="0" collapsed="false">
      <c r="A959" s="2" t="n">
        <v>958</v>
      </c>
      <c r="B959" s="2" t="s">
        <v>2067</v>
      </c>
      <c r="C959" s="2" t="s">
        <v>2068</v>
      </c>
      <c r="D959" s="2"/>
      <c r="E959" s="2"/>
      <c r="F959" s="3" t="n">
        <v>0.000145</v>
      </c>
      <c r="G959" s="3" t="n">
        <f aca="false">SUM($F$2:F959)</f>
        <v>0.996007</v>
      </c>
      <c r="H959" s="4"/>
      <c r="I959" s="5"/>
      <c r="J959" s="4"/>
      <c r="K959" s="5"/>
      <c r="L959" s="6"/>
      <c r="M959" s="5" t="str">
        <f aca="false">IF(AND(N(K959)&gt;0,N(L959)&gt;0),K959/L959,"")</f>
        <v/>
      </c>
      <c r="N959" s="2"/>
    </row>
    <row r="960" customFormat="false" ht="15" hidden="false" customHeight="false" outlineLevel="0" collapsed="false">
      <c r="A960" s="2" t="n">
        <v>959</v>
      </c>
      <c r="B960" s="2" t="s">
        <v>2069</v>
      </c>
      <c r="C960" s="2" t="s">
        <v>2070</v>
      </c>
      <c r="D960" s="2"/>
      <c r="E960" s="2"/>
      <c r="F960" s="3" t="n">
        <v>0.000145</v>
      </c>
      <c r="G960" s="3" t="n">
        <f aca="false">SUM($F$2:F960)</f>
        <v>0.996152</v>
      </c>
      <c r="H960" s="4"/>
      <c r="I960" s="5"/>
      <c r="J960" s="4"/>
      <c r="K960" s="5"/>
      <c r="L960" s="6"/>
      <c r="M960" s="5" t="str">
        <f aca="false">IF(AND(N(K960)&gt;0,N(L960)&gt;0),K960/L960,"")</f>
        <v/>
      </c>
      <c r="N960" s="2"/>
    </row>
    <row r="961" customFormat="false" ht="15" hidden="false" customHeight="false" outlineLevel="0" collapsed="false">
      <c r="A961" s="2" t="n">
        <v>960</v>
      </c>
      <c r="B961" s="2" t="s">
        <v>2071</v>
      </c>
      <c r="C961" s="2" t="s">
        <v>2072</v>
      </c>
      <c r="D961" s="2"/>
      <c r="E961" s="2"/>
      <c r="F961" s="3" t="n">
        <v>0.000144</v>
      </c>
      <c r="G961" s="3" t="n">
        <f aca="false">SUM($F$2:F961)</f>
        <v>0.996296</v>
      </c>
      <c r="H961" s="4"/>
      <c r="I961" s="5"/>
      <c r="J961" s="4"/>
      <c r="K961" s="5"/>
      <c r="L961" s="6"/>
      <c r="M961" s="5" t="str">
        <f aca="false">IF(AND(N(K961)&gt;0,N(L961)&gt;0),K961/L961,"")</f>
        <v/>
      </c>
      <c r="N961" s="2"/>
    </row>
    <row r="962" customFormat="false" ht="15" hidden="false" customHeight="false" outlineLevel="0" collapsed="false">
      <c r="A962" s="2" t="n">
        <v>961</v>
      </c>
      <c r="B962" s="2" t="s">
        <v>2073</v>
      </c>
      <c r="C962" s="2" t="s">
        <v>2074</v>
      </c>
      <c r="D962" s="2"/>
      <c r="E962" s="2"/>
      <c r="F962" s="3" t="n">
        <v>0.000143</v>
      </c>
      <c r="G962" s="3" t="n">
        <f aca="false">SUM($F$2:F962)</f>
        <v>0.996439</v>
      </c>
      <c r="H962" s="4"/>
      <c r="I962" s="5"/>
      <c r="J962" s="4"/>
      <c r="K962" s="5"/>
      <c r="L962" s="6"/>
      <c r="M962" s="5" t="str">
        <f aca="false">IF(AND(N(K962)&gt;0,N(L962)&gt;0),K962/L962,"")</f>
        <v/>
      </c>
      <c r="N962" s="2"/>
    </row>
    <row r="963" customFormat="false" ht="15" hidden="false" customHeight="false" outlineLevel="0" collapsed="false">
      <c r="A963" s="2" t="n">
        <v>962</v>
      </c>
      <c r="B963" s="2" t="s">
        <v>2075</v>
      </c>
      <c r="C963" s="2" t="s">
        <v>2076</v>
      </c>
      <c r="D963" s="2"/>
      <c r="E963" s="2"/>
      <c r="F963" s="3" t="n">
        <v>0.000142</v>
      </c>
      <c r="G963" s="3" t="n">
        <f aca="false">SUM($F$2:F963)</f>
        <v>0.996581</v>
      </c>
      <c r="H963" s="4"/>
      <c r="I963" s="5"/>
      <c r="J963" s="4"/>
      <c r="K963" s="5"/>
      <c r="L963" s="6"/>
      <c r="M963" s="5" t="str">
        <f aca="false">IF(AND(N(K963)&gt;0,N(L963)&gt;0),K963/L963,"")</f>
        <v/>
      </c>
      <c r="N963" s="2"/>
    </row>
    <row r="964" customFormat="false" ht="15" hidden="false" customHeight="false" outlineLevel="0" collapsed="false">
      <c r="A964" s="2" t="n">
        <v>963</v>
      </c>
      <c r="B964" s="2" t="s">
        <v>2077</v>
      </c>
      <c r="C964" s="2" t="s">
        <v>2078</v>
      </c>
      <c r="D964" s="2"/>
      <c r="E964" s="2"/>
      <c r="F964" s="3" t="n">
        <v>0.00014</v>
      </c>
      <c r="G964" s="3" t="n">
        <f aca="false">SUM($F$2:F964)</f>
        <v>0.996721</v>
      </c>
      <c r="H964" s="4"/>
      <c r="I964" s="5"/>
      <c r="J964" s="4"/>
      <c r="K964" s="5"/>
      <c r="L964" s="6"/>
      <c r="M964" s="5" t="str">
        <f aca="false">IF(AND(N(K964)&gt;0,N(L964)&gt;0),K964/L964,"")</f>
        <v/>
      </c>
      <c r="N964" s="2"/>
    </row>
    <row r="965" customFormat="false" ht="15" hidden="false" customHeight="false" outlineLevel="0" collapsed="false">
      <c r="A965" s="2" t="n">
        <v>964</v>
      </c>
      <c r="B965" s="2" t="s">
        <v>2079</v>
      </c>
      <c r="C965" s="2" t="s">
        <v>2080</v>
      </c>
      <c r="D965" s="2"/>
      <c r="E965" s="2"/>
      <c r="F965" s="3" t="n">
        <v>0.000139</v>
      </c>
      <c r="G965" s="3" t="n">
        <f aca="false">SUM($F$2:F965)</f>
        <v>0.99686</v>
      </c>
      <c r="H965" s="4"/>
      <c r="I965" s="5"/>
      <c r="J965" s="4"/>
      <c r="K965" s="5"/>
      <c r="L965" s="6"/>
      <c r="M965" s="5" t="str">
        <f aca="false">IF(AND(N(K965)&gt;0,N(L965)&gt;0),K965/L965,"")</f>
        <v/>
      </c>
      <c r="N965" s="2"/>
    </row>
    <row r="966" customFormat="false" ht="15" hidden="false" customHeight="false" outlineLevel="0" collapsed="false">
      <c r="A966" s="2" t="n">
        <v>965</v>
      </c>
      <c r="B966" s="2" t="s">
        <v>2081</v>
      </c>
      <c r="C966" s="2" t="s">
        <v>2082</v>
      </c>
      <c r="D966" s="2"/>
      <c r="E966" s="2"/>
      <c r="F966" s="3" t="n">
        <v>0.000139</v>
      </c>
      <c r="G966" s="3" t="n">
        <f aca="false">SUM($F$2:F966)</f>
        <v>0.996999</v>
      </c>
      <c r="H966" s="4"/>
      <c r="I966" s="5"/>
      <c r="J966" s="4"/>
      <c r="K966" s="5"/>
      <c r="L966" s="6"/>
      <c r="M966" s="5" t="str">
        <f aca="false">IF(AND(N(K966)&gt;0,N(L966)&gt;0),K966/L966,"")</f>
        <v/>
      </c>
      <c r="N966" s="2"/>
    </row>
    <row r="967" customFormat="false" ht="15" hidden="false" customHeight="false" outlineLevel="0" collapsed="false">
      <c r="A967" s="2" t="n">
        <v>966</v>
      </c>
      <c r="B967" s="2" t="s">
        <v>2083</v>
      </c>
      <c r="C967" s="2" t="s">
        <v>2084</v>
      </c>
      <c r="D967" s="2"/>
      <c r="E967" s="2"/>
      <c r="F967" s="3" t="n">
        <v>0.000134</v>
      </c>
      <c r="G967" s="3" t="n">
        <f aca="false">SUM($F$2:F967)</f>
        <v>0.997133</v>
      </c>
      <c r="H967" s="4"/>
      <c r="I967" s="5"/>
      <c r="J967" s="4"/>
      <c r="K967" s="5"/>
      <c r="L967" s="6"/>
      <c r="M967" s="5" t="str">
        <f aca="false">IF(AND(N(K967)&gt;0,N(L967)&gt;0),K967/L967,"")</f>
        <v/>
      </c>
      <c r="N967" s="2"/>
    </row>
    <row r="968" customFormat="false" ht="15" hidden="false" customHeight="false" outlineLevel="0" collapsed="false">
      <c r="A968" s="2" t="n">
        <v>967</v>
      </c>
      <c r="B968" s="2" t="s">
        <v>2085</v>
      </c>
      <c r="C968" s="2" t="s">
        <v>2086</v>
      </c>
      <c r="D968" s="2"/>
      <c r="E968" s="2"/>
      <c r="F968" s="3" t="n">
        <v>0.000131</v>
      </c>
      <c r="G968" s="3" t="n">
        <f aca="false">SUM($F$2:F968)</f>
        <v>0.997264</v>
      </c>
      <c r="H968" s="4"/>
      <c r="I968" s="5"/>
      <c r="J968" s="4"/>
      <c r="K968" s="5"/>
      <c r="L968" s="6"/>
      <c r="M968" s="5" t="str">
        <f aca="false">IF(AND(N(K968)&gt;0,N(L968)&gt;0),K968/L968,"")</f>
        <v/>
      </c>
      <c r="N968" s="2"/>
    </row>
    <row r="969" customFormat="false" ht="15" hidden="false" customHeight="false" outlineLevel="0" collapsed="false">
      <c r="A969" s="2" t="n">
        <v>968</v>
      </c>
      <c r="B969" s="2" t="s">
        <v>2087</v>
      </c>
      <c r="C969" s="2" t="s">
        <v>2088</v>
      </c>
      <c r="D969" s="2"/>
      <c r="E969" s="2"/>
      <c r="F969" s="3" t="n">
        <v>0.00013</v>
      </c>
      <c r="G969" s="3" t="n">
        <f aca="false">SUM($F$2:F969)</f>
        <v>0.997394</v>
      </c>
      <c r="H969" s="4"/>
      <c r="I969" s="5"/>
      <c r="J969" s="4"/>
      <c r="K969" s="5"/>
      <c r="L969" s="6"/>
      <c r="M969" s="5" t="str">
        <f aca="false">IF(AND(N(K969)&gt;0,N(L969)&gt;0),K969/L969,"")</f>
        <v/>
      </c>
      <c r="N969" s="2"/>
    </row>
    <row r="970" customFormat="false" ht="15" hidden="false" customHeight="false" outlineLevel="0" collapsed="false">
      <c r="A970" s="2" t="n">
        <v>969</v>
      </c>
      <c r="B970" s="2" t="s">
        <v>2089</v>
      </c>
      <c r="C970" s="2" t="s">
        <v>2090</v>
      </c>
      <c r="D970" s="2"/>
      <c r="E970" s="2"/>
      <c r="F970" s="3" t="n">
        <v>0.000128</v>
      </c>
      <c r="G970" s="3" t="n">
        <f aca="false">SUM($F$2:F970)</f>
        <v>0.997522</v>
      </c>
      <c r="H970" s="4"/>
      <c r="I970" s="5"/>
      <c r="J970" s="4"/>
      <c r="K970" s="5"/>
      <c r="L970" s="6"/>
      <c r="M970" s="5" t="str">
        <f aca="false">IF(AND(N(K970)&gt;0,N(L970)&gt;0),K970/L970,"")</f>
        <v/>
      </c>
      <c r="N970" s="2"/>
    </row>
    <row r="971" customFormat="false" ht="15" hidden="false" customHeight="false" outlineLevel="0" collapsed="false">
      <c r="A971" s="2" t="n">
        <v>970</v>
      </c>
      <c r="B971" s="2" t="s">
        <v>2091</v>
      </c>
      <c r="C971" s="2" t="s">
        <v>2092</v>
      </c>
      <c r="D971" s="2"/>
      <c r="E971" s="2"/>
      <c r="F971" s="3" t="n">
        <v>0.000124</v>
      </c>
      <c r="G971" s="3" t="n">
        <f aca="false">SUM($F$2:F971)</f>
        <v>0.997646</v>
      </c>
      <c r="H971" s="4"/>
      <c r="I971" s="5"/>
      <c r="J971" s="4"/>
      <c r="K971" s="5"/>
      <c r="L971" s="6"/>
      <c r="M971" s="5" t="str">
        <f aca="false">IF(AND(N(K971)&gt;0,N(L971)&gt;0),K971/L971,"")</f>
        <v/>
      </c>
      <c r="N971" s="2"/>
    </row>
    <row r="972" customFormat="false" ht="15" hidden="false" customHeight="false" outlineLevel="0" collapsed="false">
      <c r="A972" s="2" t="n">
        <v>971</v>
      </c>
      <c r="B972" s="2" t="s">
        <v>2093</v>
      </c>
      <c r="C972" s="2" t="s">
        <v>2094</v>
      </c>
      <c r="D972" s="2"/>
      <c r="E972" s="2"/>
      <c r="F972" s="3" t="n">
        <v>0.00012</v>
      </c>
      <c r="G972" s="3" t="n">
        <f aca="false">SUM($F$2:F972)</f>
        <v>0.997766</v>
      </c>
      <c r="H972" s="4"/>
      <c r="I972" s="5"/>
      <c r="J972" s="4"/>
      <c r="K972" s="5"/>
      <c r="L972" s="6"/>
      <c r="M972" s="5" t="str">
        <f aca="false">IF(AND(N(K972)&gt;0,N(L972)&gt;0),K972/L972,"")</f>
        <v/>
      </c>
      <c r="N972" s="2"/>
    </row>
    <row r="973" customFormat="false" ht="15" hidden="false" customHeight="false" outlineLevel="0" collapsed="false">
      <c r="A973" s="2" t="n">
        <v>972</v>
      </c>
      <c r="B973" s="2" t="s">
        <v>2095</v>
      </c>
      <c r="C973" s="2" t="s">
        <v>2096</v>
      </c>
      <c r="D973" s="2"/>
      <c r="E973" s="2"/>
      <c r="F973" s="3" t="n">
        <v>0.000118</v>
      </c>
      <c r="G973" s="3" t="n">
        <f aca="false">SUM($F$2:F973)</f>
        <v>0.997884</v>
      </c>
      <c r="H973" s="4"/>
      <c r="I973" s="5"/>
      <c r="J973" s="4"/>
      <c r="K973" s="5"/>
      <c r="L973" s="6"/>
      <c r="M973" s="5" t="str">
        <f aca="false">IF(AND(N(K973)&gt;0,N(L973)&gt;0),K973/L973,"")</f>
        <v/>
      </c>
      <c r="N973" s="2"/>
    </row>
    <row r="974" customFormat="false" ht="15" hidden="false" customHeight="false" outlineLevel="0" collapsed="false">
      <c r="A974" s="2" t="n">
        <v>973</v>
      </c>
      <c r="B974" s="2" t="s">
        <v>2097</v>
      </c>
      <c r="C974" s="2" t="s">
        <v>2098</v>
      </c>
      <c r="D974" s="2"/>
      <c r="E974" s="2"/>
      <c r="F974" s="3" t="n">
        <v>0.000118</v>
      </c>
      <c r="G974" s="3" t="n">
        <f aca="false">SUM($F$2:F974)</f>
        <v>0.998002</v>
      </c>
      <c r="H974" s="4"/>
      <c r="I974" s="5"/>
      <c r="J974" s="4"/>
      <c r="K974" s="5"/>
      <c r="L974" s="6"/>
      <c r="M974" s="5" t="str">
        <f aca="false">IF(AND(N(K974)&gt;0,N(L974)&gt;0),K974/L974,"")</f>
        <v/>
      </c>
      <c r="N974" s="2"/>
    </row>
    <row r="975" customFormat="false" ht="15" hidden="false" customHeight="false" outlineLevel="0" collapsed="false">
      <c r="A975" s="2" t="n">
        <v>974</v>
      </c>
      <c r="B975" s="2" t="s">
        <v>2099</v>
      </c>
      <c r="C975" s="2" t="s">
        <v>2100</v>
      </c>
      <c r="D975" s="2"/>
      <c r="E975" s="2"/>
      <c r="F975" s="3" t="n">
        <v>0.000116</v>
      </c>
      <c r="G975" s="3" t="n">
        <f aca="false">SUM($F$2:F975)</f>
        <v>0.998118</v>
      </c>
      <c r="H975" s="4"/>
      <c r="I975" s="5"/>
      <c r="J975" s="4"/>
      <c r="K975" s="5"/>
      <c r="L975" s="6"/>
      <c r="M975" s="5" t="str">
        <f aca="false">IF(AND(N(K975)&gt;0,N(L975)&gt;0),K975/L975,"")</f>
        <v/>
      </c>
      <c r="N975" s="2"/>
    </row>
    <row r="976" customFormat="false" ht="15" hidden="false" customHeight="false" outlineLevel="0" collapsed="false">
      <c r="A976" s="2" t="n">
        <v>975</v>
      </c>
      <c r="B976" s="2" t="s">
        <v>2101</v>
      </c>
      <c r="C976" s="2" t="s">
        <v>2102</v>
      </c>
      <c r="D976" s="2"/>
      <c r="E976" s="2"/>
      <c r="F976" s="3" t="n">
        <v>0.000116</v>
      </c>
      <c r="G976" s="3" t="n">
        <f aca="false">SUM($F$2:F976)</f>
        <v>0.998234</v>
      </c>
      <c r="H976" s="4"/>
      <c r="I976" s="5"/>
      <c r="J976" s="4"/>
      <c r="K976" s="5"/>
      <c r="L976" s="6"/>
      <c r="M976" s="5" t="str">
        <f aca="false">IF(AND(N(K976)&gt;0,N(L976)&gt;0),K976/L976,"")</f>
        <v/>
      </c>
      <c r="N976" s="2"/>
    </row>
    <row r="977" customFormat="false" ht="15" hidden="false" customHeight="false" outlineLevel="0" collapsed="false">
      <c r="A977" s="2" t="n">
        <v>976</v>
      </c>
      <c r="B977" s="2" t="s">
        <v>2103</v>
      </c>
      <c r="C977" s="2" t="s">
        <v>2104</v>
      </c>
      <c r="D977" s="2"/>
      <c r="E977" s="2"/>
      <c r="F977" s="3" t="n">
        <v>0.000116</v>
      </c>
      <c r="G977" s="3" t="n">
        <f aca="false">SUM($F$2:F977)</f>
        <v>0.99835</v>
      </c>
      <c r="H977" s="4"/>
      <c r="I977" s="5"/>
      <c r="J977" s="4"/>
      <c r="K977" s="5"/>
      <c r="L977" s="6"/>
      <c r="M977" s="5" t="str">
        <f aca="false">IF(AND(N(K977)&gt;0,N(L977)&gt;0),K977/L977,"")</f>
        <v/>
      </c>
      <c r="N977" s="2"/>
    </row>
    <row r="978" customFormat="false" ht="15" hidden="false" customHeight="false" outlineLevel="0" collapsed="false">
      <c r="A978" s="2" t="n">
        <v>977</v>
      </c>
      <c r="B978" s="2" t="s">
        <v>2105</v>
      </c>
      <c r="C978" s="2" t="s">
        <v>2106</v>
      </c>
      <c r="D978" s="2"/>
      <c r="E978" s="2"/>
      <c r="F978" s="3" t="n">
        <v>0.000112</v>
      </c>
      <c r="G978" s="3" t="n">
        <f aca="false">SUM($F$2:F978)</f>
        <v>0.998462</v>
      </c>
      <c r="H978" s="4"/>
      <c r="I978" s="5"/>
      <c r="J978" s="4"/>
      <c r="K978" s="5"/>
      <c r="L978" s="6"/>
      <c r="M978" s="5" t="str">
        <f aca="false">IF(AND(N(K978)&gt;0,N(L978)&gt;0),K978/L978,"")</f>
        <v/>
      </c>
      <c r="N978" s="2"/>
    </row>
    <row r="979" customFormat="false" ht="15" hidden="false" customHeight="false" outlineLevel="0" collapsed="false">
      <c r="A979" s="2" t="n">
        <v>978</v>
      </c>
      <c r="B979" s="2" t="s">
        <v>2107</v>
      </c>
      <c r="C979" s="2" t="s">
        <v>2108</v>
      </c>
      <c r="D979" s="2"/>
      <c r="E979" s="2"/>
      <c r="F979" s="3" t="n">
        <v>0.000111</v>
      </c>
      <c r="G979" s="3" t="n">
        <f aca="false">SUM($F$2:F979)</f>
        <v>0.998573</v>
      </c>
      <c r="H979" s="4"/>
      <c r="I979" s="5"/>
      <c r="J979" s="4"/>
      <c r="K979" s="5"/>
      <c r="L979" s="6"/>
      <c r="M979" s="5" t="str">
        <f aca="false">IF(AND(N(K979)&gt;0,N(L979)&gt;0),K979/L979,"")</f>
        <v/>
      </c>
      <c r="N979" s="2"/>
    </row>
    <row r="980" customFormat="false" ht="15" hidden="false" customHeight="false" outlineLevel="0" collapsed="false">
      <c r="A980" s="2" t="n">
        <v>979</v>
      </c>
      <c r="B980" s="2" t="s">
        <v>2109</v>
      </c>
      <c r="C980" s="2" t="s">
        <v>2110</v>
      </c>
      <c r="D980" s="2"/>
      <c r="E980" s="2"/>
      <c r="F980" s="3" t="n">
        <v>0.000107</v>
      </c>
      <c r="G980" s="3" t="n">
        <f aca="false">SUM($F$2:F980)</f>
        <v>0.99868</v>
      </c>
      <c r="H980" s="4"/>
      <c r="I980" s="5"/>
      <c r="J980" s="4"/>
      <c r="K980" s="5"/>
      <c r="L980" s="6"/>
      <c r="M980" s="5" t="str">
        <f aca="false">IF(AND(N(K980)&gt;0,N(L980)&gt;0),K980/L980,"")</f>
        <v/>
      </c>
      <c r="N980" s="2"/>
    </row>
    <row r="981" customFormat="false" ht="15" hidden="false" customHeight="false" outlineLevel="0" collapsed="false">
      <c r="A981" s="2" t="n">
        <v>980</v>
      </c>
      <c r="B981" s="2" t="s">
        <v>2111</v>
      </c>
      <c r="C981" s="2" t="s">
        <v>2112</v>
      </c>
      <c r="D981" s="2"/>
      <c r="E981" s="2"/>
      <c r="F981" s="3" t="n">
        <v>0.000104</v>
      </c>
      <c r="G981" s="3" t="n">
        <f aca="false">SUM($F$2:F981)</f>
        <v>0.998784</v>
      </c>
      <c r="H981" s="4"/>
      <c r="I981" s="5"/>
      <c r="J981" s="4"/>
      <c r="K981" s="5"/>
      <c r="L981" s="6"/>
      <c r="M981" s="5" t="str">
        <f aca="false">IF(AND(N(K981)&gt;0,N(L981)&gt;0),K981/L981,"")</f>
        <v/>
      </c>
      <c r="N981" s="2"/>
    </row>
    <row r="982" customFormat="false" ht="15" hidden="false" customHeight="false" outlineLevel="0" collapsed="false">
      <c r="A982" s="2" t="n">
        <v>981</v>
      </c>
      <c r="B982" s="2" t="s">
        <v>2113</v>
      </c>
      <c r="C982" s="2" t="s">
        <v>2114</v>
      </c>
      <c r="D982" s="2"/>
      <c r="E982" s="2"/>
      <c r="F982" s="3" t="n">
        <v>0.000103</v>
      </c>
      <c r="G982" s="3" t="n">
        <f aca="false">SUM($F$2:F982)</f>
        <v>0.998887</v>
      </c>
      <c r="H982" s="4"/>
      <c r="I982" s="5"/>
      <c r="J982" s="4"/>
      <c r="K982" s="5"/>
      <c r="L982" s="6"/>
      <c r="M982" s="5" t="str">
        <f aca="false">IF(AND(N(K982)&gt;0,N(L982)&gt;0),K982/L982,"")</f>
        <v/>
      </c>
      <c r="N982" s="2"/>
    </row>
    <row r="983" customFormat="false" ht="15" hidden="false" customHeight="false" outlineLevel="0" collapsed="false">
      <c r="A983" s="2" t="n">
        <v>982</v>
      </c>
      <c r="B983" s="2" t="s">
        <v>2115</v>
      </c>
      <c r="C983" s="2" t="s">
        <v>2116</v>
      </c>
      <c r="D983" s="2"/>
      <c r="E983" s="2"/>
      <c r="F983" s="3" t="n">
        <v>0.000102</v>
      </c>
      <c r="G983" s="3" t="n">
        <f aca="false">SUM($F$2:F983)</f>
        <v>0.998989</v>
      </c>
      <c r="H983" s="4"/>
      <c r="I983" s="5"/>
      <c r="J983" s="4"/>
      <c r="K983" s="5"/>
      <c r="L983" s="6"/>
      <c r="M983" s="5" t="str">
        <f aca="false">IF(AND(N(K983)&gt;0,N(L983)&gt;0),K983/L983,"")</f>
        <v/>
      </c>
      <c r="N983" s="2"/>
    </row>
    <row r="984" customFormat="false" ht="15" hidden="false" customHeight="false" outlineLevel="0" collapsed="false">
      <c r="A984" s="2" t="n">
        <v>983</v>
      </c>
      <c r="B984" s="2" t="s">
        <v>2117</v>
      </c>
      <c r="C984" s="2" t="s">
        <v>2118</v>
      </c>
      <c r="D984" s="2"/>
      <c r="E984" s="2"/>
      <c r="F984" s="3" t="n">
        <v>9.6E-005</v>
      </c>
      <c r="G984" s="3" t="n">
        <f aca="false">SUM($F$2:F984)</f>
        <v>0.999085</v>
      </c>
      <c r="H984" s="4"/>
      <c r="I984" s="5"/>
      <c r="J984" s="4"/>
      <c r="K984" s="5"/>
      <c r="L984" s="6"/>
      <c r="M984" s="5" t="str">
        <f aca="false">IF(AND(N(K984)&gt;0,N(L984)&gt;0),K984/L984,"")</f>
        <v/>
      </c>
      <c r="N984" s="2"/>
    </row>
    <row r="985" customFormat="false" ht="15" hidden="false" customHeight="false" outlineLevel="0" collapsed="false">
      <c r="A985" s="2" t="n">
        <v>984</v>
      </c>
      <c r="B985" s="2" t="s">
        <v>2119</v>
      </c>
      <c r="C985" s="2" t="s">
        <v>2120</v>
      </c>
      <c r="D985" s="2"/>
      <c r="E985" s="2"/>
      <c r="F985" s="3" t="n">
        <v>9.3E-005</v>
      </c>
      <c r="G985" s="3" t="n">
        <f aca="false">SUM($F$2:F985)</f>
        <v>0.999178</v>
      </c>
      <c r="H985" s="4"/>
      <c r="I985" s="5"/>
      <c r="J985" s="4"/>
      <c r="K985" s="5"/>
      <c r="L985" s="6"/>
      <c r="M985" s="5" t="str">
        <f aca="false">IF(AND(N(K985)&gt;0,N(L985)&gt;0),K985/L985,"")</f>
        <v/>
      </c>
      <c r="N985" s="2"/>
    </row>
    <row r="986" customFormat="false" ht="15" hidden="false" customHeight="false" outlineLevel="0" collapsed="false">
      <c r="A986" s="2" t="n">
        <v>985</v>
      </c>
      <c r="B986" s="2" t="s">
        <v>2121</v>
      </c>
      <c r="C986" s="2" t="s">
        <v>2122</v>
      </c>
      <c r="D986" s="2"/>
      <c r="E986" s="2"/>
      <c r="F986" s="3" t="n">
        <v>9.3E-005</v>
      </c>
      <c r="G986" s="3" t="n">
        <f aca="false">SUM($F$2:F986)</f>
        <v>0.999271</v>
      </c>
      <c r="H986" s="4"/>
      <c r="I986" s="5"/>
      <c r="J986" s="4"/>
      <c r="K986" s="5"/>
      <c r="L986" s="6"/>
      <c r="M986" s="5" t="str">
        <f aca="false">IF(AND(N(K986)&gt;0,N(L986)&gt;0),K986/L986,"")</f>
        <v/>
      </c>
      <c r="N986" s="2"/>
    </row>
    <row r="987" customFormat="false" ht="15" hidden="false" customHeight="false" outlineLevel="0" collapsed="false">
      <c r="A987" s="2" t="n">
        <v>986</v>
      </c>
      <c r="B987" s="2" t="s">
        <v>2123</v>
      </c>
      <c r="C987" s="2" t="s">
        <v>2124</v>
      </c>
      <c r="D987" s="2"/>
      <c r="E987" s="2"/>
      <c r="F987" s="3" t="n">
        <v>9.1E-005</v>
      </c>
      <c r="G987" s="3" t="n">
        <f aca="false">SUM($F$2:F987)</f>
        <v>0.999362</v>
      </c>
      <c r="H987" s="4"/>
      <c r="I987" s="5"/>
      <c r="J987" s="4"/>
      <c r="K987" s="5"/>
      <c r="L987" s="6"/>
      <c r="M987" s="5" t="str">
        <f aca="false">IF(AND(N(K987)&gt;0,N(L987)&gt;0),K987/L987,"")</f>
        <v/>
      </c>
      <c r="N987" s="2"/>
    </row>
    <row r="988" customFormat="false" ht="15" hidden="false" customHeight="false" outlineLevel="0" collapsed="false">
      <c r="A988" s="2" t="n">
        <v>987</v>
      </c>
      <c r="B988" s="2" t="s">
        <v>2125</v>
      </c>
      <c r="C988" s="2" t="s">
        <v>2126</v>
      </c>
      <c r="D988" s="2"/>
      <c r="E988" s="2"/>
      <c r="F988" s="3" t="n">
        <v>8.8E-005</v>
      </c>
      <c r="G988" s="3" t="n">
        <f aca="false">SUM($F$2:F988)</f>
        <v>0.99945</v>
      </c>
      <c r="H988" s="4"/>
      <c r="I988" s="5"/>
      <c r="J988" s="4"/>
      <c r="K988" s="5"/>
      <c r="L988" s="6"/>
      <c r="M988" s="5" t="str">
        <f aca="false">IF(AND(N(K988)&gt;0,N(L988)&gt;0),K988/L988,"")</f>
        <v/>
      </c>
      <c r="N988" s="2"/>
    </row>
    <row r="989" customFormat="false" ht="15" hidden="false" customHeight="false" outlineLevel="0" collapsed="false">
      <c r="A989" s="2" t="n">
        <v>988</v>
      </c>
      <c r="B989" s="2" t="s">
        <v>2127</v>
      </c>
      <c r="C989" s="2" t="s">
        <v>2128</v>
      </c>
      <c r="D989" s="2"/>
      <c r="E989" s="2"/>
      <c r="F989" s="3" t="n">
        <v>8.4E-005</v>
      </c>
      <c r="G989" s="3" t="n">
        <f aca="false">SUM($F$2:F989)</f>
        <v>0.999534</v>
      </c>
      <c r="H989" s="4"/>
      <c r="I989" s="5"/>
      <c r="J989" s="4"/>
      <c r="K989" s="5"/>
      <c r="L989" s="6"/>
      <c r="M989" s="5" t="str">
        <f aca="false">IF(AND(N(K989)&gt;0,N(L989)&gt;0),K989/L989,"")</f>
        <v/>
      </c>
      <c r="N989" s="2"/>
    </row>
    <row r="990" customFormat="false" ht="15" hidden="false" customHeight="false" outlineLevel="0" collapsed="false">
      <c r="A990" s="2" t="n">
        <v>989</v>
      </c>
      <c r="B990" s="2" t="s">
        <v>2129</v>
      </c>
      <c r="C990" s="2" t="s">
        <v>2130</v>
      </c>
      <c r="D990" s="2"/>
      <c r="E990" s="2"/>
      <c r="F990" s="3" t="n">
        <v>8.4E-005</v>
      </c>
      <c r="G990" s="3" t="n">
        <f aca="false">SUM($F$2:F990)</f>
        <v>0.999618</v>
      </c>
      <c r="H990" s="4"/>
      <c r="I990" s="5"/>
      <c r="J990" s="4"/>
      <c r="K990" s="5"/>
      <c r="L990" s="6"/>
      <c r="M990" s="5" t="str">
        <f aca="false">IF(AND(N(K990)&gt;0,N(L990)&gt;0),K990/L990,"")</f>
        <v/>
      </c>
      <c r="N990" s="2"/>
    </row>
    <row r="991" customFormat="false" ht="15" hidden="false" customHeight="false" outlineLevel="0" collapsed="false">
      <c r="A991" s="2" t="n">
        <v>990</v>
      </c>
      <c r="B991" s="2" t="s">
        <v>2131</v>
      </c>
      <c r="C991" s="2" t="s">
        <v>2132</v>
      </c>
      <c r="D991" s="2"/>
      <c r="E991" s="2"/>
      <c r="F991" s="3" t="n">
        <v>7.6E-005</v>
      </c>
      <c r="G991" s="3" t="n">
        <f aca="false">SUM($F$2:F991)</f>
        <v>0.999694</v>
      </c>
      <c r="H991" s="4"/>
      <c r="I991" s="5"/>
      <c r="J991" s="4"/>
      <c r="K991" s="5"/>
      <c r="L991" s="6"/>
      <c r="M991" s="5" t="str">
        <f aca="false">IF(AND(N(K991)&gt;0,N(L991)&gt;0),K991/L991,"")</f>
        <v/>
      </c>
      <c r="N991" s="2"/>
    </row>
    <row r="992" customFormat="false" ht="15" hidden="false" customHeight="false" outlineLevel="0" collapsed="false">
      <c r="A992" s="2" t="n">
        <v>991</v>
      </c>
      <c r="B992" s="2" t="s">
        <v>2133</v>
      </c>
      <c r="C992" s="2" t="s">
        <v>2134</v>
      </c>
      <c r="D992" s="2"/>
      <c r="E992" s="2"/>
      <c r="F992" s="3" t="n">
        <v>5.8E-005</v>
      </c>
      <c r="G992" s="3" t="n">
        <f aca="false">SUM($F$2:F992)</f>
        <v>0.999752</v>
      </c>
      <c r="H992" s="4"/>
      <c r="I992" s="5"/>
      <c r="J992" s="4"/>
      <c r="K992" s="5"/>
      <c r="L992" s="6"/>
      <c r="M992" s="5" t="str">
        <f aca="false">IF(AND(N(K992)&gt;0,N(L992)&gt;0),K992/L992,"")</f>
        <v/>
      </c>
      <c r="N992" s="2"/>
    </row>
    <row r="993" customFormat="false" ht="15" hidden="false" customHeight="false" outlineLevel="0" collapsed="false">
      <c r="A993" s="2" t="n">
        <v>992</v>
      </c>
      <c r="B993" s="2" t="s">
        <v>2135</v>
      </c>
      <c r="C993" s="2" t="s">
        <v>2136</v>
      </c>
      <c r="D993" s="2"/>
      <c r="E993" s="2"/>
      <c r="F993" s="3" t="n">
        <v>5.3E-005</v>
      </c>
      <c r="G993" s="3" t="n">
        <f aca="false">SUM($F$2:F993)</f>
        <v>0.999805</v>
      </c>
      <c r="H993" s="4"/>
      <c r="I993" s="5"/>
      <c r="J993" s="4"/>
      <c r="K993" s="5"/>
      <c r="L993" s="6"/>
      <c r="M993" s="5" t="str">
        <f aca="false">IF(AND(N(K993)&gt;0,N(L993)&gt;0),K993/L993,"")</f>
        <v/>
      </c>
      <c r="N993" s="2"/>
    </row>
    <row r="994" customFormat="false" ht="15" hidden="false" customHeight="false" outlineLevel="0" collapsed="false">
      <c r="A994" s="2" t="n">
        <v>993</v>
      </c>
      <c r="B994" s="2" t="s">
        <v>2137</v>
      </c>
      <c r="C994" s="2" t="s">
        <v>2138</v>
      </c>
      <c r="D994" s="2"/>
      <c r="E994" s="2"/>
      <c r="F994" s="3" t="n">
        <v>4E-005</v>
      </c>
      <c r="G994" s="3" t="n">
        <f aca="false">SUM($F$2:F994)</f>
        <v>0.999845</v>
      </c>
      <c r="H994" s="4"/>
      <c r="I994" s="5"/>
      <c r="J994" s="4"/>
      <c r="K994" s="5"/>
      <c r="L994" s="6"/>
      <c r="M994" s="5" t="str">
        <f aca="false">IF(AND(N(K994)&gt;0,N(L994)&gt;0),K994/L994,"")</f>
        <v/>
      </c>
      <c r="N994" s="2"/>
    </row>
    <row r="995" customFormat="false" ht="15" hidden="false" customHeight="false" outlineLevel="0" collapsed="false">
      <c r="A995" s="2" t="n">
        <v>994</v>
      </c>
      <c r="B995" s="2" t="s">
        <v>2139</v>
      </c>
      <c r="C995" s="2" t="s">
        <v>2140</v>
      </c>
      <c r="D995" s="2"/>
      <c r="E995" s="2"/>
      <c r="F995" s="3" t="n">
        <v>3.7E-005</v>
      </c>
      <c r="G995" s="3" t="n">
        <f aca="false">SUM($F$2:F995)</f>
        <v>0.999882</v>
      </c>
      <c r="H995" s="4"/>
      <c r="I995" s="5"/>
      <c r="J995" s="4"/>
      <c r="K995" s="5"/>
      <c r="L995" s="6"/>
      <c r="M995" s="5" t="str">
        <f aca="false">IF(AND(N(K995)&gt;0,N(L995)&gt;0),K995/L995,"")</f>
        <v/>
      </c>
      <c r="N995" s="2"/>
    </row>
    <row r="996" customFormat="false" ht="15" hidden="false" customHeight="false" outlineLevel="0" collapsed="false">
      <c r="A996" s="2" t="n">
        <v>995</v>
      </c>
      <c r="B996" s="2" t="s">
        <v>2141</v>
      </c>
      <c r="C996" s="2" t="s">
        <v>2142</v>
      </c>
      <c r="D996" s="2"/>
      <c r="E996" s="2"/>
      <c r="F996" s="3" t="n">
        <v>3.5E-005</v>
      </c>
      <c r="G996" s="3" t="n">
        <f aca="false">SUM($F$2:F996)</f>
        <v>0.999917</v>
      </c>
      <c r="H996" s="4"/>
      <c r="I996" s="5"/>
      <c r="J996" s="4"/>
      <c r="K996" s="5"/>
      <c r="L996" s="6"/>
      <c r="M996" s="5" t="str">
        <f aca="false">IF(AND(N(K996)&gt;0,N(L996)&gt;0),K996/L996,"")</f>
        <v/>
      </c>
      <c r="N996" s="2"/>
    </row>
    <row r="997" customFormat="false" ht="15" hidden="false" customHeight="false" outlineLevel="0" collapsed="false">
      <c r="A997" s="2" t="n">
        <v>996</v>
      </c>
      <c r="B997" s="2" t="s">
        <v>2143</v>
      </c>
      <c r="C997" s="2" t="s">
        <v>2144</v>
      </c>
      <c r="D997" s="2"/>
      <c r="E997" s="2"/>
      <c r="F997" s="3" t="n">
        <v>3.1E-005</v>
      </c>
      <c r="G997" s="3" t="n">
        <f aca="false">SUM($F$2:F997)</f>
        <v>0.999948</v>
      </c>
      <c r="H997" s="4"/>
      <c r="I997" s="5"/>
      <c r="J997" s="4"/>
      <c r="K997" s="5"/>
      <c r="L997" s="6"/>
      <c r="M997" s="5" t="str">
        <f aca="false">IF(AND(N(K997)&gt;0,N(L997)&gt;0),K997/L997,"")</f>
        <v/>
      </c>
      <c r="N997" s="2"/>
    </row>
    <row r="998" customFormat="false" ht="15" hidden="false" customHeight="false" outlineLevel="0" collapsed="false">
      <c r="A998" s="2" t="n">
        <v>997</v>
      </c>
      <c r="B998" s="2" t="s">
        <v>2145</v>
      </c>
      <c r="C998" s="2" t="s">
        <v>2146</v>
      </c>
      <c r="D998" s="2"/>
      <c r="E998" s="2"/>
      <c r="F998" s="3" t="n">
        <v>2.9E-005</v>
      </c>
      <c r="G998" s="3" t="n">
        <f aca="false">SUM($F$2:F998)</f>
        <v>0.999977</v>
      </c>
      <c r="H998" s="4"/>
      <c r="I998" s="5"/>
      <c r="J998" s="4"/>
      <c r="K998" s="5"/>
      <c r="L998" s="6"/>
      <c r="M998" s="5" t="str">
        <f aca="false">IF(AND(N(K998)&gt;0,N(L998)&gt;0),K998/L998,"")</f>
        <v/>
      </c>
      <c r="N998" s="2"/>
    </row>
    <row r="999" customFormat="false" ht="15" hidden="false" customHeight="false" outlineLevel="0" collapsed="false">
      <c r="A999" s="2" t="n">
        <v>998</v>
      </c>
      <c r="B999" s="2" t="s">
        <v>2147</v>
      </c>
      <c r="C999" s="2" t="s">
        <v>2148</v>
      </c>
      <c r="D999" s="2"/>
      <c r="E999" s="2"/>
      <c r="F999" s="3" t="n">
        <v>2.1E-005</v>
      </c>
      <c r="G999" s="3" t="n">
        <f aca="false">SUM($F$2:F999)</f>
        <v>0.999998</v>
      </c>
      <c r="H999" s="4"/>
      <c r="I999" s="5"/>
      <c r="J999" s="4"/>
      <c r="K999" s="5"/>
      <c r="L999" s="6"/>
      <c r="M999" s="5" t="str">
        <f aca="false">IF(AND(N(K999)&gt;0,N(L999)&gt;0),K999/L999,"")</f>
        <v/>
      </c>
      <c r="N999" s="2"/>
    </row>
    <row r="1000" customFormat="false" ht="15" hidden="false" customHeight="false" outlineLevel="0" collapsed="false">
      <c r="A1000" s="2" t="n">
        <v>999</v>
      </c>
      <c r="B1000" s="2" t="s">
        <v>2149</v>
      </c>
      <c r="C1000" s="2" t="s">
        <v>2150</v>
      </c>
      <c r="D1000" s="2"/>
      <c r="E1000" s="2"/>
      <c r="F1000" s="3" t="n">
        <v>1E-006</v>
      </c>
      <c r="G1000" s="3" t="n">
        <f aca="false">SUM($F$2:F1000)</f>
        <v>0.999999</v>
      </c>
      <c r="H1000" s="4"/>
      <c r="I1000" s="5"/>
      <c r="J1000" s="4"/>
      <c r="K1000" s="5"/>
      <c r="L1000" s="6"/>
      <c r="M1000" s="5" t="str">
        <f aca="false">IF(AND(N(K1000)&gt;0,N(L1000)&gt;0),K1000/L1000,"")</f>
        <v/>
      </c>
      <c r="N1000" s="2"/>
    </row>
    <row r="1001" customFormat="false" ht="15" hidden="false" customHeight="false" outlineLevel="0" collapsed="false">
      <c r="A1001" s="2" t="n">
        <v>1000</v>
      </c>
      <c r="B1001" s="2" t="s">
        <v>2151</v>
      </c>
      <c r="C1001" s="2" t="s">
        <v>2152</v>
      </c>
      <c r="D1001" s="2"/>
      <c r="E1001" s="2"/>
      <c r="F1001" s="3" t="n">
        <v>0</v>
      </c>
      <c r="G1001" s="3" t="n">
        <f aca="false">SUM($F$2:F1001)</f>
        <v>0.999999</v>
      </c>
      <c r="H1001" s="4"/>
      <c r="I1001" s="5"/>
      <c r="J1001" s="4"/>
      <c r="K1001" s="5"/>
      <c r="L1001" s="6"/>
      <c r="M1001" s="5" t="str">
        <f aca="false">IF(AND(N(K1001)&gt;0,N(L1001)&gt;0),K1001/L1001,"")</f>
        <v/>
      </c>
      <c r="N1001" s="2"/>
    </row>
    <row r="1002" customFormat="false" ht="15" hidden="false" customHeight="false" outlineLevel="0" collapsed="false">
      <c r="A1002" s="2" t="n">
        <v>1001</v>
      </c>
      <c r="B1002" s="2" t="s">
        <v>2153</v>
      </c>
      <c r="C1002" s="2" t="s">
        <v>2154</v>
      </c>
      <c r="D1002" s="2"/>
      <c r="E1002" s="2"/>
      <c r="F1002" s="3" t="n">
        <v>0</v>
      </c>
      <c r="G1002" s="3" t="n">
        <f aca="false">SUM($F$2:F1002)</f>
        <v>0.999999</v>
      </c>
      <c r="H1002" s="4"/>
      <c r="I1002" s="5"/>
      <c r="J1002" s="4"/>
      <c r="K1002" s="5"/>
      <c r="L1002" s="6"/>
      <c r="M1002" s="5" t="str">
        <f aca="false">IF(AND(N(K1002)&gt;0,N(L1002)&gt;0),K1002/L1002,"")</f>
        <v/>
      </c>
      <c r="N1002" s="2"/>
    </row>
    <row r="1003" customFormat="false" ht="15" hidden="false" customHeight="false" outlineLevel="0" collapsed="false">
      <c r="A1003" s="2" t="n">
        <v>1002</v>
      </c>
      <c r="B1003" s="2" t="s">
        <v>2155</v>
      </c>
      <c r="C1003" s="2" t="s">
        <v>2156</v>
      </c>
      <c r="D1003" s="2"/>
      <c r="E1003" s="2"/>
      <c r="F1003" s="3" t="n">
        <v>0</v>
      </c>
      <c r="G1003" s="3" t="n">
        <f aca="false">SUM($F$2:F1003)</f>
        <v>0.999999</v>
      </c>
      <c r="H1003" s="4"/>
      <c r="I1003" s="5"/>
      <c r="J1003" s="4"/>
      <c r="K1003" s="5"/>
      <c r="L1003" s="6"/>
      <c r="M1003" s="5" t="str">
        <f aca="false">IF(AND(N(K1003)&gt;0,N(L1003)&gt;0),K1003/L1003,"")</f>
        <v/>
      </c>
      <c r="N1003" s="2"/>
    </row>
    <row r="1004" customFormat="false" ht="15" hidden="false" customHeight="false" outlineLevel="0" collapsed="false">
      <c r="A1004" s="2" t="n">
        <v>1003</v>
      </c>
      <c r="B1004" s="2" t="s">
        <v>2157</v>
      </c>
      <c r="C1004" s="2" t="s">
        <v>2158</v>
      </c>
      <c r="D1004" s="2"/>
      <c r="E1004" s="2"/>
      <c r="F1004" s="3" t="n">
        <v>0</v>
      </c>
      <c r="G1004" s="3" t="n">
        <f aca="false">SUM($F$2:F1004)</f>
        <v>0.999999</v>
      </c>
      <c r="H1004" s="4"/>
      <c r="I1004" s="5"/>
      <c r="J1004" s="4"/>
      <c r="K1004" s="5"/>
      <c r="L1004" s="6"/>
      <c r="M1004" s="5" t="str">
        <f aca="false">IF(AND(N(K1004)&gt;0,N(L1004)&gt;0),K1004/L1004,"")</f>
        <v/>
      </c>
      <c r="N1004" s="2"/>
    </row>
    <row r="1005" customFormat="false" ht="15" hidden="false" customHeight="false" outlineLevel="0" collapsed="false">
      <c r="A1005" s="2" t="n">
        <v>1004</v>
      </c>
      <c r="B1005" s="2" t="s">
        <v>2159</v>
      </c>
      <c r="C1005" s="2" t="s">
        <v>2160</v>
      </c>
      <c r="D1005" s="2"/>
      <c r="E1005" s="2"/>
      <c r="F1005" s="3" t="n">
        <v>0</v>
      </c>
      <c r="G1005" s="3" t="n">
        <f aca="false">SUM($F$2:F1005)</f>
        <v>0.999999</v>
      </c>
      <c r="H1005" s="4"/>
      <c r="I1005" s="5"/>
      <c r="J1005" s="4"/>
      <c r="K1005" s="5"/>
      <c r="L1005" s="6"/>
      <c r="M1005" s="5" t="str">
        <f aca="false">IF(AND(N(K1005)&gt;0,N(L1005)&gt;0),K1005/L1005,"")</f>
        <v/>
      </c>
      <c r="N1005" s="2"/>
    </row>
    <row r="1006" customFormat="false" ht="15" hidden="false" customHeight="false" outlineLevel="0" collapsed="false">
      <c r="A1006" s="2" t="n">
        <v>1005</v>
      </c>
      <c r="B1006" s="2" t="s">
        <v>2161</v>
      </c>
      <c r="C1006" s="2" t="s">
        <v>2162</v>
      </c>
      <c r="D1006" s="2"/>
      <c r="E1006" s="2"/>
      <c r="F1006" s="3" t="n">
        <v>0</v>
      </c>
      <c r="G1006" s="3" t="n">
        <f aca="false">SUM($F$2:F1006)</f>
        <v>0.999999</v>
      </c>
      <c r="H1006" s="4"/>
      <c r="I1006" s="5"/>
      <c r="J1006" s="4"/>
      <c r="K1006" s="5"/>
      <c r="L1006" s="6"/>
      <c r="M1006" s="5" t="str">
        <f aca="false">IF(AND(N(K1006)&gt;0,N(L1006)&gt;0),K1006/L1006,"")</f>
        <v/>
      </c>
      <c r="N1006" s="2"/>
    </row>
    <row r="1007" customFormat="false" ht="15" hidden="false" customHeight="false" outlineLevel="0" collapsed="false">
      <c r="A1007" s="2" t="n">
        <v>1006</v>
      </c>
      <c r="B1007" s="2" t="s">
        <v>2163</v>
      </c>
      <c r="C1007" s="2" t="s">
        <v>2164</v>
      </c>
      <c r="D1007" s="2"/>
      <c r="E1007" s="2"/>
      <c r="F1007" s="3" t="n">
        <v>0</v>
      </c>
      <c r="G1007" s="3" t="n">
        <f aca="false">SUM($F$2:F1007)</f>
        <v>0.999999</v>
      </c>
      <c r="H1007" s="4"/>
      <c r="I1007" s="5"/>
      <c r="J1007" s="4"/>
      <c r="K1007" s="5"/>
      <c r="L1007" s="6"/>
      <c r="M1007" s="5" t="str">
        <f aca="false">IF(AND(N(K1007)&gt;0,N(L1007)&gt;0),K1007/L1007,"")</f>
        <v/>
      </c>
      <c r="N1007" s="2"/>
    </row>
    <row r="1008" customFormat="false" ht="15" hidden="false" customHeight="false" outlineLevel="0" collapsed="false">
      <c r="A1008" s="2" t="n">
        <v>1007</v>
      </c>
      <c r="B1008" s="2" t="s">
        <v>2149</v>
      </c>
      <c r="C1008" s="2" t="s">
        <v>2165</v>
      </c>
      <c r="D1008" s="2"/>
      <c r="E1008" s="2"/>
      <c r="F1008" s="3" t="n">
        <v>0</v>
      </c>
      <c r="G1008" s="3" t="n">
        <f aca="false">SUM($F$2:F1008)</f>
        <v>0.999999</v>
      </c>
      <c r="H1008" s="4"/>
      <c r="I1008" s="5"/>
      <c r="J1008" s="4"/>
      <c r="K1008" s="5"/>
      <c r="L1008" s="6"/>
      <c r="M1008" s="5" t="str">
        <f aca="false">IF(AND(N(K1008)&gt;0,N(L1008)&gt;0),K1008/L1008,"")</f>
        <v/>
      </c>
      <c r="N1008" s="2"/>
    </row>
    <row r="1009" customFormat="false" ht="15" hidden="false" customHeight="false" outlineLevel="0" collapsed="false">
      <c r="A1009" s="2" t="n">
        <v>1008</v>
      </c>
      <c r="B1009" s="2" t="s">
        <v>2166</v>
      </c>
      <c r="C1009" s="2" t="s">
        <v>2167</v>
      </c>
      <c r="D1009" s="2"/>
      <c r="E1009" s="2"/>
      <c r="F1009" s="3" t="n">
        <v>0</v>
      </c>
      <c r="G1009" s="3" t="n">
        <f aca="false">SUM($F$2:F1009)</f>
        <v>0.999999</v>
      </c>
      <c r="H1009" s="4"/>
      <c r="I1009" s="5"/>
      <c r="J1009" s="4"/>
      <c r="K1009" s="5"/>
      <c r="L1009" s="6"/>
      <c r="M1009" s="5" t="str">
        <f aca="false">IF(AND(N(K1009)&gt;0,N(L1009)&gt;0),K1009/L1009,"")</f>
        <v/>
      </c>
      <c r="N1009" s="2"/>
    </row>
    <row r="1010" customFormat="false" ht="15" hidden="false" customHeight="false" outlineLevel="0" collapsed="false">
      <c r="A1010" s="2" t="n">
        <v>1009</v>
      </c>
      <c r="B1010" s="2" t="s">
        <v>2168</v>
      </c>
      <c r="C1010" s="2" t="s">
        <v>2169</v>
      </c>
      <c r="D1010" s="2"/>
      <c r="E1010" s="2"/>
      <c r="F1010" s="3" t="n">
        <v>0</v>
      </c>
      <c r="G1010" s="3" t="n">
        <f aca="false">SUM($F$2:F1010)</f>
        <v>0.999999</v>
      </c>
      <c r="H1010" s="4"/>
      <c r="I1010" s="5"/>
      <c r="J1010" s="4"/>
      <c r="K1010" s="5"/>
      <c r="L1010" s="6"/>
      <c r="M1010" s="5" t="str">
        <f aca="false">IF(AND(N(K1010)&gt;0,N(L1010)&gt;0),K1010/L1010,"")</f>
        <v/>
      </c>
      <c r="N1010" s="2"/>
    </row>
  </sheetData>
  <autoFilter ref="A1:N10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7.98"/>
    <col collapsed="false" customWidth="true" hidden="false" outlineLevel="0" max="2" min="2" style="0" width="16.01"/>
    <col collapsed="false" customWidth="true" hidden="false" outlineLevel="0" max="3" min="3" style="0" width="13.99"/>
    <col collapsed="false" customWidth="true" hidden="false" outlineLevel="0" max="4" min="4" style="0" width="20.04"/>
  </cols>
  <sheetData>
    <row r="1" customFormat="false" ht="15" hidden="false" customHeight="false" outlineLevel="0" collapsed="false">
      <c r="A1" s="7" t="s">
        <v>3</v>
      </c>
      <c r="B1" s="7" t="s">
        <v>2170</v>
      </c>
      <c r="C1" s="7" t="s">
        <v>2171</v>
      </c>
      <c r="D1" s="7" t="s">
        <v>2172</v>
      </c>
    </row>
    <row r="2" customFormat="false" ht="15" hidden="false" customHeight="false" outlineLevel="0" collapsed="false">
      <c r="A2" s="2" t="s">
        <v>66</v>
      </c>
      <c r="B2" s="3" t="n">
        <f aca="false">SUMIF(Holdings!$D$2:$D$1010,A2,Holdings!$F$2:$F$1010)</f>
        <v>0.022914</v>
      </c>
      <c r="C2" s="2" t="n">
        <f aca="false">COUNTIF(Holdings!$D$2:$D$1010,A2)</f>
        <v>19</v>
      </c>
      <c r="D2" s="8" t="n">
        <f aca="false">AVERAGEIFS(Holdings!$I$2:$I$1010,Holdings!$D$2:$D$1010,A2,Holdings!$I$2:$I$1010,"&lt;=100")</f>
        <v>25.8534</v>
      </c>
    </row>
    <row r="3" customFormat="false" ht="15" hidden="false" customHeight="false" outlineLevel="0" collapsed="false">
      <c r="A3" s="2" t="s">
        <v>93</v>
      </c>
      <c r="B3" s="3" t="n">
        <f aca="false">SUMIF(Holdings!$D$2:$D$1010,A3,Holdings!$F$2:$F$1010)</f>
        <v>0.109184</v>
      </c>
      <c r="C3" s="2" t="n">
        <f aca="false">COUNTIF(Holdings!$D$2:$D$1010,A3)</f>
        <v>110</v>
      </c>
      <c r="D3" s="8" t="n">
        <f aca="false">AVERAGEIFS(Holdings!$I$2:$I$1010,Holdings!$D$2:$D$1010,A3,Holdings!$I$2:$I$1010,"&lt;=100")</f>
        <v>19.4668757575758</v>
      </c>
    </row>
    <row r="4" customFormat="false" ht="15" hidden="false" customHeight="false" outlineLevel="0" collapsed="false">
      <c r="A4" s="2" t="s">
        <v>58</v>
      </c>
      <c r="B4" s="3" t="n">
        <f aca="false">SUMIF(Holdings!$D$2:$D$1010,A4,Holdings!$F$2:$F$1010)</f>
        <v>0.034458</v>
      </c>
      <c r="C4" s="2" t="n">
        <f aca="false">COUNTIF(Holdings!$D$2:$D$1010,A4)</f>
        <v>33</v>
      </c>
      <c r="D4" s="8" t="n">
        <f aca="false">AVERAGEIFS(Holdings!$I$2:$I$1010,Holdings!$D$2:$D$1010,A4,Holdings!$I$2:$I$1010,"&lt;=100")</f>
        <v>25.4361392857143</v>
      </c>
    </row>
    <row r="5" customFormat="false" ht="15" hidden="false" customHeight="false" outlineLevel="0" collapsed="false">
      <c r="A5" s="2" t="s">
        <v>26</v>
      </c>
      <c r="B5" s="3" t="n">
        <f aca="false">SUMIF(Holdings!$D$2:$D$1010,A5,Holdings!$F$2:$F$1010)</f>
        <v>0.052034</v>
      </c>
      <c r="C5" s="2" t="n">
        <f aca="false">COUNTIF(Holdings!$D$2:$D$1010,A5)</f>
        <v>42</v>
      </c>
      <c r="D5" s="8" t="n">
        <f aca="false">AVERAGEIFS(Holdings!$I$2:$I$1010,Holdings!$D$2:$D$1010,A5,Holdings!$I$2:$I$1010,"&lt;=100")</f>
        <v>23.8691176470588</v>
      </c>
    </row>
    <row r="6" customFormat="false" ht="15" hidden="false" customHeight="false" outlineLevel="0" collapsed="false">
      <c r="A6" s="2" t="s">
        <v>79</v>
      </c>
      <c r="B6" s="3" t="n">
        <f aca="false">SUMIF(Holdings!$D$2:$D$1010,A6,Holdings!$F$2:$F$1010)</f>
        <v>0.147639</v>
      </c>
      <c r="C6" s="2" t="n">
        <f aca="false">COUNTIF(Holdings!$D$2:$D$1010,A6)</f>
        <v>138</v>
      </c>
      <c r="D6" s="8" t="n">
        <f aca="false">AVERAGEIFS(Holdings!$I$2:$I$1010,Holdings!$D$2:$D$1010,A6,Holdings!$I$2:$I$1010,"&lt;=100")</f>
        <v>14.4598615384615</v>
      </c>
    </row>
    <row r="7" customFormat="false" ht="15" hidden="false" customHeight="false" outlineLevel="0" collapsed="false">
      <c r="A7" s="2" t="s">
        <v>33</v>
      </c>
      <c r="B7" s="3" t="n">
        <f aca="false">SUMIF(Holdings!$D$2:$D$1010,A7,Holdings!$F$2:$F$1010)</f>
        <v>0.096018</v>
      </c>
      <c r="C7" s="2" t="n">
        <f aca="false">COUNTIF(Holdings!$D$2:$D$1010,A7)</f>
        <v>77</v>
      </c>
      <c r="D7" s="8" t="n">
        <f aca="false">AVERAGEIFS(Holdings!$I$2:$I$1010,Holdings!$D$2:$D$1010,A7,Holdings!$I$2:$I$1010,"&lt;=100")</f>
        <v>31.9261479166667</v>
      </c>
    </row>
    <row r="8" customFormat="false" ht="15" hidden="false" customHeight="false" outlineLevel="0" collapsed="false">
      <c r="A8" s="2" t="s">
        <v>22</v>
      </c>
      <c r="B8" s="3" t="n">
        <f aca="false">SUMIF(Holdings!$D$2:$D$1010,A8,Holdings!$F$2:$F$1010)</f>
        <v>0.201057</v>
      </c>
      <c r="C8" s="2" t="n">
        <f aca="false">COUNTIF(Holdings!$D$2:$D$1010,A8)</f>
        <v>142</v>
      </c>
      <c r="D8" s="8" t="n">
        <f aca="false">AVERAGEIFS(Holdings!$I$2:$I$1010,Holdings!$D$2:$D$1010,A8,Holdings!$I$2:$I$1010,"&lt;=100")</f>
        <v>27.4232058823529</v>
      </c>
    </row>
    <row r="9" customFormat="false" ht="15" hidden="false" customHeight="false" outlineLevel="0" collapsed="false">
      <c r="A9" s="2" t="s">
        <v>16</v>
      </c>
      <c r="B9" s="3" t="n">
        <f aca="false">SUMIF(Holdings!$D$2:$D$1010,A9,Holdings!$F$2:$F$1010)</f>
        <v>0.160422</v>
      </c>
      <c r="C9" s="2" t="n">
        <f aca="false">COUNTIF(Holdings!$D$2:$D$1010,A9)</f>
        <v>122</v>
      </c>
      <c r="D9" s="8" t="n">
        <f aca="false">AVERAGEIFS(Holdings!$I$2:$I$1010,Holdings!$D$2:$D$1010,A9,Holdings!$I$2:$I$1010,"&lt;=100")</f>
        <v>35.9646020408163</v>
      </c>
    </row>
    <row r="10" customFormat="false" ht="15" hidden="false" customHeight="false" outlineLevel="0" collapsed="false">
      <c r="A10" s="2" t="s">
        <v>62</v>
      </c>
      <c r="B10" s="3" t="n">
        <f aca="false">SUMIF(Holdings!$D$2:$D$1010,A10,Holdings!$F$2:$F$1010)</f>
        <v>0.046625</v>
      </c>
      <c r="C10" s="2" t="n">
        <f aca="false">COUNTIF(Holdings!$D$2:$D$1010,A10)</f>
        <v>41</v>
      </c>
      <c r="D10" s="8" t="n">
        <f aca="false">AVERAGEIFS(Holdings!$I$2:$I$1010,Holdings!$D$2:$D$1010,A10,Holdings!$I$2:$I$1010,"&lt;=100")</f>
        <v>26.6626878787879</v>
      </c>
    </row>
    <row r="11" customFormat="false" ht="15" hidden="false" customHeight="false" outlineLevel="0" collapsed="false">
      <c r="A11" s="2" t="s">
        <v>86</v>
      </c>
      <c r="B11" s="3" t="n">
        <f aca="false">SUMIF(Holdings!$D$2:$D$1010,A11,Holdings!$F$2:$F$1010)</f>
        <v>0.069053</v>
      </c>
      <c r="C11" s="2" t="n">
        <f aca="false">COUNTIF(Holdings!$D$2:$D$1010,A11)</f>
        <v>62</v>
      </c>
      <c r="D11" s="8" t="n">
        <f aca="false">AVERAGEIFS(Holdings!$I$2:$I$1010,Holdings!$D$2:$D$1010,A11,Holdings!$I$2:$I$1010,"&lt;=100")</f>
        <v>29.1676739130435</v>
      </c>
    </row>
    <row r="12" customFormat="false" ht="15" hidden="false" customHeight="false" outlineLevel="0" collapsed="false">
      <c r="A12" s="2" t="s">
        <v>171</v>
      </c>
      <c r="B12" s="3" t="n">
        <f aca="false">SUMIF(Holdings!$D$2:$D$1010,A12,Holdings!$F$2:$F$1010)</f>
        <v>0.022411</v>
      </c>
      <c r="C12" s="2" t="n">
        <f aca="false">COUNTIF(Holdings!$D$2:$D$1010,A12)</f>
        <v>24</v>
      </c>
      <c r="D12" s="8" t="n">
        <f aca="false">AVERAGEIFS(Holdings!$I$2:$I$1010,Holdings!$D$2:$D$1010,A12,Holdings!$I$2:$I$1010,"&lt;=100")</f>
        <v>21.1092565217391</v>
      </c>
    </row>
    <row r="13" customFormat="false" ht="15" hidden="false" customHeight="false" outlineLevel="0" collapsed="false">
      <c r="A13" s="2" t="s">
        <v>2173</v>
      </c>
      <c r="B13" s="3" t="n">
        <f aca="false">1-SUM(B2:B12)</f>
        <v>0.038185</v>
      </c>
      <c r="C13" s="2" t="n">
        <f aca="false">COUNTBLANK(Holdings!$D$2:$D$1010)</f>
        <v>199</v>
      </c>
      <c r="D13" s="8"/>
    </row>
    <row r="14" customFormat="false" ht="15" hidden="false" customHeight="false" outlineLevel="0" collapsed="false">
      <c r="A14" s="9" t="s">
        <v>2174</v>
      </c>
      <c r="B14" s="10" t="n">
        <f aca="false">SUM(B2:B13)</f>
        <v>1</v>
      </c>
      <c r="C14" s="9" t="n">
        <f aca="false">SUM(C2:C13)</f>
        <v>1009</v>
      </c>
      <c r="D14"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10.04"/>
  </cols>
  <sheetData>
    <row r="1" customFormat="false" ht="15" hidden="false" customHeight="false" outlineLevel="0" collapsed="false">
      <c r="A1" s="12" t="s">
        <v>2175</v>
      </c>
    </row>
    <row r="2" customFormat="false" ht="39.55" hidden="false" customHeight="false" outlineLevel="0" collapsed="false">
      <c r="A2" s="12" t="s">
        <v>2176</v>
      </c>
    </row>
    <row r="3" customFormat="false" ht="39.55" hidden="false" customHeight="false" outlineLevel="0" collapsed="false">
      <c r="A3" s="12" t="s">
        <v>2177</v>
      </c>
    </row>
    <row r="4" customFormat="false" ht="39.55" hidden="false" customHeight="false" outlineLevel="0" collapsed="false">
      <c r="A4" s="12" t="s">
        <v>2178</v>
      </c>
    </row>
    <row r="5" customFormat="false" ht="15" hidden="false" customHeight="false" outlineLevel="0" collapsed="false">
      <c r="A5" s="12" t="s">
        <v>2179</v>
      </c>
    </row>
    <row r="6" customFormat="false" ht="39.55" hidden="false" customHeight="false" outlineLevel="0" collapsed="false">
      <c r="A6" s="12" t="s">
        <v>2180</v>
      </c>
    </row>
    <row r="7" customFormat="false" ht="15" hidden="false" customHeight="false" outlineLevel="0" collapsed="false">
      <c r="A7" s="12" t="s">
        <v>2181</v>
      </c>
    </row>
    <row r="8" customFormat="false" ht="15" hidden="false" customHeight="false" outlineLevel="0" collapsed="false">
      <c r="A8" s="12" t="s">
        <v>2182</v>
      </c>
    </row>
    <row r="9" customFormat="false" ht="15" hidden="false" customHeight="false" outlineLevel="0" collapsed="false">
      <c r="A9" s="12"/>
    </row>
    <row r="10" customFormat="false" ht="90.25" hidden="false" customHeight="false" outlineLevel="0" collapsed="false">
      <c r="A10" s="12" t="s">
        <v>2183</v>
      </c>
    </row>
    <row r="11" customFormat="false" ht="39.55" hidden="false" customHeight="false" outlineLevel="0" collapsed="false">
      <c r="A11" s="12" t="s">
        <v>2184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6"/>
    <col collapsed="false" customWidth="true" hidden="false" outlineLevel="0" max="4" min="4" style="0" width="18"/>
    <col collapsed="false" customWidth="true" hidden="false" outlineLevel="0" max="5" min="5" style="0" width="14"/>
    <col collapsed="false" customWidth="true" hidden="false" outlineLevel="0" max="6" min="6" style="0" width="16"/>
    <col collapsed="false" customWidth="true" hidden="false" outlineLevel="0" max="7" min="7" style="0" width="14"/>
    <col collapsed="false" customWidth="true" hidden="false" outlineLevel="0" max="8" min="8" style="0" width="30"/>
  </cols>
  <sheetData>
    <row r="1" customFormat="false" ht="23.85" hidden="false" customHeight="false" outlineLevel="0" collapsed="false">
      <c r="A1" s="1" t="s">
        <v>2185</v>
      </c>
      <c r="B1" s="1" t="s">
        <v>2186</v>
      </c>
      <c r="C1" s="13" t="s">
        <v>2187</v>
      </c>
      <c r="D1" s="1" t="s">
        <v>2188</v>
      </c>
      <c r="E1" s="1" t="s">
        <v>2189</v>
      </c>
      <c r="F1" s="1" t="s">
        <v>2190</v>
      </c>
      <c r="G1" s="1" t="s">
        <v>2191</v>
      </c>
      <c r="H1" s="1" t="s">
        <v>2192</v>
      </c>
    </row>
    <row r="2" customFormat="false" ht="15" hidden="false" customHeight="false" outlineLevel="0" collapsed="false">
      <c r="A2" s="14" t="n">
        <v>1927</v>
      </c>
      <c r="B2" s="15" t="str">
        <f aca="false">INT(A2/10)*10&amp;"s"</f>
        <v>1920s</v>
      </c>
      <c r="C2" s="16" t="n">
        <v>0.3215</v>
      </c>
      <c r="D2" s="16" t="n">
        <v>0.352</v>
      </c>
      <c r="E2" s="15" t="str">
        <f aca="false">IF(C2&gt;=0,"Up","Down")</f>
        <v>Up</v>
      </c>
      <c r="F2" s="17" t="n">
        <f aca="false">1+C2</f>
        <v>1.3215</v>
      </c>
      <c r="G2" s="17" t="n">
        <f aca="false">1+D2</f>
        <v>1.352</v>
      </c>
      <c r="H2" s="16" t="n">
        <v>0.3422</v>
      </c>
    </row>
    <row r="3" customFormat="false" ht="15" hidden="false" customHeight="false" outlineLevel="0" collapsed="false">
      <c r="A3" s="14" t="n">
        <v>1928</v>
      </c>
      <c r="B3" s="15" t="str">
        <f aca="false">INT(A3/10)*10&amp;"s"</f>
        <v>1920s</v>
      </c>
      <c r="C3" s="16" t="n">
        <v>0.3947</v>
      </c>
      <c r="D3" s="16" t="n">
        <v>0.411</v>
      </c>
      <c r="E3" s="15" t="str">
        <f aca="false">IF(C3&gt;=0,"Up","Down")</f>
        <v>Up</v>
      </c>
      <c r="F3" s="17" t="n">
        <f aca="false">F2*(1+C3)</f>
        <v>1.84309605</v>
      </c>
      <c r="G3" s="17" t="n">
        <f aca="false">G2*(1+D3)</f>
        <v>1.907672</v>
      </c>
      <c r="H3" s="16" t="n">
        <v>0.3782</v>
      </c>
    </row>
    <row r="4" customFormat="false" ht="15" hidden="false" customHeight="false" outlineLevel="0" collapsed="false">
      <c r="A4" s="14" t="n">
        <v>1929</v>
      </c>
      <c r="B4" s="15" t="str">
        <f aca="false">INT(A4/10)*10&amp;"s"</f>
        <v>1920s</v>
      </c>
      <c r="C4" s="16" t="n">
        <v>-0.1968</v>
      </c>
      <c r="D4" s="16" t="n">
        <v>-0.2015</v>
      </c>
      <c r="E4" s="15" t="str">
        <f aca="false">IF(C4&gt;=0,"Up","Down")</f>
        <v>Down</v>
      </c>
      <c r="F4" s="17" t="n">
        <f aca="false">F3*(1+C4)</f>
        <v>1.48037474736</v>
      </c>
      <c r="G4" s="17" t="n">
        <f aca="false">G3*(1+D4)</f>
        <v>1.523276092</v>
      </c>
      <c r="H4" s="16" t="n">
        <v>-0.0936</v>
      </c>
    </row>
    <row r="5" customFormat="false" ht="15" hidden="false" customHeight="false" outlineLevel="0" collapsed="false">
      <c r="A5" s="14" t="n">
        <v>1930</v>
      </c>
      <c r="B5" s="15" t="str">
        <f aca="false">INT(A5/10)*10&amp;"s"</f>
        <v>1930s</v>
      </c>
      <c r="C5" s="16" t="n">
        <v>-0.3714</v>
      </c>
      <c r="D5" s="16" t="n">
        <v>-0.3284</v>
      </c>
      <c r="E5" s="15" t="str">
        <f aca="false">IF(C5&gt;=0,"Up","Down")</f>
        <v>Down</v>
      </c>
      <c r="F5" s="17" t="n">
        <f aca="false">F4*(1+C5)</f>
        <v>0.930563566190496</v>
      </c>
      <c r="G5" s="17" t="n">
        <f aca="false">G4*(1+D5)</f>
        <v>1.0230322233872</v>
      </c>
      <c r="H5" s="16" t="n">
        <v>-0.2385</v>
      </c>
    </row>
    <row r="6" customFormat="false" ht="15" hidden="false" customHeight="false" outlineLevel="0" collapsed="false">
      <c r="A6" s="14" t="n">
        <v>1931</v>
      </c>
      <c r="B6" s="15" t="str">
        <f aca="false">INT(A6/10)*10&amp;"s"</f>
        <v>1930s</v>
      </c>
      <c r="C6" s="16" t="n">
        <v>-0.4869</v>
      </c>
      <c r="D6" s="16" t="n">
        <v>-0.4341</v>
      </c>
      <c r="E6" s="15" t="str">
        <f aca="false">IF(C6&gt;=0,"Up","Down")</f>
        <v>Down</v>
      </c>
      <c r="F6" s="17" t="n">
        <f aca="false">F5*(1+C6)</f>
        <v>0.477472165812344</v>
      </c>
      <c r="G6" s="17" t="n">
        <f aca="false">G5*(1+D6)</f>
        <v>0.578933935214817</v>
      </c>
      <c r="H6" s="16" t="n">
        <v>-0.4164</v>
      </c>
    </row>
    <row r="7" customFormat="false" ht="15" hidden="false" customHeight="false" outlineLevel="0" collapsed="false">
      <c r="A7" s="14" t="n">
        <v>1932</v>
      </c>
      <c r="B7" s="15" t="str">
        <f aca="false">INT(A7/10)*10&amp;"s"</f>
        <v>1930s</v>
      </c>
      <c r="C7" s="16" t="n">
        <v>-0.0237</v>
      </c>
      <c r="D7" s="16" t="n">
        <v>0.0881</v>
      </c>
      <c r="E7" s="15" t="str">
        <f aca="false">IF(C7&gt;=0,"Up","Down")</f>
        <v>Down</v>
      </c>
      <c r="F7" s="17" t="n">
        <f aca="false">F6*(1+C7)</f>
        <v>0.466156075482591</v>
      </c>
      <c r="G7" s="17" t="n">
        <f aca="false">G6*(1+D7)</f>
        <v>0.629938014907242</v>
      </c>
      <c r="H7" s="16" t="n">
        <v>-0.1084</v>
      </c>
    </row>
    <row r="8" customFormat="false" ht="15" hidden="false" customHeight="false" outlineLevel="0" collapsed="false">
      <c r="A8" s="14" t="n">
        <v>1933</v>
      </c>
      <c r="B8" s="15" t="str">
        <f aca="false">INT(A8/10)*10&amp;"s"</f>
        <v>1930s</v>
      </c>
      <c r="C8" s="16" t="n">
        <v>0.8714</v>
      </c>
      <c r="D8" s="16" t="n">
        <v>0.8572</v>
      </c>
      <c r="E8" s="15" t="str">
        <f aca="false">IF(C8&gt;=0,"Up","Down")</f>
        <v>Up</v>
      </c>
      <c r="F8" s="17" t="n">
        <f aca="false">F7*(1+C8)</f>
        <v>0.872364479658121</v>
      </c>
      <c r="G8" s="17" t="n">
        <f aca="false">G7*(1+D8)</f>
        <v>1.16992088128573</v>
      </c>
      <c r="H8" s="16" t="n">
        <v>0.4591</v>
      </c>
    </row>
    <row r="9" customFormat="false" ht="15" hidden="false" customHeight="false" outlineLevel="0" collapsed="false">
      <c r="A9" s="14" t="n">
        <v>1934</v>
      </c>
      <c r="B9" s="15" t="str">
        <f aca="false">INT(A9/10)*10&amp;"s"</f>
        <v>1930s</v>
      </c>
      <c r="C9" s="16" t="n">
        <v>0.0769</v>
      </c>
      <c r="D9" s="16" t="n">
        <v>0.0608</v>
      </c>
      <c r="E9" s="15" t="str">
        <f aca="false">IF(C9&gt;=0,"Up","Down")</f>
        <v>Up</v>
      </c>
      <c r="F9" s="17" t="n">
        <f aca="false">F8*(1+C9)</f>
        <v>0.93944930814383</v>
      </c>
      <c r="G9" s="17" t="n">
        <f aca="false">G8*(1+D9)</f>
        <v>1.2410520708679</v>
      </c>
      <c r="H9" s="16" t="n">
        <v>0.0138</v>
      </c>
    </row>
    <row r="10" customFormat="false" ht="15" hidden="false" customHeight="false" outlineLevel="0" collapsed="false">
      <c r="A10" s="14" t="n">
        <v>1935</v>
      </c>
      <c r="B10" s="15" t="str">
        <f aca="false">INT(A10/10)*10&amp;"s"</f>
        <v>1930s</v>
      </c>
      <c r="C10" s="16" t="n">
        <v>0.4826</v>
      </c>
      <c r="D10" s="16" t="n">
        <v>0.4397</v>
      </c>
      <c r="E10" s="15" t="str">
        <f aca="false">IF(C10&gt;=0,"Up","Down")</f>
        <v>Up</v>
      </c>
      <c r="F10" s="17" t="n">
        <f aca="false">F9*(1+C10)</f>
        <v>1.39282754425404</v>
      </c>
      <c r="G10" s="17" t="n">
        <f aca="false">G9*(1+D10)</f>
        <v>1.78674266642852</v>
      </c>
      <c r="H10" s="16" t="n">
        <v>0.433</v>
      </c>
    </row>
    <row r="11" customFormat="false" ht="15" hidden="false" customHeight="false" outlineLevel="0" collapsed="false">
      <c r="A11" s="14" t="n">
        <v>1936</v>
      </c>
      <c r="B11" s="15" t="str">
        <f aca="false">INT(A11/10)*10&amp;"s"</f>
        <v>1930s</v>
      </c>
      <c r="C11" s="16" t="n">
        <v>0.3738</v>
      </c>
      <c r="D11" s="16" t="n">
        <v>0.3542</v>
      </c>
      <c r="E11" s="15" t="str">
        <f aca="false">IF(C11&gt;=0,"Up","Down")</f>
        <v>Up</v>
      </c>
      <c r="F11" s="17" t="n">
        <f aca="false">F10*(1+C11)</f>
        <v>1.9134664802962</v>
      </c>
      <c r="G11" s="17" t="n">
        <f aca="false">G10*(1+D11)</f>
        <v>2.4196069188775</v>
      </c>
      <c r="H11" s="16" t="n">
        <v>0.305</v>
      </c>
    </row>
    <row r="12" customFormat="false" ht="15" hidden="false" customHeight="false" outlineLevel="0" collapsed="false">
      <c r="A12" s="14" t="n">
        <v>1937</v>
      </c>
      <c r="B12" s="15" t="str">
        <f aca="false">INT(A12/10)*10&amp;"s"</f>
        <v>1930s</v>
      </c>
      <c r="C12" s="16" t="n">
        <v>-0.4112</v>
      </c>
      <c r="D12" s="16" t="n">
        <v>-0.4275</v>
      </c>
      <c r="E12" s="15" t="str">
        <f aca="false">IF(C12&gt;=0,"Up","Down")</f>
        <v>Down</v>
      </c>
      <c r="F12" s="17" t="n">
        <f aca="false">F11*(1+C12)</f>
        <v>1.1266490635984</v>
      </c>
      <c r="G12" s="17" t="n">
        <f aca="false">G11*(1+D12)</f>
        <v>1.38522496105737</v>
      </c>
      <c r="H12" s="16" t="n">
        <v>-0.3167</v>
      </c>
    </row>
    <row r="13" customFormat="false" ht="15" hidden="false" customHeight="false" outlineLevel="0" collapsed="false">
      <c r="A13" s="14" t="n">
        <v>1938</v>
      </c>
      <c r="B13" s="15" t="str">
        <f aca="false">INT(A13/10)*10&amp;"s"</f>
        <v>1930s</v>
      </c>
      <c r="C13" s="16" t="n">
        <v>0.3599</v>
      </c>
      <c r="D13" s="16" t="n">
        <v>0.3988</v>
      </c>
      <c r="E13" s="15" t="str">
        <f aca="false">IF(C13&gt;=0,"Up","Down")</f>
        <v>Up</v>
      </c>
      <c r="F13" s="17" t="n">
        <f aca="false">F12*(1+C13)</f>
        <v>1.53213006158747</v>
      </c>
      <c r="G13" s="17" t="n">
        <f aca="false">G12*(1+D13)</f>
        <v>1.93765267552705</v>
      </c>
      <c r="H13" s="16" t="n">
        <v>0.252</v>
      </c>
    </row>
    <row r="14" customFormat="false" ht="15" hidden="false" customHeight="false" outlineLevel="0" collapsed="false">
      <c r="A14" s="14" t="n">
        <v>1939</v>
      </c>
      <c r="B14" s="15" t="str">
        <f aca="false">INT(A14/10)*10&amp;"s"</f>
        <v>1930s</v>
      </c>
      <c r="C14" s="16" t="n">
        <v>-0.0379</v>
      </c>
      <c r="D14" s="16" t="n">
        <v>-0.0379</v>
      </c>
      <c r="E14" s="15" t="str">
        <f aca="false">IF(C14&gt;=0,"Up","Down")</f>
        <v>Down</v>
      </c>
      <c r="F14" s="17" t="n">
        <f aca="false">F13*(1+C14)</f>
        <v>1.47406233225331</v>
      </c>
      <c r="G14" s="17" t="n">
        <f aca="false">G13*(1+D14)</f>
        <v>1.86421563912457</v>
      </c>
      <c r="H14" s="16" t="n">
        <v>0.0535</v>
      </c>
    </row>
    <row r="15" customFormat="false" ht="15" hidden="false" customHeight="false" outlineLevel="0" collapsed="false">
      <c r="A15" s="14" t="n">
        <v>1940</v>
      </c>
      <c r="B15" s="15" t="str">
        <f aca="false">INT(A15/10)*10&amp;"s"</f>
        <v>1940s</v>
      </c>
      <c r="C15" s="16" t="n">
        <v>-0.0719</v>
      </c>
      <c r="D15" s="16" t="n">
        <v>-0.0784</v>
      </c>
      <c r="E15" s="15" t="str">
        <f aca="false">IF(C15&gt;=0,"Up","Down")</f>
        <v>Down</v>
      </c>
      <c r="F15" s="17" t="n">
        <f aca="false">F14*(1+C15)</f>
        <v>1.36807725056429</v>
      </c>
      <c r="G15" s="17" t="n">
        <f aca="false">G14*(1+D15)</f>
        <v>1.71806113301721</v>
      </c>
      <c r="H15" s="16" t="n">
        <v>-0.0716</v>
      </c>
    </row>
    <row r="16" customFormat="false" ht="15" hidden="false" customHeight="false" outlineLevel="0" collapsed="false">
      <c r="A16" s="14" t="n">
        <v>1941</v>
      </c>
      <c r="B16" s="15" t="str">
        <f aca="false">INT(A16/10)*10&amp;"s"</f>
        <v>1940s</v>
      </c>
      <c r="C16" s="16" t="n">
        <v>-0.0863</v>
      </c>
      <c r="D16" s="16" t="n">
        <v>-0.1688</v>
      </c>
      <c r="E16" s="15" t="str">
        <f aca="false">IF(C16&gt;=0,"Up","Down")</f>
        <v>Down</v>
      </c>
      <c r="F16" s="17" t="n">
        <f aca="false">F15*(1+C16)</f>
        <v>1.25001218384059</v>
      </c>
      <c r="G16" s="17" t="n">
        <f aca="false">G15*(1+D16)</f>
        <v>1.4280524137639</v>
      </c>
      <c r="H16" s="16" t="n">
        <v>-0.1129</v>
      </c>
    </row>
    <row r="17" customFormat="false" ht="15" hidden="false" customHeight="false" outlineLevel="0" collapsed="false">
      <c r="A17" s="14" t="n">
        <v>1942</v>
      </c>
      <c r="B17" s="15" t="str">
        <f aca="false">INT(A17/10)*10&amp;"s"</f>
        <v>1940s</v>
      </c>
      <c r="C17" s="16" t="n">
        <v>0.231</v>
      </c>
      <c r="D17" s="16" t="n">
        <v>0.129</v>
      </c>
      <c r="E17" s="15" t="str">
        <f aca="false">IF(C17&gt;=0,"Up","Down")</f>
        <v>Up</v>
      </c>
      <c r="F17" s="17" t="n">
        <f aca="false">F16*(1+C17)</f>
        <v>1.53876499830777</v>
      </c>
      <c r="G17" s="17" t="n">
        <f aca="false">G16*(1+D17)</f>
        <v>1.61227117513944</v>
      </c>
      <c r="H17" s="16" t="n">
        <v>0.1391</v>
      </c>
    </row>
    <row r="18" customFormat="false" ht="15" hidden="false" customHeight="false" outlineLevel="0" collapsed="false">
      <c r="A18" s="14" t="n">
        <v>1943</v>
      </c>
      <c r="B18" s="15" t="str">
        <f aca="false">INT(A18/10)*10&amp;"s"</f>
        <v>1940s</v>
      </c>
      <c r="C18" s="16" t="n">
        <v>0.4094</v>
      </c>
      <c r="D18" s="16" t="n">
        <v>0.3689</v>
      </c>
      <c r="E18" s="15" t="str">
        <f aca="false">IF(C18&gt;=0,"Up","Down")</f>
        <v>Up</v>
      </c>
      <c r="F18" s="17" t="n">
        <f aca="false">F17*(1+C18)</f>
        <v>2.16873538861497</v>
      </c>
      <c r="G18" s="17" t="n">
        <f aca="false">G17*(1+D18)</f>
        <v>2.20703801164839</v>
      </c>
      <c r="H18" s="16" t="n">
        <v>0.2303</v>
      </c>
    </row>
    <row r="19" customFormat="false" ht="15" hidden="false" customHeight="false" outlineLevel="0" collapsed="false">
      <c r="A19" s="14" t="n">
        <v>1944</v>
      </c>
      <c r="B19" s="15" t="str">
        <f aca="false">INT(A19/10)*10&amp;"s"</f>
        <v>1940s</v>
      </c>
      <c r="C19" s="16" t="n">
        <v>0.311</v>
      </c>
      <c r="D19" s="16" t="n">
        <v>0.2816</v>
      </c>
      <c r="E19" s="15" t="str">
        <f aca="false">IF(C19&gt;=0,"Up","Down")</f>
        <v>Up</v>
      </c>
      <c r="F19" s="17" t="n">
        <f aca="false">F18*(1+C19)</f>
        <v>2.84321209447423</v>
      </c>
      <c r="G19" s="17" t="n">
        <f aca="false">G18*(1+D19)</f>
        <v>2.82853991572857</v>
      </c>
      <c r="H19" s="16" t="n">
        <v>0.1682</v>
      </c>
    </row>
    <row r="20" customFormat="false" ht="15" hidden="false" customHeight="false" outlineLevel="0" collapsed="false">
      <c r="A20" s="14" t="n">
        <v>1945</v>
      </c>
      <c r="B20" s="15" t="str">
        <f aca="false">INT(A20/10)*10&amp;"s"</f>
        <v>1940s</v>
      </c>
      <c r="C20" s="16" t="n">
        <v>0.5472</v>
      </c>
      <c r="D20" s="16" t="n">
        <v>0.5132</v>
      </c>
      <c r="E20" s="15" t="str">
        <f aca="false">IF(C20&gt;=0,"Up","Down")</f>
        <v>Up</v>
      </c>
      <c r="F20" s="17" t="n">
        <f aca="false">F19*(1+C20)</f>
        <v>4.39901775257053</v>
      </c>
      <c r="G20" s="17" t="n">
        <f aca="false">G19*(1+D20)</f>
        <v>4.28014660048047</v>
      </c>
      <c r="H20" s="16" t="n">
        <v>0.3024</v>
      </c>
    </row>
    <row r="21" customFormat="false" ht="15" hidden="false" customHeight="false" outlineLevel="0" collapsed="false">
      <c r="A21" s="14" t="n">
        <v>1946</v>
      </c>
      <c r="B21" s="15" t="str">
        <f aca="false">INT(A21/10)*10&amp;"s"</f>
        <v>1940s</v>
      </c>
      <c r="C21" s="16" t="n">
        <v>-0.0801</v>
      </c>
      <c r="D21" s="16" t="n">
        <v>-0.2213</v>
      </c>
      <c r="E21" s="15" t="str">
        <f aca="false">IF(C21&gt;=0,"Up","Down")</f>
        <v>Down</v>
      </c>
      <c r="F21" s="17" t="n">
        <f aca="false">F20*(1+C21)</f>
        <v>4.04665643058963</v>
      </c>
      <c r="G21" s="17" t="n">
        <f aca="false">G20*(1+D21)</f>
        <v>3.33295015779414</v>
      </c>
      <c r="H21" s="16" t="n">
        <v>-0.0518</v>
      </c>
    </row>
    <row r="22" customFormat="false" ht="15" hidden="false" customHeight="false" outlineLevel="0" collapsed="false">
      <c r="A22" s="14" t="n">
        <v>1947</v>
      </c>
      <c r="B22" s="15" t="str">
        <f aca="false">INT(A22/10)*10&amp;"s"</f>
        <v>1940s</v>
      </c>
      <c r="C22" s="16" t="n">
        <v>0.0004</v>
      </c>
      <c r="D22" s="16" t="n">
        <v>-0.0808</v>
      </c>
      <c r="E22" s="15" t="str">
        <f aca="false">IF(C22&gt;=0,"Up","Down")</f>
        <v>Up</v>
      </c>
      <c r="F22" s="17" t="n">
        <f aca="false">F21*(1+C22)</f>
        <v>4.04827509316187</v>
      </c>
      <c r="G22" s="17" t="n">
        <f aca="false">G21*(1+D22)</f>
        <v>3.06364778504438</v>
      </c>
      <c r="H22" s="16" t="n">
        <v>0.0559</v>
      </c>
    </row>
    <row r="23" customFormat="false" ht="15" hidden="false" customHeight="false" outlineLevel="0" collapsed="false">
      <c r="A23" s="14" t="n">
        <v>1948</v>
      </c>
      <c r="B23" s="15" t="str">
        <f aca="false">INT(A23/10)*10&amp;"s"</f>
        <v>1940s</v>
      </c>
      <c r="C23" s="16" t="n">
        <v>-0.0028</v>
      </c>
      <c r="D23" s="16" t="n">
        <v>-0.0318</v>
      </c>
      <c r="E23" s="15" t="str">
        <f aca="false">IF(C23&gt;=0,"Up","Down")</f>
        <v>Down</v>
      </c>
      <c r="F23" s="17" t="n">
        <f aca="false">F22*(1+C23)</f>
        <v>4.03693992290101</v>
      </c>
      <c r="G23" s="17" t="n">
        <f aca="false">G22*(1+D23)</f>
        <v>2.96622378547997</v>
      </c>
      <c r="H23" s="16" t="n">
        <v>0.0307</v>
      </c>
    </row>
    <row r="24" customFormat="false" ht="15" hidden="false" customHeight="false" outlineLevel="0" collapsed="false">
      <c r="A24" s="14" t="n">
        <v>1949</v>
      </c>
      <c r="B24" s="15" t="str">
        <f aca="false">INT(A24/10)*10&amp;"s"</f>
        <v>1940s</v>
      </c>
      <c r="C24" s="16" t="n">
        <v>0.2305</v>
      </c>
      <c r="D24" s="16" t="n">
        <v>0.2566</v>
      </c>
      <c r="E24" s="15" t="str">
        <f aca="false">IF(C24&gt;=0,"Up","Down")</f>
        <v>Up</v>
      </c>
      <c r="F24" s="17" t="n">
        <f aca="false">F23*(1+C24)</f>
        <v>4.9674545751297</v>
      </c>
      <c r="G24" s="17" t="n">
        <f aca="false">G23*(1+D24)</f>
        <v>3.72735680883413</v>
      </c>
      <c r="H24" s="16" t="n">
        <v>0.1869</v>
      </c>
    </row>
    <row r="25" customFormat="false" ht="15" hidden="false" customHeight="false" outlineLevel="0" collapsed="false">
      <c r="A25" s="14" t="n">
        <v>1950</v>
      </c>
      <c r="B25" s="15" t="str">
        <f aca="false">INT(A25/10)*10&amp;"s"</f>
        <v>1950s</v>
      </c>
      <c r="C25" s="16" t="n">
        <v>0.3228</v>
      </c>
      <c r="D25" s="16" t="n">
        <v>0.2487</v>
      </c>
      <c r="E25" s="15" t="str">
        <f aca="false">IF(C25&gt;=0,"Up","Down")</f>
        <v>Up</v>
      </c>
      <c r="F25" s="17" t="n">
        <f aca="false">F24*(1+C25)</f>
        <v>6.57094891198156</v>
      </c>
      <c r="G25" s="17" t="n">
        <f aca="false">G24*(1+D25)</f>
        <v>4.65435044719117</v>
      </c>
      <c r="H25" s="16" t="n">
        <v>0.2915</v>
      </c>
    </row>
    <row r="26" customFormat="false" ht="15" hidden="false" customHeight="false" outlineLevel="0" collapsed="false">
      <c r="A26" s="14" t="n">
        <v>1951</v>
      </c>
      <c r="B26" s="15" t="str">
        <f aca="false">INT(A26/10)*10&amp;"s"</f>
        <v>1950s</v>
      </c>
      <c r="C26" s="16" t="n">
        <v>0.1845</v>
      </c>
      <c r="D26" s="16" t="n">
        <v>0.1174</v>
      </c>
      <c r="E26" s="15" t="str">
        <f aca="false">IF(C26&gt;=0,"Up","Down")</f>
        <v>Up</v>
      </c>
      <c r="F26" s="17" t="n">
        <f aca="false">F25*(1+C26)</f>
        <v>7.78328898624216</v>
      </c>
      <c r="G26" s="17" t="n">
        <f aca="false">G25*(1+D26)</f>
        <v>5.20077118969141</v>
      </c>
      <c r="H26" s="16" t="n">
        <v>0.2191</v>
      </c>
    </row>
    <row r="27" customFormat="false" ht="15" hidden="false" customHeight="false" outlineLevel="0" collapsed="false">
      <c r="A27" s="14" t="n">
        <v>1952</v>
      </c>
      <c r="B27" s="15" t="str">
        <f aca="false">INT(A27/10)*10&amp;"s"</f>
        <v>1950s</v>
      </c>
      <c r="C27" s="16" t="n">
        <v>0.1193</v>
      </c>
      <c r="D27" s="16" t="n">
        <v>0.1109</v>
      </c>
      <c r="E27" s="15" t="str">
        <f aca="false">IF(C27&gt;=0,"Up","Down")</f>
        <v>Up</v>
      </c>
      <c r="F27" s="17" t="n">
        <f aca="false">F26*(1+C27)</f>
        <v>8.71183536230085</v>
      </c>
      <c r="G27" s="17" t="n">
        <f aca="false">G26*(1+D27)</f>
        <v>5.77753671462819</v>
      </c>
      <c r="H27" s="16" t="n">
        <v>0.1439</v>
      </c>
    </row>
    <row r="28" customFormat="false" ht="15" hidden="false" customHeight="false" outlineLevel="0" collapsed="false">
      <c r="A28" s="14" t="n">
        <v>1953</v>
      </c>
      <c r="B28" s="15" t="str">
        <f aca="false">INT(A28/10)*10&amp;"s"</f>
        <v>1950s</v>
      </c>
      <c r="C28" s="16" t="n">
        <v>-0.0003</v>
      </c>
      <c r="D28" s="16" t="n">
        <v>-0.0077</v>
      </c>
      <c r="E28" s="15" t="str">
        <f aca="false">IF(C28&gt;=0,"Up","Down")</f>
        <v>Down</v>
      </c>
      <c r="F28" s="17" t="n">
        <f aca="false">F27*(1+C28)</f>
        <v>8.70922181169216</v>
      </c>
      <c r="G28" s="17" t="n">
        <f aca="false">G27*(1+D28)</f>
        <v>5.73304968192555</v>
      </c>
      <c r="H28" s="16" t="n">
        <v>0.0104</v>
      </c>
    </row>
    <row r="29" customFormat="false" ht="15" hidden="false" customHeight="false" outlineLevel="0" collapsed="false">
      <c r="A29" s="14" t="n">
        <v>1954</v>
      </c>
      <c r="B29" s="15" t="str">
        <f aca="false">INT(A29/10)*10&amp;"s"</f>
        <v>1950s</v>
      </c>
      <c r="C29" s="16" t="n">
        <v>0.5377</v>
      </c>
      <c r="D29" s="16" t="n">
        <v>0.5492</v>
      </c>
      <c r="E29" s="15" t="str">
        <f aca="false">IF(C29&gt;=0,"Up","Down")</f>
        <v>Up</v>
      </c>
      <c r="F29" s="17" t="n">
        <f aca="false">F28*(1+C29)</f>
        <v>13.392170379839</v>
      </c>
      <c r="G29" s="17" t="n">
        <f aca="false">G28*(1+D29)</f>
        <v>8.88164056723907</v>
      </c>
      <c r="H29" s="16" t="n">
        <v>0.4871</v>
      </c>
    </row>
    <row r="30" customFormat="false" ht="15" hidden="false" customHeight="false" outlineLevel="0" collapsed="false">
      <c r="A30" s="14" t="n">
        <v>1955</v>
      </c>
      <c r="B30" s="15" t="str">
        <f aca="false">INT(A30/10)*10&amp;"s"</f>
        <v>1950s</v>
      </c>
      <c r="C30" s="16" t="n">
        <v>0.1942</v>
      </c>
      <c r="D30" s="16" t="n">
        <v>0.1897</v>
      </c>
      <c r="E30" s="15" t="str">
        <f aca="false">IF(C30&gt;=0,"Up","Down")</f>
        <v>Up</v>
      </c>
      <c r="F30" s="17" t="n">
        <f aca="false">F29*(1+C30)</f>
        <v>15.9929298676038</v>
      </c>
      <c r="G30" s="17" t="n">
        <f aca="false">G29*(1+D30)</f>
        <v>10.5664877828443</v>
      </c>
      <c r="H30" s="16" t="n">
        <v>0.2875</v>
      </c>
    </row>
    <row r="31" customFormat="false" ht="15" hidden="false" customHeight="false" outlineLevel="0" collapsed="false">
      <c r="A31" s="14" t="n">
        <v>1956</v>
      </c>
      <c r="B31" s="15" t="str">
        <f aca="false">INT(A31/10)*10&amp;"s"</f>
        <v>1950s</v>
      </c>
      <c r="C31" s="16" t="n">
        <v>0.0921</v>
      </c>
      <c r="D31" s="16" t="n">
        <v>0.0604</v>
      </c>
      <c r="E31" s="15" t="str">
        <f aca="false">IF(C31&gt;=0,"Up","Down")</f>
        <v>Up</v>
      </c>
      <c r="F31" s="17" t="n">
        <f aca="false">F30*(1+C31)</f>
        <v>17.4658787084101</v>
      </c>
      <c r="G31" s="17" t="n">
        <f aca="false">G30*(1+D31)</f>
        <v>11.2047036449281</v>
      </c>
      <c r="H31" s="16" t="n">
        <v>0.0807</v>
      </c>
    </row>
    <row r="32" customFormat="false" ht="15" hidden="false" customHeight="false" outlineLevel="0" collapsed="false">
      <c r="A32" s="14" t="n">
        <v>1957</v>
      </c>
      <c r="B32" s="15" t="str">
        <f aca="false">INT(A32/10)*10&amp;"s"</f>
        <v>1950s</v>
      </c>
      <c r="C32" s="16" t="n">
        <v>-0.1182</v>
      </c>
      <c r="D32" s="16" t="n">
        <v>-0.1431</v>
      </c>
      <c r="E32" s="15" t="str">
        <f aca="false">IF(C32&gt;=0,"Up","Down")</f>
        <v>Down</v>
      </c>
      <c r="F32" s="17" t="n">
        <f aca="false">F31*(1+C32)</f>
        <v>15.401411845076</v>
      </c>
      <c r="G32" s="17" t="n">
        <f aca="false">G31*(1+D32)</f>
        <v>9.6013105533389</v>
      </c>
      <c r="H32" s="16" t="n">
        <v>-0.0922</v>
      </c>
    </row>
    <row r="33" customFormat="false" ht="15" hidden="false" customHeight="false" outlineLevel="0" collapsed="false">
      <c r="A33" s="14" t="n">
        <v>1958</v>
      </c>
      <c r="B33" s="15" t="str">
        <f aca="false">INT(A33/10)*10&amp;"s"</f>
        <v>1950s</v>
      </c>
      <c r="C33" s="16" t="n">
        <v>0.539</v>
      </c>
      <c r="D33" s="16" t="n">
        <v>0.5124</v>
      </c>
      <c r="E33" s="15" t="str">
        <f aca="false">IF(C33&gt;=0,"Up","Down")</f>
        <v>Up</v>
      </c>
      <c r="F33" s="17" t="n">
        <f aca="false">F32*(1+C33)</f>
        <v>23.702772829572</v>
      </c>
      <c r="G33" s="17" t="n">
        <f aca="false">G32*(1+D33)</f>
        <v>14.5210220808698</v>
      </c>
      <c r="H33" s="16" t="n">
        <v>0.4081</v>
      </c>
    </row>
    <row r="34" customFormat="false" ht="15" hidden="false" customHeight="false" outlineLevel="0" collapsed="false">
      <c r="A34" s="14" t="n">
        <v>1959</v>
      </c>
      <c r="B34" s="15" t="str">
        <f aca="false">INT(A34/10)*10&amp;"s"</f>
        <v>1950s</v>
      </c>
      <c r="C34" s="16" t="n">
        <v>0.1347</v>
      </c>
      <c r="D34" s="16" t="n">
        <v>0.1154</v>
      </c>
      <c r="E34" s="15" t="str">
        <f aca="false">IF(C34&gt;=0,"Up","Down")</f>
        <v>Up</v>
      </c>
      <c r="F34" s="17" t="n">
        <f aca="false">F33*(1+C34)</f>
        <v>26.8955363297153</v>
      </c>
      <c r="G34" s="17" t="n">
        <f aca="false">G33*(1+D34)</f>
        <v>16.1967480290021</v>
      </c>
      <c r="H34" s="16" t="n">
        <v>0.1254</v>
      </c>
    </row>
    <row r="35" customFormat="false" ht="15" hidden="false" customHeight="false" outlineLevel="0" collapsed="false">
      <c r="A35" s="14" t="n">
        <v>1960</v>
      </c>
      <c r="B35" s="15" t="str">
        <f aca="false">INT(A35/10)*10&amp;"s"</f>
        <v>1960s</v>
      </c>
      <c r="C35" s="16" t="n">
        <v>0.032</v>
      </c>
      <c r="D35" s="16" t="n">
        <v>0.0182</v>
      </c>
      <c r="E35" s="15" t="str">
        <f aca="false">IF(C35&gt;=0,"Up","Down")</f>
        <v>Up</v>
      </c>
      <c r="F35" s="17" t="n">
        <f aca="false">F34*(1+C35)</f>
        <v>27.7561934922662</v>
      </c>
      <c r="G35" s="17" t="n">
        <f aca="false">G34*(1+D35)</f>
        <v>16.49152884313</v>
      </c>
      <c r="H35" s="16" t="n">
        <v>-0.0007</v>
      </c>
    </row>
    <row r="36" customFormat="false" ht="15" hidden="false" customHeight="false" outlineLevel="0" collapsed="false">
      <c r="A36" s="14" t="n">
        <v>1961</v>
      </c>
      <c r="B36" s="15" t="str">
        <f aca="false">INT(A36/10)*10&amp;"s"</f>
        <v>1960s</v>
      </c>
      <c r="C36" s="16" t="n">
        <v>0.2787</v>
      </c>
      <c r="D36" s="16" t="n">
        <v>0.2702</v>
      </c>
      <c r="E36" s="15" t="str">
        <f aca="false">IF(C36&gt;=0,"Up","Down")</f>
        <v>Up</v>
      </c>
      <c r="F36" s="17" t="n">
        <f aca="false">F35*(1+C36)</f>
        <v>35.4918446185608</v>
      </c>
      <c r="G36" s="17" t="n">
        <f aca="false">G35*(1+D36)</f>
        <v>20.9475399365437</v>
      </c>
      <c r="H36" s="16" t="n">
        <v>0.265</v>
      </c>
    </row>
    <row r="37" customFormat="false" ht="15" hidden="false" customHeight="false" outlineLevel="0" collapsed="false">
      <c r="A37" s="14" t="n">
        <v>1962</v>
      </c>
      <c r="B37" s="15" t="str">
        <f aca="false">INT(A37/10)*10&amp;"s"</f>
        <v>1960s</v>
      </c>
      <c r="C37" s="16" t="n">
        <v>-0.1106</v>
      </c>
      <c r="D37" s="16" t="n">
        <v>-0.1223</v>
      </c>
      <c r="E37" s="15" t="str">
        <f aca="false">IF(C37&gt;=0,"Up","Down")</f>
        <v>Down</v>
      </c>
      <c r="F37" s="17" t="n">
        <f aca="false">F36*(1+C37)</f>
        <v>31.566446603748</v>
      </c>
      <c r="G37" s="17" t="n">
        <f aca="false">G36*(1+D37)</f>
        <v>18.3856558023044</v>
      </c>
      <c r="H37" s="16" t="n">
        <v>-0.0896</v>
      </c>
    </row>
    <row r="38" customFormat="false" ht="15" hidden="false" customHeight="false" outlineLevel="0" collapsed="false">
      <c r="A38" s="14" t="n">
        <v>1963</v>
      </c>
      <c r="B38" s="15" t="str">
        <f aca="false">INT(A38/10)*10&amp;"s"</f>
        <v>1960s</v>
      </c>
      <c r="C38" s="16" t="n">
        <v>0.185</v>
      </c>
      <c r="D38" s="16" t="n">
        <v>0.1658</v>
      </c>
      <c r="E38" s="15" t="str">
        <f aca="false">IF(C38&gt;=0,"Up","Down")</f>
        <v>Up</v>
      </c>
      <c r="F38" s="17" t="n">
        <f aca="false">F37*(1+C38)</f>
        <v>37.4062392254414</v>
      </c>
      <c r="G38" s="17" t="n">
        <f aca="false">G37*(1+D38)</f>
        <v>21.4339975343265</v>
      </c>
      <c r="H38" s="16" t="n">
        <v>0.2244</v>
      </c>
    </row>
    <row r="39" customFormat="false" ht="15" hidden="false" customHeight="false" outlineLevel="0" collapsed="false">
      <c r="A39" s="14" t="n">
        <v>1964</v>
      </c>
      <c r="B39" s="15" t="str">
        <f aca="false">INT(A39/10)*10&amp;"s"</f>
        <v>1960s</v>
      </c>
      <c r="C39" s="16" t="n">
        <v>0.1634</v>
      </c>
      <c r="D39" s="16" t="n">
        <v>0.1522</v>
      </c>
      <c r="E39" s="15" t="str">
        <f aca="false">IF(C39&gt;=0,"Up","Down")</f>
        <v>Up</v>
      </c>
      <c r="F39" s="17" t="n">
        <f aca="false">F38*(1+C39)</f>
        <v>43.5184187148785</v>
      </c>
      <c r="G39" s="17" t="n">
        <f aca="false">G38*(1+D39)</f>
        <v>24.6962519590509</v>
      </c>
      <c r="H39" s="16" t="n">
        <v>0.1601</v>
      </c>
    </row>
    <row r="40" customFormat="false" ht="15" hidden="false" customHeight="false" outlineLevel="0" collapsed="false">
      <c r="A40" s="14" t="n">
        <v>1965</v>
      </c>
      <c r="B40" s="15" t="str">
        <f aca="false">INT(A40/10)*10&amp;"s"</f>
        <v>1960s</v>
      </c>
      <c r="C40" s="16" t="n">
        <v>0.2598</v>
      </c>
      <c r="D40" s="16" t="n">
        <v>0.236</v>
      </c>
      <c r="E40" s="15" t="str">
        <f aca="false">IF(C40&gt;=0,"Up","Down")</f>
        <v>Up</v>
      </c>
      <c r="F40" s="17" t="n">
        <f aca="false">F39*(1+C40)</f>
        <v>54.8245038970039</v>
      </c>
      <c r="G40" s="17" t="n">
        <f aca="false">G39*(1+D40)</f>
        <v>30.524567421387</v>
      </c>
      <c r="H40" s="16" t="n">
        <v>0.0867</v>
      </c>
    </row>
    <row r="41" customFormat="false" ht="15" hidden="false" customHeight="false" outlineLevel="0" collapsed="false">
      <c r="A41" s="14" t="n">
        <v>1966</v>
      </c>
      <c r="B41" s="15" t="str">
        <f aca="false">INT(A41/10)*10&amp;"s"</f>
        <v>1960s</v>
      </c>
      <c r="C41" s="16" t="n">
        <v>-0.0494</v>
      </c>
      <c r="D41" s="16" t="n">
        <v>-0.0812</v>
      </c>
      <c r="E41" s="15" t="str">
        <f aca="false">IF(C41&gt;=0,"Up","Down")</f>
        <v>Down</v>
      </c>
      <c r="F41" s="17" t="n">
        <f aca="false">F40*(1+C41)</f>
        <v>52.1161734044919</v>
      </c>
      <c r="G41" s="17" t="n">
        <f aca="false">G40*(1+D41)</f>
        <v>28.0459725467704</v>
      </c>
      <c r="H41" s="16" t="n">
        <v>-0.1105</v>
      </c>
    </row>
    <row r="42" customFormat="false" ht="15" hidden="false" customHeight="false" outlineLevel="0" collapsed="false">
      <c r="A42" s="14" t="n">
        <v>1967</v>
      </c>
      <c r="B42" s="15" t="str">
        <f aca="false">INT(A42/10)*10&amp;"s"</f>
        <v>1960s</v>
      </c>
      <c r="C42" s="16" t="n">
        <v>0.3899</v>
      </c>
      <c r="D42" s="16" t="n">
        <v>0.3489</v>
      </c>
      <c r="E42" s="15" t="str">
        <f aca="false">IF(C42&gt;=0,"Up","Down")</f>
        <v>Up</v>
      </c>
      <c r="F42" s="17" t="n">
        <f aca="false">F41*(1+C42)</f>
        <v>72.4362694149033</v>
      </c>
      <c r="G42" s="17" t="n">
        <f aca="false">G41*(1+D42)</f>
        <v>37.8312123683385</v>
      </c>
      <c r="H42" s="16" t="n">
        <v>0.2184</v>
      </c>
    </row>
    <row r="43" customFormat="false" ht="15" hidden="false" customHeight="false" outlineLevel="0" collapsed="false">
      <c r="A43" s="14" t="n">
        <v>1968</v>
      </c>
      <c r="B43" s="15" t="str">
        <f aca="false">INT(A43/10)*10&amp;"s"</f>
        <v>1960s</v>
      </c>
      <c r="C43" s="16" t="n">
        <v>0.2383</v>
      </c>
      <c r="D43" s="16" t="n">
        <v>0.1825</v>
      </c>
      <c r="E43" s="15" t="str">
        <f aca="false">IF(C43&gt;=0,"Up","Down")</f>
        <v>Up</v>
      </c>
      <c r="F43" s="17" t="n">
        <f aca="false">F42*(1+C43)</f>
        <v>89.6978324164748</v>
      </c>
      <c r="G43" s="17" t="n">
        <f aca="false">G42*(1+D43)</f>
        <v>44.7354086255603</v>
      </c>
      <c r="H43" s="16" t="n">
        <v>0.0759</v>
      </c>
    </row>
    <row r="44" customFormat="false" ht="15" hidden="false" customHeight="false" outlineLevel="0" collapsed="false">
      <c r="A44" s="14" t="n">
        <v>1969</v>
      </c>
      <c r="B44" s="15" t="str">
        <f aca="false">INT(A44/10)*10&amp;"s"</f>
        <v>1960s</v>
      </c>
      <c r="C44" s="16" t="n">
        <v>-0.1697</v>
      </c>
      <c r="D44" s="16" t="n">
        <v>-0.2182</v>
      </c>
      <c r="E44" s="15" t="str">
        <f aca="false">IF(C44&gt;=0,"Up","Down")</f>
        <v>Down</v>
      </c>
      <c r="F44" s="17" t="n">
        <f aca="false">F43*(1+C44)</f>
        <v>74.476110255399</v>
      </c>
      <c r="G44" s="17" t="n">
        <f aca="false">G43*(1+D44)</f>
        <v>34.9741424634631</v>
      </c>
      <c r="H44" s="16" t="n">
        <v>-0.0569</v>
      </c>
    </row>
    <row r="45" customFormat="false" ht="15" hidden="false" customHeight="false" outlineLevel="0" collapsed="false">
      <c r="A45" s="14" t="n">
        <v>1970</v>
      </c>
      <c r="B45" s="15" t="str">
        <f aca="false">INT(A45/10)*10&amp;"s"</f>
        <v>1970s</v>
      </c>
      <c r="C45" s="16" t="n">
        <v>-0.0198</v>
      </c>
      <c r="D45" s="16" t="n">
        <v>-0.0716</v>
      </c>
      <c r="E45" s="15" t="str">
        <f aca="false">IF(C45&gt;=0,"Up","Down")</f>
        <v>Down</v>
      </c>
      <c r="F45" s="17" t="n">
        <f aca="false">F44*(1+C45)</f>
        <v>73.0014832723421</v>
      </c>
      <c r="G45" s="17" t="n">
        <f aca="false">G44*(1+D45)</f>
        <v>32.4699938630791</v>
      </c>
      <c r="H45" s="16" t="n">
        <v>0.0257</v>
      </c>
    </row>
    <row r="46" customFormat="false" ht="15" hidden="false" customHeight="false" outlineLevel="0" collapsed="false">
      <c r="A46" s="14" t="n">
        <v>1971</v>
      </c>
      <c r="B46" s="15" t="str">
        <f aca="false">INT(A46/10)*10&amp;"s"</f>
        <v>1970s</v>
      </c>
      <c r="C46" s="16" t="n">
        <v>0.1861</v>
      </c>
      <c r="D46" s="16" t="n">
        <v>0.1486</v>
      </c>
      <c r="E46" s="15" t="str">
        <f aca="false">IF(C46&gt;=0,"Up","Down")</f>
        <v>Up</v>
      </c>
      <c r="F46" s="17" t="n">
        <f aca="false">F45*(1+C46)</f>
        <v>86.587059309325</v>
      </c>
      <c r="G46" s="17" t="n">
        <f aca="false">G45*(1+D46)</f>
        <v>37.2950349511327</v>
      </c>
      <c r="H46" s="16" t="n">
        <v>0.1437</v>
      </c>
    </row>
    <row r="47" customFormat="false" ht="15" hidden="false" customHeight="false" outlineLevel="0" collapsed="false">
      <c r="A47" s="14" t="n">
        <v>1972</v>
      </c>
      <c r="B47" s="15" t="str">
        <f aca="false">INT(A47/10)*10&amp;"s"</f>
        <v>1970s</v>
      </c>
      <c r="C47" s="16" t="n">
        <v>0.0899</v>
      </c>
      <c r="D47" s="16" t="n">
        <v>0.054</v>
      </c>
      <c r="E47" s="15" t="str">
        <f aca="false">IF(C47&gt;=0,"Up","Down")</f>
        <v>Up</v>
      </c>
      <c r="F47" s="17" t="n">
        <f aca="false">F46*(1+C47)</f>
        <v>94.3712359412333</v>
      </c>
      <c r="G47" s="17" t="n">
        <f aca="false">G46*(1+D47)</f>
        <v>39.3089668384938</v>
      </c>
      <c r="H47" s="16" t="n">
        <v>0.2195</v>
      </c>
    </row>
    <row r="48" customFormat="false" ht="15" hidden="false" customHeight="false" outlineLevel="0" collapsed="false">
      <c r="A48" s="14" t="n">
        <v>1973</v>
      </c>
      <c r="B48" s="15" t="str">
        <f aca="false">INT(A48/10)*10&amp;"s"</f>
        <v>1970s</v>
      </c>
      <c r="C48" s="16" t="n">
        <v>-0.2627</v>
      </c>
      <c r="D48" s="16" t="n">
        <v>-0.3218</v>
      </c>
      <c r="E48" s="15" t="str">
        <f aca="false">IF(C48&gt;=0,"Up","Down")</f>
        <v>Down</v>
      </c>
      <c r="F48" s="17" t="n">
        <f aca="false">F47*(1+C48)</f>
        <v>69.5799122594713</v>
      </c>
      <c r="G48" s="17" t="n">
        <f aca="false">G47*(1+D48)</f>
        <v>26.6593413098665</v>
      </c>
      <c r="H48" s="16" t="n">
        <v>-0.133</v>
      </c>
    </row>
    <row r="49" customFormat="false" ht="15" hidden="false" customHeight="false" outlineLevel="0" collapsed="false">
      <c r="A49" s="14" t="n">
        <v>1974</v>
      </c>
      <c r="B49" s="15" t="str">
        <f aca="false">INT(A49/10)*10&amp;"s"</f>
        <v>1970s</v>
      </c>
      <c r="C49" s="16" t="n">
        <v>-0.2733</v>
      </c>
      <c r="D49" s="16" t="n">
        <v>-0.3531</v>
      </c>
      <c r="E49" s="15" t="str">
        <f aca="false">IF(C49&gt;=0,"Up","Down")</f>
        <v>Down</v>
      </c>
      <c r="F49" s="17" t="n">
        <f aca="false">F48*(1+C49)</f>
        <v>50.5637222389578</v>
      </c>
      <c r="G49" s="17" t="n">
        <f aca="false">G48*(1+D49)</f>
        <v>17.2459278933526</v>
      </c>
      <c r="H49" s="16" t="n">
        <v>-0.2797</v>
      </c>
    </row>
    <row r="50" customFormat="false" ht="15" hidden="false" customHeight="false" outlineLevel="0" collapsed="false">
      <c r="A50" s="14" t="n">
        <v>1975</v>
      </c>
      <c r="B50" s="15" t="str">
        <f aca="false">INT(A50/10)*10&amp;"s"</f>
        <v>1970s</v>
      </c>
      <c r="C50" s="16" t="n">
        <v>0.4707</v>
      </c>
      <c r="D50" s="16" t="n">
        <v>0.3753</v>
      </c>
      <c r="E50" s="15" t="str">
        <f aca="false">IF(C50&gt;=0,"Up","Down")</f>
        <v>Up</v>
      </c>
      <c r="F50" s="17" t="n">
        <f aca="false">F49*(1+C50)</f>
        <v>74.3640662968352</v>
      </c>
      <c r="G50" s="17" t="n">
        <f aca="false">G49*(1+D50)</f>
        <v>23.7183246317279</v>
      </c>
      <c r="H50" s="16" t="n">
        <v>0.3319</v>
      </c>
    </row>
    <row r="51" customFormat="false" ht="15" hidden="false" customHeight="false" outlineLevel="0" collapsed="false">
      <c r="A51" s="14" t="n">
        <v>1976</v>
      </c>
      <c r="B51" s="15" t="str">
        <f aca="false">INT(A51/10)*10&amp;"s"</f>
        <v>1970s</v>
      </c>
      <c r="C51" s="16" t="n">
        <v>0.3691</v>
      </c>
      <c r="D51" s="16" t="n">
        <v>0.3056</v>
      </c>
      <c r="E51" s="15" t="str">
        <f aca="false">IF(C51&gt;=0,"Up","Down")</f>
        <v>Up</v>
      </c>
      <c r="F51" s="17" t="n">
        <f aca="false">F50*(1+C51)</f>
        <v>101.811843166997</v>
      </c>
      <c r="G51" s="17" t="n">
        <f aca="false">G50*(1+D51)</f>
        <v>30.9666446391839</v>
      </c>
      <c r="H51" s="16" t="n">
        <v>0.2046</v>
      </c>
    </row>
    <row r="52" customFormat="false" ht="15" hidden="false" customHeight="false" outlineLevel="0" collapsed="false">
      <c r="A52" s="14" t="n">
        <v>1977</v>
      </c>
      <c r="B52" s="15" t="str">
        <f aca="false">INT(A52/10)*10&amp;"s"</f>
        <v>1970s</v>
      </c>
      <c r="C52" s="16" t="n">
        <v>0.0527</v>
      </c>
      <c r="D52" s="16" t="n">
        <v>-0.0134</v>
      </c>
      <c r="E52" s="15" t="str">
        <f aca="false">IF(C52&gt;=0,"Up","Down")</f>
        <v>Up</v>
      </c>
      <c r="F52" s="17" t="n">
        <f aca="false">F51*(1+C52)</f>
        <v>107.177327301898</v>
      </c>
      <c r="G52" s="17" t="n">
        <f aca="false">G51*(1+D52)</f>
        <v>30.5516916010189</v>
      </c>
      <c r="H52" s="16" t="n">
        <v>-0.0927</v>
      </c>
    </row>
    <row r="53" customFormat="false" ht="15" hidden="false" customHeight="false" outlineLevel="0" collapsed="false">
      <c r="A53" s="14" t="n">
        <v>1978</v>
      </c>
      <c r="B53" s="15" t="str">
        <f aca="false">INT(A53/10)*10&amp;"s"</f>
        <v>1970s</v>
      </c>
      <c r="C53" s="16" t="n">
        <v>0.1084</v>
      </c>
      <c r="D53" s="16" t="n">
        <v>0.0167</v>
      </c>
      <c r="E53" s="15" t="str">
        <f aca="false">IF(C53&gt;=0,"Up","Down")</f>
        <v>Up</v>
      </c>
      <c r="F53" s="17" t="n">
        <f aca="false">F52*(1+C53)</f>
        <v>118.795349581424</v>
      </c>
      <c r="G53" s="17" t="n">
        <f aca="false">G52*(1+D53)</f>
        <v>31.0619048507559</v>
      </c>
      <c r="H53" s="16" t="n">
        <v>0.0612</v>
      </c>
    </row>
    <row r="54" customFormat="false" ht="15" hidden="false" customHeight="false" outlineLevel="0" collapsed="false">
      <c r="A54" s="14" t="n">
        <v>1979</v>
      </c>
      <c r="B54" s="15" t="str">
        <f aca="false">INT(A54/10)*10&amp;"s"</f>
        <v>1970s</v>
      </c>
      <c r="C54" s="16" t="n">
        <v>0.3426</v>
      </c>
      <c r="D54" s="16" t="n">
        <v>0.1851</v>
      </c>
      <c r="E54" s="15" t="str">
        <f aca="false">IF(C54&gt;=0,"Up","Down")</f>
        <v>Up</v>
      </c>
      <c r="F54" s="17" t="n">
        <f aca="false">F53*(1+C54)</f>
        <v>159.494636348019</v>
      </c>
      <c r="G54" s="17" t="n">
        <f aca="false">G53*(1+D54)</f>
        <v>36.8114634386308</v>
      </c>
      <c r="H54" s="16" t="n">
        <v>0.1467</v>
      </c>
    </row>
    <row r="55" customFormat="false" ht="15" hidden="false" customHeight="false" outlineLevel="0" collapsed="false">
      <c r="A55" s="14" t="n">
        <v>1980</v>
      </c>
      <c r="B55" s="15" t="str">
        <f aca="false">INT(A55/10)*10&amp;"s"</f>
        <v>1980s</v>
      </c>
      <c r="C55" s="16" t="n">
        <v>0.3363</v>
      </c>
      <c r="D55" s="16" t="n">
        <v>0.1876</v>
      </c>
      <c r="E55" s="15" t="str">
        <f aca="false">IF(C55&gt;=0,"Up","Down")</f>
        <v>Up</v>
      </c>
      <c r="F55" s="17" t="n">
        <f aca="false">F54*(1+C55)</f>
        <v>213.132682551858</v>
      </c>
      <c r="G55" s="17" t="n">
        <f aca="false">G54*(1+D55)</f>
        <v>43.717293979718</v>
      </c>
      <c r="H55" s="16" t="n">
        <v>0.3314</v>
      </c>
    </row>
    <row r="56" customFormat="false" ht="15" hidden="false" customHeight="false" outlineLevel="0" collapsed="false">
      <c r="A56" s="14" t="n">
        <v>1981</v>
      </c>
      <c r="B56" s="15" t="str">
        <f aca="false">INT(A56/10)*10&amp;"s"</f>
        <v>1980s</v>
      </c>
      <c r="C56" s="16" t="n">
        <v>0.0144</v>
      </c>
      <c r="D56" s="16" t="n">
        <v>-0.0687</v>
      </c>
      <c r="E56" s="15" t="str">
        <f aca="false">IF(C56&gt;=0,"Up","Down")</f>
        <v>Up</v>
      </c>
      <c r="F56" s="17" t="n">
        <f aca="false">F55*(1+C56)</f>
        <v>216.201793180605</v>
      </c>
      <c r="G56" s="17" t="n">
        <f aca="false">G55*(1+D56)</f>
        <v>40.7139158833113</v>
      </c>
      <c r="H56" s="16" t="n">
        <v>-0.0762</v>
      </c>
    </row>
    <row r="57" customFormat="false" ht="15" hidden="false" customHeight="false" outlineLevel="0" collapsed="false">
      <c r="A57" s="14" t="n">
        <v>1982</v>
      </c>
      <c r="B57" s="15" t="str">
        <f aca="false">INT(A57/10)*10&amp;"s"</f>
        <v>1980s</v>
      </c>
      <c r="C57" s="16" t="n">
        <v>0.2377</v>
      </c>
      <c r="D57" s="16" t="n">
        <v>0.1921</v>
      </c>
      <c r="E57" s="15" t="str">
        <f aca="false">IF(C57&gt;=0,"Up","Down")</f>
        <v>Up</v>
      </c>
      <c r="F57" s="17" t="n">
        <f aca="false">F56*(1+C57)</f>
        <v>267.592959419635</v>
      </c>
      <c r="G57" s="17" t="n">
        <f aca="false">G56*(1+D57)</f>
        <v>48.5350591244954</v>
      </c>
      <c r="H57" s="16" t="n">
        <v>0.1934</v>
      </c>
    </row>
    <row r="58" customFormat="false" ht="15" hidden="false" customHeight="false" outlineLevel="0" collapsed="false">
      <c r="A58" s="14" t="n">
        <v>1983</v>
      </c>
      <c r="B58" s="15" t="str">
        <f aca="false">INT(A58/10)*10&amp;"s"</f>
        <v>1980s</v>
      </c>
      <c r="C58" s="16" t="n">
        <v>0.2512</v>
      </c>
      <c r="D58" s="16" t="n">
        <v>0.2055</v>
      </c>
      <c r="E58" s="15" t="str">
        <f aca="false">IF(C58&gt;=0,"Up","Down")</f>
        <v>Up</v>
      </c>
      <c r="F58" s="17" t="n">
        <f aca="false">F57*(1+C58)</f>
        <v>334.812310825847</v>
      </c>
      <c r="G58" s="17" t="n">
        <f aca="false">G57*(1+D58)</f>
        <v>58.5090137745792</v>
      </c>
      <c r="H58" s="16" t="n">
        <v>0.2023</v>
      </c>
    </row>
    <row r="59" customFormat="false" ht="15" hidden="false" customHeight="false" outlineLevel="0" collapsed="false">
      <c r="A59" s="14" t="n">
        <v>1984</v>
      </c>
      <c r="B59" s="15" t="str">
        <f aca="false">INT(A59/10)*10&amp;"s"</f>
        <v>1980s</v>
      </c>
      <c r="C59" s="16" t="n">
        <v>0.0028</v>
      </c>
      <c r="D59" s="16" t="n">
        <v>-0.0353</v>
      </c>
      <c r="E59" s="15" t="str">
        <f aca="false">IF(C59&gt;=0,"Up","Down")</f>
        <v>Up</v>
      </c>
      <c r="F59" s="17" t="n">
        <f aca="false">F58*(1+C59)</f>
        <v>335.749785296159</v>
      </c>
      <c r="G59" s="17" t="n">
        <f aca="false">G58*(1+D59)</f>
        <v>56.4436455883366</v>
      </c>
      <c r="H59" s="16" t="n">
        <v>0.0863</v>
      </c>
    </row>
    <row r="60" customFormat="false" ht="15" hidden="false" customHeight="false" outlineLevel="0" collapsed="false">
      <c r="A60" s="14" t="n">
        <v>1985</v>
      </c>
      <c r="B60" s="15" t="str">
        <f aca="false">INT(A60/10)*10&amp;"s"</f>
        <v>1980s</v>
      </c>
      <c r="C60" s="16" t="n">
        <v>0.3301</v>
      </c>
      <c r="D60" s="16" t="n">
        <v>0.2814</v>
      </c>
      <c r="E60" s="15" t="str">
        <f aca="false">IF(C60&gt;=0,"Up","Down")</f>
        <v>Up</v>
      </c>
      <c r="F60" s="17" t="n">
        <f aca="false">F59*(1+C60)</f>
        <v>446.580789422421</v>
      </c>
      <c r="G60" s="17" t="n">
        <f aca="false">G59*(1+D60)</f>
        <v>72.3268874568945</v>
      </c>
      <c r="H60" s="16" t="n">
        <v>0.3223</v>
      </c>
    </row>
    <row r="61" customFormat="false" ht="15" hidden="false" customHeight="false" outlineLevel="0" collapsed="false">
      <c r="A61" s="14" t="n">
        <v>1986</v>
      </c>
      <c r="B61" s="15" t="str">
        <f aca="false">INT(A61/10)*10&amp;"s"</f>
        <v>1980s</v>
      </c>
      <c r="C61" s="16" t="n">
        <v>0.145</v>
      </c>
      <c r="D61" s="16" t="n">
        <v>0.1326</v>
      </c>
      <c r="E61" s="15" t="str">
        <f aca="false">IF(C61&gt;=0,"Up","Down")</f>
        <v>Up</v>
      </c>
      <c r="F61" s="17" t="n">
        <f aca="false">F60*(1+C61)</f>
        <v>511.335003888673</v>
      </c>
      <c r="G61" s="17" t="n">
        <f aca="false">G60*(1+D61)</f>
        <v>81.9174327336787</v>
      </c>
      <c r="H61" s="16" t="n">
        <v>0.1847</v>
      </c>
    </row>
    <row r="62" customFormat="false" ht="15" hidden="false" customHeight="false" outlineLevel="0" collapsed="false">
      <c r="A62" s="14" t="n">
        <v>1987</v>
      </c>
      <c r="B62" s="15" t="str">
        <f aca="false">INT(A62/10)*10&amp;"s"</f>
        <v>1980s</v>
      </c>
      <c r="C62" s="16" t="n">
        <v>-0.0145</v>
      </c>
      <c r="D62" s="16" t="n">
        <v>-0.0563</v>
      </c>
      <c r="E62" s="15" t="str">
        <f aca="false">IF(C62&gt;=0,"Up","Down")</f>
        <v>Down</v>
      </c>
      <c r="F62" s="17" t="n">
        <f aca="false">F61*(1+C62)</f>
        <v>503.920646332287</v>
      </c>
      <c r="G62" s="17" t="n">
        <f aca="false">G61*(1+D62)</f>
        <v>77.3054812707726</v>
      </c>
      <c r="H62" s="16" t="n">
        <v>0.0506</v>
      </c>
    </row>
    <row r="63" customFormat="false" ht="15" hidden="false" customHeight="false" outlineLevel="0" collapsed="false">
      <c r="A63" s="14" t="n">
        <v>1988</v>
      </c>
      <c r="B63" s="15" t="str">
        <f aca="false">INT(A63/10)*10&amp;"s"</f>
        <v>1980s</v>
      </c>
      <c r="C63" s="16" t="n">
        <v>0.1949</v>
      </c>
      <c r="D63" s="16" t="n">
        <v>0.1443</v>
      </c>
      <c r="E63" s="15" t="str">
        <f aca="false">IF(C63&gt;=0,"Up","Down")</f>
        <v>Up</v>
      </c>
      <c r="F63" s="17" t="n">
        <f aca="false">F62*(1+C63)</f>
        <v>602.13478030245</v>
      </c>
      <c r="G63" s="17" t="n">
        <f aca="false">G62*(1+D63)</f>
        <v>88.4606622181451</v>
      </c>
      <c r="H63" s="16" t="n">
        <v>0.1638</v>
      </c>
    </row>
    <row r="64" customFormat="false" ht="15" hidden="false" customHeight="false" outlineLevel="0" collapsed="false">
      <c r="A64" s="14" t="n">
        <v>1989</v>
      </c>
      <c r="B64" s="15" t="str">
        <f aca="false">INT(A64/10)*10&amp;"s"</f>
        <v>1980s</v>
      </c>
      <c r="C64" s="16" t="n">
        <v>0.2439</v>
      </c>
      <c r="D64" s="16" t="n">
        <v>0.1886</v>
      </c>
      <c r="E64" s="15" t="str">
        <f aca="false">IF(C64&gt;=0,"Up","Down")</f>
        <v>Up</v>
      </c>
      <c r="F64" s="17" t="n">
        <f aca="false">F63*(1+C64)</f>
        <v>748.995453218217</v>
      </c>
      <c r="G64" s="17" t="n">
        <f aca="false">G63*(1+D64)</f>
        <v>105.144343112487</v>
      </c>
      <c r="H64" s="16" t="n">
        <v>0.3287</v>
      </c>
    </row>
    <row r="65" customFormat="false" ht="15" hidden="false" customHeight="false" outlineLevel="0" collapsed="false">
      <c r="A65" s="14" t="n">
        <v>1990</v>
      </c>
      <c r="B65" s="15" t="str">
        <f aca="false">INT(A65/10)*10&amp;"s"</f>
        <v>1990s</v>
      </c>
      <c r="C65" s="16" t="n">
        <v>-0.1259</v>
      </c>
      <c r="D65" s="16" t="n">
        <v>-0.1762</v>
      </c>
      <c r="E65" s="15" t="str">
        <f aca="false">IF(C65&gt;=0,"Up","Down")</f>
        <v>Down</v>
      </c>
      <c r="F65" s="17" t="n">
        <f aca="false">F64*(1+C65)</f>
        <v>654.696925658044</v>
      </c>
      <c r="G65" s="17" t="n">
        <f aca="false">G64*(1+D65)</f>
        <v>86.617909856067</v>
      </c>
      <c r="H65" s="16" t="n">
        <v>-0.0056</v>
      </c>
    </row>
    <row r="66" customFormat="false" ht="15" hidden="false" customHeight="false" outlineLevel="0" collapsed="false">
      <c r="A66" s="14" t="n">
        <v>1991</v>
      </c>
      <c r="B66" s="15" t="str">
        <f aca="false">INT(A66/10)*10&amp;"s"</f>
        <v>1990s</v>
      </c>
      <c r="C66" s="16" t="n">
        <v>0.4168</v>
      </c>
      <c r="D66" s="16" t="n">
        <v>0.3747</v>
      </c>
      <c r="E66" s="15" t="str">
        <f aca="false">IF(C66&gt;=0,"Up","Down")</f>
        <v>Up</v>
      </c>
      <c r="F66" s="17" t="n">
        <f aca="false">F65*(1+C66)</f>
        <v>927.574604272316</v>
      </c>
      <c r="G66" s="17" t="n">
        <f aca="false">G65*(1+D66)</f>
        <v>119.073640679135</v>
      </c>
      <c r="H66" s="16" t="n">
        <v>0.2986</v>
      </c>
    </row>
    <row r="67" customFormat="false" ht="15" hidden="false" customHeight="false" outlineLevel="0" collapsed="false">
      <c r="A67" s="14" t="n">
        <v>1992</v>
      </c>
      <c r="B67" s="15" t="str">
        <f aca="false">INT(A67/10)*10&amp;"s"</f>
        <v>1990s</v>
      </c>
      <c r="C67" s="16" t="n">
        <v>0.1596</v>
      </c>
      <c r="D67" s="16" t="n">
        <v>0.1269</v>
      </c>
      <c r="E67" s="15" t="str">
        <f aca="false">IF(C67&gt;=0,"Up","Down")</f>
        <v>Up</v>
      </c>
      <c r="F67" s="17" t="n">
        <f aca="false">F66*(1+C67)</f>
        <v>1075.61551111418</v>
      </c>
      <c r="G67" s="17" t="n">
        <f aca="false">G66*(1+D67)</f>
        <v>134.184085681318</v>
      </c>
      <c r="H67" s="16" t="n">
        <v>0.0531</v>
      </c>
    </row>
    <row r="68" customFormat="false" ht="15" hidden="false" customHeight="false" outlineLevel="0" collapsed="false">
      <c r="A68" s="14" t="n">
        <v>1993</v>
      </c>
      <c r="B68" s="15" t="str">
        <f aca="false">INT(A68/10)*10&amp;"s"</f>
        <v>1990s</v>
      </c>
      <c r="C68" s="16" t="n">
        <v>0.1562</v>
      </c>
      <c r="D68" s="16" t="n">
        <v>0.1252</v>
      </c>
      <c r="E68" s="15" t="str">
        <f aca="false">IF(C68&gt;=0,"Up","Down")</f>
        <v>Up</v>
      </c>
      <c r="F68" s="17" t="n">
        <f aca="false">F67*(1+C68)</f>
        <v>1243.62665395021</v>
      </c>
      <c r="G68" s="17" t="n">
        <f aca="false">G67*(1+D68)</f>
        <v>150.983933208619</v>
      </c>
      <c r="H68" s="16" t="n">
        <v>0.0718</v>
      </c>
    </row>
    <row r="69" customFormat="false" ht="15" hidden="false" customHeight="false" outlineLevel="0" collapsed="false">
      <c r="A69" s="14" t="n">
        <v>1994</v>
      </c>
      <c r="B69" s="15" t="str">
        <f aca="false">INT(A69/10)*10&amp;"s"</f>
        <v>1990s</v>
      </c>
      <c r="C69" s="16" t="n">
        <v>-0.0205</v>
      </c>
      <c r="D69" s="16" t="n">
        <v>-0.046</v>
      </c>
      <c r="E69" s="15" t="str">
        <f aca="false">IF(C69&gt;=0,"Up","Down")</f>
        <v>Down</v>
      </c>
      <c r="F69" s="17" t="n">
        <f aca="false">F68*(1+C69)</f>
        <v>1218.13230754423</v>
      </c>
      <c r="G69" s="17" t="n">
        <f aca="false">G68*(1+D69)</f>
        <v>144.038672281022</v>
      </c>
      <c r="H69" s="16" t="n">
        <v>0.0206</v>
      </c>
    </row>
    <row r="70" customFormat="false" ht="15" hidden="false" customHeight="false" outlineLevel="0" collapsed="false">
      <c r="A70" s="14" t="n">
        <v>1995</v>
      </c>
      <c r="B70" s="15" t="str">
        <f aca="false">INT(A70/10)*10&amp;"s"</f>
        <v>1990s</v>
      </c>
      <c r="C70" s="16" t="n">
        <v>0.3345</v>
      </c>
      <c r="D70" s="16" t="n">
        <v>0.3015</v>
      </c>
      <c r="E70" s="15" t="str">
        <f aca="false">IF(C70&gt;=0,"Up","Down")</f>
        <v>Up</v>
      </c>
      <c r="F70" s="17" t="n">
        <f aca="false">F69*(1+C70)</f>
        <v>1625.59756441778</v>
      </c>
      <c r="G70" s="17" t="n">
        <f aca="false">G69*(1+D70)</f>
        <v>187.46633197375</v>
      </c>
      <c r="H70" s="16" t="n">
        <v>0.3971</v>
      </c>
    </row>
    <row r="71" customFormat="false" ht="15" hidden="false" customHeight="false" outlineLevel="0" collapsed="false">
      <c r="A71" s="14" t="n">
        <v>1996</v>
      </c>
      <c r="B71" s="15" t="str">
        <f aca="false">INT(A71/10)*10&amp;"s"</f>
        <v>1990s</v>
      </c>
      <c r="C71" s="16" t="n">
        <v>0.1738</v>
      </c>
      <c r="D71" s="16" t="n">
        <v>0.1361</v>
      </c>
      <c r="E71" s="15" t="str">
        <f aca="false">IF(C71&gt;=0,"Up","Down")</f>
        <v>Up</v>
      </c>
      <c r="F71" s="17" t="n">
        <f aca="false">F70*(1+C71)</f>
        <v>1908.12642111359</v>
      </c>
      <c r="G71" s="17" t="n">
        <f aca="false">G70*(1+D71)</f>
        <v>212.980499755378</v>
      </c>
      <c r="H71" s="16" t="n">
        <v>0.2447</v>
      </c>
    </row>
    <row r="72" customFormat="false" ht="15" hidden="false" customHeight="false" outlineLevel="0" collapsed="false">
      <c r="A72" s="14" t="n">
        <v>1997</v>
      </c>
      <c r="B72" s="15" t="str">
        <f aca="false">INT(A72/10)*10&amp;"s"</f>
        <v>1990s</v>
      </c>
      <c r="C72" s="16" t="n">
        <v>0.2674</v>
      </c>
      <c r="D72" s="16" t="n">
        <v>0.2462</v>
      </c>
      <c r="E72" s="15" t="str">
        <f aca="false">IF(C72&gt;=0,"Up","Down")</f>
        <v>Up</v>
      </c>
      <c r="F72" s="17" t="n">
        <f aca="false">F71*(1+C72)</f>
        <v>2418.35942611936</v>
      </c>
      <c r="G72" s="17" t="n">
        <f aca="false">G71*(1+D72)</f>
        <v>265.416298795152</v>
      </c>
      <c r="H72" s="16" t="n">
        <v>0.3501</v>
      </c>
    </row>
    <row r="73" customFormat="false" ht="15" hidden="false" customHeight="false" outlineLevel="0" collapsed="false">
      <c r="A73" s="14" t="n">
        <v>1998</v>
      </c>
      <c r="B73" s="15" t="str">
        <f aca="false">INT(A73/10)*10&amp;"s"</f>
        <v>1990s</v>
      </c>
      <c r="C73" s="16" t="n">
        <v>0.0667</v>
      </c>
      <c r="D73" s="16" t="n">
        <v>0.0498</v>
      </c>
      <c r="E73" s="15" t="str">
        <f aca="false">IF(C73&gt;=0,"Up","Down")</f>
        <v>Up</v>
      </c>
      <c r="F73" s="17" t="n">
        <f aca="false">F72*(1+C73)</f>
        <v>2579.66399984152</v>
      </c>
      <c r="G73" s="17" t="n">
        <f aca="false">G72*(1+D73)</f>
        <v>278.63403047515</v>
      </c>
      <c r="H73" s="16" t="n">
        <v>0.3563</v>
      </c>
    </row>
    <row r="74" customFormat="false" ht="15" hidden="false" customHeight="false" outlineLevel="0" collapsed="false">
      <c r="A74" s="14" t="n">
        <v>1999</v>
      </c>
      <c r="B74" s="15" t="str">
        <f aca="false">INT(A74/10)*10&amp;"s"</f>
        <v>1990s</v>
      </c>
      <c r="C74" s="16" t="n">
        <v>0.2534</v>
      </c>
      <c r="D74" s="16" t="n">
        <v>0.2207</v>
      </c>
      <c r="E74" s="15" t="str">
        <f aca="false">IF(C74&gt;=0,"Up","Down")</f>
        <v>Up</v>
      </c>
      <c r="F74" s="17" t="n">
        <f aca="false">F73*(1+C74)</f>
        <v>3233.35085740137</v>
      </c>
      <c r="G74" s="17" t="n">
        <f aca="false">G73*(1+D74)</f>
        <v>340.128561001016</v>
      </c>
      <c r="H74" s="16" t="n">
        <v>0.221</v>
      </c>
    </row>
    <row r="75" customFormat="false" ht="15" hidden="false" customHeight="false" outlineLevel="0" collapsed="false">
      <c r="A75" s="14" t="n">
        <v>2000</v>
      </c>
      <c r="B75" s="15" t="str">
        <f aca="false">INT(A75/10)*10&amp;"s"</f>
        <v>2000s</v>
      </c>
      <c r="C75" s="16" t="n">
        <v>0.016</v>
      </c>
      <c r="D75" s="16" t="n">
        <v>-0.0173</v>
      </c>
      <c r="E75" s="15" t="str">
        <f aca="false">IF(C75&gt;=0,"Up","Down")</f>
        <v>Up</v>
      </c>
      <c r="F75" s="17" t="n">
        <f aca="false">F74*(1+C75)</f>
        <v>3285.08447111979</v>
      </c>
      <c r="G75" s="17" t="n">
        <f aca="false">G74*(1+D75)</f>
        <v>334.244336895698</v>
      </c>
      <c r="H75" s="16" t="n">
        <v>-0.1331</v>
      </c>
    </row>
    <row r="76" customFormat="false" ht="15" hidden="false" customHeight="false" outlineLevel="0" collapsed="false">
      <c r="A76" s="14" t="n">
        <v>2001</v>
      </c>
      <c r="B76" s="15" t="str">
        <f aca="false">INT(A76/10)*10&amp;"s"</f>
        <v>2000s</v>
      </c>
      <c r="C76" s="16" t="n">
        <v>-0.0087</v>
      </c>
      <c r="D76" s="16" t="n">
        <v>-0.0238</v>
      </c>
      <c r="E76" s="15" t="str">
        <f aca="false">IF(C76&gt;=0,"Up","Down")</f>
        <v>Down</v>
      </c>
      <c r="F76" s="17" t="n">
        <f aca="false">F75*(1+C76)</f>
        <v>3256.50423622105</v>
      </c>
      <c r="G76" s="17" t="n">
        <f aca="false">G75*(1+D76)</f>
        <v>326.289321677581</v>
      </c>
      <c r="H76" s="16" t="n">
        <v>-0.1459</v>
      </c>
    </row>
    <row r="77" customFormat="false" ht="15" hidden="false" customHeight="false" outlineLevel="0" collapsed="false">
      <c r="A77" s="14" t="n">
        <v>2002</v>
      </c>
      <c r="B77" s="15" t="str">
        <f aca="false">INT(A77/10)*10&amp;"s"</f>
        <v>2000s</v>
      </c>
      <c r="C77" s="16" t="n">
        <v>-0.1722</v>
      </c>
      <c r="D77" s="16" t="n">
        <v>-0.1914</v>
      </c>
      <c r="E77" s="15" t="str">
        <f aca="false">IF(C77&gt;=0,"Up","Down")</f>
        <v>Down</v>
      </c>
      <c r="F77" s="17" t="n">
        <f aca="false">F76*(1+C77)</f>
        <v>2695.73420674378</v>
      </c>
      <c r="G77" s="17" t="n">
        <f aca="false">G76*(1+D77)</f>
        <v>263.837545508492</v>
      </c>
      <c r="H77" s="16" t="n">
        <v>-0.2281</v>
      </c>
    </row>
    <row r="78" customFormat="false" ht="15" hidden="false" customHeight="false" outlineLevel="0" collapsed="false">
      <c r="A78" s="14" t="n">
        <v>2003</v>
      </c>
      <c r="B78" s="15" t="str">
        <f aca="false">INT(A78/10)*10&amp;"s"</f>
        <v>2000s</v>
      </c>
      <c r="C78" s="16" t="n">
        <v>0.4272</v>
      </c>
      <c r="D78" s="16" t="n">
        <v>0.4009</v>
      </c>
      <c r="E78" s="15" t="str">
        <f aca="false">IF(C78&gt;=0,"Up","Down")</f>
        <v>Up</v>
      </c>
      <c r="F78" s="17" t="n">
        <f aca="false">F77*(1+C78)</f>
        <v>3847.35185986473</v>
      </c>
      <c r="G78" s="17" t="n">
        <f aca="false">G77*(1+D78)</f>
        <v>369.610017502846</v>
      </c>
      <c r="H78" s="16" t="n">
        <v>0.2553</v>
      </c>
    </row>
    <row r="79" customFormat="false" ht="15" hidden="false" customHeight="false" outlineLevel="0" collapsed="false">
      <c r="A79" s="14" t="n">
        <v>2004</v>
      </c>
      <c r="B79" s="15" t="str">
        <f aca="false">INT(A79/10)*10&amp;"s"</f>
        <v>2000s</v>
      </c>
      <c r="C79" s="16" t="n">
        <v>0.1935</v>
      </c>
      <c r="D79" s="16" t="n">
        <v>0.1558</v>
      </c>
      <c r="E79" s="15" t="str">
        <f aca="false">IF(C79&gt;=0,"Up","Down")</f>
        <v>Up</v>
      </c>
      <c r="F79" s="17" t="n">
        <f aca="false">F78*(1+C79)</f>
        <v>4591.81444474855</v>
      </c>
      <c r="G79" s="17" t="n">
        <f aca="false">G78*(1+D79)</f>
        <v>427.19525822979</v>
      </c>
      <c r="H79" s="16" t="n">
        <v>0.0758</v>
      </c>
    </row>
    <row r="80" customFormat="false" ht="15" hidden="false" customHeight="false" outlineLevel="0" collapsed="false">
      <c r="A80" s="14" t="n">
        <v>2005</v>
      </c>
      <c r="B80" s="15" t="str">
        <f aca="false">INT(A80/10)*10&amp;"s"</f>
        <v>2000s</v>
      </c>
      <c r="C80" s="16" t="n">
        <v>0.1073</v>
      </c>
      <c r="D80" s="16" t="n">
        <v>0.0707</v>
      </c>
      <c r="E80" s="15" t="str">
        <f aca="false">IF(C80&gt;=0,"Up","Down")</f>
        <v>Up</v>
      </c>
      <c r="F80" s="17" t="n">
        <f aca="false">F79*(1+C80)</f>
        <v>5084.51613467007</v>
      </c>
      <c r="G80" s="17" t="n">
        <f aca="false">G79*(1+D80)</f>
        <v>457.397962986636</v>
      </c>
      <c r="H80" s="16" t="n">
        <v>0.0335</v>
      </c>
    </row>
    <row r="81" customFormat="false" ht="15" hidden="false" customHeight="false" outlineLevel="0" collapsed="false">
      <c r="A81" s="14" t="n">
        <v>2006</v>
      </c>
      <c r="B81" s="15" t="str">
        <f aca="false">INT(A81/10)*10&amp;"s"</f>
        <v>2000s</v>
      </c>
      <c r="C81" s="16" t="n">
        <v>0.1493</v>
      </c>
      <c r="D81" s="16" t="n">
        <v>0.1208</v>
      </c>
      <c r="E81" s="15" t="str">
        <f aca="false">IF(C81&gt;=0,"Up","Down")</f>
        <v>Up</v>
      </c>
      <c r="F81" s="17" t="n">
        <f aca="false">F80*(1+C81)</f>
        <v>5843.63439357631</v>
      </c>
      <c r="G81" s="17" t="n">
        <f aca="false">G80*(1+D81)</f>
        <v>512.651636915421</v>
      </c>
      <c r="H81" s="16" t="n">
        <v>0.1586</v>
      </c>
    </row>
    <row r="82" customFormat="false" ht="15" hidden="false" customHeight="false" outlineLevel="0" collapsed="false">
      <c r="A82" s="14" t="n">
        <v>2007</v>
      </c>
      <c r="B82" s="15" t="str">
        <f aca="false">INT(A82/10)*10&amp;"s"</f>
        <v>2000s</v>
      </c>
      <c r="C82" s="16" t="n">
        <v>0.042</v>
      </c>
      <c r="D82" s="16" t="n">
        <v>0.0011</v>
      </c>
      <c r="E82" s="15" t="str">
        <f aca="false">IF(C82&gt;=0,"Up","Down")</f>
        <v>Up</v>
      </c>
      <c r="F82" s="17" t="n">
        <f aca="false">F81*(1+C82)</f>
        <v>6089.06703810652</v>
      </c>
      <c r="G82" s="17" t="n">
        <f aca="false">G81*(1+D82)</f>
        <v>513.215553716028</v>
      </c>
      <c r="H82" s="16" t="n">
        <v>0.066</v>
      </c>
    </row>
    <row r="83" customFormat="false" ht="15" hidden="false" customHeight="false" outlineLevel="0" collapsed="false">
      <c r="A83" s="14" t="n">
        <v>2008</v>
      </c>
      <c r="B83" s="15" t="str">
        <f aca="false">INT(A83/10)*10&amp;"s"</f>
        <v>2000s</v>
      </c>
      <c r="C83" s="16" t="n">
        <v>-0.3871</v>
      </c>
      <c r="D83" s="16" t="n">
        <v>-0.3876</v>
      </c>
      <c r="E83" s="15" t="str">
        <f aca="false">IF(C83&gt;=0,"Up","Down")</f>
        <v>Down</v>
      </c>
      <c r="F83" s="17" t="n">
        <f aca="false">F82*(1+C83)</f>
        <v>3731.98918765548</v>
      </c>
      <c r="G83" s="17" t="n">
        <f aca="false">G82*(1+D83)</f>
        <v>314.293205095696</v>
      </c>
      <c r="H83" s="16" t="n">
        <v>-0.3522</v>
      </c>
    </row>
    <row r="84" customFormat="false" ht="15" hidden="false" customHeight="false" outlineLevel="0" collapsed="false">
      <c r="A84" s="14" t="n">
        <v>2009</v>
      </c>
      <c r="B84" s="15" t="str">
        <f aca="false">INT(A84/10)*10&amp;"s"</f>
        <v>2000s</v>
      </c>
      <c r="C84" s="16" t="n">
        <v>0.3763</v>
      </c>
      <c r="D84" s="16" t="n">
        <v>0.3398</v>
      </c>
      <c r="E84" s="15" t="str">
        <f aca="false">IF(C84&gt;=0,"Up","Down")</f>
        <v>Up</v>
      </c>
      <c r="F84" s="17" t="n">
        <f aca="false">F83*(1+C84)</f>
        <v>5136.33671897024</v>
      </c>
      <c r="G84" s="17" t="n">
        <f aca="false">G83*(1+D84)</f>
        <v>421.090036187213</v>
      </c>
      <c r="H84" s="16" t="n">
        <v>0.2385</v>
      </c>
    </row>
    <row r="85" customFormat="false" ht="15" hidden="false" customHeight="false" outlineLevel="0" collapsed="false">
      <c r="A85" s="14" t="n">
        <v>2010</v>
      </c>
      <c r="B85" s="15" t="str">
        <f aca="false">INT(A85/10)*10&amp;"s"</f>
        <v>2010s</v>
      </c>
      <c r="C85" s="16" t="n">
        <v>0.2573</v>
      </c>
      <c r="D85" s="16" t="n">
        <v>0.2388</v>
      </c>
      <c r="E85" s="15" t="str">
        <f aca="false">IF(C85&gt;=0,"Up","Down")</f>
        <v>Up</v>
      </c>
      <c r="F85" s="17" t="n">
        <f aca="false">F84*(1+C85)</f>
        <v>6457.91615676129</v>
      </c>
      <c r="G85" s="17" t="n">
        <f aca="false">G84*(1+D85)</f>
        <v>521.64633682872</v>
      </c>
      <c r="H85" s="16" t="n">
        <v>0.1242</v>
      </c>
    </row>
    <row r="86" customFormat="false" ht="15" hidden="false" customHeight="false" outlineLevel="0" collapsed="false">
      <c r="A86" s="14" t="n">
        <v>2011</v>
      </c>
      <c r="B86" s="15" t="str">
        <f aca="false">INT(A86/10)*10&amp;"s"</f>
        <v>2010s</v>
      </c>
      <c r="C86" s="16" t="n">
        <v>-0.0202</v>
      </c>
      <c r="D86" s="16" t="n">
        <v>-0.0484</v>
      </c>
      <c r="E86" s="15" t="str">
        <f aca="false">IF(C86&gt;=0,"Up","Down")</f>
        <v>Down</v>
      </c>
      <c r="F86" s="17" t="n">
        <f aca="false">F85*(1+C86)</f>
        <v>6327.46625039471</v>
      </c>
      <c r="G86" s="17" t="n">
        <f aca="false">G85*(1+D86)</f>
        <v>496.39865412621</v>
      </c>
      <c r="H86" s="16" t="n">
        <v>0.029</v>
      </c>
    </row>
    <row r="87" customFormat="false" ht="15" hidden="false" customHeight="false" outlineLevel="0" collapsed="false">
      <c r="A87" s="14" t="n">
        <v>2012</v>
      </c>
      <c r="B87" s="15" t="str">
        <f aca="false">INT(A87/10)*10&amp;"s"</f>
        <v>2010s</v>
      </c>
      <c r="C87" s="16" t="n">
        <v>0.1678</v>
      </c>
      <c r="D87" s="16" t="n">
        <v>0.1478</v>
      </c>
      <c r="E87" s="15" t="str">
        <f aca="false">IF(C87&gt;=0,"Up","Down")</f>
        <v>Up</v>
      </c>
      <c r="F87" s="17" t="n">
        <f aca="false">F86*(1+C87)</f>
        <v>7389.21508721094</v>
      </c>
      <c r="G87" s="17" t="n">
        <f aca="false">G86*(1+D87)</f>
        <v>569.766375206063</v>
      </c>
      <c r="H87" s="16" t="n">
        <v>0.1616</v>
      </c>
    </row>
    <row r="88" customFormat="false" ht="15" hidden="false" customHeight="false" outlineLevel="0" collapsed="false">
      <c r="A88" s="14" t="n">
        <v>2013</v>
      </c>
      <c r="B88" s="15" t="str">
        <f aca="false">INT(A88/10)*10&amp;"s"</f>
        <v>2010s</v>
      </c>
      <c r="C88" s="16" t="n">
        <v>0.3926</v>
      </c>
      <c r="D88" s="16" t="n">
        <v>0.372</v>
      </c>
      <c r="E88" s="15" t="str">
        <f aca="false">IF(C88&gt;=0,"Up","Down")</f>
        <v>Up</v>
      </c>
      <c r="F88" s="17" t="n">
        <f aca="false">F87*(1+C88)</f>
        <v>10290.22093045</v>
      </c>
      <c r="G88" s="17" t="n">
        <f aca="false">G87*(1+D88)</f>
        <v>781.719466782719</v>
      </c>
      <c r="H88" s="16" t="n">
        <v>0.3255</v>
      </c>
    </row>
    <row r="89" customFormat="false" ht="15" hidden="false" customHeight="false" outlineLevel="0" collapsed="false">
      <c r="A89" s="14" t="n">
        <v>2014</v>
      </c>
      <c r="B89" s="15" t="str">
        <f aca="false">INT(A89/10)*10&amp;"s"</f>
        <v>2010s</v>
      </c>
      <c r="C89" s="16" t="n">
        <v>0.1083</v>
      </c>
      <c r="D89" s="16" t="n">
        <v>0.1</v>
      </c>
      <c r="E89" s="15" t="str">
        <f aca="false">IF(C89&gt;=0,"Up","Down")</f>
        <v>Up</v>
      </c>
      <c r="F89" s="17" t="n">
        <f aca="false">F88*(1+C89)</f>
        <v>11404.6518572177</v>
      </c>
      <c r="G89" s="17" t="n">
        <f aca="false">G88*(1+D89)</f>
        <v>859.891413460991</v>
      </c>
      <c r="H89" s="16" t="n">
        <v>0.1259</v>
      </c>
    </row>
    <row r="90" customFormat="false" ht="15" hidden="false" customHeight="false" outlineLevel="0" collapsed="false">
      <c r="A90" s="14" t="n">
        <v>2015</v>
      </c>
      <c r="B90" s="15" t="str">
        <f aca="false">INT(A90/10)*10&amp;"s"</f>
        <v>2010s</v>
      </c>
      <c r="C90" s="16" t="n">
        <v>-0.0312</v>
      </c>
      <c r="D90" s="16" t="n">
        <v>-0.0382</v>
      </c>
      <c r="E90" s="15" t="str">
        <f aca="false">IF(C90&gt;=0,"Up","Down")</f>
        <v>Down</v>
      </c>
      <c r="F90" s="17" t="n">
        <f aca="false">F89*(1+C90)</f>
        <v>11048.8267192725</v>
      </c>
      <c r="G90" s="17" t="n">
        <f aca="false">G89*(1+D90)</f>
        <v>827.043561466781</v>
      </c>
      <c r="H90" s="16" t="n">
        <v>0.0206</v>
      </c>
    </row>
    <row r="91" customFormat="false" ht="15" hidden="false" customHeight="false" outlineLevel="0" collapsed="false">
      <c r="A91" s="14" t="n">
        <v>2016</v>
      </c>
      <c r="B91" s="15" t="str">
        <f aca="false">INT(A91/10)*10&amp;"s"</f>
        <v>2010s</v>
      </c>
      <c r="C91" s="16" t="n">
        <v>0.1773</v>
      </c>
      <c r="D91" s="16" t="n">
        <v>0.1533</v>
      </c>
      <c r="E91" s="15" t="str">
        <f aca="false">IF(C91&gt;=0,"Up","Down")</f>
        <v>Up</v>
      </c>
      <c r="F91" s="17" t="n">
        <f aca="false">F90*(1+C91)</f>
        <v>13007.7836965995</v>
      </c>
      <c r="G91" s="17" t="n">
        <f aca="false">G90*(1+D91)</f>
        <v>953.829339439638</v>
      </c>
      <c r="H91" s="16" t="n">
        <v>0.1105</v>
      </c>
    </row>
    <row r="92" customFormat="false" ht="15" hidden="false" customHeight="false" outlineLevel="0" collapsed="false">
      <c r="A92" s="14" t="n">
        <v>2017</v>
      </c>
      <c r="B92" s="15" t="str">
        <f aca="false">INT(A92/10)*10&amp;"s"</f>
        <v>2010s</v>
      </c>
      <c r="C92" s="16" t="n">
        <v>0.2012</v>
      </c>
      <c r="D92" s="16" t="n">
        <v>0.1764</v>
      </c>
      <c r="E92" s="15" t="str">
        <f aca="false">IF(C92&gt;=0,"Up","Down")</f>
        <v>Up</v>
      </c>
      <c r="F92" s="17" t="n">
        <f aca="false">F91*(1+C92)</f>
        <v>15624.9497763553</v>
      </c>
      <c r="G92" s="17" t="n">
        <f aca="false">G91*(1+D92)</f>
        <v>1122.08483491679</v>
      </c>
      <c r="H92" s="16" t="n">
        <v>0.2363</v>
      </c>
    </row>
    <row r="93" customFormat="false" ht="15" hidden="false" customHeight="false" outlineLevel="0" collapsed="false">
      <c r="A93" s="14" t="n">
        <v>2018</v>
      </c>
      <c r="B93" s="15" t="str">
        <f aca="false">INT(A93/10)*10&amp;"s"</f>
        <v>2010s</v>
      </c>
      <c r="C93" s="16" t="n">
        <v>-0.0964</v>
      </c>
      <c r="D93" s="16" t="n">
        <v>-0.1133</v>
      </c>
      <c r="E93" s="15" t="str">
        <f aca="false">IF(C93&gt;=0,"Up","Down")</f>
        <v>Down</v>
      </c>
      <c r="F93" s="17" t="n">
        <f aca="false">F92*(1+C93)</f>
        <v>14118.7046179147</v>
      </c>
      <c r="G93" s="17" t="n">
        <f aca="false">G92*(1+D93)</f>
        <v>994.952623120718</v>
      </c>
      <c r="H93" s="16" t="n">
        <v>-0.0277</v>
      </c>
    </row>
    <row r="94" customFormat="false" ht="15" hidden="false" customHeight="false" outlineLevel="0" collapsed="false">
      <c r="A94" s="14" t="n">
        <v>2019</v>
      </c>
      <c r="B94" s="15" t="str">
        <f aca="false">INT(A94/10)*10&amp;"s"</f>
        <v>2010s</v>
      </c>
      <c r="C94" s="16" t="n">
        <v>0.2866</v>
      </c>
      <c r="D94" s="16" t="n">
        <v>0.2578</v>
      </c>
      <c r="E94" s="15" t="str">
        <f aca="false">IF(C94&gt;=0,"Up","Down")</f>
        <v>Up</v>
      </c>
      <c r="F94" s="17" t="n">
        <f aca="false">F93*(1+C94)</f>
        <v>18165.125361409</v>
      </c>
      <c r="G94" s="17" t="n">
        <f aca="false">G93*(1+D94)</f>
        <v>1251.45140936124</v>
      </c>
      <c r="H94" s="16" t="n">
        <v>0.3149</v>
      </c>
    </row>
    <row r="95" customFormat="false" ht="15" hidden="false" customHeight="false" outlineLevel="0" collapsed="false">
      <c r="A95" s="14" t="n">
        <v>2020</v>
      </c>
      <c r="B95" s="15" t="str">
        <f aca="false">INT(A95/10)*10&amp;"s"</f>
        <v>2020s</v>
      </c>
      <c r="C95" s="16" t="n">
        <v>0.2314</v>
      </c>
      <c r="D95" s="16" t="n">
        <v>0.2149</v>
      </c>
      <c r="E95" s="15" t="str">
        <f aca="false">IF(C95&gt;=0,"Up","Down")</f>
        <v>Up</v>
      </c>
      <c r="F95" s="17" t="n">
        <f aca="false">F94*(1+C95)</f>
        <v>22368.5353700391</v>
      </c>
      <c r="G95" s="17" t="n">
        <f aca="false">G94*(1+D95)</f>
        <v>1520.38831723297</v>
      </c>
      <c r="H95" s="16" t="n">
        <v>0.2375</v>
      </c>
    </row>
    <row r="96" customFormat="false" ht="15" hidden="false" customHeight="false" outlineLevel="0" collapsed="false">
      <c r="A96" s="14" t="n">
        <v>2021</v>
      </c>
      <c r="B96" s="15" t="str">
        <f aca="false">INT(A96/10)*10&amp;"s"</f>
        <v>2020s</v>
      </c>
      <c r="C96" s="16" t="n">
        <v>0.2075</v>
      </c>
      <c r="D96" s="16" t="n">
        <v>0.1281</v>
      </c>
      <c r="E96" s="15" t="str">
        <f aca="false">IF(C96&gt;=0,"Up","Down")</f>
        <v>Up</v>
      </c>
      <c r="F96" s="17" t="n">
        <f aca="false">F95*(1+C96)</f>
        <v>27010.0064593222</v>
      </c>
      <c r="G96" s="17" t="n">
        <f aca="false">G95*(1+D96)</f>
        <v>1715.15006067051</v>
      </c>
      <c r="H96" s="16" t="n">
        <v>0.2624</v>
      </c>
    </row>
    <row r="97" customFormat="false" ht="15" hidden="false" customHeight="false" outlineLevel="0" collapsed="false">
      <c r="A97" s="14" t="n">
        <v>2022</v>
      </c>
      <c r="B97" s="15" t="str">
        <f aca="false">INT(A97/10)*10&amp;"s"</f>
        <v>2020s</v>
      </c>
      <c r="C97" s="16" t="n">
        <v>-0.1615</v>
      </c>
      <c r="D97" s="16" t="n">
        <v>-0.2124</v>
      </c>
      <c r="E97" s="15" t="str">
        <f aca="false">IF(C97&gt;=0,"Up","Down")</f>
        <v>Down</v>
      </c>
      <c r="F97" s="17" t="n">
        <f aca="false">F96*(1+C97)</f>
        <v>22647.8904161416</v>
      </c>
      <c r="G97" s="17" t="n">
        <f aca="false">G96*(1+D97)</f>
        <v>1350.8521877841</v>
      </c>
      <c r="H97" s="16" t="n">
        <v>-0.2057</v>
      </c>
    </row>
    <row r="98" customFormat="false" ht="15" hidden="false" customHeight="false" outlineLevel="0" collapsed="false">
      <c r="A98" s="14" t="n">
        <v>2023</v>
      </c>
      <c r="B98" s="15" t="str">
        <f aca="false">INT(A98/10)*10&amp;"s"</f>
        <v>2020s</v>
      </c>
      <c r="C98" s="16" t="n">
        <v>0.1671</v>
      </c>
      <c r="D98" s="16" t="n">
        <v>0.1292</v>
      </c>
      <c r="E98" s="15" t="str">
        <f aca="false">IF(C98&gt;=0,"Up","Down")</f>
        <v>Up</v>
      </c>
      <c r="F98" s="17" t="n">
        <f aca="false">F97*(1+C98)</f>
        <v>26432.3529046789</v>
      </c>
      <c r="G98" s="17" t="n">
        <f aca="false">G97*(1+D98)</f>
        <v>1525.3822904458</v>
      </c>
      <c r="H98" s="16" t="n">
        <v>0.3084</v>
      </c>
    </row>
    <row r="99" customFormat="false" ht="15" hidden="false" customHeight="false" outlineLevel="0" collapsed="false">
      <c r="A99" s="14" t="n">
        <v>2024</v>
      </c>
      <c r="B99" s="15" t="str">
        <f aca="false">INT(A99/10)*10&amp;"s"</f>
        <v>2020s</v>
      </c>
      <c r="C99" s="16" t="n">
        <v>0.1342</v>
      </c>
      <c r="D99" s="16" t="n">
        <v>0.1024</v>
      </c>
      <c r="E99" s="15" t="str">
        <f aca="false">IF(C99&gt;=0,"Up","Down")</f>
        <v>Up</v>
      </c>
      <c r="F99" s="17" t="n">
        <f aca="false">F98*(1+C99)</f>
        <v>29979.5746644868</v>
      </c>
      <c r="G99" s="17" t="n">
        <f aca="false">G98*(1+D99)</f>
        <v>1681.58143698745</v>
      </c>
      <c r="H99" s="16" t="n">
        <v>0.2912</v>
      </c>
    </row>
    <row r="100" customFormat="false" ht="15" hidden="false" customHeight="false" outlineLevel="0" collapsed="false">
      <c r="A100" s="14" t="n">
        <v>2025</v>
      </c>
      <c r="B100" s="15" t="str">
        <f aca="false">INT(A100/10)*10&amp;"s"</f>
        <v>2020s</v>
      </c>
      <c r="C100" s="16" t="n">
        <v>0.1099</v>
      </c>
      <c r="D100" s="16" t="n">
        <v>0.081</v>
      </c>
      <c r="E100" s="15" t="str">
        <f aca="false">IF(C100&gt;=0,"Up","Down")</f>
        <v>Up</v>
      </c>
      <c r="F100" s="17" t="n">
        <f aca="false">F99*(1+C100)</f>
        <v>33274.3299201139</v>
      </c>
      <c r="G100" s="17" t="n">
        <f aca="false">G99*(1+D100)</f>
        <v>1817.78953338344</v>
      </c>
      <c r="H100" s="16" t="n">
        <v>0.1952</v>
      </c>
    </row>
    <row r="102" customFormat="false" ht="15" hidden="false" customHeight="false" outlineLevel="0" collapsed="false">
      <c r="A102" s="18" t="s">
        <v>2193</v>
      </c>
    </row>
    <row r="103" customFormat="false" ht="15" hidden="false" customHeight="false" outlineLevel="0" collapsed="false">
      <c r="A103" s="19" t="s">
        <v>2194</v>
      </c>
      <c r="C103" s="20" t="n">
        <f aca="false">COUNT(A2:A100)</f>
        <v>99</v>
      </c>
    </row>
    <row r="104" customFormat="false" ht="15" hidden="false" customHeight="false" outlineLevel="0" collapsed="false">
      <c r="A104" s="19" t="s">
        <v>2195</v>
      </c>
      <c r="C104" s="20" t="n">
        <f aca="false">COUNTIF(C2:C100,"&gt;=0")</f>
        <v>71</v>
      </c>
    </row>
    <row r="105" customFormat="false" ht="15" hidden="false" customHeight="false" outlineLevel="0" collapsed="false">
      <c r="A105" s="19" t="s">
        <v>2196</v>
      </c>
      <c r="C105" s="20" t="n">
        <f aca="false">COUNTIF(C2:C100,"&lt;0")</f>
        <v>28</v>
      </c>
    </row>
    <row r="106" customFormat="false" ht="15" hidden="false" customHeight="false" outlineLevel="0" collapsed="false">
      <c r="A106" s="19" t="s">
        <v>2197</v>
      </c>
      <c r="C106" s="21" t="n">
        <f aca="false">AVERAGE(C2:C100)</f>
        <v>0.135631313131313</v>
      </c>
    </row>
    <row r="107" customFormat="false" ht="15" hidden="false" customHeight="false" outlineLevel="0" collapsed="false">
      <c r="A107" s="19" t="s">
        <v>2198</v>
      </c>
      <c r="C107" s="21" t="n">
        <f aca="false">(F100)^(1/COUNT(A2:A100))-1</f>
        <v>0.110907431188139</v>
      </c>
    </row>
    <row r="108" customFormat="false" ht="15" hidden="false" customHeight="false" outlineLevel="0" collapsed="false">
      <c r="A108" s="19" t="s">
        <v>2199</v>
      </c>
      <c r="C108" s="21" t="n">
        <f aca="false">AVERAGE(D2:D100)</f>
        <v>0.103237373737374</v>
      </c>
    </row>
    <row r="109" customFormat="false" ht="15" hidden="false" customHeight="false" outlineLevel="0" collapsed="false">
      <c r="A109" s="19" t="s">
        <v>2200</v>
      </c>
      <c r="C109" s="21" t="n">
        <f aca="false">(G100)^(1/COUNT(D2:D100))-1</f>
        <v>0.0787596229471423</v>
      </c>
    </row>
    <row r="110" customFormat="false" ht="15" hidden="false" customHeight="false" outlineLevel="0" collapsed="false">
      <c r="A110" s="19" t="s">
        <v>2201</v>
      </c>
      <c r="C110" s="21" t="n">
        <f aca="false">MAX(C2:C100)</f>
        <v>0.8714</v>
      </c>
    </row>
    <row r="111" customFormat="false" ht="15" hidden="false" customHeight="false" outlineLevel="0" collapsed="false">
      <c r="A111" s="19" t="s">
        <v>2202</v>
      </c>
      <c r="C111" s="21" t="n">
        <f aca="false">MIN(C2:C100)</f>
        <v>-0.4869</v>
      </c>
    </row>
    <row r="112" customFormat="false" ht="15" hidden="false" customHeight="false" outlineLevel="0" collapsed="false">
      <c r="A112" s="19" t="s">
        <v>2203</v>
      </c>
      <c r="C112" s="21" t="n">
        <f aca="false">STDEV(C2:C100)</f>
        <v>0.22792587169752</v>
      </c>
    </row>
    <row r="113" customFormat="false" ht="15" hidden="false" customHeight="false" outlineLevel="0" collapsed="false">
      <c r="A113" s="19" t="s">
        <v>2204</v>
      </c>
      <c r="C113" s="22" t="n">
        <f aca="false">F100</f>
        <v>33274.3299201139</v>
      </c>
    </row>
    <row r="114" customFormat="false" ht="15" hidden="false" customHeight="false" outlineLevel="0" collapsed="false">
      <c r="A114" s="19" t="s">
        <v>2205</v>
      </c>
      <c r="C114" s="22" t="n">
        <f aca="false">G100</f>
        <v>1817.78953338344</v>
      </c>
    </row>
    <row r="115" customFormat="false" ht="15" hidden="false" customHeight="false" outlineLevel="0" collapsed="false">
      <c r="A115" s="19" t="s">
        <v>2206</v>
      </c>
      <c r="C115" s="21" t="n">
        <f aca="false">AVERAGE(H2:H100)</f>
        <v>0.116927272727273</v>
      </c>
    </row>
    <row r="116" customFormat="false" ht="15" hidden="false" customHeight="false" outlineLevel="0" collapsed="false">
      <c r="A116" s="19" t="s">
        <v>2207</v>
      </c>
      <c r="C116" s="21" t="n">
        <f aca="false">EXP(SUMPRODUCT(LN(1+H2:H100)))^(1/COUNT(H2:H100))-1</f>
        <v>0.099500178710813</v>
      </c>
    </row>
    <row r="118" customFormat="false" ht="15" hidden="false" customHeight="false" outlineLevel="0" collapsed="false">
      <c r="A118" s="23" t="s">
        <v>2208</v>
      </c>
    </row>
    <row r="119" customFormat="false" ht="15" hidden="false" customHeight="false" outlineLevel="0" collapsed="false">
      <c r="A119" s="23" t="s">
        <v>2209</v>
      </c>
    </row>
    <row r="120" customFormat="false" ht="15" hidden="false" customHeight="false" outlineLevel="0" collapsed="false">
      <c r="A120" s="23" t="s">
        <v>2210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9.01"/>
    <col collapsed="false" customWidth="true" hidden="false" outlineLevel="0" max="2" min="2" style="0" width="11.97"/>
    <col collapsed="false" customWidth="true" hidden="false" outlineLevel="0" max="3" min="3" style="0" width="7.94"/>
    <col collapsed="false" customWidth="true" hidden="false" outlineLevel="0" max="5" min="4" style="0" width="13"/>
    <col collapsed="false" customWidth="true" hidden="false" outlineLevel="0" max="6" min="6" style="0" width="11.97"/>
    <col collapsed="false" customWidth="true" hidden="false" outlineLevel="0" max="7" min="7" style="0" width="13.05"/>
    <col collapsed="false" customWidth="true" hidden="false" outlineLevel="0" max="8" min="8" style="0" width="11.97"/>
    <col collapsed="false" customWidth="true" hidden="false" outlineLevel="0" max="9" min="9" style="0" width="13"/>
    <col collapsed="false" customWidth="true" hidden="false" outlineLevel="0" max="10" min="10" style="0" width="13.05"/>
    <col collapsed="false" customWidth="true" hidden="false" outlineLevel="0" max="11" min="11" style="0" width="13"/>
    <col collapsed="false" customWidth="true" hidden="false" outlineLevel="0" max="12" min="12" style="0" width="11.03"/>
    <col collapsed="false" customWidth="true" hidden="false" outlineLevel="0" max="14" min="13" style="0" width="13"/>
  </cols>
  <sheetData>
    <row r="1" customFormat="false" ht="35.05" hidden="false" customHeight="false" outlineLevel="0" collapsed="false">
      <c r="A1" s="1" t="s">
        <v>2186</v>
      </c>
      <c r="B1" s="1" t="s">
        <v>2211</v>
      </c>
      <c r="C1" s="1" t="s">
        <v>2212</v>
      </c>
      <c r="D1" s="1" t="s">
        <v>2213</v>
      </c>
      <c r="E1" s="1" t="s">
        <v>2214</v>
      </c>
      <c r="F1" s="1" t="s">
        <v>2215</v>
      </c>
      <c r="G1" s="1" t="s">
        <v>2216</v>
      </c>
      <c r="H1" s="1" t="s">
        <v>2217</v>
      </c>
      <c r="I1" s="1" t="s">
        <v>2218</v>
      </c>
      <c r="J1" s="1" t="s">
        <v>2219</v>
      </c>
      <c r="K1" s="1" t="s">
        <v>2220</v>
      </c>
      <c r="L1" s="1" t="s">
        <v>2221</v>
      </c>
      <c r="M1" s="1" t="s">
        <v>2222</v>
      </c>
      <c r="N1" s="1" t="s">
        <v>2223</v>
      </c>
    </row>
    <row r="2" customFormat="false" ht="15" hidden="false" customHeight="false" outlineLevel="0" collapsed="false">
      <c r="A2" s="15" t="s">
        <v>2224</v>
      </c>
      <c r="B2" s="15" t="s">
        <v>2225</v>
      </c>
      <c r="C2" s="15" t="n">
        <f aca="false">COUNTIF('Annual Returns'!$B$2:$B$100,"1920s")</f>
        <v>3</v>
      </c>
      <c r="D2" s="15" t="n">
        <f aca="false">COUNTIFS('Annual Returns'!$B$2:$B$100,"1920s",'Annual Returns'!$C$2:$C$100,"&gt;=0")</f>
        <v>2</v>
      </c>
      <c r="E2" s="15" t="n">
        <f aca="false">COUNTIFS('Annual Returns'!$B$2:$B$100,"1920s",'Annual Returns'!$C$2:$C$100,"&lt;0")</f>
        <v>1</v>
      </c>
      <c r="F2" s="16" t="n">
        <f aca="false">AVERAGEIF('Annual Returns'!$B$2:$B$100,"1920s",'Annual Returns'!$C$2:$C$100)</f>
        <v>0.173133333333333</v>
      </c>
      <c r="G2" s="16" t="n">
        <f aca="false">(1+H2)^(1/C2)-1</f>
        <v>0.139700020423952</v>
      </c>
      <c r="H2" s="16" t="n">
        <f aca="false">EXP(SUMPRODUCT(('Annual Returns'!$B$2:$B$100="1920s")*LN(1+'Annual Returns'!$C$2:$C$100)))-1</f>
        <v>0.48037474736</v>
      </c>
      <c r="I2" s="16" t="n">
        <f aca="false">AVERAGEIF('Annual Returns'!$B$2:$B$100,"1920s",'Annual Returns'!$D$2:$D$100)</f>
        <v>0.187166666666667</v>
      </c>
      <c r="J2" s="16" t="n">
        <f aca="false">(EXP(SUMPRODUCT(('Annual Returns'!$B$2:$B$100="1920s")*LN(1+'Annual Returns'!$D$2:$D$100))))^(1/C2)-1</f>
        <v>0.150604871966443</v>
      </c>
      <c r="K2" s="16" t="n">
        <f aca="false">_xlfn.MAXIFS('Annual Returns'!$C$2:$C$100,'Annual Returns'!$B$2:$B$100,"1920s")</f>
        <v>0.3947</v>
      </c>
      <c r="L2" s="16" t="n">
        <f aca="false">_xlfn.MINIFS('Annual Returns'!$C$2:$C$100,'Annual Returns'!$B$2:$B$100,"1920s")</f>
        <v>-0.1968</v>
      </c>
      <c r="M2" s="17" t="n">
        <f aca="false">1+H2</f>
        <v>1.48037474736</v>
      </c>
      <c r="N2" s="16" t="n">
        <f aca="false">(EXP(SUMPRODUCT(('Annual Returns'!$B$2:$B$100="1920s")*LN(1+'Annual Returns'!$H$2:$H$100))))^(1/C2)-1</f>
        <v>0.188000050130937</v>
      </c>
    </row>
    <row r="3" customFormat="false" ht="15" hidden="false" customHeight="false" outlineLevel="0" collapsed="false">
      <c r="A3" s="15" t="s">
        <v>2226</v>
      </c>
      <c r="B3" s="15" t="s">
        <v>2227</v>
      </c>
      <c r="C3" s="15" t="n">
        <f aca="false">COUNTIF('Annual Returns'!$B$2:$B$100,"1930s")</f>
        <v>10</v>
      </c>
      <c r="D3" s="15" t="n">
        <f aca="false">COUNTIFS('Annual Returns'!$B$2:$B$100,"1930s",'Annual Returns'!$C$2:$C$100,"&gt;=0")</f>
        <v>5</v>
      </c>
      <c r="E3" s="15" t="n">
        <f aca="false">COUNTIFS('Annual Returns'!$B$2:$B$100,"1930s",'Annual Returns'!$C$2:$C$100,"&lt;0")</f>
        <v>5</v>
      </c>
      <c r="F3" s="16" t="n">
        <f aca="false">AVERAGEIF('Annual Returns'!$B$2:$B$100,"1930s",'Annual Returns'!$C$2:$C$100)</f>
        <v>0.08335</v>
      </c>
      <c r="G3" s="16" t="n">
        <f aca="false">(1+H3)^(1/C3)-1</f>
        <v>-0.000427226982802509</v>
      </c>
      <c r="H3" s="16" t="n">
        <f aca="false">EXP(SUMPRODUCT(('Annual Returns'!$B$2:$B$100="1930s")*LN(1+'Annual Returns'!$C$2:$C$100)))-1</f>
        <v>-0.00426406564820947</v>
      </c>
      <c r="I3" s="16" t="n">
        <f aca="false">AVERAGEIF('Annual Returns'!$B$2:$B$100,"1930s",'Annual Returns'!$D$2:$D$100)</f>
        <v>0.09709</v>
      </c>
      <c r="J3" s="16" t="n">
        <f aca="false">(EXP(SUMPRODUCT(('Annual Returns'!$B$2:$B$100="1930s")*LN(1+'Annual Returns'!$D$2:$D$100))))^(1/C3)-1</f>
        <v>0.0204030595493268</v>
      </c>
      <c r="K3" s="16" t="n">
        <f aca="false">_xlfn.MAXIFS('Annual Returns'!$C$2:$C$100,'Annual Returns'!$B$2:$B$100,"1930s")</f>
        <v>0.8714</v>
      </c>
      <c r="L3" s="16" t="n">
        <f aca="false">_xlfn.MINIFS('Annual Returns'!$C$2:$C$100,'Annual Returns'!$B$2:$B$100,"1930s")</f>
        <v>-0.4869</v>
      </c>
      <c r="M3" s="17" t="n">
        <f aca="false">1+H3</f>
        <v>0.995735934351791</v>
      </c>
      <c r="N3" s="16" t="n">
        <f aca="false">(EXP(SUMPRODUCT(('Annual Returns'!$B$2:$B$100="1930s")*LN(1+'Annual Returns'!$H$2:$H$100))))^(1/C3)-1</f>
        <v>-0.00121972080931243</v>
      </c>
    </row>
    <row r="4" customFormat="false" ht="15" hidden="false" customHeight="false" outlineLevel="0" collapsed="false">
      <c r="A4" s="15" t="s">
        <v>2228</v>
      </c>
      <c r="B4" s="15" t="s">
        <v>2229</v>
      </c>
      <c r="C4" s="15" t="n">
        <f aca="false">COUNTIF('Annual Returns'!$B$2:$B$100,"1940s")</f>
        <v>10</v>
      </c>
      <c r="D4" s="15" t="n">
        <f aca="false">COUNTIFS('Annual Returns'!$B$2:$B$100,"1940s",'Annual Returns'!$C$2:$C$100,"&gt;=0")</f>
        <v>6</v>
      </c>
      <c r="E4" s="15" t="n">
        <f aca="false">COUNTIFS('Annual Returns'!$B$2:$B$100,"1940s",'Annual Returns'!$C$2:$C$100,"&lt;0")</f>
        <v>4</v>
      </c>
      <c r="F4" s="16" t="n">
        <f aca="false">AVERAGEIF('Annual Returns'!$B$2:$B$100,"1940s",'Annual Returns'!$C$2:$C$100)</f>
        <v>0.14884</v>
      </c>
      <c r="G4" s="16" t="n">
        <f aca="false">(1+H4)^(1/C4)-1</f>
        <v>0.129176433426351</v>
      </c>
      <c r="H4" s="16" t="n">
        <f aca="false">EXP(SUMPRODUCT(('Annual Returns'!$B$2:$B$100="1940s")*LN(1+'Annual Returns'!$C$2:$C$100)))-1</f>
        <v>2.36990808762901</v>
      </c>
      <c r="I4" s="16" t="n">
        <f aca="false">AVERAGEIF('Annual Returns'!$B$2:$B$100,"1940s",'Annual Returns'!$D$2:$D$100)</f>
        <v>0.09682</v>
      </c>
      <c r="J4" s="16" t="n">
        <f aca="false">(EXP(SUMPRODUCT(('Annual Returns'!$B$2:$B$100="1940s")*LN(1+'Annual Returns'!$D$2:$D$100))))^(1/C4)-1</f>
        <v>0.0717425718724429</v>
      </c>
      <c r="K4" s="16" t="n">
        <f aca="false">_xlfn.MAXIFS('Annual Returns'!$C$2:$C$100,'Annual Returns'!$B$2:$B$100,"1940s")</f>
        <v>0.5472</v>
      </c>
      <c r="L4" s="16" t="n">
        <f aca="false">_xlfn.MINIFS('Annual Returns'!$C$2:$C$100,'Annual Returns'!$B$2:$B$100,"1940s")</f>
        <v>-0.0863</v>
      </c>
      <c r="M4" s="17" t="n">
        <f aca="false">1+H4</f>
        <v>3.36990808762901</v>
      </c>
      <c r="N4" s="16" t="n">
        <f aca="false">(EXP(SUMPRODUCT(('Annual Returns'!$B$2:$B$100="1940s")*LN(1+'Annual Returns'!$H$2:$H$100))))^(1/C4)-1</f>
        <v>0.079595665706246</v>
      </c>
    </row>
    <row r="5" customFormat="false" ht="15" hidden="false" customHeight="false" outlineLevel="0" collapsed="false">
      <c r="A5" s="15" t="s">
        <v>2230</v>
      </c>
      <c r="B5" s="15" t="s">
        <v>2231</v>
      </c>
      <c r="C5" s="15" t="n">
        <f aca="false">COUNTIF('Annual Returns'!$B$2:$B$100,"1950s")</f>
        <v>10</v>
      </c>
      <c r="D5" s="15" t="n">
        <f aca="false">COUNTIFS('Annual Returns'!$B$2:$B$100,"1950s",'Annual Returns'!$C$2:$C$100,"&gt;=0")</f>
        <v>8</v>
      </c>
      <c r="E5" s="15" t="n">
        <f aca="false">COUNTIFS('Annual Returns'!$B$2:$B$100,"1950s",'Annual Returns'!$C$2:$C$100,"&lt;0")</f>
        <v>2</v>
      </c>
      <c r="F5" s="16" t="n">
        <f aca="false">AVERAGEIF('Annual Returns'!$B$2:$B$100,"1950s",'Annual Returns'!$C$2:$C$100)</f>
        <v>0.20058</v>
      </c>
      <c r="G5" s="16" t="n">
        <f aca="false">(1+H5)^(1/C5)-1</f>
        <v>0.184007982736442</v>
      </c>
      <c r="H5" s="16" t="n">
        <f aca="false">EXP(SUMPRODUCT(('Annual Returns'!$B$2:$B$100="1950s")*LN(1+'Annual Returns'!$C$2:$C$100)))-1</f>
        <v>4.41434972840453</v>
      </c>
      <c r="I5" s="16" t="n">
        <f aca="false">AVERAGEIF('Annual Returns'!$B$2:$B$100,"1950s",'Annual Returns'!$D$2:$D$100)</f>
        <v>0.17533</v>
      </c>
      <c r="J5" s="16" t="n">
        <f aca="false">(EXP(SUMPRODUCT(('Annual Returns'!$B$2:$B$100="1950s")*LN(1+'Annual Returns'!$D$2:$D$100))))^(1/C5)-1</f>
        <v>0.158251005114925</v>
      </c>
      <c r="K5" s="16" t="n">
        <f aca="false">_xlfn.MAXIFS('Annual Returns'!$C$2:$C$100,'Annual Returns'!$B$2:$B$100,"1950s")</f>
        <v>0.539</v>
      </c>
      <c r="L5" s="16" t="n">
        <f aca="false">_xlfn.MINIFS('Annual Returns'!$C$2:$C$100,'Annual Returns'!$B$2:$B$100,"1950s")</f>
        <v>-0.1182</v>
      </c>
      <c r="M5" s="17" t="n">
        <f aca="false">1+H5</f>
        <v>5.41434972840453</v>
      </c>
      <c r="N5" s="16" t="n">
        <f aca="false">(EXP(SUMPRODUCT(('Annual Returns'!$B$2:$B$100="1950s")*LN(1+'Annual Returns'!$H$2:$H$100))))^(1/C5)-1</f>
        <v>0.18406032440937</v>
      </c>
    </row>
    <row r="6" customFormat="false" ht="15" hidden="false" customHeight="false" outlineLevel="0" collapsed="false">
      <c r="A6" s="15" t="s">
        <v>2232</v>
      </c>
      <c r="B6" s="15" t="s">
        <v>2233</v>
      </c>
      <c r="C6" s="15" t="n">
        <f aca="false">COUNTIF('Annual Returns'!$B$2:$B$100,"1960s")</f>
        <v>10</v>
      </c>
      <c r="D6" s="15" t="n">
        <f aca="false">COUNTIFS('Annual Returns'!$B$2:$B$100,"1960s",'Annual Returns'!$C$2:$C$100,"&gt;=0")</f>
        <v>7</v>
      </c>
      <c r="E6" s="15" t="n">
        <f aca="false">COUNTIFS('Annual Returns'!$B$2:$B$100,"1960s",'Annual Returns'!$C$2:$C$100,"&lt;0")</f>
        <v>3</v>
      </c>
      <c r="F6" s="16" t="n">
        <f aca="false">AVERAGEIF('Annual Returns'!$B$2:$B$100,"1960s",'Annual Returns'!$C$2:$C$100)</f>
        <v>0.12174</v>
      </c>
      <c r="G6" s="16" t="n">
        <f aca="false">(1+H6)^(1/C6)-1</f>
        <v>0.107219377309374</v>
      </c>
      <c r="H6" s="16" t="n">
        <f aca="false">EXP(SUMPRODUCT(('Annual Returns'!$B$2:$B$100="1960s")*LN(1+'Annual Returns'!$C$2:$C$100)))-1</f>
        <v>1.76908812460135</v>
      </c>
      <c r="I6" s="16" t="n">
        <f aca="false">AVERAGEIF('Annual Returns'!$B$2:$B$100,"1960s",'Annual Returns'!$D$2:$D$100)</f>
        <v>0.09521</v>
      </c>
      <c r="J6" s="16" t="n">
        <f aca="false">(EXP(SUMPRODUCT(('Annual Returns'!$B$2:$B$100="1960s")*LN(1+'Annual Returns'!$D$2:$D$100))))^(1/C6)-1</f>
        <v>0.0800203157681816</v>
      </c>
      <c r="K6" s="16" t="n">
        <f aca="false">_xlfn.MAXIFS('Annual Returns'!$C$2:$C$100,'Annual Returns'!$B$2:$B$100,"1960s")</f>
        <v>0.3899</v>
      </c>
      <c r="L6" s="16" t="n">
        <f aca="false">_xlfn.MINIFS('Annual Returns'!$C$2:$C$100,'Annual Returns'!$B$2:$B$100,"1960s")</f>
        <v>-0.1697</v>
      </c>
      <c r="M6" s="17" t="n">
        <f aca="false">1+H6</f>
        <v>2.76908812460135</v>
      </c>
      <c r="N6" s="16" t="n">
        <f aca="false">(EXP(SUMPRODUCT(('Annual Returns'!$B$2:$B$100="1960s")*LN(1+'Annual Returns'!$H$2:$H$100))))^(1/C6)-1</f>
        <v>0.0692549198004957</v>
      </c>
    </row>
    <row r="7" customFormat="false" ht="15" hidden="false" customHeight="false" outlineLevel="0" collapsed="false">
      <c r="A7" s="15" t="s">
        <v>2234</v>
      </c>
      <c r="B7" s="15" t="s">
        <v>2235</v>
      </c>
      <c r="C7" s="15" t="n">
        <f aca="false">COUNTIF('Annual Returns'!$B$2:$B$100,"1970s")</f>
        <v>10</v>
      </c>
      <c r="D7" s="15" t="n">
        <f aca="false">COUNTIFS('Annual Returns'!$B$2:$B$100,"1970s",'Annual Returns'!$C$2:$C$100,"&gt;=0")</f>
        <v>7</v>
      </c>
      <c r="E7" s="15" t="n">
        <f aca="false">COUNTIFS('Annual Returns'!$B$2:$B$100,"1970s",'Annual Returns'!$C$2:$C$100,"&lt;0")</f>
        <v>3</v>
      </c>
      <c r="F7" s="16" t="n">
        <f aca="false">AVERAGEIF('Annual Returns'!$B$2:$B$100,"1970s",'Annual Returns'!$C$2:$C$100)</f>
        <v>0.10637</v>
      </c>
      <c r="G7" s="16" t="n">
        <f aca="false">(1+H7)^(1/C7)-1</f>
        <v>0.0791278717458042</v>
      </c>
      <c r="H7" s="16" t="n">
        <f aca="false">EXP(SUMPRODUCT(('Annual Returns'!$B$2:$B$100="1970s")*LN(1+'Annual Returns'!$C$2:$C$100)))-1</f>
        <v>1.14155432931538</v>
      </c>
      <c r="I7" s="16" t="n">
        <f aca="false">AVERAGEIF('Annual Returns'!$B$2:$B$100,"1970s",'Annual Returns'!$D$2:$D$100)</f>
        <v>0.03254</v>
      </c>
      <c r="J7" s="16" t="n">
        <f aca="false">(EXP(SUMPRODUCT(('Annual Returns'!$B$2:$B$100="1970s")*LN(1+'Annual Returns'!$D$2:$D$100))))^(1/C7)-1</f>
        <v>0.00513315989878183</v>
      </c>
      <c r="K7" s="16" t="n">
        <f aca="false">_xlfn.MAXIFS('Annual Returns'!$C$2:$C$100,'Annual Returns'!$B$2:$B$100,"1970s")</f>
        <v>0.4707</v>
      </c>
      <c r="L7" s="16" t="n">
        <f aca="false">_xlfn.MINIFS('Annual Returns'!$C$2:$C$100,'Annual Returns'!$B$2:$B$100,"1970s")</f>
        <v>-0.2733</v>
      </c>
      <c r="M7" s="17" t="n">
        <f aca="false">1+H7</f>
        <v>2.14155432931538</v>
      </c>
      <c r="N7" s="16" t="n">
        <f aca="false">(EXP(SUMPRODUCT(('Annual Returns'!$B$2:$B$100="1970s")*LN(1+'Annual Returns'!$H$2:$H$100))))^(1/C7)-1</f>
        <v>0.046974064668259</v>
      </c>
    </row>
    <row r="8" customFormat="false" ht="15" hidden="false" customHeight="false" outlineLevel="0" collapsed="false">
      <c r="A8" s="15" t="s">
        <v>2236</v>
      </c>
      <c r="B8" s="15" t="s">
        <v>2237</v>
      </c>
      <c r="C8" s="15" t="n">
        <f aca="false">COUNTIF('Annual Returns'!$B$2:$B$100,"1980s")</f>
        <v>10</v>
      </c>
      <c r="D8" s="15" t="n">
        <f aca="false">COUNTIFS('Annual Returns'!$B$2:$B$100,"1980s",'Annual Returns'!$C$2:$C$100,"&gt;=0")</f>
        <v>9</v>
      </c>
      <c r="E8" s="15" t="n">
        <f aca="false">COUNTIFS('Annual Returns'!$B$2:$B$100,"1980s",'Annual Returns'!$C$2:$C$100,"&lt;0")</f>
        <v>1</v>
      </c>
      <c r="F8" s="16" t="n">
        <f aca="false">AVERAGEIF('Annual Returns'!$B$2:$B$100,"1980s",'Annual Returns'!$C$2:$C$100)</f>
        <v>0.17418</v>
      </c>
      <c r="G8" s="16" t="n">
        <f aca="false">(1+H8)^(1/C8)-1</f>
        <v>0.167275337839933</v>
      </c>
      <c r="H8" s="16" t="n">
        <f aca="false">EXP(SUMPRODUCT(('Annual Returns'!$B$2:$B$100="1980s")*LN(1+'Annual Returns'!$C$2:$C$100)))-1</f>
        <v>3.69605417691852</v>
      </c>
      <c r="I8" s="16" t="n">
        <f aca="false">AVERAGEIF('Annual Returns'!$B$2:$B$100,"1980s",'Annual Returns'!$D$2:$D$100)</f>
        <v>0.11718</v>
      </c>
      <c r="J8" s="16" t="n">
        <f aca="false">(EXP(SUMPRODUCT(('Annual Returns'!$B$2:$B$100="1980s")*LN(1+'Annual Returns'!$D$2:$D$100))))^(1/C8)-1</f>
        <v>0.11065783056222</v>
      </c>
      <c r="K8" s="16" t="n">
        <f aca="false">_xlfn.MAXIFS('Annual Returns'!$C$2:$C$100,'Annual Returns'!$B$2:$B$100,"1980s")</f>
        <v>0.3363</v>
      </c>
      <c r="L8" s="16" t="n">
        <f aca="false">_xlfn.MINIFS('Annual Returns'!$C$2:$C$100,'Annual Returns'!$B$2:$B$100,"1980s")</f>
        <v>-0.0145</v>
      </c>
      <c r="M8" s="17" t="n">
        <f aca="false">1+H8</f>
        <v>4.69605417691852</v>
      </c>
      <c r="N8" s="16" t="n">
        <f aca="false">(EXP(SUMPRODUCT(('Annual Returns'!$B$2:$B$100="1980s")*LN(1+'Annual Returns'!$H$2:$H$100))))^(1/C8)-1</f>
        <v>0.171740993789133</v>
      </c>
    </row>
    <row r="9" customFormat="false" ht="15" hidden="false" customHeight="false" outlineLevel="0" collapsed="false">
      <c r="A9" s="15" t="s">
        <v>2238</v>
      </c>
      <c r="B9" s="15" t="s">
        <v>2239</v>
      </c>
      <c r="C9" s="15" t="n">
        <f aca="false">COUNTIF('Annual Returns'!$B$2:$B$100,"1990s")</f>
        <v>10</v>
      </c>
      <c r="D9" s="15" t="n">
        <f aca="false">COUNTIFS('Annual Returns'!$B$2:$B$100,"1990s",'Annual Returns'!$C$2:$C$100,"&gt;=0")</f>
        <v>8</v>
      </c>
      <c r="E9" s="15" t="n">
        <f aca="false">COUNTIFS('Annual Returns'!$B$2:$B$100,"1990s",'Annual Returns'!$C$2:$C$100,"&lt;0")</f>
        <v>2</v>
      </c>
      <c r="F9" s="16" t="n">
        <f aca="false">AVERAGEIF('Annual Returns'!$B$2:$B$100,"1990s",'Annual Returns'!$C$2:$C$100)</f>
        <v>0.1682</v>
      </c>
      <c r="G9" s="16" t="n">
        <f aca="false">(1+H9)^(1/C9)-1</f>
        <v>0.157490313248509</v>
      </c>
      <c r="H9" s="16" t="n">
        <f aca="false">EXP(SUMPRODUCT(('Annual Returns'!$B$2:$B$100="1990s")*LN(1+'Annual Returns'!$C$2:$C$100)))-1</f>
        <v>3.3169165360198</v>
      </c>
      <c r="I9" s="16" t="n">
        <f aca="false">AVERAGEIF('Annual Returns'!$B$2:$B$100,"1990s",'Annual Returns'!$D$2:$D$100)</f>
        <v>0.13589</v>
      </c>
      <c r="J9" s="16" t="n">
        <f aca="false">(EXP(SUMPRODUCT(('Annual Returns'!$B$2:$B$100="1990s")*LN(1+'Annual Returns'!$D$2:$D$100))))^(1/C9)-1</f>
        <v>0.124567993837344</v>
      </c>
      <c r="K9" s="16" t="n">
        <f aca="false">_xlfn.MAXIFS('Annual Returns'!$C$2:$C$100,'Annual Returns'!$B$2:$B$100,"1990s")</f>
        <v>0.4168</v>
      </c>
      <c r="L9" s="16" t="n">
        <f aca="false">_xlfn.MINIFS('Annual Returns'!$C$2:$C$100,'Annual Returns'!$B$2:$B$100,"1990s")</f>
        <v>-0.1259</v>
      </c>
      <c r="M9" s="17" t="n">
        <f aca="false">1+H9</f>
        <v>4.3169165360198</v>
      </c>
      <c r="N9" s="16" t="n">
        <f aca="false">(EXP(SUMPRODUCT(('Annual Returns'!$B$2:$B$100="1990s")*LN(1+'Annual Returns'!$H$2:$H$100))))^(1/C9)-1</f>
        <v>0.191846975928388</v>
      </c>
    </row>
    <row r="10" customFormat="false" ht="15" hidden="false" customHeight="false" outlineLevel="0" collapsed="false">
      <c r="A10" s="15" t="s">
        <v>2240</v>
      </c>
      <c r="B10" s="15" t="s">
        <v>2241</v>
      </c>
      <c r="C10" s="15" t="n">
        <f aca="false">COUNTIF('Annual Returns'!$B$2:$B$100,"2000s")</f>
        <v>10</v>
      </c>
      <c r="D10" s="15" t="n">
        <f aca="false">COUNTIFS('Annual Returns'!$B$2:$B$100,"2000s",'Annual Returns'!$C$2:$C$100,"&gt;=0")</f>
        <v>7</v>
      </c>
      <c r="E10" s="15" t="n">
        <f aca="false">COUNTIFS('Annual Returns'!$B$2:$B$100,"2000s",'Annual Returns'!$C$2:$C$100,"&lt;0")</f>
        <v>3</v>
      </c>
      <c r="F10" s="16" t="n">
        <f aca="false">AVERAGEIF('Annual Returns'!$B$2:$B$100,"2000s",'Annual Returns'!$C$2:$C$100)</f>
        <v>0.07436</v>
      </c>
      <c r="G10" s="16" t="n">
        <f aca="false">(1+H10)^(1/C10)-1</f>
        <v>0.0473698436422132</v>
      </c>
      <c r="H10" s="16" t="n">
        <f aca="false">EXP(SUMPRODUCT(('Annual Returns'!$B$2:$B$100="2000s")*LN(1+'Annual Returns'!$C$2:$C$100)))-1</f>
        <v>0.588549138492907</v>
      </c>
      <c r="I10" s="16" t="n">
        <f aca="false">AVERAGEIF('Annual Returns'!$B$2:$B$100,"2000s",'Annual Returns'!$D$2:$D$100)</f>
        <v>0.0469</v>
      </c>
      <c r="J10" s="16" t="n">
        <f aca="false">(EXP(SUMPRODUCT(('Annual Returns'!$B$2:$B$100="2000s")*LN(1+'Annual Returns'!$D$2:$D$100))))^(1/C10)-1</f>
        <v>0.021581892239257</v>
      </c>
      <c r="K10" s="16" t="n">
        <f aca="false">_xlfn.MAXIFS('Annual Returns'!$C$2:$C$100,'Annual Returns'!$B$2:$B$100,"2000s")</f>
        <v>0.4272</v>
      </c>
      <c r="L10" s="16" t="n">
        <f aca="false">_xlfn.MINIFS('Annual Returns'!$C$2:$C$100,'Annual Returns'!$B$2:$B$100,"2000s")</f>
        <v>-0.3871</v>
      </c>
      <c r="M10" s="17" t="n">
        <f aca="false">1+H10</f>
        <v>1.58854913849291</v>
      </c>
      <c r="N10" s="16" t="n">
        <f aca="false">(EXP(SUMPRODUCT(('Annual Returns'!$B$2:$B$100="2000s")*LN(1+'Annual Returns'!$H$2:$H$100))))^(1/C10)-1</f>
        <v>-0.0232450970669452</v>
      </c>
    </row>
    <row r="11" customFormat="false" ht="15" hidden="false" customHeight="false" outlineLevel="0" collapsed="false">
      <c r="A11" s="15" t="s">
        <v>2242</v>
      </c>
      <c r="B11" s="15" t="s">
        <v>2243</v>
      </c>
      <c r="C11" s="15" t="n">
        <f aca="false">COUNTIF('Annual Returns'!$B$2:$B$100,"2010s")</f>
        <v>10</v>
      </c>
      <c r="D11" s="15" t="n">
        <f aca="false">COUNTIFS('Annual Returns'!$B$2:$B$100,"2010s",'Annual Returns'!$C$2:$C$100,"&gt;=0")</f>
        <v>7</v>
      </c>
      <c r="E11" s="15" t="n">
        <f aca="false">COUNTIFS('Annual Returns'!$B$2:$B$100,"2010s",'Annual Returns'!$C$2:$C$100,"&lt;0")</f>
        <v>3</v>
      </c>
      <c r="F11" s="16" t="n">
        <f aca="false">AVERAGEIF('Annual Returns'!$B$2:$B$100,"2010s",'Annual Returns'!$C$2:$C$100)</f>
        <v>0.14433</v>
      </c>
      <c r="G11" s="16" t="n">
        <f aca="false">(1+H11)^(1/C11)-1</f>
        <v>0.134641048644138</v>
      </c>
      <c r="H11" s="16" t="n">
        <f aca="false">EXP(SUMPRODUCT(('Annual Returns'!$B$2:$B$100="2010s")*LN(1+'Annual Returns'!$C$2:$C$100)))-1</f>
        <v>2.53659161291335</v>
      </c>
      <c r="I11" s="16" t="n">
        <f aca="false">AVERAGEIF('Annual Returns'!$B$2:$B$100,"2010s",'Annual Returns'!$D$2:$D$100)</f>
        <v>0.12462</v>
      </c>
      <c r="J11" s="16" t="n">
        <f aca="false">(EXP(SUMPRODUCT(('Annual Returns'!$B$2:$B$100="2010s")*LN(1+'Annual Returns'!$D$2:$D$100))))^(1/C11)-1</f>
        <v>0.115074547108429</v>
      </c>
      <c r="K11" s="16" t="n">
        <f aca="false">_xlfn.MAXIFS('Annual Returns'!$C$2:$C$100,'Annual Returns'!$B$2:$B$100,"2010s")</f>
        <v>0.3926</v>
      </c>
      <c r="L11" s="16" t="n">
        <f aca="false">_xlfn.MINIFS('Annual Returns'!$C$2:$C$100,'Annual Returns'!$B$2:$B$100,"2010s")</f>
        <v>-0.0964</v>
      </c>
      <c r="M11" s="17" t="n">
        <f aca="false">1+H11</f>
        <v>3.53659161291335</v>
      </c>
      <c r="N11" s="16" t="n">
        <f aca="false">(EXP(SUMPRODUCT(('Annual Returns'!$B$2:$B$100="2010s")*LN(1+'Annual Returns'!$H$2:$H$100))))^(1/C11)-1</f>
        <v>0.136419328634697</v>
      </c>
    </row>
    <row r="12" customFormat="false" ht="15" hidden="false" customHeight="false" outlineLevel="0" collapsed="false">
      <c r="A12" s="15" t="s">
        <v>2244</v>
      </c>
      <c r="B12" s="15" t="s">
        <v>2245</v>
      </c>
      <c r="C12" s="15" t="n">
        <f aca="false">COUNTIF('Annual Returns'!$B$2:$B$100,"2020s")</f>
        <v>6</v>
      </c>
      <c r="D12" s="15" t="n">
        <f aca="false">COUNTIFS('Annual Returns'!$B$2:$B$100,"2020s",'Annual Returns'!$C$2:$C$100,"&gt;=0")</f>
        <v>5</v>
      </c>
      <c r="E12" s="15" t="n">
        <f aca="false">COUNTIFS('Annual Returns'!$B$2:$B$100,"2020s",'Annual Returns'!$C$2:$C$100,"&lt;0")</f>
        <v>1</v>
      </c>
      <c r="F12" s="16" t="n">
        <f aca="false">AVERAGEIF('Annual Returns'!$B$2:$B$100,"2020s",'Annual Returns'!$C$2:$C$100)</f>
        <v>0.114766666666667</v>
      </c>
      <c r="G12" s="16" t="n">
        <f aca="false">(1+H12)^(1/C12)-1</f>
        <v>0.106144386835289</v>
      </c>
      <c r="H12" s="16" t="n">
        <f aca="false">EXP(SUMPRODUCT(('Annual Returns'!$B$2:$B$100="2020s")*LN(1+'Annual Returns'!$C$2:$C$100)))-1</f>
        <v>0.831769902937402</v>
      </c>
      <c r="I12" s="16" t="n">
        <f aca="false">AVERAGEIF('Annual Returns'!$B$2:$B$100,"2020s",'Annual Returns'!$D$2:$D$100)</f>
        <v>0.0738666666666667</v>
      </c>
      <c r="J12" s="16" t="n">
        <f aca="false">(EXP(SUMPRODUCT(('Annual Returns'!$B$2:$B$100="2020s")*LN(1+'Annual Returns'!$D$2:$D$100))))^(1/C12)-1</f>
        <v>0.0641959483395109</v>
      </c>
      <c r="K12" s="16" t="n">
        <f aca="false">_xlfn.MAXIFS('Annual Returns'!$C$2:$C$100,'Annual Returns'!$B$2:$B$100,"2020s")</f>
        <v>0.2314</v>
      </c>
      <c r="L12" s="16" t="n">
        <f aca="false">_xlfn.MINIFS('Annual Returns'!$C$2:$C$100,'Annual Returns'!$B$2:$B$100,"2020s")</f>
        <v>-0.1615</v>
      </c>
      <c r="M12" s="17" t="n">
        <f aca="false">1+H12</f>
        <v>1.8317699029374</v>
      </c>
      <c r="N12" s="16" t="n">
        <f aca="false">(EXP(SUMPRODUCT(('Annual Returns'!$B$2:$B$100="2020s")*LN(1+'Annual Returns'!$H$2:$H$100))))^(1/C12)-1</f>
        <v>0.165422948404449</v>
      </c>
    </row>
    <row r="13" customFormat="false" ht="15" hidden="false" customHeight="false" outlineLevel="0" collapsed="false">
      <c r="A13" s="24" t="s">
        <v>2246</v>
      </c>
      <c r="B13" s="24" t="s">
        <v>2247</v>
      </c>
      <c r="C13" s="24" t="n">
        <f aca="false">COUNT('Annual Returns'!$A$2:$A$100)</f>
        <v>99</v>
      </c>
      <c r="D13" s="24" t="n">
        <f aca="false">COUNTIF('Annual Returns'!$C$2:$C$100,"&gt;=0")</f>
        <v>71</v>
      </c>
      <c r="E13" s="24" t="n">
        <f aca="false">COUNTIF('Annual Returns'!$C$2:$C$100,"&lt;0")</f>
        <v>28</v>
      </c>
      <c r="F13" s="25" t="n">
        <f aca="false">AVERAGE('Annual Returns'!$C$2:$C$100)</f>
        <v>0.135631313131313</v>
      </c>
      <c r="G13" s="25" t="n">
        <f aca="false">(1+H13)^(1/C13)-1</f>
        <v>0.110907431188139</v>
      </c>
      <c r="H13" s="25" t="n">
        <f aca="false">EXP(SUMPRODUCT(LN(1+'Annual Returns'!$C$2:$C$100)))-1</f>
        <v>33273.3299201139</v>
      </c>
      <c r="I13" s="25" t="n">
        <f aca="false">AVERAGE('Annual Returns'!$D$2:$D$100)</f>
        <v>0.103237373737374</v>
      </c>
      <c r="J13" s="25" t="n">
        <f aca="false">(EXP(SUMPRODUCT(LN(1+'Annual Returns'!$D$2:$D$100))))^(1/C13)-1</f>
        <v>0.0787596229471423</v>
      </c>
      <c r="K13" s="25" t="n">
        <f aca="false">MAX('Annual Returns'!$C$2:$C$100)</f>
        <v>0.8714</v>
      </c>
      <c r="L13" s="25" t="n">
        <f aca="false">MIN('Annual Returns'!$C$2:$C$100)</f>
        <v>-0.4869</v>
      </c>
      <c r="M13" s="26" t="n">
        <f aca="false">1+H13</f>
        <v>33274.3299201139</v>
      </c>
      <c r="N13" s="25" t="n">
        <f aca="false">(EXP(SUMPRODUCT(LN(1+'Annual Returns'!$H$2:$H$100))))^(1/C13)-1</f>
        <v>0.099500178710813</v>
      </c>
    </row>
    <row r="16" customFormat="false" ht="15" hidden="false" customHeight="false" outlineLevel="0" collapsed="false">
      <c r="A16" s="27" t="s">
        <v>2248</v>
      </c>
    </row>
    <row r="17" customFormat="false" ht="15" hidden="false" customHeight="false" outlineLevel="0" collapsed="false">
      <c r="A17" s="27" t="s">
        <v>2249</v>
      </c>
    </row>
    <row r="18" customFormat="false" ht="15" hidden="false" customHeight="false" outlineLevel="0" collapsed="false">
      <c r="A18" s="27" t="s">
        <v>2250</v>
      </c>
    </row>
    <row r="19" customFormat="false" ht="15" hidden="false" customHeight="false" outlineLevel="0" collapsed="false">
      <c r="A19" s="27" t="s">
        <v>2251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2026-09-22T12:17:25Z</dcterms:created>
  <dc:creator>openpyxl</dc:creator>
  <dc:description/>
  <dc:language>en-US</dc:language>
  <cp:lastModifiedBy/>
  <dcterms:modified xsi:type="dcterms:W3CDTF">2026-09-22T12:17:29Z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