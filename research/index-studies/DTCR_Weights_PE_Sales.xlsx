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ldings" sheetId="1" state="visible" r:id="rId3"/>
    <sheet name="Sectors" sheetId="2" state="visible" r:id="rId4"/>
    <sheet name="Overlap vs S&amp;P 500" sheetId="3" state="visible" r:id="rId5"/>
    <sheet name="Notes" sheetId="4" state="visible" r:id="rId6"/>
    <sheet name="Annual Returns" sheetId="5" state="visible" r:id="rId7"/>
    <sheet name="By Decade" sheetId="6" state="visible" r:id="rId8"/>
  </sheets>
  <definedNames>
    <definedName function="false" hidden="true" localSheetId="0" name="_xlnm._FilterDatabase" vbProcedure="false">Holdings!$A$1:$N$26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<sst xmlns="http://schemas.openxmlformats.org/spreadsheetml/2006/main" count="222" uniqueCount="161">
  <si>
    <t xml:space="preserve">Rank</t>
  </si>
  <si>
    <t xml:space="preserve">Ticker</t>
  </si>
  <si>
    <t xml:space="preserve">Company</t>
  </si>
  <si>
    <t xml:space="preserve">GICS Sector</t>
  </si>
  <si>
    <t xml:space="preserve">Sub-Industry</t>
  </si>
  <si>
    <t xml:space="preserve">Weight</t>
  </si>
  <si>
    <t xml:space="preserve">Cumulative Weight</t>
  </si>
  <si>
    <t xml:space="preserve">Price ($)</t>
  </si>
  <si>
    <t xml:space="preserve">P/E (TTM)</t>
  </si>
  <si>
    <t xml:space="preserve">EPS (TTM)</t>
  </si>
  <si>
    <t xml:space="preserve">Mkt Cap ($B)</t>
  </si>
  <si>
    <t xml:space="preserve">Price/Sales</t>
  </si>
  <si>
    <t xml:space="preserve">Revenue TTM ($B)</t>
  </si>
  <si>
    <t xml:space="preserve">Notes</t>
  </si>
  <si>
    <t xml:space="preserve">DLR</t>
  </si>
  <si>
    <t xml:space="preserve">Digital Realty Trust, Inc.</t>
  </si>
  <si>
    <t xml:space="preserve">Real Estate</t>
  </si>
  <si>
    <t xml:space="preserve">REIT - Specialty</t>
  </si>
  <si>
    <t xml:space="preserve">AMT</t>
  </si>
  <si>
    <t xml:space="preserve">American Tower Corporation</t>
  </si>
  <si>
    <t xml:space="preserve">EQIX</t>
  </si>
  <si>
    <t xml:space="preserve">Equinix, Inc.</t>
  </si>
  <si>
    <t xml:space="preserve">CCI</t>
  </si>
  <si>
    <t xml:space="preserve">Crown Castle Inc.</t>
  </si>
  <si>
    <t xml:space="preserve">GDS</t>
  </si>
  <si>
    <t xml:space="preserve">GDS Holdings Limited</t>
  </si>
  <si>
    <t xml:space="preserve">Information Technology</t>
  </si>
  <si>
    <t xml:space="preserve">Information Technology Services</t>
  </si>
  <si>
    <t xml:space="preserve">ADR: Yahoo mixes USD price with CNY earnings; P/E, EPS, P/S blanked</t>
  </si>
  <si>
    <t xml:space="preserve">APLD</t>
  </si>
  <si>
    <t xml:space="preserve">Applied Digital Corporation</t>
  </si>
  <si>
    <t xml:space="preserve">Negative trailing EPS; P/E blank</t>
  </si>
  <si>
    <t xml:space="preserve">SBAC</t>
  </si>
  <si>
    <t xml:space="preserve">SBA Communications Corporation</t>
  </si>
  <si>
    <t xml:space="preserve">KDCREIT</t>
  </si>
  <si>
    <t xml:space="preserve">KEPPEL DC REIT</t>
  </si>
  <si>
    <t xml:space="preserve">Fundamentals not retrieved from Yahoo</t>
  </si>
  <si>
    <t xml:space="preserve">NXT</t>
  </si>
  <si>
    <t xml:space="preserve">Nextpower Inc.</t>
  </si>
  <si>
    <t xml:space="preserve">Solar</t>
  </si>
  <si>
    <t xml:space="preserve">UNIT</t>
  </si>
  <si>
    <t xml:space="preserve">Uniti Group Inc.</t>
  </si>
  <si>
    <t xml:space="preserve">SMCI</t>
  </si>
  <si>
    <t xml:space="preserve">Super Micro Computer, Inc.</t>
  </si>
  <si>
    <t xml:space="preserve">Computer Hardware</t>
  </si>
  <si>
    <t xml:space="preserve">VNET</t>
  </si>
  <si>
    <t xml:space="preserve">VNET Group, Inc.</t>
  </si>
  <si>
    <t xml:space="preserve">HPE</t>
  </si>
  <si>
    <t xml:space="preserve">Hewlett Packard Enterprise Company</t>
  </si>
  <si>
    <t xml:space="preserve">Communication Equipment</t>
  </si>
  <si>
    <t xml:space="preserve">MRVL</t>
  </si>
  <si>
    <t xml:space="preserve">Marvell Technology, Inc.</t>
  </si>
  <si>
    <t xml:space="preserve">Semiconductors</t>
  </si>
  <si>
    <t xml:space="preserve">MU</t>
  </si>
  <si>
    <t xml:space="preserve">Micron Technology, Inc.</t>
  </si>
  <si>
    <t xml:space="preserve">INTC</t>
  </si>
  <si>
    <t xml:space="preserve">Intel Corporation</t>
  </si>
  <si>
    <t xml:space="preserve">AMD</t>
  </si>
  <si>
    <t xml:space="preserve">Advanced Micro Devices, Inc.</t>
  </si>
  <si>
    <t xml:space="preserve">788</t>
  </si>
  <si>
    <t xml:space="preserve">China Tower Corporation Limited</t>
  </si>
  <si>
    <t xml:space="preserve">Communication Services</t>
  </si>
  <si>
    <t xml:space="preserve">Telecom Services</t>
  </si>
  <si>
    <t xml:space="preserve">Local-currency listing (HKD); price and market cap blank</t>
  </si>
  <si>
    <t xml:space="preserve">NVDA</t>
  </si>
  <si>
    <t xml:space="preserve">NVIDIA Corporation</t>
  </si>
  <si>
    <t xml:space="preserve">2330</t>
  </si>
  <si>
    <t xml:space="preserve">Taiwan Semiconductor Manufacturing Company Limited</t>
  </si>
  <si>
    <t xml:space="preserve">Local-currency listing (TWD); price and market cap blank</t>
  </si>
  <si>
    <t xml:space="preserve">000660</t>
  </si>
  <si>
    <t xml:space="preserve">SK hynix Inc.</t>
  </si>
  <si>
    <t xml:space="preserve">Local-currency listing (KRW); price and market cap blank</t>
  </si>
  <si>
    <t xml:space="preserve">AVGO</t>
  </si>
  <si>
    <t xml:space="preserve">Broadcom Inc.</t>
  </si>
  <si>
    <t xml:space="preserve">MCHP</t>
  </si>
  <si>
    <t xml:space="preserve">Microchip Technology Incorporated</t>
  </si>
  <si>
    <t xml:space="preserve">1686</t>
  </si>
  <si>
    <t xml:space="preserve">SUNeVision Holdings Ltd.</t>
  </si>
  <si>
    <t xml:space="preserve">Real Estate Services</t>
  </si>
  <si>
    <t xml:space="preserve">WYFI</t>
  </si>
  <si>
    <t xml:space="preserve">WhiteFiber, Inc.</t>
  </si>
  <si>
    <t xml:space="preserve">Approx. Weight</t>
  </si>
  <si>
    <t xml:space="preserve"># of Tickers</t>
  </si>
  <si>
    <t xml:space="preserve">Avg P/E (simple, P/E&lt;=100)</t>
  </si>
  <si>
    <t xml:space="preserve">Consumer Discretionary</t>
  </si>
  <si>
    <t xml:space="preserve">Consumer Staples</t>
  </si>
  <si>
    <t xml:space="preserve">Energy</t>
  </si>
  <si>
    <t xml:space="preserve">Financials</t>
  </si>
  <si>
    <t xml:space="preserve">Health Care</t>
  </si>
  <si>
    <t xml:space="preserve">Industrials</t>
  </si>
  <si>
    <t xml:space="preserve">Materials</t>
  </si>
  <si>
    <t xml:space="preserve">Utilities</t>
  </si>
  <si>
    <t xml:space="preserve">Unclassified (no sector retrieved)</t>
  </si>
  <si>
    <t xml:space="preserve">Total</t>
  </si>
  <si>
    <t xml:space="preserve">Holdings shared with the S&amp;P 500 (S&amp;P weights from the companion S&amp;P 500 workbook, Sept 2026)</t>
  </si>
  <si>
    <t xml:space="preserve">14 of 25 holdings are S&amp;P 500 members</t>
  </si>
  <si>
    <t xml:space="preserve">Share of this fund's weight that is inside the S&amp;P 500</t>
  </si>
  <si>
    <t xml:space="preserve">Share of the S&amp;P 500 that those names represent</t>
  </si>
  <si>
    <t xml:space="preserve">Weight in this fund</t>
  </si>
  <si>
    <t xml:space="preserve">Weight in S&amp;P 500</t>
  </si>
  <si>
    <t xml:space="preserve">Ratio (fund ÷ S&amp;P)</t>
  </si>
  <si>
    <t xml:space="preserve">Total (shared names)</t>
  </si>
  <si>
    <t xml:space="preserve">DTCR: Global X Data Center &amp; Digital Infrastructure ETF, constituents, weights, trailing P/E and fund history</t>
  </si>
  <si>
    <t xml:space="preserve">Holdings and weights: Global X's daily full-holdings file (assets.globalxetfs.com). Cash and currency lines are removed and weights rescaled to 100%. DTCR (formerly VPN) tracks the Solactive Data Center REITs &amp; Digital Infrastructure Index: about 25 data-center and cell-tower owners, mostly REITs. As of Sep 22, 2026.</t>
  </si>
  <si>
    <t xml:space="preserve">P/E (TTM), EPS (TTM), Market Cap, Price/Sales, Price, Company name, GICS sector and Sub-Industry: Yahoo Finance via the yfinance library, retrieved Sept 23, 2026. Yahoo's sectors are mapped to GICS sector names; Yahoo's industry label stands in for the GICS sub-industry.</t>
  </si>
  <si>
    <t xml:space="preserve">Revenue TTM ($B) is derived as Market Cap / Price-to-Sales, so it is approximate. Blank where either input is missing.</t>
  </si>
  <si>
    <t xml:space="preserve">Most holdings are REITs, so P/E is a poor measure (depreciation depresses GAAP earnings); investors use funds-from-operations instead. REIT distributions are taxed as ordinary income, which argues for holding this fund in a Roth or IRA. The Sectors tab average excludes blanks and P/Es above 100.</t>
  </si>
  <si>
    <t xml:space="preserve">Cumulative Weight assumes the default sort by rank; after re-sorting it shows the running weight in the new order.</t>
  </si>
  <si>
    <t xml:space="preserve">Overlap tab: every holding whose ticker also appears in the companion S&amp;P 500 workbook, with its weight in each. 'Ratio' shows how many times more concentrated the name is here than in the index.</t>
  </si>
  <si>
    <t xml:space="preserve">For information only; not investment advice.</t>
  </si>
  <si>
    <t xml:space="preserve">Historical tabs 'Annual Returns' (2021-2025) and 'By Decade': the fund launched October 29, 2020, so returns are the fund's own, from Yahoo Finance daily prices. Price Return uses closing prices on the last trading day of each year; Total Return uses dividend-adjusted closes (distributions reinvested). S&amp;P 500 total return (SPY, dividend-adjusted) is shown alongside for the same years. The launch year is a stub and is excluded; 2026 is incomplete and excluded.</t>
  </si>
  <si>
    <t xml:space="preserve">Real returns use December-over-December US CPI-U (NSA) from the BLS (series CUUR0000SA0).</t>
  </si>
  <si>
    <t xml:space="preserve">Fees: the fund's expense ratio is 0.50%; returns above are net of it. The index funds in the companion workbooks charge 0.03% to 0.05%.</t>
  </si>
  <si>
    <t xml:space="preserve">Year</t>
  </si>
  <si>
    <t xml:space="preserve">Decade</t>
  </si>
  <si>
    <t xml:space="preserve">Price Return</t>
  </si>
  <si>
    <t xml:space="preserve">Total Return
(w/ dividends)</t>
  </si>
  <si>
    <t xml:space="preserve">Real Price Return
(inflation-adj.)</t>
  </si>
  <si>
    <t xml:space="preserve">Real Total Return
(inflation-adj.)</t>
  </si>
  <si>
    <t xml:space="preserve">Up / Down
(Total Return)</t>
  </si>
  <si>
    <t xml:space="preserve">Growth of $1
(Total Return)</t>
  </si>
  <si>
    <t xml:space="preserve">Growth of $1
(Price only)</t>
  </si>
  <si>
    <t xml:space="preserve">S&amp;P 500 Total Return
(SPY, comparison)</t>
  </si>
  <si>
    <t xml:space="preserve">Summary</t>
  </si>
  <si>
    <t xml:space="preserve">Years</t>
  </si>
  <si>
    <t xml:space="preserve">Up years</t>
  </si>
  <si>
    <t xml:space="preserve">Down years</t>
  </si>
  <si>
    <t xml:space="preserve">Average annual total return</t>
  </si>
  <si>
    <t xml:space="preserve">Annualized (CAGR) total return</t>
  </si>
  <si>
    <t xml:space="preserve">Average annual real total return</t>
  </si>
  <si>
    <t xml:space="preserve">Best year (total)</t>
  </si>
  <si>
    <t xml:space="preserve">Worst year (total)</t>
  </si>
  <si>
    <t xml:space="preserve">Standard deviation of annual returns</t>
  </si>
  <si>
    <t xml:space="preserve">$1 grew to (total, 2021-2025)</t>
  </si>
  <si>
    <t xml:space="preserve">S&amp;P 500 (SPY) average annual total return</t>
  </si>
  <si>
    <t xml:space="preserve">S&amp;P 500 (SPY) CAGR, same years</t>
  </si>
  <si>
    <t xml:space="preserve">S&amp;P 500 (SPY) $1 grew to</t>
  </si>
  <si>
    <t xml:space="preserve">S&amp;P 500 (SPY) standard deviation</t>
  </si>
  <si>
    <t xml:space="preserve">Fund returns from Yahoo Finance daily data (last trading day of each year). Total return reinvests distributions. Real returns are CPI-adjusted. 'Average' is the simple mean; 'Annualized / CAGR' is the compound rate actually earned.</t>
  </si>
  <si>
    <t xml:space="preserve">2020 (launch year, partial) and 2026 (incomplete) are excluded. See the Notes tab.</t>
  </si>
  <si>
    <t xml:space="preserve">Years
Covered</t>
  </si>
  <si>
    <t xml:space="preserve"># of
Years</t>
  </si>
  <si>
    <t xml:space="preserve">Up
Years</t>
  </si>
  <si>
    <t xml:space="preserve">Down
Years</t>
  </si>
  <si>
    <t xml:space="preserve">Avg Annual
Total Return</t>
  </si>
  <si>
    <t xml:space="preserve">Annualized
(CAGR)
Total Return</t>
  </si>
  <si>
    <t xml:space="preserve">Cumulative
Total Return</t>
  </si>
  <si>
    <t xml:space="preserve">Avg Annual
Price Return</t>
  </si>
  <si>
    <t xml:space="preserve">Annualized
(CAGR)
Price Return</t>
  </si>
  <si>
    <t xml:space="preserve">Avg Annual
Real Total Return</t>
  </si>
  <si>
    <t xml:space="preserve">Best Year
(Total)</t>
  </si>
  <si>
    <t xml:space="preserve">Worst Year
(Total)</t>
  </si>
  <si>
    <t xml:space="preserve">$1 Grew To
(Total)</t>
  </si>
  <si>
    <t xml:space="preserve">S&amp;P 500 (SPY)
CAGR, same years</t>
  </si>
  <si>
    <t xml:space="preserve">2020s</t>
  </si>
  <si>
    <t xml:space="preserve">2021–2025 (partial)</t>
  </si>
  <si>
    <t xml:space="preserve">All years</t>
  </si>
  <si>
    <t xml:space="preserve">2021–2025</t>
  </si>
  <si>
    <t xml:space="preserve">Decades are calendar decades; partial decades are marked.</t>
  </si>
  <si>
    <t xml:space="preserve">Avg Annual = simple average of the yearly returns. Annualized (CAGR) = the compound rate that turns the starting dollar into the ending dollar.</t>
  </si>
  <si>
    <t xml:space="preserve">All figures pull live from the 'Annual Returns' tab. Source and methodology: see the Notes tab.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</si>
</sst>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%"/>
    <numFmt numFmtId="166" formatCode="#,##0.00"/>
    <numFmt numFmtId="167" formatCode="#,##0.0"/>
    <numFmt numFmtId="168" formatCode="0.00"/>
    <numFmt numFmtId="169" formatCode="0.0"/>
    <numFmt numFmtId="170" formatCode="0.0%"/>
    <numFmt numFmtId="171" formatCode="0.0\x"/>
    <numFmt numFmtId="172" formatCode="0"/>
    <numFmt numFmtId="173" formatCode="0.00%;[RED]\-0.00%"/>
    <numFmt numFmtId="174" formatCode="\$#,##0.00"/>
    <numFmt numFmtId="175" formatCode="\$#,##0.00"/>
    <numFmt numFmtId="176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.99"/>
    <col collapsed="false" customWidth="true" hidden="false" outlineLevel="0" max="2" min="2" style="0" width="9.01"/>
    <col collapsed="false" customWidth="true" hidden="false" outlineLevel="0" max="3" min="3" style="0" width="32.02"/>
    <col collapsed="false" customWidth="true" hidden="false" outlineLevel="0" max="4" min="4" style="0" width="23.94"/>
    <col collapsed="false" customWidth="true" hidden="false" outlineLevel="0" max="5" min="5" style="0" width="34.03"/>
    <col collapsed="false" customWidth="true" hidden="false" outlineLevel="0" max="6" min="6" style="0" width="9.95"/>
    <col collapsed="false" customWidth="true" hidden="false" outlineLevel="0" max="7" min="7" style="0" width="13.05"/>
    <col collapsed="false" customWidth="true" hidden="false" outlineLevel="0" max="8" min="8" style="0" width="11.03"/>
    <col collapsed="false" customWidth="true" hidden="false" outlineLevel="0" max="9" min="9" style="0" width="9.95"/>
    <col collapsed="false" customWidth="true" hidden="false" outlineLevel="0" max="10" min="10" style="0" width="13"/>
    <col collapsed="false" customWidth="true" hidden="false" outlineLevel="0" max="11" min="11" style="0" width="13.05"/>
    <col collapsed="false" customWidth="true" hidden="false" outlineLevel="0" max="12" min="12" style="0" width="11.03"/>
    <col collapsed="false" customWidth="true" hidden="false" outlineLevel="0" max="13" min="13" style="0" width="13.99"/>
    <col collapsed="false" customWidth="true" hidden="false" outlineLevel="0" max="14" min="14" style="0" width="59.99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3" t="n">
        <v>0.124385</v>
      </c>
      <c r="G2" s="3" t="n">
        <f aca="false">SUM($F$2:F2)</f>
        <v>0.124385</v>
      </c>
      <c r="H2" s="4" t="n">
        <v>181.45</v>
      </c>
      <c r="I2" s="5" t="n">
        <v>88.9461</v>
      </c>
      <c r="J2" s="4" t="n">
        <v>2.04</v>
      </c>
      <c r="K2" s="5" t="n">
        <v>68.5271</v>
      </c>
      <c r="L2" s="6" t="n">
        <v>10.1416</v>
      </c>
      <c r="M2" s="5" t="n">
        <f aca="false">IF(AND(N(K2)&gt;0,N(L2)&gt;0),K2/L2,"")</f>
        <v>6.75703044884436</v>
      </c>
      <c r="N2" s="2"/>
    </row>
    <row r="3" customFormat="false" ht="15" hidden="false" customHeight="false" outlineLevel="0" collapsed="false">
      <c r="A3" s="2" t="n">
        <v>2</v>
      </c>
      <c r="B3" s="2" t="s">
        <v>18</v>
      </c>
      <c r="C3" s="2" t="s">
        <v>19</v>
      </c>
      <c r="D3" s="2" t="s">
        <v>16</v>
      </c>
      <c r="E3" s="2" t="s">
        <v>17</v>
      </c>
      <c r="F3" s="3" t="n">
        <v>0.122578</v>
      </c>
      <c r="G3" s="3" t="n">
        <f aca="false">SUM($F$2:F3)</f>
        <v>0.246963</v>
      </c>
      <c r="H3" s="4" t="n">
        <v>170.78</v>
      </c>
      <c r="I3" s="5" t="n">
        <v>23.4911</v>
      </c>
      <c r="J3" s="4" t="n">
        <v>7.27</v>
      </c>
      <c r="K3" s="5" t="n">
        <v>79.5767</v>
      </c>
      <c r="L3" s="6" t="n">
        <v>7.2729</v>
      </c>
      <c r="M3" s="5" t="n">
        <f aca="false">IF(AND(N(K3)&gt;0,N(L3)&gt;0),K3/L3,"")</f>
        <v>10.9415363885108</v>
      </c>
      <c r="N3" s="2"/>
    </row>
    <row r="4" customFormat="false" ht="15" hidden="false" customHeight="false" outlineLevel="0" collapsed="false">
      <c r="A4" s="2" t="n">
        <v>3</v>
      </c>
      <c r="B4" s="2" t="s">
        <v>20</v>
      </c>
      <c r="C4" s="2" t="s">
        <v>21</v>
      </c>
      <c r="D4" s="2" t="s">
        <v>16</v>
      </c>
      <c r="E4" s="2" t="s">
        <v>17</v>
      </c>
      <c r="F4" s="3" t="n">
        <v>0.122176</v>
      </c>
      <c r="G4" s="3" t="n">
        <f aca="false">SUM($F$2:F4)</f>
        <v>0.369139</v>
      </c>
      <c r="H4" s="4" t="n">
        <v>1037.66</v>
      </c>
      <c r="I4" s="5" t="n">
        <v>66.6448</v>
      </c>
      <c r="J4" s="4" t="n">
        <v>15.57</v>
      </c>
      <c r="K4" s="5" t="n">
        <v>102.3877</v>
      </c>
      <c r="L4" s="6" t="n">
        <v>10.338</v>
      </c>
      <c r="M4" s="5" t="n">
        <f aca="false">IF(AND(N(K4)&gt;0,N(L4)&gt;0),K4/L4,"")</f>
        <v>9.9040143161153</v>
      </c>
      <c r="N4" s="2"/>
    </row>
    <row r="5" customFormat="false" ht="15" hidden="false" customHeight="false" outlineLevel="0" collapsed="false">
      <c r="A5" s="2" t="n">
        <v>4</v>
      </c>
      <c r="B5" s="2" t="s">
        <v>22</v>
      </c>
      <c r="C5" s="2" t="s">
        <v>23</v>
      </c>
      <c r="D5" s="2" t="s">
        <v>16</v>
      </c>
      <c r="E5" s="2" t="s">
        <v>17</v>
      </c>
      <c r="F5" s="3" t="n">
        <v>0.080514</v>
      </c>
      <c r="G5" s="3" t="n">
        <f aca="false">SUM($F$2:F5)</f>
        <v>0.449653</v>
      </c>
      <c r="H5" s="4" t="n">
        <v>70.23</v>
      </c>
      <c r="I5" s="5" t="n">
        <v>28.6653</v>
      </c>
      <c r="J5" s="4" t="n">
        <v>2.45</v>
      </c>
      <c r="K5" s="5" t="n">
        <v>30.6905</v>
      </c>
      <c r="L5" s="6" t="n">
        <v>7.3758</v>
      </c>
      <c r="M5" s="5" t="n">
        <f aca="false">IF(AND(N(K5)&gt;0,N(L5)&gt;0),K5/L5,"")</f>
        <v>4.16097236909895</v>
      </c>
      <c r="N5" s="2"/>
    </row>
    <row r="6" customFormat="false" ht="15" hidden="false" customHeight="false" outlineLevel="0" collapsed="false">
      <c r="A6" s="2" t="n">
        <v>5</v>
      </c>
      <c r="B6" s="2" t="s">
        <v>24</v>
      </c>
      <c r="C6" s="2" t="s">
        <v>25</v>
      </c>
      <c r="D6" s="2" t="s">
        <v>26</v>
      </c>
      <c r="E6" s="2" t="s">
        <v>27</v>
      </c>
      <c r="F6" s="3" t="n">
        <v>0.044875</v>
      </c>
      <c r="G6" s="3" t="n">
        <f aca="false">SUM($F$2:F6)</f>
        <v>0.494528</v>
      </c>
      <c r="H6" s="4" t="n">
        <v>33.11</v>
      </c>
      <c r="I6" s="5"/>
      <c r="J6" s="4"/>
      <c r="K6" s="5" t="n">
        <v>6.6345</v>
      </c>
      <c r="L6" s="6"/>
      <c r="M6" s="5" t="str">
        <f aca="false">IF(AND(N(K6)&gt;0,N(L6)&gt;0),K6/L6,"")</f>
        <v/>
      </c>
      <c r="N6" s="2" t="s">
        <v>28</v>
      </c>
    </row>
    <row r="7" customFormat="false" ht="15" hidden="false" customHeight="false" outlineLevel="0" collapsed="false">
      <c r="A7" s="2" t="n">
        <v>6</v>
      </c>
      <c r="B7" s="2" t="s">
        <v>29</v>
      </c>
      <c r="C7" s="2" t="s">
        <v>30</v>
      </c>
      <c r="D7" s="2" t="s">
        <v>26</v>
      </c>
      <c r="E7" s="2" t="s">
        <v>27</v>
      </c>
      <c r="F7" s="3" t="n">
        <v>0.04367</v>
      </c>
      <c r="G7" s="3" t="n">
        <f aca="false">SUM($F$2:F7)</f>
        <v>0.538198</v>
      </c>
      <c r="H7" s="4" t="n">
        <v>27.23</v>
      </c>
      <c r="I7" s="5"/>
      <c r="J7" s="4" t="n">
        <v>-0.92</v>
      </c>
      <c r="K7" s="5" t="n">
        <v>7.7416</v>
      </c>
      <c r="L7" s="6" t="n">
        <v>12.6639</v>
      </c>
      <c r="M7" s="5" t="n">
        <f aca="false">IF(AND(N(K7)&gt;0,N(L7)&gt;0),K7/L7,"")</f>
        <v>0.611312470881798</v>
      </c>
      <c r="N7" s="2" t="s">
        <v>31</v>
      </c>
    </row>
    <row r="8" customFormat="false" ht="15" hidden="false" customHeight="false" outlineLevel="0" collapsed="false">
      <c r="A8" s="2" t="n">
        <v>7</v>
      </c>
      <c r="B8" s="2" t="s">
        <v>32</v>
      </c>
      <c r="C8" s="2" t="s">
        <v>33</v>
      </c>
      <c r="D8" s="2" t="s">
        <v>16</v>
      </c>
      <c r="E8" s="2" t="s">
        <v>17</v>
      </c>
      <c r="F8" s="3" t="n">
        <v>0.041562</v>
      </c>
      <c r="G8" s="3" t="n">
        <f aca="false">SUM($F$2:F8)</f>
        <v>0.57976</v>
      </c>
      <c r="H8" s="4" t="n">
        <v>170.53</v>
      </c>
      <c r="I8" s="5" t="n">
        <v>18.4158</v>
      </c>
      <c r="J8" s="4" t="n">
        <v>9.26</v>
      </c>
      <c r="K8" s="5" t="n">
        <v>18.0912</v>
      </c>
      <c r="L8" s="6" t="n">
        <v>6.3022</v>
      </c>
      <c r="M8" s="5" t="n">
        <f aca="false">IF(AND(N(K8)&gt;0,N(L8)&gt;0),K8/L8,"")</f>
        <v>2.87061661007267</v>
      </c>
      <c r="N8" s="2"/>
    </row>
    <row r="9" customFormat="false" ht="15" hidden="false" customHeight="false" outlineLevel="0" collapsed="false">
      <c r="A9" s="2" t="n">
        <v>8</v>
      </c>
      <c r="B9" s="2" t="s">
        <v>34</v>
      </c>
      <c r="C9" s="2" t="s">
        <v>35</v>
      </c>
      <c r="D9" s="2"/>
      <c r="E9" s="2"/>
      <c r="F9" s="3" t="n">
        <v>0.041462</v>
      </c>
      <c r="G9" s="3" t="n">
        <f aca="false">SUM($F$2:F9)</f>
        <v>0.621222</v>
      </c>
      <c r="H9" s="4"/>
      <c r="I9" s="5"/>
      <c r="J9" s="4"/>
      <c r="K9" s="5"/>
      <c r="L9" s="6"/>
      <c r="M9" s="5" t="str">
        <f aca="false">IF(AND(N(K9)&gt;0,N(L9)&gt;0),K9/L9,"")</f>
        <v/>
      </c>
      <c r="N9" s="2" t="s">
        <v>36</v>
      </c>
    </row>
    <row r="10" customFormat="false" ht="15" hidden="false" customHeight="false" outlineLevel="0" collapsed="false">
      <c r="A10" s="2" t="n">
        <v>9</v>
      </c>
      <c r="B10" s="2" t="s">
        <v>37</v>
      </c>
      <c r="C10" s="2" t="s">
        <v>38</v>
      </c>
      <c r="D10" s="2" t="s">
        <v>26</v>
      </c>
      <c r="E10" s="2" t="s">
        <v>39</v>
      </c>
      <c r="F10" s="3" t="n">
        <v>0.037044</v>
      </c>
      <c r="G10" s="3" t="n">
        <f aca="false">SUM($F$2:F10)</f>
        <v>0.658266</v>
      </c>
      <c r="H10" s="4" t="n">
        <v>81.81</v>
      </c>
      <c r="I10" s="5" t="n">
        <v>21.1395</v>
      </c>
      <c r="J10" s="4" t="n">
        <v>3.87</v>
      </c>
      <c r="K10" s="5" t="n">
        <v>12.5692</v>
      </c>
      <c r="L10" s="6" t="n">
        <v>3.4623</v>
      </c>
      <c r="M10" s="5" t="n">
        <f aca="false">IF(AND(N(K10)&gt;0,N(L10)&gt;0),K10/L10,"")</f>
        <v>3.63030355544003</v>
      </c>
      <c r="N10" s="2"/>
    </row>
    <row r="11" customFormat="false" ht="15" hidden="false" customHeight="false" outlineLevel="0" collapsed="false">
      <c r="A11" s="2" t="n">
        <v>10</v>
      </c>
      <c r="B11" s="2" t="s">
        <v>40</v>
      </c>
      <c r="C11" s="2" t="s">
        <v>41</v>
      </c>
      <c r="D11" s="2" t="s">
        <v>16</v>
      </c>
      <c r="E11" s="2" t="s">
        <v>17</v>
      </c>
      <c r="F11" s="3" t="n">
        <v>0.03323</v>
      </c>
      <c r="G11" s="3" t="n">
        <f aca="false">SUM($F$2:F11)</f>
        <v>0.691496</v>
      </c>
      <c r="H11" s="4" t="n">
        <v>9.16</v>
      </c>
      <c r="I11" s="5" t="n">
        <v>2.3854</v>
      </c>
      <c r="J11" s="4" t="n">
        <v>3.84</v>
      </c>
      <c r="K11" s="5" t="n">
        <v>2.2234</v>
      </c>
      <c r="L11" s="6" t="n">
        <v>0.6286</v>
      </c>
      <c r="M11" s="5" t="n">
        <f aca="false">IF(AND(N(K11)&gt;0,N(L11)&gt;0),K11/L11,"")</f>
        <v>3.53706649697741</v>
      </c>
      <c r="N11" s="2"/>
    </row>
    <row r="12" customFormat="false" ht="15" hidden="false" customHeight="false" outlineLevel="0" collapsed="false">
      <c r="A12" s="2" t="n">
        <v>11</v>
      </c>
      <c r="B12" s="2" t="s">
        <v>42</v>
      </c>
      <c r="C12" s="2" t="s">
        <v>43</v>
      </c>
      <c r="D12" s="2" t="s">
        <v>26</v>
      </c>
      <c r="E12" s="2" t="s">
        <v>44</v>
      </c>
      <c r="F12" s="3" t="n">
        <v>0.030519</v>
      </c>
      <c r="G12" s="3" t="n">
        <f aca="false">SUM($F$2:F12)</f>
        <v>0.722015</v>
      </c>
      <c r="H12" s="4" t="n">
        <v>41.44</v>
      </c>
      <c r="I12" s="5" t="n">
        <v>12.7117</v>
      </c>
      <c r="J12" s="4" t="n">
        <v>3.26</v>
      </c>
      <c r="K12" s="5" t="n">
        <v>27.2246</v>
      </c>
      <c r="L12" s="6" t="n">
        <v>0.6969</v>
      </c>
      <c r="M12" s="5" t="n">
        <f aca="false">IF(AND(N(K12)&gt;0,N(L12)&gt;0),K12/L12,"")</f>
        <v>39.0652891376094</v>
      </c>
      <c r="N12" s="2"/>
    </row>
    <row r="13" customFormat="false" ht="15" hidden="false" customHeight="false" outlineLevel="0" collapsed="false">
      <c r="A13" s="2" t="n">
        <v>12</v>
      </c>
      <c r="B13" s="2" t="s">
        <v>45</v>
      </c>
      <c r="C13" s="2" t="s">
        <v>46</v>
      </c>
      <c r="D13" s="2" t="s">
        <v>26</v>
      </c>
      <c r="E13" s="2" t="s">
        <v>27</v>
      </c>
      <c r="F13" s="3" t="n">
        <v>0.029515</v>
      </c>
      <c r="G13" s="3" t="n">
        <f aca="false">SUM($F$2:F13)</f>
        <v>0.75153</v>
      </c>
      <c r="H13" s="4" t="n">
        <v>6.92</v>
      </c>
      <c r="I13" s="5"/>
      <c r="J13" s="4"/>
      <c r="K13" s="5" t="n">
        <v>1.9701</v>
      </c>
      <c r="L13" s="6"/>
      <c r="M13" s="5" t="str">
        <f aca="false">IF(AND(N(K13)&gt;0,N(L13)&gt;0),K13/L13,"")</f>
        <v/>
      </c>
      <c r="N13" s="2" t="s">
        <v>28</v>
      </c>
    </row>
    <row r="14" customFormat="false" ht="15" hidden="false" customHeight="false" outlineLevel="0" collapsed="false">
      <c r="A14" s="2" t="n">
        <v>13</v>
      </c>
      <c r="B14" s="2" t="s">
        <v>47</v>
      </c>
      <c r="C14" s="2" t="s">
        <v>48</v>
      </c>
      <c r="D14" s="2" t="s">
        <v>26</v>
      </c>
      <c r="E14" s="2" t="s">
        <v>49</v>
      </c>
      <c r="F14" s="3" t="n">
        <v>0.025499</v>
      </c>
      <c r="G14" s="3" t="n">
        <f aca="false">SUM($F$2:F14)</f>
        <v>0.777029</v>
      </c>
      <c r="H14" s="4" t="n">
        <v>62.33</v>
      </c>
      <c r="I14" s="5" t="n">
        <v>32.1289</v>
      </c>
      <c r="J14" s="4" t="n">
        <v>1.94</v>
      </c>
      <c r="K14" s="5" t="n">
        <v>82.7409</v>
      </c>
      <c r="L14" s="6" t="n">
        <v>1.9761</v>
      </c>
      <c r="M14" s="5" t="n">
        <f aca="false">IF(AND(N(K14)&gt;0,N(L14)&gt;0),K14/L14,"")</f>
        <v>41.8708061332928</v>
      </c>
      <c r="N14" s="2"/>
    </row>
    <row r="15" customFormat="false" ht="15" hidden="false" customHeight="false" outlineLevel="0" collapsed="false">
      <c r="A15" s="2" t="n">
        <v>14</v>
      </c>
      <c r="B15" s="2" t="s">
        <v>50</v>
      </c>
      <c r="C15" s="2" t="s">
        <v>51</v>
      </c>
      <c r="D15" s="2" t="s">
        <v>26</v>
      </c>
      <c r="E15" s="2" t="s">
        <v>52</v>
      </c>
      <c r="F15" s="3" t="n">
        <v>0.025098</v>
      </c>
      <c r="G15" s="3" t="n">
        <f aca="false">SUM($F$2:F15)</f>
        <v>0.802127</v>
      </c>
      <c r="H15" s="4" t="n">
        <v>260.9</v>
      </c>
      <c r="I15" s="5" t="n">
        <v>86.9667</v>
      </c>
      <c r="J15" s="4" t="n">
        <v>3</v>
      </c>
      <c r="K15" s="5" t="n">
        <v>234.472</v>
      </c>
      <c r="L15" s="6" t="n">
        <v>24.8111</v>
      </c>
      <c r="M15" s="5" t="n">
        <f aca="false">IF(AND(N(K15)&gt;0,N(L15)&gt;0),K15/L15,"")</f>
        <v>9.45028636376461</v>
      </c>
      <c r="N15" s="2"/>
    </row>
    <row r="16" customFormat="false" ht="15" hidden="false" customHeight="false" outlineLevel="0" collapsed="false">
      <c r="A16" s="2" t="n">
        <v>15</v>
      </c>
      <c r="B16" s="2" t="s">
        <v>53</v>
      </c>
      <c r="C16" s="2" t="s">
        <v>54</v>
      </c>
      <c r="D16" s="2" t="s">
        <v>26</v>
      </c>
      <c r="E16" s="2" t="s">
        <v>52</v>
      </c>
      <c r="F16" s="3" t="n">
        <v>0.023893</v>
      </c>
      <c r="G16" s="3" t="n">
        <f aca="false">SUM($F$2:F16)</f>
        <v>0.82602</v>
      </c>
      <c r="H16" s="4" t="n">
        <v>1071.88</v>
      </c>
      <c r="I16" s="5" t="n">
        <v>24.2069</v>
      </c>
      <c r="J16" s="4" t="n">
        <v>44.28</v>
      </c>
      <c r="K16" s="5" t="n">
        <v>1210.5739</v>
      </c>
      <c r="L16" s="6" t="n">
        <v>13.41</v>
      </c>
      <c r="M16" s="5" t="n">
        <f aca="false">IF(AND(N(K16)&gt;0,N(L16)&gt;0),K16/L16,"")</f>
        <v>90.2739671886652</v>
      </c>
      <c r="N16" s="2"/>
    </row>
    <row r="17" customFormat="false" ht="15" hidden="false" customHeight="false" outlineLevel="0" collapsed="false">
      <c r="A17" s="2" t="n">
        <v>16</v>
      </c>
      <c r="B17" s="2" t="s">
        <v>55</v>
      </c>
      <c r="C17" s="2" t="s">
        <v>56</v>
      </c>
      <c r="D17" s="2" t="s">
        <v>26</v>
      </c>
      <c r="E17" s="2" t="s">
        <v>52</v>
      </c>
      <c r="F17" s="3" t="n">
        <v>0.023793</v>
      </c>
      <c r="G17" s="3" t="n">
        <f aca="false">SUM($F$2:F17)</f>
        <v>0.849813</v>
      </c>
      <c r="H17" s="4" t="n">
        <v>122.6</v>
      </c>
      <c r="I17" s="5"/>
      <c r="J17" s="4" t="n">
        <v>-2.07</v>
      </c>
      <c r="K17" s="5" t="n">
        <v>648.0765</v>
      </c>
      <c r="L17" s="6" t="n">
        <v>11.3634</v>
      </c>
      <c r="M17" s="5" t="n">
        <f aca="false">IF(AND(N(K17)&gt;0,N(L17)&gt;0),K17/L17,"")</f>
        <v>57.0319182638999</v>
      </c>
      <c r="N17" s="2" t="s">
        <v>31</v>
      </c>
    </row>
    <row r="18" customFormat="false" ht="15" hidden="false" customHeight="false" outlineLevel="0" collapsed="false">
      <c r="A18" s="2" t="n">
        <v>17</v>
      </c>
      <c r="B18" s="2" t="s">
        <v>57</v>
      </c>
      <c r="C18" s="2" t="s">
        <v>58</v>
      </c>
      <c r="D18" s="2" t="s">
        <v>26</v>
      </c>
      <c r="E18" s="2" t="s">
        <v>52</v>
      </c>
      <c r="F18" s="3" t="n">
        <v>0.023291</v>
      </c>
      <c r="G18" s="3" t="n">
        <f aca="false">SUM($F$2:F18)</f>
        <v>0.873104</v>
      </c>
      <c r="H18" s="4" t="n">
        <v>614.61</v>
      </c>
      <c r="I18" s="5" t="n">
        <v>156.3893</v>
      </c>
      <c r="J18" s="4" t="n">
        <v>3.93</v>
      </c>
      <c r="K18" s="5" t="n">
        <v>1003.3355</v>
      </c>
      <c r="L18" s="6" t="n">
        <v>24.2909</v>
      </c>
      <c r="M18" s="5" t="n">
        <f aca="false">IF(AND(N(K18)&gt;0,N(L18)&gt;0),K18/L18,"")</f>
        <v>41.3049948746238</v>
      </c>
      <c r="N18" s="2"/>
    </row>
    <row r="19" customFormat="false" ht="15" hidden="false" customHeight="false" outlineLevel="0" collapsed="false">
      <c r="A19" s="2" t="n">
        <v>18</v>
      </c>
      <c r="B19" s="2" t="s">
        <v>59</v>
      </c>
      <c r="C19" s="2" t="s">
        <v>60</v>
      </c>
      <c r="D19" s="2" t="s">
        <v>61</v>
      </c>
      <c r="E19" s="2" t="s">
        <v>62</v>
      </c>
      <c r="F19" s="3" t="n">
        <v>0.021685</v>
      </c>
      <c r="G19" s="3" t="n">
        <f aca="false">SUM($F$2:F19)</f>
        <v>0.894789</v>
      </c>
      <c r="H19" s="4"/>
      <c r="I19" s="5" t="n">
        <v>9.9778</v>
      </c>
      <c r="J19" s="4" t="n">
        <v>0.9</v>
      </c>
      <c r="K19" s="5"/>
      <c r="L19" s="6" t="n">
        <v>1.5777</v>
      </c>
      <c r="M19" s="5" t="str">
        <f aca="false">IF(AND(N(K19)&gt;0,N(L19)&gt;0),K19/L19,"")</f>
        <v/>
      </c>
      <c r="N19" s="2" t="s">
        <v>63</v>
      </c>
    </row>
    <row r="20" customFormat="false" ht="15" hidden="false" customHeight="false" outlineLevel="0" collapsed="false">
      <c r="A20" s="2" t="n">
        <v>19</v>
      </c>
      <c r="B20" s="2" t="s">
        <v>64</v>
      </c>
      <c r="C20" s="2" t="s">
        <v>65</v>
      </c>
      <c r="D20" s="2" t="s">
        <v>26</v>
      </c>
      <c r="E20" s="2" t="s">
        <v>52</v>
      </c>
      <c r="F20" s="3" t="n">
        <v>0.021183</v>
      </c>
      <c r="G20" s="3" t="n">
        <f aca="false">SUM($F$2:F20)</f>
        <v>0.915972</v>
      </c>
      <c r="H20" s="4" t="n">
        <v>225.51</v>
      </c>
      <c r="I20" s="5" t="n">
        <v>28.4735</v>
      </c>
      <c r="J20" s="4" t="n">
        <v>7.92</v>
      </c>
      <c r="K20" s="5" t="n">
        <v>5445.3899</v>
      </c>
      <c r="L20" s="6" t="n">
        <v>17.9734</v>
      </c>
      <c r="M20" s="5" t="n">
        <f aca="false">IF(AND(N(K20)&gt;0,N(L20)&gt;0),K20/L20,"")</f>
        <v>302.969382531964</v>
      </c>
      <c r="N20" s="2"/>
    </row>
    <row r="21" customFormat="false" ht="15" hidden="false" customHeight="false" outlineLevel="0" collapsed="false">
      <c r="A21" s="2" t="n">
        <v>20</v>
      </c>
      <c r="B21" s="2" t="s">
        <v>66</v>
      </c>
      <c r="C21" s="2" t="s">
        <v>67</v>
      </c>
      <c r="D21" s="2" t="s">
        <v>26</v>
      </c>
      <c r="E21" s="2" t="s">
        <v>52</v>
      </c>
      <c r="F21" s="3" t="n">
        <v>0.019978</v>
      </c>
      <c r="G21" s="3" t="n">
        <f aca="false">SUM($F$2:F21)</f>
        <v>0.93595</v>
      </c>
      <c r="H21" s="4"/>
      <c r="I21" s="5" t="n">
        <v>29.0058</v>
      </c>
      <c r="J21" s="4" t="n">
        <v>85.5</v>
      </c>
      <c r="K21" s="5"/>
      <c r="L21" s="6" t="n">
        <v>14.4831</v>
      </c>
      <c r="M21" s="5" t="str">
        <f aca="false">IF(AND(N(K21)&gt;0,N(L21)&gt;0),K21/L21,"")</f>
        <v/>
      </c>
      <c r="N21" s="2" t="s">
        <v>68</v>
      </c>
    </row>
    <row r="22" customFormat="false" ht="15" hidden="false" customHeight="false" outlineLevel="0" collapsed="false">
      <c r="A22" s="2" t="n">
        <v>21</v>
      </c>
      <c r="B22" s="2" t="s">
        <v>69</v>
      </c>
      <c r="C22" s="2" t="s">
        <v>70</v>
      </c>
      <c r="D22" s="2" t="s">
        <v>26</v>
      </c>
      <c r="E22" s="2" t="s">
        <v>52</v>
      </c>
      <c r="F22" s="3" t="n">
        <v>0.019074</v>
      </c>
      <c r="G22" s="3" t="n">
        <f aca="false">SUM($F$2:F22)</f>
        <v>0.955024</v>
      </c>
      <c r="H22" s="4"/>
      <c r="I22" s="5"/>
      <c r="J22" s="4"/>
      <c r="K22" s="5"/>
      <c r="L22" s="6" t="n">
        <v>6.9871</v>
      </c>
      <c r="M22" s="5" t="str">
        <f aca="false">IF(AND(N(K22)&gt;0,N(L22)&gt;0),K22/L22,"")</f>
        <v/>
      </c>
      <c r="N22" s="2" t="s">
        <v>71</v>
      </c>
    </row>
    <row r="23" customFormat="false" ht="15" hidden="false" customHeight="false" outlineLevel="0" collapsed="false">
      <c r="A23" s="2" t="n">
        <v>22</v>
      </c>
      <c r="B23" s="2" t="s">
        <v>72</v>
      </c>
      <c r="C23" s="2" t="s">
        <v>73</v>
      </c>
      <c r="D23" s="2" t="s">
        <v>26</v>
      </c>
      <c r="E23" s="2" t="s">
        <v>52</v>
      </c>
      <c r="F23" s="3" t="n">
        <v>0.018171</v>
      </c>
      <c r="G23" s="3" t="n">
        <f aca="false">SUM($F$2:F23)</f>
        <v>0.973195</v>
      </c>
      <c r="H23" s="4" t="n">
        <v>354.99</v>
      </c>
      <c r="I23" s="5" t="n">
        <v>45.3372</v>
      </c>
      <c r="J23" s="4" t="n">
        <v>7.83</v>
      </c>
      <c r="K23" s="5" t="n">
        <v>1694.5908</v>
      </c>
      <c r="L23" s="6" t="n">
        <v>19.0181</v>
      </c>
      <c r="M23" s="5" t="n">
        <f aca="false">IF(AND(N(K23)&gt;0,N(L23)&gt;0),K23/L23,"")</f>
        <v>89.1041060884105</v>
      </c>
      <c r="N23" s="2"/>
    </row>
    <row r="24" customFormat="false" ht="15" hidden="false" customHeight="false" outlineLevel="0" collapsed="false">
      <c r="A24" s="2" t="n">
        <v>23</v>
      </c>
      <c r="B24" s="2" t="s">
        <v>74</v>
      </c>
      <c r="C24" s="2" t="s">
        <v>75</v>
      </c>
      <c r="D24" s="2" t="s">
        <v>26</v>
      </c>
      <c r="E24" s="2" t="s">
        <v>52</v>
      </c>
      <c r="F24" s="3" t="n">
        <v>0.017267</v>
      </c>
      <c r="G24" s="3" t="n">
        <f aca="false">SUM($F$2:F24)</f>
        <v>0.990462</v>
      </c>
      <c r="H24" s="4" t="n">
        <v>75.53</v>
      </c>
      <c r="I24" s="5" t="n">
        <v>111.0735</v>
      </c>
      <c r="J24" s="4" t="n">
        <v>0.68</v>
      </c>
      <c r="K24" s="5" t="n">
        <v>41.0134</v>
      </c>
      <c r="L24" s="6" t="n">
        <v>8.0068</v>
      </c>
      <c r="M24" s="5" t="n">
        <f aca="false">IF(AND(N(K24)&gt;0,N(L24)&gt;0),K24/L24,"")</f>
        <v>5.12232102712694</v>
      </c>
      <c r="N24" s="2"/>
    </row>
    <row r="25" customFormat="false" ht="15" hidden="false" customHeight="false" outlineLevel="0" collapsed="false">
      <c r="A25" s="2" t="n">
        <v>24</v>
      </c>
      <c r="B25" s="2" t="s">
        <v>76</v>
      </c>
      <c r="C25" s="2" t="s">
        <v>77</v>
      </c>
      <c r="D25" s="2" t="s">
        <v>16</v>
      </c>
      <c r="E25" s="2" t="s">
        <v>78</v>
      </c>
      <c r="F25" s="3" t="n">
        <v>0.006626</v>
      </c>
      <c r="G25" s="3" t="n">
        <f aca="false">SUM($F$2:F25)</f>
        <v>0.997088</v>
      </c>
      <c r="H25" s="4"/>
      <c r="I25" s="5" t="n">
        <v>20.4107</v>
      </c>
      <c r="J25" s="4" t="n">
        <v>0.28</v>
      </c>
      <c r="K25" s="5"/>
      <c r="L25" s="6" t="n">
        <v>4.3324</v>
      </c>
      <c r="M25" s="5" t="str">
        <f aca="false">IF(AND(N(K25)&gt;0,N(L25)&gt;0),K25/L25,"")</f>
        <v/>
      </c>
      <c r="N25" s="2" t="s">
        <v>63</v>
      </c>
    </row>
    <row r="26" customFormat="false" ht="15" hidden="false" customHeight="false" outlineLevel="0" collapsed="false">
      <c r="A26" s="2" t="n">
        <v>25</v>
      </c>
      <c r="B26" s="2" t="s">
        <v>79</v>
      </c>
      <c r="C26" s="2" t="s">
        <v>80</v>
      </c>
      <c r="D26" s="2" t="s">
        <v>26</v>
      </c>
      <c r="E26" s="2" t="s">
        <v>27</v>
      </c>
      <c r="F26" s="3" t="n">
        <v>0.002911</v>
      </c>
      <c r="G26" s="3" t="n">
        <f aca="false">SUM($F$2:F26)</f>
        <v>0.999999</v>
      </c>
      <c r="H26" s="4" t="n">
        <v>19.05</v>
      </c>
      <c r="I26" s="5"/>
      <c r="J26" s="4" t="n">
        <v>-1.16</v>
      </c>
      <c r="K26" s="5" t="n">
        <v>0.7401</v>
      </c>
      <c r="L26" s="6" t="n">
        <v>7.9631</v>
      </c>
      <c r="M26" s="5" t="n">
        <f aca="false">IF(AND(N(K26)&gt;0,N(L26)&gt;0),K26/L26,"")</f>
        <v>0.0929411912446158</v>
      </c>
      <c r="N26" s="2" t="s">
        <v>31</v>
      </c>
    </row>
  </sheetData>
  <autoFilter ref="A1:N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7.98"/>
    <col collapsed="false" customWidth="true" hidden="false" outlineLevel="0" max="2" min="2" style="0" width="16.01"/>
    <col collapsed="false" customWidth="true" hidden="false" outlineLevel="0" max="3" min="3" style="0" width="13.99"/>
    <col collapsed="false" customWidth="true" hidden="false" outlineLevel="0" max="4" min="4" style="0" width="20.04"/>
  </cols>
  <sheetData>
    <row r="1" customFormat="false" ht="15" hidden="false" customHeight="false" outlineLevel="0" collapsed="false">
      <c r="A1" s="7" t="s">
        <v>3</v>
      </c>
      <c r="B1" s="7" t="s">
        <v>81</v>
      </c>
      <c r="C1" s="7" t="s">
        <v>82</v>
      </c>
      <c r="D1" s="7" t="s">
        <v>83</v>
      </c>
    </row>
    <row r="2" customFormat="false" ht="15" hidden="false" customHeight="false" outlineLevel="0" collapsed="false">
      <c r="A2" s="2" t="s">
        <v>61</v>
      </c>
      <c r="B2" s="3" t="n">
        <f aca="false">SUMIF(Holdings!$D$2:$D$26,A2,Holdings!$F$2:$F$26)</f>
        <v>0.021685</v>
      </c>
      <c r="C2" s="2" t="n">
        <f aca="false">COUNTIF(Holdings!$D$2:$D$26,A2)</f>
        <v>1</v>
      </c>
      <c r="D2" s="8" t="n">
        <f aca="false">IFERROR(AVERAGEIFS(Holdings!$I$2:$I$26,Holdings!$D$2:$D$26,A2,Holdings!$I$2:$I$26,"&lt;=100"),"")</f>
        <v>9.9778</v>
      </c>
    </row>
    <row r="3" customFormat="false" ht="15" hidden="false" customHeight="false" outlineLevel="0" collapsed="false">
      <c r="A3" s="2" t="s">
        <v>84</v>
      </c>
      <c r="B3" s="3" t="n">
        <f aca="false">SUMIF(Holdings!$D$2:$D$26,A3,Holdings!$F$2:$F$26)</f>
        <v>0</v>
      </c>
      <c r="C3" s="2" t="n">
        <f aca="false">COUNTIF(Holdings!$D$2:$D$26,A3)</f>
        <v>0</v>
      </c>
      <c r="D3" s="8" t="str">
        <f aca="false">IFERROR(AVERAGEIFS(Holdings!$I$2:$I$26,Holdings!$D$2:$D$26,A3,Holdings!$I$2:$I$26,"&lt;=100"),"")</f>
        <v/>
      </c>
    </row>
    <row r="4" customFormat="false" ht="15" hidden="false" customHeight="false" outlineLevel="0" collapsed="false">
      <c r="A4" s="2" t="s">
        <v>85</v>
      </c>
      <c r="B4" s="3" t="n">
        <f aca="false">SUMIF(Holdings!$D$2:$D$26,A4,Holdings!$F$2:$F$26)</f>
        <v>0</v>
      </c>
      <c r="C4" s="2" t="n">
        <f aca="false">COUNTIF(Holdings!$D$2:$D$26,A4)</f>
        <v>0</v>
      </c>
      <c r="D4" s="8" t="str">
        <f aca="false">IFERROR(AVERAGEIFS(Holdings!$I$2:$I$26,Holdings!$D$2:$D$26,A4,Holdings!$I$2:$I$26,"&lt;=100"),"")</f>
        <v/>
      </c>
    </row>
    <row r="5" customFormat="false" ht="15" hidden="false" customHeight="false" outlineLevel="0" collapsed="false">
      <c r="A5" s="2" t="s">
        <v>86</v>
      </c>
      <c r="B5" s="3" t="n">
        <f aca="false">SUMIF(Holdings!$D$2:$D$26,A5,Holdings!$F$2:$F$26)</f>
        <v>0</v>
      </c>
      <c r="C5" s="2" t="n">
        <f aca="false">COUNTIF(Holdings!$D$2:$D$26,A5)</f>
        <v>0</v>
      </c>
      <c r="D5" s="8" t="str">
        <f aca="false">IFERROR(AVERAGEIFS(Holdings!$I$2:$I$26,Holdings!$D$2:$D$26,A5,Holdings!$I$2:$I$26,"&lt;=100"),"")</f>
        <v/>
      </c>
    </row>
    <row r="6" customFormat="false" ht="15" hidden="false" customHeight="false" outlineLevel="0" collapsed="false">
      <c r="A6" s="2" t="s">
        <v>87</v>
      </c>
      <c r="B6" s="3" t="n">
        <f aca="false">SUMIF(Holdings!$D$2:$D$26,A6,Holdings!$F$2:$F$26)</f>
        <v>0</v>
      </c>
      <c r="C6" s="2" t="n">
        <f aca="false">COUNTIF(Holdings!$D$2:$D$26,A6)</f>
        <v>0</v>
      </c>
      <c r="D6" s="8" t="str">
        <f aca="false">IFERROR(AVERAGEIFS(Holdings!$I$2:$I$26,Holdings!$D$2:$D$26,A6,Holdings!$I$2:$I$26,"&lt;=100"),"")</f>
        <v/>
      </c>
    </row>
    <row r="7" customFormat="false" ht="15" hidden="false" customHeight="false" outlineLevel="0" collapsed="false">
      <c r="A7" s="2" t="s">
        <v>88</v>
      </c>
      <c r="B7" s="3" t="n">
        <f aca="false">SUMIF(Holdings!$D$2:$D$26,A7,Holdings!$F$2:$F$26)</f>
        <v>0</v>
      </c>
      <c r="C7" s="2" t="n">
        <f aca="false">COUNTIF(Holdings!$D$2:$D$26,A7)</f>
        <v>0</v>
      </c>
      <c r="D7" s="8" t="str">
        <f aca="false">IFERROR(AVERAGEIFS(Holdings!$I$2:$I$26,Holdings!$D$2:$D$26,A7,Holdings!$I$2:$I$26,"&lt;=100"),"")</f>
        <v/>
      </c>
    </row>
    <row r="8" customFormat="false" ht="15" hidden="false" customHeight="false" outlineLevel="0" collapsed="false">
      <c r="A8" s="2" t="s">
        <v>89</v>
      </c>
      <c r="B8" s="3" t="n">
        <f aca="false">SUMIF(Holdings!$D$2:$D$26,A8,Holdings!$F$2:$F$26)</f>
        <v>0</v>
      </c>
      <c r="C8" s="2" t="n">
        <f aca="false">COUNTIF(Holdings!$D$2:$D$26,A8)</f>
        <v>0</v>
      </c>
      <c r="D8" s="8" t="str">
        <f aca="false">IFERROR(AVERAGEIFS(Holdings!$I$2:$I$26,Holdings!$D$2:$D$26,A8,Holdings!$I$2:$I$26,"&lt;=100"),"")</f>
        <v/>
      </c>
    </row>
    <row r="9" customFormat="false" ht="15" hidden="false" customHeight="false" outlineLevel="0" collapsed="false">
      <c r="A9" s="2" t="s">
        <v>26</v>
      </c>
      <c r="B9" s="3" t="n">
        <f aca="false">SUMIF(Holdings!$D$2:$D$26,A9,Holdings!$F$2:$F$26)</f>
        <v>0.405781</v>
      </c>
      <c r="C9" s="2" t="n">
        <f aca="false">COUNTIF(Holdings!$D$2:$D$26,A9)</f>
        <v>16</v>
      </c>
      <c r="D9" s="8" t="n">
        <f aca="false">IFERROR(AVERAGEIFS(Holdings!$I$2:$I$26,Holdings!$D$2:$D$26,A9,Holdings!$I$2:$I$26,"&lt;=100"),"")</f>
        <v>34.996275</v>
      </c>
    </row>
    <row r="10" customFormat="false" ht="15" hidden="false" customHeight="false" outlineLevel="0" collapsed="false">
      <c r="A10" s="2" t="s">
        <v>90</v>
      </c>
      <c r="B10" s="3" t="n">
        <f aca="false">SUMIF(Holdings!$D$2:$D$26,A10,Holdings!$F$2:$F$26)</f>
        <v>0</v>
      </c>
      <c r="C10" s="2" t="n">
        <f aca="false">COUNTIF(Holdings!$D$2:$D$26,A10)</f>
        <v>0</v>
      </c>
      <c r="D10" s="8" t="str">
        <f aca="false">IFERROR(AVERAGEIFS(Holdings!$I$2:$I$26,Holdings!$D$2:$D$26,A10,Holdings!$I$2:$I$26,"&lt;=100"),"")</f>
        <v/>
      </c>
    </row>
    <row r="11" customFormat="false" ht="15" hidden="false" customHeight="false" outlineLevel="0" collapsed="false">
      <c r="A11" s="2" t="s">
        <v>16</v>
      </c>
      <c r="B11" s="3" t="n">
        <f aca="false">SUMIF(Holdings!$D$2:$D$26,A11,Holdings!$F$2:$F$26)</f>
        <v>0.531071</v>
      </c>
      <c r="C11" s="2" t="n">
        <f aca="false">COUNTIF(Holdings!$D$2:$D$26,A11)</f>
        <v>7</v>
      </c>
      <c r="D11" s="8" t="n">
        <f aca="false">IFERROR(AVERAGEIFS(Holdings!$I$2:$I$26,Holdings!$D$2:$D$26,A11,Holdings!$I$2:$I$26,"&lt;=100"),"")</f>
        <v>35.5656</v>
      </c>
    </row>
    <row r="12" customFormat="false" ht="15" hidden="false" customHeight="false" outlineLevel="0" collapsed="false">
      <c r="A12" s="2" t="s">
        <v>91</v>
      </c>
      <c r="B12" s="3" t="n">
        <f aca="false">SUMIF(Holdings!$D$2:$D$26,A12,Holdings!$F$2:$F$26)</f>
        <v>0</v>
      </c>
      <c r="C12" s="2" t="n">
        <f aca="false">COUNTIF(Holdings!$D$2:$D$26,A12)</f>
        <v>0</v>
      </c>
      <c r="D12" s="8" t="str">
        <f aca="false">IFERROR(AVERAGEIFS(Holdings!$I$2:$I$26,Holdings!$D$2:$D$26,A12,Holdings!$I$2:$I$26,"&lt;=100"),"")</f>
        <v/>
      </c>
    </row>
    <row r="13" customFormat="false" ht="15" hidden="false" customHeight="false" outlineLevel="0" collapsed="false">
      <c r="A13" s="2" t="s">
        <v>92</v>
      </c>
      <c r="B13" s="3" t="n">
        <f aca="false">1-SUM(B2:B12)</f>
        <v>0.0414629999999999</v>
      </c>
      <c r="C13" s="2" t="n">
        <f aca="false">COUNTBLANK(Holdings!$D$2:$D$26)</f>
        <v>1</v>
      </c>
      <c r="D13" s="8"/>
    </row>
    <row r="14" customFormat="false" ht="15" hidden="false" customHeight="false" outlineLevel="0" collapsed="false">
      <c r="A14" s="9" t="s">
        <v>93</v>
      </c>
      <c r="B14" s="10" t="n">
        <f aca="false">SUM(B2:B13)</f>
        <v>1</v>
      </c>
      <c r="C14" s="9" t="n">
        <f aca="false">SUM(C2:C13)</f>
        <v>25</v>
      </c>
      <c r="D14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20"/>
  </cols>
  <sheetData>
    <row r="1" customFormat="false" ht="15" hidden="false" customHeight="false" outlineLevel="0" collapsed="false">
      <c r="A1" s="12" t="s">
        <v>94</v>
      </c>
    </row>
    <row r="2" customFormat="false" ht="15" hidden="false" customHeight="false" outlineLevel="0" collapsed="false">
      <c r="A2" s="13" t="s">
        <v>95</v>
      </c>
    </row>
    <row r="3" customFormat="false" ht="15" hidden="false" customHeight="false" outlineLevel="0" collapsed="false">
      <c r="A3" s="13" t="s">
        <v>96</v>
      </c>
      <c r="B3" s="14" t="n">
        <v>0.6999</v>
      </c>
    </row>
    <row r="4" customFormat="false" ht="15" hidden="false" customHeight="false" outlineLevel="0" collapsed="false">
      <c r="A4" s="13" t="s">
        <v>97</v>
      </c>
      <c r="B4" s="15" t="n">
        <v>0.1504</v>
      </c>
    </row>
    <row r="6" customFormat="false" ht="15" hidden="false" customHeight="false" outlineLevel="0" collapsed="false">
      <c r="A6" s="1" t="s">
        <v>1</v>
      </c>
      <c r="B6" s="1" t="s">
        <v>98</v>
      </c>
      <c r="C6" s="1" t="s">
        <v>99</v>
      </c>
      <c r="D6" s="1" t="s">
        <v>100</v>
      </c>
    </row>
    <row r="7" customFormat="false" ht="15" hidden="false" customHeight="false" outlineLevel="0" collapsed="false">
      <c r="A7" s="13" t="s">
        <v>14</v>
      </c>
      <c r="B7" s="16" t="n">
        <v>0.1244</v>
      </c>
      <c r="C7" s="16" t="n">
        <v>0.001</v>
      </c>
      <c r="D7" s="17" t="n">
        <f aca="false">IF(C7&gt;0,B7/C7,"")</f>
        <v>124.4</v>
      </c>
    </row>
    <row r="8" customFormat="false" ht="15" hidden="false" customHeight="false" outlineLevel="0" collapsed="false">
      <c r="A8" s="13" t="s">
        <v>18</v>
      </c>
      <c r="B8" s="16" t="n">
        <v>0.1226</v>
      </c>
      <c r="C8" s="16" t="n">
        <v>0.0012</v>
      </c>
      <c r="D8" s="17" t="n">
        <f aca="false">IF(C8&gt;0,B8/C8,"")</f>
        <v>102.166666666667</v>
      </c>
    </row>
    <row r="9" customFormat="false" ht="15" hidden="false" customHeight="false" outlineLevel="0" collapsed="false">
      <c r="A9" s="13" t="s">
        <v>20</v>
      </c>
      <c r="B9" s="16" t="n">
        <v>0.1222</v>
      </c>
      <c r="C9" s="16" t="n">
        <v>0.0014</v>
      </c>
      <c r="D9" s="17" t="n">
        <f aca="false">IF(C9&gt;0,B9/C9,"")</f>
        <v>87.2857142857143</v>
      </c>
    </row>
    <row r="10" customFormat="false" ht="15" hidden="false" customHeight="false" outlineLevel="0" collapsed="false">
      <c r="A10" s="13" t="s">
        <v>22</v>
      </c>
      <c r="B10" s="16" t="n">
        <v>0.0805</v>
      </c>
      <c r="C10" s="16" t="n">
        <v>0.0004</v>
      </c>
      <c r="D10" s="17" t="n">
        <f aca="false">IF(C10&gt;0,B10/C10,"")</f>
        <v>201.25</v>
      </c>
    </row>
    <row r="11" customFormat="false" ht="15" hidden="false" customHeight="false" outlineLevel="0" collapsed="false">
      <c r="A11" s="13" t="s">
        <v>32</v>
      </c>
      <c r="B11" s="16" t="n">
        <v>0.0416</v>
      </c>
      <c r="C11" s="16" t="n">
        <v>0.0003</v>
      </c>
      <c r="D11" s="17" t="n">
        <f aca="false">IF(C11&gt;0,B11/C11,"")</f>
        <v>138.666666666667</v>
      </c>
    </row>
    <row r="12" customFormat="false" ht="15" hidden="false" customHeight="false" outlineLevel="0" collapsed="false">
      <c r="A12" s="13" t="s">
        <v>42</v>
      </c>
      <c r="B12" s="16" t="n">
        <v>0.0305</v>
      </c>
      <c r="C12" s="16" t="n">
        <v>0.0004</v>
      </c>
      <c r="D12" s="17" t="n">
        <f aca="false">IF(C12&gt;0,B12/C12,"")</f>
        <v>76.25</v>
      </c>
    </row>
    <row r="13" customFormat="false" ht="15" hidden="false" customHeight="false" outlineLevel="0" collapsed="false">
      <c r="A13" s="13" t="s">
        <v>47</v>
      </c>
      <c r="B13" s="16" t="n">
        <v>0.0255</v>
      </c>
      <c r="C13" s="16" t="n">
        <v>0.0012</v>
      </c>
      <c r="D13" s="17" t="n">
        <f aca="false">IF(C13&gt;0,B13/C13,"")</f>
        <v>21.25</v>
      </c>
    </row>
    <row r="14" customFormat="false" ht="15" hidden="false" customHeight="false" outlineLevel="0" collapsed="false">
      <c r="A14" s="13" t="s">
        <v>50</v>
      </c>
      <c r="B14" s="16" t="n">
        <v>0.0251</v>
      </c>
      <c r="C14" s="16" t="n">
        <v>0.0032</v>
      </c>
      <c r="D14" s="17" t="n">
        <f aca="false">IF(C14&gt;0,B14/C14,"")</f>
        <v>7.84375</v>
      </c>
    </row>
    <row r="15" customFormat="false" ht="15" hidden="false" customHeight="false" outlineLevel="0" collapsed="false">
      <c r="A15" s="13" t="s">
        <v>53</v>
      </c>
      <c r="B15" s="16" t="n">
        <v>0.0239</v>
      </c>
      <c r="C15" s="16" t="n">
        <v>0.0167</v>
      </c>
      <c r="D15" s="17" t="n">
        <f aca="false">IF(C15&gt;0,B15/C15,"")</f>
        <v>1.4311377245509</v>
      </c>
    </row>
    <row r="16" customFormat="false" ht="15" hidden="false" customHeight="false" outlineLevel="0" collapsed="false">
      <c r="A16" s="13" t="s">
        <v>55</v>
      </c>
      <c r="B16" s="16" t="n">
        <v>0.0238</v>
      </c>
      <c r="C16" s="16" t="n">
        <v>0.0086</v>
      </c>
      <c r="D16" s="17" t="n">
        <f aca="false">IF(C16&gt;0,B16/C16,"")</f>
        <v>2.76744186046512</v>
      </c>
    </row>
    <row r="17" customFormat="false" ht="15" hidden="false" customHeight="false" outlineLevel="0" collapsed="false">
      <c r="A17" s="13" t="s">
        <v>57</v>
      </c>
      <c r="B17" s="16" t="n">
        <v>0.0233</v>
      </c>
      <c r="C17" s="16" t="n">
        <v>0.0134</v>
      </c>
      <c r="D17" s="17" t="n">
        <f aca="false">IF(C17&gt;0,B17/C17,"")</f>
        <v>1.73880597014925</v>
      </c>
    </row>
    <row r="18" customFormat="false" ht="15" hidden="false" customHeight="false" outlineLevel="0" collapsed="false">
      <c r="A18" s="13" t="s">
        <v>64</v>
      </c>
      <c r="B18" s="16" t="n">
        <v>0.0212</v>
      </c>
      <c r="C18" s="16" t="n">
        <v>0.0773</v>
      </c>
      <c r="D18" s="17" t="n">
        <f aca="false">IF(C18&gt;0,B18/C18,"")</f>
        <v>0.274256144890039</v>
      </c>
    </row>
    <row r="19" customFormat="false" ht="15" hidden="false" customHeight="false" outlineLevel="0" collapsed="false">
      <c r="A19" s="13" t="s">
        <v>72</v>
      </c>
      <c r="B19" s="16" t="n">
        <v>0.0182</v>
      </c>
      <c r="C19" s="16" t="n">
        <v>0.0247</v>
      </c>
      <c r="D19" s="17" t="n">
        <f aca="false">IF(C19&gt;0,B19/C19,"")</f>
        <v>0.736842105263158</v>
      </c>
    </row>
    <row r="20" customFormat="false" ht="15" hidden="false" customHeight="false" outlineLevel="0" collapsed="false">
      <c r="A20" s="13" t="s">
        <v>74</v>
      </c>
      <c r="B20" s="16" t="n">
        <v>0.0173</v>
      </c>
      <c r="C20" s="16" t="n">
        <v>0.0006</v>
      </c>
      <c r="D20" s="17" t="n">
        <f aca="false">IF(C20&gt;0,B20/C20,"")</f>
        <v>28.8333333333333</v>
      </c>
    </row>
    <row r="21" customFormat="false" ht="15" hidden="false" customHeight="false" outlineLevel="0" collapsed="false">
      <c r="A21" s="12" t="s">
        <v>101</v>
      </c>
      <c r="B21" s="14" t="n">
        <f aca="false">SUM(B7:B20)</f>
        <v>0.7001</v>
      </c>
      <c r="C21" s="15" t="n">
        <f aca="false">SUM(C7:C20)</f>
        <v>0.1504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.04"/>
  </cols>
  <sheetData>
    <row r="1" customFormat="false" ht="15" hidden="false" customHeight="false" outlineLevel="0" collapsed="false">
      <c r="A1" s="18" t="s">
        <v>102</v>
      </c>
    </row>
    <row r="2" customFormat="false" ht="39.55" hidden="false" customHeight="false" outlineLevel="0" collapsed="false">
      <c r="A2" s="18" t="s">
        <v>103</v>
      </c>
    </row>
    <row r="3" customFormat="false" ht="39.55" hidden="false" customHeight="false" outlineLevel="0" collapsed="false">
      <c r="A3" s="18" t="s">
        <v>104</v>
      </c>
    </row>
    <row r="4" customFormat="false" ht="15" hidden="false" customHeight="false" outlineLevel="0" collapsed="false">
      <c r="A4" s="18" t="s">
        <v>105</v>
      </c>
    </row>
    <row r="5" customFormat="false" ht="39.55" hidden="false" customHeight="false" outlineLevel="0" collapsed="false">
      <c r="A5" s="18" t="s">
        <v>106</v>
      </c>
    </row>
    <row r="6" customFormat="false" ht="15" hidden="false" customHeight="false" outlineLevel="0" collapsed="false">
      <c r="A6" s="18" t="s">
        <v>107</v>
      </c>
    </row>
    <row r="7" customFormat="false" ht="26.85" hidden="false" customHeight="false" outlineLevel="0" collapsed="false">
      <c r="A7" s="18" t="s">
        <v>108</v>
      </c>
    </row>
    <row r="8" customFormat="false" ht="15" hidden="false" customHeight="false" outlineLevel="0" collapsed="false">
      <c r="A8" s="18" t="s">
        <v>109</v>
      </c>
    </row>
    <row r="9" customFormat="false" ht="15" hidden="false" customHeight="false" outlineLevel="0" collapsed="false">
      <c r="A9" s="18"/>
    </row>
    <row r="10" customFormat="false" ht="52.2" hidden="false" customHeight="false" outlineLevel="0" collapsed="false">
      <c r="A10" s="18" t="s">
        <v>110</v>
      </c>
    </row>
    <row r="11" customFormat="false" ht="15" hidden="false" customHeight="false" outlineLevel="0" collapsed="false">
      <c r="A11" s="18" t="s">
        <v>111</v>
      </c>
    </row>
    <row r="12" customFormat="false" ht="26.85" hidden="false" customHeight="false" outlineLevel="0" collapsed="false">
      <c r="A12" s="18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22"/>
  </cols>
  <sheetData>
    <row r="1" customFormat="false" ht="23.85" hidden="false" customHeight="false" outlineLevel="0" collapsed="false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</row>
    <row r="2" customFormat="false" ht="15" hidden="false" customHeight="false" outlineLevel="0" collapsed="false">
      <c r="A2" s="19" t="n">
        <v>2021</v>
      </c>
      <c r="B2" s="20" t="str">
        <f aca="false">INT(A2/10)*10&amp;"s"</f>
        <v>2020s</v>
      </c>
      <c r="C2" s="21" t="n">
        <v>0.1881</v>
      </c>
      <c r="D2" s="21" t="n">
        <v>0.2035</v>
      </c>
      <c r="E2" s="21" t="n">
        <v>0.11</v>
      </c>
      <c r="F2" s="21" t="n">
        <v>0.1244</v>
      </c>
      <c r="G2" s="20" t="str">
        <f aca="false">IF(D2&gt;=0,"Up","Down")</f>
        <v>Up</v>
      </c>
      <c r="H2" s="22" t="n">
        <f aca="false">1+D2</f>
        <v>1.2035</v>
      </c>
      <c r="I2" s="22" t="n">
        <f aca="false">1+C2</f>
        <v>1.1881</v>
      </c>
      <c r="J2" s="21" t="n">
        <v>0.2873</v>
      </c>
    </row>
    <row r="3" customFormat="false" ht="15" hidden="false" customHeight="false" outlineLevel="0" collapsed="false">
      <c r="A3" s="19" t="n">
        <v>2022</v>
      </c>
      <c r="B3" s="20" t="str">
        <f aca="false">INT(A3/10)*10&amp;"s"</f>
        <v>2020s</v>
      </c>
      <c r="C3" s="21" t="n">
        <v>-0.3258</v>
      </c>
      <c r="D3" s="21" t="n">
        <v>-0.3089</v>
      </c>
      <c r="E3" s="21" t="n">
        <v>-0.3666</v>
      </c>
      <c r="F3" s="21" t="n">
        <v>-0.3508</v>
      </c>
      <c r="G3" s="20" t="str">
        <f aca="false">IF(D3&gt;=0,"Up","Down")</f>
        <v>Down</v>
      </c>
      <c r="H3" s="22" t="n">
        <f aca="false">H2*(1+D3)</f>
        <v>0.83173885</v>
      </c>
      <c r="I3" s="22" t="n">
        <f aca="false">I2*(1+C3)</f>
        <v>0.80101702</v>
      </c>
      <c r="J3" s="21" t="n">
        <v>-0.1818</v>
      </c>
    </row>
    <row r="4" customFormat="false" ht="15" hidden="false" customHeight="false" outlineLevel="0" collapsed="false">
      <c r="A4" s="19" t="n">
        <v>2023</v>
      </c>
      <c r="B4" s="20" t="str">
        <f aca="false">INT(A4/10)*10&amp;"s"</f>
        <v>2020s</v>
      </c>
      <c r="C4" s="21" t="n">
        <v>0.1747</v>
      </c>
      <c r="D4" s="21" t="n">
        <v>0.1893</v>
      </c>
      <c r="E4" s="21" t="n">
        <v>0.1366</v>
      </c>
      <c r="F4" s="21" t="n">
        <v>0.1507</v>
      </c>
      <c r="G4" s="20" t="str">
        <f aca="false">IF(D4&gt;=0,"Up","Down")</f>
        <v>Up</v>
      </c>
      <c r="H4" s="22" t="n">
        <f aca="false">H3*(1+D4)</f>
        <v>0.989187014305</v>
      </c>
      <c r="I4" s="22" t="n">
        <f aca="false">I3*(1+C4)</f>
        <v>0.940954693394</v>
      </c>
      <c r="J4" s="21" t="n">
        <v>0.2618</v>
      </c>
    </row>
    <row r="5" customFormat="false" ht="15" hidden="false" customHeight="false" outlineLevel="0" collapsed="false">
      <c r="A5" s="19" t="n">
        <v>2024</v>
      </c>
      <c r="B5" s="20" t="str">
        <f aca="false">INT(A5/10)*10&amp;"s"</f>
        <v>2020s</v>
      </c>
      <c r="C5" s="21" t="n">
        <v>0.1289</v>
      </c>
      <c r="D5" s="21" t="n">
        <v>0.1492</v>
      </c>
      <c r="E5" s="21" t="n">
        <v>0.0972</v>
      </c>
      <c r="F5" s="21" t="n">
        <v>0.117</v>
      </c>
      <c r="G5" s="20" t="str">
        <f aca="false">IF(D5&gt;=0,"Up","Down")</f>
        <v>Up</v>
      </c>
      <c r="H5" s="22" t="n">
        <f aca="false">H4*(1+D5)</f>
        <v>1.13677371683931</v>
      </c>
      <c r="I5" s="22" t="n">
        <f aca="false">I4*(1+C5)</f>
        <v>1.06224375337249</v>
      </c>
      <c r="J5" s="21" t="n">
        <v>0.2489</v>
      </c>
    </row>
    <row r="6" customFormat="false" ht="15" hidden="false" customHeight="false" outlineLevel="0" collapsed="false">
      <c r="A6" s="19" t="n">
        <v>2025</v>
      </c>
      <c r="B6" s="20" t="str">
        <f aca="false">INT(A6/10)*10&amp;"s"</f>
        <v>2020s</v>
      </c>
      <c r="C6" s="21" t="n">
        <v>0.2749</v>
      </c>
      <c r="D6" s="21" t="n">
        <v>0.2899</v>
      </c>
      <c r="E6" s="21" t="n">
        <v>0.2417</v>
      </c>
      <c r="F6" s="21" t="n">
        <v>0.2563</v>
      </c>
      <c r="G6" s="20" t="str">
        <f aca="false">IF(D6&gt;=0,"Up","Down")</f>
        <v>Up</v>
      </c>
      <c r="H6" s="22" t="n">
        <f aca="false">H5*(1+D6)</f>
        <v>1.46632441735102</v>
      </c>
      <c r="I6" s="22" t="n">
        <f aca="false">I5*(1+C6)</f>
        <v>1.35425456117458</v>
      </c>
      <c r="J6" s="21" t="n">
        <v>0.1772</v>
      </c>
    </row>
    <row r="8" customFormat="false" ht="15" hidden="false" customHeight="false" outlineLevel="0" collapsed="false">
      <c r="A8" s="12" t="s">
        <v>123</v>
      </c>
    </row>
    <row r="9" customFormat="false" ht="15" hidden="false" customHeight="false" outlineLevel="0" collapsed="false">
      <c r="A9" s="13" t="s">
        <v>124</v>
      </c>
      <c r="C9" s="23" t="n">
        <f aca="false">COUNT(A2:A6)</f>
        <v>5</v>
      </c>
    </row>
    <row r="10" customFormat="false" ht="15" hidden="false" customHeight="false" outlineLevel="0" collapsed="false">
      <c r="A10" s="13" t="s">
        <v>125</v>
      </c>
      <c r="C10" s="23" t="n">
        <f aca="false">COUNTIF(D2:D6,"&gt;=0")</f>
        <v>4</v>
      </c>
    </row>
    <row r="11" customFormat="false" ht="15" hidden="false" customHeight="false" outlineLevel="0" collapsed="false">
      <c r="A11" s="13" t="s">
        <v>126</v>
      </c>
      <c r="C11" s="23" t="n">
        <f aca="false">COUNTIF(D2:D6,"&lt;0")</f>
        <v>1</v>
      </c>
    </row>
    <row r="12" customFormat="false" ht="15" hidden="false" customHeight="false" outlineLevel="0" collapsed="false">
      <c r="A12" s="13" t="s">
        <v>127</v>
      </c>
      <c r="C12" s="16" t="n">
        <f aca="false">AVERAGE(D2:D6)</f>
        <v>0.1046</v>
      </c>
    </row>
    <row r="13" customFormat="false" ht="15" hidden="false" customHeight="false" outlineLevel="0" collapsed="false">
      <c r="A13" s="13" t="s">
        <v>128</v>
      </c>
      <c r="C13" s="16" t="n">
        <f aca="false">(H6)^(1/COUNT(A2:A6))-1</f>
        <v>0.0795580826254871</v>
      </c>
    </row>
    <row r="14" customFormat="false" ht="15" hidden="false" customHeight="false" outlineLevel="0" collapsed="false">
      <c r="A14" s="13" t="s">
        <v>129</v>
      </c>
      <c r="C14" s="16" t="n">
        <f aca="false">AVERAGE(F2:F6)</f>
        <v>0.05952</v>
      </c>
    </row>
    <row r="15" customFormat="false" ht="15" hidden="false" customHeight="false" outlineLevel="0" collapsed="false">
      <c r="A15" s="13" t="s">
        <v>130</v>
      </c>
      <c r="C15" s="16" t="n">
        <f aca="false">MAX(D2:D6)</f>
        <v>0.2899</v>
      </c>
    </row>
    <row r="16" customFormat="false" ht="15" hidden="false" customHeight="false" outlineLevel="0" collapsed="false">
      <c r="A16" s="13" t="s">
        <v>131</v>
      </c>
      <c r="C16" s="16" t="n">
        <f aca="false">MIN(D2:D6)</f>
        <v>-0.3089</v>
      </c>
    </row>
    <row r="17" customFormat="false" ht="15" hidden="false" customHeight="false" outlineLevel="0" collapsed="false">
      <c r="A17" s="13" t="s">
        <v>132</v>
      </c>
      <c r="C17" s="16" t="n">
        <f aca="false">STDEV(D2:D6)</f>
        <v>0.23678196721879</v>
      </c>
    </row>
    <row r="18" customFormat="false" ht="15" hidden="false" customHeight="false" outlineLevel="0" collapsed="false">
      <c r="A18" s="13" t="s">
        <v>133</v>
      </c>
      <c r="C18" s="24" t="n">
        <f aca="false">H6</f>
        <v>1.46632441735102</v>
      </c>
    </row>
    <row r="19" customFormat="false" ht="15" hidden="false" customHeight="false" outlineLevel="0" collapsed="false">
      <c r="A19" s="13" t="s">
        <v>134</v>
      </c>
      <c r="C19" s="16" t="n">
        <f aca="false">AVERAGE(J2:J6)</f>
        <v>0.15868</v>
      </c>
    </row>
    <row r="20" customFormat="false" ht="15" hidden="false" customHeight="false" outlineLevel="0" collapsed="false">
      <c r="A20" s="13" t="s">
        <v>135</v>
      </c>
      <c r="C20" s="16" t="n">
        <f aca="false">EXP(SUMPRODUCT(LN(1+J2:J6)))^(1/COUNT(J2:J6))-1</f>
        <v>0.14335616361076</v>
      </c>
    </row>
    <row r="21" customFormat="false" ht="15" hidden="false" customHeight="false" outlineLevel="0" collapsed="false">
      <c r="A21" s="13" t="s">
        <v>136</v>
      </c>
      <c r="C21" s="24" t="n">
        <f aca="false">EXP(SUMPRODUCT(LN(1+J2:J6)))</f>
        <v>1.95392408621948</v>
      </c>
    </row>
    <row r="22" customFormat="false" ht="15" hidden="false" customHeight="false" outlineLevel="0" collapsed="false">
      <c r="A22" s="13" t="s">
        <v>137</v>
      </c>
      <c r="C22" s="16" t="n">
        <f aca="false">STDEV(J2:J6)</f>
        <v>0.194670303333611</v>
      </c>
    </row>
    <row r="24" customFormat="false" ht="15" hidden="false" customHeight="false" outlineLevel="0" collapsed="false">
      <c r="A24" s="25" t="s">
        <v>138</v>
      </c>
    </row>
    <row r="25" customFormat="false" ht="15" hidden="false" customHeight="false" outlineLevel="0" collapsed="false">
      <c r="A25" s="25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.01"/>
    <col collapsed="false" customWidth="true" hidden="false" outlineLevel="0" max="2" min="2" style="0" width="11.97"/>
    <col collapsed="false" customWidth="true" hidden="false" outlineLevel="0" max="3" min="3" style="0" width="7.94"/>
    <col collapsed="false" customWidth="true" hidden="false" outlineLevel="0" max="5" min="4" style="0" width="13"/>
    <col collapsed="false" customWidth="true" hidden="false" outlineLevel="0" max="6" min="6" style="0" width="11.97"/>
    <col collapsed="false" customWidth="true" hidden="false" outlineLevel="0" max="7" min="7" style="0" width="13.05"/>
    <col collapsed="false" customWidth="true" hidden="false" outlineLevel="0" max="8" min="8" style="0" width="11.97"/>
    <col collapsed="false" customWidth="true" hidden="false" outlineLevel="0" max="9" min="9" style="0" width="13"/>
    <col collapsed="false" customWidth="true" hidden="false" outlineLevel="0" max="10" min="10" style="0" width="13.05"/>
    <col collapsed="false" customWidth="true" hidden="false" outlineLevel="0" max="11" min="11" style="0" width="13"/>
    <col collapsed="false" customWidth="true" hidden="false" outlineLevel="0" max="12" min="12" style="0" width="11.03"/>
    <col collapsed="false" customWidth="true" hidden="false" outlineLevel="0" max="15" min="13" style="0" width="13"/>
  </cols>
  <sheetData>
    <row r="1" customFormat="false" ht="35.05" hidden="false" customHeight="false" outlineLevel="0" collapsed="false">
      <c r="A1" s="1" t="s">
        <v>114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</row>
    <row r="2" customFormat="false" ht="15" hidden="false" customHeight="false" outlineLevel="0" collapsed="false">
      <c r="A2" s="20" t="s">
        <v>154</v>
      </c>
      <c r="B2" s="20" t="s">
        <v>155</v>
      </c>
      <c r="C2" s="20" t="n">
        <f aca="false">COUNTIF('Annual Returns'!$B$2:$B$6,"2020s")</f>
        <v>5</v>
      </c>
      <c r="D2" s="20" t="n">
        <f aca="false">COUNTIFS('Annual Returns'!$B$2:$B$6,"2020s",'Annual Returns'!$D$2:$D$6,"&gt;=0")</f>
        <v>4</v>
      </c>
      <c r="E2" s="20" t="n">
        <f aca="false">COUNTIFS('Annual Returns'!$B$2:$B$6,"2020s",'Annual Returns'!$D$2:$D$6,"&lt;0")</f>
        <v>1</v>
      </c>
      <c r="F2" s="21" t="n">
        <f aca="false">AVERAGEIF('Annual Returns'!$B$2:$B$6,"2020s",'Annual Returns'!$D$2:$D$6)</f>
        <v>0.1046</v>
      </c>
      <c r="G2" s="21" t="n">
        <f aca="false">(1+H2)^(1/C2)-1</f>
        <v>0.0795580826254871</v>
      </c>
      <c r="H2" s="21" t="n">
        <f aca="false">EXP(SUMPRODUCT(('Annual Returns'!$B$2:$B$6="2020s")*LN(1+'Annual Returns'!$D$2:$D$6)))-1</f>
        <v>0.466324417351021</v>
      </c>
      <c r="I2" s="21" t="n">
        <f aca="false">AVERAGEIF('Annual Returns'!$B$2:$B$6,"2020s",'Annual Returns'!$C$2:$C$6)</f>
        <v>0.08816</v>
      </c>
      <c r="J2" s="21" t="n">
        <f aca="false">(EXP(SUMPRODUCT(('Annual Returns'!$B$2:$B$6="2020s")*LN(1+'Annual Returns'!$C$2:$C$6))))^(1/C2)-1</f>
        <v>0.0625272119324212</v>
      </c>
      <c r="K2" s="21" t="n">
        <f aca="false">AVERAGEIF('Annual Returns'!$B$2:$B$6,"2020s",'Annual Returns'!$F$2:$F$6)</f>
        <v>0.05952</v>
      </c>
      <c r="L2" s="21" t="n">
        <f aca="false">_xlfn.MAXIFS('Annual Returns'!$D$2:$D$6,'Annual Returns'!$B$2:$B$6,"2020s")</f>
        <v>0.2899</v>
      </c>
      <c r="M2" s="21" t="n">
        <f aca="false">_xlfn.MINIFS('Annual Returns'!$D$2:$D$6,'Annual Returns'!$B$2:$B$6,"2020s")</f>
        <v>-0.3089</v>
      </c>
      <c r="N2" s="22" t="n">
        <f aca="false">1+H2</f>
        <v>1.46632441735102</v>
      </c>
      <c r="O2" s="21" t="n">
        <f aca="false">(EXP(SUMPRODUCT(('Annual Returns'!$B$2:$B$6="2020s")*LN(1+'Annual Returns'!$J$2:$J$6))))^(1/C2)-1</f>
        <v>0.14335616361076</v>
      </c>
    </row>
    <row r="3" customFormat="false" ht="15" hidden="false" customHeight="false" outlineLevel="0" collapsed="false">
      <c r="A3" s="26" t="s">
        <v>156</v>
      </c>
      <c r="B3" s="26" t="s">
        <v>157</v>
      </c>
      <c r="C3" s="26" t="n">
        <f aca="false">COUNT('Annual Returns'!$A$2:$A$6)</f>
        <v>5</v>
      </c>
      <c r="D3" s="26" t="n">
        <f aca="false">COUNTIF('Annual Returns'!$D$2:$D$6,"&gt;=0")</f>
        <v>4</v>
      </c>
      <c r="E3" s="26" t="n">
        <f aca="false">COUNTIF('Annual Returns'!$D$2:$D$6,"&lt;0")</f>
        <v>1</v>
      </c>
      <c r="F3" s="27" t="n">
        <f aca="false">AVERAGE('Annual Returns'!$D$2:$D$6)</f>
        <v>0.1046</v>
      </c>
      <c r="G3" s="27" t="n">
        <f aca="false">(1+H3)^(1/C3)-1</f>
        <v>0.0795580826254871</v>
      </c>
      <c r="H3" s="27" t="n">
        <f aca="false">EXP(SUMPRODUCT(LN(1+'Annual Returns'!$D$2:$D$6)))-1</f>
        <v>0.466324417351021</v>
      </c>
      <c r="I3" s="27" t="n">
        <f aca="false">AVERAGE('Annual Returns'!$C$2:$C$6)</f>
        <v>0.08816</v>
      </c>
      <c r="J3" s="27" t="n">
        <f aca="false">(EXP(SUMPRODUCT(LN(1+'Annual Returns'!$C$2:$C$6))))^(1/C3)-1</f>
        <v>0.0625272119324212</v>
      </c>
      <c r="K3" s="27" t="n">
        <f aca="false">AVERAGE('Annual Returns'!$F$2:$F$6)</f>
        <v>0.05952</v>
      </c>
      <c r="L3" s="27" t="n">
        <f aca="false">MAX('Annual Returns'!$D$2:$D$6)</f>
        <v>0.2899</v>
      </c>
      <c r="M3" s="27" t="n">
        <f aca="false">MIN('Annual Returns'!$D$2:$D$6)</f>
        <v>-0.3089</v>
      </c>
      <c r="N3" s="28" t="n">
        <f aca="false">1+H3</f>
        <v>1.46632441735102</v>
      </c>
      <c r="O3" s="27" t="n">
        <f aca="false">(EXP(SUMPRODUCT(LN(1+'Annual Returns'!$J$2:$J$6))))^(1/C3)-1</f>
        <v>0.14335616361076</v>
      </c>
    </row>
    <row r="6" customFormat="false" ht="15" hidden="false" customHeight="false" outlineLevel="0" collapsed="false">
      <c r="A6" s="25" t="s">
        <v>158</v>
      </c>
    </row>
    <row r="7" customFormat="false" ht="15" hidden="false" customHeight="false" outlineLevel="0" collapsed="false">
      <c r="A7" s="25" t="s">
        <v>159</v>
      </c>
    </row>
    <row r="8" customFormat="false" ht="15" hidden="false" customHeight="false" outlineLevel="0" collapsed="false">
      <c r="A8" s="25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2026-09-24T12:56:02Z</dcterms:created>
  <dc:creator>openpyxl</dc:creator>
  <dc:description/>
  <dc:language>en-US</dc:language>
  <cp:lastModifiedBy/>
  <dcterms:modified xsi:type="dcterms:W3CDTF">2026-09-24T12:56:02Z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