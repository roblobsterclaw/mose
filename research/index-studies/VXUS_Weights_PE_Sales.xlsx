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Notes" sheetId="3" state="visible" r:id="rId5"/>
    <sheet name="Annual Returns" sheetId="4" state="visible" r:id="rId6"/>
    <sheet name="By Decade" sheetId="5" state="visible" r:id="rId7"/>
  </sheets>
  <definedNames>
    <definedName function="false" hidden="true" localSheetId="0" name="_xlnm._FilterDatabase" vbProcedure="false">Holdings!$A$1:$N$5281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<sst xmlns="http://schemas.openxmlformats.org/spreadsheetml/2006/main" count="21492" uniqueCount="10678">
  <si>
    <t xml:space="preserve">Rank</t>
  </si>
  <si>
    <t xml:space="preserve">Ticker</t>
  </si>
  <si>
    <t xml:space="preserve">Company</t>
  </si>
  <si>
    <t xml:space="preserve">GICS Sector</t>
  </si>
  <si>
    <t xml:space="preserve">Region / Currency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</si>
  <si>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</si>
  <si>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</si>
  <si>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</si>
  <si>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</si>
  <si>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</si>
  <si>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</si>
  <si>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</si>
  <si>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</si>
  <si>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</si>
  <si>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2330</t>
  </si>
  <si>
    <t xml:space="preserve">Taiwan Semiconductor Manufacturing Company Limited</t>
  </si>
  <si>
    <t xml:space="preserve">Information Technology</t>
  </si>
  <si>
    <t xml:space="preserve">Emerging / TWD</t>
  </si>
  <si>
    <t xml:space="preserve">Local price in TWD not shown; see Yahoo symbol 2330.TW; Market cap reported in local currency; left blank; Yahoo: 2330.TW</t>
  </si>
  <si>
    <t xml:space="preserve">SMSN</t>
  </si>
  <si>
    <t xml:space="preserve">Samsung Electronics Co., Ltd.</t>
  </si>
  <si>
    <t xml:space="preserve">Developed / USD</t>
  </si>
  <si>
    <t xml:space="preserve">GDR/ADR line: Yahoo mixes a USD price with KRW earnings, so P/E, EPS and P/S are blanked; Yahoo: SMSN.L</t>
  </si>
  <si>
    <t xml:space="preserve">A000660</t>
  </si>
  <si>
    <t xml:space="preserve">SK hynix Inc.</t>
  </si>
  <si>
    <t xml:space="preserve">Developed / KRW</t>
  </si>
  <si>
    <t xml:space="preserve">Local price in KRW not shown; see Yahoo symbol 000660.KS; Market cap reported in local currency; left blank; Yahoo: 000660.KS</t>
  </si>
  <si>
    <t xml:space="preserve">ASML</t>
  </si>
  <si>
    <t xml:space="preserve">ASML Holding N.V.</t>
  </si>
  <si>
    <t xml:space="preserve">Developed / EUR</t>
  </si>
  <si>
    <t xml:space="preserve">Local price in EUR not shown; see Yahoo symbol ASML.AS; Market cap reported in local currency; left blank; Yahoo: ASML.AS</t>
  </si>
  <si>
    <t xml:space="preserve">HSBA</t>
  </si>
  <si>
    <t xml:space="preserve">HSBC HOLDINGS PLC</t>
  </si>
  <si>
    <t xml:space="preserve">Developed / GBP</t>
  </si>
  <si>
    <t xml:space="preserve">No Yahoo match found; weight only</t>
  </si>
  <si>
    <t xml:space="preserve">ROP</t>
  </si>
  <si>
    <t xml:space="preserve">Roche Holding AG</t>
  </si>
  <si>
    <t xml:space="preserve">Health Care</t>
  </si>
  <si>
    <t xml:space="preserve">Developed / CHF</t>
  </si>
  <si>
    <t xml:space="preserve">Local price in CHF not shown; see Yahoo symbol ROP.SW; Market cap reported in local currency; left blank; Yahoo: ROP.SW</t>
  </si>
  <si>
    <t xml:space="preserve">700</t>
  </si>
  <si>
    <t xml:space="preserve">Tencent Holdings Limited</t>
  </si>
  <si>
    <t xml:space="preserve">Communication Services</t>
  </si>
  <si>
    <t xml:space="preserve">Emerging / HKD</t>
  </si>
  <si>
    <t xml:space="preserve">Local price in HKD not shown; see Yahoo symbol 0700.HK; Market cap reported in local currency; left blank; Yahoo: 0700.HK</t>
  </si>
  <si>
    <t xml:space="preserve">RY</t>
  </si>
  <si>
    <t xml:space="preserve">Royal Bank of Canada</t>
  </si>
  <si>
    <t xml:space="preserve">Financials</t>
  </si>
  <si>
    <t xml:space="preserve">Developed / CAD</t>
  </si>
  <si>
    <t xml:space="preserve">Local price in CAD not shown; see Yahoo symbol RY.TO; Market cap reported in local currency; left blank; Yahoo: RY.TO</t>
  </si>
  <si>
    <t xml:space="preserve">8306</t>
  </si>
  <si>
    <t xml:space="preserve">Mitsubishi UFJ Financial Group, Inc.</t>
  </si>
  <si>
    <t xml:space="preserve">Developed / JPY</t>
  </si>
  <si>
    <t xml:space="preserve">Local price in JPY not shown; see Yahoo symbol 8306.T; Market cap reported in local currency; left blank; Yahoo: 8306.T</t>
  </si>
  <si>
    <t xml:space="preserve">SHEL</t>
  </si>
  <si>
    <t xml:space="preserve">SHELL PLC</t>
  </si>
  <si>
    <t xml:space="preserve">AZN</t>
  </si>
  <si>
    <t xml:space="preserve">ASTRAZENECA PLC</t>
  </si>
  <si>
    <t xml:space="preserve">NOVN</t>
  </si>
  <si>
    <t xml:space="preserve">Novartis AG</t>
  </si>
  <si>
    <t xml:space="preserve">Local price in CHF not shown; see Yahoo symbol NOVN.SW; Market cap reported in local currency; left blank; Yahoo: NOVN.SW</t>
  </si>
  <si>
    <t xml:space="preserve">NESN</t>
  </si>
  <si>
    <t xml:space="preserve">Nestlé S.A.</t>
  </si>
  <si>
    <t xml:space="preserve">Consumer Staples</t>
  </si>
  <si>
    <t xml:space="preserve">Local price in CHF not shown; see Yahoo symbol NESN.SW; Market cap reported in local currency; left blank; Yahoo: NESN.SW</t>
  </si>
  <si>
    <t xml:space="preserve">9988</t>
  </si>
  <si>
    <t xml:space="preserve">Alibaba Group Holding Limited</t>
  </si>
  <si>
    <t xml:space="preserve">Consumer Discretionary</t>
  </si>
  <si>
    <t xml:space="preserve">Local price in HKD not shown; see Yahoo symbol 9988.HK; Market cap reported in local currency; left blank; Yahoo: 9988.HK</t>
  </si>
  <si>
    <t xml:space="preserve">7203</t>
  </si>
  <si>
    <t xml:space="preserve">Toyota Motor Corporation</t>
  </si>
  <si>
    <t xml:space="preserve">Local price in JPY not shown; see Yahoo symbol 7203.T; Market cap reported in local currency; left blank; Yahoo: 7203.T</t>
  </si>
  <si>
    <t xml:space="preserve">SIE</t>
  </si>
  <si>
    <t xml:space="preserve">Siemens Aktiengesellschaft</t>
  </si>
  <si>
    <t xml:space="preserve">Industrials</t>
  </si>
  <si>
    <t xml:space="preserve">Local price in EUR not shown; see Yahoo symbol SIE.DE; Market cap reported in local currency; left blank; Yahoo: SIE.DE</t>
  </si>
  <si>
    <t xml:space="preserve">2454</t>
  </si>
  <si>
    <t xml:space="preserve">MediaTek Inc.</t>
  </si>
  <si>
    <t xml:space="preserve">Local price in TWD not shown; see Yahoo symbol 2454.TW; Market cap reported in local currency; left blank; Yahoo: 2454.TW</t>
  </si>
  <si>
    <t xml:space="preserve">BHP</t>
  </si>
  <si>
    <t xml:space="preserve">BHP Group Limited</t>
  </si>
  <si>
    <t xml:space="preserve">Materials</t>
  </si>
  <si>
    <t xml:space="preserve">Developed / AUD</t>
  </si>
  <si>
    <t xml:space="preserve">Local price in AUD not shown; see Yahoo symbol BHP.AX; Market cap reported in local currency; left blank; Yahoo: BHP.AX</t>
  </si>
  <si>
    <t xml:space="preserve">SAN</t>
  </si>
  <si>
    <t xml:space="preserve">Banco Santander, S.A.</t>
  </si>
  <si>
    <t xml:space="preserve">Local price in EUR not shown; see Yahoo symbol SAN.MC; Market cap reported in local currency; left blank; Yahoo: SAN.MC</t>
  </si>
  <si>
    <t xml:space="preserve">SAP</t>
  </si>
  <si>
    <t xml:space="preserve">SAP SE</t>
  </si>
  <si>
    <t xml:space="preserve">Local price in EUR not shown; see Yahoo symbol SAP.DE; Market cap reported in local currency; left blank; Yahoo: SAP.DE</t>
  </si>
  <si>
    <t xml:space="preserve">TD</t>
  </si>
  <si>
    <t xml:space="preserve">The Toronto-Dominion Bank</t>
  </si>
  <si>
    <t xml:space="preserve">Local price in CAD not shown; see Yahoo symbol TD.TO; Market cap reported in local currency; left blank; Yahoo: TD.TO</t>
  </si>
  <si>
    <t xml:space="preserve">ALV</t>
  </si>
  <si>
    <t xml:space="preserve">Allianz SE</t>
  </si>
  <si>
    <t xml:space="preserve">Local price in EUR not shown; see Yahoo symbol ALV.DE; Yahoo: ALV.DE</t>
  </si>
  <si>
    <t xml:space="preserve">SU</t>
  </si>
  <si>
    <t xml:space="preserve">Schneider Electric S.E.</t>
  </si>
  <si>
    <t xml:space="preserve">Local price in EUR not shown; see Yahoo symbol SU.PA; Market cap reported in local currency; left blank; Yahoo: SU.PA</t>
  </si>
  <si>
    <t xml:space="preserve">TTE</t>
  </si>
  <si>
    <t xml:space="preserve">TotalEnergies SE</t>
  </si>
  <si>
    <t xml:space="preserve">Energy</t>
  </si>
  <si>
    <t xml:space="preserve">Local price in EUR not shown; see Yahoo symbol TTE.PA; Market cap reported in local currency; left blank; Yahoo: TTE.PA</t>
  </si>
  <si>
    <t xml:space="preserve">CBA</t>
  </si>
  <si>
    <t xml:space="preserve">Commonwealth Bank of Australia</t>
  </si>
  <si>
    <t xml:space="preserve">Local price in AUD not shown; see Yahoo symbol CBA.AX; Market cap reported in local currency; left blank; Yahoo: CBA.AX</t>
  </si>
  <si>
    <t xml:space="preserve">RR.</t>
  </si>
  <si>
    <t xml:space="preserve">ROLLS ROYCE HOLDINGS PLC</t>
  </si>
  <si>
    <t xml:space="preserve">SHOP</t>
  </si>
  <si>
    <t xml:space="preserve">Shopify Inc.</t>
  </si>
  <si>
    <t xml:space="preserve">Local price in CAD not shown; see Yahoo symbol SHOP.TO; Market cap reported in local currency; left blank; Yahoo: SHOP.TO</t>
  </si>
  <si>
    <t xml:space="preserve">8316</t>
  </si>
  <si>
    <t xml:space="preserve">Sumitomo Mitsui Financial Group, Inc.</t>
  </si>
  <si>
    <t xml:space="preserve">Local price in JPY not shown; see Yahoo symbol 8316.T; Market cap reported in local currency; left blank; Yahoo: 8316.T</t>
  </si>
  <si>
    <t xml:space="preserve">BBVA</t>
  </si>
  <si>
    <t xml:space="preserve">Banco Bilbao Vizcaya Argentaria, S.A.</t>
  </si>
  <si>
    <t xml:space="preserve">Local price in EUR not shown; see Yahoo symbol BBVA.MC; Market cap reported in local currency; left blank; Yahoo: BBVA.MC</t>
  </si>
  <si>
    <t xml:space="preserve">6098</t>
  </si>
  <si>
    <t xml:space="preserve">Recruit Holdings Co., Ltd.</t>
  </si>
  <si>
    <t xml:space="preserve">Local price in JPY not shown; see Yahoo symbol 6098.T; Market cap reported in local currency; left blank; Yahoo: 6098.T</t>
  </si>
  <si>
    <t xml:space="preserve">UBSG</t>
  </si>
  <si>
    <t xml:space="preserve">UBS Group AG</t>
  </si>
  <si>
    <t xml:space="preserve">Local price in CHF not shown; see Yahoo symbol UBSG.SW; Market cap reported in local currency; left blank; Yahoo: UBSG.SW</t>
  </si>
  <si>
    <t xml:space="preserve">ABBN</t>
  </si>
  <si>
    <t xml:space="preserve">ABB Ltd</t>
  </si>
  <si>
    <t xml:space="preserve">Local price in CHF not shown; see Yahoo symbol ABBN.SW; Market cap reported in local currency; left blank; Yahoo: ABBN.SW</t>
  </si>
  <si>
    <t xml:space="preserve">8035</t>
  </si>
  <si>
    <t xml:space="preserve">Tokyo Electron Limited</t>
  </si>
  <si>
    <t xml:space="preserve">Local price in JPY not shown; see Yahoo symbol 8035.T; Market cap reported in local currency; left blank; Yahoo: 8035.T</t>
  </si>
  <si>
    <t xml:space="preserve">6501</t>
  </si>
  <si>
    <t xml:space="preserve">Hitachi, Ltd.</t>
  </si>
  <si>
    <t xml:space="preserve">Local price in JPY not shown; see Yahoo symbol 6501.T; Market cap reported in local currency; left blank; Yahoo: 6501.T</t>
  </si>
  <si>
    <t xml:space="preserve">9984</t>
  </si>
  <si>
    <t xml:space="preserve">SoftBank Group Corp.</t>
  </si>
  <si>
    <t xml:space="preserve">Local price in JPY not shown; see Yahoo symbol 9984.T; Market cap reported in local currency; left blank; Yahoo: 9984.T</t>
  </si>
  <si>
    <t xml:space="preserve">6857</t>
  </si>
  <si>
    <t xml:space="preserve">Advantest Corporation</t>
  </si>
  <si>
    <t xml:space="preserve">Local price in JPY not shown; see Yahoo symbol 6857.T; Market cap reported in local currency; left blank; Yahoo: 6857.T</t>
  </si>
  <si>
    <t xml:space="preserve">UCG</t>
  </si>
  <si>
    <t xml:space="preserve">UniCredit S.p.A.</t>
  </si>
  <si>
    <t xml:space="preserve">Local price in EUR not shown; see Yahoo symbol UCG.MI; Market cap reported in local currency; left blank; Yahoo: UCG.MI</t>
  </si>
  <si>
    <t xml:space="preserve">6758</t>
  </si>
  <si>
    <t xml:space="preserve">Sony Group Corporation</t>
  </si>
  <si>
    <t xml:space="preserve">Local price in JPY not shown; see Yahoo symbol 6758.T; Market cap reported in local currency; left blank; Yahoo: 6758.T</t>
  </si>
  <si>
    <t xml:space="preserve">IBE</t>
  </si>
  <si>
    <t xml:space="preserve">Iberdrola, S.A.</t>
  </si>
  <si>
    <t xml:space="preserve">Utilities</t>
  </si>
  <si>
    <t xml:space="preserve">Local price in EUR not shown; see Yahoo symbol IBE.VI; Market cap reported in local currency; left blank; Yahoo: IBE.VI</t>
  </si>
  <si>
    <t xml:space="preserve">ULVR</t>
  </si>
  <si>
    <t xml:space="preserve">UNILEVER PLC</t>
  </si>
  <si>
    <t xml:space="preserve">AIR</t>
  </si>
  <si>
    <t xml:space="preserve">Airbus SE</t>
  </si>
  <si>
    <t xml:space="preserve">Local price in EUR not shown; see Yahoo symbol AIR.PA; Market cap reported in local currency; left blank; Yahoo: AIR.PA</t>
  </si>
  <si>
    <t xml:space="preserve">8411</t>
  </si>
  <si>
    <t xml:space="preserve">Mizuho Financial Group, Inc.</t>
  </si>
  <si>
    <t xml:space="preserve">Local price in JPY not shown; see Yahoo symbol 8411.T; Market cap reported in local currency; left blank; Yahoo: 8411.T</t>
  </si>
  <si>
    <t xml:space="preserve">SAF</t>
  </si>
  <si>
    <t xml:space="preserve">Safran SA</t>
  </si>
  <si>
    <t xml:space="preserve">Local price in EUR not shown; see Yahoo symbol SAF.PA; Market cap reported in local currency; left blank; Yahoo: SAF.PA</t>
  </si>
  <si>
    <t xml:space="preserve">8058</t>
  </si>
  <si>
    <t xml:space="preserve">Mitsubishi Corporation</t>
  </si>
  <si>
    <t xml:space="preserve">Local price in JPY not shown; see Yahoo symbol 8058.T; Market cap reported in local currency; left blank; Yahoo: 8058.T</t>
  </si>
  <si>
    <t xml:space="preserve">BMO</t>
  </si>
  <si>
    <t xml:space="preserve">Bank of Montreal</t>
  </si>
  <si>
    <t xml:space="preserve">Local price in CAD not shown; see Yahoo symbol BMO.TO; Market cap reported in local currency; left blank; Yahoo: BMO.TO</t>
  </si>
  <si>
    <t xml:space="preserve">NOVOB</t>
  </si>
  <si>
    <t xml:space="preserve">NOVO NORDISK A/S B</t>
  </si>
  <si>
    <t xml:space="preserve">Developed / DKK</t>
  </si>
  <si>
    <t xml:space="preserve">ISP</t>
  </si>
  <si>
    <t xml:space="preserve">Intesa Sanpaolo S.p.A.</t>
  </si>
  <si>
    <t xml:space="preserve">Local price in EUR not shown; see Yahoo symbol ISP.MI; Market cap reported in local currency; left blank; Yahoo: ISP.MI</t>
  </si>
  <si>
    <t xml:space="preserve">D05</t>
  </si>
  <si>
    <t xml:space="preserve">DBS Group Holdings Ltd</t>
  </si>
  <si>
    <t xml:space="preserve">Developed / SGD</t>
  </si>
  <si>
    <t xml:space="preserve">Local price in SGD not shown; see Yahoo symbol D05.SI; Market cap reported in local currency; left blank; Yahoo: D05.SI</t>
  </si>
  <si>
    <t xml:space="preserve">285A</t>
  </si>
  <si>
    <t xml:space="preserve">Kioxia Holdings Corporation</t>
  </si>
  <si>
    <t xml:space="preserve">Local price in JPY not shown; see Yahoo symbol 285A.T; Market cap reported in local currency; left blank; Yahoo: 285A.T</t>
  </si>
  <si>
    <t xml:space="preserve">BP.</t>
  </si>
  <si>
    <t xml:space="preserve">BP PLC</t>
  </si>
  <si>
    <t xml:space="preserve">BNS</t>
  </si>
  <si>
    <t xml:space="preserve">The Bank of Nova Scotia</t>
  </si>
  <si>
    <t xml:space="preserve">Local price in CAD not shown; see Yahoo symbol BNS.TO; Market cap reported in local currency; left blank; Yahoo: BNS.TO</t>
  </si>
  <si>
    <t xml:space="preserve">AI</t>
  </si>
  <si>
    <t xml:space="preserve">L'Air Liquide S.A.</t>
  </si>
  <si>
    <t xml:space="preserve">Local price in EUR not shown; see Yahoo symbol AI.PA; Market cap reported in local currency; left blank; Yahoo: AI.PA</t>
  </si>
  <si>
    <t xml:space="preserve">A005935</t>
  </si>
  <si>
    <t xml:space="preserve">Local price in KRW not shown; see Yahoo symbol 005935.KS; Market cap reported in local currency; left blank; Yahoo: 005935.KS</t>
  </si>
  <si>
    <t xml:space="preserve">MC</t>
  </si>
  <si>
    <t xml:space="preserve">LVMH Moët Hennessy - Louis Vuitton, Société Européenne</t>
  </si>
  <si>
    <t xml:space="preserve">Local price in EUR not shown; see Yahoo symbol MC.PA; Market cap reported in local currency; left blank; Yahoo: MC.PA</t>
  </si>
  <si>
    <t xml:space="preserve">BNP</t>
  </si>
  <si>
    <t xml:space="preserve">BNP Paribas SA</t>
  </si>
  <si>
    <t xml:space="preserve">Local price in EUR not shown; see Yahoo symbol BNP.PA; Market cap reported in local currency; left blank; Yahoo: BNP.PA</t>
  </si>
  <si>
    <t xml:space="preserve">ENR</t>
  </si>
  <si>
    <t xml:space="preserve">Siemens Energy AG</t>
  </si>
  <si>
    <t xml:space="preserve">Local price in EUR not shown; see Yahoo symbol ENR.DE; Market cap reported in local currency; left blank; Yahoo: ENR.DE</t>
  </si>
  <si>
    <t xml:space="preserve">1299</t>
  </si>
  <si>
    <t xml:space="preserve">AIA Group Limited</t>
  </si>
  <si>
    <t xml:space="preserve">Developed / HKD</t>
  </si>
  <si>
    <t xml:space="preserve">Local price in HKD not shown; see Yahoo symbol 1299.HK; Market cap reported in local currency; left blank; Yahoo: 1299.HK</t>
  </si>
  <si>
    <t xml:space="preserve">INGA</t>
  </si>
  <si>
    <t xml:space="preserve">ING Groep N.V.</t>
  </si>
  <si>
    <t xml:space="preserve">Local price in EUR not shown; see Yahoo symbol INGA.AS; Market cap reported in local currency; left blank; Yahoo: INGA.AS</t>
  </si>
  <si>
    <t xml:space="preserve">ZURN</t>
  </si>
  <si>
    <t xml:space="preserve">Zurich Insurance Group AG</t>
  </si>
  <si>
    <t xml:space="preserve">Local price in CHF not shown; see Yahoo symbol ZURN.SW; Market cap reported in local currency; left blank; Yahoo: ZURN.SW</t>
  </si>
  <si>
    <t xml:space="preserve">CFR</t>
  </si>
  <si>
    <t xml:space="preserve">Compagnie Financière Richemont SA</t>
  </si>
  <si>
    <t xml:space="preserve">Local price in CHF not shown; see Yahoo symbol CFR.SW; Market cap reported in local currency; left blank; Yahoo: CFR.SW</t>
  </si>
  <si>
    <t xml:space="preserve">BATS</t>
  </si>
  <si>
    <t xml:space="preserve">BRITISH AMERICAN TOBACCO PLC</t>
  </si>
  <si>
    <t xml:space="preserve">CM</t>
  </si>
  <si>
    <t xml:space="preserve">Canadian Imperial Bank of Commerce</t>
  </si>
  <si>
    <t xml:space="preserve">Local price in CAD not shown; see Yahoo symbol CM.TO; Market cap reported in local currency; left blank; Yahoo: CM.TO</t>
  </si>
  <si>
    <t xml:space="preserve">2308</t>
  </si>
  <si>
    <t xml:space="preserve">Delta Electronics, Inc.</t>
  </si>
  <si>
    <t xml:space="preserve">Local price in TWD not shown; see Yahoo symbol 2308.TW; Market cap reported in local currency; left blank; Yahoo: 2308.TW</t>
  </si>
  <si>
    <t xml:space="preserve">DTE</t>
  </si>
  <si>
    <t xml:space="preserve">Deutsche Telekom AG</t>
  </si>
  <si>
    <t xml:space="preserve">Local price in EUR not shown; see Yahoo symbol DTE.DE; Market cap reported in local currency; left blank; Yahoo: DTE.DE</t>
  </si>
  <si>
    <t xml:space="preserve">939</t>
  </si>
  <si>
    <t xml:space="preserve">China Construction Bank Corporation</t>
  </si>
  <si>
    <t xml:space="preserve">Local price in HKD not shown; see Yahoo symbol 0939.HK; Market cap reported in local currency; left blank; Yahoo: 0939.HK</t>
  </si>
  <si>
    <t xml:space="preserve">AEM</t>
  </si>
  <si>
    <t xml:space="preserve">Agnico Eagle Mines Limited</t>
  </si>
  <si>
    <t xml:space="preserve">Local price in CAD not shown; see Yahoo symbol AEM.TO; Market cap reported in local currency; left blank; Yahoo: AEM.TO</t>
  </si>
  <si>
    <t xml:space="preserve">RIO</t>
  </si>
  <si>
    <t xml:space="preserve">RIO TINTO PLC</t>
  </si>
  <si>
    <t xml:space="preserve">8766</t>
  </si>
  <si>
    <t xml:space="preserve">Tokio Marine Holdings, Inc.</t>
  </si>
  <si>
    <t xml:space="preserve">Local price in JPY not shown; see Yahoo symbol 8766.T; Market cap reported in local currency; left blank; Yahoo: 8766.T</t>
  </si>
  <si>
    <t xml:space="preserve">ENB</t>
  </si>
  <si>
    <t xml:space="preserve">Enbridge Inc.</t>
  </si>
  <si>
    <t xml:space="preserve">Local price in CAD not shown; see Yahoo symbol ENB.TO; Market cap reported in local currency; left blank; Yahoo: ENB.TO</t>
  </si>
  <si>
    <t xml:space="preserve">8001</t>
  </si>
  <si>
    <t xml:space="preserve">ITOCHU Corporation</t>
  </si>
  <si>
    <t xml:space="preserve">Local price in JPY not shown; see Yahoo symbol 8001.T; Market cap reported in local currency; left blank; Yahoo: 8001.T</t>
  </si>
  <si>
    <t xml:space="preserve">GSK</t>
  </si>
  <si>
    <t xml:space="preserve">GSK PLC</t>
  </si>
  <si>
    <t xml:space="preserve">OR</t>
  </si>
  <si>
    <t xml:space="preserve">L'Oréal S.A.</t>
  </si>
  <si>
    <t xml:space="preserve">Local price in EUR not shown; see Yahoo symbol OR.PA; Market cap reported in local currency; left blank; Yahoo: OR.PA</t>
  </si>
  <si>
    <t xml:space="preserve">CNQ</t>
  </si>
  <si>
    <t xml:space="preserve">Canadian Natural Resources Limited</t>
  </si>
  <si>
    <t xml:space="preserve">Local price in CAD not shown; see Yahoo symbol CNQ.TO; Market cap reported in local currency; left blank; Yahoo: CNQ.TO</t>
  </si>
  <si>
    <t xml:space="preserve">8031</t>
  </si>
  <si>
    <t xml:space="preserve">Mitsui &amp; Co., Ltd.</t>
  </si>
  <si>
    <t xml:space="preserve">Local price in JPY not shown; see Yahoo symbol 8031.T; Market cap reported in local currency; left blank; Yahoo: 8031.T</t>
  </si>
  <si>
    <t xml:space="preserve">6981</t>
  </si>
  <si>
    <t xml:space="preserve">Murata Manufacturing Co., Ltd.</t>
  </si>
  <si>
    <t xml:space="preserve">Local price in JPY not shown; see Yahoo symbol 6981.T; Market cap reported in local currency; left blank; Yahoo: 6981.T</t>
  </si>
  <si>
    <t xml:space="preserve">LLOY</t>
  </si>
  <si>
    <t xml:space="preserve">LLOYDS BANKING GROUP PLC</t>
  </si>
  <si>
    <t xml:space="preserve">O39</t>
  </si>
  <si>
    <t xml:space="preserve">Oversea-Chinese Banking Corporation Limited</t>
  </si>
  <si>
    <t xml:space="preserve">Local price in SGD not shown; see Yahoo symbol O39.SI; Market cap reported in local currency; left blank; Yahoo: O39.SI</t>
  </si>
  <si>
    <t xml:space="preserve">2317</t>
  </si>
  <si>
    <t xml:space="preserve">Hon Hai Precision Industry Co., Ltd.</t>
  </si>
  <si>
    <t xml:space="preserve">Local price in TWD not shown; see Yahoo symbol 2317.TW; Market cap reported in local currency; left blank; Yahoo: 2317.TW</t>
  </si>
  <si>
    <t xml:space="preserve">6861</t>
  </si>
  <si>
    <t xml:space="preserve">Keyence Corporation</t>
  </si>
  <si>
    <t xml:space="preserve">Local price in JPY not shown; see Yahoo symbol 6861.T; Market cap reported in local currency; left blank; Yahoo: 6861.T</t>
  </si>
  <si>
    <t xml:space="preserve">Sanofi</t>
  </si>
  <si>
    <t xml:space="preserve">Local price in EUR not shown; see Yahoo symbol SAN.PA; Market cap reported in local currency; left blank; Yahoo: SAN.PA</t>
  </si>
  <si>
    <t xml:space="preserve">9983</t>
  </si>
  <si>
    <t xml:space="preserve">Fast Retailing Co., Ltd.</t>
  </si>
  <si>
    <t xml:space="preserve">Local price in JPY not shown; see Yahoo symbol 9983.T; Market cap reported in local currency; left blank; Yahoo: 9983.T</t>
  </si>
  <si>
    <t xml:space="preserve">CS</t>
  </si>
  <si>
    <t xml:space="preserve">AXA SA</t>
  </si>
  <si>
    <t xml:space="preserve">Local price in EUR not shown; see Yahoo symbol CS.VI; Market cap reported in local currency; left blank; Yahoo: CS.VI</t>
  </si>
  <si>
    <t xml:space="preserve">BARC</t>
  </si>
  <si>
    <t xml:space="preserve">BARCLAYS PLC</t>
  </si>
  <si>
    <t xml:space="preserve">IFX</t>
  </si>
  <si>
    <t xml:space="preserve">Infineon Technologies AG</t>
  </si>
  <si>
    <t xml:space="preserve">Local price in EUR not shown; see Yahoo symbol IFX.DE; Market cap reported in local currency; left blank; Yahoo: IFX.DE</t>
  </si>
  <si>
    <t xml:space="preserve">NAB</t>
  </si>
  <si>
    <t xml:space="preserve">National Australia Bank Limited</t>
  </si>
  <si>
    <t xml:space="preserve">Local price in AUD not shown; see Yahoo symbol NAB.AX; Yahoo: NAB.AX</t>
  </si>
  <si>
    <t xml:space="preserve">BA.</t>
  </si>
  <si>
    <t xml:space="preserve">BAE SYSTEMS PLC</t>
  </si>
  <si>
    <t xml:space="preserve">WBC</t>
  </si>
  <si>
    <t xml:space="preserve">Westpac Banking Corporation</t>
  </si>
  <si>
    <t xml:space="preserve">Local price in AUD not shown; see Yahoo symbol WBC.AX; Market cap reported in local currency; left blank; Yahoo: WBC.AX</t>
  </si>
  <si>
    <t xml:space="preserve">BN</t>
  </si>
  <si>
    <t xml:space="preserve">Brookfield Corporation</t>
  </si>
  <si>
    <t xml:space="preserve">Local price in CAD not shown; see Yahoo symbol BN.TO; Market cap reported in local currency; left blank; Yahoo: BN.TO</t>
  </si>
  <si>
    <t xml:space="preserve">HDFCB</t>
  </si>
  <si>
    <t xml:space="preserve">HDFC Bank Limited</t>
  </si>
  <si>
    <t xml:space="preserve">Emerging / INR</t>
  </si>
  <si>
    <t xml:space="preserve">Local price in INR not shown; see Yahoo symbol HDFCBANK.NS; Market cap reported in local currency; left blank; Yahoo: HDFCBANK.NS</t>
  </si>
  <si>
    <t xml:space="preserve">7011</t>
  </si>
  <si>
    <t xml:space="preserve">Mitsubishi Heavy Industries, Ltd.</t>
  </si>
  <si>
    <t xml:space="preserve">Local price in JPY not shown; see Yahoo symbol 7011.T; Market cap reported in local currency; left blank; Yahoo: 7011.T</t>
  </si>
  <si>
    <t xml:space="preserve">RIGD</t>
  </si>
  <si>
    <t xml:space="preserve">Reliance Industries Limited</t>
  </si>
  <si>
    <t xml:space="preserve">Emerging / USD</t>
  </si>
  <si>
    <t xml:space="preserve">GDR/ADR line: Yahoo mixes a USD price with INR earnings, so P/E, EPS and P/S are blanked; Yahoo: RIGD.L</t>
  </si>
  <si>
    <t xml:space="preserve">CP</t>
  </si>
  <si>
    <t xml:space="preserve">Canadian Pacific Kansas City Limited</t>
  </si>
  <si>
    <t xml:space="preserve">Local price in CAD not shown; see Yahoo symbol CP.TO; Market cap reported in local currency; left blank; Yahoo: CP.TO</t>
  </si>
  <si>
    <t xml:space="preserve">-</t>
  </si>
  <si>
    <t xml:space="preserve">NEW TAIWAN DOLLAR</t>
  </si>
  <si>
    <t xml:space="preserve">SPOT</t>
  </si>
  <si>
    <t xml:space="preserve">Spotify Technology S.A.</t>
  </si>
  <si>
    <t xml:space="preserve">GDR/ADR line: Yahoo mixes a USD price with EUR earnings, so P/E, EPS and P/S are blanked; Yahoo: SPOT</t>
  </si>
  <si>
    <t xml:space="preserve">ANZ</t>
  </si>
  <si>
    <t xml:space="preserve">ANZ Group Holdings Limited</t>
  </si>
  <si>
    <t xml:space="preserve">Local price in AUD not shown; see Yahoo symbol ANZ.AX; Yahoo: ANZ.AX</t>
  </si>
  <si>
    <t xml:space="preserve">Suncor Energy Inc.</t>
  </si>
  <si>
    <t xml:space="preserve">Local price in CAD not shown; see Yahoo symbol SU.TO; Market cap reported in local currency; left blank; Yahoo: SU.TO</t>
  </si>
  <si>
    <t xml:space="preserve">ENEL</t>
  </si>
  <si>
    <t xml:space="preserve">Enel SpA</t>
  </si>
  <si>
    <t xml:space="preserve">Local price in EUR not shown; see Yahoo symbol ENEL.MI; Market cap reported in local currency; left blank; Yahoo: ENEL.MI</t>
  </si>
  <si>
    <t xml:space="preserve">ABI</t>
  </si>
  <si>
    <t xml:space="preserve">Anheuser-Busch InBev SA/NV</t>
  </si>
  <si>
    <t xml:space="preserve">Local price in EUR not shown; see Yahoo symbol ABI.BR; Market cap reported in local currency; left blank; Yahoo: ABI.BR</t>
  </si>
  <si>
    <t xml:space="preserve">NG.</t>
  </si>
  <si>
    <t xml:space="preserve">NATIONAL GRID PLC</t>
  </si>
  <si>
    <t xml:space="preserve">NWG</t>
  </si>
  <si>
    <t xml:space="preserve">NATWEST GROUP PLC</t>
  </si>
  <si>
    <t xml:space="preserve">MUV2</t>
  </si>
  <si>
    <t xml:space="preserve">Münchener Rückversicherungs-Gesellschaft Aktiengesellschaft in München</t>
  </si>
  <si>
    <t xml:space="preserve">Local price in EUR not shown; see Yahoo symbol MUV2.DE; Market cap reported in local currency; left blank; Yahoo: MUV2.DE</t>
  </si>
  <si>
    <t xml:space="preserve">DBK</t>
  </si>
  <si>
    <t xml:space="preserve">Deutsche Bank Aktiengesellschaft</t>
  </si>
  <si>
    <t xml:space="preserve">Local price in EUR not shown; see Yahoo symbol DBK.DE; Market cap reported in local currency; left blank; Yahoo: DBK.DE</t>
  </si>
  <si>
    <t xml:space="preserve">3711</t>
  </si>
  <si>
    <t xml:space="preserve">ASE Technology Holding Co., Ltd.</t>
  </si>
  <si>
    <t xml:space="preserve">Local price in TWD not shown; see Yahoo symbol 3711.TW; Market cap reported in local currency; left blank; Yahoo: 3711.TW</t>
  </si>
  <si>
    <t xml:space="preserve">GLEN</t>
  </si>
  <si>
    <t xml:space="preserve">GLENCORE PLC</t>
  </si>
  <si>
    <t xml:space="preserve">INVE B</t>
  </si>
  <si>
    <t xml:space="preserve">Investor AB (publ)</t>
  </si>
  <si>
    <t xml:space="preserve">Developed / SEK</t>
  </si>
  <si>
    <t xml:space="preserve">Local price in SEK not shown; see Yahoo symbol INVE-B.ST; Yahoo: INVE-B.ST</t>
  </si>
  <si>
    <t xml:space="preserve">4063</t>
  </si>
  <si>
    <t xml:space="preserve">Shin-Etsu Chemical Co., Ltd.</t>
  </si>
  <si>
    <t xml:space="preserve">Local price in JPY not shown; see Yahoo symbol 4063.T; Market cap reported in local currency; left blank; Yahoo: 4063.T</t>
  </si>
  <si>
    <t xml:space="preserve">IBN</t>
  </si>
  <si>
    <t xml:space="preserve">ICICI Bank Limited</t>
  </si>
  <si>
    <t xml:space="preserve">GDR/ADR line: Yahoo mixes a USD price with INR earnings, so P/E, EPS and P/S are blanked; Yahoo: IBN</t>
  </si>
  <si>
    <t xml:space="preserve">CNR</t>
  </si>
  <si>
    <t xml:space="preserve">Canadian National Railway Company</t>
  </si>
  <si>
    <t xml:space="preserve">Local price in CAD not shown; see Yahoo symbol CNR.TO; Market cap reported in local currency; left blank; Yahoo: CNR.TO</t>
  </si>
  <si>
    <t xml:space="preserve">MFC</t>
  </si>
  <si>
    <t xml:space="preserve">Manulife Financial Corporation</t>
  </si>
  <si>
    <t xml:space="preserve">Local price in CAD not shown; see Yahoo symbol MFC.TO; Market cap reported in local currency; left blank; Yahoo: MFC.TO</t>
  </si>
  <si>
    <t xml:space="preserve">ABX</t>
  </si>
  <si>
    <t xml:space="preserve">Barrick Mining Corporation</t>
  </si>
  <si>
    <t xml:space="preserve">Local price in CAD not shown; see Yahoo symbol ABX.TO; Market cap reported in local currency; left blank; Yahoo: ABX.TO</t>
  </si>
  <si>
    <t xml:space="preserve">A402340</t>
  </si>
  <si>
    <t xml:space="preserve">SK Square Co., Ltd.</t>
  </si>
  <si>
    <t xml:space="preserve">Local price in KRW not shown; see Yahoo symbol 402340.KS; Market cap reported in local currency; left blank; Yahoo: 402340.KS</t>
  </si>
  <si>
    <t xml:space="preserve">NDA SE</t>
  </si>
  <si>
    <t xml:space="preserve">Nordea Bank Abp</t>
  </si>
  <si>
    <t xml:space="preserve">Local price in SEK not shown; see Yahoo symbol NDA-SE.ST; Market cap reported in local currency; left blank; Yahoo: NDA-SE.ST</t>
  </si>
  <si>
    <t xml:space="preserve">6503</t>
  </si>
  <si>
    <t xml:space="preserve">Mitsubishi Electric Corporation</t>
  </si>
  <si>
    <t xml:space="preserve">Local price in JPY not shown; see Yahoo symbol 6503.T; Market cap reported in local currency; left blank; Yahoo: 6503.T</t>
  </si>
  <si>
    <t xml:space="preserve">AAL</t>
  </si>
  <si>
    <t xml:space="preserve">ANGLO AMERICAN PLC</t>
  </si>
  <si>
    <t xml:space="preserve">ITX</t>
  </si>
  <si>
    <t xml:space="preserve">Industria de Diseño Textil, S.A.</t>
  </si>
  <si>
    <t xml:space="preserve">Local price in EUR not shown; see Yahoo symbol ITX.MC; Market cap reported in local currency; left blank; Yahoo: ITX.MC</t>
  </si>
  <si>
    <t xml:space="preserve">NOKIA</t>
  </si>
  <si>
    <t xml:space="preserve">Nokia Oyj</t>
  </si>
  <si>
    <t xml:space="preserve">Local price in EUR not shown; see Yahoo symbol NOKIA.HE; Market cap reported in local currency; left blank; Yahoo: NOKIA.HE</t>
  </si>
  <si>
    <t xml:space="preserve">6752</t>
  </si>
  <si>
    <t xml:space="preserve">Panasonic Holdings Corporation</t>
  </si>
  <si>
    <t xml:space="preserve">Local price in JPY not shown; see Yahoo symbol 6752.T; Market cap reported in local currency; left blank; Yahoo: 6752.T</t>
  </si>
  <si>
    <t xml:space="preserve">WPM</t>
  </si>
  <si>
    <t xml:space="preserve">Wheaton Precious Metals Corp.</t>
  </si>
  <si>
    <t xml:space="preserve">Local price in CAD not shown; see Yahoo symbol WPM.TO; Market cap reported in local currency; left blank; Yahoo: WPM.TO</t>
  </si>
  <si>
    <t xml:space="preserve">DG</t>
  </si>
  <si>
    <t xml:space="preserve">Vinci SA</t>
  </si>
  <si>
    <t xml:space="preserve">Local price in EUR not shown; see Yahoo symbol DG.PA; Market cap reported in local currency; left blank; Yahoo: DG.PA</t>
  </si>
  <si>
    <t xml:space="preserve">7974</t>
  </si>
  <si>
    <t xml:space="preserve">Nintendo Co., Ltd.</t>
  </si>
  <si>
    <t xml:space="preserve">Local price in JPY not shown; see Yahoo symbol 7974.T; Market cap reported in local currency; left blank; Yahoo: 7974.T</t>
  </si>
  <si>
    <t xml:space="preserve">1398</t>
  </si>
  <si>
    <t xml:space="preserve">Industrial and Commercial Bank of China Limited</t>
  </si>
  <si>
    <t xml:space="preserve">Local price in HKD not shown; see Yahoo symbol 1398.HK; Market cap reported in local currency; left blank; Yahoo: 1398.HK</t>
  </si>
  <si>
    <t xml:space="preserve">TRP</t>
  </si>
  <si>
    <t xml:space="preserve">TC Energy Corporation</t>
  </si>
  <si>
    <t xml:space="preserve">Local price in CAD not shown; see Yahoo symbol TRP.TO; Market cap reported in local currency; left blank; Yahoo: TRP.TO</t>
  </si>
  <si>
    <t xml:space="preserve">ENI</t>
  </si>
  <si>
    <t xml:space="preserve">Eni S.p.A.</t>
  </si>
  <si>
    <t xml:space="preserve">Local price in EUR not shown; see Yahoo symbol ENI.DE; Market cap reported in local currency; left blank; Yahoo: ENI.DE</t>
  </si>
  <si>
    <t xml:space="preserve">MQG</t>
  </si>
  <si>
    <t xml:space="preserve">Macquarie Group Limited</t>
  </si>
  <si>
    <t xml:space="preserve">Local price in AUD not shown; see Yahoo symbol MQG.AX; Yahoo: MQG.AX</t>
  </si>
  <si>
    <t xml:space="preserve">388</t>
  </si>
  <si>
    <t xml:space="preserve">Hong Kong Exchanges and Clearing Limited</t>
  </si>
  <si>
    <t xml:space="preserve">Local price in HKD not shown; see Yahoo symbol 0388.HK; Market cap reported in local currency; left blank; Yahoo: 0388.HK</t>
  </si>
  <si>
    <t xml:space="preserve">CSL</t>
  </si>
  <si>
    <t xml:space="preserve">CSL Limited</t>
  </si>
  <si>
    <t xml:space="preserve">Local price in AUD not shown; see Yahoo symbol CSL.AX; Market cap reported in local currency; left blank; Yahoo: CSL.AX; Negative trailing EPS; P/E blank</t>
  </si>
  <si>
    <t xml:space="preserve">GLE</t>
  </si>
  <si>
    <t xml:space="preserve">Société Générale Société anonyme</t>
  </si>
  <si>
    <t xml:space="preserve">Local price in EUR not shown; see Yahoo symbol GLE.PA; Market cap reported in local currency; left blank; Yahoo: GLE.PA</t>
  </si>
  <si>
    <t xml:space="preserve">4502</t>
  </si>
  <si>
    <t xml:space="preserve">Takeda Pharmaceutical Company Limited</t>
  </si>
  <si>
    <t xml:space="preserve">Local price in JPY not shown; see Yahoo symbol 4502.T; Market cap reported in local currency; left blank; Yahoo: 4502.T; Negative trailing EPS; P/E blank</t>
  </si>
  <si>
    <t xml:space="preserve">ARGX</t>
  </si>
  <si>
    <t xml:space="preserve">argenx SE</t>
  </si>
  <si>
    <t xml:space="preserve">Local price in EUR not shown; see Yahoo symbol ARGX.BR; Market cap reported in local currency; left blank; Yahoo: ARGX.BR</t>
  </si>
  <si>
    <t xml:space="preserve">UMC</t>
  </si>
  <si>
    <t xml:space="preserve">United Microelectronics Corporation</t>
  </si>
  <si>
    <t xml:space="preserve">GDR/ADR line: Yahoo mixes a USD price with TWD earnings, so P/E, EPS and P/S are blanked; Yahoo: UMC</t>
  </si>
  <si>
    <t xml:space="preserve">8053</t>
  </si>
  <si>
    <t xml:space="preserve">Sumitomo Corporation</t>
  </si>
  <si>
    <t xml:space="preserve">Local price in JPY not shown; see Yahoo symbol 8053.T; Market cap reported in local currency; left blank; Yahoo: 8053.T</t>
  </si>
  <si>
    <t xml:space="preserve">DHL</t>
  </si>
  <si>
    <t xml:space="preserve">DHL AG</t>
  </si>
  <si>
    <t xml:space="preserve">Local price in EUR not shown; see Yahoo symbol DHL.DE; Market cap reported in local currency; left blank; Yahoo: DHL.DE</t>
  </si>
  <si>
    <t xml:space="preserve">DB1</t>
  </si>
  <si>
    <t xml:space="preserve">Deutsche Börse AG</t>
  </si>
  <si>
    <t xml:space="preserve">Local price in EUR not shown; see Yahoo symbol DB1.DE; Market cap reported in local currency; left blank; Yahoo: DB1.DE</t>
  </si>
  <si>
    <t xml:space="preserve">2891</t>
  </si>
  <si>
    <t xml:space="preserve">CTBC Financial Holding Co., Ltd.</t>
  </si>
  <si>
    <t xml:space="preserve">Local price in TWD not shown; see Yahoo symbol 2891.TW; Market cap reported in local currency; left blank; Yahoo: 2891.TW</t>
  </si>
  <si>
    <t xml:space="preserve">NA</t>
  </si>
  <si>
    <t xml:space="preserve">National Bank of Canada</t>
  </si>
  <si>
    <t xml:space="preserve">Local price in CAD not shown; see Yahoo symbol NA.TO; Market cap reported in local currency; left blank; Yahoo: NA.TO</t>
  </si>
  <si>
    <t xml:space="preserve">WES</t>
  </si>
  <si>
    <t xml:space="preserve">Wesfarmers Limited</t>
  </si>
  <si>
    <t xml:space="preserve">Local price in AUD not shown; see Yahoo symbol WES.AX; Market cap reported in local currency; left blank; Yahoo: WES.AX</t>
  </si>
  <si>
    <t xml:space="preserve">CABK</t>
  </si>
  <si>
    <t xml:space="preserve">CaixaBank, S.A.</t>
  </si>
  <si>
    <t xml:space="preserve">Local price in EUR not shown; see Yahoo symbol CABK.MC; Market cap reported in local currency; left blank; Yahoo: CABK.MC</t>
  </si>
  <si>
    <t xml:space="preserve">A009150</t>
  </si>
  <si>
    <t xml:space="preserve">Samsung Electro-Mechanics Co., Ltd.</t>
  </si>
  <si>
    <t xml:space="preserve">Local price in KRW not shown; see Yahoo symbol 009150.KS; Market cap reported in local currency; left blank; Yahoo: 009150.KS</t>
  </si>
  <si>
    <t xml:space="preserve">BHARTI</t>
  </si>
  <si>
    <t xml:space="preserve">Bharti Airtel Limited</t>
  </si>
  <si>
    <t xml:space="preserve">Local price in INR not shown; see Yahoo symbol BHARTIARTL.BO; Market cap reported in local currency; left blank; Yahoo: BHARTIARTL.BO</t>
  </si>
  <si>
    <t xml:space="preserve">G</t>
  </si>
  <si>
    <t xml:space="preserve">Assicurazioni Generali S.p.A.</t>
  </si>
  <si>
    <t xml:space="preserve">Local price in EUR not shown; see Yahoo symbol G.MI; Market cap reported in local currency; left blank; Yahoo: G.MI</t>
  </si>
  <si>
    <t xml:space="preserve">STAN</t>
  </si>
  <si>
    <t xml:space="preserve">STANDARD CHARTERED PLC</t>
  </si>
  <si>
    <t xml:space="preserve">9433</t>
  </si>
  <si>
    <t xml:space="preserve">KDDI Corporation</t>
  </si>
  <si>
    <t xml:space="preserve">Local price in JPY not shown; see Yahoo symbol 9433.T; Market cap reported in local currency; left blank; Yahoo: 9433.T</t>
  </si>
  <si>
    <t xml:space="preserve">A105560</t>
  </si>
  <si>
    <t xml:space="preserve">KB Financial Group Inc.</t>
  </si>
  <si>
    <t xml:space="preserve">Local price in KRW not shown; see Yahoo symbol 105560.KS; Market cap reported in local currency; left blank; Yahoo: 105560.KS</t>
  </si>
  <si>
    <t xml:space="preserve">8750</t>
  </si>
  <si>
    <t xml:space="preserve">Daiichi Life Group, Inc.</t>
  </si>
  <si>
    <t xml:space="preserve">Local price in JPY not shown; see Yahoo symbol 8750.T; Market cap reported in local currency; left blank; Yahoo: 8750.T</t>
  </si>
  <si>
    <t xml:space="preserve">3988</t>
  </si>
  <si>
    <t xml:space="preserve">Bank of China Limited</t>
  </si>
  <si>
    <t xml:space="preserve">Local price in HKD not shown; see Yahoo symbol 3988.HK; Market cap reported in local currency; left blank; Yahoo: 3988.HK</t>
  </si>
  <si>
    <t xml:space="preserve">7741</t>
  </si>
  <si>
    <t xml:space="preserve">HOYA Corporation</t>
  </si>
  <si>
    <t xml:space="preserve">Local price in JPY not shown; see Yahoo symbol 7741.T; Market cap reported in local currency; left blank; Yahoo: 7741.T</t>
  </si>
  <si>
    <t xml:space="preserve">PRX</t>
  </si>
  <si>
    <t xml:space="preserve">Prosus N.V.</t>
  </si>
  <si>
    <t xml:space="preserve">Local price in EUR not shown; see Yahoo symbol PRX.AS; Market cap reported in local currency; left blank; Yahoo: PRX.AS</t>
  </si>
  <si>
    <t xml:space="preserve">1810</t>
  </si>
  <si>
    <t xml:space="preserve">Xiaomi Corporation</t>
  </si>
  <si>
    <t xml:space="preserve">Local price in HKD not shown; see Yahoo symbol 1810.HK; Market cap reported in local currency; left blank; Yahoo: 1810.HK</t>
  </si>
  <si>
    <t xml:space="preserve">BAYN</t>
  </si>
  <si>
    <t xml:space="preserve">Bayer Aktiengesellschaft</t>
  </si>
  <si>
    <t xml:space="preserve">Local price in EUR not shown; see Yahoo symbol BAYN.DE; Market cap reported in local currency; left blank; Yahoo: BAYN.DE; Negative trailing EPS; P/E blank</t>
  </si>
  <si>
    <t xml:space="preserve">RHM</t>
  </si>
  <si>
    <t xml:space="preserve">Rheinmetall AG</t>
  </si>
  <si>
    <t xml:space="preserve">Local price in EUR not shown; see Yahoo symbol RHM.DE; Market cap reported in local currency; left blank; Yahoo: RHM.DE</t>
  </si>
  <si>
    <t xml:space="preserve">NBIS</t>
  </si>
  <si>
    <t xml:space="preserve">Nebius Group N.V.</t>
  </si>
  <si>
    <t xml:space="preserve">Yahoo: NBIS; Negative trailing EPS; P/E blank</t>
  </si>
  <si>
    <t xml:space="preserve">5803</t>
  </si>
  <si>
    <t xml:space="preserve">Fujikura Ltd.</t>
  </si>
  <si>
    <t xml:space="preserve">Local price in JPY not shown; see Yahoo symbol 5803.T; Market cap reported in local currency; left blank; Yahoo: 5803.T</t>
  </si>
  <si>
    <t xml:space="preserve">PDD</t>
  </si>
  <si>
    <t xml:space="preserve">PDD Holdings Inc.</t>
  </si>
  <si>
    <t xml:space="preserve">GDR/ADR line: Yahoo mixes a USD price with CNY earnings, so P/E, EPS and P/S are blanked; Yahoo: PDD</t>
  </si>
  <si>
    <t xml:space="preserve">RMS</t>
  </si>
  <si>
    <t xml:space="preserve">Hermès International Société en commandite par actions</t>
  </si>
  <si>
    <t xml:space="preserve">Local price in EUR not shown; see Yahoo symbol RMS.PA; Market cap reported in local currency; left blank; Yahoo: RMS.PA</t>
  </si>
  <si>
    <t xml:space="preserve">6301</t>
  </si>
  <si>
    <t xml:space="preserve">Komatsu Ltd.</t>
  </si>
  <si>
    <t xml:space="preserve">Local price in JPY not shown; see Yahoo symbol 6301.T; Market cap reported in local currency; left blank; Yahoo: 6301.T</t>
  </si>
  <si>
    <t xml:space="preserve">8002</t>
  </si>
  <si>
    <t xml:space="preserve">Marubeni Corporation</t>
  </si>
  <si>
    <t xml:space="preserve">Local price in JPY not shown; see Yahoo symbol 8002.T; Market cap reported in local currency; left blank; Yahoo: 8002.T</t>
  </si>
  <si>
    <t xml:space="preserve">VOLV B</t>
  </si>
  <si>
    <t xml:space="preserve">AB Volvo (publ)</t>
  </si>
  <si>
    <t xml:space="preserve">Local price in SEK not shown; see Yahoo symbol VOLV-B.ST; Market cap reported in local currency; left blank; Yahoo: VOLV-B.ST</t>
  </si>
  <si>
    <t xml:space="preserve">2881</t>
  </si>
  <si>
    <t xml:space="preserve">Fubon Financial Holding Co., Ltd.</t>
  </si>
  <si>
    <t xml:space="preserve">Local price in TWD not shown; see Yahoo symbol 2881.TW; Market cap reported in local currency; left blank; Yahoo: 2881.TW</t>
  </si>
  <si>
    <t xml:space="preserve">BAS</t>
  </si>
  <si>
    <t xml:space="preserve">BASF SE</t>
  </si>
  <si>
    <t xml:space="preserve">Local price in EUR not shown; see Yahoo symbol BAS.DE; Market cap reported in local currency; left blank; Yahoo: BAS.DE</t>
  </si>
  <si>
    <t xml:space="preserve">2914</t>
  </si>
  <si>
    <t xml:space="preserve">Japan Tobacco Inc.</t>
  </si>
  <si>
    <t xml:space="preserve">Local price in JPY not shown; see Yahoo symbol 2914.T; Market cap reported in local currency; left blank; Yahoo: 2914.T</t>
  </si>
  <si>
    <t xml:space="preserve">CBK</t>
  </si>
  <si>
    <t xml:space="preserve">Commerzbank AG</t>
  </si>
  <si>
    <t xml:space="preserve">Local price in EUR not shown; see Yahoo symbol CBK.DE; Market cap reported in local currency; left blank; Yahoo: CBK.DE</t>
  </si>
  <si>
    <t xml:space="preserve">8591</t>
  </si>
  <si>
    <t xml:space="preserve">ORIX Corporation</t>
  </si>
  <si>
    <t xml:space="preserve">Local price in JPY not shown; see Yahoo symbol 8591.T; Market cap reported in local currency; left blank; Yahoo: 8591.T</t>
  </si>
  <si>
    <t xml:space="preserve">LSEG</t>
  </si>
  <si>
    <t xml:space="preserve">LONDON STOCK EXCHANGE GROUP</t>
  </si>
  <si>
    <t xml:space="preserve">ATCO A</t>
  </si>
  <si>
    <t xml:space="preserve">Atlas Copco AB (publ)</t>
  </si>
  <si>
    <t xml:space="preserve">Local price in SEK not shown; see Yahoo symbol ATCO-A.ST; Market cap reported in local currency; left blank; Yahoo: ATCO-A.ST</t>
  </si>
  <si>
    <t xml:space="preserve">CCO</t>
  </si>
  <si>
    <t xml:space="preserve">Cameco Corporation</t>
  </si>
  <si>
    <t xml:space="preserve">Local price in CAD not shown; see Yahoo symbol CCO.TO; Market cap reported in local currency; left blank; Yahoo: CCO.TO</t>
  </si>
  <si>
    <t xml:space="preserve">CPG</t>
  </si>
  <si>
    <t xml:space="preserve">Compass Group PLC</t>
  </si>
  <si>
    <t xml:space="preserve">Yahoo: CPG.L</t>
  </si>
  <si>
    <t xml:space="preserve">FNV</t>
  </si>
  <si>
    <t xml:space="preserve">Franco-Nevada Corporation</t>
  </si>
  <si>
    <t xml:space="preserve">Local price in CAD not shown; see Yahoo symbol FNV.TO; Market cap reported in local currency; left blank; Yahoo: FNV.TO</t>
  </si>
  <si>
    <t xml:space="preserve">SR9</t>
  </si>
  <si>
    <t xml:space="preserve">Swiss Re AG</t>
  </si>
  <si>
    <t xml:space="preserve">Local price in CHF not shown; see Yahoo symbol SREN.SW; Market cap reported in local currency; left blank; Yahoo: SREN.SW</t>
  </si>
  <si>
    <t xml:space="preserve">SAND</t>
  </si>
  <si>
    <t xml:space="preserve">Sandvik AB (publ)</t>
  </si>
  <si>
    <t xml:space="preserve">Local price in SEK not shown; see Yahoo symbol SAND.ST; Market cap reported in local currency; left blank; Yahoo: SAND.ST</t>
  </si>
  <si>
    <t xml:space="preserve">RACE</t>
  </si>
  <si>
    <t xml:space="preserve">Ferrari N.V.</t>
  </si>
  <si>
    <t xml:space="preserve">Local price in EUR not shown; see Yahoo symbol RACE.MI; Market cap reported in local currency; left blank; Yahoo: RACE.MI</t>
  </si>
  <si>
    <t xml:space="preserve">EBS</t>
  </si>
  <si>
    <t xml:space="preserve">Erste Group Bank AG</t>
  </si>
  <si>
    <t xml:space="preserve">Local price in EUR not shown; see Yahoo symbol EBS.VI; Market cap reported in local currency; left blank; Yahoo: EBS.VI</t>
  </si>
  <si>
    <t xml:space="preserve">ENGI</t>
  </si>
  <si>
    <t xml:space="preserve">Engie SA</t>
  </si>
  <si>
    <t xml:space="preserve">Local price in EUR not shown; see Yahoo symbol ENGI.PA; Market cap reported in local currency; left blank; Yahoo: ENGI.PA</t>
  </si>
  <si>
    <t xml:space="preserve">8725</t>
  </si>
  <si>
    <t xml:space="preserve">MS&amp;AD Insurance Group Holdings, Inc.</t>
  </si>
  <si>
    <t xml:space="preserve">Local price in JPY not shown; see Yahoo symbol 8725.T; Market cap reported in local currency; left blank; Yahoo: 8725.T</t>
  </si>
  <si>
    <t xml:space="preserve">1120</t>
  </si>
  <si>
    <t xml:space="preserve">Al Rajhi Banking and Investment Corporation</t>
  </si>
  <si>
    <t xml:space="preserve">Emerging / SAR</t>
  </si>
  <si>
    <t xml:space="preserve">Local price in SAR not shown; see Yahoo symbol 1120.SR; Market cap reported in local currency; left blank; Yahoo: 1120.SR</t>
  </si>
  <si>
    <t xml:space="preserve">8630</t>
  </si>
  <si>
    <t xml:space="preserve">Sompo Holdings, Inc.</t>
  </si>
  <si>
    <t xml:space="preserve">Local price in JPY not shown; see Yahoo symbol 8630.T; Market cap reported in local currency; left blank; Yahoo: 8630.T</t>
  </si>
  <si>
    <t xml:space="preserve">ATD</t>
  </si>
  <si>
    <t xml:space="preserve">Alimentation Couche-Tard Inc.</t>
  </si>
  <si>
    <t xml:space="preserve">Local price in CAD not shown; see Yahoo symbol ATD.TO; Market cap reported in local currency; left blank; Yahoo: ATD.TO</t>
  </si>
  <si>
    <t xml:space="preserve">U11</t>
  </si>
  <si>
    <t xml:space="preserve">United Overseas Bank Limited</t>
  </si>
  <si>
    <t xml:space="preserve">Local price in SGD not shown; see Yahoo symbol U11.SI; Market cap reported in local currency; left blank; Yahoo: U11.SI</t>
  </si>
  <si>
    <t xml:space="preserve">LONN</t>
  </si>
  <si>
    <t xml:space="preserve">Lonza Group AG</t>
  </si>
  <si>
    <t xml:space="preserve">Local price in CHF not shown; see Yahoo symbol LONN.SW; Market cap reported in local currency; left blank; Yahoo: LONN.SW</t>
  </si>
  <si>
    <t xml:space="preserve">ARM</t>
  </si>
  <si>
    <t xml:space="preserve">Arm Holdings plc</t>
  </si>
  <si>
    <t xml:space="preserve">Yahoo: ARM</t>
  </si>
  <si>
    <t xml:space="preserve">EL</t>
  </si>
  <si>
    <t xml:space="preserve">EssilorLuxottica Société anonyme</t>
  </si>
  <si>
    <t xml:space="preserve">Local price in EUR not shown; see Yahoo symbol EL.PA; Market cap reported in local currency; left blank; Yahoo: EL.PA</t>
  </si>
  <si>
    <t xml:space="preserve">DGE</t>
  </si>
  <si>
    <t xml:space="preserve">DIAGEO PLC</t>
  </si>
  <si>
    <t xml:space="preserve">Rio Tinto Group</t>
  </si>
  <si>
    <t xml:space="preserve">Local price in AUD not shown; see Yahoo symbol RIO.AX; Market cap reported in local currency; left blank; Yahoo: RIO.AX</t>
  </si>
  <si>
    <t xml:space="preserve">RWE</t>
  </si>
  <si>
    <t xml:space="preserve">RWE Aktiengesellschaft</t>
  </si>
  <si>
    <t xml:space="preserve">Local price in EUR not shown; see Yahoo symbol RWE.DE; Market cap reported in local currency; left blank; Yahoo: RWE.DE</t>
  </si>
  <si>
    <t xml:space="preserve">NU</t>
  </si>
  <si>
    <t xml:space="preserve">Nu Holdings Ltd.</t>
  </si>
  <si>
    <t xml:space="preserve">Yahoo: NU</t>
  </si>
  <si>
    <t xml:space="preserve">4578</t>
  </si>
  <si>
    <t xml:space="preserve">Otsuka Holdings Co., Ltd.</t>
  </si>
  <si>
    <t xml:space="preserve">Local price in JPY not shown; see Yahoo symbol 4578.T; Market cap reported in local currency; left blank; Yahoo: 4578.T</t>
  </si>
  <si>
    <t xml:space="preserve">VOD</t>
  </si>
  <si>
    <t xml:space="preserve">VODAFONE GROUP PLC</t>
  </si>
  <si>
    <t xml:space="preserve">SLF</t>
  </si>
  <si>
    <t xml:space="preserve">Sun Life Financial Inc.</t>
  </si>
  <si>
    <t xml:space="preserve">Local price in CAD not shown; see Yahoo symbol SLF.TO; Market cap reported in local currency; left blank; Yahoo: SLF.TO</t>
  </si>
  <si>
    <t xml:space="preserve">TEVA</t>
  </si>
  <si>
    <t xml:space="preserve">Teva Pharmaceutical Industries Limited</t>
  </si>
  <si>
    <t xml:space="preserve">Yahoo: TEVA</t>
  </si>
  <si>
    <t xml:space="preserve">RKT</t>
  </si>
  <si>
    <t xml:space="preserve">RECKITT BENCKISER GROUP PLC</t>
  </si>
  <si>
    <t xml:space="preserve">SSE</t>
  </si>
  <si>
    <t xml:space="preserve">SSE PLC</t>
  </si>
  <si>
    <t xml:space="preserve">TSCO</t>
  </si>
  <si>
    <t xml:space="preserve">TESCO PLC</t>
  </si>
  <si>
    <t xml:space="preserve">Danone S.A.</t>
  </si>
  <si>
    <t xml:space="preserve">Local price in EUR not shown; see Yahoo symbol BN.PA; Market cap reported in local currency; left blank; Yahoo: BN.PA</t>
  </si>
  <si>
    <t xml:space="preserve">3037</t>
  </si>
  <si>
    <t xml:space="preserve">Unimicron Technology Corp.</t>
  </si>
  <si>
    <t xml:space="preserve">Local price in TWD not shown; see Yahoo symbol 3037.TW; Market cap reported in local currency; left blank; Yahoo: 3037.TW</t>
  </si>
  <si>
    <t xml:space="preserve">6702</t>
  </si>
  <si>
    <t xml:space="preserve">Fujitsu Limited</t>
  </si>
  <si>
    <t xml:space="preserve">Local price in JPY not shown; see Yahoo symbol 6702.T; Market cap reported in local currency; left blank; Yahoo: 6702.T</t>
  </si>
  <si>
    <t xml:space="preserve">9434</t>
  </si>
  <si>
    <t xml:space="preserve">SoftBank Corp.</t>
  </si>
  <si>
    <t xml:space="preserve">Local price in JPY not shown; see Yahoo symbol 9434.T; Market cap reported in local currency; left blank; Yahoo: 9434.T</t>
  </si>
  <si>
    <t xml:space="preserve">DANSKE</t>
  </si>
  <si>
    <t xml:space="preserve">Danske Bank A/S</t>
  </si>
  <si>
    <t xml:space="preserve">Local price in DKK not shown; see Yahoo symbol DANSKE.CO; Market cap reported in local currency; left blank; Yahoo: DANSKE.CO</t>
  </si>
  <si>
    <t xml:space="preserve">ASM</t>
  </si>
  <si>
    <t xml:space="preserve">ASM International NV</t>
  </si>
  <si>
    <t xml:space="preserve">Local price in EUR not shown; see Yahoo symbol ASM.AS; Market cap reported in local currency; left blank; Yahoo: ASM.AS</t>
  </si>
  <si>
    <t xml:space="preserve">WDS</t>
  </si>
  <si>
    <t xml:space="preserve">Woodside Energy Group Ltd</t>
  </si>
  <si>
    <t xml:space="preserve">Local price in AUD not shown; see Yahoo symbol WDS.AX; Market cap reported in local currency; left blank; Yahoo: WDS.AX</t>
  </si>
  <si>
    <t xml:space="preserve">7267</t>
  </si>
  <si>
    <t xml:space="preserve">Honda Motor Co., Ltd.</t>
  </si>
  <si>
    <t xml:space="preserve">Local price in JPY not shown; see Yahoo symbol 7267.T; Market cap reported in local currency; left blank; Yahoo: 7267.T; Negative trailing EPS; P/E blank</t>
  </si>
  <si>
    <t xml:space="preserve">CLS</t>
  </si>
  <si>
    <t xml:space="preserve">Celestica Inc.</t>
  </si>
  <si>
    <t xml:space="preserve">Local price in CAD not shown; see Yahoo symbol CLS.TO; Market cap reported in local currency; left blank; Yahoo: CLS.TO</t>
  </si>
  <si>
    <t xml:space="preserve">EQNR</t>
  </si>
  <si>
    <t xml:space="preserve">Equinor ASA</t>
  </si>
  <si>
    <t xml:space="preserve">Developed / NOK</t>
  </si>
  <si>
    <t xml:space="preserve">Local price in NOK not shown; see Yahoo symbol EQNR.OL; Market cap reported in local currency; left blank; Yahoo: EQNR.OL</t>
  </si>
  <si>
    <t xml:space="preserve">LR</t>
  </si>
  <si>
    <t xml:space="preserve">Legrand SA</t>
  </si>
  <si>
    <t xml:space="preserve">Local price in EUR not shown; see Yahoo symbol LR.PA; Market cap reported in local currency; left blank; Yahoo: LR.PA</t>
  </si>
  <si>
    <t xml:space="preserve">POW</t>
  </si>
  <si>
    <t xml:space="preserve">Power Corporation of Canada</t>
  </si>
  <si>
    <t xml:space="preserve">Local price in CAD not shown; see Yahoo symbol POW.TO; Market cap reported in local currency; left blank; Yahoo: POW.TO</t>
  </si>
  <si>
    <t xml:space="preserve">CVE</t>
  </si>
  <si>
    <t xml:space="preserve">Cenovus Energy Inc.</t>
  </si>
  <si>
    <t xml:space="preserve">Local price in CAD not shown; see Yahoo symbol CVE.TO; Market cap reported in local currency; left blank; Yahoo: CVE.TO</t>
  </si>
  <si>
    <t xml:space="preserve">EOAN</t>
  </si>
  <si>
    <t xml:space="preserve">E.ON SE</t>
  </si>
  <si>
    <t xml:space="preserve">Local price in EUR not shown; see Yahoo symbol EOAN.DE; Market cap reported in local currency; left blank; Yahoo: EOAN.DE</t>
  </si>
  <si>
    <t xml:space="preserve">ITUB</t>
  </si>
  <si>
    <t xml:space="preserve">Itaú Unibanco Holding S.A.</t>
  </si>
  <si>
    <t xml:space="preserve">GDR/ADR line: Yahoo mixes a USD price with BRL earnings, so P/E, EPS and P/S are blanked; Yahoo: ITUB</t>
  </si>
  <si>
    <t xml:space="preserve">DOL</t>
  </si>
  <si>
    <t xml:space="preserve">Dollarama Inc.</t>
  </si>
  <si>
    <t xml:space="preserve">Local price in CAD not shown; see Yahoo symbol DOL.TO; Market cap reported in local currency; left blank; Yahoo: DOL.TO</t>
  </si>
  <si>
    <t xml:space="preserve">3690</t>
  </si>
  <si>
    <t xml:space="preserve">Meituan</t>
  </si>
  <si>
    <t xml:space="preserve">Local price in HKD not shown; see Yahoo symbol 3690.HK; Market cap reported in local currency; left blank; Yahoo: 3690.HK; Negative trailing EPS; P/E blank</t>
  </si>
  <si>
    <t xml:space="preserve">HLN</t>
  </si>
  <si>
    <t xml:space="preserve">HALEON PLC</t>
  </si>
  <si>
    <t xml:space="preserve">2318</t>
  </si>
  <si>
    <t xml:space="preserve">Ping An Insurance (Group) Company of China, Ltd.</t>
  </si>
  <si>
    <t xml:space="preserve">Local price in HKD not shown; see Yahoo symbol 2318.HK; Market cap reported in local currency; left blank; Yahoo: 2318.HK</t>
  </si>
  <si>
    <t xml:space="preserve">5802</t>
  </si>
  <si>
    <t xml:space="preserve">Sumitomo Electric Industries, Ltd.</t>
  </si>
  <si>
    <t xml:space="preserve">Local price in JPY not shown; see Yahoo symbol 5802.T; Market cap reported in local currency; left blank; Yahoo: 5802.T</t>
  </si>
  <si>
    <t xml:space="preserve">9999</t>
  </si>
  <si>
    <t xml:space="preserve">NetEase, Inc.</t>
  </si>
  <si>
    <t xml:space="preserve">Local price in HKD not shown; see Yahoo symbol 9999.HK; Market cap reported in local currency; left blank; Yahoo: 9999.HK</t>
  </si>
  <si>
    <t xml:space="preserve">HOLN</t>
  </si>
  <si>
    <t xml:space="preserve">Holcim AG</t>
  </si>
  <si>
    <t xml:space="preserve">Local price in CHF not shown; see Yahoo symbol HOLN.SW; Market cap reported in local currency; left blank; Yahoo: HOLN.SW</t>
  </si>
  <si>
    <t xml:space="preserve">PRY</t>
  </si>
  <si>
    <t xml:space="preserve">Prysmian S.p.A.</t>
  </si>
  <si>
    <t xml:space="preserve">Local price in EUR not shown; see Yahoo symbol PRY.MI; Market cap reported in local currency; left blank; Yahoo: PRY.MI</t>
  </si>
  <si>
    <t xml:space="preserve">6701</t>
  </si>
  <si>
    <t xml:space="preserve">NEC Corporation</t>
  </si>
  <si>
    <t xml:space="preserve">Local price in JPY not shown; see Yahoo symbol 6701.T; Market cap reported in local currency; left blank; Yahoo: 6701.T</t>
  </si>
  <si>
    <t xml:space="preserve">1303</t>
  </si>
  <si>
    <t xml:space="preserve">Nan Ya Plastics Corporation</t>
  </si>
  <si>
    <t xml:space="preserve">Local price in TWD not shown; see Yahoo symbol 1303.TW; Market cap reported in local currency; left blank; Yahoo: 1303.TW</t>
  </si>
  <si>
    <t xml:space="preserve">SEB A</t>
  </si>
  <si>
    <t xml:space="preserve">Skandinaviska Enskilda Banken AB (publ)</t>
  </si>
  <si>
    <t xml:space="preserve">Local price in SEK not shown; see Yahoo symbol SEB-A.ST; Market cap reported in local currency; left blank; Yahoo: SEB-A.ST</t>
  </si>
  <si>
    <t xml:space="preserve">REP</t>
  </si>
  <si>
    <t xml:space="preserve">Repsol, S.A.</t>
  </si>
  <si>
    <t xml:space="preserve">Local price in EUR not shown; see Yahoo symbol REP.DE; Market cap reported in local currency; left blank; Yahoo: REP.DE</t>
  </si>
  <si>
    <t xml:space="preserve">6954</t>
  </si>
  <si>
    <t xml:space="preserve">Fanuc Corporation</t>
  </si>
  <si>
    <t xml:space="preserve">Local price in JPY not shown; see Yahoo symbol 6954.T; Market cap reported in local currency; left blank; Yahoo: 6954.T</t>
  </si>
  <si>
    <t xml:space="preserve">REL</t>
  </si>
  <si>
    <t xml:space="preserve">RELX PLC</t>
  </si>
  <si>
    <t xml:space="preserve">6723</t>
  </si>
  <si>
    <t xml:space="preserve">Renesas Electronics Corporation</t>
  </si>
  <si>
    <t xml:space="preserve">Local price in JPY not shown; see Yahoo symbol 6723.T; Market cap reported in local currency; left blank; Yahoo: 6723.T</t>
  </si>
  <si>
    <t xml:space="preserve">NTR</t>
  </si>
  <si>
    <t xml:space="preserve">Nutrien Ltd.</t>
  </si>
  <si>
    <t xml:space="preserve">Local price in CAD not shown; see Yahoo symbol NTR.TO; Market cap reported in local currency; left blank; Yahoo: NTR.TO</t>
  </si>
  <si>
    <t xml:space="preserve">LUMI</t>
  </si>
  <si>
    <t xml:space="preserve">BANK LEUMI LE ISRAEL</t>
  </si>
  <si>
    <t xml:space="preserve">Developed / ILS</t>
  </si>
  <si>
    <t xml:space="preserve">2383</t>
  </si>
  <si>
    <t xml:space="preserve">Elite Material Co., Ltd.</t>
  </si>
  <si>
    <t xml:space="preserve">Local price in TWD not shown; see Yahoo symbol 2383.TW; Market cap reported in local currency; left blank; Yahoo: 2383.TW</t>
  </si>
  <si>
    <t xml:space="preserve">SE</t>
  </si>
  <si>
    <t xml:space="preserve">Sea Limited</t>
  </si>
  <si>
    <t xml:space="preserve">Yahoo: SE</t>
  </si>
  <si>
    <t xml:space="preserve">2882</t>
  </si>
  <si>
    <t xml:space="preserve">Cathay Financial Holding Co., Ltd.</t>
  </si>
  <si>
    <t xml:space="preserve">Local price in TWD not shown; see Yahoo symbol 2882.TW; Market cap reported in local currency; left blank; Yahoo: 2882.TW</t>
  </si>
  <si>
    <t xml:space="preserve">WCN</t>
  </si>
  <si>
    <t xml:space="preserve">Waste Connections, Inc.</t>
  </si>
  <si>
    <t xml:space="preserve">Local price in CAD not shown; see Yahoo symbol WCN.TO; Market cap reported in local currency; left blank; Yahoo: WCN.TO</t>
  </si>
  <si>
    <t xml:space="preserve">A055550</t>
  </si>
  <si>
    <t xml:space="preserve">Shinhan Financial Group Co., Ltd.</t>
  </si>
  <si>
    <t xml:space="preserve">Local price in KRW not shown; see Yahoo symbol 055550.KS; Market cap reported in local currency; left blank; Yahoo: 055550.KS</t>
  </si>
  <si>
    <t xml:space="preserve">SGO</t>
  </si>
  <si>
    <t xml:space="preserve">Compagnie de Saint-Gobain S.A.</t>
  </si>
  <si>
    <t xml:space="preserve">Local price in EUR not shown; see Yahoo symbol SGO.VI; Market cap reported in local currency; left blank; Yahoo: SGO.VI</t>
  </si>
  <si>
    <t xml:space="preserve">GMEXICO B</t>
  </si>
  <si>
    <t xml:space="preserve">GRUPO MEXICO SAB DE CV SER B</t>
  </si>
  <si>
    <t xml:space="preserve">Emerging / MXN</t>
  </si>
  <si>
    <t xml:space="preserve">SDZ</t>
  </si>
  <si>
    <t xml:space="preserve">Sandoz Group AG</t>
  </si>
  <si>
    <t xml:space="preserve">Local price in CHF not shown; see Yahoo symbol SDZ.SW; Market cap reported in local currency; left blank; Yahoo: SDZ.SW</t>
  </si>
  <si>
    <t xml:space="preserve">VALE</t>
  </si>
  <si>
    <t xml:space="preserve">Vale S.A.</t>
  </si>
  <si>
    <t xml:space="preserve">GDR/ADR line: Yahoo mixes a USD price with BRL earnings, so P/E, EPS and P/S are blanked; Yahoo: VALE</t>
  </si>
  <si>
    <t xml:space="preserve">KBC</t>
  </si>
  <si>
    <t xml:space="preserve">KBC Group NV</t>
  </si>
  <si>
    <t xml:space="preserve">Local price in EUR not shown; see Yahoo symbol KBC.VI; Market cap reported in local currency; left blank; Yahoo: KBC.VI</t>
  </si>
  <si>
    <t xml:space="preserve">CSU</t>
  </si>
  <si>
    <t xml:space="preserve">Constellation Software Inc.</t>
  </si>
  <si>
    <t xml:space="preserve">Local price in CAD not shown; see Yahoo symbol CSU.TO; Market cap reported in local currency; left blank; Yahoo: CSU.TO</t>
  </si>
  <si>
    <t xml:space="preserve">6367</t>
  </si>
  <si>
    <t xml:space="preserve">Daikin Industries,Ltd.</t>
  </si>
  <si>
    <t xml:space="preserve">Local price in JPY not shown; see Yahoo symbol 6367.T; Market cap reported in local currency; left blank; Yahoo: 6367.T</t>
  </si>
  <si>
    <t xml:space="preserve">EXPN</t>
  </si>
  <si>
    <t xml:space="preserve">EXPERIAN PLC</t>
  </si>
  <si>
    <t xml:space="preserve">6762</t>
  </si>
  <si>
    <t xml:space="preserve">TDK Corporation</t>
  </si>
  <si>
    <t xml:space="preserve">Local price in JPY not shown; see Yahoo symbol 6762.T; Market cap reported in local currency; left blank; Yahoo: 6762.T</t>
  </si>
  <si>
    <t xml:space="preserve">7182</t>
  </si>
  <si>
    <t xml:space="preserve">JAPAN POST BANK Co., Ltd.</t>
  </si>
  <si>
    <t xml:space="preserve">Local price in JPY not shown; see Yahoo symbol 7182.T; Market cap reported in local currency; left blank; Yahoo: 7182.T</t>
  </si>
  <si>
    <t xml:space="preserve">MBG</t>
  </si>
  <si>
    <t xml:space="preserve">Mercedes-Benz Group AG</t>
  </si>
  <si>
    <t xml:space="preserve">Local price in EUR not shown; see Yahoo symbol MBG.DE; Market cap reported in local currency; left blank; Yahoo: MBG.DE</t>
  </si>
  <si>
    <t xml:space="preserve">SIKA</t>
  </si>
  <si>
    <t xml:space="preserve">Sika AG</t>
  </si>
  <si>
    <t xml:space="preserve">Local price in CHF not shown; see Yahoo symbol SIKA.SW; Market cap reported in local currency; left blank; Yahoo: SIKA.SW</t>
  </si>
  <si>
    <t xml:space="preserve">STMMI</t>
  </si>
  <si>
    <t xml:space="preserve">STMicroelectronics N.V.</t>
  </si>
  <si>
    <t xml:space="preserve">Local price in EUR not shown; see Yahoo symbol STMMI.MI; Market cap reported in local currency; left blank; Yahoo: STMMI.MI; Negative trailing EPS; P/E blank</t>
  </si>
  <si>
    <t xml:space="preserve">GMG</t>
  </si>
  <si>
    <t xml:space="preserve">Goodman Group</t>
  </si>
  <si>
    <t xml:space="preserve">Real Estate</t>
  </si>
  <si>
    <t xml:space="preserve">Local price in AUD not shown; see Yahoo symbol GMG.AX; Market cap reported in local currency; left blank; Yahoo: GMG.AX</t>
  </si>
  <si>
    <t xml:space="preserve">UCB</t>
  </si>
  <si>
    <t xml:space="preserve">UCB SA</t>
  </si>
  <si>
    <t xml:space="preserve">Local price in EUR not shown; see Yahoo symbol UCB.BR; Market cap reported in local currency; left blank; Yahoo: UCB.BR</t>
  </si>
  <si>
    <t xml:space="preserve">MT</t>
  </si>
  <si>
    <t xml:space="preserve">ArcelorMittal S.A.</t>
  </si>
  <si>
    <t xml:space="preserve">Local price in EUR not shown; see Yahoo symbol MT.AS; Market cap reported in local currency; left blank; Yahoo: MT.AS</t>
  </si>
  <si>
    <t xml:space="preserve">INFY</t>
  </si>
  <si>
    <t xml:space="preserve">Infosys Limited</t>
  </si>
  <si>
    <t xml:space="preserve">Yahoo: INFY</t>
  </si>
  <si>
    <t xml:space="preserve">POLI</t>
  </si>
  <si>
    <t xml:space="preserve">BANK HAPOALIM BM</t>
  </si>
  <si>
    <t xml:space="preserve">SLW</t>
  </si>
  <si>
    <t xml:space="preserve">SWISS LIFE HOLDING AG REG</t>
  </si>
  <si>
    <t xml:space="preserve">2890</t>
  </si>
  <si>
    <t xml:space="preserve">SinoPac Financial Holdings Company Limited</t>
  </si>
  <si>
    <t xml:space="preserve">Local price in TWD not shown; see Yahoo symbol 2890.TW; Market cap reported in local currency; left blank; Yahoo: 2890.TW</t>
  </si>
  <si>
    <t xml:space="preserve">A005930</t>
  </si>
  <si>
    <t xml:space="preserve">Local price in KRW not shown; see Yahoo symbol 005930.KS; Market cap reported in local currency; left blank; Yahoo: 005930.KS</t>
  </si>
  <si>
    <t xml:space="preserve">4568</t>
  </si>
  <si>
    <t xml:space="preserve">Daiichi Sankyo Company, Limited</t>
  </si>
  <si>
    <t xml:space="preserve">Local price in JPY not shown; see Yahoo symbol 4568.T; Market cap reported in local currency; left blank; Yahoo: 4568.T</t>
  </si>
  <si>
    <t xml:space="preserve">SWED A_SEK</t>
  </si>
  <si>
    <t xml:space="preserve">SWEDBANK AB   A SHARES</t>
  </si>
  <si>
    <t xml:space="preserve">DSV</t>
  </si>
  <si>
    <t xml:space="preserve">DSV A/S</t>
  </si>
  <si>
    <t xml:space="preserve">Local price in DKK not shown; see Yahoo symbol DSV.CO; Market cap reported in local currency; left blank; Yahoo: DSV.CO</t>
  </si>
  <si>
    <t xml:space="preserve">GFI</t>
  </si>
  <si>
    <t xml:space="preserve">GOLD FIELDS LTD</t>
  </si>
  <si>
    <t xml:space="preserve">Emerging / ZAR</t>
  </si>
  <si>
    <t xml:space="preserve">GALD</t>
  </si>
  <si>
    <t xml:space="preserve">Galderma Group AG</t>
  </si>
  <si>
    <t xml:space="preserve">Local price in CHF not shown; see Yahoo symbol GALD.SW; Market cap reported in local currency; left blank; Yahoo: GALD.SW</t>
  </si>
  <si>
    <t xml:space="preserve">7751</t>
  </si>
  <si>
    <t xml:space="preserve">Canon Inc.</t>
  </si>
  <si>
    <t xml:space="preserve">Local price in JPY not shown; see Yahoo symbol 7751.T; Market cap reported in local currency; left blank; Yahoo: 7751.T</t>
  </si>
  <si>
    <t xml:space="preserve">NPN</t>
  </si>
  <si>
    <t xml:space="preserve">NASPERS LTD N SHS</t>
  </si>
  <si>
    <t xml:space="preserve">ASSAB</t>
  </si>
  <si>
    <t xml:space="preserve">ASSA ABLOY AB B</t>
  </si>
  <si>
    <t xml:space="preserve">8308</t>
  </si>
  <si>
    <t xml:space="preserve">Resona Holdings, Inc.</t>
  </si>
  <si>
    <t xml:space="preserve">Local price in JPY not shown; see Yahoo symbol 8308.T; Market cap reported in local currency; left blank; Yahoo: 8308.T</t>
  </si>
  <si>
    <t xml:space="preserve">PBR.A</t>
  </si>
  <si>
    <t xml:space="preserve">PETROLEO BRASIL SP PREF  ADR</t>
  </si>
  <si>
    <t xml:space="preserve">A005380</t>
  </si>
  <si>
    <t xml:space="preserve">Hyundai Motor Company</t>
  </si>
  <si>
    <t xml:space="preserve">Local price in KRW not shown; see Yahoo symbol 005380.KS; Market cap reported in local currency; left blank; Yahoo: 005380.KS</t>
  </si>
  <si>
    <t xml:space="preserve">992</t>
  </si>
  <si>
    <t xml:space="preserve">Lenovo Group Limited</t>
  </si>
  <si>
    <t xml:space="preserve">Local price in HKD not shown; see Yahoo symbol 0992.HK; Market cap reported in local currency; left blank; Yahoo: 0992.HK</t>
  </si>
  <si>
    <t xml:space="preserve">TECK.B</t>
  </si>
  <si>
    <t xml:space="preserve">TECK RESOURCES LTD CLS B</t>
  </si>
  <si>
    <t xml:space="preserve">III</t>
  </si>
  <si>
    <t xml:space="preserve">3I GROUP PLC</t>
  </si>
  <si>
    <t xml:space="preserve">VWS</t>
  </si>
  <si>
    <t xml:space="preserve">Vestas Wind Systems A/S</t>
  </si>
  <si>
    <t xml:space="preserve">Local price in DKK not shown; see Yahoo symbol VWS.CO; Market cap reported in local currency; left blank; Yahoo: VWS.CO</t>
  </si>
  <si>
    <t xml:space="preserve">4062</t>
  </si>
  <si>
    <t xml:space="preserve">Ibiden Co.,Ltd.</t>
  </si>
  <si>
    <t xml:space="preserve">Local price in JPY not shown; see Yahoo symbol 4062.T; Market cap reported in local currency; left blank; Yahoo: 4062.T</t>
  </si>
  <si>
    <t xml:space="preserve">9618</t>
  </si>
  <si>
    <t xml:space="preserve">JD.com, Inc.</t>
  </si>
  <si>
    <t xml:space="preserve">Local price in HKD not shown; see Yahoo symbol 9618.HK; Market cap reported in local currency; left blank; Yahoo: 9618.HK</t>
  </si>
  <si>
    <t xml:space="preserve">GIVN</t>
  </si>
  <si>
    <t xml:space="preserve">Givaudan SA</t>
  </si>
  <si>
    <t xml:space="preserve">Local price in CHF not shown; see Yahoo symbol GIVN.SW; Market cap reported in local currency; left blank; Yahoo: GIVN.SW</t>
  </si>
  <si>
    <t xml:space="preserve">ALC</t>
  </si>
  <si>
    <t xml:space="preserve">Alcon Inc.</t>
  </si>
  <si>
    <t xml:space="preserve">Local price in CHF not shown; see Yahoo symbol ALC.SW; Market cap reported in local currency; left blank; Yahoo: ALC.SW</t>
  </si>
  <si>
    <t xml:space="preserve">9432</t>
  </si>
  <si>
    <t xml:space="preserve">NTT, Inc.</t>
  </si>
  <si>
    <t xml:space="preserve">Local price in JPY not shown; see Yahoo symbol 9432.T; Market cap reported in local currency; left blank; Yahoo: 9432.T</t>
  </si>
  <si>
    <t xml:space="preserve">OTP</t>
  </si>
  <si>
    <t xml:space="preserve">OTP Bank Nyrt.</t>
  </si>
  <si>
    <t xml:space="preserve">Emerging / HUF</t>
  </si>
  <si>
    <t xml:space="preserve">Local price in HUF not shown; see Yahoo symbol OTP.BD; Market cap reported in local currency; left blank; Yahoo: OTP.BD</t>
  </si>
  <si>
    <t xml:space="preserve">AXSB</t>
  </si>
  <si>
    <t xml:space="preserve">Axis Bank Limited</t>
  </si>
  <si>
    <t xml:space="preserve">Local price in INR not shown; see Yahoo symbol AXISBANK.BO; Market cap reported in local currency; left blank; Yahoo: AXISBANK.BO</t>
  </si>
  <si>
    <t xml:space="preserve">PBR</t>
  </si>
  <si>
    <t xml:space="preserve">Petróleo Brasileiro S.A. - Petrobras</t>
  </si>
  <si>
    <t xml:space="preserve">GDR/ADR line: Yahoo mixes a USD price with BRL earnings, so P/E, EPS and P/S are blanked; Yahoo: PBR</t>
  </si>
  <si>
    <t xml:space="preserve">PRU</t>
  </si>
  <si>
    <t xml:space="preserve">PRUDENTIAL PLC</t>
  </si>
  <si>
    <t xml:space="preserve">1211</t>
  </si>
  <si>
    <t xml:space="preserve">BYD Company Limited</t>
  </si>
  <si>
    <t xml:space="preserve">Local price in HKD not shown; see Yahoo symbol 1211.HK; Market cap reported in local currency; left blank; Yahoo: 1211.HK</t>
  </si>
  <si>
    <t xml:space="preserve">DELTA/F</t>
  </si>
  <si>
    <t xml:space="preserve">DELTA ELECTRONICS THAI FORGN</t>
  </si>
  <si>
    <t xml:space="preserve">Emerging / THB</t>
  </si>
  <si>
    <t xml:space="preserve">L</t>
  </si>
  <si>
    <t xml:space="preserve">Loblaw Companies Limited</t>
  </si>
  <si>
    <t xml:space="preserve">Local price in CAD not shown; see Yahoo symbol L.TO; Market cap reported in local currency; left blank; Yahoo: L.TO</t>
  </si>
  <si>
    <t xml:space="preserve">ADYEN</t>
  </si>
  <si>
    <t xml:space="preserve">Adyen N.V.</t>
  </si>
  <si>
    <t xml:space="preserve">Local price in EUR not shown; see Yahoo symbol ADYEN.AS; Market cap reported in local currency; left blank; Yahoo: ADYEN.AS</t>
  </si>
  <si>
    <t xml:space="preserve">K</t>
  </si>
  <si>
    <t xml:space="preserve">Kinross Gold Corporation</t>
  </si>
  <si>
    <t xml:space="preserve">Local price in CAD not shown; see Yahoo symbol K.TO; Market cap reported in local currency; left blank; Yahoo: K.TO</t>
  </si>
  <si>
    <t xml:space="preserve">ERICB</t>
  </si>
  <si>
    <t xml:space="preserve">ERICSSON LM B SHS</t>
  </si>
  <si>
    <t xml:space="preserve">FFH</t>
  </si>
  <si>
    <t xml:space="preserve">Fairfax Financial Holdings Limited</t>
  </si>
  <si>
    <t xml:space="preserve">Local price in CAD not shown; see Yahoo symbol FFH.TO; Market cap reported in local currency; left blank; Yahoo: FFH.TO</t>
  </si>
  <si>
    <t xml:space="preserve">WOW</t>
  </si>
  <si>
    <t xml:space="preserve">Woolworths Group Limited</t>
  </si>
  <si>
    <t xml:space="preserve">Local price in AUD not shown; see Yahoo symbol WOW.AX; Yahoo: WOW.AX</t>
  </si>
  <si>
    <t xml:space="preserve">ALL</t>
  </si>
  <si>
    <t xml:space="preserve">Aristocrat Leisure Limited</t>
  </si>
  <si>
    <t xml:space="preserve">Local price in AUD not shown; see Yahoo symbol ALL.AX; Market cap reported in local currency; left blank; Yahoo: ALL.AX</t>
  </si>
  <si>
    <t xml:space="preserve">8015</t>
  </si>
  <si>
    <t xml:space="preserve">Toyota Tsusho Corporation</t>
  </si>
  <si>
    <t xml:space="preserve">Local price in JPY not shown; see Yahoo symbol 8015.T; Market cap reported in local currency; left blank; Yahoo: 8015.T</t>
  </si>
  <si>
    <t xml:space="preserve">AD</t>
  </si>
  <si>
    <t xml:space="preserve">Koninklijke Ahold Delhaize N.V.</t>
  </si>
  <si>
    <t xml:space="preserve">Local price in EUR not shown; see Yahoo symbol AD.AS; Market cap reported in local currency; left blank; Yahoo: AD.AS</t>
  </si>
  <si>
    <t xml:space="preserve">BAF</t>
  </si>
  <si>
    <t xml:space="preserve">BAJAJ FINANCE LTD</t>
  </si>
  <si>
    <t xml:space="preserve">2887</t>
  </si>
  <si>
    <t xml:space="preserve">TS Financial Holding Co., Ltd.</t>
  </si>
  <si>
    <t xml:space="preserve">Local price in TWD not shown; see Yahoo symbol 2887.TW; Market cap reported in local currency; left blank; Yahoo: 2887.TW</t>
  </si>
  <si>
    <t xml:space="preserve">PKO</t>
  </si>
  <si>
    <t xml:space="preserve">Powszechna Kasa Oszczednosci Bank Polski Spólka Akcyjna</t>
  </si>
  <si>
    <t xml:space="preserve">Emerging / PLN</t>
  </si>
  <si>
    <t xml:space="preserve">Local price in PLN not shown; see Yahoo symbol PKO.WA; Market cap reported in local currency; left blank; Yahoo: PKO.WA</t>
  </si>
  <si>
    <t xml:space="preserve">8309</t>
  </si>
  <si>
    <t xml:space="preserve">Sumitomo Mitsui Trust Group, Inc.</t>
  </si>
  <si>
    <t xml:space="preserve">Local price in JPY not shown; see Yahoo symbol 8309.T; Market cap reported in local currency; left blank; Yahoo: 8309.T</t>
  </si>
  <si>
    <t xml:space="preserve">6178</t>
  </si>
  <si>
    <t xml:space="preserve">Japan Post Holdings Co., Ltd.</t>
  </si>
  <si>
    <t xml:space="preserve">Local price in JPY not shown; see Yahoo symbol 6178.T; Market cap reported in local currency; left blank; Yahoo: 6178.T</t>
  </si>
  <si>
    <t xml:space="preserve">IFC</t>
  </si>
  <si>
    <t xml:space="preserve">Intact Financial Corporation</t>
  </si>
  <si>
    <t xml:space="preserve">Local price in CAD not shown; see Yahoo symbol IFC.TO; Market cap reported in local currency; left blank; Yahoo: IFC.TO</t>
  </si>
  <si>
    <t xml:space="preserve">6971</t>
  </si>
  <si>
    <t xml:space="preserve">Kyocera Corporation</t>
  </si>
  <si>
    <t xml:space="preserve">Local price in JPY not shown; see Yahoo symbol 6971.T; Market cap reported in local currency; left blank; Yahoo: 6971.T</t>
  </si>
  <si>
    <t xml:space="preserve">2899</t>
  </si>
  <si>
    <t xml:space="preserve">Zijin Mining Group Company Limited</t>
  </si>
  <si>
    <t xml:space="preserve">Local price in HKD not shown; see Yahoo symbol 2899.HK; Market cap reported in local currency; left blank; Yahoo: 2899.HK</t>
  </si>
  <si>
    <t xml:space="preserve">4503</t>
  </si>
  <si>
    <t xml:space="preserve">Astellas Pharma Inc.</t>
  </si>
  <si>
    <t xml:space="preserve">Local price in JPY not shown; see Yahoo symbol 4503.T; Market cap reported in local currency; left blank; Yahoo: 4503.T</t>
  </si>
  <si>
    <t xml:space="preserve">8604</t>
  </si>
  <si>
    <t xml:space="preserve">Nomura Holdings, Inc.</t>
  </si>
  <si>
    <t xml:space="preserve">Local price in JPY not shown; see Yahoo symbol 8604.T; Market cap reported in local currency; left blank; Yahoo: 8604.T</t>
  </si>
  <si>
    <t xml:space="preserve">6146</t>
  </si>
  <si>
    <t xml:space="preserve">Disco Corporation</t>
  </si>
  <si>
    <t xml:space="preserve">Local price in JPY not shown; see Yahoo symbol 6146.T; Market cap reported in local currency; left blank; Yahoo: 6146.T</t>
  </si>
  <si>
    <t xml:space="preserve">3382</t>
  </si>
  <si>
    <t xml:space="preserve">Seven &amp; i Holdings Co., Ltd.</t>
  </si>
  <si>
    <t xml:space="preserve">Local price in JPY not shown; see Yahoo symbol 3382.T; Market cap reported in local currency; left blank; Yahoo: 3382.T</t>
  </si>
  <si>
    <t xml:space="preserve">ORA</t>
  </si>
  <si>
    <t xml:space="preserve">Orange S.A.</t>
  </si>
  <si>
    <t xml:space="preserve">Local price in EUR not shown; see Yahoo symbol ORA.PA; Market cap reported in local currency; left blank; Yahoo: ORA.PA</t>
  </si>
  <si>
    <t xml:space="preserve">IMO</t>
  </si>
  <si>
    <t xml:space="preserve">Imperial Oil Limited</t>
  </si>
  <si>
    <t xml:space="preserve">Local price in CAD not shown; see Yahoo symbol IMO.TO; Market cap reported in local currency; left blank; Yahoo: IMO.TO</t>
  </si>
  <si>
    <t xml:space="preserve">4519</t>
  </si>
  <si>
    <t xml:space="preserve">Chugai Pharmaceutical Co., Ltd.</t>
  </si>
  <si>
    <t xml:space="preserve">Local price in JPY not shown; see Yahoo symbol 4519.T; Market cap reported in local currency; left blank; Yahoo: 4519.T</t>
  </si>
  <si>
    <t xml:space="preserve">DNB</t>
  </si>
  <si>
    <t xml:space="preserve">DNB Bank ASA</t>
  </si>
  <si>
    <t xml:space="preserve">Local price in NOK not shown; see Yahoo symbol DNB.OL; Market cap reported in local currency; left blank; Yahoo: DNB.OL</t>
  </si>
  <si>
    <t xml:space="preserve">2883</t>
  </si>
  <si>
    <t xml:space="preserve">KGI Financial Holding Co., Ltd.</t>
  </si>
  <si>
    <t xml:space="preserve">Local price in TWD not shown; see Yahoo symbol 2883.TW; Market cap reported in local currency; left blank; Yahoo: 2883.TW</t>
  </si>
  <si>
    <t xml:space="preserve">4901</t>
  </si>
  <si>
    <t xml:space="preserve">FUJIFILM Holdings Corporation</t>
  </si>
  <si>
    <t xml:space="preserve">Local price in JPY not shown; see Yahoo symbol 4901.T; Market cap reported in local currency; left blank; Yahoo: 4901.T</t>
  </si>
  <si>
    <t xml:space="preserve">2222</t>
  </si>
  <si>
    <t xml:space="preserve">Saudi Arabian Oil Company</t>
  </si>
  <si>
    <t xml:space="preserve">Local price in SAR not shown; see Yahoo symbol 2222.SR; Market cap reported in local currency; left blank; Yahoo: 2222.SR</t>
  </si>
  <si>
    <t xml:space="preserve">A5G</t>
  </si>
  <si>
    <t xml:space="preserve">AIB Group plc</t>
  </si>
  <si>
    <t xml:space="preserve">Local price in EUR not shown; see Yahoo symbol A5G.IR; Market cap reported in local currency; left blank; Yahoo: A5G.IR</t>
  </si>
  <si>
    <t xml:space="preserve">2628</t>
  </si>
  <si>
    <t xml:space="preserve">China Life Insurance Company Limited</t>
  </si>
  <si>
    <t xml:space="preserve">Local price in HKD not shown; see Yahoo symbol 2628.HK; Market cap reported in local currency; left blank; Yahoo: 2628.HK</t>
  </si>
  <si>
    <t xml:space="preserve">IMB</t>
  </si>
  <si>
    <t xml:space="preserve">IMPERIAL BRANDS PLC</t>
  </si>
  <si>
    <t xml:space="preserve">8601</t>
  </si>
  <si>
    <t xml:space="preserve">Daiwa Securities Group Inc.</t>
  </si>
  <si>
    <t xml:space="preserve">Local price in JPY not shown; see Yahoo symbol 8601.T; Market cap reported in local currency; left blank; Yahoo: 8601.T</t>
  </si>
  <si>
    <t xml:space="preserve">TCL</t>
  </si>
  <si>
    <t xml:space="preserve">Transurban Group</t>
  </si>
  <si>
    <t xml:space="preserve">Local price in AUD not shown; see Yahoo symbol TCL.AX; Market cap reported in local currency; left blank; Yahoo: TCL.AX</t>
  </si>
  <si>
    <t xml:space="preserve">8802</t>
  </si>
  <si>
    <t xml:space="preserve">Mitsubishi Estate Co., Ltd.</t>
  </si>
  <si>
    <t xml:space="preserve">Local price in JPY not shown; see Yahoo symbol 8802.T; Market cap reported in local currency; left blank; Yahoo: 8802.T</t>
  </si>
  <si>
    <t xml:space="preserve">BAMI</t>
  </si>
  <si>
    <t xml:space="preserve">Banco BPM S.p.A.</t>
  </si>
  <si>
    <t xml:space="preserve">Local price in EUR not shown; see Yahoo symbol BAMI.MI; Market cap reported in local currency; left blank; Yahoo: BAMI.MI</t>
  </si>
  <si>
    <t xml:space="preserve">AV/</t>
  </si>
  <si>
    <t xml:space="preserve">AVIVA PLC</t>
  </si>
  <si>
    <t xml:space="preserve">BMPS</t>
  </si>
  <si>
    <t xml:space="preserve">Banca Monte dei Paschi di Siena S.p.A.</t>
  </si>
  <si>
    <t xml:space="preserve">Local price in EUR not shown; see Yahoo symbol BMPS.MI; Market cap reported in local currency; left blank; Yahoo: BMPS.MI</t>
  </si>
  <si>
    <t xml:space="preserve">ACA</t>
  </si>
  <si>
    <t xml:space="preserve">Crédit Agricole S.A.</t>
  </si>
  <si>
    <t xml:space="preserve">Local price in EUR not shown; see Yahoo symbol ACA.PA; Market cap reported in local currency; left blank; Yahoo: ACA.PA</t>
  </si>
  <si>
    <t xml:space="preserve">5020</t>
  </si>
  <si>
    <t xml:space="preserve">ENEOS Holdings, Inc.</t>
  </si>
  <si>
    <t xml:space="preserve">Local price in JPY not shown; see Yahoo symbol 5020.T; Market cap reported in local currency; left blank; Yahoo: 5020.T</t>
  </si>
  <si>
    <t xml:space="preserve">IHG</t>
  </si>
  <si>
    <t xml:space="preserve">InterContinental Hotels Group PLC</t>
  </si>
  <si>
    <t xml:space="preserve">Yahoo: IHG</t>
  </si>
  <si>
    <t xml:space="preserve">VIE</t>
  </si>
  <si>
    <t xml:space="preserve">Veolia Environnement SA</t>
  </si>
  <si>
    <t xml:space="preserve">Local price in EUR not shown; see Yahoo symbol VIE.PA; Market cap reported in local currency; left blank; Yahoo: VIE.PA</t>
  </si>
  <si>
    <t xml:space="preserve">1180</t>
  </si>
  <si>
    <t xml:space="preserve">The Saudi National Bank</t>
  </si>
  <si>
    <t xml:space="preserve">Local price in SAR not shown; see Yahoo symbol 1180.SR; Market cap reported in local currency; left blank; Yahoo: 1180.SR</t>
  </si>
  <si>
    <t xml:space="preserve">ABN</t>
  </si>
  <si>
    <t xml:space="preserve">ABN AMRO Bank N.V.</t>
  </si>
  <si>
    <t xml:space="preserve">Local price in EUR not shown; see Yahoo symbol ABN.AS; Market cap reported in local currency; left blank; Yahoo: ABN.AS</t>
  </si>
  <si>
    <t xml:space="preserve">LTOD</t>
  </si>
  <si>
    <t xml:space="preserve">Larsen &amp; Toubro Limited</t>
  </si>
  <si>
    <t xml:space="preserve">GDR/ADR line: Yahoo mixes a USD price with INR earnings, so P/E, EPS and P/S are blanked; Yahoo: LTOD.L</t>
  </si>
  <si>
    <t xml:space="preserve">5108</t>
  </si>
  <si>
    <t xml:space="preserve">Bridgestone Corporation</t>
  </si>
  <si>
    <t xml:space="preserve">Local price in JPY not shown; see Yahoo symbol 5108.T; Market cap reported in local currency; left blank; Yahoo: 5108.T</t>
  </si>
  <si>
    <t xml:space="preserve">2382</t>
  </si>
  <si>
    <t xml:space="preserve">Quanta Computer Inc.</t>
  </si>
  <si>
    <t xml:space="preserve">Local price in TWD not shown; see Yahoo symbol 2382.TW; Market cap reported in local currency; left blank; Yahoo: 2382.TW</t>
  </si>
  <si>
    <t xml:space="preserve">AMS</t>
  </si>
  <si>
    <t xml:space="preserve">Amadeus IT Group, S.A.</t>
  </si>
  <si>
    <t xml:space="preserve">Local price in EUR not shown; see Yahoo symbol AMS.MC; Market cap reported in local currency; left blank; Yahoo: AMS.MC</t>
  </si>
  <si>
    <t xml:space="preserve">2802</t>
  </si>
  <si>
    <t xml:space="preserve">Ajinomoto Co., Inc.</t>
  </si>
  <si>
    <t xml:space="preserve">Local price in JPY not shown; see Yahoo symbol 2802.T; Market cap reported in local currency; left blank; Yahoo: 2802.T</t>
  </si>
  <si>
    <t xml:space="preserve">DSFIR</t>
  </si>
  <si>
    <t xml:space="preserve">DSM FIRMENICH AG</t>
  </si>
  <si>
    <t xml:space="preserve">FER</t>
  </si>
  <si>
    <t xml:space="preserve">FERROVIAL NV</t>
  </si>
  <si>
    <t xml:space="preserve">ML</t>
  </si>
  <si>
    <t xml:space="preserve">MICHELIN (CGDE)</t>
  </si>
  <si>
    <t xml:space="preserve">BAP</t>
  </si>
  <si>
    <t xml:space="preserve">CREDICORP LTD</t>
  </si>
  <si>
    <t xml:space="preserve">ATCO B</t>
  </si>
  <si>
    <t xml:space="preserve">ATLAS COPCO AB B SHS</t>
  </si>
  <si>
    <t xml:space="preserve">2880</t>
  </si>
  <si>
    <t xml:space="preserve">HUA NAN FINANCIAL HOLDINGS C</t>
  </si>
  <si>
    <t xml:space="preserve">ADS</t>
  </si>
  <si>
    <t xml:space="preserve">ADIDAS AG</t>
  </si>
  <si>
    <t xml:space="preserve">3017</t>
  </si>
  <si>
    <t xml:space="preserve">ASIA VITAL COMPONENTS</t>
  </si>
  <si>
    <t xml:space="preserve">4452</t>
  </si>
  <si>
    <t xml:space="preserve">KAO CORP</t>
  </si>
  <si>
    <t xml:space="preserve">2408</t>
  </si>
  <si>
    <t xml:space="preserve">NANYA TECHNOLOGY CORP</t>
  </si>
  <si>
    <t xml:space="preserve">9020</t>
  </si>
  <si>
    <t xml:space="preserve">EAST JAPAN RAILWAY CO</t>
  </si>
  <si>
    <t xml:space="preserve">PHIA</t>
  </si>
  <si>
    <t xml:space="preserve">KONINKLIJKE PHILIPS NV</t>
  </si>
  <si>
    <t xml:space="preserve">9022</t>
  </si>
  <si>
    <t xml:space="preserve">CENTRAL JAPAN RAILWAY CO</t>
  </si>
  <si>
    <t xml:space="preserve">SUNP</t>
  </si>
  <si>
    <t xml:space="preserve">SUN PHARMACEUTICAL INDUS</t>
  </si>
  <si>
    <t xml:space="preserve">POUND STERLING</t>
  </si>
  <si>
    <t xml:space="preserve">9101</t>
  </si>
  <si>
    <t xml:space="preserve">NIPPON YUSEN KK</t>
  </si>
  <si>
    <t xml:space="preserve">LDO</t>
  </si>
  <si>
    <t xml:space="preserve">LEONARDO SPA</t>
  </si>
  <si>
    <t xml:space="preserve">FTS</t>
  </si>
  <si>
    <t xml:space="preserve">FORTIS INC</t>
  </si>
  <si>
    <t xml:space="preserve">HO</t>
  </si>
  <si>
    <t xml:space="preserve">THALES SA</t>
  </si>
  <si>
    <t xml:space="preserve">GFNORTE O</t>
  </si>
  <si>
    <t xml:space="preserve">GRUPO FINANCIERO BANORTE O</t>
  </si>
  <si>
    <t xml:space="preserve">FSR</t>
  </si>
  <si>
    <t xml:space="preserve">FIRSTRAND LTD</t>
  </si>
  <si>
    <t xml:space="preserve">A086790</t>
  </si>
  <si>
    <t xml:space="preserve">HANA FINANCIAL GROUP</t>
  </si>
  <si>
    <t xml:space="preserve">PPL</t>
  </si>
  <si>
    <t xml:space="preserve">PEMBINA PIPELINE CORP</t>
  </si>
  <si>
    <t xml:space="preserve">DTG</t>
  </si>
  <si>
    <t xml:space="preserve">DAIMLER TRUCK HOLDING AG</t>
  </si>
  <si>
    <t xml:space="preserve">QBE</t>
  </si>
  <si>
    <t xml:space="preserve">QBE INSURANCE GROUP LTD</t>
  </si>
  <si>
    <t xml:space="preserve">NBK</t>
  </si>
  <si>
    <t xml:space="preserve">NATIONAL BANK OF KUWAIT</t>
  </si>
  <si>
    <t xml:space="preserve">Emerging / KWD</t>
  </si>
  <si>
    <t xml:space="preserve">MHID</t>
  </si>
  <si>
    <t xml:space="preserve">MAHINDRA + MAHINDRA SPON GDR</t>
  </si>
  <si>
    <t xml:space="preserve">KMB</t>
  </si>
  <si>
    <t xml:space="preserve">KOTAK MAHINDRA BANK LTD</t>
  </si>
  <si>
    <t xml:space="preserve">857</t>
  </si>
  <si>
    <t xml:space="preserve">PETROCHINA CO LTD H</t>
  </si>
  <si>
    <t xml:space="preserve">AER</t>
  </si>
  <si>
    <t xml:space="preserve">AERCAP HOLDINGS NV</t>
  </si>
  <si>
    <t xml:space="preserve">SAMPO</t>
  </si>
  <si>
    <t xml:space="preserve">SAMPO OYJ A SHS</t>
  </si>
  <si>
    <t xml:space="preserve">A034020</t>
  </si>
  <si>
    <t xml:space="preserve">DOOSAN ENERBILITY CO LTD</t>
  </si>
  <si>
    <t xml:space="preserve">6902</t>
  </si>
  <si>
    <t xml:space="preserve">DENSO CORP</t>
  </si>
  <si>
    <t xml:space="preserve">BAER</t>
  </si>
  <si>
    <t xml:space="preserve">JULIUS BAER GROUP LTD</t>
  </si>
  <si>
    <t xml:space="preserve">BPE</t>
  </si>
  <si>
    <t xml:space="preserve">BPER BANCA SPA</t>
  </si>
  <si>
    <t xml:space="preserve">7269</t>
  </si>
  <si>
    <t xml:space="preserve">SUZUKI MOTOR CORP</t>
  </si>
  <si>
    <t xml:space="preserve">PUB</t>
  </si>
  <si>
    <t xml:space="preserve">PUBLICIS GROUPE</t>
  </si>
  <si>
    <t xml:space="preserve">2327</t>
  </si>
  <si>
    <t xml:space="preserve">YAGEO CORPORATION</t>
  </si>
  <si>
    <t xml:space="preserve">GEBN</t>
  </si>
  <si>
    <t xml:space="preserve">GEBERIT AG REG</t>
  </si>
  <si>
    <t xml:space="preserve">8801</t>
  </si>
  <si>
    <t xml:space="preserve">MITSUI FUDOSAN CO LTD</t>
  </si>
  <si>
    <t xml:space="preserve">FAB</t>
  </si>
  <si>
    <t xml:space="preserve">FIRST ABU DHABI BANK PJSC</t>
  </si>
  <si>
    <t xml:space="preserve">Emerging / AED</t>
  </si>
  <si>
    <t xml:space="preserve">7832</t>
  </si>
  <si>
    <t xml:space="preserve">BANDAI NAMCO HOLDINGS INC</t>
  </si>
  <si>
    <t xml:space="preserve">SAAB B</t>
  </si>
  <si>
    <t xml:space="preserve">SAAB AB B</t>
  </si>
  <si>
    <t xml:space="preserve">A012450</t>
  </si>
  <si>
    <t xml:space="preserve">HANWHA AEROSPACE CO LTD</t>
  </si>
  <si>
    <t xml:space="preserve">3328</t>
  </si>
  <si>
    <t xml:space="preserve">BANK OF COMMUNICATIONS CO H</t>
  </si>
  <si>
    <t xml:space="preserve">TSEM</t>
  </si>
  <si>
    <t xml:space="preserve">TOWER SEMICONDUCTOR LTD</t>
  </si>
  <si>
    <t xml:space="preserve">BMW</t>
  </si>
  <si>
    <t xml:space="preserve">BAYERISCHE MOTOREN WERKE AG</t>
  </si>
  <si>
    <t xml:space="preserve">9888</t>
  </si>
  <si>
    <t xml:space="preserve">BAIDU INC CLASS A HKD</t>
  </si>
  <si>
    <t xml:space="preserve">NSIS B</t>
  </si>
  <si>
    <t xml:space="preserve">NOVONESIS (NOVOZYMES) B</t>
  </si>
  <si>
    <t xml:space="preserve">Z74</t>
  </si>
  <si>
    <t xml:space="preserve">SINGAPORE TELECOMMUNICATIONS</t>
  </si>
  <si>
    <t xml:space="preserve">TCS</t>
  </si>
  <si>
    <t xml:space="preserve">TATA CONSULTANCY SVCS LTD</t>
  </si>
  <si>
    <t xml:space="preserve">1288</t>
  </si>
  <si>
    <t xml:space="preserve">AGRICULTURAL BANK OF CHINA H</t>
  </si>
  <si>
    <t xml:space="preserve">6273</t>
  </si>
  <si>
    <t xml:space="preserve">SMC CORP</t>
  </si>
  <si>
    <t xml:space="preserve">2388</t>
  </si>
  <si>
    <t xml:space="preserve">BOC HONG KONG HOLDINGS LTD</t>
  </si>
  <si>
    <t xml:space="preserve">SBID</t>
  </si>
  <si>
    <t xml:space="preserve">STATE BANK OF INDI GDR REG S</t>
  </si>
  <si>
    <t xml:space="preserve">HEIA</t>
  </si>
  <si>
    <t xml:space="preserve">HEINEKEN NV</t>
  </si>
  <si>
    <t xml:space="preserve">5401</t>
  </si>
  <si>
    <t xml:space="preserve">NIPPON STEEL CORP</t>
  </si>
  <si>
    <t xml:space="preserve">HEI</t>
  </si>
  <si>
    <t xml:space="preserve">HEIDELBERG MATERIALS AG</t>
  </si>
  <si>
    <t xml:space="preserve">PKN</t>
  </si>
  <si>
    <t xml:space="preserve">ORLEN SA</t>
  </si>
  <si>
    <t xml:space="preserve">1088</t>
  </si>
  <si>
    <t xml:space="preserve">CHINA SHENHUA ENERGY CO H</t>
  </si>
  <si>
    <t xml:space="preserve">SHB A</t>
  </si>
  <si>
    <t xml:space="preserve">SVENSKA HANDELSBANKEN A SHS</t>
  </si>
  <si>
    <t xml:space="preserve">A006400</t>
  </si>
  <si>
    <t xml:space="preserve">SAMSUNG SDI CO LTD</t>
  </si>
  <si>
    <t xml:space="preserve">LGEN</t>
  </si>
  <si>
    <t xml:space="preserve">LEGAL + GENERAL GROUP PLC</t>
  </si>
  <si>
    <t xml:space="preserve">8267</t>
  </si>
  <si>
    <t xml:space="preserve">AEON CO LTD</t>
  </si>
  <si>
    <t xml:space="preserve">A000150</t>
  </si>
  <si>
    <t xml:space="preserve">DOOSAN CO LTD</t>
  </si>
  <si>
    <t xml:space="preserve">2301</t>
  </si>
  <si>
    <t xml:space="preserve">LITE ON TECHNOLOGY CORP</t>
  </si>
  <si>
    <t xml:space="preserve">COL</t>
  </si>
  <si>
    <t xml:space="preserve">COLES GROUP LTD</t>
  </si>
  <si>
    <t xml:space="preserve">CCEP</t>
  </si>
  <si>
    <t xml:space="preserve">COCA COLA EUROPACIFIC PARTNE</t>
  </si>
  <si>
    <t xml:space="preserve">QSR</t>
  </si>
  <si>
    <t xml:space="preserve">RESTAURANT BRANDS INTERN</t>
  </si>
  <si>
    <t xml:space="preserve">6594</t>
  </si>
  <si>
    <t xml:space="preserve">NIDEC CORP</t>
  </si>
  <si>
    <t xml:space="preserve">TEF</t>
  </si>
  <si>
    <t xml:space="preserve">TELEFONICA SA</t>
  </si>
  <si>
    <t xml:space="preserve">NST</t>
  </si>
  <si>
    <t xml:space="preserve">NORTHERN STAR RESOURCES LTD</t>
  </si>
  <si>
    <t xml:space="preserve">SBK</t>
  </si>
  <si>
    <t xml:space="preserve">STANDARD BANK GROUP LTD</t>
  </si>
  <si>
    <t xml:space="preserve">4661</t>
  </si>
  <si>
    <t xml:space="preserve">ORIENTAL LAND CO LTD</t>
  </si>
  <si>
    <t xml:space="preserve">6326</t>
  </si>
  <si>
    <t xml:space="preserve">KUBOTA CORP</t>
  </si>
  <si>
    <t xml:space="preserve">BT.A</t>
  </si>
  <si>
    <t xml:space="preserve">BT GROUP PLC</t>
  </si>
  <si>
    <t xml:space="preserve">2059</t>
  </si>
  <si>
    <t xml:space="preserve">KING SLIDE WORKS CO LTD</t>
  </si>
  <si>
    <t xml:space="preserve">FEMSA UBD</t>
  </si>
  <si>
    <t xml:space="preserve">FOMENTO ECONOMICO MEXICA UBD</t>
  </si>
  <si>
    <t xml:space="preserve">MAERSK B</t>
  </si>
  <si>
    <t xml:space="preserve">AP MOLLER MAERSK A/S B</t>
  </si>
  <si>
    <t xml:space="preserve">8795</t>
  </si>
  <si>
    <t xml:space="preserve">T+D HOLDINGS INC</t>
  </si>
  <si>
    <t xml:space="preserve">1605</t>
  </si>
  <si>
    <t xml:space="preserve">INPEX CORP</t>
  </si>
  <si>
    <t xml:space="preserve">AGS</t>
  </si>
  <si>
    <t xml:space="preserve">AGEAS</t>
  </si>
  <si>
    <t xml:space="preserve">2360</t>
  </si>
  <si>
    <t xml:space="preserve">CHROMA ATE INC</t>
  </si>
  <si>
    <t xml:space="preserve">GMAB</t>
  </si>
  <si>
    <t xml:space="preserve">GENMAB A/S</t>
  </si>
  <si>
    <t xml:space="preserve">2345</t>
  </si>
  <si>
    <t xml:space="preserve">ACCTON TECHNOLOGY CORP</t>
  </si>
  <si>
    <t xml:space="preserve">2269</t>
  </si>
  <si>
    <t xml:space="preserve">WUXI BIOLOGICS CAYMAN INC</t>
  </si>
  <si>
    <t xml:space="preserve">3968</t>
  </si>
  <si>
    <t xml:space="preserve">CHINA MERCHANTS BANK H</t>
  </si>
  <si>
    <t xml:space="preserve">A068270</t>
  </si>
  <si>
    <t xml:space="preserve">CELLTRION INC</t>
  </si>
  <si>
    <t xml:space="preserve">A000270</t>
  </si>
  <si>
    <t xml:space="preserve">KIA CORP</t>
  </si>
  <si>
    <t xml:space="preserve">KNEBV</t>
  </si>
  <si>
    <t xml:space="preserve">KONE OYJ B</t>
  </si>
  <si>
    <t xml:space="preserve">6160</t>
  </si>
  <si>
    <t xml:space="preserve">BEONE MEDICINES LTD H</t>
  </si>
  <si>
    <t xml:space="preserve">7936</t>
  </si>
  <si>
    <t xml:space="preserve">ASICS CORP</t>
  </si>
  <si>
    <t xml:space="preserve">NN</t>
  </si>
  <si>
    <t xml:space="preserve">NN GROUP NV</t>
  </si>
  <si>
    <t xml:space="preserve">669</t>
  </si>
  <si>
    <t xml:space="preserve">TECHTRONIC INDUSTRIES CO LTD</t>
  </si>
  <si>
    <t xml:space="preserve">2467</t>
  </si>
  <si>
    <t xml:space="preserve">C SUN MANUFACTURING LTD</t>
  </si>
  <si>
    <t xml:space="preserve">2886</t>
  </si>
  <si>
    <t xml:space="preserve">MEGA FINANCIAL HOLDING CO LT</t>
  </si>
  <si>
    <t xml:space="preserve">A028260</t>
  </si>
  <si>
    <t xml:space="preserve">SAMSUNG C+T CORP</t>
  </si>
  <si>
    <t xml:space="preserve">ACS</t>
  </si>
  <si>
    <t xml:space="preserve">ACS ACTIVIDADES CONS Y SERV</t>
  </si>
  <si>
    <t xml:space="preserve">AMX B</t>
  </si>
  <si>
    <t xml:space="preserve">AMERICA MOVIL SAB DE C SER B</t>
  </si>
  <si>
    <t xml:space="preserve">MRK</t>
  </si>
  <si>
    <t xml:space="preserve">MERCK KGAA</t>
  </si>
  <si>
    <t xml:space="preserve">9735</t>
  </si>
  <si>
    <t xml:space="preserve">SECOM CO LTD</t>
  </si>
  <si>
    <t xml:space="preserve">OMV</t>
  </si>
  <si>
    <t xml:space="preserve">OMV AG</t>
  </si>
  <si>
    <t xml:space="preserve">HBAN</t>
  </si>
  <si>
    <t xml:space="preserve">HELVETIA BALOISE HOLDING AG</t>
  </si>
  <si>
    <t xml:space="preserve">3231</t>
  </si>
  <si>
    <t xml:space="preserve">WISTRON CORP</t>
  </si>
  <si>
    <t xml:space="preserve">BBD.B</t>
  </si>
  <si>
    <t xml:space="preserve">BOMBARDIER INC B</t>
  </si>
  <si>
    <t xml:space="preserve">HUVR</t>
  </si>
  <si>
    <t xml:space="preserve">HINDUSTAN UNILEVER LTD</t>
  </si>
  <si>
    <t xml:space="preserve">16</t>
  </si>
  <si>
    <t xml:space="preserve">SUN HUNG KAI PROPERTIES</t>
  </si>
  <si>
    <t xml:space="preserve">MSIL</t>
  </si>
  <si>
    <t xml:space="preserve">MARUTI SUZUKI INDIA LTD</t>
  </si>
  <si>
    <t xml:space="preserve">KPN</t>
  </si>
  <si>
    <t xml:space="preserve">KONINKLIJKE KPN NV</t>
  </si>
  <si>
    <t xml:space="preserve">1</t>
  </si>
  <si>
    <t xml:space="preserve">CK HUTCHISON HOLDINGS LTD</t>
  </si>
  <si>
    <t xml:space="preserve">9503</t>
  </si>
  <si>
    <t xml:space="preserve">KANSAI ELECTRIC POWER CO INC</t>
  </si>
  <si>
    <t xml:space="preserve">MG</t>
  </si>
  <si>
    <t xml:space="preserve">MAGNA INTERNATIONAL INC</t>
  </si>
  <si>
    <t xml:space="preserve">BIRG</t>
  </si>
  <si>
    <t xml:space="preserve">BANK OF IRELAND GROUP PLC</t>
  </si>
  <si>
    <t xml:space="preserve">FRE</t>
  </si>
  <si>
    <t xml:space="preserve">FRESENIUS SE + CO KGAA</t>
  </si>
  <si>
    <t xml:space="preserve">A032830</t>
  </si>
  <si>
    <t xml:space="preserve">SAMSUNG LIFE INSURANCE CO LT</t>
  </si>
  <si>
    <t xml:space="preserve">MTX</t>
  </si>
  <si>
    <t xml:space="preserve">MTU AERO ENGINES AG</t>
  </si>
  <si>
    <t xml:space="preserve">SGSN</t>
  </si>
  <si>
    <t xml:space="preserve">SGS SA REG</t>
  </si>
  <si>
    <t xml:space="preserve">SCMN</t>
  </si>
  <si>
    <t xml:space="preserve">SWISSCOM AG REG</t>
  </si>
  <si>
    <t xml:space="preserve">WKL</t>
  </si>
  <si>
    <t xml:space="preserve">WOLTERS KLUWER</t>
  </si>
  <si>
    <t xml:space="preserve">AENA</t>
  </si>
  <si>
    <t xml:space="preserve">AENA SME SA</t>
  </si>
  <si>
    <t xml:space="preserve">TTAN</t>
  </si>
  <si>
    <t xml:space="preserve">TITAN CO LTD</t>
  </si>
  <si>
    <t xml:space="preserve">ESLT</t>
  </si>
  <si>
    <t xml:space="preserve">ELBIT SYSTEMS LTD</t>
  </si>
  <si>
    <t xml:space="preserve">QNBK</t>
  </si>
  <si>
    <t xml:space="preserve">QATAR NATIONAL BANK</t>
  </si>
  <si>
    <t xml:space="preserve">Emerging / QAR</t>
  </si>
  <si>
    <t xml:space="preserve">4543</t>
  </si>
  <si>
    <t xml:space="preserve">TERUMO CORP</t>
  </si>
  <si>
    <t xml:space="preserve">A035420</t>
  </si>
  <si>
    <t xml:space="preserve">NAVER CORP</t>
  </si>
  <si>
    <t xml:space="preserve">STO</t>
  </si>
  <si>
    <t xml:space="preserve">SANTOS LTD</t>
  </si>
  <si>
    <t xml:space="preserve">VACN</t>
  </si>
  <si>
    <t xml:space="preserve">VAT GROUP AG</t>
  </si>
  <si>
    <t xml:space="preserve">PKX</t>
  </si>
  <si>
    <t xml:space="preserve">POSCO HOLDINGS INC  SPON ADR</t>
  </si>
  <si>
    <t xml:space="preserve">No Yahoo match found; weight only; Fundamentals not retrieved</t>
  </si>
  <si>
    <t xml:space="preserve">9961</t>
  </si>
  <si>
    <t xml:space="preserve">TRIP.COM GROUP LTD</t>
  </si>
  <si>
    <t xml:space="preserve">FMG</t>
  </si>
  <si>
    <t xml:space="preserve">FORTESCUE LTD</t>
  </si>
  <si>
    <t xml:space="preserve">EDP</t>
  </si>
  <si>
    <t xml:space="preserve">EDP SA</t>
  </si>
  <si>
    <t xml:space="preserve">NXT</t>
  </si>
  <si>
    <t xml:space="preserve">NEXT PLC</t>
  </si>
  <si>
    <t xml:space="preserve">GWO</t>
  </si>
  <si>
    <t xml:space="preserve">GREAT WEST LIFECO INC</t>
  </si>
  <si>
    <t xml:space="preserve">EVN</t>
  </si>
  <si>
    <t xml:space="preserve">EVOLUTION MINING LTD</t>
  </si>
  <si>
    <t xml:space="preserve">CPI</t>
  </si>
  <si>
    <t xml:space="preserve">CAPITEC LIMITED</t>
  </si>
  <si>
    <t xml:space="preserve">A298040</t>
  </si>
  <si>
    <t xml:space="preserve">HYOSUNG HEAVY INDUSTRIES COR</t>
  </si>
  <si>
    <t xml:space="preserve">B3SA3</t>
  </si>
  <si>
    <t xml:space="preserve">B3 SA BRASIL BOLSA BALCAO</t>
  </si>
  <si>
    <t xml:space="preserve">Emerging / BRL</t>
  </si>
  <si>
    <t xml:space="preserve">FM</t>
  </si>
  <si>
    <t xml:space="preserve">FIRST QUANTUM MINERALS LTD</t>
  </si>
  <si>
    <t xml:space="preserve">SAUDI ARABIAN MINING CO</t>
  </si>
  <si>
    <t xml:space="preserve">6920</t>
  </si>
  <si>
    <t xml:space="preserve">LASERTEC CORP</t>
  </si>
  <si>
    <t xml:space="preserve">PEO</t>
  </si>
  <si>
    <t xml:space="preserve">BANK PEKAO SA</t>
  </si>
  <si>
    <t xml:space="preserve">REN</t>
  </si>
  <si>
    <t xml:space="preserve">9531</t>
  </si>
  <si>
    <t xml:space="preserve">TOKYO GAS CO LTD</t>
  </si>
  <si>
    <t xml:space="preserve">EVO</t>
  </si>
  <si>
    <t xml:space="preserve">EVOLUTION AB</t>
  </si>
  <si>
    <t xml:space="preserve">BBD</t>
  </si>
  <si>
    <t xml:space="preserve">BANCO BRADESCO ADR</t>
  </si>
  <si>
    <t xml:space="preserve">SAB</t>
  </si>
  <si>
    <t xml:space="preserve">BANCO DE SABADELL SA</t>
  </si>
  <si>
    <t xml:space="preserve">2412</t>
  </si>
  <si>
    <t xml:space="preserve">CHUNGHWA TELECOM CO LTD</t>
  </si>
  <si>
    <t xml:space="preserve">3402</t>
  </si>
  <si>
    <t xml:space="preserve">TORAY INDUSTRIES INC</t>
  </si>
  <si>
    <t xml:space="preserve">PAAS</t>
  </si>
  <si>
    <t xml:space="preserve">PAN AMERICAN SILVER CORP</t>
  </si>
  <si>
    <t xml:space="preserve">LUN</t>
  </si>
  <si>
    <t xml:space="preserve">LUNDIN MINING CORP</t>
  </si>
  <si>
    <t xml:space="preserve">2</t>
  </si>
  <si>
    <t xml:space="preserve">CLP HOLDINGS LTD</t>
  </si>
  <si>
    <t xml:space="preserve">7013</t>
  </si>
  <si>
    <t xml:space="preserve">IHI CORP</t>
  </si>
  <si>
    <t xml:space="preserve">KER</t>
  </si>
  <si>
    <t xml:space="preserve">KERING</t>
  </si>
  <si>
    <t xml:space="preserve">KNIN</t>
  </si>
  <si>
    <t xml:space="preserve">KUEHNE   NAGEL INTL AG REG</t>
  </si>
  <si>
    <t xml:space="preserve">2502</t>
  </si>
  <si>
    <t xml:space="preserve">ASAHI GROUP HOLDINGS LTD</t>
  </si>
  <si>
    <t xml:space="preserve">TIT</t>
  </si>
  <si>
    <t xml:space="preserve">TELECOM ITALIA SPA</t>
  </si>
  <si>
    <t xml:space="preserve">BBCA</t>
  </si>
  <si>
    <t xml:space="preserve">BANK CENTRAL ASIA TBK PT</t>
  </si>
  <si>
    <t xml:space="preserve">Emerging / IDR</t>
  </si>
  <si>
    <t xml:space="preserve">EAND</t>
  </si>
  <si>
    <t xml:space="preserve">EMIRATES TELECOM GROUP CO</t>
  </si>
  <si>
    <t xml:space="preserve">7010</t>
  </si>
  <si>
    <t xml:space="preserve">SAUDI TELECOM CO</t>
  </si>
  <si>
    <t xml:space="preserve">HCLT</t>
  </si>
  <si>
    <t xml:space="preserve">HCL TECHNOLOGIES LTD</t>
  </si>
  <si>
    <t xml:space="preserve">8830</t>
  </si>
  <si>
    <t xml:space="preserve">SUMITOMO REALTY + DEVELOPMEN</t>
  </si>
  <si>
    <t xml:space="preserve">PBBANK</t>
  </si>
  <si>
    <t xml:space="preserve">PUBLIC BANK BERHAD</t>
  </si>
  <si>
    <t xml:space="preserve">Emerging / MYR</t>
  </si>
  <si>
    <t xml:space="preserve">1925</t>
  </si>
  <si>
    <t xml:space="preserve">DAIWA HOUSE INDUSTRY CO LTD</t>
  </si>
  <si>
    <t xml:space="preserve">9532</t>
  </si>
  <si>
    <t xml:space="preserve">OSAKA GAS CO LTD</t>
  </si>
  <si>
    <t xml:space="preserve">CAP</t>
  </si>
  <si>
    <t xml:space="preserve">CAPGEMINI SE</t>
  </si>
  <si>
    <t xml:space="preserve">VAL</t>
  </si>
  <si>
    <t xml:space="preserve">VALTERRA PLATINUM LIMITED</t>
  </si>
  <si>
    <t xml:space="preserve">AC</t>
  </si>
  <si>
    <t xml:space="preserve">ACCOR SA</t>
  </si>
  <si>
    <t xml:space="preserve">ORG</t>
  </si>
  <si>
    <t xml:space="preserve">ORIGIN ENERGY LTD</t>
  </si>
  <si>
    <t xml:space="preserve">SCCO</t>
  </si>
  <si>
    <t xml:space="preserve">SOUTHERN COPPER CORP</t>
  </si>
  <si>
    <t xml:space="preserve">8697</t>
  </si>
  <si>
    <t xml:space="preserve">JAPAN EXCHANGE GROUP INC</t>
  </si>
  <si>
    <t xml:space="preserve">ETERNAL</t>
  </si>
  <si>
    <t xml:space="preserve">ETERNAL LTD</t>
  </si>
  <si>
    <t xml:space="preserve">UMG</t>
  </si>
  <si>
    <t xml:space="preserve">UNIVERSAL MUSIC GROUP NV</t>
  </si>
  <si>
    <t xml:space="preserve">ANTO</t>
  </si>
  <si>
    <t xml:space="preserve">ANTOFAGASTA PLC</t>
  </si>
  <si>
    <t xml:space="preserve">KGH</t>
  </si>
  <si>
    <t xml:space="preserve">KGHM POLSKA MIEDZ SA</t>
  </si>
  <si>
    <t xml:space="preserve">9104</t>
  </si>
  <si>
    <t xml:space="preserve">MITSUI OSK LINES LTD</t>
  </si>
  <si>
    <t xml:space="preserve">HLMA</t>
  </si>
  <si>
    <t xml:space="preserve">HALMA PLC</t>
  </si>
  <si>
    <t xml:space="preserve">6988</t>
  </si>
  <si>
    <t xml:space="preserve">NITTO DENKO CORP</t>
  </si>
  <si>
    <t xml:space="preserve">BSL</t>
  </si>
  <si>
    <t xml:space="preserve">BLUESCOPE STEEL LTD</t>
  </si>
  <si>
    <t xml:space="preserve">3443</t>
  </si>
  <si>
    <t xml:space="preserve">GLOBAL UNICHIP CORP</t>
  </si>
  <si>
    <t xml:space="preserve">NHY</t>
  </si>
  <si>
    <t xml:space="preserve">NORSK HYDRO ASA</t>
  </si>
  <si>
    <t xml:space="preserve">FPH</t>
  </si>
  <si>
    <t xml:space="preserve">FISHER + PAYKEL HEALTHCARE C</t>
  </si>
  <si>
    <t xml:space="preserve">Developed / NZD</t>
  </si>
  <si>
    <t xml:space="preserve">SBMO</t>
  </si>
  <si>
    <t xml:space="preserve">SBM OFFSHORE NV</t>
  </si>
  <si>
    <t xml:space="preserve">SMIN</t>
  </si>
  <si>
    <t xml:space="preserve">SMITHS GROUP PLC</t>
  </si>
  <si>
    <t xml:space="preserve">IAG</t>
  </si>
  <si>
    <t xml:space="preserve">INSURANCE AUSTRALIA GROUP</t>
  </si>
  <si>
    <t xml:space="preserve">VOW3</t>
  </si>
  <si>
    <t xml:space="preserve">VOLKSWAGEN AG PREF</t>
  </si>
  <si>
    <t xml:space="preserve">300750</t>
  </si>
  <si>
    <t xml:space="preserve">CONTEMPORARY AMPEREX TECHN A</t>
  </si>
  <si>
    <t xml:space="preserve">Emerging / CNY</t>
  </si>
  <si>
    <t xml:space="preserve">BXB</t>
  </si>
  <si>
    <t xml:space="preserve">BRAMBLES LTD</t>
  </si>
  <si>
    <t xml:space="preserve">HEXA B</t>
  </si>
  <si>
    <t xml:space="preserve">HEXAGON AB B SHS</t>
  </si>
  <si>
    <t xml:space="preserve">ITSA4</t>
  </si>
  <si>
    <t xml:space="preserve">ITAUSA SA</t>
  </si>
  <si>
    <t xml:space="preserve">MTN</t>
  </si>
  <si>
    <t xml:space="preserve">MTN GROUP LTD</t>
  </si>
  <si>
    <t xml:space="preserve">EMAAR</t>
  </si>
  <si>
    <t xml:space="preserve">EMAAR PROPERTIES PJSC</t>
  </si>
  <si>
    <t xml:space="preserve">H78</t>
  </si>
  <si>
    <t xml:space="preserve">HONGKONG LAND HOLDINGS LTD</t>
  </si>
  <si>
    <t xml:space="preserve">5801</t>
  </si>
  <si>
    <t xml:space="preserve">FURUKAWA ELECTRIC CO LTD</t>
  </si>
  <si>
    <t xml:space="preserve">LOGN</t>
  </si>
  <si>
    <t xml:space="preserve">LOGITECH INTERNATIONAL REG</t>
  </si>
  <si>
    <t xml:space="preserve">BAM</t>
  </si>
  <si>
    <t xml:space="preserve">BROOKFIELD ASSET MGMT A</t>
  </si>
  <si>
    <t xml:space="preserve">6669</t>
  </si>
  <si>
    <t xml:space="preserve">WIWYNN CORP</t>
  </si>
  <si>
    <t xml:space="preserve">BESI</t>
  </si>
  <si>
    <t xml:space="preserve">BE SEMICONDUCTOR INDUSTRIES</t>
  </si>
  <si>
    <t xml:space="preserve">ENX</t>
  </si>
  <si>
    <t xml:space="preserve">EURONEXT NV</t>
  </si>
  <si>
    <t xml:space="preserve">2328</t>
  </si>
  <si>
    <t xml:space="preserve">PICC PROPERTY + CASUALTY H</t>
  </si>
  <si>
    <t xml:space="preserve">HNR1</t>
  </si>
  <si>
    <t xml:space="preserve">HANNOVER RUECK SE</t>
  </si>
  <si>
    <t xml:space="preserve">EMBJ3</t>
  </si>
  <si>
    <t xml:space="preserve">EMBRAER SA</t>
  </si>
  <si>
    <t xml:space="preserve">PSON</t>
  </si>
  <si>
    <t xml:space="preserve">PEARSON PLC</t>
  </si>
  <si>
    <t xml:space="preserve">METSO</t>
  </si>
  <si>
    <t xml:space="preserve">METSO CORP</t>
  </si>
  <si>
    <t xml:space="preserve">4307</t>
  </si>
  <si>
    <t xml:space="preserve">NOMURA RESEARCH INSTITUTE LT</t>
  </si>
  <si>
    <t xml:space="preserve">IMG</t>
  </si>
  <si>
    <t xml:space="preserve">IAMGOLD CORP</t>
  </si>
  <si>
    <t xml:space="preserve">EMIRATESNBD</t>
  </si>
  <si>
    <t xml:space="preserve">EMIRATES NBD PJSC</t>
  </si>
  <si>
    <t xml:space="preserve">HM B_SEK</t>
  </si>
  <si>
    <t xml:space="preserve">HENNES + MAURITZ AB B SHS</t>
  </si>
  <si>
    <t xml:space="preserve">1812</t>
  </si>
  <si>
    <t xml:space="preserve">KAJIMA CORP</t>
  </si>
  <si>
    <t xml:space="preserve">CHKP</t>
  </si>
  <si>
    <t xml:space="preserve">CHECK POINT SOFTWARE TECH</t>
  </si>
  <si>
    <t xml:space="preserve">WEGE3</t>
  </si>
  <si>
    <t xml:space="preserve">WEG SA</t>
  </si>
  <si>
    <t xml:space="preserve">CEMEX CPO</t>
  </si>
  <si>
    <t xml:space="preserve">CEMEX SAB CPO</t>
  </si>
  <si>
    <t xml:space="preserve">EPI A</t>
  </si>
  <si>
    <t xml:space="preserve">EPIROC AB A</t>
  </si>
  <si>
    <t xml:space="preserve">2357</t>
  </si>
  <si>
    <t xml:space="preserve">ASUSTEK COMPUTER INC</t>
  </si>
  <si>
    <t xml:space="preserve">RYAAY</t>
  </si>
  <si>
    <t xml:space="preserve">RYANAIR HOLDINGS PLC SP ADR</t>
  </si>
  <si>
    <t xml:space="preserve">SGRO</t>
  </si>
  <si>
    <t xml:space="preserve">SEGRO PLC</t>
  </si>
  <si>
    <t xml:space="preserve">7733</t>
  </si>
  <si>
    <t xml:space="preserve">OLYMPUS CORP</t>
  </si>
  <si>
    <t xml:space="preserve">KFH</t>
  </si>
  <si>
    <t xml:space="preserve">KUWAIT FINANCE HOUSE</t>
  </si>
  <si>
    <t xml:space="preserve">WSP</t>
  </si>
  <si>
    <t xml:space="preserve">WSP GLOBAL INC</t>
  </si>
  <si>
    <t xml:space="preserve">ALFA</t>
  </si>
  <si>
    <t xml:space="preserve">ALFA LAVAL AB</t>
  </si>
  <si>
    <t xml:space="preserve">A012330</t>
  </si>
  <si>
    <t xml:space="preserve">HYUNDAI MOBIS CO LTD</t>
  </si>
  <si>
    <t xml:space="preserve">CLNX</t>
  </si>
  <si>
    <t xml:space="preserve">CELLNEX TELECOM SA</t>
  </si>
  <si>
    <t xml:space="preserve">YUMC</t>
  </si>
  <si>
    <t xml:space="preserve">YUM CHINA HOLDINGS INC</t>
  </si>
  <si>
    <t xml:space="preserve">BG</t>
  </si>
  <si>
    <t xml:space="preserve">BAWAG GROUP AG</t>
  </si>
  <si>
    <t xml:space="preserve">FBK</t>
  </si>
  <si>
    <t xml:space="preserve">FINECOBANK SPA</t>
  </si>
  <si>
    <t xml:space="preserve">VOE</t>
  </si>
  <si>
    <t xml:space="preserve">VOESTALPINE AG</t>
  </si>
  <si>
    <t xml:space="preserve">NTGY</t>
  </si>
  <si>
    <t xml:space="preserve">NATURGY ENERGY GROUP SA</t>
  </si>
  <si>
    <t xml:space="preserve">2884</t>
  </si>
  <si>
    <t xml:space="preserve">E.SUN FINANCIAL HOLDING CO</t>
  </si>
  <si>
    <t xml:space="preserve">CEZ</t>
  </si>
  <si>
    <t xml:space="preserve">CEZ AS</t>
  </si>
  <si>
    <t xml:space="preserve">Emerging / CZK</t>
  </si>
  <si>
    <t xml:space="preserve">ADCB</t>
  </si>
  <si>
    <t xml:space="preserve">ABU DHABI COMMERCIAL BANK</t>
  </si>
  <si>
    <t xml:space="preserve">APA</t>
  </si>
  <si>
    <t xml:space="preserve">APA GROUP</t>
  </si>
  <si>
    <t xml:space="preserve">PGHN</t>
  </si>
  <si>
    <t xml:space="preserve">PARTNERS GROUP HOLDING AG</t>
  </si>
  <si>
    <t xml:space="preserve">A066570</t>
  </si>
  <si>
    <t xml:space="preserve">LG ELECTRONICS INC</t>
  </si>
  <si>
    <t xml:space="preserve">VNA</t>
  </si>
  <si>
    <t xml:space="preserve">VONOVIA SE</t>
  </si>
  <si>
    <t xml:space="preserve">5713</t>
  </si>
  <si>
    <t xml:space="preserve">SUMITOMO METAL MINING CO LTD</t>
  </si>
  <si>
    <t xml:space="preserve">3008</t>
  </si>
  <si>
    <t xml:space="preserve">LARGAN PRECISION CO LTD</t>
  </si>
  <si>
    <t xml:space="preserve">FLS</t>
  </si>
  <si>
    <t xml:space="preserve">FLSMIDTH + CO A/S</t>
  </si>
  <si>
    <t xml:space="preserve">A316140</t>
  </si>
  <si>
    <t xml:space="preserve">WOORI FINANCIAL GROUP INC</t>
  </si>
  <si>
    <t xml:space="preserve">IREN</t>
  </si>
  <si>
    <t xml:space="preserve">IREN LTD</t>
  </si>
  <si>
    <t xml:space="preserve">6239</t>
  </si>
  <si>
    <t xml:space="preserve">POWERTECH TECHNOLOGY INC</t>
  </si>
  <si>
    <t xml:space="preserve">WCP</t>
  </si>
  <si>
    <t xml:space="preserve">WHITECAP RESOURCES INC</t>
  </si>
  <si>
    <t xml:space="preserve">KRX</t>
  </si>
  <si>
    <t xml:space="preserve">KINGSPAN GROUP PLC</t>
  </si>
  <si>
    <t xml:space="preserve">URW</t>
  </si>
  <si>
    <t xml:space="preserve">UNIBAIL RODAMCO WESTFIELD</t>
  </si>
  <si>
    <t xml:space="preserve">ADSEZ</t>
  </si>
  <si>
    <t xml:space="preserve">ADANI PORTS AND SPECIAL ECON</t>
  </si>
  <si>
    <t xml:space="preserve">4004</t>
  </si>
  <si>
    <t xml:space="preserve">RESONAC HOLDINGS CORP</t>
  </si>
  <si>
    <t xml:space="preserve">6383</t>
  </si>
  <si>
    <t xml:space="preserve">DAIFUKU CO LTD</t>
  </si>
  <si>
    <t xml:space="preserve">MRU</t>
  </si>
  <si>
    <t xml:space="preserve">METRO INC/CN</t>
  </si>
  <si>
    <t xml:space="preserve">CPU</t>
  </si>
  <si>
    <t xml:space="preserve">COMPUTERSHARE LTD</t>
  </si>
  <si>
    <t xml:space="preserve">ESSITY B</t>
  </si>
  <si>
    <t xml:space="preserve">ESSITY AKTIEBOLAG B</t>
  </si>
  <si>
    <t xml:space="preserve">NEX</t>
  </si>
  <si>
    <t xml:space="preserve">NEXANS SA</t>
  </si>
  <si>
    <t xml:space="preserve">2885</t>
  </si>
  <si>
    <t xml:space="preserve">YUANTA FINANCIAL HOLDING CO</t>
  </si>
  <si>
    <t xml:space="preserve">4507</t>
  </si>
  <si>
    <t xml:space="preserve">SHIONOGI + CO LTD</t>
  </si>
  <si>
    <t xml:space="preserve">9766</t>
  </si>
  <si>
    <t xml:space="preserve">KONAMI GROUP CORP</t>
  </si>
  <si>
    <t xml:space="preserve">SOON</t>
  </si>
  <si>
    <t xml:space="preserve">SONOVA HOLDING AG REG</t>
  </si>
  <si>
    <t xml:space="preserve">PST</t>
  </si>
  <si>
    <t xml:space="preserve">POSTE ITALIANE SPA</t>
  </si>
  <si>
    <t xml:space="preserve">7186</t>
  </si>
  <si>
    <t xml:space="preserve">YOKOHAMA FINANCIAL GROUP INC</t>
  </si>
  <si>
    <t xml:space="preserve">5274</t>
  </si>
  <si>
    <t xml:space="preserve">ASPEED TECHNOLOGY INC</t>
  </si>
  <si>
    <t xml:space="preserve">BKT</t>
  </si>
  <si>
    <t xml:space="preserve">BANKINTER SA</t>
  </si>
  <si>
    <t xml:space="preserve">BOL</t>
  </si>
  <si>
    <t xml:space="preserve">BOLIDEN AB</t>
  </si>
  <si>
    <t xml:space="preserve">DSY</t>
  </si>
  <si>
    <t xml:space="preserve">DASSAULT SYSTEMES SE</t>
  </si>
  <si>
    <t xml:space="preserve">WN</t>
  </si>
  <si>
    <t xml:space="preserve">WESTON (GEORGE) LTD</t>
  </si>
  <si>
    <t xml:space="preserve">GIB.A</t>
  </si>
  <si>
    <t xml:space="preserve">CGI INC</t>
  </si>
  <si>
    <t xml:space="preserve">9992</t>
  </si>
  <si>
    <t xml:space="preserve">POP MART INTERNATIONAL GROUP</t>
  </si>
  <si>
    <t xml:space="preserve">PNDORA</t>
  </si>
  <si>
    <t xml:space="preserve">PANDORA A/S</t>
  </si>
  <si>
    <t xml:space="preserve">PTT-F</t>
  </si>
  <si>
    <t xml:space="preserve">PTT PCL/FOREIGN</t>
  </si>
  <si>
    <t xml:space="preserve">823</t>
  </si>
  <si>
    <t xml:space="preserve">LINK REIT</t>
  </si>
  <si>
    <t xml:space="preserve">MAYBANK</t>
  </si>
  <si>
    <t xml:space="preserve">MALAYAN BANKING BHD</t>
  </si>
  <si>
    <t xml:space="preserve">5016</t>
  </si>
  <si>
    <t xml:space="preserve">JX ADVANCED METALS CORP</t>
  </si>
  <si>
    <t xml:space="preserve">EQT</t>
  </si>
  <si>
    <t xml:space="preserve">EQT AB</t>
  </si>
  <si>
    <t xml:space="preserve">4689</t>
  </si>
  <si>
    <t xml:space="preserve">LY CORP</t>
  </si>
  <si>
    <t xml:space="preserve">ELE</t>
  </si>
  <si>
    <t xml:space="preserve">ENDESA SA</t>
  </si>
  <si>
    <t xml:space="preserve">TRN</t>
  </si>
  <si>
    <t xml:space="preserve">TERNA RETE ELETTRICA NAZIONA</t>
  </si>
  <si>
    <t xml:space="preserve">7735</t>
  </si>
  <si>
    <t xml:space="preserve">SCREEN HOLDINGS CO LTD</t>
  </si>
  <si>
    <t xml:space="preserve">7453</t>
  </si>
  <si>
    <t xml:space="preserve">RYOHIN KEIKAKU CO LTD</t>
  </si>
  <si>
    <t xml:space="preserve">A034730</t>
  </si>
  <si>
    <t xml:space="preserve">SK INC</t>
  </si>
  <si>
    <t xml:space="preserve">UPM</t>
  </si>
  <si>
    <t xml:space="preserve">UPM KYMMENE OYJ</t>
  </si>
  <si>
    <t xml:space="preserve">SGE</t>
  </si>
  <si>
    <t xml:space="preserve">SAGE GROUP PLC/THE</t>
  </si>
  <si>
    <t xml:space="preserve">TLS</t>
  </si>
  <si>
    <t xml:space="preserve">TELSTRA GROUP LTD</t>
  </si>
  <si>
    <t xml:space="preserve">SBSP3</t>
  </si>
  <si>
    <t xml:space="preserve">CIA SANEAMENTO BASICO DE SP</t>
  </si>
  <si>
    <t xml:space="preserve">APHS</t>
  </si>
  <si>
    <t xml:space="preserve">APOLLO HOSPITALS ENTERPRISE</t>
  </si>
  <si>
    <t xml:space="preserve">WRT1V</t>
  </si>
  <si>
    <t xml:space="preserve">WARTSILA OYJ ABP</t>
  </si>
  <si>
    <t xml:space="preserve">STMN</t>
  </si>
  <si>
    <t xml:space="preserve">STRAUMANN HOLDING AG REG</t>
  </si>
  <si>
    <t xml:space="preserve">NESTE</t>
  </si>
  <si>
    <t xml:space="preserve">NESTE OYJ</t>
  </si>
  <si>
    <t xml:space="preserve">SUN</t>
  </si>
  <si>
    <t xml:space="preserve">SUNCORP GROUP LTD</t>
  </si>
  <si>
    <t xml:space="preserve">2503</t>
  </si>
  <si>
    <t xml:space="preserve">KIRIN HOLDINGS CO LTD</t>
  </si>
  <si>
    <t xml:space="preserve">TEL2B</t>
  </si>
  <si>
    <t xml:space="preserve">TELE2 AB B SHS</t>
  </si>
  <si>
    <t xml:space="preserve">HNDL</t>
  </si>
  <si>
    <t xml:space="preserve">HINDALCO INDUSTRIES LTD</t>
  </si>
  <si>
    <t xml:space="preserve">UTCEM</t>
  </si>
  <si>
    <t xml:space="preserve">ULTRATECH CEMENT LTD</t>
  </si>
  <si>
    <t xml:space="preserve">9107</t>
  </si>
  <si>
    <t xml:space="preserve">KAWASAKI KISEN KAISHA LTD</t>
  </si>
  <si>
    <t xml:space="preserve">UNI</t>
  </si>
  <si>
    <t xml:space="preserve">UNIPOL ASSICURAZIONI SPA</t>
  </si>
  <si>
    <t xml:space="preserve">KRZ</t>
  </si>
  <si>
    <t xml:space="preserve">KERRY GROUP PLC A</t>
  </si>
  <si>
    <t xml:space="preserve">ATZ</t>
  </si>
  <si>
    <t xml:space="preserve">ARITZIA INC SUBORDINATE VOTI</t>
  </si>
  <si>
    <t xml:space="preserve">KBANK-F</t>
  </si>
  <si>
    <t xml:space="preserve">KASIKORNBANK PCL FOREIGN</t>
  </si>
  <si>
    <t xml:space="preserve">TATA</t>
  </si>
  <si>
    <t xml:space="preserve">TATA STEEL LTD</t>
  </si>
  <si>
    <t xml:space="preserve">386</t>
  </si>
  <si>
    <t xml:space="preserve">CHINA PETROLEUM + CHEMICAL H</t>
  </si>
  <si>
    <t xml:space="preserve">TOU</t>
  </si>
  <si>
    <t xml:space="preserve">TOURMALINE OIL CORP</t>
  </si>
  <si>
    <t xml:space="preserve">BHE</t>
  </si>
  <si>
    <t xml:space="preserve">BHARAT ELECTRONICS LTD</t>
  </si>
  <si>
    <t xml:space="preserve">KOG</t>
  </si>
  <si>
    <t xml:space="preserve">KONGSBERG GRUPPEN ASA</t>
  </si>
  <si>
    <t xml:space="preserve">A000810</t>
  </si>
  <si>
    <t xml:space="preserve">SAMSUNG FIRE + MARINE INS</t>
  </si>
  <si>
    <t xml:space="preserve">2801</t>
  </si>
  <si>
    <t xml:space="preserve">CHANG HWA COMMERCIAL BANK</t>
  </si>
  <si>
    <t xml:space="preserve">AGI</t>
  </si>
  <si>
    <t xml:space="preserve">ALAMOS GOLD INC CLASS A</t>
  </si>
  <si>
    <t xml:space="preserve">SCHP</t>
  </si>
  <si>
    <t xml:space="preserve">SCHINDLER HOLDING PART CERT</t>
  </si>
  <si>
    <t xml:space="preserve">IA FINANCIAL CORP INC</t>
  </si>
  <si>
    <t xml:space="preserve">EMA</t>
  </si>
  <si>
    <t xml:space="preserve">EMERA INC</t>
  </si>
  <si>
    <t xml:space="preserve">ANN</t>
  </si>
  <si>
    <t xml:space="preserve">ANSELL LTD</t>
  </si>
  <si>
    <t xml:space="preserve">ORK</t>
  </si>
  <si>
    <t xml:space="preserve">ORKLA ASA</t>
  </si>
  <si>
    <t xml:space="preserve">S63</t>
  </si>
  <si>
    <t xml:space="preserve">SINGAPORE TECH ENGINEERING</t>
  </si>
  <si>
    <t xml:space="preserve">PARAUCO</t>
  </si>
  <si>
    <t xml:space="preserve">PARQUE ARAUCO S.A.</t>
  </si>
  <si>
    <t xml:space="preserve">Emerging / CLP</t>
  </si>
  <si>
    <t xml:space="preserve">RI</t>
  </si>
  <si>
    <t xml:space="preserve">PERNOD RICARD SA</t>
  </si>
  <si>
    <t xml:space="preserve">INF</t>
  </si>
  <si>
    <t xml:space="preserve">INFORMA PLC</t>
  </si>
  <si>
    <t xml:space="preserve">5831</t>
  </si>
  <si>
    <t xml:space="preserve">SHIZUOKA FINANCIAL GROUP INC</t>
  </si>
  <si>
    <t xml:space="preserve">600519</t>
  </si>
  <si>
    <t xml:space="preserve">KWEICHOW MOUTAI CO LTD A</t>
  </si>
  <si>
    <t xml:space="preserve">INTL CONSOLIDATED AIRLINE DI</t>
  </si>
  <si>
    <t xml:space="preserve">RUSSIAN RUBLE</t>
  </si>
  <si>
    <t xml:space="preserve">Emerging / RUB</t>
  </si>
  <si>
    <t xml:space="preserve">BBRI</t>
  </si>
  <si>
    <t xml:space="preserve">BANK RAKYAT INDONESIA PERSER</t>
  </si>
  <si>
    <t xml:space="preserve">KGF</t>
  </si>
  <si>
    <t xml:space="preserve">KINGFISHER PLC</t>
  </si>
  <si>
    <t xml:space="preserve">S68</t>
  </si>
  <si>
    <t xml:space="preserve">SINGAPORE EXCHANGE LTD</t>
  </si>
  <si>
    <t xml:space="preserve">AGN</t>
  </si>
  <si>
    <t xml:space="preserve">AEGON LTD</t>
  </si>
  <si>
    <t xml:space="preserve">9502</t>
  </si>
  <si>
    <t xml:space="preserve">CHUBU ELECTRIC POWER CO INC</t>
  </si>
  <si>
    <t xml:space="preserve">6361</t>
  </si>
  <si>
    <t xml:space="preserve">EBARA CORP</t>
  </si>
  <si>
    <t xml:space="preserve">SRG</t>
  </si>
  <si>
    <t xml:space="preserve">SNAM SPA</t>
  </si>
  <si>
    <t xml:space="preserve">UNICAJA BANCO SA</t>
  </si>
  <si>
    <t xml:space="preserve">ONGC</t>
  </si>
  <si>
    <t xml:space="preserve">OIL + NATURAL GAS CORP LTD</t>
  </si>
  <si>
    <t xml:space="preserve">7272</t>
  </si>
  <si>
    <t xml:space="preserve">YAMAHA MOTOR CO LTD</t>
  </si>
  <si>
    <t xml:space="preserve">PHOE</t>
  </si>
  <si>
    <t xml:space="preserve">PHOENIX FINANCIAL LTD</t>
  </si>
  <si>
    <t xml:space="preserve">1928</t>
  </si>
  <si>
    <t xml:space="preserve">SEKISUI HOUSE LTD</t>
  </si>
  <si>
    <t xml:space="preserve">A036930</t>
  </si>
  <si>
    <t xml:space="preserve">JUSUNG ENGINEERING CO LTD</t>
  </si>
  <si>
    <t xml:space="preserve">MKS</t>
  </si>
  <si>
    <t xml:space="preserve">MARKS + SPENCER GROUP PLC</t>
  </si>
  <si>
    <t xml:space="preserve">HMCL</t>
  </si>
  <si>
    <t xml:space="preserve">HERO MOTOCORP LTD</t>
  </si>
  <si>
    <t xml:space="preserve">7769</t>
  </si>
  <si>
    <t xml:space="preserve">HON PRECISION INC</t>
  </si>
  <si>
    <t xml:space="preserve">CNA</t>
  </si>
  <si>
    <t xml:space="preserve">CENTRICA PLC</t>
  </si>
  <si>
    <t xml:space="preserve">ICLR</t>
  </si>
  <si>
    <t xml:space="preserve">ICON PLC</t>
  </si>
  <si>
    <t xml:space="preserve">NTPC</t>
  </si>
  <si>
    <t xml:space="preserve">NTPC LTD</t>
  </si>
  <si>
    <t xml:space="preserve">7911</t>
  </si>
  <si>
    <t xml:space="preserve">TOPPAN HOLDINGS INC</t>
  </si>
  <si>
    <t xml:space="preserve">DSCT</t>
  </si>
  <si>
    <t xml:space="preserve">ISRAEL DISCOUNT BANK A</t>
  </si>
  <si>
    <t xml:space="preserve">3653</t>
  </si>
  <si>
    <t xml:space="preserve">JENTECH PRECISION INDUSTRIAL</t>
  </si>
  <si>
    <t xml:space="preserve">CARL B</t>
  </si>
  <si>
    <t xml:space="preserve">CARLSBERG AS B</t>
  </si>
  <si>
    <t xml:space="preserve">1113</t>
  </si>
  <si>
    <t xml:space="preserve">CK ASSET HOLDINGS LTD</t>
  </si>
  <si>
    <t xml:space="preserve">ORSTED</t>
  </si>
  <si>
    <t xml:space="preserve">ORSTED A/S</t>
  </si>
  <si>
    <t xml:space="preserve">SCG</t>
  </si>
  <si>
    <t xml:space="preserve">SCENTRE GROUP</t>
  </si>
  <si>
    <t xml:space="preserve">4684</t>
  </si>
  <si>
    <t xml:space="preserve">OBIC CO LTD</t>
  </si>
  <si>
    <t xml:space="preserve">1801</t>
  </si>
  <si>
    <t xml:space="preserve">INNOVENT BIOLOGICS INC</t>
  </si>
  <si>
    <t xml:space="preserve">2603</t>
  </si>
  <si>
    <t xml:space="preserve">EVERGREEN MARINE CORP LTD</t>
  </si>
  <si>
    <t xml:space="preserve">BBAS3</t>
  </si>
  <si>
    <t xml:space="preserve">BANCO DO BRASIL S.A.</t>
  </si>
  <si>
    <t xml:space="preserve">1326</t>
  </si>
  <si>
    <t xml:space="preserve">FORMOSA CHEMICALS + FIBRE</t>
  </si>
  <si>
    <t xml:space="preserve">3407</t>
  </si>
  <si>
    <t xml:space="preserve">ASAHI KASEI CORP</t>
  </si>
  <si>
    <t xml:space="preserve">G1A</t>
  </si>
  <si>
    <t xml:space="preserve">GEA GROUP AG</t>
  </si>
  <si>
    <t xml:space="preserve">ITRK</t>
  </si>
  <si>
    <t xml:space="preserve">INTERTEK GROUP PLC</t>
  </si>
  <si>
    <t xml:space="preserve">RCI.B</t>
  </si>
  <si>
    <t xml:space="preserve">ROGERS COMMUNICATIONS INC B</t>
  </si>
  <si>
    <t xml:space="preserve">7012</t>
  </si>
  <si>
    <t xml:space="preserve">KAWASAKI HEAVY INDUSTRIES</t>
  </si>
  <si>
    <t xml:space="preserve">UU.</t>
  </si>
  <si>
    <t xml:space="preserve">UNITED UTILITIES GROUP PLC</t>
  </si>
  <si>
    <t xml:space="preserve">7532</t>
  </si>
  <si>
    <t xml:space="preserve">PAN PACIFIC INTERNATIONAL HO</t>
  </si>
  <si>
    <t xml:space="preserve">SN.</t>
  </si>
  <si>
    <t xml:space="preserve">SMITH + NEPHEW PLC</t>
  </si>
  <si>
    <t xml:space="preserve">EN</t>
  </si>
  <si>
    <t xml:space="preserve">BOUYGUES SA</t>
  </si>
  <si>
    <t xml:space="preserve">CA</t>
  </si>
  <si>
    <t xml:space="preserve">CARREFOUR SA</t>
  </si>
  <si>
    <t xml:space="preserve">GSL</t>
  </si>
  <si>
    <t xml:space="preserve">GLOBAL SHIP LEASE INC CL A</t>
  </si>
  <si>
    <t xml:space="preserve">SY1</t>
  </si>
  <si>
    <t xml:space="preserve">SYMRISE AG</t>
  </si>
  <si>
    <t xml:space="preserve">CIMB</t>
  </si>
  <si>
    <t xml:space="preserve">CIMB GROUP HOLDINGS BHD</t>
  </si>
  <si>
    <t xml:space="preserve">ALA</t>
  </si>
  <si>
    <t xml:space="preserve">ALTAGAS LTD</t>
  </si>
  <si>
    <t xml:space="preserve">6504</t>
  </si>
  <si>
    <t xml:space="preserve">FUJI ELECTRIC CO LTD</t>
  </si>
  <si>
    <t xml:space="preserve">BPAC11</t>
  </si>
  <si>
    <t xml:space="preserve">BANCO BTG PACTUAL SA UNIT</t>
  </si>
  <si>
    <t xml:space="preserve">83</t>
  </si>
  <si>
    <t xml:space="preserve">SINO LAND CO</t>
  </si>
  <si>
    <t xml:space="preserve">TAISEI CORP</t>
  </si>
  <si>
    <t xml:space="preserve">9697</t>
  </si>
  <si>
    <t xml:space="preserve">CAPCOM CO LTD</t>
  </si>
  <si>
    <t xml:space="preserve">1802</t>
  </si>
  <si>
    <t xml:space="preserve">OBAYASHI CORP</t>
  </si>
  <si>
    <t xml:space="preserve">2344</t>
  </si>
  <si>
    <t xml:space="preserve">WINBOND ELECTRONICS CORP</t>
  </si>
  <si>
    <t xml:space="preserve">STRS</t>
  </si>
  <si>
    <t xml:space="preserve">STRAUSS GROUP LTD</t>
  </si>
  <si>
    <t xml:space="preserve">DIVI</t>
  </si>
  <si>
    <t xml:space="preserve">DIVI S LABORATORIES LTD</t>
  </si>
  <si>
    <t xml:space="preserve">ALDAR</t>
  </si>
  <si>
    <t xml:space="preserve">ALDAR PROPERTIES PJSC</t>
  </si>
  <si>
    <t xml:space="preserve">FALABELLA</t>
  </si>
  <si>
    <t xml:space="preserve">FALABELLA SA</t>
  </si>
  <si>
    <t xml:space="preserve">TRI</t>
  </si>
  <si>
    <t xml:space="preserve">THOMSON REUTERS CORP</t>
  </si>
  <si>
    <t xml:space="preserve">ATRL</t>
  </si>
  <si>
    <t xml:space="preserve">ATKINSREALIS GROUP INC</t>
  </si>
  <si>
    <t xml:space="preserve">1301</t>
  </si>
  <si>
    <t xml:space="preserve">FORMOSA PLASTICS CORP</t>
  </si>
  <si>
    <t xml:space="preserve">TELIA</t>
  </si>
  <si>
    <t xml:space="preserve">TELIA CO AB</t>
  </si>
  <si>
    <t xml:space="preserve">ADM</t>
  </si>
  <si>
    <t xml:space="preserve">ADMIRAL GROUP PLC</t>
  </si>
  <si>
    <t xml:space="preserve">A033780</t>
  </si>
  <si>
    <t xml:space="preserve">KT+G CORP</t>
  </si>
  <si>
    <t xml:space="preserve">5019</t>
  </si>
  <si>
    <t xml:space="preserve">IDEMITSU KOSAN CO LTD</t>
  </si>
  <si>
    <t xml:space="preserve">MBK</t>
  </si>
  <si>
    <t xml:space="preserve">MBANK SA</t>
  </si>
  <si>
    <t xml:space="preserve">AXIAY</t>
  </si>
  <si>
    <t xml:space="preserve">AXIA ENERGIA ADR</t>
  </si>
  <si>
    <t xml:space="preserve">ASRNL</t>
  </si>
  <si>
    <t xml:space="preserve">ASR NEDERLAND NV</t>
  </si>
  <si>
    <t xml:space="preserve">6525</t>
  </si>
  <si>
    <t xml:space="preserve">KOKUSAI ELECTRIC CORP</t>
  </si>
  <si>
    <t xml:space="preserve">RXL</t>
  </si>
  <si>
    <t xml:space="preserve">REXEL SA</t>
  </si>
  <si>
    <t xml:space="preserve">ABDN</t>
  </si>
  <si>
    <t xml:space="preserve">ABERDEEN GROUP PLC</t>
  </si>
  <si>
    <t xml:space="preserve">CCH</t>
  </si>
  <si>
    <t xml:space="preserve">COCA COLA HBC AG DI</t>
  </si>
  <si>
    <t xml:space="preserve">8345</t>
  </si>
  <si>
    <t xml:space="preserve">BANK OF IWATE LTD/THE</t>
  </si>
  <si>
    <t xml:space="preserve">7459</t>
  </si>
  <si>
    <t xml:space="preserve">MEDIPAL HOLDINGS CORP</t>
  </si>
  <si>
    <t xml:space="preserve">INDU A</t>
  </si>
  <si>
    <t xml:space="preserve">INDUSTRIVARDEN AB A SHS</t>
  </si>
  <si>
    <t xml:space="preserve">MOL</t>
  </si>
  <si>
    <t xml:space="preserve">MOL HUNGARIAN OIL AND GAS PL</t>
  </si>
  <si>
    <t xml:space="preserve">ASND</t>
  </si>
  <si>
    <t xml:space="preserve">ASCENDIS PHARMA A/S</t>
  </si>
  <si>
    <t xml:space="preserve">EIF</t>
  </si>
  <si>
    <t xml:space="preserve">EXCHANGE INCOME CORP</t>
  </si>
  <si>
    <t xml:space="preserve">YAR</t>
  </si>
  <si>
    <t xml:space="preserve">YARA INTERNATIONAL ASA</t>
  </si>
  <si>
    <t xml:space="preserve">EQX</t>
  </si>
  <si>
    <t xml:space="preserve">EQUINOX GOLD CORP</t>
  </si>
  <si>
    <t xml:space="preserve">FORTUM</t>
  </si>
  <si>
    <t xml:space="preserve">FORTUM OYJ</t>
  </si>
  <si>
    <t xml:space="preserve">DPLM</t>
  </si>
  <si>
    <t xml:space="preserve">DIPLOMA PLC</t>
  </si>
  <si>
    <t xml:space="preserve">NOD</t>
  </si>
  <si>
    <t xml:space="preserve">NORDIC SEMICONDUCTOR ASA</t>
  </si>
  <si>
    <t xml:space="preserve">A207940</t>
  </si>
  <si>
    <t xml:space="preserve">SAMSUNG BIOLOGICS CO LTD</t>
  </si>
  <si>
    <t xml:space="preserve">1109</t>
  </si>
  <si>
    <t xml:space="preserve">CHINA RESOURCES LAND LTD</t>
  </si>
  <si>
    <t xml:space="preserve">TPWR</t>
  </si>
  <si>
    <t xml:space="preserve">TATA POWER CO LTD</t>
  </si>
  <si>
    <t xml:space="preserve">AKRBP</t>
  </si>
  <si>
    <t xml:space="preserve">AKER BP ASA</t>
  </si>
  <si>
    <t xml:space="preserve">S32</t>
  </si>
  <si>
    <t xml:space="preserve">SOUTH32 LTD</t>
  </si>
  <si>
    <t xml:space="preserve">BMRI</t>
  </si>
  <si>
    <t xml:space="preserve">BANK MANDIRI PERSERO TBK PT</t>
  </si>
  <si>
    <t xml:space="preserve">8473</t>
  </si>
  <si>
    <t xml:space="preserve">SBI HOLDINGS INC</t>
  </si>
  <si>
    <t xml:space="preserve">PE&amp;OLES *</t>
  </si>
  <si>
    <t xml:space="preserve">INDUSTRIAS PENOLES SAB DE CV</t>
  </si>
  <si>
    <t xml:space="preserve">TIH</t>
  </si>
  <si>
    <t xml:space="preserve">TOROMONT INDUSTRIES LTD</t>
  </si>
  <si>
    <t xml:space="preserve">RO</t>
  </si>
  <si>
    <t xml:space="preserve">ROCHE HOLDING AG BR</t>
  </si>
  <si>
    <t xml:space="preserve">A010120</t>
  </si>
  <si>
    <t xml:space="preserve">LS ELECTRIC CO LTD</t>
  </si>
  <si>
    <t xml:space="preserve">SOL</t>
  </si>
  <si>
    <t xml:space="preserve">WASHINGTON H SOUL PATTINSON</t>
  </si>
  <si>
    <t xml:space="preserve">ADANI</t>
  </si>
  <si>
    <t xml:space="preserve">ADANI POWER LTD</t>
  </si>
  <si>
    <t xml:space="preserve">SHL</t>
  </si>
  <si>
    <t xml:space="preserve">SIEMENS HEALTHINEERS AG</t>
  </si>
  <si>
    <t xml:space="preserve">BNZL</t>
  </si>
  <si>
    <t xml:space="preserve">BUNZL PLC</t>
  </si>
  <si>
    <t xml:space="preserve">3659</t>
  </si>
  <si>
    <t xml:space="preserve">NEXON CO LTD</t>
  </si>
  <si>
    <t xml:space="preserve">IMP</t>
  </si>
  <si>
    <t xml:space="preserve">IMPALA PLATINUM HOLDINGS LTD</t>
  </si>
  <si>
    <t xml:space="preserve">TEL</t>
  </si>
  <si>
    <t xml:space="preserve">TELENOR ASA</t>
  </si>
  <si>
    <t xml:space="preserve">J36</t>
  </si>
  <si>
    <t xml:space="preserve">JARDINE MATHESON HOLDINGS</t>
  </si>
  <si>
    <t xml:space="preserve">2020</t>
  </si>
  <si>
    <t xml:space="preserve">ANTA SPORTS PRODUCTS LTD</t>
  </si>
  <si>
    <t xml:space="preserve">3665</t>
  </si>
  <si>
    <t xml:space="preserve">BIZLINK HOLDING INC</t>
  </si>
  <si>
    <t xml:space="preserve">JSTL</t>
  </si>
  <si>
    <t xml:space="preserve">JSW STEEL LTD</t>
  </si>
  <si>
    <t xml:space="preserve">SHFL</t>
  </si>
  <si>
    <t xml:space="preserve">SHRIRAM FINANCE LTD</t>
  </si>
  <si>
    <t xml:space="preserve">PWGR</t>
  </si>
  <si>
    <t xml:space="preserve">POWER GRID CORP OF INDIA LTD</t>
  </si>
  <si>
    <t xml:space="preserve">6223</t>
  </si>
  <si>
    <t xml:space="preserve">MPI CORP</t>
  </si>
  <si>
    <t xml:space="preserve">EMG</t>
  </si>
  <si>
    <t xml:space="preserve">MAN GROUP PLC/JERSEY</t>
  </si>
  <si>
    <t xml:space="preserve">GFL</t>
  </si>
  <si>
    <t xml:space="preserve">GFL ENVIRONMENTAL INC SUB VT</t>
  </si>
  <si>
    <t xml:space="preserve">BN4</t>
  </si>
  <si>
    <t xml:space="preserve">KEPPEL LTD</t>
  </si>
  <si>
    <t xml:space="preserve">TLC</t>
  </si>
  <si>
    <t xml:space="preserve">LOTTERY CORP LTD/THE</t>
  </si>
  <si>
    <t xml:space="preserve">RDY</t>
  </si>
  <si>
    <t xml:space="preserve">DR. REDDY S LABORATORIES ADR</t>
  </si>
  <si>
    <t xml:space="preserve">A042700</t>
  </si>
  <si>
    <t xml:space="preserve">HANMI SEMICONDUCTOR CO LTD</t>
  </si>
  <si>
    <t xml:space="preserve">FROG</t>
  </si>
  <si>
    <t xml:space="preserve">JFROG LTD</t>
  </si>
  <si>
    <t xml:space="preserve">MNG</t>
  </si>
  <si>
    <t xml:space="preserve">M+G PLC</t>
  </si>
  <si>
    <t xml:space="preserve">BCP</t>
  </si>
  <si>
    <t xml:space="preserve">BANCO COMERCIAL PORTUGUES R</t>
  </si>
  <si>
    <t xml:space="preserve">MZTF</t>
  </si>
  <si>
    <t xml:space="preserve">MIZRAHI TEFAHOT BANK LTD</t>
  </si>
  <si>
    <t xml:space="preserve">7202</t>
  </si>
  <si>
    <t xml:space="preserve">ISUZU MOTORS LTD</t>
  </si>
  <si>
    <t xml:space="preserve">SOBI_SEK</t>
  </si>
  <si>
    <t xml:space="preserve">SWEDISH ORPHAN BIOVITRUM AB</t>
  </si>
  <si>
    <t xml:space="preserve">BHEL</t>
  </si>
  <si>
    <t xml:space="preserve">BHARAT HEAVY ELECTRICALS</t>
  </si>
  <si>
    <t xml:space="preserve">6274</t>
  </si>
  <si>
    <t xml:space="preserve">TAIWAN UNION TECHNOLOGY CORP</t>
  </si>
  <si>
    <t xml:space="preserve">CTC.A</t>
  </si>
  <si>
    <t xml:space="preserve">CANADIAN TIRE CORP CLASS A</t>
  </si>
  <si>
    <t xml:space="preserve">TFII</t>
  </si>
  <si>
    <t xml:space="preserve">TFI INTERNATIONAL INC</t>
  </si>
  <si>
    <t xml:space="preserve">SRT3</t>
  </si>
  <si>
    <t xml:space="preserve">SARTORIUS AG VORZUG</t>
  </si>
  <si>
    <t xml:space="preserve">998</t>
  </si>
  <si>
    <t xml:space="preserve">CHINA CITIC BANK CORP LTD H</t>
  </si>
  <si>
    <t xml:space="preserve">4523</t>
  </si>
  <si>
    <t xml:space="preserve">EISAI CO LTD</t>
  </si>
  <si>
    <t xml:space="preserve">H</t>
  </si>
  <si>
    <t xml:space="preserve">HYDRO ONE LTD</t>
  </si>
  <si>
    <t xml:space="preserve">APNT</t>
  </si>
  <si>
    <t xml:space="preserve">ASIAN PAINTS LTD</t>
  </si>
  <si>
    <t xml:space="preserve">IH</t>
  </si>
  <si>
    <t xml:space="preserve">INDIAN HOTELS CO LTD</t>
  </si>
  <si>
    <t xml:space="preserve">HEN3</t>
  </si>
  <si>
    <t xml:space="preserve">HENKEL AG + CO KGAA VOR PREF</t>
  </si>
  <si>
    <t xml:space="preserve">1919</t>
  </si>
  <si>
    <t xml:space="preserve">COSCO SHIPPING HOLDINGS CO H</t>
  </si>
  <si>
    <t xml:space="preserve">8367</t>
  </si>
  <si>
    <t xml:space="preserve">NANTO BANK LTD/THE</t>
  </si>
  <si>
    <t xml:space="preserve">EDV</t>
  </si>
  <si>
    <t xml:space="preserve">ENDEAVOUR MINING PLC</t>
  </si>
  <si>
    <t xml:space="preserve">LISN</t>
  </si>
  <si>
    <t xml:space="preserve">CHOCOLADEFABRIKEN LINDT REG</t>
  </si>
  <si>
    <t xml:space="preserve">X</t>
  </si>
  <si>
    <t xml:space="preserve">TMX GROUP LTD</t>
  </si>
  <si>
    <t xml:space="preserve">BEAN</t>
  </si>
  <si>
    <t xml:space="preserve">BELIMO HOLDING AG REG</t>
  </si>
  <si>
    <t xml:space="preserve">GRASIM</t>
  </si>
  <si>
    <t xml:space="preserve">GRASIM INDUSTRIES LTD</t>
  </si>
  <si>
    <t xml:space="preserve">4188</t>
  </si>
  <si>
    <t xml:space="preserve">MITSUBISHI CHEMICAL GROUP CO</t>
  </si>
  <si>
    <t xml:space="preserve">SKA B</t>
  </si>
  <si>
    <t xml:space="preserve">SKANSKA AB B SHS</t>
  </si>
  <si>
    <t xml:space="preserve">BRIT</t>
  </si>
  <si>
    <t xml:space="preserve">BRITANNIA INDUSTRIES LTD</t>
  </si>
  <si>
    <t xml:space="preserve">A009540</t>
  </si>
  <si>
    <t xml:space="preserve">HD KOREA SHIPBUILDING + OFFS</t>
  </si>
  <si>
    <t xml:space="preserve">8331</t>
  </si>
  <si>
    <t xml:space="preserve">CHIBA BANK LTD/THE</t>
  </si>
  <si>
    <t xml:space="preserve">6963</t>
  </si>
  <si>
    <t xml:space="preserve">ROHM CO LTD</t>
  </si>
  <si>
    <t xml:space="preserve">TREL B</t>
  </si>
  <si>
    <t xml:space="preserve">TRELLEBORG AB B SHS</t>
  </si>
  <si>
    <t xml:space="preserve">8359</t>
  </si>
  <si>
    <t xml:space="preserve">HACHIJUNI NAGANO BANK LTD</t>
  </si>
  <si>
    <t xml:space="preserve">SBRY</t>
  </si>
  <si>
    <t xml:space="preserve">SAINSBURY (J) PLC</t>
  </si>
  <si>
    <t xml:space="preserve">4911</t>
  </si>
  <si>
    <t xml:space="preserve">SHISEIDO CO LTD</t>
  </si>
  <si>
    <t xml:space="preserve">A267260</t>
  </si>
  <si>
    <t xml:space="preserve">HD HYUNDAI ELECTRIC CO LTD</t>
  </si>
  <si>
    <t xml:space="preserve">MONC</t>
  </si>
  <si>
    <t xml:space="preserve">MONCLER SPA</t>
  </si>
  <si>
    <t xml:space="preserve">3481</t>
  </si>
  <si>
    <t xml:space="preserve">INNOLUX CORP</t>
  </si>
  <si>
    <t xml:space="preserve">CIB</t>
  </si>
  <si>
    <t xml:space="preserve">GRUPO CIBEST SA ADR</t>
  </si>
  <si>
    <t xml:space="preserve">SQM-B</t>
  </si>
  <si>
    <t xml:space="preserve">SOC QUIMICA Y MINERA CHILE B</t>
  </si>
  <si>
    <t xml:space="preserve">CIPLA</t>
  </si>
  <si>
    <t xml:space="preserve">CIPLA LTD</t>
  </si>
  <si>
    <t xml:space="preserve">SPSN</t>
  </si>
  <si>
    <t xml:space="preserve">SWISS PRIME SITE REG</t>
  </si>
  <si>
    <t xml:space="preserve">7270</t>
  </si>
  <si>
    <t xml:space="preserve">SUBARU CORP</t>
  </si>
  <si>
    <t xml:space="preserve">PTTEP-F</t>
  </si>
  <si>
    <t xml:space="preserve">PTT EXPLORATION + PROD FOR</t>
  </si>
  <si>
    <t xml:space="preserve">1308</t>
  </si>
  <si>
    <t xml:space="preserve">SITC INTERNATIONAL HOLDINGS</t>
  </si>
  <si>
    <t xml:space="preserve">603259</t>
  </si>
  <si>
    <t xml:space="preserve">WUXI APPTEC CO LTD A</t>
  </si>
  <si>
    <t xml:space="preserve">9CI</t>
  </si>
  <si>
    <t xml:space="preserve">CAPITALAND INVESTMENT LTD/SI</t>
  </si>
  <si>
    <t xml:space="preserve">NVMI</t>
  </si>
  <si>
    <t xml:space="preserve">NOVA LTD</t>
  </si>
  <si>
    <t xml:space="preserve">ADE</t>
  </si>
  <si>
    <t xml:space="preserve">ADANI ENTERPRISES LTD</t>
  </si>
  <si>
    <t xml:space="preserve">BVI</t>
  </si>
  <si>
    <t xml:space="preserve">BUREAU VERITAS SA</t>
  </si>
  <si>
    <t xml:space="preserve">REY</t>
  </si>
  <si>
    <t xml:space="preserve">REPLY SPA</t>
  </si>
  <si>
    <t xml:space="preserve">EDEN</t>
  </si>
  <si>
    <t xml:space="preserve">EDENRED</t>
  </si>
  <si>
    <t xml:space="preserve">AED</t>
  </si>
  <si>
    <t xml:space="preserve">AEDIFICA</t>
  </si>
  <si>
    <t xml:space="preserve">IOICORP</t>
  </si>
  <si>
    <t xml:space="preserve">IOI CORP BHD</t>
  </si>
  <si>
    <t xml:space="preserve">1010</t>
  </si>
  <si>
    <t xml:space="preserve">RIYAD BANK</t>
  </si>
  <si>
    <t xml:space="preserve">BEKE</t>
  </si>
  <si>
    <t xml:space="preserve">KE HOLDINGS INC ADR</t>
  </si>
  <si>
    <t xml:space="preserve">GIL</t>
  </si>
  <si>
    <t xml:space="preserve">GILDAN ACTIVEWEAR INC</t>
  </si>
  <si>
    <t xml:space="preserve">MCX</t>
  </si>
  <si>
    <t xml:space="preserve">MULTI COMMODITY EXCH INDIA</t>
  </si>
  <si>
    <t xml:space="preserve">ARC RESOURCES LTD TEND</t>
  </si>
  <si>
    <t xml:space="preserve">BNR</t>
  </si>
  <si>
    <t xml:space="preserve">BRENNTAG SE</t>
  </si>
  <si>
    <t xml:space="preserve">6479</t>
  </si>
  <si>
    <t xml:space="preserve">MINEBEA MITSUMI INC</t>
  </si>
  <si>
    <t xml:space="preserve">6446</t>
  </si>
  <si>
    <t xml:space="preserve">PHARMAESSENTIA CORP</t>
  </si>
  <si>
    <t xml:space="preserve">TECHM</t>
  </si>
  <si>
    <t xml:space="preserve">TECH MAHINDRA LTD</t>
  </si>
  <si>
    <t xml:space="preserve">1093</t>
  </si>
  <si>
    <t xml:space="preserve">CSPC PHARMACEUTICAL GROUP LT</t>
  </si>
  <si>
    <t xml:space="preserve">AKZA</t>
  </si>
  <si>
    <t xml:space="preserve">AKZO NOBEL N.V.</t>
  </si>
  <si>
    <t xml:space="preserve">2601</t>
  </si>
  <si>
    <t xml:space="preserve">CHINA PACIFIC INSURANCE GR H</t>
  </si>
  <si>
    <t xml:space="preserve">8112</t>
  </si>
  <si>
    <t xml:space="preserve">SUPREME ELECTRONICS CO LTD</t>
  </si>
  <si>
    <t xml:space="preserve">1216</t>
  </si>
  <si>
    <t xml:space="preserve">UNI PRESIDENT ENTERPRISES CO</t>
  </si>
  <si>
    <t xml:space="preserve">AOT-F</t>
  </si>
  <si>
    <t xml:space="preserve">AIRPORTS OF THAILAND PCL FOR</t>
  </si>
  <si>
    <t xml:space="preserve">GALP</t>
  </si>
  <si>
    <t xml:space="preserve">GALP ENERGIA SGPS SA</t>
  </si>
  <si>
    <t xml:space="preserve">TEN</t>
  </si>
  <si>
    <t xml:space="preserve">TENARIS SA</t>
  </si>
  <si>
    <t xml:space="preserve">PZU</t>
  </si>
  <si>
    <t xml:space="preserve">POWSZECHNY ZAKLAD UBEZPIECZE</t>
  </si>
  <si>
    <t xml:space="preserve">EBP</t>
  </si>
  <si>
    <t xml:space="preserve">ERSTE BANK POLSKA SA</t>
  </si>
  <si>
    <t xml:space="preserve">STB</t>
  </si>
  <si>
    <t xml:space="preserve">STOREBRAND ASA</t>
  </si>
  <si>
    <t xml:space="preserve">BJAUT</t>
  </si>
  <si>
    <t xml:space="preserve">BAJAJ AUTO LTD</t>
  </si>
  <si>
    <t xml:space="preserve">267</t>
  </si>
  <si>
    <t xml:space="preserve">CITIC LTD</t>
  </si>
  <si>
    <t xml:space="preserve">2474</t>
  </si>
  <si>
    <t xml:space="preserve">CATCHER TECHNOLOGY CO LTD</t>
  </si>
  <si>
    <t xml:space="preserve">2480</t>
  </si>
  <si>
    <t xml:space="preserve">STARK TECHNOLOGY INC</t>
  </si>
  <si>
    <t xml:space="preserve">SDLF</t>
  </si>
  <si>
    <t xml:space="preserve">STANDARD LIFE PLC</t>
  </si>
  <si>
    <t xml:space="preserve">8354</t>
  </si>
  <si>
    <t xml:space="preserve">FUKUOKA FINANCIAL GROUP INC</t>
  </si>
  <si>
    <t xml:space="preserve">8593</t>
  </si>
  <si>
    <t xml:space="preserve">MITSUBISHI HC CAPITAL INC</t>
  </si>
  <si>
    <t xml:space="preserve">AUOTY</t>
  </si>
  <si>
    <t xml:space="preserve">AUO CORP SPON ADR</t>
  </si>
  <si>
    <t xml:space="preserve">STLAM</t>
  </si>
  <si>
    <t xml:space="preserve">STELLANTIS NV</t>
  </si>
  <si>
    <t xml:space="preserve">ABMB</t>
  </si>
  <si>
    <t xml:space="preserve">ALLIANCE BANK MALAYSIA BHD</t>
  </si>
  <si>
    <t xml:space="preserve">TKA</t>
  </si>
  <si>
    <t xml:space="preserve">THYSSENKRUPP AG</t>
  </si>
  <si>
    <t xml:space="preserve">WALMEX *</t>
  </si>
  <si>
    <t xml:space="preserve">WALMART DE MEXICO SAB DE CV</t>
  </si>
  <si>
    <t xml:space="preserve">300308</t>
  </si>
  <si>
    <t xml:space="preserve">ZHONGJI INNOLIGHT CO LTD A</t>
  </si>
  <si>
    <t xml:space="preserve">ELD</t>
  </si>
  <si>
    <t xml:space="preserve">ELDORADO GOLD CORP</t>
  </si>
  <si>
    <t xml:space="preserve">ABG</t>
  </si>
  <si>
    <t xml:space="preserve">ABSA GROUP LTD</t>
  </si>
  <si>
    <t xml:space="preserve">7259</t>
  </si>
  <si>
    <t xml:space="preserve">AISIN CORP</t>
  </si>
  <si>
    <t xml:space="preserve">RTO</t>
  </si>
  <si>
    <t xml:space="preserve">RENTOKIL INITIAL PLC</t>
  </si>
  <si>
    <t xml:space="preserve">BVN</t>
  </si>
  <si>
    <t xml:space="preserve">CIA DE MINAS BUENAVENTUR ADR</t>
  </si>
  <si>
    <t xml:space="preserve">3099</t>
  </si>
  <si>
    <t xml:space="preserve">ISETAN MITSUKOSHI HOLDINGS L</t>
  </si>
  <si>
    <t xml:space="preserve">2267</t>
  </si>
  <si>
    <t xml:space="preserve">YAKULT HONSHA CO LTD</t>
  </si>
  <si>
    <t xml:space="preserve">A010130</t>
  </si>
  <si>
    <t xml:space="preserve">KOREA ZINC CO LTD</t>
  </si>
  <si>
    <t xml:space="preserve">A373220</t>
  </si>
  <si>
    <t xml:space="preserve">LG ENERGY SOLUTION</t>
  </si>
  <si>
    <t xml:space="preserve">KOF UBL</t>
  </si>
  <si>
    <t xml:space="preserve">COCA COLA FEMSA SAB DE CV</t>
  </si>
  <si>
    <t xml:space="preserve">8136</t>
  </si>
  <si>
    <t xml:space="preserve">SANRIO CO LTD</t>
  </si>
  <si>
    <t xml:space="preserve">SKF B</t>
  </si>
  <si>
    <t xml:space="preserve">SKF AB B SHARES</t>
  </si>
  <si>
    <t xml:space="preserve">A010140</t>
  </si>
  <si>
    <t xml:space="preserve">SAMSUNG HEAVY INDUSTRIES</t>
  </si>
  <si>
    <t xml:space="preserve">2010</t>
  </si>
  <si>
    <t xml:space="preserve">SAUDI BASIC INDUSTRIES CORP</t>
  </si>
  <si>
    <t xml:space="preserve">7309</t>
  </si>
  <si>
    <t xml:space="preserve">SHIMANO INC</t>
  </si>
  <si>
    <t xml:space="preserve">3</t>
  </si>
  <si>
    <t xml:space="preserve">HONG KONG + CHINA GAS</t>
  </si>
  <si>
    <t xml:space="preserve">ENLT</t>
  </si>
  <si>
    <t xml:space="preserve">ENLIGHT RENEWABLE ENERGY LTD</t>
  </si>
  <si>
    <t xml:space="preserve">EIM</t>
  </si>
  <si>
    <t xml:space="preserve">EICHER MOTORS LTD</t>
  </si>
  <si>
    <t xml:space="preserve">SIG</t>
  </si>
  <si>
    <t xml:space="preserve">SIGMA HEALTHCARE LTD</t>
  </si>
  <si>
    <t xml:space="preserve">NKT</t>
  </si>
  <si>
    <t xml:space="preserve">NKT A/S</t>
  </si>
  <si>
    <t xml:space="preserve">6794</t>
  </si>
  <si>
    <t xml:space="preserve">FOSTER ELECTRIC CO LTD</t>
  </si>
  <si>
    <t xml:space="preserve">NEST</t>
  </si>
  <si>
    <t xml:space="preserve">NESTLE INDIA LTD</t>
  </si>
  <si>
    <t xml:space="preserve">4528</t>
  </si>
  <si>
    <t xml:space="preserve">ONO PHARMACEUTICAL CO LTD</t>
  </si>
  <si>
    <t xml:space="preserve">4612</t>
  </si>
  <si>
    <t xml:space="preserve">NIPPON PAINT HOLDINGS CO LTD</t>
  </si>
  <si>
    <t xml:space="preserve">IVN</t>
  </si>
  <si>
    <t xml:space="preserve">IVANHOE MINES LTD CL A</t>
  </si>
  <si>
    <t xml:space="preserve">601138</t>
  </si>
  <si>
    <t xml:space="preserve">FOXCONN INDUSTRIAL INTERNE A</t>
  </si>
  <si>
    <t xml:space="preserve">5706</t>
  </si>
  <si>
    <t xml:space="preserve">MITSUI KINZOKU CO LTD</t>
  </si>
  <si>
    <t xml:space="preserve">1177</t>
  </si>
  <si>
    <t xml:space="preserve">SINO BIOPHARMACEUTICAL</t>
  </si>
  <si>
    <t xml:space="preserve">PLS</t>
  </si>
  <si>
    <t xml:space="preserve">PLS GROUP LTD</t>
  </si>
  <si>
    <t xml:space="preserve">SVT</t>
  </si>
  <si>
    <t xml:space="preserve">SEVERN TRENT PLC</t>
  </si>
  <si>
    <t xml:space="preserve">TUPRS</t>
  </si>
  <si>
    <t xml:space="preserve">TUPRAS TURKIYE PETROL RAFINE</t>
  </si>
  <si>
    <t xml:space="preserve">Emerging / TRY</t>
  </si>
  <si>
    <t xml:space="preserve">ABEV</t>
  </si>
  <si>
    <t xml:space="preserve">AMBEV SA ADR</t>
  </si>
  <si>
    <t xml:space="preserve">FTT</t>
  </si>
  <si>
    <t xml:space="preserve">FINNING INTERNATIONAL INC</t>
  </si>
  <si>
    <t xml:space="preserve">1803</t>
  </si>
  <si>
    <t xml:space="preserve">SHIMIZU CORP</t>
  </si>
  <si>
    <t xml:space="preserve">C38U</t>
  </si>
  <si>
    <t xml:space="preserve">CAPITALAND INTEGRATED COMMER</t>
  </si>
  <si>
    <t xml:space="preserve">ENEV3</t>
  </si>
  <si>
    <t xml:space="preserve">ENEVA SA</t>
  </si>
  <si>
    <t xml:space="preserve">LISP</t>
  </si>
  <si>
    <t xml:space="preserve">CHOCOLADEFABRIKEN LINDT PC</t>
  </si>
  <si>
    <t xml:space="preserve">6724</t>
  </si>
  <si>
    <t xml:space="preserve">SEIKO EPSON CORP</t>
  </si>
  <si>
    <t xml:space="preserve">HAR</t>
  </si>
  <si>
    <t xml:space="preserve">HARMONY GOLD MINING CO LTD</t>
  </si>
  <si>
    <t xml:space="preserve">MICC</t>
  </si>
  <si>
    <t xml:space="preserve">MAGNUM ICE CREAM CO NV/THE</t>
  </si>
  <si>
    <t xml:space="preserve">8336</t>
  </si>
  <si>
    <t xml:space="preserve">MUSASHINO BANK LTD/THE</t>
  </si>
  <si>
    <t xml:space="preserve">6</t>
  </si>
  <si>
    <t xml:space="preserve">POWER ASSETS HOLDINGS LTD</t>
  </si>
  <si>
    <t xml:space="preserve">AIA</t>
  </si>
  <si>
    <t xml:space="preserve">AUCKLAND INTL AIRPORT LTD</t>
  </si>
  <si>
    <t xml:space="preserve">175</t>
  </si>
  <si>
    <t xml:space="preserve">GEELY AUTOMOBILE HOLDINGS LT</t>
  </si>
  <si>
    <t xml:space="preserve">FME</t>
  </si>
  <si>
    <t xml:space="preserve">FRESENIUS MEDICAL CARE AG</t>
  </si>
  <si>
    <t xml:space="preserve">LAND</t>
  </si>
  <si>
    <t xml:space="preserve">LAND SECURITIES GROUP PLC</t>
  </si>
  <si>
    <t xml:space="preserve">GTT</t>
  </si>
  <si>
    <t xml:space="preserve">GAZTRANSPORT ET TECHNIGA SA</t>
  </si>
  <si>
    <t xml:space="preserve">RBI</t>
  </si>
  <si>
    <t xml:space="preserve">RAIFFEISEN BANK INTERNATIONA</t>
  </si>
  <si>
    <t xml:space="preserve">DPM</t>
  </si>
  <si>
    <t xml:space="preserve">DPM METALS INC</t>
  </si>
  <si>
    <t xml:space="preserve">GBLB</t>
  </si>
  <si>
    <t xml:space="preserve">GROUPE BRUXELLES LAMBERT NV</t>
  </si>
  <si>
    <t xml:space="preserve">IMI</t>
  </si>
  <si>
    <t xml:space="preserve">IMI PLC</t>
  </si>
  <si>
    <t xml:space="preserve">4005</t>
  </si>
  <si>
    <t xml:space="preserve">SUMITOMO CHEMICAL CO LTD</t>
  </si>
  <si>
    <t xml:space="preserve">LTMC</t>
  </si>
  <si>
    <t xml:space="preserve">LOTTOMATICA GROUP SPA</t>
  </si>
  <si>
    <t xml:space="preserve">CIG</t>
  </si>
  <si>
    <t xml:space="preserve">CIA ENERGETICA DE SPON ADR</t>
  </si>
  <si>
    <t xml:space="preserve">IFT</t>
  </si>
  <si>
    <t xml:space="preserve">INFRATIL LTD</t>
  </si>
  <si>
    <t xml:space="preserve">ORNBV</t>
  </si>
  <si>
    <t xml:space="preserve">ORION OYJ CLASS B</t>
  </si>
  <si>
    <t xml:space="preserve">REC</t>
  </si>
  <si>
    <t xml:space="preserve">RECORDATI INDUSTRIA CHIMICA</t>
  </si>
  <si>
    <t xml:space="preserve">7912</t>
  </si>
  <si>
    <t xml:space="preserve">DAI NIPPON PRINTING CO LTD</t>
  </si>
  <si>
    <t xml:space="preserve">ADVANC-F</t>
  </si>
  <si>
    <t xml:space="preserve">ADVANCED INFO SERVICE FOREIG</t>
  </si>
  <si>
    <t xml:space="preserve">GLNG</t>
  </si>
  <si>
    <t xml:space="preserve">GOLAR LNG LTD</t>
  </si>
  <si>
    <t xml:space="preserve">GGB</t>
  </si>
  <si>
    <t xml:space="preserve">GERDAU SA SPON ADR</t>
  </si>
  <si>
    <t xml:space="preserve">9021</t>
  </si>
  <si>
    <t xml:space="preserve">WEST JAPAN RAILWAY CO</t>
  </si>
  <si>
    <t xml:space="preserve">CCL.B</t>
  </si>
  <si>
    <t xml:space="preserve">CCL INDUSTRIES INC   CL B</t>
  </si>
  <si>
    <t xml:space="preserve">BLND</t>
  </si>
  <si>
    <t xml:space="preserve">BRITISH LAND CO PLC</t>
  </si>
  <si>
    <t xml:space="preserve">ADEN</t>
  </si>
  <si>
    <t xml:space="preserve">ADECCO GROUP AG REG</t>
  </si>
  <si>
    <t xml:space="preserve">AIRARABIA</t>
  </si>
  <si>
    <t xml:space="preserve">AIR ARABIA PJSC</t>
  </si>
  <si>
    <t xml:space="preserve">ACLN</t>
  </si>
  <si>
    <t xml:space="preserve">ACCELLERON INDUSTRIES AG</t>
  </si>
  <si>
    <t xml:space="preserve">ARBP</t>
  </si>
  <si>
    <t xml:space="preserve">AUROBINDO PHARMA LTD</t>
  </si>
  <si>
    <t xml:space="preserve">F34</t>
  </si>
  <si>
    <t xml:space="preserve">WILMAR INTERNATIONAL LTD</t>
  </si>
  <si>
    <t xml:space="preserve">8237</t>
  </si>
  <si>
    <t xml:space="preserve">MATSUYA CO LTD</t>
  </si>
  <si>
    <t xml:space="preserve">600183</t>
  </si>
  <si>
    <t xml:space="preserve">SHENGYI TECHNOLOGY CO LTD  A</t>
  </si>
  <si>
    <t xml:space="preserve">SHP</t>
  </si>
  <si>
    <t xml:space="preserve">SHOPRITE HOLDINGS LTD</t>
  </si>
  <si>
    <t xml:space="preserve">KIKKOMAN CORP</t>
  </si>
  <si>
    <t xml:space="preserve">HBM</t>
  </si>
  <si>
    <t xml:space="preserve">HUDBAY MINERALS INC</t>
  </si>
  <si>
    <t xml:space="preserve">A011070</t>
  </si>
  <si>
    <t xml:space="preserve">LG INNOTEK CO LTD</t>
  </si>
  <si>
    <t xml:space="preserve">8334</t>
  </si>
  <si>
    <t xml:space="preserve">GUNMA BANK LTD/THE</t>
  </si>
  <si>
    <t xml:space="preserve">5201</t>
  </si>
  <si>
    <t xml:space="preserve">AGC INC</t>
  </si>
  <si>
    <t xml:space="preserve">358</t>
  </si>
  <si>
    <t xml:space="preserve">JIANGXI COPPER CO LTD H</t>
  </si>
  <si>
    <t xml:space="preserve">QIA</t>
  </si>
  <si>
    <t xml:space="preserve">QIAGEN N.V.</t>
  </si>
  <si>
    <t xml:space="preserve">BJFIN</t>
  </si>
  <si>
    <t xml:space="preserve">BAJAJ FINSERV LTD</t>
  </si>
  <si>
    <t xml:space="preserve">CAR</t>
  </si>
  <si>
    <t xml:space="preserve">CAR GROUP LTD</t>
  </si>
  <si>
    <t xml:space="preserve">A329180</t>
  </si>
  <si>
    <t xml:space="preserve">HD HYUNDAI HEAVY INDUSTRIES</t>
  </si>
  <si>
    <t xml:space="preserve">TRYG</t>
  </si>
  <si>
    <t xml:space="preserve">TRYG A/S</t>
  </si>
  <si>
    <t xml:space="preserve">WEIR</t>
  </si>
  <si>
    <t xml:space="preserve">WEIR PLC</t>
  </si>
  <si>
    <t xml:space="preserve">66</t>
  </si>
  <si>
    <t xml:space="preserve">MTR CORP</t>
  </si>
  <si>
    <t xml:space="preserve">MPL</t>
  </si>
  <si>
    <t xml:space="preserve">MEDIBANK PRIVATE LTD</t>
  </si>
  <si>
    <t xml:space="preserve">1024</t>
  </si>
  <si>
    <t xml:space="preserve">KUAISHOU TECHNOLOGY</t>
  </si>
  <si>
    <t xml:space="preserve">OSK</t>
  </si>
  <si>
    <t xml:space="preserve">O.S.K. HOLDINGS BHD</t>
  </si>
  <si>
    <t xml:space="preserve">000338</t>
  </si>
  <si>
    <t xml:space="preserve">WEICHAI POWER CO LTD A</t>
  </si>
  <si>
    <t xml:space="preserve">INDU C</t>
  </si>
  <si>
    <t xml:space="preserve">INDUSTRIVARDEN AB C SHS</t>
  </si>
  <si>
    <t xml:space="preserve">MRO</t>
  </si>
  <si>
    <t xml:space="preserve">MELROSE INDUSTRIES PLC</t>
  </si>
  <si>
    <t xml:space="preserve">AG</t>
  </si>
  <si>
    <t xml:space="preserve">FIRST MAJESTIC SILVER CORP</t>
  </si>
  <si>
    <t xml:space="preserve">3044</t>
  </si>
  <si>
    <t xml:space="preserve">TRIPOD TECHNOLOGY CORP</t>
  </si>
  <si>
    <t xml:space="preserve">2002</t>
  </si>
  <si>
    <t xml:space="preserve">CHINA STEEL CORP</t>
  </si>
  <si>
    <t xml:space="preserve">TLX</t>
  </si>
  <si>
    <t xml:space="preserve">TALANX AG</t>
  </si>
  <si>
    <t xml:space="preserve">AMUN</t>
  </si>
  <si>
    <t xml:space="preserve">AMUNDI SA</t>
  </si>
  <si>
    <t xml:space="preserve">6952</t>
  </si>
  <si>
    <t xml:space="preserve">CASIO COMPUTER CO LTD</t>
  </si>
  <si>
    <t xml:space="preserve">3436</t>
  </si>
  <si>
    <t xml:space="preserve">SUMCO CORP</t>
  </si>
  <si>
    <t xml:space="preserve">1347</t>
  </si>
  <si>
    <t xml:space="preserve">HUA HONG GRACE SEMICONDUCTOR</t>
  </si>
  <si>
    <t xml:space="preserve">FGR</t>
  </si>
  <si>
    <t xml:space="preserve">EIFFAGE</t>
  </si>
  <si>
    <t xml:space="preserve">ALO</t>
  </si>
  <si>
    <t xml:space="preserve">ALSTOM</t>
  </si>
  <si>
    <t xml:space="preserve">5844</t>
  </si>
  <si>
    <t xml:space="preserve">KYOTO FINANCIAL GROUP INC</t>
  </si>
  <si>
    <t xml:space="preserve">RIT1</t>
  </si>
  <si>
    <t xml:space="preserve">REIT 1 LTD</t>
  </si>
  <si>
    <t xml:space="preserve">4091</t>
  </si>
  <si>
    <t xml:space="preserve">NIPPON SANSO HOLDINGS CORP</t>
  </si>
  <si>
    <t xml:space="preserve">BEI</t>
  </si>
  <si>
    <t xml:space="preserve">BEIERSDORF AG</t>
  </si>
  <si>
    <t xml:space="preserve">7167</t>
  </si>
  <si>
    <t xml:space="preserve">MEBUKI FINANCIAL GROUP INC</t>
  </si>
  <si>
    <t xml:space="preserve">ERF</t>
  </si>
  <si>
    <t xml:space="preserve">EUROFINS SCIENTIFIC</t>
  </si>
  <si>
    <t xml:space="preserve">A017670</t>
  </si>
  <si>
    <t xml:space="preserve">SK TELECOM</t>
  </si>
  <si>
    <t xml:space="preserve">ZTO</t>
  </si>
  <si>
    <t xml:space="preserve">ZTO EXPRESS CAYMAN INC ADR</t>
  </si>
  <si>
    <t xml:space="preserve">6532</t>
  </si>
  <si>
    <t xml:space="preserve">BAYCURRENT INC</t>
  </si>
  <si>
    <t xml:space="preserve">ABF</t>
  </si>
  <si>
    <t xml:space="preserve">ASSOCIATED BRITISH FOODS PLC</t>
  </si>
  <si>
    <t xml:space="preserve">8377</t>
  </si>
  <si>
    <t xml:space="preserve">HOKUHOKU FINANCIAL GROUP INC</t>
  </si>
  <si>
    <t xml:space="preserve">VIVT3</t>
  </si>
  <si>
    <t xml:space="preserve">TELEFONICA BRASIL S.A.</t>
  </si>
  <si>
    <t xml:space="preserve">EPI B</t>
  </si>
  <si>
    <t xml:space="preserve">EPIROC AB B</t>
  </si>
  <si>
    <t xml:space="preserve">GDSP</t>
  </si>
  <si>
    <t xml:space="preserve">GODREJ INDUSTRIES LTD</t>
  </si>
  <si>
    <t xml:space="preserve">9602</t>
  </si>
  <si>
    <t xml:space="preserve">TOHO CO LTD</t>
  </si>
  <si>
    <t xml:space="preserve">GET</t>
  </si>
  <si>
    <t xml:space="preserve">GETLINK SE</t>
  </si>
  <si>
    <t xml:space="preserve">8299</t>
  </si>
  <si>
    <t xml:space="preserve">PHISON ELECTRONICS CORP</t>
  </si>
  <si>
    <t xml:space="preserve">IRE</t>
  </si>
  <si>
    <t xml:space="preserve">IREN SPA</t>
  </si>
  <si>
    <t xml:space="preserve">9926</t>
  </si>
  <si>
    <t xml:space="preserve">AKESO INC</t>
  </si>
  <si>
    <t xml:space="preserve">2319</t>
  </si>
  <si>
    <t xml:space="preserve">CHINA MENGNIU DAIRY CO</t>
  </si>
  <si>
    <t xml:space="preserve">ASX</t>
  </si>
  <si>
    <t xml:space="preserve">ASX LTD</t>
  </si>
  <si>
    <t xml:space="preserve">KEY</t>
  </si>
  <si>
    <t xml:space="preserve">KEYERA CORP</t>
  </si>
  <si>
    <t xml:space="preserve">2324</t>
  </si>
  <si>
    <t xml:space="preserve">COMPAL ELECTRONICS</t>
  </si>
  <si>
    <t xml:space="preserve">7350</t>
  </si>
  <si>
    <t xml:space="preserve">OKINAWA FINANCIAL GROUP INC</t>
  </si>
  <si>
    <t xml:space="preserve">SUBC</t>
  </si>
  <si>
    <t xml:space="preserve">SUBSEA 7 SA</t>
  </si>
  <si>
    <t xml:space="preserve">ADDT B</t>
  </si>
  <si>
    <t xml:space="preserve">ADDTECH AB B SHARES</t>
  </si>
  <si>
    <t xml:space="preserve">LYC</t>
  </si>
  <si>
    <t xml:space="preserve">LYNAS RARE EARTHS LTD</t>
  </si>
  <si>
    <t xml:space="preserve">A003550</t>
  </si>
  <si>
    <t xml:space="preserve">LG CORP</t>
  </si>
  <si>
    <t xml:space="preserve">NED</t>
  </si>
  <si>
    <t xml:space="preserve">NEDBANK GROUP LTD</t>
  </si>
  <si>
    <t xml:space="preserve">SONIC HEALTHCARE LTD</t>
  </si>
  <si>
    <t xml:space="preserve">27</t>
  </si>
  <si>
    <t xml:space="preserve">GALAXY ENTERTAINMENT GROUP L</t>
  </si>
  <si>
    <t xml:space="preserve">GAIL</t>
  </si>
  <si>
    <t xml:space="preserve">GAIL INDIA LTD</t>
  </si>
  <si>
    <t xml:space="preserve">REM</t>
  </si>
  <si>
    <t xml:space="preserve">REMGRO LTD</t>
  </si>
  <si>
    <t xml:space="preserve">3028</t>
  </si>
  <si>
    <t xml:space="preserve">ZENITRON CORPORATION</t>
  </si>
  <si>
    <t xml:space="preserve">CIBEST</t>
  </si>
  <si>
    <t xml:space="preserve">GRUPO CIBEST SA</t>
  </si>
  <si>
    <t xml:space="preserve">Emerging / COP</t>
  </si>
  <si>
    <t xml:space="preserve">9042</t>
  </si>
  <si>
    <t xml:space="preserve">HANKYU HANSHIN HOLDINGS INC</t>
  </si>
  <si>
    <t xml:space="preserve">2368</t>
  </si>
  <si>
    <t xml:space="preserve">GOLD CIRCUIT ELECTRONICS LTD</t>
  </si>
  <si>
    <t xml:space="preserve">ALD</t>
  </si>
  <si>
    <t xml:space="preserve">AMPOL LTD</t>
  </si>
  <si>
    <t xml:space="preserve">6586</t>
  </si>
  <si>
    <t xml:space="preserve">MAKITA CORP</t>
  </si>
  <si>
    <t xml:space="preserve">OGC</t>
  </si>
  <si>
    <t xml:space="preserve">OCEANAGOLD CORP</t>
  </si>
  <si>
    <t xml:space="preserve">9147</t>
  </si>
  <si>
    <t xml:space="preserve">NIPPON EXPRESS HOLDINGS INC</t>
  </si>
  <si>
    <t xml:space="preserve">CON</t>
  </si>
  <si>
    <t xml:space="preserve">CONTINENTAL AG</t>
  </si>
  <si>
    <t xml:space="preserve">GAP B</t>
  </si>
  <si>
    <t xml:space="preserve">GRUPO AEROPORT DEL PACIFIC B</t>
  </si>
  <si>
    <t xml:space="preserve">SGP</t>
  </si>
  <si>
    <t xml:space="preserve">STOCKLAND</t>
  </si>
  <si>
    <t xml:space="preserve">9901</t>
  </si>
  <si>
    <t xml:space="preserve">NEW ORIENTAL EDUCATION + TEC</t>
  </si>
  <si>
    <t xml:space="preserve">2600</t>
  </si>
  <si>
    <t xml:space="preserve">ALUMINUM CORP OF CHINA LTD H</t>
  </si>
  <si>
    <t xml:space="preserve">6506</t>
  </si>
  <si>
    <t xml:space="preserve">YASKAWA ELECTRIC CORP</t>
  </si>
  <si>
    <t xml:space="preserve">9633</t>
  </si>
  <si>
    <t xml:space="preserve">NONGFU SPRING CO LTD H</t>
  </si>
  <si>
    <t xml:space="preserve">5333</t>
  </si>
  <si>
    <t xml:space="preserve">NGK CORP</t>
  </si>
  <si>
    <t xml:space="preserve">SSW</t>
  </si>
  <si>
    <t xml:space="preserve">SIBANYE STILLWATER LTD</t>
  </si>
  <si>
    <t xml:space="preserve">4958</t>
  </si>
  <si>
    <t xml:space="preserve">ZHEN DING TECHNOLOGY HOLDING</t>
  </si>
  <si>
    <t xml:space="preserve">600900</t>
  </si>
  <si>
    <t xml:space="preserve">CHINA YANGTZE POWER CO LTD A</t>
  </si>
  <si>
    <t xml:space="preserve">NOS</t>
  </si>
  <si>
    <t xml:space="preserve">NOS SGPS</t>
  </si>
  <si>
    <t xml:space="preserve">A005830</t>
  </si>
  <si>
    <t xml:space="preserve">DB INSURANCE CO LTD</t>
  </si>
  <si>
    <t xml:space="preserve">TEMN</t>
  </si>
  <si>
    <t xml:space="preserve">TEMENOS AG   REG</t>
  </si>
  <si>
    <t xml:space="preserve">RDCK</t>
  </si>
  <si>
    <t xml:space="preserve">RADICO KHAITAN LTD</t>
  </si>
  <si>
    <t xml:space="preserve">A051910</t>
  </si>
  <si>
    <t xml:space="preserve">LG CHEM LTD</t>
  </si>
  <si>
    <t xml:space="preserve">A006800</t>
  </si>
  <si>
    <t xml:space="preserve">MIRAE ASSET SECURITIES CO LT</t>
  </si>
  <si>
    <t xml:space="preserve">9962</t>
  </si>
  <si>
    <t xml:space="preserve">MISUMI GROUP INC</t>
  </si>
  <si>
    <t xml:space="preserve">JYSK</t>
  </si>
  <si>
    <t xml:space="preserve">JYSKE BANK REG</t>
  </si>
  <si>
    <t xml:space="preserve">WISE</t>
  </si>
  <si>
    <t xml:space="preserve">WISE GROUP PLC CL A</t>
  </si>
  <si>
    <t xml:space="preserve">ISS</t>
  </si>
  <si>
    <t xml:space="preserve">ISS A/S</t>
  </si>
  <si>
    <t xml:space="preserve">TLKM</t>
  </si>
  <si>
    <t xml:space="preserve">TELKOM INDONESIA PERSERO TBK</t>
  </si>
  <si>
    <t xml:space="preserve">4755</t>
  </si>
  <si>
    <t xml:space="preserve">RAKUTEN GROUP INC</t>
  </si>
  <si>
    <t xml:space="preserve">148</t>
  </si>
  <si>
    <t xml:space="preserve">KINGBOARD HOLDINGS LTD</t>
  </si>
  <si>
    <t xml:space="preserve">IP</t>
  </si>
  <si>
    <t xml:space="preserve">INTERPUMP GROUP SPA</t>
  </si>
  <si>
    <t xml:space="preserve">300604</t>
  </si>
  <si>
    <t xml:space="preserve">HANGZHOU CHANG CHUAN TECHN A</t>
  </si>
  <si>
    <t xml:space="preserve">GBF</t>
  </si>
  <si>
    <t xml:space="preserve">BILFINGER SE</t>
  </si>
  <si>
    <t xml:space="preserve">KEP</t>
  </si>
  <si>
    <t xml:space="preserve">KOREA ELEC POWER CORP SP ADR</t>
  </si>
  <si>
    <t xml:space="preserve">1878</t>
  </si>
  <si>
    <t xml:space="preserve">DAITO TRUST CONSTRUCT CO LTD</t>
  </si>
  <si>
    <t xml:space="preserve">3563</t>
  </si>
  <si>
    <t xml:space="preserve">FOOD + LIFE COMPANIES LTD</t>
  </si>
  <si>
    <t xml:space="preserve">SASOL LTD</t>
  </si>
  <si>
    <t xml:space="preserve">BNTX</t>
  </si>
  <si>
    <t xml:space="preserve">BIONTECH SE ADR</t>
  </si>
  <si>
    <t xml:space="preserve">A098460</t>
  </si>
  <si>
    <t xml:space="preserve">KOH YOUNG TECHNOLOGY INC</t>
  </si>
  <si>
    <t xml:space="preserve">WTB</t>
  </si>
  <si>
    <t xml:space="preserve">WHITBREAD PLC</t>
  </si>
  <si>
    <t xml:space="preserve">LI</t>
  </si>
  <si>
    <t xml:space="preserve">KLEPIERRE</t>
  </si>
  <si>
    <t xml:space="preserve">FRES</t>
  </si>
  <si>
    <t xml:space="preserve">FRESNILLO PLC</t>
  </si>
  <si>
    <t xml:space="preserve">5871</t>
  </si>
  <si>
    <t xml:space="preserve">CHAILEASE HOLDING CO LTD</t>
  </si>
  <si>
    <t xml:space="preserve">688256</t>
  </si>
  <si>
    <t xml:space="preserve">CAMBRICON TECHNOLOGIES A</t>
  </si>
  <si>
    <t xml:space="preserve">KBX</t>
  </si>
  <si>
    <t xml:space="preserve">KNORR BREMSE AG</t>
  </si>
  <si>
    <t xml:space="preserve">A272210</t>
  </si>
  <si>
    <t xml:space="preserve">HANWHA SYSTEMS CO LTD</t>
  </si>
  <si>
    <t xml:space="preserve">OPL</t>
  </si>
  <si>
    <t xml:space="preserve">ORANGE POLSKA SA</t>
  </si>
  <si>
    <t xml:space="preserve">ATM</t>
  </si>
  <si>
    <t xml:space="preserve">A2 MILK CO LTD</t>
  </si>
  <si>
    <t xml:space="preserve">5411</t>
  </si>
  <si>
    <t xml:space="preserve">JFE HOLDINGS INC</t>
  </si>
  <si>
    <t xml:space="preserve">HEN</t>
  </si>
  <si>
    <t xml:space="preserve">HENKEL AG + CO KGAA</t>
  </si>
  <si>
    <t xml:space="preserve">KRE</t>
  </si>
  <si>
    <t xml:space="preserve">KUWAIT REAL ESTATE CO KSC</t>
  </si>
  <si>
    <t xml:space="preserve">836</t>
  </si>
  <si>
    <t xml:space="preserve">CHINA RESOURCES POWER HOLDIN</t>
  </si>
  <si>
    <t xml:space="preserve">STJ</t>
  </si>
  <si>
    <t xml:space="preserve">ST JAMES S PLACE PLC</t>
  </si>
  <si>
    <t xml:space="preserve">A196170</t>
  </si>
  <si>
    <t xml:space="preserve">ALTEOGEN INC</t>
  </si>
  <si>
    <t xml:space="preserve">8113</t>
  </si>
  <si>
    <t xml:space="preserve">UNICHARM CORP</t>
  </si>
  <si>
    <t xml:space="preserve">6976</t>
  </si>
  <si>
    <t xml:space="preserve">TAIYO YUDEN CO LTD</t>
  </si>
  <si>
    <t xml:space="preserve">CPALL-F</t>
  </si>
  <si>
    <t xml:space="preserve">CP ALL PCL FOREIGN</t>
  </si>
  <si>
    <t xml:space="preserve">GAW</t>
  </si>
  <si>
    <t xml:space="preserve">GAMES WORKSHOP GROUP PLC</t>
  </si>
  <si>
    <t xml:space="preserve">BTRW</t>
  </si>
  <si>
    <t xml:space="preserve">BARRATT REDROW PLC</t>
  </si>
  <si>
    <t xml:space="preserve">2060</t>
  </si>
  <si>
    <t xml:space="preserve">FEED ONE CO LTD</t>
  </si>
  <si>
    <t xml:space="preserve">6823</t>
  </si>
  <si>
    <t xml:space="preserve">HKT TRUST AND HKT LTD SS</t>
  </si>
  <si>
    <t xml:space="preserve">1138</t>
  </si>
  <si>
    <t xml:space="preserve">COSCO SHIPPING ENERGY TRAN H</t>
  </si>
  <si>
    <t xml:space="preserve">KEII</t>
  </si>
  <si>
    <t xml:space="preserve">KEI INDUSTRIES LTD</t>
  </si>
  <si>
    <t xml:space="preserve">KESKOB</t>
  </si>
  <si>
    <t xml:space="preserve">KESKO OYJ B SHS</t>
  </si>
  <si>
    <t xml:space="preserve">8975</t>
  </si>
  <si>
    <t xml:space="preserve">ICHIGO OFFICE REIT INVESTMEN</t>
  </si>
  <si>
    <t xml:space="preserve">SECU B_SEK</t>
  </si>
  <si>
    <t xml:space="preserve">SECURITAS AB B SHS</t>
  </si>
  <si>
    <t xml:space="preserve">BBY</t>
  </si>
  <si>
    <t xml:space="preserve">BALFOUR BEATTY PLC</t>
  </si>
  <si>
    <t xml:space="preserve">GULF/F</t>
  </si>
  <si>
    <t xml:space="preserve">GULF DEVELOPMENT PCL FOREIGN</t>
  </si>
  <si>
    <t xml:space="preserve">FUTU</t>
  </si>
  <si>
    <t xml:space="preserve">FUTU HOLDINGS LTD ADR</t>
  </si>
  <si>
    <t xml:space="preserve">4204</t>
  </si>
  <si>
    <t xml:space="preserve">SEKISUI CHEMICAL CO LTD</t>
  </si>
  <si>
    <t xml:space="preserve">1402</t>
  </si>
  <si>
    <t xml:space="preserve">FAR EASTERN NEW CENTURY CORP</t>
  </si>
  <si>
    <t xml:space="preserve">A17U</t>
  </si>
  <si>
    <t xml:space="preserve">CAPITALAND ASCENDAS REIT</t>
  </si>
  <si>
    <t xml:space="preserve">HSX</t>
  </si>
  <si>
    <t xml:space="preserve">HISCOX LTD</t>
  </si>
  <si>
    <t xml:space="preserve">STN</t>
  </si>
  <si>
    <t xml:space="preserve">STANTEC INC</t>
  </si>
  <si>
    <t xml:space="preserve">3088</t>
  </si>
  <si>
    <t xml:space="preserve">MATSUKIYOCOCOKARA + CO</t>
  </si>
  <si>
    <t xml:space="preserve">MYCR</t>
  </si>
  <si>
    <t xml:space="preserve">MYCRONIC AB</t>
  </si>
  <si>
    <t xml:space="preserve">RED</t>
  </si>
  <si>
    <t xml:space="preserve">REDEIA CORP SA</t>
  </si>
  <si>
    <t xml:space="preserve">2449</t>
  </si>
  <si>
    <t xml:space="preserve">KING YUAN ELECTRONICS CO LTD</t>
  </si>
  <si>
    <t xml:space="preserve">601288</t>
  </si>
  <si>
    <t xml:space="preserve">AGRICULTURAL BANK OF CHINA A</t>
  </si>
  <si>
    <t xml:space="preserve">RILBA</t>
  </si>
  <si>
    <t xml:space="preserve">RINGKJOEBING LANDBOBANK A/S</t>
  </si>
  <si>
    <t xml:space="preserve">QIBK</t>
  </si>
  <si>
    <t xml:space="preserve">QATAR ISLAMIC BANK</t>
  </si>
  <si>
    <t xml:space="preserve">BRBY</t>
  </si>
  <si>
    <t xml:space="preserve">BURBERRY GROUP PLC</t>
  </si>
  <si>
    <t xml:space="preserve">1133</t>
  </si>
  <si>
    <t xml:space="preserve">HARBIN ELECTRIC CO LTD H</t>
  </si>
  <si>
    <t xml:space="preserve">2768</t>
  </si>
  <si>
    <t xml:space="preserve">SOJITZ CORP</t>
  </si>
  <si>
    <t xml:space="preserve">CIFC</t>
  </si>
  <si>
    <t xml:space="preserve">CHOLAMANDALAM INVESTMENT AND</t>
  </si>
  <si>
    <t xml:space="preserve">ICG</t>
  </si>
  <si>
    <t xml:space="preserve">ICG PLC</t>
  </si>
  <si>
    <t xml:space="preserve">ORI</t>
  </si>
  <si>
    <t xml:space="preserve">ORICA LTD</t>
  </si>
  <si>
    <t xml:space="preserve">TRENT</t>
  </si>
  <si>
    <t xml:space="preserve">TRENT LTD FOREIGN</t>
  </si>
  <si>
    <t xml:space="preserve">DISCOVERY LTD</t>
  </si>
  <si>
    <t xml:space="preserve">2338</t>
  </si>
  <si>
    <t xml:space="preserve">WEICHAI POWER CO LTD H</t>
  </si>
  <si>
    <t xml:space="preserve">MRKS</t>
  </si>
  <si>
    <t xml:space="preserve">MARKSANS PHARMA LTD</t>
  </si>
  <si>
    <t xml:space="preserve">QBR.B</t>
  </si>
  <si>
    <t xml:space="preserve">QUEBECOR INC   CL B</t>
  </si>
  <si>
    <t xml:space="preserve">PRIO3</t>
  </si>
  <si>
    <t xml:space="preserve">PRIO SA</t>
  </si>
  <si>
    <t xml:space="preserve">SIMO</t>
  </si>
  <si>
    <t xml:space="preserve">SILICON MOTION TECHNOL ADR</t>
  </si>
  <si>
    <t xml:space="preserve">SAPUTO INC</t>
  </si>
  <si>
    <t xml:space="preserve">RNO</t>
  </si>
  <si>
    <t xml:space="preserve">RENAULT SA</t>
  </si>
  <si>
    <t xml:space="preserve">EXO</t>
  </si>
  <si>
    <t xml:space="preserve">EXOR NV</t>
  </si>
  <si>
    <t xml:space="preserve">FRO</t>
  </si>
  <si>
    <t xml:space="preserve">FRONTLINE PLC</t>
  </si>
  <si>
    <t xml:space="preserve">ARCP</t>
  </si>
  <si>
    <t xml:space="preserve">ANANT RAJ LTD</t>
  </si>
  <si>
    <t xml:space="preserve">BIMAS</t>
  </si>
  <si>
    <t xml:space="preserve">BIM BIRLESIK MAGAZALAR AS</t>
  </si>
  <si>
    <t xml:space="preserve">002594</t>
  </si>
  <si>
    <t xml:space="preserve">BYD CO LTD  A</t>
  </si>
  <si>
    <t xml:space="preserve">IOIPG</t>
  </si>
  <si>
    <t xml:space="preserve">IOI PROPERTIES GROUP BHD</t>
  </si>
  <si>
    <t xml:space="preserve">ALQ</t>
  </si>
  <si>
    <t xml:space="preserve">ALS LTD</t>
  </si>
  <si>
    <t xml:space="preserve">9843</t>
  </si>
  <si>
    <t xml:space="preserve">NITORI HOLDINGS CO LTD</t>
  </si>
  <si>
    <t xml:space="preserve">6965</t>
  </si>
  <si>
    <t xml:space="preserve">HAMAMATSU PHOTONICS KK</t>
  </si>
  <si>
    <t xml:space="preserve">6113</t>
  </si>
  <si>
    <t xml:space="preserve">AMADA CO LTD</t>
  </si>
  <si>
    <t xml:space="preserve">MNDI</t>
  </si>
  <si>
    <t xml:space="preserve">MONDI PLC</t>
  </si>
  <si>
    <t xml:space="preserve">6448</t>
  </si>
  <si>
    <t xml:space="preserve">BROTHER INDUSTRIES LTD</t>
  </si>
  <si>
    <t xml:space="preserve">SOBO</t>
  </si>
  <si>
    <t xml:space="preserve">SOUTH BOW CORP</t>
  </si>
  <si>
    <t xml:space="preserve">HARL</t>
  </si>
  <si>
    <t xml:space="preserve">HAREL INSURANCE INVESTMENTS</t>
  </si>
  <si>
    <t xml:space="preserve">BEM-F</t>
  </si>
  <si>
    <t xml:space="preserve">BANGKOK EXPRESSWAY AND M FOR</t>
  </si>
  <si>
    <t xml:space="preserve">TENAGA</t>
  </si>
  <si>
    <t xml:space="preserve">TENAGA NASIONAL BHD</t>
  </si>
  <si>
    <t xml:space="preserve">SULZER AG REG</t>
  </si>
  <si>
    <t xml:space="preserve">DHER</t>
  </si>
  <si>
    <t xml:space="preserve">DELIVERY HERO SE</t>
  </si>
  <si>
    <t xml:space="preserve">DCC</t>
  </si>
  <si>
    <t xml:space="preserve">DCC ENERGY PLC</t>
  </si>
  <si>
    <t xml:space="preserve">6030</t>
  </si>
  <si>
    <t xml:space="preserve">CITIC SECURITIES CO LTD H</t>
  </si>
  <si>
    <t xml:space="preserve">UNITDSPR</t>
  </si>
  <si>
    <t xml:space="preserve">UNITED SPIRITS LTD</t>
  </si>
  <si>
    <t xml:space="preserve">SSAB B</t>
  </si>
  <si>
    <t xml:space="preserve">SSAB AB   B SHARES</t>
  </si>
  <si>
    <t xml:space="preserve">GRAB</t>
  </si>
  <si>
    <t xml:space="preserve">GRAB HOLDINGS LTD   CL A</t>
  </si>
  <si>
    <t xml:space="preserve">1662</t>
  </si>
  <si>
    <t xml:space="preserve">JAPAN PETROLEUM EXPLORATION</t>
  </si>
  <si>
    <t xml:space="preserve">7731</t>
  </si>
  <si>
    <t xml:space="preserve">NIKON CORP</t>
  </si>
  <si>
    <t xml:space="preserve">NIBE B</t>
  </si>
  <si>
    <t xml:space="preserve">NIBE INDUSTRIER AB B SHS</t>
  </si>
  <si>
    <t xml:space="preserve">8200</t>
  </si>
  <si>
    <t xml:space="preserve">SAUDI RE FOR COOPERATIVE REI</t>
  </si>
  <si>
    <t xml:space="preserve">TMCV</t>
  </si>
  <si>
    <t xml:space="preserve">TATA MOTORS LTD /NEW</t>
  </si>
  <si>
    <t xml:space="preserve">CPX</t>
  </si>
  <si>
    <t xml:space="preserve">CAPITAL POWER CORP</t>
  </si>
  <si>
    <t xml:space="preserve">WIT</t>
  </si>
  <si>
    <t xml:space="preserve">WIPRO LTD ADR</t>
  </si>
  <si>
    <t xml:space="preserve">ASURB</t>
  </si>
  <si>
    <t xml:space="preserve">GRUPO AEROPORT DEL SURESTE B</t>
  </si>
  <si>
    <t xml:space="preserve">7327</t>
  </si>
  <si>
    <t xml:space="preserve">DAISHI HOKUETSU FINANCIAL GR</t>
  </si>
  <si>
    <t xml:space="preserve">2379</t>
  </si>
  <si>
    <t xml:space="preserve">REALTEK SEMICONDUCTOR CORP</t>
  </si>
  <si>
    <t xml:space="preserve">UGPA3</t>
  </si>
  <si>
    <t xml:space="preserve">ULTRAPAR PARTICIPACOES SA</t>
  </si>
  <si>
    <t xml:space="preserve">4021</t>
  </si>
  <si>
    <t xml:space="preserve">NISSAN CHEMICAL CORP</t>
  </si>
  <si>
    <t xml:space="preserve">002371</t>
  </si>
  <si>
    <t xml:space="preserve">NAURA TECHNOLOGY GROUP CO A</t>
  </si>
  <si>
    <t xml:space="preserve">5334</t>
  </si>
  <si>
    <t xml:space="preserve">NITERRA CO LTD</t>
  </si>
  <si>
    <t xml:space="preserve">6841</t>
  </si>
  <si>
    <t xml:space="preserve">YOKOGAWA ELECTRIC CORP</t>
  </si>
  <si>
    <t xml:space="preserve">COH</t>
  </si>
  <si>
    <t xml:space="preserve">COCHLEAR LTD</t>
  </si>
  <si>
    <t xml:space="preserve">SUNNY OPTICAL TECH</t>
  </si>
  <si>
    <t xml:space="preserve">ITC</t>
  </si>
  <si>
    <t xml:space="preserve">ITC LTD</t>
  </si>
  <si>
    <t xml:space="preserve">TIMB</t>
  </si>
  <si>
    <t xml:space="preserve">TIM SA ADR</t>
  </si>
  <si>
    <t xml:space="preserve">002475</t>
  </si>
  <si>
    <t xml:space="preserve">LUXSHARE PRECISION INDUSTR A</t>
  </si>
  <si>
    <t xml:space="preserve">HEIO</t>
  </si>
  <si>
    <t xml:space="preserve">HEINEKEN HOLDING NV</t>
  </si>
  <si>
    <t xml:space="preserve">CAE</t>
  </si>
  <si>
    <t xml:space="preserve">CAE INC</t>
  </si>
  <si>
    <t xml:space="preserve">MOWI</t>
  </si>
  <si>
    <t xml:space="preserve">MOWI ASA</t>
  </si>
  <si>
    <t xml:space="preserve">9005</t>
  </si>
  <si>
    <t xml:space="preserve">TOKYU CORP</t>
  </si>
  <si>
    <t xml:space="preserve">ROR</t>
  </si>
  <si>
    <t xml:space="preserve">ROTORK PLC</t>
  </si>
  <si>
    <t xml:space="preserve">A138040</t>
  </si>
  <si>
    <t xml:space="preserve">MERITZ FINANCIAL GROUP INC</t>
  </si>
  <si>
    <t xml:space="preserve">PSPN</t>
  </si>
  <si>
    <t xml:space="preserve">PSP SWISS PROPERTY AG REG</t>
  </si>
  <si>
    <t xml:space="preserve">3401</t>
  </si>
  <si>
    <t xml:space="preserve">TEIJIN LTD</t>
  </si>
  <si>
    <t xml:space="preserve">5101</t>
  </si>
  <si>
    <t xml:space="preserve">YOKOHAMA RUBBER CO LTD</t>
  </si>
  <si>
    <t xml:space="preserve">MEIJI HOLDINGS CO LTD</t>
  </si>
  <si>
    <t xml:space="preserve">ASELS</t>
  </si>
  <si>
    <t xml:space="preserve">ASELSAN ELEKTRONIK SANAYI</t>
  </si>
  <si>
    <t xml:space="preserve">BEZQ</t>
  </si>
  <si>
    <t xml:space="preserve">BEZEQ THE ISRAELI TELECOM CO</t>
  </si>
  <si>
    <t xml:space="preserve">PXT</t>
  </si>
  <si>
    <t xml:space="preserve">PAREX RESOURCES INC</t>
  </si>
  <si>
    <t xml:space="preserve">BID</t>
  </si>
  <si>
    <t xml:space="preserve">BID CORP LTD</t>
  </si>
  <si>
    <t xml:space="preserve">COALINDIA</t>
  </si>
  <si>
    <t xml:space="preserve">COAL INDIA LTD</t>
  </si>
  <si>
    <t xml:space="preserve">SFR</t>
  </si>
  <si>
    <t xml:space="preserve">SANDFIRE RESOURCES LTD</t>
  </si>
  <si>
    <t xml:space="preserve">KCHOL</t>
  </si>
  <si>
    <t xml:space="preserve">KOC HOLDING AS</t>
  </si>
  <si>
    <t xml:space="preserve">2082</t>
  </si>
  <si>
    <t xml:space="preserve">ACWA POWER CO</t>
  </si>
  <si>
    <t xml:space="preserve">ELI</t>
  </si>
  <si>
    <t xml:space="preserve">ELIA GROUP SA/NV</t>
  </si>
  <si>
    <t xml:space="preserve">KOMB</t>
  </si>
  <si>
    <t xml:space="preserve">KOMERCNI BANKA AS</t>
  </si>
  <si>
    <t xml:space="preserve">6370</t>
  </si>
  <si>
    <t xml:space="preserve">KURITA WATER INDUSTRIES LTD</t>
  </si>
  <si>
    <t xml:space="preserve">ONON</t>
  </si>
  <si>
    <t xml:space="preserve">ON HOLDING AG CLASS A</t>
  </si>
  <si>
    <t xml:space="preserve">BEZ</t>
  </si>
  <si>
    <t xml:space="preserve">BEAZLEY PLC</t>
  </si>
  <si>
    <t xml:space="preserve">CGPOWER</t>
  </si>
  <si>
    <t xml:space="preserve">CG POWER AND INDUSTRIAL SOLU</t>
  </si>
  <si>
    <t xml:space="preserve">ENIC</t>
  </si>
  <si>
    <t xml:space="preserve">ENEL CHILE SA ADR</t>
  </si>
  <si>
    <t xml:space="preserve">NICE</t>
  </si>
  <si>
    <t xml:space="preserve">NICE LTD</t>
  </si>
  <si>
    <t xml:space="preserve">VBBR3</t>
  </si>
  <si>
    <t xml:space="preserve">VIBRA ENERGIA SA</t>
  </si>
  <si>
    <t xml:space="preserve">FORH</t>
  </si>
  <si>
    <t xml:space="preserve">FORTIS HEALTHCARE LTD</t>
  </si>
  <si>
    <t xml:space="preserve">VOLV A</t>
  </si>
  <si>
    <t xml:space="preserve">VOLVO AB A SHS</t>
  </si>
  <si>
    <t xml:space="preserve">SABIC AGRI NUTRIENTS CO</t>
  </si>
  <si>
    <t xml:space="preserve">BAB</t>
  </si>
  <si>
    <t xml:space="preserve">BABCOCK INTL GROUP PLC</t>
  </si>
  <si>
    <t xml:space="preserve">SPX</t>
  </si>
  <si>
    <t xml:space="preserve">SPIRAX GROUP PLC</t>
  </si>
  <si>
    <t xml:space="preserve">HAG</t>
  </si>
  <si>
    <t xml:space="preserve">HENSOLDT AG</t>
  </si>
  <si>
    <t xml:space="preserve">SCB-F</t>
  </si>
  <si>
    <t xml:space="preserve">SCB X PCL FOREIGN</t>
  </si>
  <si>
    <t xml:space="preserve">288</t>
  </si>
  <si>
    <t xml:space="preserve">WH GROUP LTD</t>
  </si>
  <si>
    <t xml:space="preserve">GETI B</t>
  </si>
  <si>
    <t xml:space="preserve">GETINGE AB B SHS</t>
  </si>
  <si>
    <t xml:space="preserve">SLMj</t>
  </si>
  <si>
    <t xml:space="preserve">SANLAM LTD</t>
  </si>
  <si>
    <t xml:space="preserve">7752</t>
  </si>
  <si>
    <t xml:space="preserve">RICOH CO LTD</t>
  </si>
  <si>
    <t xml:space="preserve">SCR</t>
  </si>
  <si>
    <t xml:space="preserve">SCOR SE</t>
  </si>
  <si>
    <t xml:space="preserve">AM</t>
  </si>
  <si>
    <t xml:space="preserve">DASSAULT AVIATION SA</t>
  </si>
  <si>
    <t xml:space="preserve">EFN</t>
  </si>
  <si>
    <t xml:space="preserve">ELEMENT FLEET MANAGEMENT COR</t>
  </si>
  <si>
    <t xml:space="preserve">1101</t>
  </si>
  <si>
    <t xml:space="preserve">TCC GROUP HOLDINGS CO LTD</t>
  </si>
  <si>
    <t xml:space="preserve">SIEM</t>
  </si>
  <si>
    <t xml:space="preserve">SIEMENS LTD</t>
  </si>
  <si>
    <t xml:space="preserve">RMV</t>
  </si>
  <si>
    <t xml:space="preserve">RIGHTMOVE PLC</t>
  </si>
  <si>
    <t xml:space="preserve">A071050</t>
  </si>
  <si>
    <t xml:space="preserve">KOREA INVESTMENT HOLDINGS CO</t>
  </si>
  <si>
    <t xml:space="preserve">A035720</t>
  </si>
  <si>
    <t xml:space="preserve">KAKAO CORP</t>
  </si>
  <si>
    <t xml:space="preserve">WPP</t>
  </si>
  <si>
    <t xml:space="preserve">WPP PLC</t>
  </si>
  <si>
    <t xml:space="preserve">STERV</t>
  </si>
  <si>
    <t xml:space="preserve">STORA ENSO OYJ R SHS</t>
  </si>
  <si>
    <t xml:space="preserve">3661</t>
  </si>
  <si>
    <t xml:space="preserve">ALCHIP TECHNOLOGIES LTD</t>
  </si>
  <si>
    <t xml:space="preserve">AMP</t>
  </si>
  <si>
    <t xml:space="preserve">AMP LTD</t>
  </si>
  <si>
    <t xml:space="preserve">YZJSGD</t>
  </si>
  <si>
    <t xml:space="preserve">YANGZIJIANG SHIPBUILDING</t>
  </si>
  <si>
    <t xml:space="preserve">Emerging / SGD</t>
  </si>
  <si>
    <t xml:space="preserve">HOT</t>
  </si>
  <si>
    <t xml:space="preserve">HOCHTIEF AG</t>
  </si>
  <si>
    <t xml:space="preserve">5830</t>
  </si>
  <si>
    <t xml:space="preserve">IYOGIN HOLDINGS INC</t>
  </si>
  <si>
    <t xml:space="preserve">SCC-F</t>
  </si>
  <si>
    <t xml:space="preserve">SIAM CEMENT PUB CO FOR REG</t>
  </si>
  <si>
    <t xml:space="preserve">SPIE</t>
  </si>
  <si>
    <t xml:space="preserve">SPIE SA</t>
  </si>
  <si>
    <t xml:space="preserve">KCR</t>
  </si>
  <si>
    <t xml:space="preserve">KONECRANES OYJ</t>
  </si>
  <si>
    <t xml:space="preserve">2413</t>
  </si>
  <si>
    <t xml:space="preserve">M3 INC</t>
  </si>
  <si>
    <t xml:space="preserve">9831</t>
  </si>
  <si>
    <t xml:space="preserve">YAMADA HOLDINGS CO LTD</t>
  </si>
  <si>
    <t xml:space="preserve">A096770</t>
  </si>
  <si>
    <t xml:space="preserve">SK INNOVATION CO LTD</t>
  </si>
  <si>
    <t xml:space="preserve">UHR</t>
  </si>
  <si>
    <t xml:space="preserve">SWATCH GROUP AG/THE BR</t>
  </si>
  <si>
    <t xml:space="preserve">JIOFIN</t>
  </si>
  <si>
    <t xml:space="preserve">JIO FINANCIAL SERVICES LTD</t>
  </si>
  <si>
    <t xml:space="preserve">RHC</t>
  </si>
  <si>
    <t xml:space="preserve">RAMSAY HEALTH CARE LTD</t>
  </si>
  <si>
    <t xml:space="preserve">ACKB</t>
  </si>
  <si>
    <t xml:space="preserve">ACKERMANS + VAN HAAREN</t>
  </si>
  <si>
    <t xml:space="preserve">3003</t>
  </si>
  <si>
    <t xml:space="preserve">HULIC CO LTD</t>
  </si>
  <si>
    <t xml:space="preserve">URGN</t>
  </si>
  <si>
    <t xml:space="preserve">UROGEN PHARMA LTD</t>
  </si>
  <si>
    <t xml:space="preserve">TVSL</t>
  </si>
  <si>
    <t xml:space="preserve">TVS MOTOR CO LTD</t>
  </si>
  <si>
    <t xml:space="preserve">JAPANESE YEN</t>
  </si>
  <si>
    <t xml:space="preserve">VCX</t>
  </si>
  <si>
    <t xml:space="preserve">VICINITY CENTRES</t>
  </si>
  <si>
    <t xml:space="preserve">ACP</t>
  </si>
  <si>
    <t xml:space="preserve">ASSECO POLAND SA</t>
  </si>
  <si>
    <t xml:space="preserve">IGG</t>
  </si>
  <si>
    <t xml:space="preserve">IG GROUP HOLDINGS PLC</t>
  </si>
  <si>
    <t xml:space="preserve">C6L</t>
  </si>
  <si>
    <t xml:space="preserve">SINGAPORE AIRLINES LTD</t>
  </si>
  <si>
    <t xml:space="preserve">INDT</t>
  </si>
  <si>
    <t xml:space="preserve">INDUTRADE AB</t>
  </si>
  <si>
    <t xml:space="preserve">688</t>
  </si>
  <si>
    <t xml:space="preserve">CHINA OVERSEAS LAND + INVEST</t>
  </si>
  <si>
    <t xml:space="preserve">2359</t>
  </si>
  <si>
    <t xml:space="preserve">WUXI APPTEC CO LTD H</t>
  </si>
  <si>
    <t xml:space="preserve">A042660</t>
  </si>
  <si>
    <t xml:space="preserve">HANWHA OCEAN CO LTD</t>
  </si>
  <si>
    <t xml:space="preserve">8729</t>
  </si>
  <si>
    <t xml:space="preserve">SONY FINANCIAL GROUP INC</t>
  </si>
  <si>
    <t xml:space="preserve">BMED</t>
  </si>
  <si>
    <t xml:space="preserve">BANCA MEDIOLANUM SPA</t>
  </si>
  <si>
    <t xml:space="preserve">3081</t>
  </si>
  <si>
    <t xml:space="preserve">LAND MARK OPTOELECTRONICS</t>
  </si>
  <si>
    <t xml:space="preserve">6645</t>
  </si>
  <si>
    <t xml:space="preserve">OMRON CORP</t>
  </si>
  <si>
    <t xml:space="preserve">1215</t>
  </si>
  <si>
    <t xml:space="preserve">CHAROEN POKPHAND ENTERPRISE</t>
  </si>
  <si>
    <t xml:space="preserve">2395</t>
  </si>
  <si>
    <t xml:space="preserve">ADVANTECH CO LTD</t>
  </si>
  <si>
    <t xml:space="preserve">SCHN</t>
  </si>
  <si>
    <t xml:space="preserve">SCHINDLER HOLDING AG REG</t>
  </si>
  <si>
    <t xml:space="preserve">7701</t>
  </si>
  <si>
    <t xml:space="preserve">SHIMADZU CORP</t>
  </si>
  <si>
    <t xml:space="preserve">SYENS</t>
  </si>
  <si>
    <t xml:space="preserve">SYENSQO SA</t>
  </si>
  <si>
    <t xml:space="preserve">1785</t>
  </si>
  <si>
    <t xml:space="preserve">SOLAR APPLIED MATERIALS TECH</t>
  </si>
  <si>
    <t xml:space="preserve">GFINBUR O</t>
  </si>
  <si>
    <t xml:space="preserve">GRUPO FINANCIERO INBURSA O</t>
  </si>
  <si>
    <t xml:space="preserve">9508</t>
  </si>
  <si>
    <t xml:space="preserve">KYUSHU ELECTRIC POWER CO INC</t>
  </si>
  <si>
    <t xml:space="preserve">BTO</t>
  </si>
  <si>
    <t xml:space="preserve">B2GOLD CORP</t>
  </si>
  <si>
    <t xml:space="preserve">ASII</t>
  </si>
  <si>
    <t xml:space="preserve">ASTRA INTERNATIONAL TBK PT</t>
  </si>
  <si>
    <t xml:space="preserve">6869</t>
  </si>
  <si>
    <t xml:space="preserve">SYSMEX CORP</t>
  </si>
  <si>
    <t xml:space="preserve">ELISA</t>
  </si>
  <si>
    <t xml:space="preserve">ELISA OYJ</t>
  </si>
  <si>
    <t xml:space="preserve">SW</t>
  </si>
  <si>
    <t xml:space="preserve">SODEXO SA</t>
  </si>
  <si>
    <t xml:space="preserve">1179</t>
  </si>
  <si>
    <t xml:space="preserve">H WORLD GROUP LTD</t>
  </si>
  <si>
    <t xml:space="preserve">4732</t>
  </si>
  <si>
    <t xml:space="preserve">USS CO LTD</t>
  </si>
  <si>
    <t xml:space="preserve">TPRO</t>
  </si>
  <si>
    <t xml:space="preserve">TECHNOPROBE SPA</t>
  </si>
  <si>
    <t xml:space="preserve">002384</t>
  </si>
  <si>
    <t xml:space="preserve">SUZHOU DONGSHAN PRECISION A</t>
  </si>
  <si>
    <t xml:space="preserve">A278470</t>
  </si>
  <si>
    <t xml:space="preserve">APR CORP/KOREA</t>
  </si>
  <si>
    <t xml:space="preserve">144</t>
  </si>
  <si>
    <t xml:space="preserve">CHINA MERCHANTS PORT HOLDING</t>
  </si>
  <si>
    <t xml:space="preserve">1888</t>
  </si>
  <si>
    <t xml:space="preserve">KINGBOARD LAMINATES HLDG LTD</t>
  </si>
  <si>
    <t xml:space="preserve">RICHT</t>
  </si>
  <si>
    <t xml:space="preserve">RICHTER GEDEON NYRT</t>
  </si>
  <si>
    <t xml:space="preserve">EMSN</t>
  </si>
  <si>
    <t xml:space="preserve">EMS CHEMIE HOLDING AG REG</t>
  </si>
  <si>
    <t xml:space="preserve">TELIX PHARMACEUTICALS LTD</t>
  </si>
  <si>
    <t xml:space="preserve">COMI</t>
  </si>
  <si>
    <t xml:space="preserve">COMMERCIAL INTERNATIONAL BAN</t>
  </si>
  <si>
    <t xml:space="preserve">Emerging / EGP</t>
  </si>
  <si>
    <t xml:space="preserve">DNORD</t>
  </si>
  <si>
    <t xml:space="preserve">D/S NORDEN</t>
  </si>
  <si>
    <t xml:space="preserve">9904</t>
  </si>
  <si>
    <t xml:space="preserve">POU CHEN</t>
  </si>
  <si>
    <t xml:space="preserve">ALE</t>
  </si>
  <si>
    <t xml:space="preserve">ALLEGRO.EU SA</t>
  </si>
  <si>
    <t xml:space="preserve">ANA</t>
  </si>
  <si>
    <t xml:space="preserve">ACCIONA SA</t>
  </si>
  <si>
    <t xml:space="preserve">DMART</t>
  </si>
  <si>
    <t xml:space="preserve">AVENUE SUPERMARTS LTD</t>
  </si>
  <si>
    <t xml:space="preserve">LIFCO B</t>
  </si>
  <si>
    <t xml:space="preserve">LIFCO AB B SHS</t>
  </si>
  <si>
    <t xml:space="preserve">FR</t>
  </si>
  <si>
    <t xml:space="preserve">VALEO</t>
  </si>
  <si>
    <t xml:space="preserve">CANADIAN DOLLAR</t>
  </si>
  <si>
    <t xml:space="preserve">2513</t>
  </si>
  <si>
    <t xml:space="preserve">Z AI CO LTD</t>
  </si>
  <si>
    <t xml:space="preserve">2871</t>
  </si>
  <si>
    <t xml:space="preserve">NICHIREI CORP</t>
  </si>
  <si>
    <t xml:space="preserve">BDO</t>
  </si>
  <si>
    <t xml:space="preserve">BDO UNIBANK INC</t>
  </si>
  <si>
    <t xml:space="preserve">Emerging / PHP</t>
  </si>
  <si>
    <t xml:space="preserve">RDOR3</t>
  </si>
  <si>
    <t xml:space="preserve">REDE D OR SAO LUIZ SA</t>
  </si>
  <si>
    <t xml:space="preserve">CAST</t>
  </si>
  <si>
    <t xml:space="preserve">CASTELLUM AB</t>
  </si>
  <si>
    <t xml:space="preserve">A267250</t>
  </si>
  <si>
    <t xml:space="preserve">HD HYUNDAI</t>
  </si>
  <si>
    <t xml:space="preserve">2892</t>
  </si>
  <si>
    <t xml:space="preserve">FIRST FINANCIAL HOLDING CO</t>
  </si>
  <si>
    <t xml:space="preserve">CKN</t>
  </si>
  <si>
    <t xml:space="preserve">CLARKSON PLC</t>
  </si>
  <si>
    <t xml:space="preserve">QAN</t>
  </si>
  <si>
    <t xml:space="preserve">QANTAS AIRWAYS LTD</t>
  </si>
  <si>
    <t xml:space="preserve">G13</t>
  </si>
  <si>
    <t xml:space="preserve">GENTING SINGAPORE LTD</t>
  </si>
  <si>
    <t xml:space="preserve">DSG</t>
  </si>
  <si>
    <t xml:space="preserve">DESCARTES SYSTEMS GRP/THE</t>
  </si>
  <si>
    <t xml:space="preserve">AVON</t>
  </si>
  <si>
    <t xml:space="preserve">AVON TECHNOLOGIES PLC</t>
  </si>
  <si>
    <t xml:space="preserve">5406</t>
  </si>
  <si>
    <t xml:space="preserve">KOBE STEEL LTD</t>
  </si>
  <si>
    <t xml:space="preserve">1336</t>
  </si>
  <si>
    <t xml:space="preserve">NEW CHINA LIFE INSURANCE C H</t>
  </si>
  <si>
    <t xml:space="preserve">PERSEUS MINING LTD</t>
  </si>
  <si>
    <t xml:space="preserve">8951</t>
  </si>
  <si>
    <t xml:space="preserve">NIPPON BUILDING FUND INC</t>
  </si>
  <si>
    <t xml:space="preserve">603993</t>
  </si>
  <si>
    <t xml:space="preserve">CMOC GROUP LTD A</t>
  </si>
  <si>
    <t xml:space="preserve">5076</t>
  </si>
  <si>
    <t xml:space="preserve">INFRONEER HOLDINGS INC</t>
  </si>
  <si>
    <t xml:space="preserve">REA</t>
  </si>
  <si>
    <t xml:space="preserve">REA GROUP LTD</t>
  </si>
  <si>
    <t xml:space="preserve">AZA</t>
  </si>
  <si>
    <t xml:space="preserve">AVANZA BANK HOLDING AB</t>
  </si>
  <si>
    <t xml:space="preserve">1339</t>
  </si>
  <si>
    <t xml:space="preserve">PEOPLE S INSURANCE CO GROU H</t>
  </si>
  <si>
    <t xml:space="preserve">PME</t>
  </si>
  <si>
    <t xml:space="preserve">PRO MEDICUS LTD</t>
  </si>
  <si>
    <t xml:space="preserve">GOAU4</t>
  </si>
  <si>
    <t xml:space="preserve">METALURGICA GERDAU SA PREF</t>
  </si>
  <si>
    <t xml:space="preserve">VIST</t>
  </si>
  <si>
    <t xml:space="preserve">VISTA ENERGY SAB DE CV</t>
  </si>
  <si>
    <t xml:space="preserve">BPI</t>
  </si>
  <si>
    <t xml:space="preserve">BANK OF THE PHILIPPINE ISLAN</t>
  </si>
  <si>
    <t xml:space="preserve">ONEX</t>
  </si>
  <si>
    <t xml:space="preserve">ONEX CORPORATION</t>
  </si>
  <si>
    <t xml:space="preserve">SIGN</t>
  </si>
  <si>
    <t xml:space="preserve">SIG GROUP AG</t>
  </si>
  <si>
    <t xml:space="preserve">MAXHEALT</t>
  </si>
  <si>
    <t xml:space="preserve">MAX HEALTHCARE INSTITUTE LTD</t>
  </si>
  <si>
    <t xml:space="preserve">SBILIFE</t>
  </si>
  <si>
    <t xml:space="preserve">SBI LIFE INSURANCE CO LTD</t>
  </si>
  <si>
    <t xml:space="preserve">A047810</t>
  </si>
  <si>
    <t xml:space="preserve">KOREA AEROSPACE INDUSTRIES</t>
  </si>
  <si>
    <t xml:space="preserve">DFY</t>
  </si>
  <si>
    <t xml:space="preserve">DEFINITY FINANCIAL CORP</t>
  </si>
  <si>
    <t xml:space="preserve">CLIS</t>
  </si>
  <si>
    <t xml:space="preserve">CLAL INSURANCE ENTERPR HLDGS</t>
  </si>
  <si>
    <t xml:space="preserve">MIN</t>
  </si>
  <si>
    <t xml:space="preserve">MINERAL RESOURCES LTD</t>
  </si>
  <si>
    <t xml:space="preserve">DEWA</t>
  </si>
  <si>
    <t xml:space="preserve">DUBAI ELECTRICITY + WATER AU</t>
  </si>
  <si>
    <t xml:space="preserve">1150</t>
  </si>
  <si>
    <t xml:space="preserve">ALINMA BANK</t>
  </si>
  <si>
    <t xml:space="preserve">SSRM</t>
  </si>
  <si>
    <t xml:space="preserve">SSR MINING INC</t>
  </si>
  <si>
    <t xml:space="preserve">4938</t>
  </si>
  <si>
    <t xml:space="preserve">PEGATRON CORP</t>
  </si>
  <si>
    <t xml:space="preserve">3034</t>
  </si>
  <si>
    <t xml:space="preserve">NOVATEK MICROELECTRONICS COR</t>
  </si>
  <si>
    <t xml:space="preserve">7181</t>
  </si>
  <si>
    <t xml:space="preserve">JAPAN POST INSURANCE CO LTD</t>
  </si>
  <si>
    <t xml:space="preserve">SRP</t>
  </si>
  <si>
    <t xml:space="preserve">SERCO GROUP PLC</t>
  </si>
  <si>
    <t xml:space="preserve">2875</t>
  </si>
  <si>
    <t xml:space="preserve">TOYO SUISAN KAISHA LTD</t>
  </si>
  <si>
    <t xml:space="preserve">YMM</t>
  </si>
  <si>
    <t xml:space="preserve">FULL TRUCK ALLIANCE  SPN ADR</t>
  </si>
  <si>
    <t xml:space="preserve">SCA B</t>
  </si>
  <si>
    <t xml:space="preserve">SVENSKA CELLULOSA AB SCA B</t>
  </si>
  <si>
    <t xml:space="preserve">3750</t>
  </si>
  <si>
    <t xml:space="preserve">CONTEMPORARY AMPEREX TECHN H</t>
  </si>
  <si>
    <t xml:space="preserve">2015</t>
  </si>
  <si>
    <t xml:space="preserve">LI AUTO INC CLASS A</t>
  </si>
  <si>
    <t xml:space="preserve">688008</t>
  </si>
  <si>
    <t xml:space="preserve">MONTAGE TECHNOLOGY CO LTD A</t>
  </si>
  <si>
    <t xml:space="preserve">002080</t>
  </si>
  <si>
    <t xml:space="preserve">SINOMA SCIENCE+TECHNOLOGY  A</t>
  </si>
  <si>
    <t xml:space="preserve">SIGMAFA</t>
  </si>
  <si>
    <t xml:space="preserve">SIGMA FOODS SAB DE CV</t>
  </si>
  <si>
    <t xml:space="preserve">A259960</t>
  </si>
  <si>
    <t xml:space="preserve">KRAFTON INC</t>
  </si>
  <si>
    <t xml:space="preserve">LPC</t>
  </si>
  <si>
    <t xml:space="preserve">LUPIN LTD</t>
  </si>
  <si>
    <t xml:space="preserve">ORDS</t>
  </si>
  <si>
    <t xml:space="preserve">OOREDOO QPSC</t>
  </si>
  <si>
    <t xml:space="preserve">BIMBOA</t>
  </si>
  <si>
    <t xml:space="preserve">GRUPO BIMBO SAB  SERIES A</t>
  </si>
  <si>
    <t xml:space="preserve">TTB-F</t>
  </si>
  <si>
    <t xml:space="preserve">TMBTHANACHART BANK P FOREIGN</t>
  </si>
  <si>
    <t xml:space="preserve">HWDN</t>
  </si>
  <si>
    <t xml:space="preserve">HOWDEN JOINERY GROUP PLC</t>
  </si>
  <si>
    <t xml:space="preserve">ADIB</t>
  </si>
  <si>
    <t xml:space="preserve">ABU DHABI ISLAMIC BANK</t>
  </si>
  <si>
    <t xml:space="preserve">ABCL</t>
  </si>
  <si>
    <t xml:space="preserve">ABCELLERA BIOLOGICS INC</t>
  </si>
  <si>
    <t xml:space="preserve">GMD</t>
  </si>
  <si>
    <t xml:space="preserve">GENESIS MINERALS LTD</t>
  </si>
  <si>
    <t xml:space="preserve">2353</t>
  </si>
  <si>
    <t xml:space="preserve">ACER INC</t>
  </si>
  <si>
    <t xml:space="preserve">3189</t>
  </si>
  <si>
    <t xml:space="preserve">KINSUS INTERCONNECT TECH</t>
  </si>
  <si>
    <t xml:space="preserve">300502</t>
  </si>
  <si>
    <t xml:space="preserve">EOPTOLINK TECHNOLOGY INC L A</t>
  </si>
  <si>
    <t xml:space="preserve">LHA</t>
  </si>
  <si>
    <t xml:space="preserve">DEUTSCHE LUFTHANSA REG</t>
  </si>
  <si>
    <t xml:space="preserve">MAERSK A</t>
  </si>
  <si>
    <t xml:space="preserve">AP MOLLER MAERSK A/S A</t>
  </si>
  <si>
    <t xml:space="preserve">9143</t>
  </si>
  <si>
    <t xml:space="preserve">SG HOLDINGS CO LTD</t>
  </si>
  <si>
    <t xml:space="preserve">WHC</t>
  </si>
  <si>
    <t xml:space="preserve">WHITEHAVEN COAL LTD</t>
  </si>
  <si>
    <t xml:space="preserve">CRDA</t>
  </si>
  <si>
    <t xml:space="preserve">CRODA INTERNATIONAL PLC</t>
  </si>
  <si>
    <t xml:space="preserve">7020</t>
  </si>
  <si>
    <t xml:space="preserve">ETIHAD ETISALAT CO</t>
  </si>
  <si>
    <t xml:space="preserve">WOR</t>
  </si>
  <si>
    <t xml:space="preserve">WORLEY LTD</t>
  </si>
  <si>
    <t xml:space="preserve">TOP-F</t>
  </si>
  <si>
    <t xml:space="preserve">THAI OIL PCL FOREIGN</t>
  </si>
  <si>
    <t xml:space="preserve">2492</t>
  </si>
  <si>
    <t xml:space="preserve">INFOMART CORP</t>
  </si>
  <si>
    <t xml:space="preserve">YANGTZE OPTICAL FIBRE AND H</t>
  </si>
  <si>
    <t xml:space="preserve">KIMBER A</t>
  </si>
  <si>
    <t xml:space="preserve">KIMBERLY CLARK DE MEXICO A</t>
  </si>
  <si>
    <t xml:space="preserve">A006260</t>
  </si>
  <si>
    <t xml:space="preserve">LS CORP</t>
  </si>
  <si>
    <t xml:space="preserve">2910</t>
  </si>
  <si>
    <t xml:space="preserve">ROCK FIELD CO LTD</t>
  </si>
  <si>
    <t xml:space="preserve">MTM</t>
  </si>
  <si>
    <t xml:space="preserve">MOMENTUM GROUP LIMITED</t>
  </si>
  <si>
    <t xml:space="preserve">A086520</t>
  </si>
  <si>
    <t xml:space="preserve">ECOPRO CO LTD</t>
  </si>
  <si>
    <t xml:space="preserve">CDB</t>
  </si>
  <si>
    <t xml:space="preserve">CELCOMDIGI BHD</t>
  </si>
  <si>
    <t xml:space="preserve">8233</t>
  </si>
  <si>
    <t xml:space="preserve">TAKASHIMAYA CO LTD</t>
  </si>
  <si>
    <t xml:space="preserve">1944</t>
  </si>
  <si>
    <t xml:space="preserve">KINDEN CORP</t>
  </si>
  <si>
    <t xml:space="preserve">SQN</t>
  </si>
  <si>
    <t xml:space="preserve">SWISSQUOTE GROUP HOLDING REG</t>
  </si>
  <si>
    <t xml:space="preserve">SECT B</t>
  </si>
  <si>
    <t xml:space="preserve">SECTRA AB B SHS</t>
  </si>
  <si>
    <t xml:space="preserve">IPN</t>
  </si>
  <si>
    <t xml:space="preserve">IPSEN</t>
  </si>
  <si>
    <t xml:space="preserve">8366</t>
  </si>
  <si>
    <t xml:space="preserve">SHIGA BANK LTD/THE</t>
  </si>
  <si>
    <t xml:space="preserve">NAT</t>
  </si>
  <si>
    <t xml:space="preserve">NORDIC AMERICAN TANKERS LTD</t>
  </si>
  <si>
    <t xml:space="preserve">LAGR B</t>
  </si>
  <si>
    <t xml:space="preserve">LAGERCRANTZ GROUP AB B SHS</t>
  </si>
  <si>
    <t xml:space="preserve">GMIN</t>
  </si>
  <si>
    <t xml:space="preserve">G MINING VENTURE CORP</t>
  </si>
  <si>
    <t xml:space="preserve">AZJ</t>
  </si>
  <si>
    <t xml:space="preserve">AURIZON HOLDINGS LTD</t>
  </si>
  <si>
    <t xml:space="preserve">1898</t>
  </si>
  <si>
    <t xml:space="preserve">CHINA COAL ENERGY CO H</t>
  </si>
  <si>
    <t xml:space="preserve">A000720</t>
  </si>
  <si>
    <t xml:space="preserve">HYUNDAI ENGINEERING + CONST</t>
  </si>
  <si>
    <t xml:space="preserve">TATE</t>
  </si>
  <si>
    <t xml:space="preserve">TATE + LYLE PLC</t>
  </si>
  <si>
    <t xml:space="preserve">A028050</t>
  </si>
  <si>
    <t xml:space="preserve">SAMSUNG E+A CO LTD</t>
  </si>
  <si>
    <t xml:space="preserve">JBH</t>
  </si>
  <si>
    <t xml:space="preserve">JB HI FI LTD</t>
  </si>
  <si>
    <t xml:space="preserve">4324</t>
  </si>
  <si>
    <t xml:space="preserve">DENTSU GROUP INC</t>
  </si>
  <si>
    <t xml:space="preserve">SZG</t>
  </si>
  <si>
    <t xml:space="preserve">SALZGITTER AG</t>
  </si>
  <si>
    <t xml:space="preserve">LMP</t>
  </si>
  <si>
    <t xml:space="preserve">LONDONMETRIC PROPERTY PLC</t>
  </si>
  <si>
    <t xml:space="preserve">A079550</t>
  </si>
  <si>
    <t xml:space="preserve">LIG DEFENSE+AEROSPACE CO LTD</t>
  </si>
  <si>
    <t xml:space="preserve">6856</t>
  </si>
  <si>
    <t xml:space="preserve">HORIBA LTD</t>
  </si>
  <si>
    <t xml:space="preserve">A086280</t>
  </si>
  <si>
    <t xml:space="preserve">HYUNDAI GLOVIS CO LTD</t>
  </si>
  <si>
    <t xml:space="preserve">XRO</t>
  </si>
  <si>
    <t xml:space="preserve">XERO LTD</t>
  </si>
  <si>
    <t xml:space="preserve">CHC</t>
  </si>
  <si>
    <t xml:space="preserve">CHARTER HALL GROUP</t>
  </si>
  <si>
    <t xml:space="preserve">DIXON</t>
  </si>
  <si>
    <t xml:space="preserve">DIXON TECHNOLOGIES INDIA LTD</t>
  </si>
  <si>
    <t xml:space="preserve">1378</t>
  </si>
  <si>
    <t xml:space="preserve">CHINA HONGQIAO GROUP LTD</t>
  </si>
  <si>
    <t xml:space="preserve">SOF</t>
  </si>
  <si>
    <t xml:space="preserve">SOFINA</t>
  </si>
  <si>
    <t xml:space="preserve">9506</t>
  </si>
  <si>
    <t xml:space="preserve">TOHOKU ELECTRIC POWER CO INC</t>
  </si>
  <si>
    <t xml:space="preserve">DIM</t>
  </si>
  <si>
    <t xml:space="preserve">SARTORIUS STEDIM BIOTECH</t>
  </si>
  <si>
    <t xml:space="preserve">PAYTM</t>
  </si>
  <si>
    <t xml:space="preserve">ONE 97 COMMUNICATIONS LTD</t>
  </si>
  <si>
    <t xml:space="preserve">1776</t>
  </si>
  <si>
    <t xml:space="preserve">GF SECURITIES CO LTD H</t>
  </si>
  <si>
    <t xml:space="preserve">BTE</t>
  </si>
  <si>
    <t xml:space="preserve">BAYTEX ENERGY CORP</t>
  </si>
  <si>
    <t xml:space="preserve">GPT</t>
  </si>
  <si>
    <t xml:space="preserve">GPT GROUP</t>
  </si>
  <si>
    <t xml:space="preserve">1171</t>
  </si>
  <si>
    <t xml:space="preserve">YANKUANG ENERGY GROUP CO H</t>
  </si>
  <si>
    <t xml:space="preserve">5332</t>
  </si>
  <si>
    <t xml:space="preserve">TOTO LTD</t>
  </si>
  <si>
    <t xml:space="preserve">4326</t>
  </si>
  <si>
    <t xml:space="preserve">INTAGE HOLDINGS INC</t>
  </si>
  <si>
    <t xml:space="preserve">IMCD</t>
  </si>
  <si>
    <t xml:space="preserve">IMCD NV</t>
  </si>
  <si>
    <t xml:space="preserve">TNE</t>
  </si>
  <si>
    <t xml:space="preserve">TECHNOLOGY ONE LTD</t>
  </si>
  <si>
    <t xml:space="preserve">902</t>
  </si>
  <si>
    <t xml:space="preserve">HUANENG POWER INTL INC H</t>
  </si>
  <si>
    <t xml:space="preserve">BCE</t>
  </si>
  <si>
    <t xml:space="preserve">BCE INC</t>
  </si>
  <si>
    <t xml:space="preserve">MRF</t>
  </si>
  <si>
    <t xml:space="preserve">MRF LTD</t>
  </si>
  <si>
    <t xml:space="preserve">CAPSTONE COPPER CORP</t>
  </si>
  <si>
    <t xml:space="preserve">AUSTRALIAN DOLLAR</t>
  </si>
  <si>
    <t xml:space="preserve">ADANIGR</t>
  </si>
  <si>
    <t xml:space="preserve">ADANI GREEN ENERGY LTD</t>
  </si>
  <si>
    <t xml:space="preserve">BEPC</t>
  </si>
  <si>
    <t xml:space="preserve">BROOKFIELD RENEWABLE CORP</t>
  </si>
  <si>
    <t xml:space="preserve">A016360</t>
  </si>
  <si>
    <t xml:space="preserve">SAMSUNG SECURITIES CO LTD</t>
  </si>
  <si>
    <t xml:space="preserve">COLO B</t>
  </si>
  <si>
    <t xml:space="preserve">COLOPLAST B</t>
  </si>
  <si>
    <t xml:space="preserve">4186</t>
  </si>
  <si>
    <t xml:space="preserve">TOKYO OHKA KOGYO CO LTD</t>
  </si>
  <si>
    <t xml:space="preserve">9911</t>
  </si>
  <si>
    <t xml:space="preserve">TAIWAN SAKURA CORP</t>
  </si>
  <si>
    <t xml:space="preserve">VER</t>
  </si>
  <si>
    <t xml:space="preserve">VERBUND AG</t>
  </si>
  <si>
    <t xml:space="preserve">NEXTDC LTD</t>
  </si>
  <si>
    <t xml:space="preserve">3045</t>
  </si>
  <si>
    <t xml:space="preserve">TAIWAN MOBILE CO LTD</t>
  </si>
  <si>
    <t xml:space="preserve">1816</t>
  </si>
  <si>
    <t xml:space="preserve">CGN POWER CO LTD H</t>
  </si>
  <si>
    <t xml:space="preserve">RS1</t>
  </si>
  <si>
    <t xml:space="preserve">RS GROUP PLC</t>
  </si>
  <si>
    <t xml:space="preserve">PIDI</t>
  </si>
  <si>
    <t xml:space="preserve">PIDILITE INDUSTRIES LTD</t>
  </si>
  <si>
    <t xml:space="preserve">INFOE</t>
  </si>
  <si>
    <t xml:space="preserve">INFO EDGE INDIA LTD</t>
  </si>
  <si>
    <t xml:space="preserve">PAH3</t>
  </si>
  <si>
    <t xml:space="preserve">PORSCHE AUTOMOBIL HLDG PRF</t>
  </si>
  <si>
    <t xml:space="preserve">AKBNK</t>
  </si>
  <si>
    <t xml:space="preserve">AKBANK T.A.S.</t>
  </si>
  <si>
    <t xml:space="preserve">9007</t>
  </si>
  <si>
    <t xml:space="preserve">ODAKYU ELECTRIC RAILWAY CO</t>
  </si>
  <si>
    <t xml:space="preserve">VALMT</t>
  </si>
  <si>
    <t xml:space="preserve">VALMET OYJ</t>
  </si>
  <si>
    <t xml:space="preserve">8046</t>
  </si>
  <si>
    <t xml:space="preserve">NAN YA PRINTED CIRCUIT BOARD</t>
  </si>
  <si>
    <t xml:space="preserve">BB</t>
  </si>
  <si>
    <t xml:space="preserve">BLACKBERRY LTD</t>
  </si>
  <si>
    <t xml:space="preserve">2018</t>
  </si>
  <si>
    <t xml:space="preserve">AAC TECHNOLOGIES HOLDINGS IN</t>
  </si>
  <si>
    <t xml:space="preserve">7951</t>
  </si>
  <si>
    <t xml:space="preserve">YAMAHA CORP</t>
  </si>
  <si>
    <t xml:space="preserve">ACX</t>
  </si>
  <si>
    <t xml:space="preserve">ACERINOX SA</t>
  </si>
  <si>
    <t xml:space="preserve">6806</t>
  </si>
  <si>
    <t xml:space="preserve">HIROSE ELECTRIC CO LTD</t>
  </si>
  <si>
    <t xml:space="preserve">MOTHERSO</t>
  </si>
  <si>
    <t xml:space="preserve">SAMVARDHANA MOTHERSON INTERN</t>
  </si>
  <si>
    <t xml:space="preserve">AIXA</t>
  </si>
  <si>
    <t xml:space="preserve">AIXTRON SE</t>
  </si>
  <si>
    <t xml:space="preserve">OR ROYALTIES INC</t>
  </si>
  <si>
    <t xml:space="preserve">7550</t>
  </si>
  <si>
    <t xml:space="preserve">ZENSHO HOLDINGS CO LTD</t>
  </si>
  <si>
    <t xml:space="preserve">ATS</t>
  </si>
  <si>
    <t xml:space="preserve">AUSTRIA TECHNOLOGIE + SYSTEM</t>
  </si>
  <si>
    <t xml:space="preserve">EMP.A</t>
  </si>
  <si>
    <t xml:space="preserve">EMPIRE CO LTD  A</t>
  </si>
  <si>
    <t xml:space="preserve">3405</t>
  </si>
  <si>
    <t xml:space="preserve">KURARAY CO LTD</t>
  </si>
  <si>
    <t xml:space="preserve">NDA</t>
  </si>
  <si>
    <t xml:space="preserve">AURUBIS AG</t>
  </si>
  <si>
    <t xml:space="preserve">6302</t>
  </si>
  <si>
    <t xml:space="preserve">SUMITOMO HEAVY INDUSTRIES</t>
  </si>
  <si>
    <t xml:space="preserve">1548</t>
  </si>
  <si>
    <t xml:space="preserve">GENSCRIPT BIOTECH CORP</t>
  </si>
  <si>
    <t xml:space="preserve">GJF</t>
  </si>
  <si>
    <t xml:space="preserve">GJENSIDIGE FORSIKRING ASA</t>
  </si>
  <si>
    <t xml:space="preserve">P911</t>
  </si>
  <si>
    <t xml:space="preserve">DR ING HC F PORSCHE AG</t>
  </si>
  <si>
    <t xml:space="preserve">8341</t>
  </si>
  <si>
    <t xml:space="preserve">77 BANK LTD/THE</t>
  </si>
  <si>
    <t xml:space="preserve">BGN</t>
  </si>
  <si>
    <t xml:space="preserve">BANCA GENERALI SPA</t>
  </si>
  <si>
    <t xml:space="preserve">3086</t>
  </si>
  <si>
    <t xml:space="preserve">J FRONT RETAILING CO LTD</t>
  </si>
  <si>
    <t xml:space="preserve">DIB</t>
  </si>
  <si>
    <t xml:space="preserve">DUBAI ISLAMIC BANK</t>
  </si>
  <si>
    <t xml:space="preserve">TATACONS</t>
  </si>
  <si>
    <t xml:space="preserve">TATA CONSUMER PRODUCTS LTD</t>
  </si>
  <si>
    <t xml:space="preserve">NPH</t>
  </si>
  <si>
    <t xml:space="preserve">NORTHAM PLATINUM HOLDINGS LT</t>
  </si>
  <si>
    <t xml:space="preserve">GAMUDA</t>
  </si>
  <si>
    <t xml:space="preserve">GAMUDA BHD</t>
  </si>
  <si>
    <t xml:space="preserve">WARBABANK</t>
  </si>
  <si>
    <t xml:space="preserve">WARBA BANK KSCP</t>
  </si>
  <si>
    <t xml:space="preserve">TWE</t>
  </si>
  <si>
    <t xml:space="preserve">TREASURY WINE ESTATES LTD</t>
  </si>
  <si>
    <t xml:space="preserve">A018260</t>
  </si>
  <si>
    <t xml:space="preserve">SAMSUNG SDS CO LTD</t>
  </si>
  <si>
    <t xml:space="preserve">ZEG</t>
  </si>
  <si>
    <t xml:space="preserve">ZEGONA COMMUNICATIONS PLC</t>
  </si>
  <si>
    <t xml:space="preserve">AIR CANADA</t>
  </si>
  <si>
    <t xml:space="preserve">3626</t>
  </si>
  <si>
    <t xml:space="preserve">TISI INC</t>
  </si>
  <si>
    <t xml:space="preserve">ADNOCGAS</t>
  </si>
  <si>
    <t xml:space="preserve">ADNOC GAS PLC</t>
  </si>
  <si>
    <t xml:space="preserve">ABVX</t>
  </si>
  <si>
    <t xml:space="preserve">ABIVAX SA</t>
  </si>
  <si>
    <t xml:space="preserve">ALK B</t>
  </si>
  <si>
    <t xml:space="preserve">ALK ABELLO A/S</t>
  </si>
  <si>
    <t xml:space="preserve">9024</t>
  </si>
  <si>
    <t xml:space="preserve">SEIBU HOLDINGS INC</t>
  </si>
  <si>
    <t xml:space="preserve">4536</t>
  </si>
  <si>
    <t xml:space="preserve">SANTEN PHARMACEUTICAL CO LTD</t>
  </si>
  <si>
    <t xml:space="preserve">BIPC</t>
  </si>
  <si>
    <t xml:space="preserve">BROOKFIELD INFRASTRUCTURE A</t>
  </si>
  <si>
    <t xml:space="preserve">TMPV</t>
  </si>
  <si>
    <t xml:space="preserve">TATA MOTORS PASSENGER VEHICL</t>
  </si>
  <si>
    <t xml:space="preserve">GRE</t>
  </si>
  <si>
    <t xml:space="preserve">GRENERGY RENOVABLES</t>
  </si>
  <si>
    <t xml:space="preserve">8050</t>
  </si>
  <si>
    <t xml:space="preserve">SEIKO GROUP CORP</t>
  </si>
  <si>
    <t xml:space="preserve">322</t>
  </si>
  <si>
    <t xml:space="preserve">TINGYI (CAYMAN ISLN) HLDG CO</t>
  </si>
  <si>
    <t xml:space="preserve">SDR</t>
  </si>
  <si>
    <t xml:space="preserve">SCHRODERS PLC</t>
  </si>
  <si>
    <t xml:space="preserve">FSV</t>
  </si>
  <si>
    <t xml:space="preserve">FIRSTSERVICE CORP</t>
  </si>
  <si>
    <t xml:space="preserve">9684</t>
  </si>
  <si>
    <t xml:space="preserve">SQUARE ENIX HOLDINGS CO LTD</t>
  </si>
  <si>
    <t xml:space="preserve">6488</t>
  </si>
  <si>
    <t xml:space="preserve">GLOBALWAFERS CO LTD</t>
  </si>
  <si>
    <t xml:space="preserve">9868</t>
  </si>
  <si>
    <t xml:space="preserve">XPENG INC   CLASS A SHARES</t>
  </si>
  <si>
    <t xml:space="preserve">LUG</t>
  </si>
  <si>
    <t xml:space="preserve">LUNDIN GOLD INC</t>
  </si>
  <si>
    <t xml:space="preserve">THYAO</t>
  </si>
  <si>
    <t xml:space="preserve">TURK HAVA YOLLARI AO</t>
  </si>
  <si>
    <t xml:space="preserve">4203</t>
  </si>
  <si>
    <t xml:space="preserve">SUMITOMO BAKELITE CO LTD</t>
  </si>
  <si>
    <t xml:space="preserve">G24</t>
  </si>
  <si>
    <t xml:space="preserve">SCOUT24 SE</t>
  </si>
  <si>
    <t xml:space="preserve">BRE</t>
  </si>
  <si>
    <t xml:space="preserve">BREMBO N.V.</t>
  </si>
  <si>
    <t xml:space="preserve">3993</t>
  </si>
  <si>
    <t xml:space="preserve">CMOC GROUP LTD H</t>
  </si>
  <si>
    <t xml:space="preserve">1050</t>
  </si>
  <si>
    <t xml:space="preserve">BANQUE SAUDI FRANSI</t>
  </si>
  <si>
    <t xml:space="preserve">RAMELIUS RESOURCES LTD</t>
  </si>
  <si>
    <t xml:space="preserve">GRAN</t>
  </si>
  <si>
    <t xml:space="preserve">GRANULES INDIA LTD</t>
  </si>
  <si>
    <t xml:space="preserve">FUNO 11</t>
  </si>
  <si>
    <t xml:space="preserve">TRUST FIBRA UNO</t>
  </si>
  <si>
    <t xml:space="preserve">7201</t>
  </si>
  <si>
    <t xml:space="preserve">NISSAN MOTOR CO LTD</t>
  </si>
  <si>
    <t xml:space="preserve">8952</t>
  </si>
  <si>
    <t xml:space="preserve">JAPAN REAL ESTATE INVESTMENT</t>
  </si>
  <si>
    <t xml:space="preserve">6690</t>
  </si>
  <si>
    <t xml:space="preserve">HAIER SMART HOME CO LTD H</t>
  </si>
  <si>
    <t xml:space="preserve">MGR</t>
  </si>
  <si>
    <t xml:space="preserve">MIRVAC GROUP</t>
  </si>
  <si>
    <t xml:space="preserve">270</t>
  </si>
  <si>
    <t xml:space="preserve">GUANGDONG INVESTMENT LTD</t>
  </si>
  <si>
    <t xml:space="preserve">A078930</t>
  </si>
  <si>
    <t xml:space="preserve">GS HOLDINGS</t>
  </si>
  <si>
    <t xml:space="preserve">2337</t>
  </si>
  <si>
    <t xml:space="preserve">MACRONIX INTERNATIONAL CO</t>
  </si>
  <si>
    <t xml:space="preserve">A277810</t>
  </si>
  <si>
    <t xml:space="preserve">RAINBOW ROBOTICS</t>
  </si>
  <si>
    <t xml:space="preserve">T</t>
  </si>
  <si>
    <t xml:space="preserve">TELUS CORP</t>
  </si>
  <si>
    <t xml:space="preserve">VAR</t>
  </si>
  <si>
    <t xml:space="preserve">VAR ENERGI ASA</t>
  </si>
  <si>
    <t xml:space="preserve">HDFCLIFE</t>
  </si>
  <si>
    <t xml:space="preserve">HDFC LIFE INSURANCE CO LTD</t>
  </si>
  <si>
    <t xml:space="preserve">A011200</t>
  </si>
  <si>
    <t xml:space="preserve">HMM CO LTD</t>
  </si>
  <si>
    <t xml:space="preserve">TAL</t>
  </si>
  <si>
    <t xml:space="preserve">TAL EDUCATION GROUP  ADR</t>
  </si>
  <si>
    <t xml:space="preserve">9072</t>
  </si>
  <si>
    <t xml:space="preserve">NIKKON HOLDINGS CO LTD</t>
  </si>
  <si>
    <t xml:space="preserve">1723</t>
  </si>
  <si>
    <t xml:space="preserve">CHINA STEEL CHEMICAL CORP</t>
  </si>
  <si>
    <t xml:space="preserve">BBSE3</t>
  </si>
  <si>
    <t xml:space="preserve">BB SEGURIDADE PARTICIPACOES</t>
  </si>
  <si>
    <t xml:space="preserve">4291</t>
  </si>
  <si>
    <t xml:space="preserve">NATIONAL CO FOR LEARNING + E</t>
  </si>
  <si>
    <t xml:space="preserve">PSK</t>
  </si>
  <si>
    <t xml:space="preserve">PRAIRIESKY ROYALTY LTD</t>
  </si>
  <si>
    <t xml:space="preserve">LAURUS</t>
  </si>
  <si>
    <t xml:space="preserve">LAURUS LABS LTD</t>
  </si>
  <si>
    <t xml:space="preserve">9009</t>
  </si>
  <si>
    <t xml:space="preserve">KEISEI ELECTRIC RAILWAY CO</t>
  </si>
  <si>
    <t xml:space="preserve">OTEX</t>
  </si>
  <si>
    <t xml:space="preserve">OPEN TEXT CORP</t>
  </si>
  <si>
    <t xml:space="preserve">688041</t>
  </si>
  <si>
    <t xml:space="preserve">HYGON INFORMATION TECHNOLO A</t>
  </si>
  <si>
    <t xml:space="preserve">688012</t>
  </si>
  <si>
    <t xml:space="preserve">ADVANCED MICRO FABRICATION A</t>
  </si>
  <si>
    <t xml:space="preserve">177</t>
  </si>
  <si>
    <t xml:space="preserve">JIANGSU EXPRESS CO LTD H</t>
  </si>
  <si>
    <t xml:space="preserve">BURSA</t>
  </si>
  <si>
    <t xml:space="preserve">BURSA MALAYSIA BHD</t>
  </si>
  <si>
    <t xml:space="preserve">8972</t>
  </si>
  <si>
    <t xml:space="preserve">KDX REALTY INVESTMENT CORP</t>
  </si>
  <si>
    <t xml:space="preserve">QLT</t>
  </si>
  <si>
    <t xml:space="preserve">QUILTER PLC</t>
  </si>
  <si>
    <t xml:space="preserve">MX</t>
  </si>
  <si>
    <t xml:space="preserve">METHANEX CORP</t>
  </si>
  <si>
    <t xml:space="preserve">NIO</t>
  </si>
  <si>
    <t xml:space="preserve">NIO INC ADR</t>
  </si>
  <si>
    <t xml:space="preserve">ICL</t>
  </si>
  <si>
    <t xml:space="preserve">ICL GROUP LTD</t>
  </si>
  <si>
    <t xml:space="preserve">PLUS</t>
  </si>
  <si>
    <t xml:space="preserve">PLUS500 LTD</t>
  </si>
  <si>
    <t xml:space="preserve">A064350</t>
  </si>
  <si>
    <t xml:space="preserve">HYUNDAI ROTEM COMPANY</t>
  </si>
  <si>
    <t xml:space="preserve">A323410</t>
  </si>
  <si>
    <t xml:space="preserve">KAKAOBANK CORP</t>
  </si>
  <si>
    <t xml:space="preserve">AUTO</t>
  </si>
  <si>
    <t xml:space="preserve">AUTOTRADER GROUP PLC</t>
  </si>
  <si>
    <t xml:space="preserve">BARN</t>
  </si>
  <si>
    <t xml:space="preserve">BARRY CALLEBAUT AG REG</t>
  </si>
  <si>
    <t xml:space="preserve">IGM</t>
  </si>
  <si>
    <t xml:space="preserve">IGM FINANCIAL INC</t>
  </si>
  <si>
    <t xml:space="preserve">JMT</t>
  </si>
  <si>
    <t xml:space="preserve">JERONIMO MARTINS</t>
  </si>
  <si>
    <t xml:space="preserve">COPEC</t>
  </si>
  <si>
    <t xml:space="preserve">EMPRESAS COPEC SA</t>
  </si>
  <si>
    <t xml:space="preserve">ETE</t>
  </si>
  <si>
    <t xml:space="preserve">NATIONAL BANK OF GREECE</t>
  </si>
  <si>
    <t xml:space="preserve">RENT3</t>
  </si>
  <si>
    <t xml:space="preserve">LOCALIZA RENT A CAR</t>
  </si>
  <si>
    <t xml:space="preserve">9435</t>
  </si>
  <si>
    <t xml:space="preserve">HIKARI TSUSHIN INC</t>
  </si>
  <si>
    <t xml:space="preserve">MAP</t>
  </si>
  <si>
    <t xml:space="preserve">MAPFRE SA</t>
  </si>
  <si>
    <t xml:space="preserve">5E2</t>
  </si>
  <si>
    <t xml:space="preserve">SEATRIUM LTD</t>
  </si>
  <si>
    <t xml:space="preserve">8926</t>
  </si>
  <si>
    <t xml:space="preserve">TAIWAN COGENERATION CORP</t>
  </si>
  <si>
    <t xml:space="preserve">OPCE</t>
  </si>
  <si>
    <t xml:space="preserve">OPC ENERGY LTD</t>
  </si>
  <si>
    <t xml:space="preserve">INVP</t>
  </si>
  <si>
    <t xml:space="preserve">INVESTEC PLC</t>
  </si>
  <si>
    <t xml:space="preserve">CGF</t>
  </si>
  <si>
    <t xml:space="preserve">CHALLENGER LTD</t>
  </si>
  <si>
    <t xml:space="preserve">1942</t>
  </si>
  <si>
    <t xml:space="preserve">KANDENKO CO LTD</t>
  </si>
  <si>
    <t xml:space="preserve">UMI</t>
  </si>
  <si>
    <t xml:space="preserve">UMICORE</t>
  </si>
  <si>
    <t xml:space="preserve">XENE</t>
  </si>
  <si>
    <t xml:space="preserve">XENON PHARMACEUTICALS INC</t>
  </si>
  <si>
    <t xml:space="preserve">DNL</t>
  </si>
  <si>
    <t xml:space="preserve">DYNO NOBEL LTD</t>
  </si>
  <si>
    <t xml:space="preserve">3529</t>
  </si>
  <si>
    <t xml:space="preserve">EMEMORY TECHNOLOGY INC</t>
  </si>
  <si>
    <t xml:space="preserve">A267270</t>
  </si>
  <si>
    <t xml:space="preserve">HD CONSTRUCTION EQUIPMENT CO</t>
  </si>
  <si>
    <t xml:space="preserve">6618</t>
  </si>
  <si>
    <t xml:space="preserve">JD HEALTH INTERNATIONAL INC</t>
  </si>
  <si>
    <t xml:space="preserve">ZAL</t>
  </si>
  <si>
    <t xml:space="preserve">ZALANDO SE</t>
  </si>
  <si>
    <t xml:space="preserve">INA</t>
  </si>
  <si>
    <t xml:space="preserve">INGENIA COMMUNITIES GROUP</t>
  </si>
  <si>
    <t xml:space="preserve">BZU</t>
  </si>
  <si>
    <t xml:space="preserve">BUZZI SPA</t>
  </si>
  <si>
    <t xml:space="preserve">135</t>
  </si>
  <si>
    <t xml:space="preserve">KUNLUN ENERGY CO LTD</t>
  </si>
  <si>
    <t xml:space="preserve">AZM</t>
  </si>
  <si>
    <t xml:space="preserve">AZIMUT HOLDING SPA</t>
  </si>
  <si>
    <t xml:space="preserve">7261</t>
  </si>
  <si>
    <t xml:space="preserve">MAZDA MOTOR CORP</t>
  </si>
  <si>
    <t xml:space="preserve">5901</t>
  </si>
  <si>
    <t xml:space="preserve">TOYO SEIKAN GROUP HOLDINGS L</t>
  </si>
  <si>
    <t xml:space="preserve">002428</t>
  </si>
  <si>
    <t xml:space="preserve">YUNNAN LINCANG XINYUAN GER A</t>
  </si>
  <si>
    <t xml:space="preserve">BZ</t>
  </si>
  <si>
    <t xml:space="preserve">KANZHUN LTD   ADR</t>
  </si>
  <si>
    <t xml:space="preserve">BBOX</t>
  </si>
  <si>
    <t xml:space="preserve">TRITAX BIG BOX REIT PLC</t>
  </si>
  <si>
    <t xml:space="preserve">3941</t>
  </si>
  <si>
    <t xml:space="preserve">RENGO CO LTD</t>
  </si>
  <si>
    <t xml:space="preserve">GALE</t>
  </si>
  <si>
    <t xml:space="preserve">GALENICA AG</t>
  </si>
  <si>
    <t xml:space="preserve">FHZN</t>
  </si>
  <si>
    <t xml:space="preserve">FLUGHAFEN ZURICH AG REG</t>
  </si>
  <si>
    <t xml:space="preserve">BRCM</t>
  </si>
  <si>
    <t xml:space="preserve">BALRAMPUR CHINI MILLS LTD</t>
  </si>
  <si>
    <t xml:space="preserve">PGE</t>
  </si>
  <si>
    <t xml:space="preserve">PGE SA</t>
  </si>
  <si>
    <t xml:space="preserve">763</t>
  </si>
  <si>
    <t xml:space="preserve">ZTE CORP H</t>
  </si>
  <si>
    <t xml:space="preserve">HIAB</t>
  </si>
  <si>
    <t xml:space="preserve">HIAB OYJ</t>
  </si>
  <si>
    <t xml:space="preserve">6770</t>
  </si>
  <si>
    <t xml:space="preserve">POWERCHIP SEMICONDUCTOR MANU</t>
  </si>
  <si>
    <t xml:space="preserve">100</t>
  </si>
  <si>
    <t xml:space="preserve">MINIMAX GROUP INC</t>
  </si>
  <si>
    <t xml:space="preserve">AZRG</t>
  </si>
  <si>
    <t xml:space="preserve">AZRIELI GROUP LTD</t>
  </si>
  <si>
    <t xml:space="preserve">1988</t>
  </si>
  <si>
    <t xml:space="preserve">CHINA MINSHENG BANKING COR H</t>
  </si>
  <si>
    <t xml:space="preserve">2181</t>
  </si>
  <si>
    <t xml:space="preserve">PERSOL HOLDINGS CO LTD</t>
  </si>
  <si>
    <t xml:space="preserve">1911</t>
  </si>
  <si>
    <t xml:space="preserve">SUMITOMO FORESTRY CO LTD</t>
  </si>
  <si>
    <t xml:space="preserve">601398</t>
  </si>
  <si>
    <t xml:space="preserve">IND + COMM BK OF CHINA A</t>
  </si>
  <si>
    <t xml:space="preserve">TEP</t>
  </si>
  <si>
    <t xml:space="preserve">TELEPERFORMANCE</t>
  </si>
  <si>
    <t xml:space="preserve">BEN</t>
  </si>
  <si>
    <t xml:space="preserve">BENDIGO AND ADELAIDE BANK</t>
  </si>
  <si>
    <t xml:space="preserve">A003490</t>
  </si>
  <si>
    <t xml:space="preserve">KOREAN AIR LINES CO LTD</t>
  </si>
  <si>
    <t xml:space="preserve">2230</t>
  </si>
  <si>
    <t xml:space="preserve">SAUDI CHEMICAL CO HOLDING</t>
  </si>
  <si>
    <t xml:space="preserve">788</t>
  </si>
  <si>
    <t xml:space="preserve">CHINA TOWER CORP LTD H</t>
  </si>
  <si>
    <t xml:space="preserve">1658</t>
  </si>
  <si>
    <t xml:space="preserve">POSTAL SAVINGS BANK OF CHI H</t>
  </si>
  <si>
    <t xml:space="preserve">6871</t>
  </si>
  <si>
    <t xml:space="preserve">MICRONICS JAPAN CO LTD</t>
  </si>
  <si>
    <t xml:space="preserve">8953</t>
  </si>
  <si>
    <t xml:space="preserve">JAPAN METROPOLITAN FUND INVE</t>
  </si>
  <si>
    <t xml:space="preserve">INDIGO</t>
  </si>
  <si>
    <t xml:space="preserve">INTERGLOBE AVIATION LTD</t>
  </si>
  <si>
    <t xml:space="preserve">CMM</t>
  </si>
  <si>
    <t xml:space="preserve">CAPRICORN METALS LTD</t>
  </si>
  <si>
    <t xml:space="preserve">LOG</t>
  </si>
  <si>
    <t xml:space="preserve">LOGISTA INTEGRAL SA</t>
  </si>
  <si>
    <t xml:space="preserve">4751</t>
  </si>
  <si>
    <t xml:space="preserve">CYBERAGENT INC</t>
  </si>
  <si>
    <t xml:space="preserve">JMAT</t>
  </si>
  <si>
    <t xml:space="preserve">JOHNSON MATTHEY PLC</t>
  </si>
  <si>
    <t xml:space="preserve">AALB</t>
  </si>
  <si>
    <t xml:space="preserve">AALBERTS NV</t>
  </si>
  <si>
    <t xml:space="preserve">12</t>
  </si>
  <si>
    <t xml:space="preserve">HENDERSON LAND DEVELOPMENT</t>
  </si>
  <si>
    <t xml:space="preserve">SOUTH KOREAN WON</t>
  </si>
  <si>
    <t xml:space="preserve">1612</t>
  </si>
  <si>
    <t xml:space="preserve">HONG TAI ELECTRIC INDUSTRIAL</t>
  </si>
  <si>
    <t xml:space="preserve">300</t>
  </si>
  <si>
    <t xml:space="preserve">MIDEA GROUP CO LTD H</t>
  </si>
  <si>
    <t xml:space="preserve">VAML</t>
  </si>
  <si>
    <t xml:space="preserve">VEDANTA ALUMINIUM METAL LTD</t>
  </si>
  <si>
    <t xml:space="preserve">TUI1</t>
  </si>
  <si>
    <t xml:space="preserve">TUI AG</t>
  </si>
  <si>
    <t xml:space="preserve">EQTL3</t>
  </si>
  <si>
    <t xml:space="preserve">EQUATORIAL SA   ORD</t>
  </si>
  <si>
    <t xml:space="preserve">TE</t>
  </si>
  <si>
    <t xml:space="preserve">TECHNIP ENERGIES NV</t>
  </si>
  <si>
    <t xml:space="preserve">ELIS</t>
  </si>
  <si>
    <t xml:space="preserve">ELIS SA</t>
  </si>
  <si>
    <t xml:space="preserve">BILIA</t>
  </si>
  <si>
    <t xml:space="preserve">BILIA AB A SHS</t>
  </si>
  <si>
    <t xml:space="preserve">TRE</t>
  </si>
  <si>
    <t xml:space="preserve">TECNICAS REUNIDAS SA</t>
  </si>
  <si>
    <t xml:space="preserve">4902</t>
  </si>
  <si>
    <t xml:space="preserve">KONICA MINOLTA INC</t>
  </si>
  <si>
    <t xml:space="preserve">ZIM</t>
  </si>
  <si>
    <t xml:space="preserve">ZIM INTEGRATED SHIPPING SERV</t>
  </si>
  <si>
    <t xml:space="preserve">2702</t>
  </si>
  <si>
    <t xml:space="preserve">MCDONALD S HOLDINGS CO JAPAN</t>
  </si>
  <si>
    <t xml:space="preserve">NDX1</t>
  </si>
  <si>
    <t xml:space="preserve">NORDEX SE</t>
  </si>
  <si>
    <t xml:space="preserve">NFIL</t>
  </si>
  <si>
    <t xml:space="preserve">NAVIN FLUORINE INTERNATIONAL</t>
  </si>
  <si>
    <t xml:space="preserve">CCC</t>
  </si>
  <si>
    <t xml:space="preserve">COMPUTACENTER PLC</t>
  </si>
  <si>
    <t xml:space="preserve">CG</t>
  </si>
  <si>
    <t xml:space="preserve">CENTERRA GOLD INC</t>
  </si>
  <si>
    <t xml:space="preserve">TVE</t>
  </si>
  <si>
    <t xml:space="preserve">TAMARACK VALLEY ENERGY LTD</t>
  </si>
  <si>
    <t xml:space="preserve">VODACOM GROUP LTD</t>
  </si>
  <si>
    <t xml:space="preserve">9903</t>
  </si>
  <si>
    <t xml:space="preserve">SHANGHAI ILUVATAR COREX SE H</t>
  </si>
  <si>
    <t xml:space="preserve">9501</t>
  </si>
  <si>
    <t xml:space="preserve">TOKYO ELECTRIC POWER COMPANY</t>
  </si>
  <si>
    <t xml:space="preserve">2313</t>
  </si>
  <si>
    <t xml:space="preserve">COMPEQ MANUFACTURING CO LTD</t>
  </si>
  <si>
    <t xml:space="preserve">ENQ</t>
  </si>
  <si>
    <t xml:space="preserve">ENQUEST PLC</t>
  </si>
  <si>
    <t xml:space="preserve">6845</t>
  </si>
  <si>
    <t xml:space="preserve">AZBIL CORP</t>
  </si>
  <si>
    <t xml:space="preserve">2501</t>
  </si>
  <si>
    <t xml:space="preserve">SAPPORO BREWERIES LTD</t>
  </si>
  <si>
    <t xml:space="preserve">SUNN</t>
  </si>
  <si>
    <t xml:space="preserve">SUNRISE COMMUNICATIONS AG A</t>
  </si>
  <si>
    <t xml:space="preserve">GRF</t>
  </si>
  <si>
    <t xml:space="preserve">GRIFOLS SA</t>
  </si>
  <si>
    <t xml:space="preserve">7180</t>
  </si>
  <si>
    <t xml:space="preserve">KYUSHU FINANCIAL GROUP INC</t>
  </si>
  <si>
    <t xml:space="preserve">MRL</t>
  </si>
  <si>
    <t xml:space="preserve">MERLIN PROPERTIES SOCIMI SA</t>
  </si>
  <si>
    <t xml:space="preserve">GF</t>
  </si>
  <si>
    <t xml:space="preserve">FISCHER (GEORG) REG</t>
  </si>
  <si>
    <t xml:space="preserve">NRP</t>
  </si>
  <si>
    <t xml:space="preserve">NEPI ROCKCASTLE N.V.</t>
  </si>
  <si>
    <t xml:space="preserve">DCBB</t>
  </si>
  <si>
    <t xml:space="preserve">DCB BANK LTD</t>
  </si>
  <si>
    <t xml:space="preserve">966</t>
  </si>
  <si>
    <t xml:space="preserve">CHINA TAIPING INSURANCE HOLD</t>
  </si>
  <si>
    <t xml:space="preserve">2354</t>
  </si>
  <si>
    <t xml:space="preserve">FOXCONN TECHNOLOGY CO LTD</t>
  </si>
  <si>
    <t xml:space="preserve">A000250</t>
  </si>
  <si>
    <t xml:space="preserve">SAM CHUN DANG PHARM CO LTD</t>
  </si>
  <si>
    <t xml:space="preserve">HONG KONG DOLLAR</t>
  </si>
  <si>
    <t xml:space="preserve">WTC</t>
  </si>
  <si>
    <t xml:space="preserve">WISETECH GLOBAL LTD</t>
  </si>
  <si>
    <t xml:space="preserve">CTEC</t>
  </si>
  <si>
    <t xml:space="preserve">CONVATEC GROUP PLC</t>
  </si>
  <si>
    <t xml:space="preserve">7747</t>
  </si>
  <si>
    <t xml:space="preserve">ASAHI INTECC CO LTD</t>
  </si>
  <si>
    <t xml:space="preserve">SUEL</t>
  </si>
  <si>
    <t xml:space="preserve">SUZLON ENERGY LTD</t>
  </si>
  <si>
    <t xml:space="preserve">4704</t>
  </si>
  <si>
    <t xml:space="preserve">TREND MICRO INC</t>
  </si>
  <si>
    <t xml:space="preserve">A222800</t>
  </si>
  <si>
    <t xml:space="preserve">SIMMTECH CO LTD</t>
  </si>
  <si>
    <t xml:space="preserve">INCH</t>
  </si>
  <si>
    <t xml:space="preserve">INCHCAPE PLC</t>
  </si>
  <si>
    <t xml:space="preserve">RADL3</t>
  </si>
  <si>
    <t xml:space="preserve">RAIA DROGASIL SA</t>
  </si>
  <si>
    <t xml:space="preserve">2343</t>
  </si>
  <si>
    <t xml:space="preserve">PACIFIC BASIN SHIPPING LTD</t>
  </si>
  <si>
    <t xml:space="preserve">5880</t>
  </si>
  <si>
    <t xml:space="preserve">TAIWAN COOPERATIVE FINANCIAL</t>
  </si>
  <si>
    <t xml:space="preserve">2587</t>
  </si>
  <si>
    <t xml:space="preserve">SUNTORY BEVERAGE + FOOD LTD</t>
  </si>
  <si>
    <t xml:space="preserve">IDR</t>
  </si>
  <si>
    <t xml:space="preserve">INDRA SISTEMAS SA</t>
  </si>
  <si>
    <t xml:space="preserve">002463</t>
  </si>
  <si>
    <t xml:space="preserve">WUS PRINTED CIRCUIT KUNSHA A</t>
  </si>
  <si>
    <t xml:space="preserve">TORRENT PHARMACEUTICALS LTD</t>
  </si>
  <si>
    <t xml:space="preserve">PMETAL</t>
  </si>
  <si>
    <t xml:space="preserve">PRESS METAL ALUMINIUM HOLDIN</t>
  </si>
  <si>
    <t xml:space="preserve">2356</t>
  </si>
  <si>
    <t xml:space="preserve">INVENTEC CORP</t>
  </si>
  <si>
    <t xml:space="preserve">1997</t>
  </si>
  <si>
    <t xml:space="preserve">WHARF REAL ESTATE INVESTMENT</t>
  </si>
  <si>
    <t xml:space="preserve">ENG</t>
  </si>
  <si>
    <t xml:space="preserve">ENAGAS SA</t>
  </si>
  <si>
    <t xml:space="preserve">8012</t>
  </si>
  <si>
    <t xml:space="preserve">NAGASE + CO LTD</t>
  </si>
  <si>
    <t xml:space="preserve">R3NK</t>
  </si>
  <si>
    <t xml:space="preserve">RENK GROUP AG</t>
  </si>
  <si>
    <t xml:space="preserve">000858</t>
  </si>
  <si>
    <t xml:space="preserve">WULIANGYE YIBIN CO LTD A</t>
  </si>
  <si>
    <t xml:space="preserve">1609</t>
  </si>
  <si>
    <t xml:space="preserve">TA YA ELECTRIC WIRE + CABLE</t>
  </si>
  <si>
    <t xml:space="preserve">1442</t>
  </si>
  <si>
    <t xml:space="preserve">ADVANCETEK ENTERPRISE CO LTD</t>
  </si>
  <si>
    <t xml:space="preserve">002156</t>
  </si>
  <si>
    <t xml:space="preserve">TONGFU MICROELECTRONIC CO A</t>
  </si>
  <si>
    <t xml:space="preserve">EDPR</t>
  </si>
  <si>
    <t xml:space="preserve">EDP RENEWABLES SA</t>
  </si>
  <si>
    <t xml:space="preserve">OUT</t>
  </si>
  <si>
    <t xml:space="preserve">OUTSURANCE GROUP LTD</t>
  </si>
  <si>
    <t xml:space="preserve">COV</t>
  </si>
  <si>
    <t xml:space="preserve">COVIVIO</t>
  </si>
  <si>
    <t xml:space="preserve">2588</t>
  </si>
  <si>
    <t xml:space="preserve">BOC AVIATION LTD</t>
  </si>
  <si>
    <t xml:space="preserve">U14</t>
  </si>
  <si>
    <t xml:space="preserve">UOL GROUP LTD</t>
  </si>
  <si>
    <t xml:space="preserve">INDIAN RUPEE</t>
  </si>
  <si>
    <t xml:space="preserve">MEL</t>
  </si>
  <si>
    <t xml:space="preserve">MERIDIAN ENERGY LTD</t>
  </si>
  <si>
    <t xml:space="preserve">ADANIENS</t>
  </si>
  <si>
    <t xml:space="preserve">ADANI ENERGY SOLUTIONS LTD</t>
  </si>
  <si>
    <t xml:space="preserve">868</t>
  </si>
  <si>
    <t xml:space="preserve">XINYI GLASS HOLDINGS LTD</t>
  </si>
  <si>
    <t xml:space="preserve">LUND B</t>
  </si>
  <si>
    <t xml:space="preserve">LUNDBERGS AB B SHS</t>
  </si>
  <si>
    <t xml:space="preserve">2611</t>
  </si>
  <si>
    <t xml:space="preserve">GUOTAI HAITONG SECURITIES H</t>
  </si>
  <si>
    <t xml:space="preserve">9513</t>
  </si>
  <si>
    <t xml:space="preserve">ELECTRIC POWER DEVELOPMENT C</t>
  </si>
  <si>
    <t xml:space="preserve">2897</t>
  </si>
  <si>
    <t xml:space="preserve">NISSIN FOODS HOLDINGS CO LTD</t>
  </si>
  <si>
    <t xml:space="preserve">3462</t>
  </si>
  <si>
    <t xml:space="preserve">NOMURA REAL ESTATE MASTER FU</t>
  </si>
  <si>
    <t xml:space="preserve">4013</t>
  </si>
  <si>
    <t xml:space="preserve">DR SULAIMAN AL HABIB MEDICAL</t>
  </si>
  <si>
    <t xml:space="preserve">A003670</t>
  </si>
  <si>
    <t xml:space="preserve">POSCO FUTURE M CO LTD</t>
  </si>
  <si>
    <t xml:space="preserve">KLR</t>
  </si>
  <si>
    <t xml:space="preserve">KELLER GROUP PLC</t>
  </si>
  <si>
    <t xml:space="preserve">SB1NO</t>
  </si>
  <si>
    <t xml:space="preserve">SPAREBANK 1 SOR NORGE ASA</t>
  </si>
  <si>
    <t xml:space="preserve">4050</t>
  </si>
  <si>
    <t xml:space="preserve">SASCO</t>
  </si>
  <si>
    <t xml:space="preserve">A017800</t>
  </si>
  <si>
    <t xml:space="preserve">HYUNDAI ELEVATOR CO</t>
  </si>
  <si>
    <t xml:space="preserve">AGL</t>
  </si>
  <si>
    <t xml:space="preserve">AGL ENERGY LTD</t>
  </si>
  <si>
    <t xml:space="preserve">IQCD</t>
  </si>
  <si>
    <t xml:space="preserve">INDUSTRIES QATAR</t>
  </si>
  <si>
    <t xml:space="preserve">DXS</t>
  </si>
  <si>
    <t xml:space="preserve">DEXUS/AU</t>
  </si>
  <si>
    <t xml:space="preserve">19</t>
  </si>
  <si>
    <t xml:space="preserve">SWIRE PACIFIC LTD   CL A</t>
  </si>
  <si>
    <t xml:space="preserve">DEMANT</t>
  </si>
  <si>
    <t xml:space="preserve">DEMANT A/S</t>
  </si>
  <si>
    <t xml:space="preserve">ISA</t>
  </si>
  <si>
    <t xml:space="preserve">INTERCONEXION ELECTRICA SA</t>
  </si>
  <si>
    <t xml:space="preserve">CDA</t>
  </si>
  <si>
    <t xml:space="preserve">CODAN LTD</t>
  </si>
  <si>
    <t xml:space="preserve">BEKB</t>
  </si>
  <si>
    <t xml:space="preserve">BEKAERT NV</t>
  </si>
  <si>
    <t xml:space="preserve">BHFC</t>
  </si>
  <si>
    <t xml:space="preserve">BHARAT FORGE LTD</t>
  </si>
  <si>
    <t xml:space="preserve">RUI</t>
  </si>
  <si>
    <t xml:space="preserve">RUBIS</t>
  </si>
  <si>
    <t xml:space="preserve">600276</t>
  </si>
  <si>
    <t xml:space="preserve">JIANGSU HENGRUI PHARMACEUT A</t>
  </si>
  <si>
    <t xml:space="preserve">7729</t>
  </si>
  <si>
    <t xml:space="preserve">TOKYO SEIMITSU CO LTD</t>
  </si>
  <si>
    <t xml:space="preserve">002409</t>
  </si>
  <si>
    <t xml:space="preserve">JIANGSU YOKE TECHNOLOGY A</t>
  </si>
  <si>
    <t xml:space="preserve">CU</t>
  </si>
  <si>
    <t xml:space="preserve">CANADIAN UTILITIES LTD A</t>
  </si>
  <si>
    <t xml:space="preserve">HNAL</t>
  </si>
  <si>
    <t xml:space="preserve">HINDUSTAN AERONAUTICS LTD</t>
  </si>
  <si>
    <t xml:space="preserve">9041</t>
  </si>
  <si>
    <t xml:space="preserve">KINTETSU GROUP HOLDINGS CO L</t>
  </si>
  <si>
    <t xml:space="preserve">APAT</t>
  </si>
  <si>
    <t xml:space="preserve">APL APOLLO TUBES LTD</t>
  </si>
  <si>
    <t xml:space="preserve">WPL</t>
  </si>
  <si>
    <t xml:space="preserve">WOCKHARDT LTD</t>
  </si>
  <si>
    <t xml:space="preserve">CEU</t>
  </si>
  <si>
    <t xml:space="preserve">CES ENERGY SOLUTIONS CORP</t>
  </si>
  <si>
    <t xml:space="preserve">6951</t>
  </si>
  <si>
    <t xml:space="preserve">JEOL LTD</t>
  </si>
  <si>
    <t xml:space="preserve">GND</t>
  </si>
  <si>
    <t xml:space="preserve">GRINDROD LTD</t>
  </si>
  <si>
    <t xml:space="preserve">DRX</t>
  </si>
  <si>
    <t xml:space="preserve">DRAX GROUP PLC</t>
  </si>
  <si>
    <t xml:space="preserve">BKG</t>
  </si>
  <si>
    <t xml:space="preserve">BERKELEY GROUP HOLDINGS/THE</t>
  </si>
  <si>
    <t xml:space="preserve">5711</t>
  </si>
  <si>
    <t xml:space="preserve">MITSUBISHI MATERIALS CORP</t>
  </si>
  <si>
    <t xml:space="preserve">4631</t>
  </si>
  <si>
    <t xml:space="preserve">DIC CORP</t>
  </si>
  <si>
    <t xml:space="preserve">ASTR</t>
  </si>
  <si>
    <t xml:space="preserve">ASTRAZENECA PHARMA INDIA LTD</t>
  </si>
  <si>
    <t xml:space="preserve">A005387</t>
  </si>
  <si>
    <t xml:space="preserve">HYUNDAI MOTOR CO LTD 2ND PRF</t>
  </si>
  <si>
    <t xml:space="preserve">AL</t>
  </si>
  <si>
    <t xml:space="preserve">ASHOK LEYLAND LTD</t>
  </si>
  <si>
    <t xml:space="preserve">RRL</t>
  </si>
  <si>
    <t xml:space="preserve">REGIS RESOURCES LTD</t>
  </si>
  <si>
    <t xml:space="preserve">6305</t>
  </si>
  <si>
    <t xml:space="preserve">HITACHI CONSTRUCTION MACHINE</t>
  </si>
  <si>
    <t xml:space="preserve">1527</t>
  </si>
  <si>
    <t xml:space="preserve">BASSO INDUSTRY CORP</t>
  </si>
  <si>
    <t xml:space="preserve">EGCO-F</t>
  </si>
  <si>
    <t xml:space="preserve">ELECTRICITY GEN PUB CO FOREI</t>
  </si>
  <si>
    <t xml:space="preserve">IOCL</t>
  </si>
  <si>
    <t xml:space="preserve">INDIAN OIL CORP LTD</t>
  </si>
  <si>
    <t xml:space="preserve">4042</t>
  </si>
  <si>
    <t xml:space="preserve">TOSOH CORP</t>
  </si>
  <si>
    <t xml:space="preserve">1519</t>
  </si>
  <si>
    <t xml:space="preserve">FORTUNE ELECTRIC CO LTD</t>
  </si>
  <si>
    <t xml:space="preserve">2371</t>
  </si>
  <si>
    <t xml:space="preserve">KAKAKU.COM INC</t>
  </si>
  <si>
    <t xml:space="preserve">COFORGE</t>
  </si>
  <si>
    <t xml:space="preserve">COFORGE LIMITED</t>
  </si>
  <si>
    <t xml:space="preserve">NACL</t>
  </si>
  <si>
    <t xml:space="preserve">NATIONAL ALUMINIUM CO LTD</t>
  </si>
  <si>
    <t xml:space="preserve">RAA</t>
  </si>
  <si>
    <t xml:space="preserve">RATIONAL AG</t>
  </si>
  <si>
    <t xml:space="preserve">NXSN</t>
  </si>
  <si>
    <t xml:space="preserve">NEXT VISION STABILIZED SYSTE</t>
  </si>
  <si>
    <t xml:space="preserve">WFG</t>
  </si>
  <si>
    <t xml:space="preserve">WEST FRASER TIMBER CO LTD</t>
  </si>
  <si>
    <t xml:space="preserve">522</t>
  </si>
  <si>
    <t xml:space="preserve">ASMPT LTD</t>
  </si>
  <si>
    <t xml:space="preserve">WLCO</t>
  </si>
  <si>
    <t xml:space="preserve">WELSPUN CORP LTD</t>
  </si>
  <si>
    <t xml:space="preserve">9142</t>
  </si>
  <si>
    <t xml:space="preserve">KYUSHU RAILWAY COMPANY</t>
  </si>
  <si>
    <t xml:space="preserve">GULF-R</t>
  </si>
  <si>
    <t xml:space="preserve">GULF DEVELOPMENT PCL NVDR</t>
  </si>
  <si>
    <t xml:space="preserve">543A</t>
  </si>
  <si>
    <t xml:space="preserve">ARCHION CORP</t>
  </si>
  <si>
    <t xml:space="preserve">ZEAL</t>
  </si>
  <si>
    <t xml:space="preserve">ZEALAND PHARMA A/S</t>
  </si>
  <si>
    <t xml:space="preserve">A010950</t>
  </si>
  <si>
    <t xml:space="preserve">S OIL CORP</t>
  </si>
  <si>
    <t xml:space="preserve">TXG</t>
  </si>
  <si>
    <t xml:space="preserve">TOREX GOLD RESOURCES INC</t>
  </si>
  <si>
    <t xml:space="preserve">002436</t>
  </si>
  <si>
    <t xml:space="preserve">SHENZHEN FASTPRINT CIRCUIT A</t>
  </si>
  <si>
    <t xml:space="preserve">AYA</t>
  </si>
  <si>
    <t xml:space="preserve">AYA GOLD + SILVER INC</t>
  </si>
  <si>
    <t xml:space="preserve">6881</t>
  </si>
  <si>
    <t xml:space="preserve">CHINA GALAXY SECURITIES CO H</t>
  </si>
  <si>
    <t xml:space="preserve">C09</t>
  </si>
  <si>
    <t xml:space="preserve">CITY DEVELOPMENTS LTD</t>
  </si>
  <si>
    <t xml:space="preserve">PPT</t>
  </si>
  <si>
    <t xml:space="preserve">PERPETUAL LTD</t>
  </si>
  <si>
    <t xml:space="preserve">600547</t>
  </si>
  <si>
    <t xml:space="preserve">SHANDONG GOLD MINING CO LT A</t>
  </si>
  <si>
    <t xml:space="preserve">BDGI</t>
  </si>
  <si>
    <t xml:space="preserve">BADGER INFRASTRUCTURE SOLUTI</t>
  </si>
  <si>
    <t xml:space="preserve">CYRE3</t>
  </si>
  <si>
    <t xml:space="preserve">CYRELA BRAZIL REALTY SA EMP</t>
  </si>
  <si>
    <t xml:space="preserve">INDF</t>
  </si>
  <si>
    <t xml:space="preserve">INDOFOOD SUKSES MAKMUR TBK P</t>
  </si>
  <si>
    <t xml:space="preserve">BEIJ B</t>
  </si>
  <si>
    <t xml:space="preserve">BEIJER REF AB</t>
  </si>
  <si>
    <t xml:space="preserve">6177</t>
  </si>
  <si>
    <t xml:space="preserve">DA LI DEVELOPMENT CO LTD</t>
  </si>
  <si>
    <t xml:space="preserve">SCHNEIDER ELECTRIC INFRASTRU</t>
  </si>
  <si>
    <t xml:space="preserve">IIB</t>
  </si>
  <si>
    <t xml:space="preserve">INDUSIND BANK LTD</t>
  </si>
  <si>
    <t xml:space="preserve">600660</t>
  </si>
  <si>
    <t xml:space="preserve">FUYAO GLASS INDUSTRY GROUP A</t>
  </si>
  <si>
    <t xml:space="preserve">WDP</t>
  </si>
  <si>
    <t xml:space="preserve">WAREHOUSES DE PAUW SCA</t>
  </si>
  <si>
    <t xml:space="preserve">A007660</t>
  </si>
  <si>
    <t xml:space="preserve">ISUPETASYS CO LTD</t>
  </si>
  <si>
    <t xml:space="preserve">UNTR</t>
  </si>
  <si>
    <t xml:space="preserve">UNITED TRACTORS TBK PT</t>
  </si>
  <si>
    <t xml:space="preserve">SPM</t>
  </si>
  <si>
    <t xml:space="preserve">SAIPEM SPA</t>
  </si>
  <si>
    <t xml:space="preserve">AS</t>
  </si>
  <si>
    <t xml:space="preserve">AMER SPORTS INC</t>
  </si>
  <si>
    <t xml:space="preserve">AYV</t>
  </si>
  <si>
    <t xml:space="preserve">AYVENS SA</t>
  </si>
  <si>
    <t xml:space="preserve">3281</t>
  </si>
  <si>
    <t xml:space="preserve">GLP J REIT</t>
  </si>
  <si>
    <t xml:space="preserve">NXE</t>
  </si>
  <si>
    <t xml:space="preserve">NEXGEN ENERGY LTD</t>
  </si>
  <si>
    <t xml:space="preserve">2579</t>
  </si>
  <si>
    <t xml:space="preserve">COCA COLA BOTTLERS JAPAN HOL</t>
  </si>
  <si>
    <t xml:space="preserve">LOOMIS</t>
  </si>
  <si>
    <t xml:space="preserve">LOOMIS AB</t>
  </si>
  <si>
    <t xml:space="preserve">6515</t>
  </si>
  <si>
    <t xml:space="preserve">WINWAY TECHNOLOGY CO LTD</t>
  </si>
  <si>
    <t xml:space="preserve">4182</t>
  </si>
  <si>
    <t xml:space="preserve">MITSUBISHI GAS CHEMICAL CO</t>
  </si>
  <si>
    <t xml:space="preserve">8977</t>
  </si>
  <si>
    <t xml:space="preserve">HANKYU HANSHIN REIT INC</t>
  </si>
  <si>
    <t xml:space="preserve">5105</t>
  </si>
  <si>
    <t xml:space="preserve">TOYO TIRE CORP</t>
  </si>
  <si>
    <t xml:space="preserve">SAGA B</t>
  </si>
  <si>
    <t xml:space="preserve">SAGAX AB B</t>
  </si>
  <si>
    <t xml:space="preserve">6674</t>
  </si>
  <si>
    <t xml:space="preserve">GS YUASA CORP</t>
  </si>
  <si>
    <t xml:space="preserve">IHH</t>
  </si>
  <si>
    <t xml:space="preserve">IHH HEALTHCARE BHD</t>
  </si>
  <si>
    <t xml:space="preserve">2268</t>
  </si>
  <si>
    <t xml:space="preserve">WUXI XDC CAYMAN INC</t>
  </si>
  <si>
    <t xml:space="preserve">WIX</t>
  </si>
  <si>
    <t xml:space="preserve">WIX.COM LTD</t>
  </si>
  <si>
    <t xml:space="preserve">ADP</t>
  </si>
  <si>
    <t xml:space="preserve">1972</t>
  </si>
  <si>
    <t xml:space="preserve">SWIRE PROPERTIES LTD</t>
  </si>
  <si>
    <t xml:space="preserve">FIBI</t>
  </si>
  <si>
    <t xml:space="preserve">FIRST INTL BANK ISRAEL</t>
  </si>
  <si>
    <t xml:space="preserve">6481</t>
  </si>
  <si>
    <t xml:space="preserve">THK CO LTD</t>
  </si>
  <si>
    <t xml:space="preserve">PHM</t>
  </si>
  <si>
    <t xml:space="preserve">PHARMA MAR SA</t>
  </si>
  <si>
    <t xml:space="preserve">2688</t>
  </si>
  <si>
    <t xml:space="preserve">ENN ENERGY HOLDINGS LTD</t>
  </si>
  <si>
    <t xml:space="preserve">7189</t>
  </si>
  <si>
    <t xml:space="preserve">NISHI NIPPON FINANCIAL HOLDI</t>
  </si>
  <si>
    <t xml:space="preserve">392</t>
  </si>
  <si>
    <t xml:space="preserve">BEIJING ENTERPRISES HLDGS</t>
  </si>
  <si>
    <t xml:space="preserve">A003230</t>
  </si>
  <si>
    <t xml:space="preserve">SAMYANG FOODS CO LTD</t>
  </si>
  <si>
    <t xml:space="preserve">6135</t>
  </si>
  <si>
    <t xml:space="preserve">MAKINO MILLING MACHINE CO</t>
  </si>
  <si>
    <t xml:space="preserve">SANDS CHINA LTD</t>
  </si>
  <si>
    <t xml:space="preserve">4768</t>
  </si>
  <si>
    <t xml:space="preserve">OTSUKA CORP</t>
  </si>
  <si>
    <t xml:space="preserve">601899</t>
  </si>
  <si>
    <t xml:space="preserve">ZIJIN MINING GROUP CO LTD A</t>
  </si>
  <si>
    <t xml:space="preserve">EUROB</t>
  </si>
  <si>
    <t xml:space="preserve">EUROBANK SA</t>
  </si>
  <si>
    <t xml:space="preserve">MRX</t>
  </si>
  <si>
    <t xml:space="preserve">MAREX GROUP LTD</t>
  </si>
  <si>
    <t xml:space="preserve">POLICYBZ</t>
  </si>
  <si>
    <t xml:space="preserve">PB FINTECH LTD</t>
  </si>
  <si>
    <t xml:space="preserve">3249</t>
  </si>
  <si>
    <t xml:space="preserve">INDUSTRIAL + INFRASTRUCTURE</t>
  </si>
  <si>
    <t xml:space="preserve">BVT</t>
  </si>
  <si>
    <t xml:space="preserve">BIDVEST GROUP LTD</t>
  </si>
  <si>
    <t xml:space="preserve">SDF</t>
  </si>
  <si>
    <t xml:space="preserve">STEADFAST GROUP LTD</t>
  </si>
  <si>
    <t xml:space="preserve">KNT</t>
  </si>
  <si>
    <t xml:space="preserve">K92 MINING</t>
  </si>
  <si>
    <t xml:space="preserve">5347</t>
  </si>
  <si>
    <t xml:space="preserve">VANGUARD INTERNATIONAL SEMI</t>
  </si>
  <si>
    <t xml:space="preserve">5838</t>
  </si>
  <si>
    <t xml:space="preserve">RAKUTEN BANK LTD</t>
  </si>
  <si>
    <t xml:space="preserve">BRPT</t>
  </si>
  <si>
    <t xml:space="preserve">BARITO PACIFIC TBK PT</t>
  </si>
  <si>
    <t xml:space="preserve">8253</t>
  </si>
  <si>
    <t xml:space="preserve">CREDIT SAISON CO LTD</t>
  </si>
  <si>
    <t xml:space="preserve">3289</t>
  </si>
  <si>
    <t xml:space="preserve">TOKYU FUDOSAN HOLDINGS CORP</t>
  </si>
  <si>
    <t xml:space="preserve">KGX</t>
  </si>
  <si>
    <t xml:space="preserve">KION GROUP AG</t>
  </si>
  <si>
    <t xml:space="preserve">SGH</t>
  </si>
  <si>
    <t xml:space="preserve">SGH LTD</t>
  </si>
  <si>
    <t xml:space="preserve">CUPD</t>
  </si>
  <si>
    <t xml:space="preserve">CUPID LTD</t>
  </si>
  <si>
    <t xml:space="preserve">A2A</t>
  </si>
  <si>
    <t xml:space="preserve">A2A SPA</t>
  </si>
  <si>
    <t xml:space="preserve">CAF</t>
  </si>
  <si>
    <t xml:space="preserve">CONSTRUCC Y AUX DE FERROCARR</t>
  </si>
  <si>
    <t xml:space="preserve">2459</t>
  </si>
  <si>
    <t xml:space="preserve">AUDIX CORP</t>
  </si>
  <si>
    <t xml:space="preserve">DIE</t>
  </si>
  <si>
    <t xml:space="preserve">D IETEREN GROUP</t>
  </si>
  <si>
    <t xml:space="preserve">HUB</t>
  </si>
  <si>
    <t xml:space="preserve">HUB24 LTD</t>
  </si>
  <si>
    <t xml:space="preserve">IG</t>
  </si>
  <si>
    <t xml:space="preserve">ITALGAS SPA</t>
  </si>
  <si>
    <t xml:space="preserve">ARIS</t>
  </si>
  <si>
    <t xml:space="preserve">ARIS MINING CORP</t>
  </si>
  <si>
    <t xml:space="preserve">LREN3</t>
  </si>
  <si>
    <t xml:space="preserve">LOJAS RENNER S.A.</t>
  </si>
  <si>
    <t xml:space="preserve">TCOM</t>
  </si>
  <si>
    <t xml:space="preserve">TATA COMMUNICATIONS LTD</t>
  </si>
  <si>
    <t xml:space="preserve">K S AG REG</t>
  </si>
  <si>
    <t xml:space="preserve">2609</t>
  </si>
  <si>
    <t xml:space="preserve">YANG MING MARINE TRANSPORT</t>
  </si>
  <si>
    <t xml:space="preserve">2212</t>
  </si>
  <si>
    <t xml:space="preserve">YAMAZAKI BAKING CO LTD</t>
  </si>
  <si>
    <t xml:space="preserve">CEN</t>
  </si>
  <si>
    <t xml:space="preserve">CONTACT ENERGY LTD</t>
  </si>
  <si>
    <t xml:space="preserve">002714</t>
  </si>
  <si>
    <t xml:space="preserve">MUYUAN FOODS GROUP CO LTD A</t>
  </si>
  <si>
    <t xml:space="preserve">SSAB A</t>
  </si>
  <si>
    <t xml:space="preserve">SSAB AB A SHARES</t>
  </si>
  <si>
    <t xml:space="preserve">5832</t>
  </si>
  <si>
    <t xml:space="preserve">CHUGIN FINANCIAL GROUP INC</t>
  </si>
  <si>
    <t xml:space="preserve">688192</t>
  </si>
  <si>
    <t xml:space="preserve">DIZAL JIANGSU PHARMACEUTIC A</t>
  </si>
  <si>
    <t xml:space="preserve">914</t>
  </si>
  <si>
    <t xml:space="preserve">ANHUI CONCH CEMENT CO LTD H</t>
  </si>
  <si>
    <t xml:space="preserve">TPEIR</t>
  </si>
  <si>
    <t xml:space="preserve">PIRAEUS BANK SA</t>
  </si>
  <si>
    <t xml:space="preserve">SKE</t>
  </si>
  <si>
    <t xml:space="preserve">SKEENA RESOURCES LTD</t>
  </si>
  <si>
    <t xml:space="preserve">ELUX B</t>
  </si>
  <si>
    <t xml:space="preserve">ELECTROLUX AB B</t>
  </si>
  <si>
    <t xml:space="preserve">1140</t>
  </si>
  <si>
    <t xml:space="preserve">BANK ALBILAD</t>
  </si>
  <si>
    <t xml:space="preserve">4183</t>
  </si>
  <si>
    <t xml:space="preserve">MITSUI CHEMICALS INC</t>
  </si>
  <si>
    <t xml:space="preserve">JINDALST</t>
  </si>
  <si>
    <t xml:space="preserve">JINDAL STEEL LTD</t>
  </si>
  <si>
    <t xml:space="preserve">6189</t>
  </si>
  <si>
    <t xml:space="preserve">PROMATE ELECTRONIC CO LTD</t>
  </si>
  <si>
    <t xml:space="preserve">ACO.X</t>
  </si>
  <si>
    <t xml:space="preserve">ATCO LTD  CLASS I</t>
  </si>
  <si>
    <t xml:space="preserve">7984</t>
  </si>
  <si>
    <t xml:space="preserve">KOKUYO CO LTD</t>
  </si>
  <si>
    <t xml:space="preserve">4403</t>
  </si>
  <si>
    <t xml:space="preserve">NOF CORP</t>
  </si>
  <si>
    <t xml:space="preserve">GEI</t>
  </si>
  <si>
    <t xml:space="preserve">GIBSON ENERGY INC</t>
  </si>
  <si>
    <t xml:space="preserve">002851</t>
  </si>
  <si>
    <t xml:space="preserve">SHENZHEN MEGMEET ELECTRICA A</t>
  </si>
  <si>
    <t xml:space="preserve">MP1</t>
  </si>
  <si>
    <t xml:space="preserve">MEGAPORT LTD</t>
  </si>
  <si>
    <t xml:space="preserve">5876</t>
  </si>
  <si>
    <t xml:space="preserve">THE SHANGHAI COMMERCIAL + SA</t>
  </si>
  <si>
    <t xml:space="preserve">8234</t>
  </si>
  <si>
    <t xml:space="preserve">NEXCOM INTERNATIONAL CO LTD</t>
  </si>
  <si>
    <t xml:space="preserve">AVOL</t>
  </si>
  <si>
    <t xml:space="preserve">AVOLTA AG</t>
  </si>
  <si>
    <t xml:space="preserve">6269</t>
  </si>
  <si>
    <t xml:space="preserve">MODEC INC</t>
  </si>
  <si>
    <t xml:space="preserve">3696</t>
  </si>
  <si>
    <t xml:space="preserve">INSILICO MEDICINE CAYMAN TOP</t>
  </si>
  <si>
    <t xml:space="preserve">LTM</t>
  </si>
  <si>
    <t xml:space="preserve">LTM LTD</t>
  </si>
  <si>
    <t xml:space="preserve">IGO</t>
  </si>
  <si>
    <t xml:space="preserve">IGO LTD</t>
  </si>
  <si>
    <t xml:space="preserve">KBCA</t>
  </si>
  <si>
    <t xml:space="preserve">KBC ANCORA</t>
  </si>
  <si>
    <t xml:space="preserve">9533</t>
  </si>
  <si>
    <t xml:space="preserve">TOHO GAS CO LTD</t>
  </si>
  <si>
    <t xml:space="preserve">CWY</t>
  </si>
  <si>
    <t xml:space="preserve">CLEANAWAY WASTE MANAGEMENT L</t>
  </si>
  <si>
    <t xml:space="preserve">9660</t>
  </si>
  <si>
    <t xml:space="preserve">HORIZON ROBOTICS INC</t>
  </si>
  <si>
    <t xml:space="preserve">ZAIN</t>
  </si>
  <si>
    <t xml:space="preserve">MOBILE TELECOMMUNICATIONS CO</t>
  </si>
  <si>
    <t xml:space="preserve">991</t>
  </si>
  <si>
    <t xml:space="preserve">DATANG INTL POWER GEN CO H</t>
  </si>
  <si>
    <t xml:space="preserve">U96</t>
  </si>
  <si>
    <t xml:space="preserve">SEMBCORP INDUSTRIES LTD</t>
  </si>
  <si>
    <t xml:space="preserve">9698</t>
  </si>
  <si>
    <t xml:space="preserve">GDS HOLDINGS LTD CL A</t>
  </si>
  <si>
    <t xml:space="preserve">CDR</t>
  </si>
  <si>
    <t xml:space="preserve">CD PROJEKT RED SA</t>
  </si>
  <si>
    <t xml:space="preserve">FIBRAPL 14</t>
  </si>
  <si>
    <t xml:space="preserve">PROLOGIS PROPERTY MEXICO SA</t>
  </si>
  <si>
    <t xml:space="preserve">TCAP</t>
  </si>
  <si>
    <t xml:space="preserve">TP ICAP GROUP PLC</t>
  </si>
  <si>
    <t xml:space="preserve">MTY</t>
  </si>
  <si>
    <t xml:space="preserve">MTY FOOD GROUP INC</t>
  </si>
  <si>
    <t xml:space="preserve">NHC</t>
  </si>
  <si>
    <t xml:space="preserve">NEW HOPE CORP LTD</t>
  </si>
  <si>
    <t xml:space="preserve">2331</t>
  </si>
  <si>
    <t xml:space="preserve">LI NING CO LTD</t>
  </si>
  <si>
    <t xml:space="preserve">EZJ</t>
  </si>
  <si>
    <t xml:space="preserve">EASYJET PLC</t>
  </si>
  <si>
    <t xml:space="preserve">6805</t>
  </si>
  <si>
    <t xml:space="preserve">FOSITEK CORP</t>
  </si>
  <si>
    <t xml:space="preserve">BIG</t>
  </si>
  <si>
    <t xml:space="preserve">BIG SHOPPING CENTERS 2004 LT</t>
  </si>
  <si>
    <t xml:space="preserve">PRT</t>
  </si>
  <si>
    <t xml:space="preserve">ESPRINET SPA</t>
  </si>
  <si>
    <t xml:space="preserve">3861</t>
  </si>
  <si>
    <t xml:space="preserve">OJI HOLDINGS CORP</t>
  </si>
  <si>
    <t xml:space="preserve">CWK</t>
  </si>
  <si>
    <t xml:space="preserve">CRANSWICK PLC</t>
  </si>
  <si>
    <t xml:space="preserve">CLN</t>
  </si>
  <si>
    <t xml:space="preserve">CLARIANT AG REG</t>
  </si>
  <si>
    <t xml:space="preserve">BPCL</t>
  </si>
  <si>
    <t xml:space="preserve">BHARAT PETROLEUM CORP LTD</t>
  </si>
  <si>
    <t xml:space="preserve">LEG</t>
  </si>
  <si>
    <t xml:space="preserve">LEG IMMOBILIEN SE</t>
  </si>
  <si>
    <t xml:space="preserve">EREGL</t>
  </si>
  <si>
    <t xml:space="preserve">EREGLI DEMIR VE CELIK FABRIK</t>
  </si>
  <si>
    <t xml:space="preserve">5929</t>
  </si>
  <si>
    <t xml:space="preserve">SANWA HOLDINGS CORP</t>
  </si>
  <si>
    <t xml:space="preserve">ALSYDB</t>
  </si>
  <si>
    <t xml:space="preserve">AL SYDBANK</t>
  </si>
  <si>
    <t xml:space="preserve">1210</t>
  </si>
  <si>
    <t xml:space="preserve">GREAT WALL ENTERPRISES</t>
  </si>
  <si>
    <t xml:space="preserve">FNTN</t>
  </si>
  <si>
    <t xml:space="preserve">FREENET AG</t>
  </si>
  <si>
    <t xml:space="preserve">1721</t>
  </si>
  <si>
    <t xml:space="preserve">COMSYS HOLDINGS CORP</t>
  </si>
  <si>
    <t xml:space="preserve">INDUSTOW</t>
  </si>
  <si>
    <t xml:space="preserve">INDUS TOWERS LTD</t>
  </si>
  <si>
    <t xml:space="preserve">600036</t>
  </si>
  <si>
    <t xml:space="preserve">CHINA MERCHANTS BANK A</t>
  </si>
  <si>
    <t xml:space="preserve">SWISS FRANC</t>
  </si>
  <si>
    <t xml:space="preserve">MGOR</t>
  </si>
  <si>
    <t xml:space="preserve">MEGA OR HOLDINGS LTD</t>
  </si>
  <si>
    <t xml:space="preserve">POWERIND</t>
  </si>
  <si>
    <t xml:space="preserve">HITACHI ENERGY INDIA LTD</t>
  </si>
  <si>
    <t xml:space="preserve">GVTD</t>
  </si>
  <si>
    <t xml:space="preserve">GE VERNOVA T+D INDIA LTD</t>
  </si>
  <si>
    <t xml:space="preserve">CHINA OILFIELD SERVICES H</t>
  </si>
  <si>
    <t xml:space="preserve">5991</t>
  </si>
  <si>
    <t xml:space="preserve">NHK SPRING CO LTD</t>
  </si>
  <si>
    <t xml:space="preserve">FRA</t>
  </si>
  <si>
    <t xml:space="preserve">FRAPORT AG FRANKFURT AIRPORT</t>
  </si>
  <si>
    <t xml:space="preserve">A021240</t>
  </si>
  <si>
    <t xml:space="preserve">COWAY CO LTD</t>
  </si>
  <si>
    <t xml:space="preserve">OUT1V</t>
  </si>
  <si>
    <t xml:space="preserve">OUTOKUMPU OYJ</t>
  </si>
  <si>
    <t xml:space="preserve">7003</t>
  </si>
  <si>
    <t xml:space="preserve">MITSUI E+S CO LTD</t>
  </si>
  <si>
    <t xml:space="preserve">PSYS</t>
  </si>
  <si>
    <t xml:space="preserve">PERSISTENT SYSTEMS LTD</t>
  </si>
  <si>
    <t xml:space="preserve">5714</t>
  </si>
  <si>
    <t xml:space="preserve">DOWA HOLDINGS CO LTD</t>
  </si>
  <si>
    <t xml:space="preserve">KNOW</t>
  </si>
  <si>
    <t xml:space="preserve">KNOW IT AB</t>
  </si>
  <si>
    <t xml:space="preserve">2228</t>
  </si>
  <si>
    <t xml:space="preserve">XTALPI HOLDINGS LTD</t>
  </si>
  <si>
    <t xml:space="preserve">NEM</t>
  </si>
  <si>
    <t xml:space="preserve">NEMETSCHEK SE</t>
  </si>
  <si>
    <t xml:space="preserve">6923</t>
  </si>
  <si>
    <t xml:space="preserve">STANLEY ELECTRIC CO LTD</t>
  </si>
  <si>
    <t xml:space="preserve">2399</t>
  </si>
  <si>
    <t xml:space="preserve">BIOSTAR MICROTECH INTL CORP</t>
  </si>
  <si>
    <t xml:space="preserve">A062040</t>
  </si>
  <si>
    <t xml:space="preserve">SANIL ELECTRIC CO LTD</t>
  </si>
  <si>
    <t xml:space="preserve">598</t>
  </si>
  <si>
    <t xml:space="preserve">SINOTRANS LIMITED H</t>
  </si>
  <si>
    <t xml:space="preserve">VIPS</t>
  </si>
  <si>
    <t xml:space="preserve">VIPSHOP HOLDINGS LTD   ADR</t>
  </si>
  <si>
    <t xml:space="preserve">A024110</t>
  </si>
  <si>
    <t xml:space="preserve">INDUSTRIAL BANK OF KOREA</t>
  </si>
  <si>
    <t xml:space="preserve">VNT</t>
  </si>
  <si>
    <t xml:space="preserve">VENTIA SERVICES GROUP PTY LT</t>
  </si>
  <si>
    <t xml:space="preserve">BALDB</t>
  </si>
  <si>
    <t xml:space="preserve">FASTIGHETS AB BALDER B SHRS</t>
  </si>
  <si>
    <t xml:space="preserve">6415</t>
  </si>
  <si>
    <t xml:space="preserve">SILERGY CORP</t>
  </si>
  <si>
    <t xml:space="preserve">390</t>
  </si>
  <si>
    <t xml:space="preserve">CHINA RAILWAY GROUP LTD H</t>
  </si>
  <si>
    <t xml:space="preserve">600030</t>
  </si>
  <si>
    <t xml:space="preserve">CITIC SECURITIES CO A</t>
  </si>
  <si>
    <t xml:space="preserve">002595</t>
  </si>
  <si>
    <t xml:space="preserve">SHANDONG HIMILE MECHANICAL A</t>
  </si>
  <si>
    <t xml:space="preserve">SHENZHOU INTERNATIONAL GROUP</t>
  </si>
  <si>
    <t xml:space="preserve">LOTB</t>
  </si>
  <si>
    <t xml:space="preserve">LOTUS BAKERIES</t>
  </si>
  <si>
    <t xml:space="preserve">2259</t>
  </si>
  <si>
    <t xml:space="preserve">ZIJIN GOLD INTERNATIONAL CO</t>
  </si>
  <si>
    <t xml:space="preserve">2455</t>
  </si>
  <si>
    <t xml:space="preserve">VISUAL PHOTONICS EPITAXY CO</t>
  </si>
  <si>
    <t xml:space="preserve">1893</t>
  </si>
  <si>
    <t xml:space="preserve">PENTA OCEAN CONSTRUCTION CO</t>
  </si>
  <si>
    <t xml:space="preserve">9468</t>
  </si>
  <si>
    <t xml:space="preserve">KADOKAWA CORP</t>
  </si>
  <si>
    <t xml:space="preserve">CPR</t>
  </si>
  <si>
    <t xml:space="preserve">DAVIDE CAMPARI MILANO NV</t>
  </si>
  <si>
    <t xml:space="preserve">ALOS3</t>
  </si>
  <si>
    <t xml:space="preserve">ALLOS SA</t>
  </si>
  <si>
    <t xml:space="preserve">SOI</t>
  </si>
  <si>
    <t xml:space="preserve">S.O.I.T.E.C.</t>
  </si>
  <si>
    <t xml:space="preserve">WGX</t>
  </si>
  <si>
    <t xml:space="preserve">WESTGOLD RESOURCES LTD</t>
  </si>
  <si>
    <t xml:space="preserve">1951</t>
  </si>
  <si>
    <t xml:space="preserve">EXEO GROUP INC</t>
  </si>
  <si>
    <t xml:space="preserve">A001450</t>
  </si>
  <si>
    <t xml:space="preserve">HYUNDAI MARINE + FIRE INS CO</t>
  </si>
  <si>
    <t xml:space="preserve">688313</t>
  </si>
  <si>
    <t xml:space="preserve">HENAN SHIJIA PHOTONS TECHN A</t>
  </si>
  <si>
    <t xml:space="preserve">SCYR</t>
  </si>
  <si>
    <t xml:space="preserve">SACYR SA</t>
  </si>
  <si>
    <t xml:space="preserve">ICICIGI</t>
  </si>
  <si>
    <t xml:space="preserve">ICICI LOMBARD GENERAL INSURA</t>
  </si>
  <si>
    <t xml:space="preserve">DLEKG</t>
  </si>
  <si>
    <t xml:space="preserve">DELEK GROUP LTD</t>
  </si>
  <si>
    <t xml:space="preserve">CRT.UN</t>
  </si>
  <si>
    <t xml:space="preserve">CT REAL ESTATE INVESTMENT TR</t>
  </si>
  <si>
    <t xml:space="preserve">PDN</t>
  </si>
  <si>
    <t xml:space="preserve">PALADIN ENERGY LTD</t>
  </si>
  <si>
    <t xml:space="preserve">A000880</t>
  </si>
  <si>
    <t xml:space="preserve">HANWHA CORPORATION</t>
  </si>
  <si>
    <t xml:space="preserve">A247540</t>
  </si>
  <si>
    <t xml:space="preserve">ECOPRO BM CO LTD</t>
  </si>
  <si>
    <t xml:space="preserve">A039490</t>
  </si>
  <si>
    <t xml:space="preserve">KIWOOM SECURITIES CO LTD</t>
  </si>
  <si>
    <t xml:space="preserve">A000990</t>
  </si>
  <si>
    <t xml:space="preserve">DB HITEK CO LTD</t>
  </si>
  <si>
    <t xml:space="preserve">9065</t>
  </si>
  <si>
    <t xml:space="preserve">SANKYU INC</t>
  </si>
  <si>
    <t xml:space="preserve">23</t>
  </si>
  <si>
    <t xml:space="preserve">BANK OF EAST ASIA LTD</t>
  </si>
  <si>
    <t xml:space="preserve">ENT</t>
  </si>
  <si>
    <t xml:space="preserve">ENTAIN PLC</t>
  </si>
  <si>
    <t xml:space="preserve">3110</t>
  </si>
  <si>
    <t xml:space="preserve">NITTO BOSEKI CO LTD</t>
  </si>
  <si>
    <t xml:space="preserve">8804</t>
  </si>
  <si>
    <t xml:space="preserve">TOKYO TATEMONO CO LTD</t>
  </si>
  <si>
    <t xml:space="preserve">AXFO</t>
  </si>
  <si>
    <t xml:space="preserve">AXFOOD AB</t>
  </si>
  <si>
    <t xml:space="preserve">1302</t>
  </si>
  <si>
    <t xml:space="preserve">BAWAN CO</t>
  </si>
  <si>
    <t xml:space="preserve">300274</t>
  </si>
  <si>
    <t xml:space="preserve">SUNGROW POWER SUPPLY CO LT A</t>
  </si>
  <si>
    <t xml:space="preserve">A443060</t>
  </si>
  <si>
    <t xml:space="preserve">HD HYUNDAI MARINE SOLUTION C</t>
  </si>
  <si>
    <t xml:space="preserve">GCB</t>
  </si>
  <si>
    <t xml:space="preserve">GUAN CHONG BHD</t>
  </si>
  <si>
    <t xml:space="preserve">6268</t>
  </si>
  <si>
    <t xml:space="preserve">NABTESCO CORP</t>
  </si>
  <si>
    <t xml:space="preserve">ADNOCDRILL</t>
  </si>
  <si>
    <t xml:space="preserve">ADNOC DRILLING CO PJSC</t>
  </si>
  <si>
    <t xml:space="preserve">5214</t>
  </si>
  <si>
    <t xml:space="preserve">NIPPON ELECTRIC GLASS CO LTD</t>
  </si>
  <si>
    <t xml:space="preserve">A080220</t>
  </si>
  <si>
    <t xml:space="preserve">JEJU SEMICONDUCTOR CORP</t>
  </si>
  <si>
    <t xml:space="preserve">TA</t>
  </si>
  <si>
    <t xml:space="preserve">TRANSALTA CORP</t>
  </si>
  <si>
    <t xml:space="preserve">NOMURA REAL ESTATE HOLDINGS</t>
  </si>
  <si>
    <t xml:space="preserve">TBS</t>
  </si>
  <si>
    <t xml:space="preserve">TIGER BRANDS LTD</t>
  </si>
  <si>
    <t xml:space="preserve">APR</t>
  </si>
  <si>
    <t xml:space="preserve">APAR INDUSTRIES LTD</t>
  </si>
  <si>
    <t xml:space="preserve">CHILE</t>
  </si>
  <si>
    <t xml:space="preserve">BANCO DE CHILE</t>
  </si>
  <si>
    <t xml:space="preserve">BIM</t>
  </si>
  <si>
    <t xml:space="preserve">BIOMERIEUX</t>
  </si>
  <si>
    <t xml:space="preserve">2404</t>
  </si>
  <si>
    <t xml:space="preserve">UNITED INTEGRATED SERVICES</t>
  </si>
  <si>
    <t xml:space="preserve">AMBU B</t>
  </si>
  <si>
    <t xml:space="preserve">AMBU A/S B</t>
  </si>
  <si>
    <t xml:space="preserve">ITV</t>
  </si>
  <si>
    <t xml:space="preserve">ITV PLC</t>
  </si>
  <si>
    <t xml:space="preserve">2282</t>
  </si>
  <si>
    <t xml:space="preserve">NH FOODS LTD</t>
  </si>
  <si>
    <t xml:space="preserve">INL</t>
  </si>
  <si>
    <t xml:space="preserve">INVESTEC LTD</t>
  </si>
  <si>
    <t xml:space="preserve">3197</t>
  </si>
  <si>
    <t xml:space="preserve">SKYLARK HOLDINGS CO LTD</t>
  </si>
  <si>
    <t xml:space="preserve">5444</t>
  </si>
  <si>
    <t xml:space="preserve">YAMATO KOGYO CO LTD</t>
  </si>
  <si>
    <t xml:space="preserve">RUS</t>
  </si>
  <si>
    <t xml:space="preserve">RUSSEL METALS INC</t>
  </si>
  <si>
    <t xml:space="preserve">MARK</t>
  </si>
  <si>
    <t xml:space="preserve">AL RAYAN BANK</t>
  </si>
  <si>
    <t xml:space="preserve">3132</t>
  </si>
  <si>
    <t xml:space="preserve">MACNICA HOLDINGS INC</t>
  </si>
  <si>
    <t xml:space="preserve">1332</t>
  </si>
  <si>
    <t xml:space="preserve">NISSUI CORP</t>
  </si>
  <si>
    <t xml:space="preserve">ANDR</t>
  </si>
  <si>
    <t xml:space="preserve">ANDRITZ AG</t>
  </si>
  <si>
    <t xml:space="preserve">PLDT INC</t>
  </si>
  <si>
    <t xml:space="preserve">MGDL</t>
  </si>
  <si>
    <t xml:space="preserve">MIGDAL INSURANCE + FINANCIAL</t>
  </si>
  <si>
    <t xml:space="preserve">A108490</t>
  </si>
  <si>
    <t xml:space="preserve">ROBOTIS CO LTD</t>
  </si>
  <si>
    <t xml:space="preserve">ALLFG</t>
  </si>
  <si>
    <t xml:space="preserve">ALLFUNDS GROUP PLC</t>
  </si>
  <si>
    <t xml:space="preserve">IF</t>
  </si>
  <si>
    <t xml:space="preserve">BANCA IFIS SPA</t>
  </si>
  <si>
    <t xml:space="preserve">1217</t>
  </si>
  <si>
    <t xml:space="preserve">A.G.V. PRODUCTS</t>
  </si>
  <si>
    <t xml:space="preserve">4385</t>
  </si>
  <si>
    <t xml:space="preserve">MERCARI INC</t>
  </si>
  <si>
    <t xml:space="preserve">AUBANK</t>
  </si>
  <si>
    <t xml:space="preserve">AU SMALL FINANCE BANK LTD</t>
  </si>
  <si>
    <t xml:space="preserve">DIALOG</t>
  </si>
  <si>
    <t xml:space="preserve">DIALOG GROUP BHD</t>
  </si>
  <si>
    <t xml:space="preserve">SHC</t>
  </si>
  <si>
    <t xml:space="preserve">SHAFTESBURY CAPITAL PLC</t>
  </si>
  <si>
    <t xml:space="preserve">HILS</t>
  </si>
  <si>
    <t xml:space="preserve">HILL + SMITH PLC</t>
  </si>
  <si>
    <t xml:space="preserve">SAE</t>
  </si>
  <si>
    <t xml:space="preserve">SHUFERSAL LTD</t>
  </si>
  <si>
    <t xml:space="preserve">6471</t>
  </si>
  <si>
    <t xml:space="preserve">NSK LTD</t>
  </si>
  <si>
    <t xml:space="preserve">6696</t>
  </si>
  <si>
    <t xml:space="preserve">LIN BIOSCIENCE LNC</t>
  </si>
  <si>
    <t xml:space="preserve">AF</t>
  </si>
  <si>
    <t xml:space="preserve">AIR FRANCE KLM</t>
  </si>
  <si>
    <t xml:space="preserve">MDA</t>
  </si>
  <si>
    <t xml:space="preserve">MDA SPACE LTD</t>
  </si>
  <si>
    <t xml:space="preserve">MRP</t>
  </si>
  <si>
    <t xml:space="preserve">MR PRICE GROUP LTD</t>
  </si>
  <si>
    <t xml:space="preserve">MMYT</t>
  </si>
  <si>
    <t xml:space="preserve">MAKEMYTRIP LTD</t>
  </si>
  <si>
    <t xml:space="preserve">VEND</t>
  </si>
  <si>
    <t xml:space="preserve">VEND MARKETPLACES ASA CL</t>
  </si>
  <si>
    <t xml:space="preserve">CLPL</t>
  </si>
  <si>
    <t xml:space="preserve">CAPLIN POINT LABORATORIES</t>
  </si>
  <si>
    <t xml:space="preserve">AJBU</t>
  </si>
  <si>
    <t xml:space="preserve">KEPPEL DC REIT</t>
  </si>
  <si>
    <t xml:space="preserve">BLTE</t>
  </si>
  <si>
    <t xml:space="preserve">BELITE BIO INC   ADR</t>
  </si>
  <si>
    <t xml:space="preserve">6134</t>
  </si>
  <si>
    <t xml:space="preserve">FUJI CORP/AICHI</t>
  </si>
  <si>
    <t xml:space="preserve">JOYY</t>
  </si>
  <si>
    <t xml:space="preserve">JOYY INC ADR</t>
  </si>
  <si>
    <t xml:space="preserve">9626</t>
  </si>
  <si>
    <t xml:space="preserve">BILIBILI INC CLASS Z</t>
  </si>
  <si>
    <t xml:space="preserve">IFCN</t>
  </si>
  <si>
    <t xml:space="preserve">INFICON HOLDING AG REG</t>
  </si>
  <si>
    <t xml:space="preserve">002460</t>
  </si>
  <si>
    <t xml:space="preserve">GANFENG LITHIUM GROUP CO L A</t>
  </si>
  <si>
    <t xml:space="preserve">8996</t>
  </si>
  <si>
    <t xml:space="preserve">KAORI HEAT TREATMENT CO LTD</t>
  </si>
  <si>
    <t xml:space="preserve">LNR</t>
  </si>
  <si>
    <t xml:space="preserve">LINAMAR CORP</t>
  </si>
  <si>
    <t xml:space="preserve">2027</t>
  </si>
  <si>
    <t xml:space="preserve">TA CHEN STAINLESS PIPE CO</t>
  </si>
  <si>
    <t xml:space="preserve">5344</t>
  </si>
  <si>
    <t xml:space="preserve">MARUWA CO LTD</t>
  </si>
  <si>
    <t xml:space="preserve">3105</t>
  </si>
  <si>
    <t xml:space="preserve">WIN SEMICONDUCTORS CORP</t>
  </si>
  <si>
    <t xml:space="preserve">SAHOL</t>
  </si>
  <si>
    <t xml:space="preserve">HACI OMER SABANCI HOLDING</t>
  </si>
  <si>
    <t xml:space="preserve">6460</t>
  </si>
  <si>
    <t xml:space="preserve">SEGA SAMMY HOLDINGS INC</t>
  </si>
  <si>
    <t xml:space="preserve">3283</t>
  </si>
  <si>
    <t xml:space="preserve">NIPPON PROLOGIS REIT INC</t>
  </si>
  <si>
    <t xml:space="preserve">688519</t>
  </si>
  <si>
    <t xml:space="preserve">NANYA NEW MATERIAL TECHNOL A</t>
  </si>
  <si>
    <t xml:space="preserve">7014</t>
  </si>
  <si>
    <t xml:space="preserve">NAMURA SHIPBUILDING CO LTD</t>
  </si>
  <si>
    <t xml:space="preserve">3360</t>
  </si>
  <si>
    <t xml:space="preserve">FAR EAST HORIZON LTD</t>
  </si>
  <si>
    <t xml:space="preserve">KNSA</t>
  </si>
  <si>
    <t xml:space="preserve">KINIKSA PHARMACEUTICALS INTE</t>
  </si>
  <si>
    <t xml:space="preserve">HSCH</t>
  </si>
  <si>
    <t xml:space="preserve">HIMADRI SPECIALITY CHEMICAL</t>
  </si>
  <si>
    <t xml:space="preserve">AAF</t>
  </si>
  <si>
    <t xml:space="preserve">AIRTEL AFRICA PLC</t>
  </si>
  <si>
    <t xml:space="preserve">PHP</t>
  </si>
  <si>
    <t xml:space="preserve">PRIMARY HEALTH PROPERTIES</t>
  </si>
  <si>
    <t xml:space="preserve">SDG</t>
  </si>
  <si>
    <t xml:space="preserve">SD GUTHRIE BHD</t>
  </si>
  <si>
    <t xml:space="preserve">DLG</t>
  </si>
  <si>
    <t xml:space="preserve">DE LONGHI SPA</t>
  </si>
  <si>
    <t xml:space="preserve">AG1</t>
  </si>
  <si>
    <t xml:space="preserve">AUTO1 GROUP SE</t>
  </si>
  <si>
    <t xml:space="preserve">MMFS</t>
  </si>
  <si>
    <t xml:space="preserve">MAHINDRA + MAHINDRA FIN SECS</t>
  </si>
  <si>
    <t xml:space="preserve">A180640</t>
  </si>
  <si>
    <t xml:space="preserve">HANJIN KAL CORP</t>
  </si>
  <si>
    <t xml:space="preserve">CPN-F</t>
  </si>
  <si>
    <t xml:space="preserve">CENTRAL PATTANA PUB CO FOREI</t>
  </si>
  <si>
    <t xml:space="preserve">002837</t>
  </si>
  <si>
    <t xml:space="preserve">SHENZHEN ENVICOOL TECHNOLO A</t>
  </si>
  <si>
    <t xml:space="preserve">3288</t>
  </si>
  <si>
    <t xml:space="preserve">OPEN HOUSE GROUP CO LTD</t>
  </si>
  <si>
    <t xml:space="preserve">SAVE</t>
  </si>
  <si>
    <t xml:space="preserve">NORDNET AB PUBL</t>
  </si>
  <si>
    <t xml:space="preserve">VBL</t>
  </si>
  <si>
    <t xml:space="preserve">VARUN BEVERAGES LTD</t>
  </si>
  <si>
    <t xml:space="preserve">AAK_SEK</t>
  </si>
  <si>
    <t xml:space="preserve">AAK AB</t>
  </si>
  <si>
    <t xml:space="preserve">HUH1V</t>
  </si>
  <si>
    <t xml:space="preserve">HUHTAMAKI OYJ</t>
  </si>
  <si>
    <t xml:space="preserve">1099</t>
  </si>
  <si>
    <t xml:space="preserve">SINOPHARM GROUP CO H</t>
  </si>
  <si>
    <t xml:space="preserve">HOLMB</t>
  </si>
  <si>
    <t xml:space="preserve">HOLMEN AB B SHARES</t>
  </si>
  <si>
    <t xml:space="preserve">BOQ</t>
  </si>
  <si>
    <t xml:space="preserve">BANK OF QUEENSLAND LTD</t>
  </si>
  <si>
    <t xml:space="preserve">IVG</t>
  </si>
  <si>
    <t xml:space="preserve">IVECO GROUP NV</t>
  </si>
  <si>
    <t xml:space="preserve">VAU</t>
  </si>
  <si>
    <t xml:space="preserve">VAULT MINERALS LTD</t>
  </si>
  <si>
    <t xml:space="preserve">603588</t>
  </si>
  <si>
    <t xml:space="preserve">BEIJING GEOENVIRON ENGINEE A</t>
  </si>
  <si>
    <t xml:space="preserve">A138930</t>
  </si>
  <si>
    <t xml:space="preserve">BNK FINANCIAL GROUP INC</t>
  </si>
  <si>
    <t xml:space="preserve">HAVL</t>
  </si>
  <si>
    <t xml:space="preserve">HAVELLS INDIA LTD</t>
  </si>
  <si>
    <t xml:space="preserve">ME8U</t>
  </si>
  <si>
    <t xml:space="preserve">MAPLETREE INDUSTRIAL TRUST</t>
  </si>
  <si>
    <t xml:space="preserve">601166</t>
  </si>
  <si>
    <t xml:space="preserve">INDUSTRIAL BANK CO LTD  A</t>
  </si>
  <si>
    <t xml:space="preserve">SUZB3</t>
  </si>
  <si>
    <t xml:space="preserve">SUZANO SA</t>
  </si>
  <si>
    <t xml:space="preserve">2333</t>
  </si>
  <si>
    <t xml:space="preserve">GREAT WALL MOTOR CO LTD H</t>
  </si>
  <si>
    <t xml:space="preserve">CIGI</t>
  </si>
  <si>
    <t xml:space="preserve">COLLIERS INTL GR SUBORD VOT</t>
  </si>
  <si>
    <t xml:space="preserve">SLPA</t>
  </si>
  <si>
    <t xml:space="preserve">SHILPA MEDICARE LTD</t>
  </si>
  <si>
    <t xml:space="preserve">2727</t>
  </si>
  <si>
    <t xml:space="preserve">SHANGHAI ELECTRIC GRP CO L H</t>
  </si>
  <si>
    <t xml:space="preserve">FPE3</t>
  </si>
  <si>
    <t xml:space="preserve">FUCHS SE PREF</t>
  </si>
  <si>
    <t xml:space="preserve">MAXF</t>
  </si>
  <si>
    <t xml:space="preserve">MAX FINANCIAL SERVICES LTD</t>
  </si>
  <si>
    <t xml:space="preserve">6139</t>
  </si>
  <si>
    <t xml:space="preserve">L+K ENGINEERING CO LTD</t>
  </si>
  <si>
    <t xml:space="preserve">8418</t>
  </si>
  <si>
    <t xml:space="preserve">YAMAGUCHI FINANCIAL GROUP IN</t>
  </si>
  <si>
    <t xml:space="preserve">EGL</t>
  </si>
  <si>
    <t xml:space="preserve">MOTA ENGIL SGPS SA</t>
  </si>
  <si>
    <t xml:space="preserve">UPLL</t>
  </si>
  <si>
    <t xml:space="preserve">UPL LTD</t>
  </si>
  <si>
    <t xml:space="preserve">FTK</t>
  </si>
  <si>
    <t xml:space="preserve">FLATEXDEGIRO SE</t>
  </si>
  <si>
    <t xml:space="preserve">3898</t>
  </si>
  <si>
    <t xml:space="preserve">ZHUZHOU CRRC TIMES ELECTRI H</t>
  </si>
  <si>
    <t xml:space="preserve">4668</t>
  </si>
  <si>
    <t xml:space="preserve">MEIKO NETWORK JAPAN CO LTD</t>
  </si>
  <si>
    <t xml:space="preserve">MANTA</t>
  </si>
  <si>
    <t xml:space="preserve">MANDATUM OYJ</t>
  </si>
  <si>
    <t xml:space="preserve">REH</t>
  </si>
  <si>
    <t xml:space="preserve">REECE LTD</t>
  </si>
  <si>
    <t xml:space="preserve">576</t>
  </si>
  <si>
    <t xml:space="preserve">ZHEJIANG EXPRESSWAY CO H</t>
  </si>
  <si>
    <t xml:space="preserve">BANB</t>
  </si>
  <si>
    <t xml:space="preserve">BACHEM HOLDING AG</t>
  </si>
  <si>
    <t xml:space="preserve">1199</t>
  </si>
  <si>
    <t xml:space="preserve">COSCO SHIPPING PORTS LTD</t>
  </si>
  <si>
    <t xml:space="preserve">ZIP</t>
  </si>
  <si>
    <t xml:space="preserve">ZIP CO LTD</t>
  </si>
  <si>
    <t xml:space="preserve">O5RU</t>
  </si>
  <si>
    <t xml:space="preserve">AIMS APAC REIT</t>
  </si>
  <si>
    <t xml:space="preserve">600522</t>
  </si>
  <si>
    <t xml:space="preserve">JIANGSU ZHONGTIAN TECHNOLO A</t>
  </si>
  <si>
    <t xml:space="preserve">BC8</t>
  </si>
  <si>
    <t xml:space="preserve">BECHTLE AG</t>
  </si>
  <si>
    <t xml:space="preserve">AQN</t>
  </si>
  <si>
    <t xml:space="preserve">ALGONQUIN POWER + UTILITIES</t>
  </si>
  <si>
    <t xml:space="preserve">601225</t>
  </si>
  <si>
    <t xml:space="preserve">SHAANXI COAL INDUSTRY CO L A</t>
  </si>
  <si>
    <t xml:space="preserve">2809</t>
  </si>
  <si>
    <t xml:space="preserve">KEWPIE CORP</t>
  </si>
  <si>
    <t xml:space="preserve">COTN</t>
  </si>
  <si>
    <t xml:space="preserve">COMET HOLDING AG REG</t>
  </si>
  <si>
    <t xml:space="preserve">SAILIFE</t>
  </si>
  <si>
    <t xml:space="preserve">SAI LIFE SCIENCES LTD</t>
  </si>
  <si>
    <t xml:space="preserve">4088</t>
  </si>
  <si>
    <t xml:space="preserve">AIR WATER INC</t>
  </si>
  <si>
    <t xml:space="preserve">GNP</t>
  </si>
  <si>
    <t xml:space="preserve">GLENMARK PHARMACEUTICALS LTD</t>
  </si>
  <si>
    <t xml:space="preserve">002648</t>
  </si>
  <si>
    <t xml:space="preserve">SATELLITE CHEMICAL CO LTD A</t>
  </si>
  <si>
    <t xml:space="preserve">BJHI</t>
  </si>
  <si>
    <t xml:space="preserve">BAJAJ HOLDINGS AND INVESTMEN</t>
  </si>
  <si>
    <t xml:space="preserve">291</t>
  </si>
  <si>
    <t xml:space="preserve">CHINA RESOURCES BEER HOLDING</t>
  </si>
  <si>
    <t xml:space="preserve">TCELL</t>
  </si>
  <si>
    <t xml:space="preserve">TURKCELL ILETISIM HIZMET AS</t>
  </si>
  <si>
    <t xml:space="preserve">BYG</t>
  </si>
  <si>
    <t xml:space="preserve">BIG YELLOW GROUP PLC</t>
  </si>
  <si>
    <t xml:space="preserve">3092</t>
  </si>
  <si>
    <t xml:space="preserve">ZOZO INC</t>
  </si>
  <si>
    <t xml:space="preserve">POET</t>
  </si>
  <si>
    <t xml:space="preserve">POET TECHNOLOGIES INC</t>
  </si>
  <si>
    <t xml:space="preserve">ARF</t>
  </si>
  <si>
    <t xml:space="preserve">ASHDOD REFINERY LTD</t>
  </si>
  <si>
    <t xml:space="preserve">601869</t>
  </si>
  <si>
    <t xml:space="preserve">YANGTZE OPTICAL FIBRE AND  A</t>
  </si>
  <si>
    <t xml:space="preserve">8252</t>
  </si>
  <si>
    <t xml:space="preserve">MARUI GROUP CO LTD</t>
  </si>
  <si>
    <t xml:space="preserve">8370</t>
  </si>
  <si>
    <t xml:space="preserve">KIYO BANK LTD/THE</t>
  </si>
  <si>
    <t xml:space="preserve">2099</t>
  </si>
  <si>
    <t xml:space="preserve">CHINA GOLD INTERNATIONAL RES</t>
  </si>
  <si>
    <t xml:space="preserve">DOW</t>
  </si>
  <si>
    <t xml:space="preserve">DOWNER EDI LTD</t>
  </si>
  <si>
    <t xml:space="preserve">3006</t>
  </si>
  <si>
    <t xml:space="preserve">ELITE SEMICONDUCTOR MICROELE</t>
  </si>
  <si>
    <t xml:space="preserve">A161390</t>
  </si>
  <si>
    <t xml:space="preserve">HANKOOK TIRE + TECHNOLOGY CO</t>
  </si>
  <si>
    <t xml:space="preserve">000988</t>
  </si>
  <si>
    <t xml:space="preserve">HGTECH CO LTD A</t>
  </si>
  <si>
    <t xml:space="preserve">ALSOK CO LTD</t>
  </si>
  <si>
    <t xml:space="preserve">YKBNK</t>
  </si>
  <si>
    <t xml:space="preserve">YAPI VE KREDI BANKASI</t>
  </si>
  <si>
    <t xml:space="preserve">4613</t>
  </si>
  <si>
    <t xml:space="preserve">KANSAI PAINT CO LTD</t>
  </si>
  <si>
    <t xml:space="preserve">1530</t>
  </si>
  <si>
    <t xml:space="preserve">3SBIO INC</t>
  </si>
  <si>
    <t xml:space="preserve">GFC</t>
  </si>
  <si>
    <t xml:space="preserve">GECINA SA</t>
  </si>
  <si>
    <t xml:space="preserve">3774</t>
  </si>
  <si>
    <t xml:space="preserve">INTERNET INITIATIVE JAPAN</t>
  </si>
  <si>
    <t xml:space="preserve">OMU</t>
  </si>
  <si>
    <t xml:space="preserve">OLD MUTUAL LTD</t>
  </si>
  <si>
    <t xml:space="preserve">Emerging / GBP</t>
  </si>
  <si>
    <t xml:space="preserve">002768</t>
  </si>
  <si>
    <t xml:space="preserve">QINGDAO GON TECHNOLOGY CO  A</t>
  </si>
  <si>
    <t xml:space="preserve">DISCOVERY MINING LTD</t>
  </si>
  <si>
    <t xml:space="preserve">5631</t>
  </si>
  <si>
    <t xml:space="preserve">JAPAN STEEL WORKS LTD</t>
  </si>
  <si>
    <t xml:space="preserve">PEAB B</t>
  </si>
  <si>
    <t xml:space="preserve">PEAB AB CLASS B</t>
  </si>
  <si>
    <t xml:space="preserve">BC</t>
  </si>
  <si>
    <t xml:space="preserve">BRUNELLO CUCINELLI SPA</t>
  </si>
  <si>
    <t xml:space="preserve">7282</t>
  </si>
  <si>
    <t xml:space="preserve">TOYODA GOSEI CO LTD</t>
  </si>
  <si>
    <t xml:space="preserve">8021</t>
  </si>
  <si>
    <t xml:space="preserve">TOPOINT TECHNOLOGY CO LTD</t>
  </si>
  <si>
    <t xml:space="preserve">688766</t>
  </si>
  <si>
    <t xml:space="preserve">PUYA SEMICONDUCTOR SHANGHA A</t>
  </si>
  <si>
    <t xml:space="preserve">601318</t>
  </si>
  <si>
    <t xml:space="preserve">PING AN INSURANCE GROUP CO A</t>
  </si>
  <si>
    <t xml:space="preserve">5233</t>
  </si>
  <si>
    <t xml:space="preserve">TAIHEIYO CEMENT CORP</t>
  </si>
  <si>
    <t xml:space="preserve">AXICY</t>
  </si>
  <si>
    <t xml:space="preserve">AXIA ENERGIA ADR PREF C</t>
  </si>
  <si>
    <t xml:space="preserve">BBDC3</t>
  </si>
  <si>
    <t xml:space="preserve">BANCO BRADESCO S.A.</t>
  </si>
  <si>
    <t xml:space="preserve">HPOL B_SEK</t>
  </si>
  <si>
    <t xml:space="preserve">HEXPOL AB</t>
  </si>
  <si>
    <t xml:space="preserve">1969</t>
  </si>
  <si>
    <t xml:space="preserve">TAKASAGO THERMAL ENGINEERING</t>
  </si>
  <si>
    <t xml:space="preserve">TASE</t>
  </si>
  <si>
    <t xml:space="preserve">TEL AVIV STOCK EXCHANGE LTD</t>
  </si>
  <si>
    <t xml:space="preserve">9001</t>
  </si>
  <si>
    <t xml:space="preserve">TOBU RAILWAY CO LTD</t>
  </si>
  <si>
    <t xml:space="preserve">HOCHENG CORP</t>
  </si>
  <si>
    <t xml:space="preserve">VONN</t>
  </si>
  <si>
    <t xml:space="preserve">VONTOBEL HOLDING AG REG</t>
  </si>
  <si>
    <t xml:space="preserve">4</t>
  </si>
  <si>
    <t xml:space="preserve">WHARF HOLDINGS LTD</t>
  </si>
  <si>
    <t xml:space="preserve">601058</t>
  </si>
  <si>
    <t xml:space="preserve">SAILUN GROUP CO LTD A</t>
  </si>
  <si>
    <t xml:space="preserve">8358</t>
  </si>
  <si>
    <t xml:space="preserve">SURUGA BANK LTD</t>
  </si>
  <si>
    <t xml:space="preserve">HER</t>
  </si>
  <si>
    <t xml:space="preserve">HERA SPA</t>
  </si>
  <si>
    <t xml:space="preserve">LICHF</t>
  </si>
  <si>
    <t xml:space="preserve">LIC HOUSING FINANCE LTD</t>
  </si>
  <si>
    <t xml:space="preserve">SEK</t>
  </si>
  <si>
    <t xml:space="preserve">SEEK LTD</t>
  </si>
  <si>
    <t xml:space="preserve">CML</t>
  </si>
  <si>
    <t xml:space="preserve">CORONATION FUND MANAGERS LTD</t>
  </si>
  <si>
    <t xml:space="preserve">000426</t>
  </si>
  <si>
    <t xml:space="preserve">INNER MONGOLIA XINGYE SILV A</t>
  </si>
  <si>
    <t xml:space="preserve">1712</t>
  </si>
  <si>
    <t xml:space="preserve">SINON CORP</t>
  </si>
  <si>
    <t xml:space="preserve">867</t>
  </si>
  <si>
    <t xml:space="preserve">CHINA MEDICAL SYSTEM HOLDING</t>
  </si>
  <si>
    <t xml:space="preserve">VIS</t>
  </si>
  <si>
    <t xml:space="preserve">VISCOFAN SA</t>
  </si>
  <si>
    <t xml:space="preserve">BOUBYAN</t>
  </si>
  <si>
    <t xml:space="preserve">BOUBYAN BANK K.S.C</t>
  </si>
  <si>
    <t xml:space="preserve">285</t>
  </si>
  <si>
    <t xml:space="preserve">BYD ELECTRONIC INTL CO LTD</t>
  </si>
  <si>
    <t xml:space="preserve">2618</t>
  </si>
  <si>
    <t xml:space="preserve">EVA AIRWAYS CORP</t>
  </si>
  <si>
    <t xml:space="preserve">MUTH</t>
  </si>
  <si>
    <t xml:space="preserve">MUTHOOT FINANCE LTD</t>
  </si>
  <si>
    <t xml:space="preserve">HIK</t>
  </si>
  <si>
    <t xml:space="preserve">HIKMA PHARMACEUTICALS PLC</t>
  </si>
  <si>
    <t xml:space="preserve">ZV</t>
  </si>
  <si>
    <t xml:space="preserve">ZIGNAGO VETRO SPA</t>
  </si>
  <si>
    <t xml:space="preserve">2918</t>
  </si>
  <si>
    <t xml:space="preserve">WARABEYA NICHIYO HOLDINGS CO</t>
  </si>
  <si>
    <t xml:space="preserve">SFSN</t>
  </si>
  <si>
    <t xml:space="preserve">SFS GROUP AG</t>
  </si>
  <si>
    <t xml:space="preserve">1959</t>
  </si>
  <si>
    <t xml:space="preserve">KRAFTIA CORP</t>
  </si>
  <si>
    <t xml:space="preserve">WDO</t>
  </si>
  <si>
    <t xml:space="preserve">WESDOME GOLD MINES LTD</t>
  </si>
  <si>
    <t xml:space="preserve">A009830</t>
  </si>
  <si>
    <t xml:space="preserve">HANWHA SOLUTIONS CORP</t>
  </si>
  <si>
    <t xml:space="preserve">APN</t>
  </si>
  <si>
    <t xml:space="preserve">ASPEN PHARMACARE HOLDINGS LT</t>
  </si>
  <si>
    <t xml:space="preserve">MNDY</t>
  </si>
  <si>
    <t xml:space="preserve">MONDAY.COM LTD</t>
  </si>
  <si>
    <t xml:space="preserve">1808</t>
  </si>
  <si>
    <t xml:space="preserve">HASEKO CORP</t>
  </si>
  <si>
    <t xml:space="preserve">BKW</t>
  </si>
  <si>
    <t xml:space="preserve">BKW AG</t>
  </si>
  <si>
    <t xml:space="preserve">1604</t>
  </si>
  <si>
    <t xml:space="preserve">SAMPO CORP</t>
  </si>
  <si>
    <t xml:space="preserve">UNOMINDA</t>
  </si>
  <si>
    <t xml:space="preserve">UNO MINDA LTD</t>
  </si>
  <si>
    <t xml:space="preserve">SINCH</t>
  </si>
  <si>
    <t xml:space="preserve">SINCH AB</t>
  </si>
  <si>
    <t xml:space="preserve">RAIL3</t>
  </si>
  <si>
    <t xml:space="preserve">RUMO SA</t>
  </si>
  <si>
    <t xml:space="preserve">SALM</t>
  </si>
  <si>
    <t xml:space="preserve">SALMAR ASA</t>
  </si>
  <si>
    <t xml:space="preserve">EVD</t>
  </si>
  <si>
    <t xml:space="preserve">CTS EVENTIM AG + CO KGAA</t>
  </si>
  <si>
    <t xml:space="preserve">548</t>
  </si>
  <si>
    <t xml:space="preserve">SHENZHEN EXPRESSWAY CORP H</t>
  </si>
  <si>
    <t xml:space="preserve">GLBE</t>
  </si>
  <si>
    <t xml:space="preserve">GLOBAL E ONLINE LTD</t>
  </si>
  <si>
    <t xml:space="preserve">VEDL</t>
  </si>
  <si>
    <t xml:space="preserve">VEDANTA LTD</t>
  </si>
  <si>
    <t xml:space="preserve">TKMS</t>
  </si>
  <si>
    <t xml:space="preserve">TKMS AG+ CO KGAA</t>
  </si>
  <si>
    <t xml:space="preserve">6531</t>
  </si>
  <si>
    <t xml:space="preserve">AP MEMORY TECHNOLOGY CORP</t>
  </si>
  <si>
    <t xml:space="preserve">KALMAR</t>
  </si>
  <si>
    <t xml:space="preserve">KALMAR OYJ B SHARE</t>
  </si>
  <si>
    <t xml:space="preserve">SJ</t>
  </si>
  <si>
    <t xml:space="preserve">STELLA JONES INC</t>
  </si>
  <si>
    <t xml:space="preserve">9076</t>
  </si>
  <si>
    <t xml:space="preserve">SEINO HOLDINGS CO LTD</t>
  </si>
  <si>
    <t xml:space="preserve">000333</t>
  </si>
  <si>
    <t xml:space="preserve">MIDEA GROUP CO LTD A</t>
  </si>
  <si>
    <t xml:space="preserve">MTS</t>
  </si>
  <si>
    <t xml:space="preserve">METCASH LTD</t>
  </si>
  <si>
    <t xml:space="preserve">ENDEAVOUR GROUP LTD/AUSTRALI</t>
  </si>
  <si>
    <t xml:space="preserve">8955</t>
  </si>
  <si>
    <t xml:space="preserve">JAPAN PRIME REALTY INVESTMEN</t>
  </si>
  <si>
    <t xml:space="preserve">TM</t>
  </si>
  <si>
    <t xml:space="preserve">TELEKOM MALAYSIA BHD</t>
  </si>
  <si>
    <t xml:space="preserve">8227</t>
  </si>
  <si>
    <t xml:space="preserve">SHIMAMURA CO LTD</t>
  </si>
  <si>
    <t xml:space="preserve">1952</t>
  </si>
  <si>
    <t xml:space="preserve">EVEREST MEDICINES LTD</t>
  </si>
  <si>
    <t xml:space="preserve">3033</t>
  </si>
  <si>
    <t xml:space="preserve">WEIKENG INDUSTRIAL CO LTD</t>
  </si>
  <si>
    <t xml:space="preserve">A067310</t>
  </si>
  <si>
    <t xml:space="preserve">HANA MICRON INC</t>
  </si>
  <si>
    <t xml:space="preserve">MMHD</t>
  </si>
  <si>
    <t xml:space="preserve">MENORA MIVTACHIM HOLDINGS LT</t>
  </si>
  <si>
    <t xml:space="preserve">2520</t>
  </si>
  <si>
    <t xml:space="preserve">KINDOM DEVELOPMENT CO LTD</t>
  </si>
  <si>
    <t xml:space="preserve">A039030</t>
  </si>
  <si>
    <t xml:space="preserve">EO TECHNICS CO LTD</t>
  </si>
  <si>
    <t xml:space="preserve">5393</t>
  </si>
  <si>
    <t xml:space="preserve">NICHIAS CORP</t>
  </si>
  <si>
    <t xml:space="preserve">PIRC</t>
  </si>
  <si>
    <t xml:space="preserve">PIRELLI + C SPA</t>
  </si>
  <si>
    <t xml:space="preserve">NANO</t>
  </si>
  <si>
    <t xml:space="preserve">NANOBIOTIX</t>
  </si>
  <si>
    <t xml:space="preserve">HMS</t>
  </si>
  <si>
    <t xml:space="preserve">HMS NETWORKS AB</t>
  </si>
  <si>
    <t xml:space="preserve">SMPH</t>
  </si>
  <si>
    <t xml:space="preserve">SM PRIME HOLDINGS INC</t>
  </si>
  <si>
    <t xml:space="preserve">4680</t>
  </si>
  <si>
    <t xml:space="preserve">ROUND ONE CORP</t>
  </si>
  <si>
    <t xml:space="preserve">3309</t>
  </si>
  <si>
    <t xml:space="preserve">SEKISUI HOUSE REIT INC</t>
  </si>
  <si>
    <t xml:space="preserve">MRCO</t>
  </si>
  <si>
    <t xml:space="preserve">MARICO LTD</t>
  </si>
  <si>
    <t xml:space="preserve">HLAG</t>
  </si>
  <si>
    <t xml:space="preserve">HAPAG LLOYD AG</t>
  </si>
  <si>
    <t xml:space="preserve">603268</t>
  </si>
  <si>
    <t xml:space="preserve">GUANGDONG SONGFA CERAMICS  A</t>
  </si>
  <si>
    <t xml:space="preserve">ADNOCDIST</t>
  </si>
  <si>
    <t xml:space="preserve">ABU DHABI NATIONAL OIL CO FO</t>
  </si>
  <si>
    <t xml:space="preserve">2376</t>
  </si>
  <si>
    <t xml:space="preserve">GIGABYTE TECHNOLOGY CO LTD</t>
  </si>
  <si>
    <t xml:space="preserve">TRUE-F</t>
  </si>
  <si>
    <t xml:space="preserve">TRUE CORP PCL/NEW FOREIGN</t>
  </si>
  <si>
    <t xml:space="preserve">DLFU</t>
  </si>
  <si>
    <t xml:space="preserve">DLF LTD</t>
  </si>
  <si>
    <t xml:space="preserve">8524</t>
  </si>
  <si>
    <t xml:space="preserve">NORTH PACIFIC BANK LTD</t>
  </si>
  <si>
    <t xml:space="preserve">BRAV</t>
  </si>
  <si>
    <t xml:space="preserve">BRAVIDA HOLDING AB</t>
  </si>
  <si>
    <t xml:space="preserve">2207</t>
  </si>
  <si>
    <t xml:space="preserve">HOTAI MOTOR COMPANY LTD</t>
  </si>
  <si>
    <t xml:space="preserve">BIOS</t>
  </si>
  <si>
    <t xml:space="preserve">BIOCON LTD</t>
  </si>
  <si>
    <t xml:space="preserve">ISCTR</t>
  </si>
  <si>
    <t xml:space="preserve">TURKIYE IS BANKASI C</t>
  </si>
  <si>
    <t xml:space="preserve">601988</t>
  </si>
  <si>
    <t xml:space="preserve">BANK OF CHINA LTD A</t>
  </si>
  <si>
    <t xml:space="preserve">MOTV3</t>
  </si>
  <si>
    <t xml:space="preserve">MOTIVA INFRAESTRUTURA DE MOB</t>
  </si>
  <si>
    <t xml:space="preserve">VATW</t>
  </si>
  <si>
    <t xml:space="preserve">VA TECH WABAG LTD</t>
  </si>
  <si>
    <t xml:space="preserve">A084370</t>
  </si>
  <si>
    <t xml:space="preserve">EUGENE TECHNOLOGY CO LTD</t>
  </si>
  <si>
    <t xml:space="preserve">A000100</t>
  </si>
  <si>
    <t xml:space="preserve">YUHAN CORP</t>
  </si>
  <si>
    <t xml:space="preserve">SUZ</t>
  </si>
  <si>
    <t xml:space="preserve">SUZANO SA  SPON ADR</t>
  </si>
  <si>
    <t xml:space="preserve">1708</t>
  </si>
  <si>
    <t xml:space="preserve">SESODA CORP</t>
  </si>
  <si>
    <t xml:space="preserve">SRF</t>
  </si>
  <si>
    <t xml:space="preserve">SRF LTD</t>
  </si>
  <si>
    <t xml:space="preserve">ALLN</t>
  </si>
  <si>
    <t xml:space="preserve">ALLREAL HOLDING AG REG</t>
  </si>
  <si>
    <t xml:space="preserve">6508</t>
  </si>
  <si>
    <t xml:space="preserve">MEIDENSHA CORP</t>
  </si>
  <si>
    <t xml:space="preserve">GFTU</t>
  </si>
  <si>
    <t xml:space="preserve">GRAFTON GROUP PLC UTS  CDI</t>
  </si>
  <si>
    <t xml:space="preserve">4043</t>
  </si>
  <si>
    <t xml:space="preserve">TOKUYAMA CORP</t>
  </si>
  <si>
    <t xml:space="preserve">NTC</t>
  </si>
  <si>
    <t xml:space="preserve">NETCARE LTD</t>
  </si>
  <si>
    <t xml:space="preserve">EURO CURRENCY</t>
  </si>
  <si>
    <t xml:space="preserve">A088350</t>
  </si>
  <si>
    <t xml:space="preserve">HANWHA LIFE INSURANCE CO LTD</t>
  </si>
  <si>
    <t xml:space="preserve">KMAR</t>
  </si>
  <si>
    <t xml:space="preserve">KONGSBERG MARITIME ASA</t>
  </si>
  <si>
    <t xml:space="preserve">JSW</t>
  </si>
  <si>
    <t xml:space="preserve">JSW ENERGY LTD</t>
  </si>
  <si>
    <t xml:space="preserve">GBK</t>
  </si>
  <si>
    <t xml:space="preserve">GULF BANK</t>
  </si>
  <si>
    <t xml:space="preserve">FDJU</t>
  </si>
  <si>
    <t xml:space="preserve">FDJ UNITED</t>
  </si>
  <si>
    <t xml:space="preserve">DWS</t>
  </si>
  <si>
    <t xml:space="preserve">DWS GROUP GMBH + CO KGAA</t>
  </si>
  <si>
    <t xml:space="preserve">A090430</t>
  </si>
  <si>
    <t xml:space="preserve">AMOREPACIFIC CORP</t>
  </si>
  <si>
    <t xml:space="preserve">8984</t>
  </si>
  <si>
    <t xml:space="preserve">DAIWA HOUSE REIT INVESTMENT</t>
  </si>
  <si>
    <t xml:space="preserve">BCVN</t>
  </si>
  <si>
    <t xml:space="preserve">BANQUE CANTONALE VAUDOIS REG</t>
  </si>
  <si>
    <t xml:space="preserve">LIVEPOL C-1</t>
  </si>
  <si>
    <t xml:space="preserve">EL PUERTO DE LIVERPOOL C1</t>
  </si>
  <si>
    <t xml:space="preserve">CMBN</t>
  </si>
  <si>
    <t xml:space="preserve">CEMBRA MONEY BANK AG</t>
  </si>
  <si>
    <t xml:space="preserve">SUPR</t>
  </si>
  <si>
    <t xml:space="preserve">SUPERMARKET INCOME REIT PLC</t>
  </si>
  <si>
    <t xml:space="preserve">ATHERENE</t>
  </si>
  <si>
    <t xml:space="preserve">ATHER ENERGY LTD</t>
  </si>
  <si>
    <t xml:space="preserve">NPI</t>
  </si>
  <si>
    <t xml:space="preserve">NORTHLAND POWER INC</t>
  </si>
  <si>
    <t xml:space="preserve">6787</t>
  </si>
  <si>
    <t xml:space="preserve">MEIKO ELECTRONICS CO LTD</t>
  </si>
  <si>
    <t xml:space="preserve">4527</t>
  </si>
  <si>
    <t xml:space="preserve">ROHTO PHARMACEUTICAL CO LTD</t>
  </si>
  <si>
    <t xml:space="preserve">688183</t>
  </si>
  <si>
    <t xml:space="preserve">SHENGYI ELECTRONICS CO LTD A</t>
  </si>
  <si>
    <t xml:space="preserve">5021</t>
  </si>
  <si>
    <t xml:space="preserve">COSMO ENERGY HOLDINGS CO LTD</t>
  </si>
  <si>
    <t xml:space="preserve">WAF</t>
  </si>
  <si>
    <t xml:space="preserve">WEST AFRICAN RESOURCES LTD</t>
  </si>
  <si>
    <t xml:space="preserve">DLN</t>
  </si>
  <si>
    <t xml:space="preserve">DERWENT LONDON PLC</t>
  </si>
  <si>
    <t xml:space="preserve">PNN</t>
  </si>
  <si>
    <t xml:space="preserve">PENNON GROUP PLC</t>
  </si>
  <si>
    <t xml:space="preserve">STR</t>
  </si>
  <si>
    <t xml:space="preserve">STRIDES PHARMA SCIENCE LTD</t>
  </si>
  <si>
    <t xml:space="preserve">BWY</t>
  </si>
  <si>
    <t xml:space="preserve">BELLWAY PLC</t>
  </si>
  <si>
    <t xml:space="preserve">8381</t>
  </si>
  <si>
    <t xml:space="preserve">SAN IN GODO BANK LTD/THE</t>
  </si>
  <si>
    <t xml:space="preserve">601100</t>
  </si>
  <si>
    <t xml:space="preserve">JIANGSU HENGLI HYDRAULIC C A</t>
  </si>
  <si>
    <t xml:space="preserve">A240810</t>
  </si>
  <si>
    <t xml:space="preserve">WONIK IPS CO LTD</t>
  </si>
  <si>
    <t xml:space="preserve">2280</t>
  </si>
  <si>
    <t xml:space="preserve">ALMARAI CO</t>
  </si>
  <si>
    <t xml:space="preserve">RF</t>
  </si>
  <si>
    <t xml:space="preserve">EURAZEO SE</t>
  </si>
  <si>
    <t xml:space="preserve">5805</t>
  </si>
  <si>
    <t xml:space="preserve">SWCC CORP</t>
  </si>
  <si>
    <t xml:space="preserve">601857</t>
  </si>
  <si>
    <t xml:space="preserve">PETROCHINA CO LTD A</t>
  </si>
  <si>
    <t xml:space="preserve">KRNT</t>
  </si>
  <si>
    <t xml:space="preserve">KORNIT DIGITAL LTD</t>
  </si>
  <si>
    <t xml:space="preserve">PDI</t>
  </si>
  <si>
    <t xml:space="preserve">PDI GOLD LTD</t>
  </si>
  <si>
    <t xml:space="preserve">Y92</t>
  </si>
  <si>
    <t xml:space="preserve">THAI BEVERAGE PCL</t>
  </si>
  <si>
    <t xml:space="preserve">300394</t>
  </si>
  <si>
    <t xml:space="preserve">SUZHOU TFC OPTICAL COMMUNI A</t>
  </si>
  <si>
    <t xml:space="preserve">LIIL</t>
  </si>
  <si>
    <t xml:space="preserve">LINDE INDIA LTD</t>
  </si>
  <si>
    <t xml:space="preserve">GL9</t>
  </si>
  <si>
    <t xml:space="preserve">GLANBIA PLC</t>
  </si>
  <si>
    <t xml:space="preserve">MOBN</t>
  </si>
  <si>
    <t xml:space="preserve">MOBIMO HOLDING AG REG</t>
  </si>
  <si>
    <t xml:space="preserve">VIG</t>
  </si>
  <si>
    <t xml:space="preserve">VIENNA INSURANCE GROUP AG</t>
  </si>
  <si>
    <t xml:space="preserve">4061</t>
  </si>
  <si>
    <t xml:space="preserve">DENKA CO LTD</t>
  </si>
  <si>
    <t xml:space="preserve">PCHEM</t>
  </si>
  <si>
    <t xml:space="preserve">PETRONAS CHEMICALS GROUP BHD</t>
  </si>
  <si>
    <t xml:space="preserve">BULL</t>
  </si>
  <si>
    <t xml:space="preserve">WEBULL CORP</t>
  </si>
  <si>
    <t xml:space="preserve">3660</t>
  </si>
  <si>
    <t xml:space="preserve">ISTYLE INC</t>
  </si>
  <si>
    <t xml:space="preserve">RAND</t>
  </si>
  <si>
    <t xml:space="preserve">RANDSTAD NV</t>
  </si>
  <si>
    <t xml:space="preserve">916</t>
  </si>
  <si>
    <t xml:space="preserve">CHINA LONGYUAN POWER GROUP H</t>
  </si>
  <si>
    <t xml:space="preserve">ELM CO</t>
  </si>
  <si>
    <t xml:space="preserve">7164</t>
  </si>
  <si>
    <t xml:space="preserve">ZENKOKU HOSHO CO LTD</t>
  </si>
  <si>
    <t xml:space="preserve">2432</t>
  </si>
  <si>
    <t xml:space="preserve">DENA CO LTD</t>
  </si>
  <si>
    <t xml:space="preserve">VATN</t>
  </si>
  <si>
    <t xml:space="preserve">VALIANT HOLDING AG REG</t>
  </si>
  <si>
    <t xml:space="preserve">ROVI</t>
  </si>
  <si>
    <t xml:space="preserve">LABORATORIOS FARMACEUTICOS R</t>
  </si>
  <si>
    <t xml:space="preserve">6886</t>
  </si>
  <si>
    <t xml:space="preserve">HUATAI SECURITIES CO LTD H</t>
  </si>
  <si>
    <t xml:space="preserve">PTEC</t>
  </si>
  <si>
    <t xml:space="preserve">PLAYTECH PLC</t>
  </si>
  <si>
    <t xml:space="preserve">YAL</t>
  </si>
  <si>
    <t xml:space="preserve">YANCOAL AUSTRALIA LTD</t>
  </si>
  <si>
    <t xml:space="preserve">COLR</t>
  </si>
  <si>
    <t xml:space="preserve">COLRUYT GROUP N.V</t>
  </si>
  <si>
    <t xml:space="preserve">BURE</t>
  </si>
  <si>
    <t xml:space="preserve">BURE EQUITY AB</t>
  </si>
  <si>
    <t xml:space="preserve">6890</t>
  </si>
  <si>
    <t xml:space="preserve">FERROTEC CORP</t>
  </si>
  <si>
    <t xml:space="preserve">NATIONAL MEDICAL CARE CO</t>
  </si>
  <si>
    <t xml:space="preserve">VOW</t>
  </si>
  <si>
    <t xml:space="preserve">VOLKSWAGEN AG</t>
  </si>
  <si>
    <t xml:space="preserve">3888</t>
  </si>
  <si>
    <t xml:space="preserve">KINGSOFT CORP LTD</t>
  </si>
  <si>
    <t xml:space="preserve">002429</t>
  </si>
  <si>
    <t xml:space="preserve">SHENZHEN MTC CO LTD  A</t>
  </si>
  <si>
    <t xml:space="preserve">6417</t>
  </si>
  <si>
    <t xml:space="preserve">SANKYO CO LTD</t>
  </si>
  <si>
    <t xml:space="preserve">BOY</t>
  </si>
  <si>
    <t xml:space="preserve">BODYCOTE PLC</t>
  </si>
  <si>
    <t xml:space="preserve">688630</t>
  </si>
  <si>
    <t xml:space="preserve">CIRCUIT FABOLOGY MICROELEC A</t>
  </si>
  <si>
    <t xml:space="preserve">189</t>
  </si>
  <si>
    <t xml:space="preserve">DONGYUE GROUP</t>
  </si>
  <si>
    <t xml:space="preserve">ALI</t>
  </si>
  <si>
    <t xml:space="preserve">AYALA LAND INC</t>
  </si>
  <si>
    <t xml:space="preserve">JUBI</t>
  </si>
  <si>
    <t xml:space="preserve">JUBILANT FOODWORKS LTD</t>
  </si>
  <si>
    <t xml:space="preserve">VIYASH</t>
  </si>
  <si>
    <t xml:space="preserve">VIYASH SCIENTIFIC LTD</t>
  </si>
  <si>
    <t xml:space="preserve">KXS</t>
  </si>
  <si>
    <t xml:space="preserve">KINAXIS INC</t>
  </si>
  <si>
    <t xml:space="preserve">MF</t>
  </si>
  <si>
    <t xml:space="preserve">WENDEL</t>
  </si>
  <si>
    <t xml:space="preserve">NWL</t>
  </si>
  <si>
    <t xml:space="preserve">NETWEALTH GROUP LTD</t>
  </si>
  <si>
    <t xml:space="preserve">MLSR</t>
  </si>
  <si>
    <t xml:space="preserve">MELISRON</t>
  </si>
  <si>
    <t xml:space="preserve">TIGO</t>
  </si>
  <si>
    <t xml:space="preserve">MILLICOM INTL CELLULAR S.A.</t>
  </si>
  <si>
    <t xml:space="preserve">5471</t>
  </si>
  <si>
    <t xml:space="preserve">DAIDO STEEL CO LTD</t>
  </si>
  <si>
    <t xml:space="preserve">AKE</t>
  </si>
  <si>
    <t xml:space="preserve">ARKEMA</t>
  </si>
  <si>
    <t xml:space="preserve">9301</t>
  </si>
  <si>
    <t xml:space="preserve">MITSUBISHI LOGISTICS CORP</t>
  </si>
  <si>
    <t xml:space="preserve">EMAARDEV</t>
  </si>
  <si>
    <t xml:space="preserve">EMAAR DEVELOPMENT PJSC</t>
  </si>
  <si>
    <t xml:space="preserve">8368</t>
  </si>
  <si>
    <t xml:space="preserve">HYAKUGO BANK LTD/THE</t>
  </si>
  <si>
    <t xml:space="preserve">LATAM AIRLINES GROUP SA</t>
  </si>
  <si>
    <t xml:space="preserve">BRAP4</t>
  </si>
  <si>
    <t xml:space="preserve">BRADESPAR SA  PREF</t>
  </si>
  <si>
    <t xml:space="preserve">ECOPETROL</t>
  </si>
  <si>
    <t xml:space="preserve">ECOPETROL SA</t>
  </si>
  <si>
    <t xml:space="preserve">NCC B</t>
  </si>
  <si>
    <t xml:space="preserve">NCC AB B SHS</t>
  </si>
  <si>
    <t xml:space="preserve">301511</t>
  </si>
  <si>
    <t xml:space="preserve">JIUJIANG DEFU TECHNOLOGY C A</t>
  </si>
  <si>
    <t xml:space="preserve">2610</t>
  </si>
  <si>
    <t xml:space="preserve">CHINA AIRLINES LTD</t>
  </si>
  <si>
    <t xml:space="preserve">GENTING</t>
  </si>
  <si>
    <t xml:space="preserve">GENTING BHD</t>
  </si>
  <si>
    <t xml:space="preserve">257</t>
  </si>
  <si>
    <t xml:space="preserve">CHINA EVERBRIGHT ENVIRONMENT</t>
  </si>
  <si>
    <t xml:space="preserve">7988</t>
  </si>
  <si>
    <t xml:space="preserve">NIFCO INC</t>
  </si>
  <si>
    <t xml:space="preserve">BUCN</t>
  </si>
  <si>
    <t xml:space="preserve">BUCHER INDUSTRIES AG REG</t>
  </si>
  <si>
    <t xml:space="preserve">2175</t>
  </si>
  <si>
    <t xml:space="preserve">SMS CO LTD</t>
  </si>
  <si>
    <t xml:space="preserve">002064</t>
  </si>
  <si>
    <t xml:space="preserve">HUAFON CHEMICAL CO LTD  A</t>
  </si>
  <si>
    <t xml:space="preserve">6147</t>
  </si>
  <si>
    <t xml:space="preserve">CHIPBOND TECHNOLOGY CORP</t>
  </si>
  <si>
    <t xml:space="preserve">PD</t>
  </si>
  <si>
    <t xml:space="preserve">PRECISION DRILLING CORP</t>
  </si>
  <si>
    <t xml:space="preserve">AKER</t>
  </si>
  <si>
    <t xml:space="preserve">AKER ASA A SHARES</t>
  </si>
  <si>
    <t xml:space="preserve">EOS</t>
  </si>
  <si>
    <t xml:space="preserve">ELECTRO OPTIC SYSTEMS HOLDIN</t>
  </si>
  <si>
    <t xml:space="preserve">002938</t>
  </si>
  <si>
    <t xml:space="preserve">AVARY HOLDING SHENZHEN CO  A</t>
  </si>
  <si>
    <t xml:space="preserve">TW/</t>
  </si>
  <si>
    <t xml:space="preserve">TAYLOR WIMPEY PLC</t>
  </si>
  <si>
    <t xml:space="preserve">TGYM</t>
  </si>
  <si>
    <t xml:space="preserve">TECHNOGYM SPA</t>
  </si>
  <si>
    <t xml:space="preserve">TIINDIA</t>
  </si>
  <si>
    <t xml:space="preserve">TUBE INVESTMENTS OF INDIA LT</t>
  </si>
  <si>
    <t xml:space="preserve">TEJASNET</t>
  </si>
  <si>
    <t xml:space="preserve">TEJAS NETWORKS LTD</t>
  </si>
  <si>
    <t xml:space="preserve">RBREW</t>
  </si>
  <si>
    <t xml:space="preserve">ROYAL UNIBREW</t>
  </si>
  <si>
    <t xml:space="preserve">6728</t>
  </si>
  <si>
    <t xml:space="preserve">ULVAC INC</t>
  </si>
  <si>
    <t xml:space="preserve">PNI</t>
  </si>
  <si>
    <t xml:space="preserve">PINNACLE INVESTMENT MANAGEME</t>
  </si>
  <si>
    <t xml:space="preserve">002466</t>
  </si>
  <si>
    <t xml:space="preserve">TIANQI LITHIUM CORP A</t>
  </si>
  <si>
    <t xml:space="preserve">KALYANKJ</t>
  </si>
  <si>
    <t xml:space="preserve">KALYAN JEWELLERS INDIA LTD</t>
  </si>
  <si>
    <t xml:space="preserve">2836</t>
  </si>
  <si>
    <t xml:space="preserve">BANK OF KAOHSIUNG</t>
  </si>
  <si>
    <t xml:space="preserve">LIGHT</t>
  </si>
  <si>
    <t xml:space="preserve">SIGNIFY NV</t>
  </si>
  <si>
    <t xml:space="preserve">1044</t>
  </si>
  <si>
    <t xml:space="preserve">HENGAN INTL GROUP CO LTD</t>
  </si>
  <si>
    <t xml:space="preserve">NIPPON PARKING DEVELOPMENT C</t>
  </si>
  <si>
    <t xml:space="preserve">8985</t>
  </si>
  <si>
    <t xml:space="preserve">JAPAN HOTEL REIT INVESTMENT</t>
  </si>
  <si>
    <t xml:space="preserve">A095340</t>
  </si>
  <si>
    <t xml:space="preserve">ISC CO LTD</t>
  </si>
  <si>
    <t xml:space="preserve">BME</t>
  </si>
  <si>
    <t xml:space="preserve">B+M EUROPEAN VALUE RETAIL PL</t>
  </si>
  <si>
    <t xml:space="preserve">CAMT</t>
  </si>
  <si>
    <t xml:space="preserve">CAMTEK LTD</t>
  </si>
  <si>
    <t xml:space="preserve">GNZ</t>
  </si>
  <si>
    <t xml:space="preserve">GOODMAN NEW ZEALAND LTD + GO</t>
  </si>
  <si>
    <t xml:space="preserve">LATO B</t>
  </si>
  <si>
    <t xml:space="preserve">INVESTMENT AB LATOUR B SHS</t>
  </si>
  <si>
    <t xml:space="preserve">4002</t>
  </si>
  <si>
    <t xml:space="preserve">MOUWASAT MEDICAL SERVICES CO</t>
  </si>
  <si>
    <t xml:space="preserve">4980</t>
  </si>
  <si>
    <t xml:space="preserve">DEXERIALS CORP</t>
  </si>
  <si>
    <t xml:space="preserve">RWC</t>
  </si>
  <si>
    <t xml:space="preserve">RELIANCE WORLDWIDE CORP LTD</t>
  </si>
  <si>
    <t xml:space="preserve">DABUR</t>
  </si>
  <si>
    <t xml:space="preserve">DABUR INDIA LTD</t>
  </si>
  <si>
    <t xml:space="preserve">DKSH</t>
  </si>
  <si>
    <t xml:space="preserve">DKSH HOLDING AG</t>
  </si>
  <si>
    <t xml:space="preserve">TBBB</t>
  </si>
  <si>
    <t xml:space="preserve">BBB FOODS INC CLASS A</t>
  </si>
  <si>
    <t xml:space="preserve">7762</t>
  </si>
  <si>
    <t xml:space="preserve">CITIZEN WATCH CO LTD</t>
  </si>
  <si>
    <t xml:space="preserve">900948</t>
  </si>
  <si>
    <t xml:space="preserve">INNER MONGOLIA YITAI COAL B</t>
  </si>
  <si>
    <t xml:space="preserve">VEA</t>
  </si>
  <si>
    <t xml:space="preserve">VIVA ENERGY GROUP LTD</t>
  </si>
  <si>
    <t xml:space="preserve">2784</t>
  </si>
  <si>
    <t xml:space="preserve">ALFRESA HOLDINGS CORP</t>
  </si>
  <si>
    <t xml:space="preserve">SOTL</t>
  </si>
  <si>
    <t xml:space="preserve">STERLITE TECHNOLOGIES LTD</t>
  </si>
  <si>
    <t xml:space="preserve">9987</t>
  </si>
  <si>
    <t xml:space="preserve">SUZUKEN CO LTD</t>
  </si>
  <si>
    <t xml:space="preserve">GCPL</t>
  </si>
  <si>
    <t xml:space="preserve">GODREJ CONSUMER PRODUCTS LTD</t>
  </si>
  <si>
    <t xml:space="preserve">INPST</t>
  </si>
  <si>
    <t xml:space="preserve">INPOST SA</t>
  </si>
  <si>
    <t xml:space="preserve">Emerging / EUR</t>
  </si>
  <si>
    <t xml:space="preserve">IPCA</t>
  </si>
  <si>
    <t xml:space="preserve">IPCA LABORATORIES LTD</t>
  </si>
  <si>
    <t xml:space="preserve">8954</t>
  </si>
  <si>
    <t xml:space="preserve">ORIX JREIT INC</t>
  </si>
  <si>
    <t xml:space="preserve">4118</t>
  </si>
  <si>
    <t xml:space="preserve">KANEKA CORP</t>
  </si>
  <si>
    <t xml:space="preserve">2190</t>
  </si>
  <si>
    <t xml:space="preserve">SUSTAINED INFRASTRUCTURE HOL</t>
  </si>
  <si>
    <t xml:space="preserve">J69U</t>
  </si>
  <si>
    <t xml:space="preserve">FRASERS CENTREPOINT TRUST</t>
  </si>
  <si>
    <t xml:space="preserve">1963</t>
  </si>
  <si>
    <t xml:space="preserve">JGC HOLDINGS CORP</t>
  </si>
  <si>
    <t xml:space="preserve">PLNG</t>
  </si>
  <si>
    <t xml:space="preserve">PETRONET LNG LTD</t>
  </si>
  <si>
    <t xml:space="preserve">VALE3</t>
  </si>
  <si>
    <t xml:space="preserve">VALE SA</t>
  </si>
  <si>
    <t xml:space="preserve">A008770</t>
  </si>
  <si>
    <t xml:space="preserve">HOTEL SHILLA CO LTD</t>
  </si>
  <si>
    <t xml:space="preserve">SITES1 A-1</t>
  </si>
  <si>
    <t xml:space="preserve">OPERADORA DE SITES MEX  A 1</t>
  </si>
  <si>
    <t xml:space="preserve">SPK</t>
  </si>
  <si>
    <t xml:space="preserve">SPARK NEW ZEALAND LTD</t>
  </si>
  <si>
    <t xml:space="preserve">A005940</t>
  </si>
  <si>
    <t xml:space="preserve">NH INVESTMENT + SECURITIES C</t>
  </si>
  <si>
    <t xml:space="preserve">DIC</t>
  </si>
  <si>
    <t xml:space="preserve">DUBAI INVESTMENTS PJSC</t>
  </si>
  <si>
    <t xml:space="preserve">000921</t>
  </si>
  <si>
    <t xml:space="preserve">HISENSE HOME APPLIANCES G A</t>
  </si>
  <si>
    <t xml:space="preserve">6919</t>
  </si>
  <si>
    <t xml:space="preserve">CALIWAY BIOPHARMACEUTICALS C</t>
  </si>
  <si>
    <t xml:space="preserve">C07</t>
  </si>
  <si>
    <t xml:space="preserve">JARDINE CYCLE + CARRIAGE LTD</t>
  </si>
  <si>
    <t xml:space="preserve">9938</t>
  </si>
  <si>
    <t xml:space="preserve">TAIWAN PAIHO LTD</t>
  </si>
  <si>
    <t xml:space="preserve">UHRN</t>
  </si>
  <si>
    <t xml:space="preserve">SWATCH GROUP AG/THE REG</t>
  </si>
  <si>
    <t xml:space="preserve">7337</t>
  </si>
  <si>
    <t xml:space="preserve">HIROGIN HOLDINGS INC</t>
  </si>
  <si>
    <t xml:space="preserve">NETWEB</t>
  </si>
  <si>
    <t xml:space="preserve">NETWEB TECHNOLOGIES INDIA LT</t>
  </si>
  <si>
    <t xml:space="preserve">A009420</t>
  </si>
  <si>
    <t xml:space="preserve">HANALL BIOPHARMA CO LTD</t>
  </si>
  <si>
    <t xml:space="preserve">3026</t>
  </si>
  <si>
    <t xml:space="preserve">HOLY STONE ENTERPRISE CO LTD</t>
  </si>
  <si>
    <t xml:space="preserve">A002380</t>
  </si>
  <si>
    <t xml:space="preserve">KCC CORP</t>
  </si>
  <si>
    <t xml:space="preserve">300759</t>
  </si>
  <si>
    <t xml:space="preserve">PHARMARON BEIJING CO LTD A</t>
  </si>
  <si>
    <t xml:space="preserve">ONT</t>
  </si>
  <si>
    <t xml:space="preserve">OXFORD NANOPORE TECHNOLOGIES</t>
  </si>
  <si>
    <t xml:space="preserve">688266</t>
  </si>
  <si>
    <t xml:space="preserve">SUZHOU ZELGEN BIOPHARMACEU A</t>
  </si>
  <si>
    <t xml:space="preserve">4190</t>
  </si>
  <si>
    <t xml:space="preserve">JARIR MARKETING CO</t>
  </si>
  <si>
    <t xml:space="preserve">293</t>
  </si>
  <si>
    <t xml:space="preserve">CATHAY PACIFIC AIRWAYS</t>
  </si>
  <si>
    <t xml:space="preserve">SYRMA</t>
  </si>
  <si>
    <t xml:space="preserve">SYRMA SGS TECHNOLOGY LTD</t>
  </si>
  <si>
    <t xml:space="preserve">ATH</t>
  </si>
  <si>
    <t xml:space="preserve">ATHABASCA OIL CORP</t>
  </si>
  <si>
    <t xml:space="preserve">A7RU</t>
  </si>
  <si>
    <t xml:space="preserve">KEPPEL INFRASTRUCTURE TRUST</t>
  </si>
  <si>
    <t xml:space="preserve">APE</t>
  </si>
  <si>
    <t xml:space="preserve">EAGERS AUTOMOTIVE LTD</t>
  </si>
  <si>
    <t xml:space="preserve">BRMS</t>
  </si>
  <si>
    <t xml:space="preserve">BUMI RESOURCES MINERALS TBK</t>
  </si>
  <si>
    <t xml:space="preserve">2150</t>
  </si>
  <si>
    <t xml:space="preserve">NATIONAL CO FOR GLASS IN/THE</t>
  </si>
  <si>
    <t xml:space="preserve">7276</t>
  </si>
  <si>
    <t xml:space="preserve">KOITO MANUFACTURING CO LTD</t>
  </si>
  <si>
    <t xml:space="preserve">ARIj</t>
  </si>
  <si>
    <t xml:space="preserve">AFRICAN RAINBOW MINERALS LTD</t>
  </si>
  <si>
    <t xml:space="preserve">A028300</t>
  </si>
  <si>
    <t xml:space="preserve">HLB CO LTD</t>
  </si>
  <si>
    <t xml:space="preserve">HABA</t>
  </si>
  <si>
    <t xml:space="preserve">HAMBORNER REIT AG</t>
  </si>
  <si>
    <t xml:space="preserve">CO TECH DEVELOPMENT CORP</t>
  </si>
  <si>
    <t xml:space="preserve">2531</t>
  </si>
  <si>
    <t xml:space="preserve">TAKARA HOLDINGS INC</t>
  </si>
  <si>
    <t xml:space="preserve">TOTS3</t>
  </si>
  <si>
    <t xml:space="preserve">TOTVS SA</t>
  </si>
  <si>
    <t xml:space="preserve">PAG</t>
  </si>
  <si>
    <t xml:space="preserve">PAGE INDUSTRIES LTD</t>
  </si>
  <si>
    <t xml:space="preserve">NISSHINBO HOLDINGS INC</t>
  </si>
  <si>
    <t xml:space="preserve">8963</t>
  </si>
  <si>
    <t xml:space="preserve">INVINCIBLE INVESTMENT CORP</t>
  </si>
  <si>
    <t xml:space="preserve">6754</t>
  </si>
  <si>
    <t xml:space="preserve">ANRITSU CORP</t>
  </si>
  <si>
    <t xml:space="preserve">3391</t>
  </si>
  <si>
    <t xml:space="preserve">TSURUHA HOLDINGS INC</t>
  </si>
  <si>
    <t xml:space="preserve">002555</t>
  </si>
  <si>
    <t xml:space="preserve">37 INTERACTIVE ENTERTAINME A</t>
  </si>
  <si>
    <t xml:space="preserve">MTO</t>
  </si>
  <si>
    <t xml:space="preserve">MITIE GROUP PLC</t>
  </si>
  <si>
    <t xml:space="preserve">YES</t>
  </si>
  <si>
    <t xml:space="preserve">YES BANK LTD</t>
  </si>
  <si>
    <t xml:space="preserve">ISAT</t>
  </si>
  <si>
    <t xml:space="preserve">INDOSAT TBK PT</t>
  </si>
  <si>
    <t xml:space="preserve">RYGYO</t>
  </si>
  <si>
    <t xml:space="preserve">REYSAS GAYRIMENKUL YATIRIM O</t>
  </si>
  <si>
    <t xml:space="preserve">MTG B</t>
  </si>
  <si>
    <t xml:space="preserve">MODERN TIMES GROUP B SHS</t>
  </si>
  <si>
    <t xml:space="preserve">4151</t>
  </si>
  <si>
    <t xml:space="preserve">KYOWA KIRIN CO LTD</t>
  </si>
  <si>
    <t xml:space="preserve">JEN</t>
  </si>
  <si>
    <t xml:space="preserve">JENOPTIK AG</t>
  </si>
  <si>
    <t xml:space="preserve">A006040</t>
  </si>
  <si>
    <t xml:space="preserve">DONGWON INDUSTRIES CO LTD</t>
  </si>
  <si>
    <t xml:space="preserve">8304</t>
  </si>
  <si>
    <t xml:space="preserve">AOZORA BANK LTD</t>
  </si>
  <si>
    <t xml:space="preserve">6465</t>
  </si>
  <si>
    <t xml:space="preserve">HOSHIZAKI CORP</t>
  </si>
  <si>
    <t xml:space="preserve">601985</t>
  </si>
  <si>
    <t xml:space="preserve">CHINA NATIONAL NUCLEAR POW A</t>
  </si>
  <si>
    <t xml:space="preserve">PSN</t>
  </si>
  <si>
    <t xml:space="preserve">PERSIMMON PLC</t>
  </si>
  <si>
    <t xml:space="preserve">DNP</t>
  </si>
  <si>
    <t xml:space="preserve">DINO POLSKA SA</t>
  </si>
  <si>
    <t xml:space="preserve">525</t>
  </si>
  <si>
    <t xml:space="preserve">GUANGSHEN RAILWAY CO LTD H</t>
  </si>
  <si>
    <t xml:space="preserve">4205</t>
  </si>
  <si>
    <t xml:space="preserve">ZEON CORP</t>
  </si>
  <si>
    <t xml:space="preserve">VK</t>
  </si>
  <si>
    <t xml:space="preserve">VALLOUREC SA</t>
  </si>
  <si>
    <t xml:space="preserve">TPZ</t>
  </si>
  <si>
    <t xml:space="preserve">TOPAZ ENERGY CORP</t>
  </si>
  <si>
    <t xml:space="preserve">A087010</t>
  </si>
  <si>
    <t xml:space="preserve">PEPTRON INC</t>
  </si>
  <si>
    <t xml:space="preserve">4991</t>
  </si>
  <si>
    <t xml:space="preserve">GCS HOLDINGS INC</t>
  </si>
  <si>
    <t xml:space="preserve">ATAT</t>
  </si>
  <si>
    <t xml:space="preserve">ATOUR LIFESTYLE HOLDINGS ADR</t>
  </si>
  <si>
    <t xml:space="preserve">MVNE</t>
  </si>
  <si>
    <t xml:space="preserve">MIVNE REAL ESTATE KD LTD</t>
  </si>
  <si>
    <t xml:space="preserve">SAIL</t>
  </si>
  <si>
    <t xml:space="preserve">STEEL AUTHORITY OF INDIA</t>
  </si>
  <si>
    <t xml:space="preserve">CBQK</t>
  </si>
  <si>
    <t xml:space="preserve">COMMERCIAL BANK PSQC</t>
  </si>
  <si>
    <t xml:space="preserve">688072</t>
  </si>
  <si>
    <t xml:space="preserve">PIOTECH INC A</t>
  </si>
  <si>
    <t xml:space="preserve">3260</t>
  </si>
  <si>
    <t xml:space="preserve">A DATA TECHNOLOGY CO LTD</t>
  </si>
  <si>
    <t xml:space="preserve">APAM</t>
  </si>
  <si>
    <t xml:space="preserve">APERAM</t>
  </si>
  <si>
    <t xml:space="preserve">600353</t>
  </si>
  <si>
    <t xml:space="preserve">CHENGDU XUGUANG ELECTRONIC A</t>
  </si>
  <si>
    <t xml:space="preserve">GYM</t>
  </si>
  <si>
    <t xml:space="preserve">GYM GROUP PLC</t>
  </si>
  <si>
    <t xml:space="preserve">300005</t>
  </si>
  <si>
    <t xml:space="preserve">TOREAD HOLDINGS GROUP CO L A</t>
  </si>
  <si>
    <t xml:space="preserve">WALSIN LIHWA CORP</t>
  </si>
  <si>
    <t xml:space="preserve">A047040</t>
  </si>
  <si>
    <t xml:space="preserve">DAEWOO ENGINEERING + CONSTR</t>
  </si>
  <si>
    <t xml:space="preserve">A128940</t>
  </si>
  <si>
    <t xml:space="preserve">HANMI PHARM CO LTD</t>
  </si>
  <si>
    <t xml:space="preserve">JD.</t>
  </si>
  <si>
    <t xml:space="preserve">JD SPORTS FASHION PLC</t>
  </si>
  <si>
    <t xml:space="preserve">TAH</t>
  </si>
  <si>
    <t xml:space="preserve">TABCORP HOLDINGS LTD</t>
  </si>
  <si>
    <t xml:space="preserve">UQA</t>
  </si>
  <si>
    <t xml:space="preserve">UNIQA INSURANCE GROUP AG</t>
  </si>
  <si>
    <t xml:space="preserve">ALPS ALPINE CO LTD</t>
  </si>
  <si>
    <t xml:space="preserve">DN</t>
  </si>
  <si>
    <t xml:space="preserve">DEEPAK NITRITE LTD</t>
  </si>
  <si>
    <t xml:space="preserve">NINV</t>
  </si>
  <si>
    <t xml:space="preserve">NATIONAL INVESTMENTS CO</t>
  </si>
  <si>
    <t xml:space="preserve">EVK</t>
  </si>
  <si>
    <t xml:space="preserve">EVONIK INDUSTRIES AG</t>
  </si>
  <si>
    <t xml:space="preserve">2498</t>
  </si>
  <si>
    <t xml:space="preserve">HTC CORP</t>
  </si>
  <si>
    <t xml:space="preserve">300059</t>
  </si>
  <si>
    <t xml:space="preserve">EAST MONEY INFORMATION CO A</t>
  </si>
  <si>
    <t xml:space="preserve">SLR</t>
  </si>
  <si>
    <t xml:space="preserve">SOLARIA ENERGIA Y MEDIO AMBI</t>
  </si>
  <si>
    <t xml:space="preserve">600690</t>
  </si>
  <si>
    <t xml:space="preserve">HAIER SMART HOME CO LTD A</t>
  </si>
  <si>
    <t xml:space="preserve">151</t>
  </si>
  <si>
    <t xml:space="preserve">WANT WANT CHINA HOLDINGS LTD</t>
  </si>
  <si>
    <t xml:space="preserve">PUM</t>
  </si>
  <si>
    <t xml:space="preserve">PUMA SE</t>
  </si>
  <si>
    <t xml:space="preserve">DALLAH HEALTHCARE CO</t>
  </si>
  <si>
    <t xml:space="preserve">5947</t>
  </si>
  <si>
    <t xml:space="preserve">RINNAI CORP</t>
  </si>
  <si>
    <t xml:space="preserve">8088</t>
  </si>
  <si>
    <t xml:space="preserve">IWATANI CORP</t>
  </si>
  <si>
    <t xml:space="preserve">COHANCE</t>
  </si>
  <si>
    <t xml:space="preserve">COHANCE LIFESCIENCES LTD</t>
  </si>
  <si>
    <t xml:space="preserve">9507</t>
  </si>
  <si>
    <t xml:space="preserve">SHIKOKU ELECTRIC POWER CO</t>
  </si>
  <si>
    <t xml:space="preserve">6005</t>
  </si>
  <si>
    <t xml:space="preserve">MIURA CO LTD</t>
  </si>
  <si>
    <t xml:space="preserve">384</t>
  </si>
  <si>
    <t xml:space="preserve">CHINA GAS HOLDINGS LTD</t>
  </si>
  <si>
    <t xml:space="preserve">BFSA</t>
  </si>
  <si>
    <t xml:space="preserve">BEFESA SA</t>
  </si>
  <si>
    <t xml:space="preserve">10</t>
  </si>
  <si>
    <t xml:space="preserve">HANG LUNG GROUP LTD</t>
  </si>
  <si>
    <t xml:space="preserve">S58</t>
  </si>
  <si>
    <t xml:space="preserve">SATS LTD</t>
  </si>
  <si>
    <t xml:space="preserve">A005385</t>
  </si>
  <si>
    <t xml:space="preserve">HYUNDAI MOTOR CO LTD PRF</t>
  </si>
  <si>
    <t xml:space="preserve">5289</t>
  </si>
  <si>
    <t xml:space="preserve">INNODISK CORP</t>
  </si>
  <si>
    <t xml:space="preserve">7867</t>
  </si>
  <si>
    <t xml:space="preserve">TOMY COMPANY LTD</t>
  </si>
  <si>
    <t xml:space="preserve">9201</t>
  </si>
  <si>
    <t xml:space="preserve">JAPAN AIRLINES CO LTD</t>
  </si>
  <si>
    <t xml:space="preserve">2264</t>
  </si>
  <si>
    <t xml:space="preserve">MORINAGA MILK INDUSTRY CO</t>
  </si>
  <si>
    <t xml:space="preserve">FRONTKN</t>
  </si>
  <si>
    <t xml:space="preserve">FRONTKEN CORP BHD</t>
  </si>
  <si>
    <t xml:space="preserve">6187</t>
  </si>
  <si>
    <t xml:space="preserve">ALL RING TECH CO LTD</t>
  </si>
  <si>
    <t xml:space="preserve">VFQS</t>
  </si>
  <si>
    <t xml:space="preserve">VODAFONE QATAR</t>
  </si>
  <si>
    <t xml:space="preserve">002202</t>
  </si>
  <si>
    <t xml:space="preserve">GOLDWIND SCIENCE + TECHNOL A</t>
  </si>
  <si>
    <t xml:space="preserve">6969</t>
  </si>
  <si>
    <t xml:space="preserve">SMOORE INTERNATIONAL HOLDING</t>
  </si>
  <si>
    <t xml:space="preserve">ILU</t>
  </si>
  <si>
    <t xml:space="preserve">ILUKA RESOURCES LTD</t>
  </si>
  <si>
    <t xml:space="preserve">A032820</t>
  </si>
  <si>
    <t xml:space="preserve">WOORI TECHNOLOGY INC</t>
  </si>
  <si>
    <t xml:space="preserve">REI.UN</t>
  </si>
  <si>
    <t xml:space="preserve">RIOCAN REAL ESTATE INVST TR</t>
  </si>
  <si>
    <t xml:space="preserve">PINELABS</t>
  </si>
  <si>
    <t xml:space="preserve">PINE LABS LTD</t>
  </si>
  <si>
    <t xml:space="preserve">2638</t>
  </si>
  <si>
    <t xml:space="preserve">HK ELECTRIC INVESTMENTS  SS</t>
  </si>
  <si>
    <t xml:space="preserve">BONEX</t>
  </si>
  <si>
    <t xml:space="preserve">BONESUPPORT HOLDING AB</t>
  </si>
  <si>
    <t xml:space="preserve">5536</t>
  </si>
  <si>
    <t xml:space="preserve">ACTER GROUP CORP LTD</t>
  </si>
  <si>
    <t xml:space="preserve">268</t>
  </si>
  <si>
    <t xml:space="preserve">KINGDEE INTERNATIONAL SFTWR</t>
  </si>
  <si>
    <t xml:space="preserve">PAZ</t>
  </si>
  <si>
    <t xml:space="preserve">PAZ RETAIL AND ENERGY LTD</t>
  </si>
  <si>
    <t xml:space="preserve">1913</t>
  </si>
  <si>
    <t xml:space="preserve">PRADA S.P.A.</t>
  </si>
  <si>
    <t xml:space="preserve">8439</t>
  </si>
  <si>
    <t xml:space="preserve">TOKYO CENTURY CORP</t>
  </si>
  <si>
    <t xml:space="preserve">000157</t>
  </si>
  <si>
    <t xml:space="preserve">ZOOMLION HEAVY INDUSTRY S A</t>
  </si>
  <si>
    <t xml:space="preserve">LLOYDSME</t>
  </si>
  <si>
    <t xml:space="preserve">LLOYDS METALS + ENERGY LTD</t>
  </si>
  <si>
    <t xml:space="preserve">7649</t>
  </si>
  <si>
    <t xml:space="preserve">SUGI HOLDINGS CO LTD</t>
  </si>
  <si>
    <t xml:space="preserve">5301</t>
  </si>
  <si>
    <t xml:space="preserve">TOKAI CARBON CO LTD</t>
  </si>
  <si>
    <t xml:space="preserve">FGP</t>
  </si>
  <si>
    <t xml:space="preserve">FIRSTGROUP PLC</t>
  </si>
  <si>
    <t xml:space="preserve">600309</t>
  </si>
  <si>
    <t xml:space="preserve">WANHUA CHEMICAL GROUP CO  A</t>
  </si>
  <si>
    <t xml:space="preserve">BOLLORE SE</t>
  </si>
  <si>
    <t xml:space="preserve">BYD</t>
  </si>
  <si>
    <t xml:space="preserve">BOYD GROUP SERVICES INC</t>
  </si>
  <si>
    <t xml:space="preserve">9364</t>
  </si>
  <si>
    <t xml:space="preserve">KAMIGUMI CO LTD</t>
  </si>
  <si>
    <t xml:space="preserve">1702</t>
  </si>
  <si>
    <t xml:space="preserve">NAMCHOW HOLDINGS CO LTD</t>
  </si>
  <si>
    <t xml:space="preserve">688331</t>
  </si>
  <si>
    <t xml:space="preserve">REMEGEN CO LTD A</t>
  </si>
  <si>
    <t xml:space="preserve">OINL</t>
  </si>
  <si>
    <t xml:space="preserve">OIL INDIA LTD</t>
  </si>
  <si>
    <t xml:space="preserve">ALHG</t>
  </si>
  <si>
    <t xml:space="preserve">LOUIS HACHETTE GROUP</t>
  </si>
  <si>
    <t xml:space="preserve">5110</t>
  </si>
  <si>
    <t xml:space="preserve">SAUDI ENERGY CO</t>
  </si>
  <si>
    <t xml:space="preserve">3349</t>
  </si>
  <si>
    <t xml:space="preserve">COSMOS PHARMACEUTICAL CORP</t>
  </si>
  <si>
    <t xml:space="preserve">ATE</t>
  </si>
  <si>
    <t xml:space="preserve">ALTEN SA</t>
  </si>
  <si>
    <t xml:space="preserve">STNE</t>
  </si>
  <si>
    <t xml:space="preserve">STONECO LTD A</t>
  </si>
  <si>
    <t xml:space="preserve">BANDHAN</t>
  </si>
  <si>
    <t xml:space="preserve">BANDHAN BANK LTD</t>
  </si>
  <si>
    <t xml:space="preserve">2380</t>
  </si>
  <si>
    <t xml:space="preserve">CHINA POWER INTERNATIONAL</t>
  </si>
  <si>
    <t xml:space="preserve">ROCK B</t>
  </si>
  <si>
    <t xml:space="preserve">ROCKWOOL A/S B SHS</t>
  </si>
  <si>
    <t xml:space="preserve">FROTO</t>
  </si>
  <si>
    <t xml:space="preserve">FORD OTOMOTIV SANAYI AS</t>
  </si>
  <si>
    <t xml:space="preserve">3716</t>
  </si>
  <si>
    <t xml:space="preserve">CENRA INC</t>
  </si>
  <si>
    <t xml:space="preserve">002142</t>
  </si>
  <si>
    <t xml:space="preserve">BANK OF NINGBO CO LTD  A</t>
  </si>
  <si>
    <t xml:space="preserve">600031</t>
  </si>
  <si>
    <t xml:space="preserve">SANY HEAVY INDUSTRY CO LTD A</t>
  </si>
  <si>
    <t xml:space="preserve">6473</t>
  </si>
  <si>
    <t xml:space="preserve">JTEKT CORP</t>
  </si>
  <si>
    <t xml:space="preserve">900901</t>
  </si>
  <si>
    <t xml:space="preserve">INESA INTELLIGENT TECH INC B</t>
  </si>
  <si>
    <t xml:space="preserve">T82U</t>
  </si>
  <si>
    <t xml:space="preserve">SUNTEC REIT</t>
  </si>
  <si>
    <t xml:space="preserve">4123</t>
  </si>
  <si>
    <t xml:space="preserve">CENTER LABORATORIES INC</t>
  </si>
  <si>
    <t xml:space="preserve">PEY</t>
  </si>
  <si>
    <t xml:space="preserve">PEYTO EXPLORATION + DEV CORP</t>
  </si>
  <si>
    <t xml:space="preserve">VSURE</t>
  </si>
  <si>
    <t xml:space="preserve">VERISURE PLC</t>
  </si>
  <si>
    <t xml:space="preserve">3269</t>
  </si>
  <si>
    <t xml:space="preserve">ADVANCE RESIDENCE INVESTMENT</t>
  </si>
  <si>
    <t xml:space="preserve">PETDAG</t>
  </si>
  <si>
    <t xml:space="preserve">PETRONAS DAGANGAN BHD</t>
  </si>
  <si>
    <t xml:space="preserve">SUL</t>
  </si>
  <si>
    <t xml:space="preserve">SUPER RETAIL GROUP LTD</t>
  </si>
  <si>
    <t xml:space="preserve">4401</t>
  </si>
  <si>
    <t xml:space="preserve">ADEKA CORP</t>
  </si>
  <si>
    <t xml:space="preserve">NS SOLUTIONS CORP</t>
  </si>
  <si>
    <t xml:space="preserve">TABREED</t>
  </si>
  <si>
    <t xml:space="preserve">NATIONAL CENTRAL COOLING COMPA</t>
  </si>
  <si>
    <t xml:space="preserve">MAZDOCKS</t>
  </si>
  <si>
    <t xml:space="preserve">MAZAGON DOCK SHIPBUILDERS LT</t>
  </si>
  <si>
    <t xml:space="preserve">1071</t>
  </si>
  <si>
    <t xml:space="preserve">HUADIAN POWER INTL CORP H</t>
  </si>
  <si>
    <t xml:space="preserve">IGD</t>
  </si>
  <si>
    <t xml:space="preserve">IMMOBILIARE GRANDE DISTRIBUZ</t>
  </si>
  <si>
    <t xml:space="preserve">3291</t>
  </si>
  <si>
    <t xml:space="preserve">IIDA GROUP HOLDINGS CO LTD</t>
  </si>
  <si>
    <t xml:space="preserve">6324</t>
  </si>
  <si>
    <t xml:space="preserve">HARMONIC DRIVE SYSTEMS INC</t>
  </si>
  <si>
    <t xml:space="preserve">TEG</t>
  </si>
  <si>
    <t xml:space="preserve">TAG IMMOBILIEN AG</t>
  </si>
  <si>
    <t xml:space="preserve">002920</t>
  </si>
  <si>
    <t xml:space="preserve">HUIZHOU DESAY SV AUTOMOTIV A</t>
  </si>
  <si>
    <t xml:space="preserve">TELX</t>
  </si>
  <si>
    <t xml:space="preserve">TATA ELXSI LTD</t>
  </si>
  <si>
    <t xml:space="preserve">DIA</t>
  </si>
  <si>
    <t xml:space="preserve">DIASORIN SPA</t>
  </si>
  <si>
    <t xml:space="preserve">600160</t>
  </si>
  <si>
    <t xml:space="preserve">ZHEJIANG JUHUA CO A</t>
  </si>
  <si>
    <t xml:space="preserve">A483650</t>
  </si>
  <si>
    <t xml:space="preserve">D ALBA GLOBAL CO LTD</t>
  </si>
  <si>
    <t xml:space="preserve">FPE</t>
  </si>
  <si>
    <t xml:space="preserve">FUCHS SE</t>
  </si>
  <si>
    <t xml:space="preserve">IRPC-F</t>
  </si>
  <si>
    <t xml:space="preserve">IRPC PCL   FOREIGN</t>
  </si>
  <si>
    <t xml:space="preserve">HUBN</t>
  </si>
  <si>
    <t xml:space="preserve">HUBER   SUHNER AG REG</t>
  </si>
  <si>
    <t xml:space="preserve">002653</t>
  </si>
  <si>
    <t xml:space="preserve">HAISCO PHARMACEUTICAL GROU A</t>
  </si>
  <si>
    <t xml:space="preserve">300124</t>
  </si>
  <si>
    <t xml:space="preserve">SHENZHEN INOVANCE TECHNOLO A</t>
  </si>
  <si>
    <t xml:space="preserve">DCRU</t>
  </si>
  <si>
    <t xml:space="preserve">DIGITAL CORE REIT MANAGEMENT</t>
  </si>
  <si>
    <t xml:space="preserve">9064</t>
  </si>
  <si>
    <t xml:space="preserve">YAMATO HOLDINGS CO LTD</t>
  </si>
  <si>
    <t xml:space="preserve">6082</t>
  </si>
  <si>
    <t xml:space="preserve">SHANGHAI BIREN TECHNOLOGY  H</t>
  </si>
  <si>
    <t xml:space="preserve">SGM</t>
  </si>
  <si>
    <t xml:space="preserve">SIMS LTD</t>
  </si>
  <si>
    <t xml:space="preserve">A103590</t>
  </si>
  <si>
    <t xml:space="preserve">ILJIN ELECTRIC CO LTD</t>
  </si>
  <si>
    <t xml:space="preserve">MTARTECH</t>
  </si>
  <si>
    <t xml:space="preserve">MTAR TECHNOLOGIES LTD</t>
  </si>
  <si>
    <t xml:space="preserve">PGAS</t>
  </si>
  <si>
    <t xml:space="preserve">PERUSAHAAN GAS NEGARA PERSER</t>
  </si>
  <si>
    <t xml:space="preserve">MABANEE</t>
  </si>
  <si>
    <t xml:space="preserve">MABANEE CO KPSC</t>
  </si>
  <si>
    <t xml:space="preserve">ALTRA</t>
  </si>
  <si>
    <t xml:space="preserve">ALTRA FASTIGHETER AB</t>
  </si>
  <si>
    <t xml:space="preserve">ABB</t>
  </si>
  <si>
    <t xml:space="preserve">ABB INDIA LTD</t>
  </si>
  <si>
    <t xml:space="preserve">LPL</t>
  </si>
  <si>
    <t xml:space="preserve">LG DISPLAY CO LTD ADR</t>
  </si>
  <si>
    <t xml:space="preserve">GN</t>
  </si>
  <si>
    <t xml:space="preserve">GN STORE NORD A/S</t>
  </si>
  <si>
    <t xml:space="preserve">MONY</t>
  </si>
  <si>
    <t xml:space="preserve">MONY GROUP PLC</t>
  </si>
  <si>
    <t xml:space="preserve">1734</t>
  </si>
  <si>
    <t xml:space="preserve">SINPHAR PHARMACEUTICAL CO</t>
  </si>
  <si>
    <t xml:space="preserve">NISSHIN SEIFUN GROUP INC</t>
  </si>
  <si>
    <t xml:space="preserve">3908</t>
  </si>
  <si>
    <t xml:space="preserve">CHINA INTERNATIONAL CAPITA H</t>
  </si>
  <si>
    <t xml:space="preserve">6213</t>
  </si>
  <si>
    <t xml:space="preserve">ITEQ CORP</t>
  </si>
  <si>
    <t xml:space="preserve">PFGRUPSU</t>
  </si>
  <si>
    <t xml:space="preserve">GRUPO DE INV SURAMERICANA PF</t>
  </si>
  <si>
    <t xml:space="preserve">3308</t>
  </si>
  <si>
    <t xml:space="preserve">ZHONGJI INNOLIGHT CO LTD H</t>
  </si>
  <si>
    <t xml:space="preserve">6323</t>
  </si>
  <si>
    <t xml:space="preserve">RORZE CORP</t>
  </si>
  <si>
    <t xml:space="preserve">4200</t>
  </si>
  <si>
    <t xml:space="preserve">ALDREES PETROLEUM AND TRANSP</t>
  </si>
  <si>
    <t xml:space="preserve">300433</t>
  </si>
  <si>
    <t xml:space="preserve">LENS TECHNOLOGY CO LTD A</t>
  </si>
  <si>
    <t xml:space="preserve">KLBN11</t>
  </si>
  <si>
    <t xml:space="preserve">KLABIN SA   UNIT</t>
  </si>
  <si>
    <t xml:space="preserve">M44U</t>
  </si>
  <si>
    <t xml:space="preserve">MAPLETREE LOGISTICS TRUST</t>
  </si>
  <si>
    <t xml:space="preserve">A001440</t>
  </si>
  <si>
    <t xml:space="preserve">TAIHAN CABLE + SOLUTION CO L</t>
  </si>
  <si>
    <t xml:space="preserve">1818</t>
  </si>
  <si>
    <t xml:space="preserve">ZHAOJIN MINING INDUSTRY CO H</t>
  </si>
  <si>
    <t xml:space="preserve">000568</t>
  </si>
  <si>
    <t xml:space="preserve">LUZHOU LAOJIAO CO LTD A</t>
  </si>
  <si>
    <t xml:space="preserve">6507</t>
  </si>
  <si>
    <t xml:space="preserve">SINFONIA TECHNOLOGY CO LTD</t>
  </si>
  <si>
    <t xml:space="preserve">FDR</t>
  </si>
  <si>
    <t xml:space="preserve">FLUIDRA SA</t>
  </si>
  <si>
    <t xml:space="preserve">SOLB</t>
  </si>
  <si>
    <t xml:space="preserve">SOLVAY SA</t>
  </si>
  <si>
    <t xml:space="preserve">603288</t>
  </si>
  <si>
    <t xml:space="preserve">FOSHAN HAITIAN FLAVOURING  A</t>
  </si>
  <si>
    <t xml:space="preserve">ZYDUSLIF</t>
  </si>
  <si>
    <t xml:space="preserve">ZYDUS LIFESCIENCES LTD</t>
  </si>
  <si>
    <t xml:space="preserve">BAVA</t>
  </si>
  <si>
    <t xml:space="preserve">BAVARIAN NORDIC A/S</t>
  </si>
  <si>
    <t xml:space="preserve">NEW ISRAELI SHEQEL</t>
  </si>
  <si>
    <t xml:space="preserve">TUB</t>
  </si>
  <si>
    <t xml:space="preserve">TUBACEX SA</t>
  </si>
  <si>
    <t xml:space="preserve">GARAN</t>
  </si>
  <si>
    <t xml:space="preserve">TURKIYE GARANTI BANKASI</t>
  </si>
  <si>
    <t xml:space="preserve">SUMITOMO RUBBER INDUSTRIES</t>
  </si>
  <si>
    <t xml:space="preserve">A352820</t>
  </si>
  <si>
    <t xml:space="preserve">HYBE CO LTD</t>
  </si>
  <si>
    <t xml:space="preserve">FCR.UN</t>
  </si>
  <si>
    <t xml:space="preserve">FIRST CAPITAL REAL ESTATE IN</t>
  </si>
  <si>
    <t xml:space="preserve">6141</t>
  </si>
  <si>
    <t xml:space="preserve">DMG MORI CO LTD</t>
  </si>
  <si>
    <t xml:space="preserve">C2PU</t>
  </si>
  <si>
    <t xml:space="preserve">PARKWAYLIFE REAL ESTATE</t>
  </si>
  <si>
    <t xml:space="preserve">AT1</t>
  </si>
  <si>
    <t xml:space="preserve">AROUNDTOWN SA</t>
  </si>
  <si>
    <t xml:space="preserve">000759</t>
  </si>
  <si>
    <t xml:space="preserve">ZHONGBAI HOLDINGS GROUP A</t>
  </si>
  <si>
    <t xml:space="preserve">AEFES</t>
  </si>
  <si>
    <t xml:space="preserve">ANADOLU EFES BIRACILIK VE</t>
  </si>
  <si>
    <t xml:space="preserve">SAUDI RIYAL</t>
  </si>
  <si>
    <t xml:space="preserve">DANISH KRONE</t>
  </si>
  <si>
    <t xml:space="preserve">PTCIN</t>
  </si>
  <si>
    <t xml:space="preserve">PTC INDIA LTD</t>
  </si>
  <si>
    <t xml:space="preserve">3998</t>
  </si>
  <si>
    <t xml:space="preserve">BOSIDENG INTL HLDGS LTD</t>
  </si>
  <si>
    <t xml:space="preserve">HUFV A</t>
  </si>
  <si>
    <t xml:space="preserve">HUFVUDSTADEN AB A SHS</t>
  </si>
  <si>
    <t xml:space="preserve">2229</t>
  </si>
  <si>
    <t xml:space="preserve">CALBEE INC</t>
  </si>
  <si>
    <t xml:space="preserve">AMV0</t>
  </si>
  <si>
    <t xml:space="preserve">AUMOVIO SE</t>
  </si>
  <si>
    <t xml:space="preserve">A036570</t>
  </si>
  <si>
    <t xml:space="preserve">NC CORP</t>
  </si>
  <si>
    <t xml:space="preserve">ORORA LTD</t>
  </si>
  <si>
    <t xml:space="preserve">PZA</t>
  </si>
  <si>
    <t xml:space="preserve">PIZZA PIZZA ROYALTY CORP</t>
  </si>
  <si>
    <t xml:space="preserve">TX</t>
  </si>
  <si>
    <t xml:space="preserve">TERNIUM SA SPONSORED ADR</t>
  </si>
  <si>
    <t xml:space="preserve">KKC</t>
  </si>
  <si>
    <t xml:space="preserve">CUMMINS INDIA LTD</t>
  </si>
  <si>
    <t xml:space="preserve">JDSL</t>
  </si>
  <si>
    <t xml:space="preserve">JINDAL STAINLESS LTD</t>
  </si>
  <si>
    <t xml:space="preserve">6526</t>
  </si>
  <si>
    <t xml:space="preserve">SOCIONEXT INC</t>
  </si>
  <si>
    <t xml:space="preserve">A066970</t>
  </si>
  <si>
    <t xml:space="preserve">L+F CO LTD</t>
  </si>
  <si>
    <t xml:space="preserve">A064760</t>
  </si>
  <si>
    <t xml:space="preserve">TOKAI CARBON KOREA CO LTD</t>
  </si>
  <si>
    <t xml:space="preserve">CAMX</t>
  </si>
  <si>
    <t xml:space="preserve">CAMURUS AB</t>
  </si>
  <si>
    <t xml:space="preserve">NHF</t>
  </si>
  <si>
    <t xml:space="preserve">NIB HOLDINGS LTD</t>
  </si>
  <si>
    <t xml:space="preserve">600000</t>
  </si>
  <si>
    <t xml:space="preserve">SHANGHAI PUDONG DEVEL BANK A</t>
  </si>
  <si>
    <t xml:space="preserve">TOM</t>
  </si>
  <si>
    <t xml:space="preserve">TOMRA SYSTEMS ASA</t>
  </si>
  <si>
    <t xml:space="preserve">EFX</t>
  </si>
  <si>
    <t xml:space="preserve">ENERFLEX LTD</t>
  </si>
  <si>
    <t xml:space="preserve">2POINTZERO</t>
  </si>
  <si>
    <t xml:space="preserve">TWO POINT ZERO GROUP PJSC</t>
  </si>
  <si>
    <t xml:space="preserve">V03</t>
  </si>
  <si>
    <t xml:space="preserve">VENTURE CORP LTD</t>
  </si>
  <si>
    <t xml:space="preserve">BIRK</t>
  </si>
  <si>
    <t xml:space="preserve">BIRKENSTOCK HOLDING PLC</t>
  </si>
  <si>
    <t xml:space="preserve">A357780</t>
  </si>
  <si>
    <t xml:space="preserve">SOULBRAIN CO LTD/NEW</t>
  </si>
  <si>
    <t xml:space="preserve">CARLSBG</t>
  </si>
  <si>
    <t xml:space="preserve">CARLSBERG BREWERY MALAYSIA B</t>
  </si>
  <si>
    <t xml:space="preserve">IDEA</t>
  </si>
  <si>
    <t xml:space="preserve">VODAFONE IDEA LTD</t>
  </si>
  <si>
    <t xml:space="preserve">9924</t>
  </si>
  <si>
    <t xml:space="preserve">TAIWAN FU HSING INDUSTRIAL</t>
  </si>
  <si>
    <t xml:space="preserve">8056</t>
  </si>
  <si>
    <t xml:space="preserve">BIPROGY INC</t>
  </si>
  <si>
    <t xml:space="preserve">VITROX</t>
  </si>
  <si>
    <t xml:space="preserve">VITROX CORP BHD</t>
  </si>
  <si>
    <t xml:space="preserve">TGS</t>
  </si>
  <si>
    <t xml:space="preserve">TGS ASA</t>
  </si>
  <si>
    <t xml:space="preserve">300570</t>
  </si>
  <si>
    <t xml:space="preserve">T+S COMMUNICATIONS CO LTD A</t>
  </si>
  <si>
    <t xml:space="preserve">2689</t>
  </si>
  <si>
    <t xml:space="preserve">NINE DRAGONS PAPER HOLDINGS</t>
  </si>
  <si>
    <t xml:space="preserve">ACEM</t>
  </si>
  <si>
    <t xml:space="preserve">AMBUJA CEMENTS LTD</t>
  </si>
  <si>
    <t xml:space="preserve">1590</t>
  </si>
  <si>
    <t xml:space="preserve">AIRTAC INTERNATIONAL GROUP</t>
  </si>
  <si>
    <t xml:space="preserve">9023</t>
  </si>
  <si>
    <t xml:space="preserve">TOKYO METRO CO LTD</t>
  </si>
  <si>
    <t xml:space="preserve">CSTM</t>
  </si>
  <si>
    <t xml:space="preserve">CONSTELLIUM SE</t>
  </si>
  <si>
    <t xml:space="preserve">A004170</t>
  </si>
  <si>
    <t xml:space="preserve">SHINSEGAE INC</t>
  </si>
  <si>
    <t xml:space="preserve">MPI</t>
  </si>
  <si>
    <t xml:space="preserve">MALAYSIAN PACIFIC INDUSTRIES</t>
  </si>
  <si>
    <t xml:space="preserve">TYRES</t>
  </si>
  <si>
    <t xml:space="preserve">NOKIAN RENKAAT OYJ</t>
  </si>
  <si>
    <t xml:space="preserve">300339</t>
  </si>
  <si>
    <t xml:space="preserve">JIANGSU HOPERUN SOFTWARE C A</t>
  </si>
  <si>
    <t xml:space="preserve">FLT</t>
  </si>
  <si>
    <t xml:space="preserve">FLIGHT CENTRE TRAVEL GROUP L</t>
  </si>
  <si>
    <t xml:space="preserve">696</t>
  </si>
  <si>
    <t xml:space="preserve">TRAVELSKY TECHNOLOGY LTD H</t>
  </si>
  <si>
    <t xml:space="preserve">FB</t>
  </si>
  <si>
    <t xml:space="preserve">FEDERAL BANK LTD FOREIGN</t>
  </si>
  <si>
    <t xml:space="preserve">KPJ</t>
  </si>
  <si>
    <t xml:space="preserve">KPJ HEALTHCARE BERHAD</t>
  </si>
  <si>
    <t xml:space="preserve">AEON</t>
  </si>
  <si>
    <t xml:space="preserve">AEON CO (M) BHD</t>
  </si>
  <si>
    <t xml:space="preserve">586</t>
  </si>
  <si>
    <t xml:space="preserve">CHINA CONCH VENTURE HOLDINGS</t>
  </si>
  <si>
    <t xml:space="preserve">002709</t>
  </si>
  <si>
    <t xml:space="preserve">GUANGZHOU TINCI MATERIALS  A</t>
  </si>
  <si>
    <t xml:space="preserve">AUB</t>
  </si>
  <si>
    <t xml:space="preserve">AUB GROUP LTD</t>
  </si>
  <si>
    <t xml:space="preserve">A006360</t>
  </si>
  <si>
    <t xml:space="preserve">GS ENGINEERING + CONSTRUCT</t>
  </si>
  <si>
    <t xml:space="preserve">3038</t>
  </si>
  <si>
    <t xml:space="preserve">KOBE BUSSAN CO LTD</t>
  </si>
  <si>
    <t xml:space="preserve">A226950</t>
  </si>
  <si>
    <t xml:space="preserve">OLIX PHARMACEUTICALS INC</t>
  </si>
  <si>
    <t xml:space="preserve">9045</t>
  </si>
  <si>
    <t xml:space="preserve">KEIHAN HOLDINGS CO LTD</t>
  </si>
  <si>
    <t xml:space="preserve">A139130</t>
  </si>
  <si>
    <t xml:space="preserve">IM FINANCIAL GROUP CO LTD</t>
  </si>
  <si>
    <t xml:space="preserve">KTB-F</t>
  </si>
  <si>
    <t xml:space="preserve">KRUNG THAI BANK PUB CO FOREI</t>
  </si>
  <si>
    <t xml:space="preserve">002414</t>
  </si>
  <si>
    <t xml:space="preserve">WUHAN GUIDE INFRARED CO LT A</t>
  </si>
  <si>
    <t xml:space="preserve">688002</t>
  </si>
  <si>
    <t xml:space="preserve">RAYTRON TECHNOLOGY CO LTD A</t>
  </si>
  <si>
    <t xml:space="preserve">688498</t>
  </si>
  <si>
    <t xml:space="preserve">YUANJIE SEMICONDUCTOR TECH A</t>
  </si>
  <si>
    <t xml:space="preserve">7956</t>
  </si>
  <si>
    <t xml:space="preserve">PIGEON CORP</t>
  </si>
  <si>
    <t xml:space="preserve">SOCIETE BIC SA</t>
  </si>
  <si>
    <t xml:space="preserve">YTL</t>
  </si>
  <si>
    <t xml:space="preserve">YTL CORP BHD</t>
  </si>
  <si>
    <t xml:space="preserve">8572</t>
  </si>
  <si>
    <t xml:space="preserve">ACOM CO LTD</t>
  </si>
  <si>
    <t xml:space="preserve">MEDC</t>
  </si>
  <si>
    <t xml:space="preserve">MEDCO ENERGI INTERNASIONAL T</t>
  </si>
  <si>
    <t xml:space="preserve">002222</t>
  </si>
  <si>
    <t xml:space="preserve">CASTECH INC  A</t>
  </si>
  <si>
    <t xml:space="preserve">BANPU-F</t>
  </si>
  <si>
    <t xml:space="preserve">BANPU PUBLIC CO LTD FOREIGN</t>
  </si>
  <si>
    <t xml:space="preserve">A011790</t>
  </si>
  <si>
    <t xml:space="preserve">SKC CO LTD</t>
  </si>
  <si>
    <t xml:space="preserve">SVM</t>
  </si>
  <si>
    <t xml:space="preserve">SILVERCORP METALS INC</t>
  </si>
  <si>
    <t xml:space="preserve">WIHL</t>
  </si>
  <si>
    <t xml:space="preserve">WIHLBORGS FASTIGHETER AB</t>
  </si>
  <si>
    <t xml:space="preserve">601601</t>
  </si>
  <si>
    <t xml:space="preserve">CHINA PACIFIC INSURANCE GR A</t>
  </si>
  <si>
    <t xml:space="preserve">D01</t>
  </si>
  <si>
    <t xml:space="preserve">DFI RETAIL GRP HLD SING REG</t>
  </si>
  <si>
    <t xml:space="preserve">1038</t>
  </si>
  <si>
    <t xml:space="preserve">CK INFRASTRUCTURE HOLDINGS L</t>
  </si>
  <si>
    <t xml:space="preserve">1737</t>
  </si>
  <si>
    <t xml:space="preserve">TAIYEN BIOTECH CO LTD</t>
  </si>
  <si>
    <t xml:space="preserve">CENCOSUD</t>
  </si>
  <si>
    <t xml:space="preserve">CENCOSUD SA</t>
  </si>
  <si>
    <t xml:space="preserve">HMN</t>
  </si>
  <si>
    <t xml:space="preserve">CAPITALAND ASCOTT TRUST</t>
  </si>
  <si>
    <t xml:space="preserve">8282</t>
  </si>
  <si>
    <t xml:space="preserve">K S HOLDINGS CORP</t>
  </si>
  <si>
    <t xml:space="preserve">CURY</t>
  </si>
  <si>
    <t xml:space="preserve">CURRYS PLC</t>
  </si>
  <si>
    <t xml:space="preserve">KINVB</t>
  </si>
  <si>
    <t xml:space="preserve">KINNEVIK AB   B</t>
  </si>
  <si>
    <t xml:space="preserve">A012750</t>
  </si>
  <si>
    <t xml:space="preserve">S 1 CORPORATION</t>
  </si>
  <si>
    <t xml:space="preserve">3131</t>
  </si>
  <si>
    <t xml:space="preserve">GRAND PROCESS TECHNOLOGY COR</t>
  </si>
  <si>
    <t xml:space="preserve">2040</t>
  </si>
  <si>
    <t xml:space="preserve">SAUDI CERAMIC CO</t>
  </si>
  <si>
    <t xml:space="preserve">MAGNUM</t>
  </si>
  <si>
    <t xml:space="preserve">MAGNUM BHD</t>
  </si>
  <si>
    <t xml:space="preserve">SONACOMS</t>
  </si>
  <si>
    <t xml:space="preserve">SONA BLW PRECISION FORGINGS</t>
  </si>
  <si>
    <t xml:space="preserve">ALM</t>
  </si>
  <si>
    <t xml:space="preserve">ALMIRALL SA</t>
  </si>
  <si>
    <t xml:space="preserve">MTRS</t>
  </si>
  <si>
    <t xml:space="preserve">MUNTERS GROUP AB</t>
  </si>
  <si>
    <t xml:space="preserve">WCH</t>
  </si>
  <si>
    <t xml:space="preserve">WACKER CHEMIE AG</t>
  </si>
  <si>
    <t xml:space="preserve">688222</t>
  </si>
  <si>
    <t xml:space="preserve">HITGEN INC A</t>
  </si>
  <si>
    <t xml:space="preserve">6442</t>
  </si>
  <si>
    <t xml:space="preserve">EZCONN CORPORATION</t>
  </si>
  <si>
    <t xml:space="preserve">6368</t>
  </si>
  <si>
    <t xml:space="preserve">ORGANO CORP</t>
  </si>
  <si>
    <t xml:space="preserve">JPVL</t>
  </si>
  <si>
    <t xml:space="preserve">JAIPRAKASH POWER VENTURES LT</t>
  </si>
  <si>
    <t xml:space="preserve">SPEN</t>
  </si>
  <si>
    <t xml:space="preserve">SHAPIR ENGINEERING AND INDUS</t>
  </si>
  <si>
    <t xml:space="preserve">KEMIRA</t>
  </si>
  <si>
    <t xml:space="preserve">KEMIRA OYJ</t>
  </si>
  <si>
    <t xml:space="preserve">FABG</t>
  </si>
  <si>
    <t xml:space="preserve">FABEGE AB</t>
  </si>
  <si>
    <t xml:space="preserve">A489790</t>
  </si>
  <si>
    <t xml:space="preserve">HANWHA VISION CO LTD</t>
  </si>
  <si>
    <t xml:space="preserve">PHNX</t>
  </si>
  <si>
    <t xml:space="preserve">PHOENIX MILLS LTD</t>
  </si>
  <si>
    <t xml:space="preserve">688120</t>
  </si>
  <si>
    <t xml:space="preserve">HWATSING TECHNOLOGY CO LTD A</t>
  </si>
  <si>
    <t xml:space="preserve">603881</t>
  </si>
  <si>
    <t xml:space="preserve">SHANGHAI ATHUB CO LTD A</t>
  </si>
  <si>
    <t xml:space="preserve">HPCL</t>
  </si>
  <si>
    <t xml:space="preserve">HINDUSTAN PETROLEUM CORP</t>
  </si>
  <si>
    <t xml:space="preserve">7211</t>
  </si>
  <si>
    <t xml:space="preserve">MITSUBISHI MOTORS CORP</t>
  </si>
  <si>
    <t xml:space="preserve">CARTRADE</t>
  </si>
  <si>
    <t xml:space="preserve">CARTRADE TECH LTD</t>
  </si>
  <si>
    <t xml:space="preserve">000001</t>
  </si>
  <si>
    <t xml:space="preserve">PING AN BANK CO LTD A</t>
  </si>
  <si>
    <t xml:space="preserve">A058470</t>
  </si>
  <si>
    <t xml:space="preserve">LEENO INDUSTRIAL INC</t>
  </si>
  <si>
    <t xml:space="preserve">EFR</t>
  </si>
  <si>
    <t xml:space="preserve">ENERGY FUELS INC</t>
  </si>
  <si>
    <t xml:space="preserve">TKG</t>
  </si>
  <si>
    <t xml:space="preserve">TELKOM SA SOC LTD</t>
  </si>
  <si>
    <t xml:space="preserve">A004020</t>
  </si>
  <si>
    <t xml:space="preserve">HYUNDAI STEEL CO</t>
  </si>
  <si>
    <t xml:space="preserve">142</t>
  </si>
  <si>
    <t xml:space="preserve">FIRST PACIFIC CO</t>
  </si>
  <si>
    <t xml:space="preserve">BRG</t>
  </si>
  <si>
    <t xml:space="preserve">BREVILLE GROUP LTD</t>
  </si>
  <si>
    <t xml:space="preserve">GPCR</t>
  </si>
  <si>
    <t xml:space="preserve">STRUCTURE THERAPEUTICS INC</t>
  </si>
  <si>
    <t xml:space="preserve">3491</t>
  </si>
  <si>
    <t xml:space="preserve">UNIVERSAL MICROWAVE TECH</t>
  </si>
  <si>
    <t xml:space="preserve">RSG</t>
  </si>
  <si>
    <t xml:space="preserve">RESOLUTE MINING LTD</t>
  </si>
  <si>
    <t xml:space="preserve">8069</t>
  </si>
  <si>
    <t xml:space="preserve">E INK HOLDINGS INC</t>
  </si>
  <si>
    <t xml:space="preserve">HIMX</t>
  </si>
  <si>
    <t xml:space="preserve">HIMAX TECHNOLOGIES INC ADR</t>
  </si>
  <si>
    <t xml:space="preserve">C52</t>
  </si>
  <si>
    <t xml:space="preserve">COMFORTDELGRO CORP LTD</t>
  </si>
  <si>
    <t xml:space="preserve">VIV</t>
  </si>
  <si>
    <t xml:space="preserve">VIVENDI SE</t>
  </si>
  <si>
    <t xml:space="preserve">9048</t>
  </si>
  <si>
    <t xml:space="preserve">NAGOYA RAILROAD CO LTD</t>
  </si>
  <si>
    <t xml:space="preserve">4931</t>
  </si>
  <si>
    <t xml:space="preserve">STL TECHNOLOGY CO LTD</t>
  </si>
  <si>
    <t xml:space="preserve">600961</t>
  </si>
  <si>
    <t xml:space="preserve">ZHUZHOU SMELTER GROUP CO L A</t>
  </si>
  <si>
    <t xml:space="preserve">7030</t>
  </si>
  <si>
    <t xml:space="preserve">002444</t>
  </si>
  <si>
    <t xml:space="preserve">HANGZHOU GREATSTAR INDUSTRIA</t>
  </si>
  <si>
    <t xml:space="preserve">BHC</t>
  </si>
  <si>
    <t xml:space="preserve">BAUSCH HEALTH COS INC</t>
  </si>
  <si>
    <t xml:space="preserve">HUMANSOFT</t>
  </si>
  <si>
    <t xml:space="preserve">HUMANSOFT HOLDING CO KSC</t>
  </si>
  <si>
    <t xml:space="preserve">9688</t>
  </si>
  <si>
    <t xml:space="preserve">ZAI LAB LTD</t>
  </si>
  <si>
    <t xml:space="preserve">8060</t>
  </si>
  <si>
    <t xml:space="preserve">CANON MARKETING JAPAN INC</t>
  </si>
  <si>
    <t xml:space="preserve">UTDI</t>
  </si>
  <si>
    <t xml:space="preserve">UNITED INTERNET AG REG SHARE</t>
  </si>
  <si>
    <t xml:space="preserve">000807</t>
  </si>
  <si>
    <t xml:space="preserve">YUNNAN ALUMINIUM CO LTD A</t>
  </si>
  <si>
    <t xml:space="preserve">A241560</t>
  </si>
  <si>
    <t xml:space="preserve">DOOSAN BOBCAT INC</t>
  </si>
  <si>
    <t xml:space="preserve">THYROCAR</t>
  </si>
  <si>
    <t xml:space="preserve">THYROCARE TECHNOLOGIES LTD</t>
  </si>
  <si>
    <t xml:space="preserve">A047050</t>
  </si>
  <si>
    <t xml:space="preserve">POSCO INTERNATIONAL CORP</t>
  </si>
  <si>
    <t xml:space="preserve">MDKA</t>
  </si>
  <si>
    <t xml:space="preserve">MERDEKA COPPER GOLD TBK PT</t>
  </si>
  <si>
    <t xml:space="preserve">603501</t>
  </si>
  <si>
    <t xml:space="preserve">OMNIVISION INTEGRATED CIRCUI</t>
  </si>
  <si>
    <t xml:space="preserve">DOHOL</t>
  </si>
  <si>
    <t xml:space="preserve">DOGAN SIRKETLER GRUBU HLDGS</t>
  </si>
  <si>
    <t xml:space="preserve">7148</t>
  </si>
  <si>
    <t xml:space="preserve">FINANCIAL PARTNERS GROUP</t>
  </si>
  <si>
    <t xml:space="preserve">A457190</t>
  </si>
  <si>
    <t xml:space="preserve">ISU SPECIALTY CHEMICAL</t>
  </si>
  <si>
    <t xml:space="preserve">600406</t>
  </si>
  <si>
    <t xml:space="preserve">NARI TECHNOLOGY CO LTD A</t>
  </si>
  <si>
    <t xml:space="preserve">HMSO</t>
  </si>
  <si>
    <t xml:space="preserve">HAMMERSON PLC</t>
  </si>
  <si>
    <t xml:space="preserve">SESG</t>
  </si>
  <si>
    <t xml:space="preserve">SES</t>
  </si>
  <si>
    <t xml:space="preserve">GRFS</t>
  </si>
  <si>
    <t xml:space="preserve">GRIFOLS SA ADR</t>
  </si>
  <si>
    <t xml:space="preserve">1218</t>
  </si>
  <si>
    <t xml:space="preserve">TAISUN ENTERPRISE CO LTD</t>
  </si>
  <si>
    <t xml:space="preserve">KRN</t>
  </si>
  <si>
    <t xml:space="preserve">KRONES AG</t>
  </si>
  <si>
    <t xml:space="preserve">ATGL</t>
  </si>
  <si>
    <t xml:space="preserve">ADANI TOTAL GAS LTD</t>
  </si>
  <si>
    <t xml:space="preserve">7868</t>
  </si>
  <si>
    <t xml:space="preserve">KOSAIDO HOLDINGS CO LTD</t>
  </si>
  <si>
    <t xml:space="preserve">001309</t>
  </si>
  <si>
    <t xml:space="preserve">SHENZHEN TECHWINSEMI TECHN A</t>
  </si>
  <si>
    <t xml:space="preserve">USNZY</t>
  </si>
  <si>
    <t xml:space="preserve">USINAS SIDERURG MINAS SP ADR</t>
  </si>
  <si>
    <t xml:space="preserve">MTH</t>
  </si>
  <si>
    <t xml:space="preserve">MOTUS HOLDINGS LTD</t>
  </si>
  <si>
    <t xml:space="preserve">JUP</t>
  </si>
  <si>
    <t xml:space="preserve">JUPITER FUND MANAGEMENT</t>
  </si>
  <si>
    <t xml:space="preserve">688062</t>
  </si>
  <si>
    <t xml:space="preserve">MABWELL SHANGHAI BIOSCIENC A</t>
  </si>
  <si>
    <t xml:space="preserve">5938</t>
  </si>
  <si>
    <t xml:space="preserve">LIXIL CORP</t>
  </si>
  <si>
    <t xml:space="preserve">9706</t>
  </si>
  <si>
    <t xml:space="preserve">JAPAN AIRPORT TERMINAL CO</t>
  </si>
  <si>
    <t xml:space="preserve">RGN</t>
  </si>
  <si>
    <t xml:space="preserve">REGION GROUP</t>
  </si>
  <si>
    <t xml:space="preserve">MCT</t>
  </si>
  <si>
    <t xml:space="preserve">MAPLETREE PAN ASIA COM TRUST</t>
  </si>
  <si>
    <t xml:space="preserve">ADRO</t>
  </si>
  <si>
    <t xml:space="preserve">ALAMTRI RESOURCES INDONESIA</t>
  </si>
  <si>
    <t xml:space="preserve">TRU</t>
  </si>
  <si>
    <t xml:space="preserve">TRUWORTHS INTERNATIONAL LTD</t>
  </si>
  <si>
    <t xml:space="preserve">1980</t>
  </si>
  <si>
    <t xml:space="preserve">DAI DAN CO LTD</t>
  </si>
  <si>
    <t xml:space="preserve">PAGS</t>
  </si>
  <si>
    <t xml:space="preserve">PAGSEGURO DIGITAL LTD CL A</t>
  </si>
  <si>
    <t xml:space="preserve">3533</t>
  </si>
  <si>
    <t xml:space="preserve">LOTES CO LTD</t>
  </si>
  <si>
    <t xml:space="preserve">1209</t>
  </si>
  <si>
    <t xml:space="preserve">CHINA RESOURCES MIXC LIFESTY</t>
  </si>
  <si>
    <t xml:space="preserve">THULE</t>
  </si>
  <si>
    <t xml:space="preserve">THULE GROUP AB/THE</t>
  </si>
  <si>
    <t xml:space="preserve">4912</t>
  </si>
  <si>
    <t xml:space="preserve">LION CORP</t>
  </si>
  <si>
    <t xml:space="preserve">002001</t>
  </si>
  <si>
    <t xml:space="preserve">ZHEJIANG NHU CO LTD A</t>
  </si>
  <si>
    <t xml:space="preserve">753</t>
  </si>
  <si>
    <t xml:space="preserve">AIR CHINA LTD H</t>
  </si>
  <si>
    <t xml:space="preserve">688205</t>
  </si>
  <si>
    <t xml:space="preserve">WUXI TACLINK OPTOELECTRONI A</t>
  </si>
  <si>
    <t xml:space="preserve">7412</t>
  </si>
  <si>
    <t xml:space="preserve">ATOM CORP</t>
  </si>
  <si>
    <t xml:space="preserve">600570</t>
  </si>
  <si>
    <t xml:space="preserve">HUNDSUN TECHNOLOGIES INC A</t>
  </si>
  <si>
    <t xml:space="preserve">TLEVISA CPO</t>
  </si>
  <si>
    <t xml:space="preserve">GRUPO TELEVISA SAB SER CPO</t>
  </si>
  <si>
    <t xml:space="preserve">BASIC CHEMICAL INDUSTRIES</t>
  </si>
  <si>
    <t xml:space="preserve">002625</t>
  </si>
  <si>
    <t xml:space="preserve">KUANG CHI TECHNOLOGIES CO A</t>
  </si>
  <si>
    <t xml:space="preserve">IDFCFB</t>
  </si>
  <si>
    <t xml:space="preserve">IDFC FIRST BANK LTD</t>
  </si>
  <si>
    <t xml:space="preserve">000997</t>
  </si>
  <si>
    <t xml:space="preserve">NEWLAND DIGITAL TECHNOLOGY A</t>
  </si>
  <si>
    <t xml:space="preserve">3471</t>
  </si>
  <si>
    <t xml:space="preserve">MITSUI FUDOSAN LOGISTICS PAR</t>
  </si>
  <si>
    <t xml:space="preserve">3064</t>
  </si>
  <si>
    <t xml:space="preserve">MONOTARO CO LTD</t>
  </si>
  <si>
    <t xml:space="preserve">2608</t>
  </si>
  <si>
    <t xml:space="preserve">KERRY TJ LOGISTICS CO LTD</t>
  </si>
  <si>
    <t xml:space="preserve">PEXIP</t>
  </si>
  <si>
    <t xml:space="preserve">PEXIP HOLDING ASA</t>
  </si>
  <si>
    <t xml:space="preserve">600301</t>
  </si>
  <si>
    <t xml:space="preserve">GUANGXI HUAXI NONFERROUS M A</t>
  </si>
  <si>
    <t xml:space="preserve">GNS</t>
  </si>
  <si>
    <t xml:space="preserve">GENUS PLC</t>
  </si>
  <si>
    <t xml:space="preserve">IFCI</t>
  </si>
  <si>
    <t xml:space="preserve">IFCI LTD</t>
  </si>
  <si>
    <t xml:space="preserve">PEPL</t>
  </si>
  <si>
    <t xml:space="preserve">PRESTIGE ESTATE PROJ FOR</t>
  </si>
  <si>
    <t xml:space="preserve">SILTRONIC AG</t>
  </si>
  <si>
    <t xml:space="preserve">688136</t>
  </si>
  <si>
    <t xml:space="preserve">KEXING BIOPHARRM CO LTD A</t>
  </si>
  <si>
    <t xml:space="preserve">TDPS</t>
  </si>
  <si>
    <t xml:space="preserve">TD POWER SYSTEMS LTD</t>
  </si>
  <si>
    <t xml:space="preserve">HCC</t>
  </si>
  <si>
    <t xml:space="preserve">HINDUSTAN CONSTRUCTION CO</t>
  </si>
  <si>
    <t xml:space="preserve">BILL</t>
  </si>
  <si>
    <t xml:space="preserve">BILLERUD AB</t>
  </si>
  <si>
    <t xml:space="preserve">6510</t>
  </si>
  <si>
    <t xml:space="preserve">CHUNGHWA PRECISION TEST TECH</t>
  </si>
  <si>
    <t xml:space="preserve">QIIK</t>
  </si>
  <si>
    <t xml:space="preserve">QATAR INTERNATIONAL ISLAMIC</t>
  </si>
  <si>
    <t xml:space="preserve">ZYME</t>
  </si>
  <si>
    <t xml:space="preserve">ZYMEWORKS INC</t>
  </si>
  <si>
    <t xml:space="preserve">300058</t>
  </si>
  <si>
    <t xml:space="preserve">BLUEFOCUS INTELLIGENT COMM A</t>
  </si>
  <si>
    <t xml:space="preserve">5463</t>
  </si>
  <si>
    <t xml:space="preserve">MARUICHI STEEL TUBE LTD</t>
  </si>
  <si>
    <t xml:space="preserve">BATIC</t>
  </si>
  <si>
    <t xml:space="preserve">BATIC INVESTMENTS AND LOGIST</t>
  </si>
  <si>
    <t xml:space="preserve">688293</t>
  </si>
  <si>
    <t xml:space="preserve">SHANGHAI OPM BIOSCIENCES C A</t>
  </si>
  <si>
    <t xml:space="preserve">3986</t>
  </si>
  <si>
    <t xml:space="preserve">GIGADEVICE SEMICONDUCTOR I H</t>
  </si>
  <si>
    <t xml:space="preserve">ENKAI</t>
  </si>
  <si>
    <t xml:space="preserve">ENKA INSAAT VE SANAYI AS</t>
  </si>
  <si>
    <t xml:space="preserve">SK</t>
  </si>
  <si>
    <t xml:space="preserve">SEB SA</t>
  </si>
  <si>
    <t xml:space="preserve">9202</t>
  </si>
  <si>
    <t xml:space="preserve">ANA HOLDINGS INC</t>
  </si>
  <si>
    <t xml:space="preserve">601688</t>
  </si>
  <si>
    <t xml:space="preserve">HUATAI SECURITIES CO LTD A</t>
  </si>
  <si>
    <t xml:space="preserve">CATE</t>
  </si>
  <si>
    <t xml:space="preserve">CATENA AB</t>
  </si>
  <si>
    <t xml:space="preserve">600875</t>
  </si>
  <si>
    <t xml:space="preserve">DONGFANG ELECTRIC CORP LTD A</t>
  </si>
  <si>
    <t xml:space="preserve">SFZN</t>
  </si>
  <si>
    <t xml:space="preserve">SIEGFRIED HOLDING AG REG</t>
  </si>
  <si>
    <t xml:space="preserve">NAM</t>
  </si>
  <si>
    <t xml:space="preserve">NIPPON LIFE INDIA ASSET MANA</t>
  </si>
  <si>
    <t xml:space="preserve">002352</t>
  </si>
  <si>
    <t xml:space="preserve">S F HOLDING CO LTD A</t>
  </si>
  <si>
    <t xml:space="preserve">PIRAMALF</t>
  </si>
  <si>
    <t xml:space="preserve">PIRAMAL FINANCE LTD</t>
  </si>
  <si>
    <t xml:space="preserve">HMFC</t>
  </si>
  <si>
    <t xml:space="preserve">HFCL LTD</t>
  </si>
  <si>
    <t xml:space="preserve">600233</t>
  </si>
  <si>
    <t xml:space="preserve">YTO EXPRESS GROUP CO LTD A</t>
  </si>
  <si>
    <t xml:space="preserve">A403870</t>
  </si>
  <si>
    <t xml:space="preserve">HPSP CO LTD</t>
  </si>
  <si>
    <t xml:space="preserve">A039130</t>
  </si>
  <si>
    <t xml:space="preserve">HANA TOUR SERVICE INC</t>
  </si>
  <si>
    <t xml:space="preserve">BIL</t>
  </si>
  <si>
    <t xml:space="preserve">BALKRISHNA INDUSTRIES LTD</t>
  </si>
  <si>
    <t xml:space="preserve">NYKAA</t>
  </si>
  <si>
    <t xml:space="preserve">FSN E COMMERCE VENTURES LTD</t>
  </si>
  <si>
    <t xml:space="preserve">3264</t>
  </si>
  <si>
    <t xml:space="preserve">ARDENTEC CORP</t>
  </si>
  <si>
    <t xml:space="preserve">2070</t>
  </si>
  <si>
    <t xml:space="preserve">SAUDI PHARMACEUTICAL INDUSTR</t>
  </si>
  <si>
    <t xml:space="preserve">SALIK</t>
  </si>
  <si>
    <t xml:space="preserve">SALIK CO PJSC</t>
  </si>
  <si>
    <t xml:space="preserve">A307950</t>
  </si>
  <si>
    <t xml:space="preserve">HYUNDAI AUTOEVER CORP</t>
  </si>
  <si>
    <t xml:space="preserve">002167</t>
  </si>
  <si>
    <t xml:space="preserve">GUANGDONG ORIENT ZIRCONIC  A</t>
  </si>
  <si>
    <t xml:space="preserve">INW</t>
  </si>
  <si>
    <t xml:space="preserve">INFRASTRUTTURE WIRELESS ITAL</t>
  </si>
  <si>
    <t xml:space="preserve">688019</t>
  </si>
  <si>
    <t xml:space="preserve">ANJI MICROELECTRONICS TECH A</t>
  </si>
  <si>
    <t xml:space="preserve">3363</t>
  </si>
  <si>
    <t xml:space="preserve">FOCI FIBER OPTIC COMMUNICATI</t>
  </si>
  <si>
    <t xml:space="preserve">600600</t>
  </si>
  <si>
    <t xml:space="preserve">TSINGTAO BREWERY CO LTD A</t>
  </si>
  <si>
    <t xml:space="preserve">SUI</t>
  </si>
  <si>
    <t xml:space="preserve">SUN INTERNATIONAL LTD</t>
  </si>
  <si>
    <t xml:space="preserve">USM</t>
  </si>
  <si>
    <t xml:space="preserve">USHA MARTIN LTD</t>
  </si>
  <si>
    <t xml:space="preserve">LTR</t>
  </si>
  <si>
    <t xml:space="preserve">LIONTOWN LTD</t>
  </si>
  <si>
    <t xml:space="preserve">UTG</t>
  </si>
  <si>
    <t xml:space="preserve">UNITE GROUP PLC/THE</t>
  </si>
  <si>
    <t xml:space="preserve">WBO</t>
  </si>
  <si>
    <t xml:space="preserve">WILSON BAYLY HOLMES OVCON</t>
  </si>
  <si>
    <t xml:space="preserve">1929</t>
  </si>
  <si>
    <t xml:space="preserve">CHOW TAI FOOK JEWELLERY GROU</t>
  </si>
  <si>
    <t xml:space="preserve">NOLA B</t>
  </si>
  <si>
    <t xml:space="preserve">NOLATO AB B SHS</t>
  </si>
  <si>
    <t xml:space="preserve">6622</t>
  </si>
  <si>
    <t xml:space="preserve">DAIHEN CORP</t>
  </si>
  <si>
    <t xml:space="preserve">A120110</t>
  </si>
  <si>
    <t xml:space="preserve">KOLON INDUSTRIES INC</t>
  </si>
  <si>
    <t xml:space="preserve">PGEL</t>
  </si>
  <si>
    <t xml:space="preserve">PG ELECTROPLAST LTD</t>
  </si>
  <si>
    <t xml:space="preserve">601328</t>
  </si>
  <si>
    <t xml:space="preserve">BANK OF COMMUNICATIONS CO A</t>
  </si>
  <si>
    <t xml:space="preserve">AUPH</t>
  </si>
  <si>
    <t xml:space="preserve">AURINIA PHARMACEUTICALS INC</t>
  </si>
  <si>
    <t xml:space="preserve">BPCC</t>
  </si>
  <si>
    <t xml:space="preserve">BOUBYAN PETROCHEMICALS CO</t>
  </si>
  <si>
    <t xml:space="preserve">LRE</t>
  </si>
  <si>
    <t xml:space="preserve">LANCASHIRE HOLDINGS LTD</t>
  </si>
  <si>
    <t xml:space="preserve">DRO</t>
  </si>
  <si>
    <t xml:space="preserve">DRONESHIELD LTD</t>
  </si>
  <si>
    <t xml:space="preserve">002081</t>
  </si>
  <si>
    <t xml:space="preserve">SUZHOU GOLD MANTIS CONSTR  A</t>
  </si>
  <si>
    <t xml:space="preserve">GRT</t>
  </si>
  <si>
    <t xml:space="preserve">GROWTHPOINT PROPERTIES LTD</t>
  </si>
  <si>
    <t xml:space="preserve">ESCORTS</t>
  </si>
  <si>
    <t xml:space="preserve">ESCORTS KUBOTA LTD</t>
  </si>
  <si>
    <t xml:space="preserve">600893</t>
  </si>
  <si>
    <t xml:space="preserve">AECC AVIATION POWER CO A</t>
  </si>
  <si>
    <t xml:space="preserve">COLONIAL SFL SOCIMI SA</t>
  </si>
  <si>
    <t xml:space="preserve">NIND</t>
  </si>
  <si>
    <t xml:space="preserve">NATIONAL INDUSTRIES GRP HOLD</t>
  </si>
  <si>
    <t xml:space="preserve">IMCR</t>
  </si>
  <si>
    <t xml:space="preserve">IMMUNOCORE HOLDINGS PLC ADR</t>
  </si>
  <si>
    <t xml:space="preserve">601211</t>
  </si>
  <si>
    <t xml:space="preserve">GUOTAI HAITONG SECURITIES CO</t>
  </si>
  <si>
    <t xml:space="preserve">A178320</t>
  </si>
  <si>
    <t xml:space="preserve">SEOJIN SYSTEM CO LTD</t>
  </si>
  <si>
    <t xml:space="preserve">HVN</t>
  </si>
  <si>
    <t xml:space="preserve">HARVEY NORMAN HOLDINGS LTD</t>
  </si>
  <si>
    <t xml:space="preserve">ELAL</t>
  </si>
  <si>
    <t xml:space="preserve">EL AL ISRAEL AIRLINES LTD</t>
  </si>
  <si>
    <t xml:space="preserve">3350</t>
  </si>
  <si>
    <t xml:space="preserve">METAPLANET INC</t>
  </si>
  <si>
    <t xml:space="preserve">9008</t>
  </si>
  <si>
    <t xml:space="preserve">KEIO CORP</t>
  </si>
  <si>
    <t xml:space="preserve">6739</t>
  </si>
  <si>
    <t xml:space="preserve">GRADE UPON TECHNOLOGY CORP</t>
  </si>
  <si>
    <t xml:space="preserve">301377</t>
  </si>
  <si>
    <t xml:space="preserve">GUANGDONG DTECH TECHNOLOGY A</t>
  </si>
  <si>
    <t xml:space="preserve">2400</t>
  </si>
  <si>
    <t xml:space="preserve">XD INC</t>
  </si>
  <si>
    <t xml:space="preserve">A052690</t>
  </si>
  <si>
    <t xml:space="preserve">KEPCO ENGINEERING + CONSTRUC</t>
  </si>
  <si>
    <t xml:space="preserve">9006</t>
  </si>
  <si>
    <t xml:space="preserve">KEIKYU CORP</t>
  </si>
  <si>
    <t xml:space="preserve">A051900</t>
  </si>
  <si>
    <t xml:space="preserve">LG H+H</t>
  </si>
  <si>
    <t xml:space="preserve">8020</t>
  </si>
  <si>
    <t xml:space="preserve">KANEMATSU CORP</t>
  </si>
  <si>
    <t xml:space="preserve">688521</t>
  </si>
  <si>
    <t xml:space="preserve">VERISILICON MICROELECTRONI A</t>
  </si>
  <si>
    <t xml:space="preserve">688428</t>
  </si>
  <si>
    <t xml:space="preserve">INNOCARE PHARMA LTD A</t>
  </si>
  <si>
    <t xml:space="preserve">BLUESTON</t>
  </si>
  <si>
    <t xml:space="preserve">BLUESTONE JEWELLERY AND LIFE</t>
  </si>
  <si>
    <t xml:space="preserve">ASMDEE</t>
  </si>
  <si>
    <t xml:space="preserve">ASMODEE GROUP AB B</t>
  </si>
  <si>
    <t xml:space="preserve">PLX</t>
  </si>
  <si>
    <t xml:space="preserve">PLUXEE NV</t>
  </si>
  <si>
    <t xml:space="preserve">WALSIN TECHNOLOGY CORP</t>
  </si>
  <si>
    <t xml:space="preserve">1208</t>
  </si>
  <si>
    <t xml:space="preserve">MMG LTD</t>
  </si>
  <si>
    <t xml:space="preserve">A082740</t>
  </si>
  <si>
    <t xml:space="preserve">HANWHA ENGINE CO LTD</t>
  </si>
  <si>
    <t xml:space="preserve">SAX</t>
  </si>
  <si>
    <t xml:space="preserve">STROEER SE + CO KGAA</t>
  </si>
  <si>
    <t xml:space="preserve">8210</t>
  </si>
  <si>
    <t xml:space="preserve">BUPA ARABIA FOR COOPERATIVE</t>
  </si>
  <si>
    <t xml:space="preserve">4716</t>
  </si>
  <si>
    <t xml:space="preserve">ORACLE CORP JAPAN</t>
  </si>
  <si>
    <t xml:space="preserve">371</t>
  </si>
  <si>
    <t xml:space="preserve">BEIJING ENTERPRISES WATER GR</t>
  </si>
  <si>
    <t xml:space="preserve">CLBT</t>
  </si>
  <si>
    <t xml:space="preserve">CELLEBRITE DI LTD</t>
  </si>
  <si>
    <t xml:space="preserve">8960</t>
  </si>
  <si>
    <t xml:space="preserve">UNITED URBAN INVESTMENT CORP</t>
  </si>
  <si>
    <t xml:space="preserve">OCDO</t>
  </si>
  <si>
    <t xml:space="preserve">OCADO GROUP PLC</t>
  </si>
  <si>
    <t xml:space="preserve">FRAS</t>
  </si>
  <si>
    <t xml:space="preserve">FRASERS GROUP PLC</t>
  </si>
  <si>
    <t xml:space="preserve">8010</t>
  </si>
  <si>
    <t xml:space="preserve">CO FOR COOPERATIVE INSURANCE</t>
  </si>
  <si>
    <t xml:space="preserve">CENTEL-F</t>
  </si>
  <si>
    <t xml:space="preserve">CENTRAL PLAZA HOTEL PCL FRGN</t>
  </si>
  <si>
    <t xml:space="preserve">CAR.UN</t>
  </si>
  <si>
    <t xml:space="preserve">CAN APARTMENT PROP REAL ESTA</t>
  </si>
  <si>
    <t xml:space="preserve">SBICARD</t>
  </si>
  <si>
    <t xml:space="preserve">SBI CARDS + PAYMENT SERVICES</t>
  </si>
  <si>
    <t xml:space="preserve">ONESOURC</t>
  </si>
  <si>
    <t xml:space="preserve">ONESOURCE SPECIALTY PHARMA L</t>
  </si>
  <si>
    <t xml:space="preserve">JD LOGISTICS INC</t>
  </si>
  <si>
    <t xml:space="preserve">MODON</t>
  </si>
  <si>
    <t xml:space="preserve">MODON HOLDING PSC</t>
  </si>
  <si>
    <t xml:space="preserve">601888</t>
  </si>
  <si>
    <t xml:space="preserve">CHINA TOURISM GROUP DUTY F A</t>
  </si>
  <si>
    <t xml:space="preserve">002484</t>
  </si>
  <si>
    <t xml:space="preserve">NANTONG JIANGHAI CAPACITOR A</t>
  </si>
  <si>
    <t xml:space="preserve">900908</t>
  </si>
  <si>
    <t xml:space="preserve">SHANGHAI CHLOR ALKALI CHEM B</t>
  </si>
  <si>
    <t xml:space="preserve">600999</t>
  </si>
  <si>
    <t xml:space="preserve">CHINA MERCHANTS SECURITIES A</t>
  </si>
  <si>
    <t xml:space="preserve">CRIN</t>
  </si>
  <si>
    <t xml:space="preserve">COROMANDEL INTERNATIONAL LTD</t>
  </si>
  <si>
    <t xml:space="preserve">9412</t>
  </si>
  <si>
    <t xml:space="preserve">SKY PERFECT JSAT CORP</t>
  </si>
  <si>
    <t xml:space="preserve">IGRD</t>
  </si>
  <si>
    <t xml:space="preserve">ESTITHMAR HOLDING QPSC</t>
  </si>
  <si>
    <t xml:space="preserve">603127</t>
  </si>
  <si>
    <t xml:space="preserve">JOINN LABORATORIES CHINA C A</t>
  </si>
  <si>
    <t xml:space="preserve">4272</t>
  </si>
  <si>
    <t xml:space="preserve">NIPPON KAYAKU CO LTD</t>
  </si>
  <si>
    <t xml:space="preserve">DSTKF</t>
  </si>
  <si>
    <t xml:space="preserve">DESTEK FINANS FAKTORING AS</t>
  </si>
  <si>
    <t xml:space="preserve">659</t>
  </si>
  <si>
    <t xml:space="preserve">CTF SERVICES LTD</t>
  </si>
  <si>
    <t xml:space="preserve">1729</t>
  </si>
  <si>
    <t xml:space="preserve">TIME INTERCONNECT TECHNOLOGY</t>
  </si>
  <si>
    <t xml:space="preserve">DEZ</t>
  </si>
  <si>
    <t xml:space="preserve">DEUTZ AG</t>
  </si>
  <si>
    <t xml:space="preserve">NMDC</t>
  </si>
  <si>
    <t xml:space="preserve">NMDC GROUP PJSC</t>
  </si>
  <si>
    <t xml:space="preserve">1357</t>
  </si>
  <si>
    <t xml:space="preserve">MEITU INC</t>
  </si>
  <si>
    <t xml:space="preserve">A280360</t>
  </si>
  <si>
    <t xml:space="preserve">LOTTE WELLFOOD CO LTD</t>
  </si>
  <si>
    <t xml:space="preserve">1719</t>
  </si>
  <si>
    <t xml:space="preserve">HAZAMA ANDO CORP</t>
  </si>
  <si>
    <t xml:space="preserve">300475</t>
  </si>
  <si>
    <t xml:space="preserve">SHANNON SEMICONDUCTOR TECH A</t>
  </si>
  <si>
    <t xml:space="preserve">300347</t>
  </si>
  <si>
    <t xml:space="preserve">HANGZHOU TIGERMED CONSULTI A</t>
  </si>
  <si>
    <t xml:space="preserve">RECL</t>
  </si>
  <si>
    <t xml:space="preserve">REC LTD</t>
  </si>
  <si>
    <t xml:space="preserve">002396</t>
  </si>
  <si>
    <t xml:space="preserve">FUJIAN STAR NET COMMUNICAT A</t>
  </si>
  <si>
    <t xml:space="preserve">VL</t>
  </si>
  <si>
    <t xml:space="preserve">VIMTA LABS LTD</t>
  </si>
  <si>
    <t xml:space="preserve">1904</t>
  </si>
  <si>
    <t xml:space="preserve">CHENG LOONG CORP</t>
  </si>
  <si>
    <t xml:space="preserve">002273</t>
  </si>
  <si>
    <t xml:space="preserve">ZHEJIANG CRYSTAL OPTECH  A</t>
  </si>
  <si>
    <t xml:space="preserve">7610</t>
  </si>
  <si>
    <t xml:space="preserve">LIANYOU METALS CO LTD</t>
  </si>
  <si>
    <t xml:space="preserve">600936</t>
  </si>
  <si>
    <t xml:space="preserve">GUANGXI BEITOU TECHNOLOGY A</t>
  </si>
  <si>
    <t xml:space="preserve">8250</t>
  </si>
  <si>
    <t xml:space="preserve">GULF INSURANCE GROUP</t>
  </si>
  <si>
    <t xml:space="preserve">TECN</t>
  </si>
  <si>
    <t xml:space="preserve">TECAN GROUP AG REG</t>
  </si>
  <si>
    <t xml:space="preserve">Z</t>
  </si>
  <si>
    <t xml:space="preserve">ZEE ENTERTAINMENT ENTERPRISE</t>
  </si>
  <si>
    <t xml:space="preserve">LPP</t>
  </si>
  <si>
    <t xml:space="preserve">LPP SA</t>
  </si>
  <si>
    <t xml:space="preserve">KLBF</t>
  </si>
  <si>
    <t xml:space="preserve">KALBE FARMA TBK PT</t>
  </si>
  <si>
    <t xml:space="preserve">A375500</t>
  </si>
  <si>
    <t xml:space="preserve">DL E+C CO LTD</t>
  </si>
  <si>
    <t xml:space="preserve">308</t>
  </si>
  <si>
    <t xml:space="preserve">CHINA TRAVEL INTL INV HK</t>
  </si>
  <si>
    <t xml:space="preserve">AMPER SA</t>
  </si>
  <si>
    <t xml:space="preserve">1060</t>
  </si>
  <si>
    <t xml:space="preserve">SAUDI AWWAL BANK</t>
  </si>
  <si>
    <t xml:space="preserve">4506</t>
  </si>
  <si>
    <t xml:space="preserve">SUMITOMO PHARMA CO LTD</t>
  </si>
  <si>
    <t xml:space="preserve">SSPG</t>
  </si>
  <si>
    <t xml:space="preserve">SSP GROUP PLC</t>
  </si>
  <si>
    <t xml:space="preserve">DNO</t>
  </si>
  <si>
    <t xml:space="preserve">DNO ASA</t>
  </si>
  <si>
    <t xml:space="preserve">MANAPPURAM</t>
  </si>
  <si>
    <t xml:space="preserve">MANAPPURAM FINANCE LTD</t>
  </si>
  <si>
    <t xml:space="preserve">900926</t>
  </si>
  <si>
    <t xml:space="preserve">SHANGHAI BAOSIGHT SOFTWARE B</t>
  </si>
  <si>
    <t xml:space="preserve">A192820</t>
  </si>
  <si>
    <t xml:space="preserve">COSMAX INC</t>
  </si>
  <si>
    <t xml:space="preserve">4003</t>
  </si>
  <si>
    <t xml:space="preserve">UNITED ELECTRONICS CO</t>
  </si>
  <si>
    <t xml:space="preserve">A237690</t>
  </si>
  <si>
    <t xml:space="preserve">ST PHARM CO LTD</t>
  </si>
  <si>
    <t xml:space="preserve">DIACABS</t>
  </si>
  <si>
    <t xml:space="preserve">DIAMOND POWER INFRA LTD</t>
  </si>
  <si>
    <t xml:space="preserve">RAKPROP</t>
  </si>
  <si>
    <t xml:space="preserve">RAK PROPERTIES</t>
  </si>
  <si>
    <t xml:space="preserve">IWG</t>
  </si>
  <si>
    <t xml:space="preserve">INTERNATIONAL WORKPLACE GROU</t>
  </si>
  <si>
    <t xml:space="preserve">1905</t>
  </si>
  <si>
    <t xml:space="preserve">CHUNG HWA PULP</t>
  </si>
  <si>
    <t xml:space="preserve">688605</t>
  </si>
  <si>
    <t xml:space="preserve">SPRINT PRECISION TECHNOLOG A</t>
  </si>
  <si>
    <t xml:space="preserve">DRR</t>
  </si>
  <si>
    <t xml:space="preserve">DETERRA ROYALTIES LTD</t>
  </si>
  <si>
    <t xml:space="preserve">REDI</t>
  </si>
  <si>
    <t xml:space="preserve">REDINGTON LTD</t>
  </si>
  <si>
    <t xml:space="preserve">A064400</t>
  </si>
  <si>
    <t xml:space="preserve">LG CNS CO LTD</t>
  </si>
  <si>
    <t xml:space="preserve">1830</t>
  </si>
  <si>
    <t xml:space="preserve">LEEJAM SPORTS CO JSC</t>
  </si>
  <si>
    <t xml:space="preserve">WALLB</t>
  </si>
  <si>
    <t xml:space="preserve">WALLENSTAM AB B SHS</t>
  </si>
  <si>
    <t xml:space="preserve">CLGT</t>
  </si>
  <si>
    <t xml:space="preserve">COLGATE PALMOLIVE (INDIA)</t>
  </si>
  <si>
    <t xml:space="preserve">NATU3</t>
  </si>
  <si>
    <t xml:space="preserve">NATURA COSMETICOS SA</t>
  </si>
  <si>
    <t xml:space="preserve">2162</t>
  </si>
  <si>
    <t xml:space="preserve">KEYMED BIOSCIENCES INC</t>
  </si>
  <si>
    <t xml:space="preserve">CIE</t>
  </si>
  <si>
    <t xml:space="preserve">CIE AUTOMOTIVE SA</t>
  </si>
  <si>
    <t xml:space="preserve">300476</t>
  </si>
  <si>
    <t xml:space="preserve">VICTORY GIANT TECHNOLOGY  A</t>
  </si>
  <si>
    <t xml:space="preserve">CHP.UN</t>
  </si>
  <si>
    <t xml:space="preserve">CHOICE PROPERTIES REIT</t>
  </si>
  <si>
    <t xml:space="preserve">A218410</t>
  </si>
  <si>
    <t xml:space="preserve">RFHIC CORP</t>
  </si>
  <si>
    <t xml:space="preserve">FIBRAMQ 12</t>
  </si>
  <si>
    <t xml:space="preserve">FIBRA MACQUARIE MEXICO</t>
  </si>
  <si>
    <t xml:space="preserve">APOLLO</t>
  </si>
  <si>
    <t xml:space="preserve">APOLLO MICRO SYSTEMS LTD</t>
  </si>
  <si>
    <t xml:space="preserve">003006</t>
  </si>
  <si>
    <t xml:space="preserve">CHONGQING BAIYA SANITARY P A</t>
  </si>
  <si>
    <t xml:space="preserve">YTLPOWR</t>
  </si>
  <si>
    <t xml:space="preserve">YTL POWER INTERNATIONAL BHD</t>
  </si>
  <si>
    <t xml:space="preserve">4007</t>
  </si>
  <si>
    <t xml:space="preserve">AL HAMMADI HOLDING</t>
  </si>
  <si>
    <t xml:space="preserve">429A</t>
  </si>
  <si>
    <t xml:space="preserve">TEKSCEND PHOTOMASK CORP</t>
  </si>
  <si>
    <t xml:space="preserve">002600</t>
  </si>
  <si>
    <t xml:space="preserve">LINGYI ITECH GUANGDONG CO  A</t>
  </si>
  <si>
    <t xml:space="preserve">HOME</t>
  </si>
  <si>
    <t xml:space="preserve">NEINOR HOMES SA</t>
  </si>
  <si>
    <t xml:space="preserve">002517</t>
  </si>
  <si>
    <t xml:space="preserve">KINGNET NETWORK CO LTD A</t>
  </si>
  <si>
    <t xml:space="preserve">GRT.UN</t>
  </si>
  <si>
    <t xml:space="preserve">GRANITE REAL ESTATE INVESTME</t>
  </si>
  <si>
    <t xml:space="preserve">6472</t>
  </si>
  <si>
    <t xml:space="preserve">NTN CORP</t>
  </si>
  <si>
    <t xml:space="preserve">3226</t>
  </si>
  <si>
    <t xml:space="preserve">MITSUI FUDOSAN ACCOMMODATION</t>
  </si>
  <si>
    <t xml:space="preserve">RDC</t>
  </si>
  <si>
    <t xml:space="preserve">REDCARE PHARMACY NV</t>
  </si>
  <si>
    <t xml:space="preserve">A034220</t>
  </si>
  <si>
    <t xml:space="preserve">LG DISPLAY CO LTD</t>
  </si>
  <si>
    <t xml:space="preserve">ICHB</t>
  </si>
  <si>
    <t xml:space="preserve">INDUSTRIAS CH S.A.B. SER B</t>
  </si>
  <si>
    <t xml:space="preserve">300346</t>
  </si>
  <si>
    <t xml:space="preserve">JIANGSU NATA OPTO ELECTRON A</t>
  </si>
  <si>
    <t xml:space="preserve">A051915</t>
  </si>
  <si>
    <t xml:space="preserve">LG CHEM LTD PREFERENCE</t>
  </si>
  <si>
    <t xml:space="preserve">4714</t>
  </si>
  <si>
    <t xml:space="preserve">RISO KYOIKU GROUP CORP</t>
  </si>
  <si>
    <t xml:space="preserve">301235</t>
  </si>
  <si>
    <t xml:space="preserve">WUHAN HUAKANG CENTURY CLEA A</t>
  </si>
  <si>
    <t xml:space="preserve">300857</t>
  </si>
  <si>
    <t xml:space="preserve">SHARETRONIC DATA TECHNOLOG A</t>
  </si>
  <si>
    <t xml:space="preserve">AVICHINA INDUSTRY + TECH H</t>
  </si>
  <si>
    <t xml:space="preserve">002138</t>
  </si>
  <si>
    <t xml:space="preserve">SHENZHEN SUNLORD ELECTRONI A</t>
  </si>
  <si>
    <t xml:space="preserve">603730</t>
  </si>
  <si>
    <t xml:space="preserve">SHANGHAI DAIMAY AUTOMOTIVE A</t>
  </si>
  <si>
    <t xml:space="preserve">VOLT</t>
  </si>
  <si>
    <t xml:space="preserve">VOLTAS LTD</t>
  </si>
  <si>
    <t xml:space="preserve">INARI</t>
  </si>
  <si>
    <t xml:space="preserve">INARI AMERTRON BHD</t>
  </si>
  <si>
    <t xml:space="preserve">TRST</t>
  </si>
  <si>
    <t xml:space="preserve">TRUSTPILOT GROUP PLC</t>
  </si>
  <si>
    <t xml:space="preserve">A097950</t>
  </si>
  <si>
    <t xml:space="preserve">CJ CHEILJEDANG CORP</t>
  </si>
  <si>
    <t xml:space="preserve">4202</t>
  </si>
  <si>
    <t xml:space="preserve">DAICEL CORP</t>
  </si>
  <si>
    <t xml:space="preserve">1359</t>
  </si>
  <si>
    <t xml:space="preserve">CHINA CINDA ASSET MANAGEME H</t>
  </si>
  <si>
    <t xml:space="preserve">A136480</t>
  </si>
  <si>
    <t xml:space="preserve">HARIM CO LTD</t>
  </si>
  <si>
    <t xml:space="preserve">NOMD</t>
  </si>
  <si>
    <t xml:space="preserve">NOMAD FOODS LTD</t>
  </si>
  <si>
    <t xml:space="preserve">3048</t>
  </si>
  <si>
    <t xml:space="preserve">BIC CAMERA INC</t>
  </si>
  <si>
    <t xml:space="preserve">ALSN</t>
  </si>
  <si>
    <t xml:space="preserve">ALSO HOLDING AG REG</t>
  </si>
  <si>
    <t xml:space="preserve">NEU</t>
  </si>
  <si>
    <t xml:space="preserve">NEUREN PHARMACEUTICALS LTD</t>
  </si>
  <si>
    <t xml:space="preserve">3374</t>
  </si>
  <si>
    <t xml:space="preserve">XINTEC INC</t>
  </si>
  <si>
    <t xml:space="preserve">000831</t>
  </si>
  <si>
    <t xml:space="preserve">CHINA RARE EARTH RESOURCES A</t>
  </si>
  <si>
    <t xml:space="preserve">6592</t>
  </si>
  <si>
    <t xml:space="preserve">MABUCHI MOTOR CO LTD</t>
  </si>
  <si>
    <t xml:space="preserve">CRC-F</t>
  </si>
  <si>
    <t xml:space="preserve">CENTRAL RETAIL CORP FOREIGN</t>
  </si>
  <si>
    <t xml:space="preserve">8876</t>
  </si>
  <si>
    <t xml:space="preserve">RELO GROUP INC</t>
  </si>
  <si>
    <t xml:space="preserve">3450</t>
  </si>
  <si>
    <t xml:space="preserve">ELITE ADVANCED LASER CORP</t>
  </si>
  <si>
    <t xml:space="preserve">605117</t>
  </si>
  <si>
    <t xml:space="preserve">NINGBO DEYE TECHNOLOGY COR A</t>
  </si>
  <si>
    <t xml:space="preserve">101</t>
  </si>
  <si>
    <t xml:space="preserve">HANG LUNG PROPERTIES LTD</t>
  </si>
  <si>
    <t xml:space="preserve">9509</t>
  </si>
  <si>
    <t xml:space="preserve">HOKKAIDO ELECTRIC POWER CO</t>
  </si>
  <si>
    <t xml:space="preserve">FAGR</t>
  </si>
  <si>
    <t xml:space="preserve">FAGRON</t>
  </si>
  <si>
    <t xml:space="preserve">1860</t>
  </si>
  <si>
    <t xml:space="preserve">TODA CORP</t>
  </si>
  <si>
    <t xml:space="preserve">600206</t>
  </si>
  <si>
    <t xml:space="preserve">GRINM ADVANCED MATERIAL CO A</t>
  </si>
  <si>
    <t xml:space="preserve">8230</t>
  </si>
  <si>
    <t xml:space="preserve">AL RAJHI CO FOR CO OPERATIVE</t>
  </si>
  <si>
    <t xml:space="preserve">601689</t>
  </si>
  <si>
    <t xml:space="preserve">NINGBO TUOPU GROUP CO LTD A</t>
  </si>
  <si>
    <t xml:space="preserve">6849</t>
  </si>
  <si>
    <t xml:space="preserve">NIHON KOHDEN CORP</t>
  </si>
  <si>
    <t xml:space="preserve">600346</t>
  </si>
  <si>
    <t xml:space="preserve">HENGLI PETROCHEMICAL CO L A</t>
  </si>
  <si>
    <t xml:space="preserve">6407</t>
  </si>
  <si>
    <t xml:space="preserve">CKD CORP</t>
  </si>
  <si>
    <t xml:space="preserve">SUF</t>
  </si>
  <si>
    <t xml:space="preserve">SUNDARAM FINANCE LTD</t>
  </si>
  <si>
    <t xml:space="preserve">BBNI</t>
  </si>
  <si>
    <t xml:space="preserve">BANK NEGARA INDONESIA PERSER</t>
  </si>
  <si>
    <t xml:space="preserve">656</t>
  </si>
  <si>
    <t xml:space="preserve">FOSUN INTERNATIONAL LTD</t>
  </si>
  <si>
    <t xml:space="preserve">002558</t>
  </si>
  <si>
    <t xml:space="preserve">GIANT NETWORK GROUP CO LTD A</t>
  </si>
  <si>
    <t xml:space="preserve">RBK</t>
  </si>
  <si>
    <t xml:space="preserve">RBL BANK LTD</t>
  </si>
  <si>
    <t xml:space="preserve">SUNREIT</t>
  </si>
  <si>
    <t xml:space="preserve">SUNWAY REAL ESTATE INVESTMEN</t>
  </si>
  <si>
    <t xml:space="preserve">PBH</t>
  </si>
  <si>
    <t xml:space="preserve">PREMIUM BRANDS HOLDINGS CORP</t>
  </si>
  <si>
    <t xml:space="preserve">4300</t>
  </si>
  <si>
    <t xml:space="preserve">DAR AL ARKAN REAL ESTATE DEV</t>
  </si>
  <si>
    <t xml:space="preserve">3323</t>
  </si>
  <si>
    <t xml:space="preserve">CHINA NATIONAL BUILDING MA H</t>
  </si>
  <si>
    <t xml:space="preserve">2142</t>
  </si>
  <si>
    <t xml:space="preserve">HBM HOLDINGS LTD</t>
  </si>
  <si>
    <t xml:space="preserve">002241</t>
  </si>
  <si>
    <t xml:space="preserve">GOERTEK INC  A</t>
  </si>
  <si>
    <t xml:space="preserve">7380</t>
  </si>
  <si>
    <t xml:space="preserve">JUROKU FINANCIAL GROUP INC</t>
  </si>
  <si>
    <t xml:space="preserve">A030520</t>
  </si>
  <si>
    <t xml:space="preserve">HANCOM INC</t>
  </si>
  <si>
    <t xml:space="preserve">002223</t>
  </si>
  <si>
    <t xml:space="preserve">JIANGSU YUYUE MEDICAL EQU A</t>
  </si>
  <si>
    <t xml:space="preserve">A161890</t>
  </si>
  <si>
    <t xml:space="preserve">KOLMAR KOREA CO LTD</t>
  </si>
  <si>
    <t xml:space="preserve">MSB</t>
  </si>
  <si>
    <t xml:space="preserve">MESOBLAST LTD</t>
  </si>
  <si>
    <t xml:space="preserve">002181</t>
  </si>
  <si>
    <t xml:space="preserve">GUANGDONG GUANGZHOU DAILY A</t>
  </si>
  <si>
    <t xml:space="preserve">002698</t>
  </si>
  <si>
    <t xml:space="preserve">HARBIN BOSHI AUTOMATION CO A</t>
  </si>
  <si>
    <t xml:space="preserve">A011780</t>
  </si>
  <si>
    <t xml:space="preserve">KUMHO PETROCHEMICAL CO LTD</t>
  </si>
  <si>
    <t xml:space="preserve">A336260</t>
  </si>
  <si>
    <t xml:space="preserve">DOOSAN FUEL CELL CO LTD</t>
  </si>
  <si>
    <t xml:space="preserve">4626</t>
  </si>
  <si>
    <t xml:space="preserve">TAIYO HOLDINGS CO LTD</t>
  </si>
  <si>
    <t xml:space="preserve">PNL</t>
  </si>
  <si>
    <t xml:space="preserve">POSTNL NV</t>
  </si>
  <si>
    <t xml:space="preserve">POWF</t>
  </si>
  <si>
    <t xml:space="preserve">POWER FINANCE CORPORATION</t>
  </si>
  <si>
    <t xml:space="preserve">9303</t>
  </si>
  <si>
    <t xml:space="preserve">SUMITOMO WAREHOUSE CO LTD</t>
  </si>
  <si>
    <t xml:space="preserve">688758</t>
  </si>
  <si>
    <t xml:space="preserve">SUZHOU SEPAX TECHNOLOGIES  A</t>
  </si>
  <si>
    <t xml:space="preserve">QGTS</t>
  </si>
  <si>
    <t xml:space="preserve">QATAR GAS TRANSPORT(NAKILAT)</t>
  </si>
  <si>
    <t xml:space="preserve">EPRO B</t>
  </si>
  <si>
    <t xml:space="preserve">ELECTROLUX PROFESSIONAL AB B</t>
  </si>
  <si>
    <t xml:space="preserve">2913</t>
  </si>
  <si>
    <t xml:space="preserve">TAIWAN TEA CORP</t>
  </si>
  <si>
    <t xml:space="preserve">603598</t>
  </si>
  <si>
    <t xml:space="preserve">INLY MEDIA CO LTD A</t>
  </si>
  <si>
    <t xml:space="preserve">300014</t>
  </si>
  <si>
    <t xml:space="preserve">EVE ENERGY CO LTD A</t>
  </si>
  <si>
    <t xml:space="preserve">0126Z0</t>
  </si>
  <si>
    <t xml:space="preserve">SAMSUNG EPISHOLDINGS CO LTD</t>
  </si>
  <si>
    <t xml:space="preserve">KPITTECH</t>
  </si>
  <si>
    <t xml:space="preserve">KPIT TECHNOLOGIES LTD</t>
  </si>
  <si>
    <t xml:space="preserve">MIPS</t>
  </si>
  <si>
    <t xml:space="preserve">MIPS AB</t>
  </si>
  <si>
    <t xml:space="preserve">601012</t>
  </si>
  <si>
    <t xml:space="preserve">LONGI GREEN ENERGY TECHNOL A</t>
  </si>
  <si>
    <t xml:space="preserve">SRCM</t>
  </si>
  <si>
    <t xml:space="preserve">SHREE CEMENT LTD</t>
  </si>
  <si>
    <t xml:space="preserve">688796</t>
  </si>
  <si>
    <t xml:space="preserve">BIOCYTOGEN PHARMACEUTICALS A</t>
  </si>
  <si>
    <t xml:space="preserve">EGIE3</t>
  </si>
  <si>
    <t xml:space="preserve">ENGIE BRASIL ENERGIA SA</t>
  </si>
  <si>
    <t xml:space="preserve">3040</t>
  </si>
  <si>
    <t xml:space="preserve">QASSIM CEMENT/THE</t>
  </si>
  <si>
    <t xml:space="preserve">6590</t>
  </si>
  <si>
    <t xml:space="preserve">SHIBAURA MECHATRONICS CORP</t>
  </si>
  <si>
    <t xml:space="preserve">A079160</t>
  </si>
  <si>
    <t xml:space="preserve">CJ CGV CO LTD</t>
  </si>
  <si>
    <t xml:space="preserve">A290650</t>
  </si>
  <si>
    <t xml:space="preserve">L+C BIO CO LTD</t>
  </si>
  <si>
    <t xml:space="preserve">SWEDISH KRONA</t>
  </si>
  <si>
    <t xml:space="preserve">3769</t>
  </si>
  <si>
    <t xml:space="preserve">GMO PAYMENT GATEWAY INC</t>
  </si>
  <si>
    <t xml:space="preserve">GRG</t>
  </si>
  <si>
    <t xml:space="preserve">GREGGS PLC</t>
  </si>
  <si>
    <t xml:space="preserve">300073</t>
  </si>
  <si>
    <t xml:space="preserve">BEIJING EASPRING MATERIAL A</t>
  </si>
  <si>
    <t xml:space="preserve">SKBN</t>
  </si>
  <si>
    <t xml:space="preserve">SHIKUN + BINUI LTD</t>
  </si>
  <si>
    <t xml:space="preserve">A141080</t>
  </si>
  <si>
    <t xml:space="preserve">LIGACHEM BIOSCIENCES INC</t>
  </si>
  <si>
    <t xml:space="preserve">WCT</t>
  </si>
  <si>
    <t xml:space="preserve">WCT HOLDINGS BERHAD</t>
  </si>
  <si>
    <t xml:space="preserve">2160</t>
  </si>
  <si>
    <t xml:space="preserve">GNI GROUP LTD</t>
  </si>
  <si>
    <t xml:space="preserve">9119</t>
  </si>
  <si>
    <t xml:space="preserve">IINO KAIUN KAISHA LTD</t>
  </si>
  <si>
    <t xml:space="preserve">MOBVISTA INC</t>
  </si>
  <si>
    <t xml:space="preserve">688234</t>
  </si>
  <si>
    <t xml:space="preserve">SICC CO LTD A</t>
  </si>
  <si>
    <t xml:space="preserve">AFRY</t>
  </si>
  <si>
    <t xml:space="preserve">AFRY AB</t>
  </si>
  <si>
    <t xml:space="preserve">LLOYDSEN</t>
  </si>
  <si>
    <t xml:space="preserve">LLOYDS ENGINEERING WORKS LTD</t>
  </si>
  <si>
    <t xml:space="preserve">TELEKOM AUSTRIA AG</t>
  </si>
  <si>
    <t xml:space="preserve">HUSQ B</t>
  </si>
  <si>
    <t xml:space="preserve">HUSQVARNA AB B SHS</t>
  </si>
  <si>
    <t xml:space="preserve">3800</t>
  </si>
  <si>
    <t xml:space="preserve">GCL TECHNOLOGY HOLDINGS LTD</t>
  </si>
  <si>
    <t xml:space="preserve">5726</t>
  </si>
  <si>
    <t xml:space="preserve">OSAKA TITANIUM TECHNOLOGIES</t>
  </si>
  <si>
    <t xml:space="preserve">000739</t>
  </si>
  <si>
    <t xml:space="preserve">APELOA PHARMACEUTICAL CO A</t>
  </si>
  <si>
    <t xml:space="preserve">MELE</t>
  </si>
  <si>
    <t xml:space="preserve">MELEXIS NV</t>
  </si>
  <si>
    <t xml:space="preserve">200596</t>
  </si>
  <si>
    <t xml:space="preserve">ANHUI GUJING DISTILLERY CO B</t>
  </si>
  <si>
    <t xml:space="preserve">A080160</t>
  </si>
  <si>
    <t xml:space="preserve">MODETOUR NETWORK INC</t>
  </si>
  <si>
    <t xml:space="preserve">GIMB</t>
  </si>
  <si>
    <t xml:space="preserve">GIMV NV</t>
  </si>
  <si>
    <t xml:space="preserve">SI</t>
  </si>
  <si>
    <t xml:space="preserve">SUPREME INDUSTRIES LTD</t>
  </si>
  <si>
    <t xml:space="preserve">AYALA CORPORATION</t>
  </si>
  <si>
    <t xml:space="preserve">A214450</t>
  </si>
  <si>
    <t xml:space="preserve">PHARMARESEARCH CO LTD</t>
  </si>
  <si>
    <t xml:space="preserve">SPTOTO</t>
  </si>
  <si>
    <t xml:space="preserve">SPORTS TOTO BHD</t>
  </si>
  <si>
    <t xml:space="preserve">8410</t>
  </si>
  <si>
    <t xml:space="preserve">SEVEN BANK LTD</t>
  </si>
  <si>
    <t xml:space="preserve">LODHA</t>
  </si>
  <si>
    <t xml:space="preserve">LODHA DEVELOPERS LTD</t>
  </si>
  <si>
    <t xml:space="preserve">688221</t>
  </si>
  <si>
    <t xml:space="preserve">FRONTIER BIOTECHNOLOGIES I A</t>
  </si>
  <si>
    <t xml:space="preserve">LMAX</t>
  </si>
  <si>
    <t xml:space="preserve">LUMAX AUTO TECHNOLOGIES LTD</t>
  </si>
  <si>
    <t xml:space="preserve">ETIHADENERGY</t>
  </si>
  <si>
    <t xml:space="preserve">ETIHAD ENERGY HOLDING PJSC</t>
  </si>
  <si>
    <t xml:space="preserve">2238</t>
  </si>
  <si>
    <t xml:space="preserve">GUANGZHOU AUTOMOBILE GROUP H</t>
  </si>
  <si>
    <t xml:space="preserve">ANGELONE</t>
  </si>
  <si>
    <t xml:space="preserve">ANGEL ONE LTD</t>
  </si>
  <si>
    <t xml:space="preserve">8987</t>
  </si>
  <si>
    <t xml:space="preserve">JAPAN EXCELLENT INC</t>
  </si>
  <si>
    <t xml:space="preserve">87</t>
  </si>
  <si>
    <t xml:space="preserve">SWIRE PACIFIC LTD CL B</t>
  </si>
  <si>
    <t xml:space="preserve">683</t>
  </si>
  <si>
    <t xml:space="preserve">KERRY PROPERTIES LTD</t>
  </si>
  <si>
    <t xml:space="preserve">5741</t>
  </si>
  <si>
    <t xml:space="preserve">UACJ CORP</t>
  </si>
  <si>
    <t xml:space="preserve">002131</t>
  </si>
  <si>
    <t xml:space="preserve">LEO GROUP CO LTD A</t>
  </si>
  <si>
    <t xml:space="preserve">A007310</t>
  </si>
  <si>
    <t xml:space="preserve">OTOKI CORP</t>
  </si>
  <si>
    <t xml:space="preserve">241</t>
  </si>
  <si>
    <t xml:space="preserve">ALIBABA HEALTH INFORMATION T</t>
  </si>
  <si>
    <t xml:space="preserve">PENTA</t>
  </si>
  <si>
    <t xml:space="preserve">PENTAMASTER CORP BHD</t>
  </si>
  <si>
    <t xml:space="preserve">FLUOROCH</t>
  </si>
  <si>
    <t xml:space="preserve">GUJARAT FLUOROCHEMICALS LTD</t>
  </si>
  <si>
    <t xml:space="preserve">NMDC LTD</t>
  </si>
  <si>
    <t xml:space="preserve">6181</t>
  </si>
  <si>
    <t xml:space="preserve">LAOPU GOLD CO L H</t>
  </si>
  <si>
    <t xml:space="preserve">IMTX</t>
  </si>
  <si>
    <t xml:space="preserve">IMMATICS NV</t>
  </si>
  <si>
    <t xml:space="preserve">A251270</t>
  </si>
  <si>
    <t xml:space="preserve">NETMARBLE CORP</t>
  </si>
  <si>
    <t xml:space="preserve">8033</t>
  </si>
  <si>
    <t xml:space="preserve">THUNDER TIGER CORP</t>
  </si>
  <si>
    <t xml:space="preserve">A078600</t>
  </si>
  <si>
    <t xml:space="preserve">DAEJOO ELECTRONIC MATERIALS</t>
  </si>
  <si>
    <t xml:space="preserve">INSTAL</t>
  </si>
  <si>
    <t xml:space="preserve">INSTALCO AB</t>
  </si>
  <si>
    <t xml:space="preserve">CPIN</t>
  </si>
  <si>
    <t xml:space="preserve">CHAROEN POKPHAND INDONESI PT</t>
  </si>
  <si>
    <t xml:space="preserve">1055</t>
  </si>
  <si>
    <t xml:space="preserve">CHINA SOUTHERN AIRLINES CO H</t>
  </si>
  <si>
    <t xml:space="preserve">9880</t>
  </si>
  <si>
    <t xml:space="preserve">UBTECH ROBOTICS CORP LTD H</t>
  </si>
  <si>
    <t xml:space="preserve">2433</t>
  </si>
  <si>
    <t xml:space="preserve">HAKUHODO DY HOLDINGS INC</t>
  </si>
  <si>
    <t xml:space="preserve">QFBQ</t>
  </si>
  <si>
    <t xml:space="preserve">LESHA BANK LLC</t>
  </si>
  <si>
    <t xml:space="preserve">A3M</t>
  </si>
  <si>
    <t xml:space="preserve">ATRESMEDIA CORP DE MEDIOS DE</t>
  </si>
  <si>
    <t xml:space="preserve">MBRF3</t>
  </si>
  <si>
    <t xml:space="preserve">MBRF GLOBAL FOODS COMPANY SA</t>
  </si>
  <si>
    <t xml:space="preserve">4979</t>
  </si>
  <si>
    <t xml:space="preserve">LUXNET CORP</t>
  </si>
  <si>
    <t xml:space="preserve">CY6U</t>
  </si>
  <si>
    <t xml:space="preserve">CAPITALAND INDIA TRUST</t>
  </si>
  <si>
    <t xml:space="preserve">3692</t>
  </si>
  <si>
    <t xml:space="preserve">HANSOH PHARMACEUTICAL GROUP</t>
  </si>
  <si>
    <t xml:space="preserve">EDR</t>
  </si>
  <si>
    <t xml:space="preserve">EDREAMS ODIGEO SL</t>
  </si>
  <si>
    <t xml:space="preserve">1909</t>
  </si>
  <si>
    <t xml:space="preserve">LONG CHEN PAPER + PACKAGING</t>
  </si>
  <si>
    <t xml:space="preserve">LXS</t>
  </si>
  <si>
    <t xml:space="preserve">LANXESS AG</t>
  </si>
  <si>
    <t xml:space="preserve">AAYAN</t>
  </si>
  <si>
    <t xml:space="preserve">AAYAN LEASING + INVESTMENT</t>
  </si>
  <si>
    <t xml:space="preserve">CLW</t>
  </si>
  <si>
    <t xml:space="preserve">CHARTER HALL LONG WALE REIT</t>
  </si>
  <si>
    <t xml:space="preserve">GNC</t>
  </si>
  <si>
    <t xml:space="preserve">GREENCORE GROUP PLC</t>
  </si>
  <si>
    <t xml:space="preserve">3293</t>
  </si>
  <si>
    <t xml:space="preserve">INTERNATIONAL GAMES SYSTEM C</t>
  </si>
  <si>
    <t xml:space="preserve">JMIA</t>
  </si>
  <si>
    <t xml:space="preserve">JUMIA TECHNOLOGIES AG ADR</t>
  </si>
  <si>
    <t xml:space="preserve">BWP</t>
  </si>
  <si>
    <t xml:space="preserve">BWP PROPERTY GROUP LTD</t>
  </si>
  <si>
    <t xml:space="preserve">DYL</t>
  </si>
  <si>
    <t xml:space="preserve">DEEP YELLOW LTD</t>
  </si>
  <si>
    <t xml:space="preserve">ASAI3</t>
  </si>
  <si>
    <t xml:space="preserve">SENDAS DISTRIBUIDORA SA</t>
  </si>
  <si>
    <t xml:space="preserve">FNAC</t>
  </si>
  <si>
    <t xml:space="preserve">FNAC DARTY SA</t>
  </si>
  <si>
    <t xml:space="preserve">5314</t>
  </si>
  <si>
    <t xml:space="preserve">MYSON CENTURY INC</t>
  </si>
  <si>
    <t xml:space="preserve">AJMANBANK</t>
  </si>
  <si>
    <t xml:space="preserve">AJMAN BANK PJSC</t>
  </si>
  <si>
    <t xml:space="preserve">1815</t>
  </si>
  <si>
    <t xml:space="preserve">FULLTECH FIBER GLASS CORP</t>
  </si>
  <si>
    <t xml:space="preserve">268A</t>
  </si>
  <si>
    <t xml:space="preserve">RIGAKU HOLDINGS CORP</t>
  </si>
  <si>
    <t xml:space="preserve">DOKA</t>
  </si>
  <si>
    <t xml:space="preserve">DORMAKABA HOLDING AG</t>
  </si>
  <si>
    <t xml:space="preserve">COUNTRY GARDEN SERVICES HOLD</t>
  </si>
  <si>
    <t xml:space="preserve">MPHC</t>
  </si>
  <si>
    <t xml:space="preserve">MESAIEED PETROCHEMICAL HOLDI</t>
  </si>
  <si>
    <t xml:space="preserve">NRR</t>
  </si>
  <si>
    <t xml:space="preserve">NEWRIVER REIT PLC</t>
  </si>
  <si>
    <t xml:space="preserve">8086</t>
  </si>
  <si>
    <t xml:space="preserve">NIPRO CORP</t>
  </si>
  <si>
    <t xml:space="preserve">002145</t>
  </si>
  <si>
    <t xml:space="preserve">TINERGY CHEMICAL CO LTD A</t>
  </si>
  <si>
    <t xml:space="preserve">603986</t>
  </si>
  <si>
    <t xml:space="preserve">GIGADEVICE SEMICONDUCTO CL A</t>
  </si>
  <si>
    <t xml:space="preserve">MFI</t>
  </si>
  <si>
    <t xml:space="preserve">MAPLE LEAF FOODS INC</t>
  </si>
  <si>
    <t xml:space="preserve">EKTA B_SEK</t>
  </si>
  <si>
    <t xml:space="preserve">ELEKTA AB B SHS</t>
  </si>
  <si>
    <t xml:space="preserve">603737</t>
  </si>
  <si>
    <t xml:space="preserve">SKSHU PAINT CO LTD A</t>
  </si>
  <si>
    <t xml:space="preserve">TERA</t>
  </si>
  <si>
    <t xml:space="preserve">TERA YATIRIM MENKUL DEGERLER</t>
  </si>
  <si>
    <t xml:space="preserve">COK</t>
  </si>
  <si>
    <t xml:space="preserve">CANCOM SE</t>
  </si>
  <si>
    <t xml:space="preserve">ENAV</t>
  </si>
  <si>
    <t xml:space="preserve">ENAV SPA</t>
  </si>
  <si>
    <t xml:space="preserve">CRML</t>
  </si>
  <si>
    <t xml:space="preserve">CRITICAL METALS CORP</t>
  </si>
  <si>
    <t xml:space="preserve">ERG</t>
  </si>
  <si>
    <t xml:space="preserve">ERG SPA</t>
  </si>
  <si>
    <t xml:space="preserve">300061</t>
  </si>
  <si>
    <t xml:space="preserve">QITIAN TECHNOLOGY GROUP C A</t>
  </si>
  <si>
    <t xml:space="preserve">DORL</t>
  </si>
  <si>
    <t xml:space="preserve">DORAL GROUP RENEWABLE ENERGY</t>
  </si>
  <si>
    <t xml:space="preserve">300149</t>
  </si>
  <si>
    <t xml:space="preserve">CHEMPARTNER PHARMATECH CO A</t>
  </si>
  <si>
    <t xml:space="preserve">688048</t>
  </si>
  <si>
    <t xml:space="preserve">SUZHOU EVERBRIGHT PHOTONIC A</t>
  </si>
  <si>
    <t xml:space="preserve">HH</t>
  </si>
  <si>
    <t xml:space="preserve">H H INTERNATIONAL A/S B</t>
  </si>
  <si>
    <t xml:space="preserve">SGKN</t>
  </si>
  <si>
    <t xml:space="preserve">ST GALLER KANTONALBANK A REG</t>
  </si>
  <si>
    <t xml:space="preserve">RLX</t>
  </si>
  <si>
    <t xml:space="preserve">RLX TECHNOLOGY INC ADR</t>
  </si>
  <si>
    <t xml:space="preserve">000725</t>
  </si>
  <si>
    <t xml:space="preserve">BOE TECHNOLOGY GROUP CO LT A</t>
  </si>
  <si>
    <t xml:space="preserve">YUAN RENMINBI</t>
  </si>
  <si>
    <t xml:space="preserve">A323280</t>
  </si>
  <si>
    <t xml:space="preserve">TAESUNG CO LTD</t>
  </si>
  <si>
    <t xml:space="preserve">002738</t>
  </si>
  <si>
    <t xml:space="preserve">SINOMINE RESOURCE GROUP CO A</t>
  </si>
  <si>
    <t xml:space="preserve">TFG</t>
  </si>
  <si>
    <t xml:space="preserve">THE FOSCHINI GROUP LTD</t>
  </si>
  <si>
    <t xml:space="preserve">BOE</t>
  </si>
  <si>
    <t xml:space="preserve">BOSS ENERGY LTD</t>
  </si>
  <si>
    <t xml:space="preserve">ASMN</t>
  </si>
  <si>
    <t xml:space="preserve">ASHAPURA MINECHEM LTD FOREIG</t>
  </si>
  <si>
    <t xml:space="preserve">000737</t>
  </si>
  <si>
    <t xml:space="preserve">NORTH COPPER CO LTD A</t>
  </si>
  <si>
    <t xml:space="preserve">417A</t>
  </si>
  <si>
    <t xml:space="preserve">BLUE ZONES HOLDINGS CO LTD</t>
  </si>
  <si>
    <t xml:space="preserve">601872</t>
  </si>
  <si>
    <t xml:space="preserve">CHINA MERCHANTS ENERGY  A</t>
  </si>
  <si>
    <t xml:space="preserve">603929</t>
  </si>
  <si>
    <t xml:space="preserve">L+K ENGINEERING SUZHOU CO A</t>
  </si>
  <si>
    <t xml:space="preserve">688676</t>
  </si>
  <si>
    <t xml:space="preserve">HAINAN JINPAN SMART TECHNO A</t>
  </si>
  <si>
    <t xml:space="preserve">600488</t>
  </si>
  <si>
    <t xml:space="preserve">TIANJIN TIANYAO PHARM A</t>
  </si>
  <si>
    <t xml:space="preserve">SOIL</t>
  </si>
  <si>
    <t xml:space="preserve">SOLAR INDUSTRIES INDIA LTD</t>
  </si>
  <si>
    <t xml:space="preserve">3005</t>
  </si>
  <si>
    <t xml:space="preserve">UMM AL QURA CEMENT CO</t>
  </si>
  <si>
    <t xml:space="preserve">4194</t>
  </si>
  <si>
    <t xml:space="preserve">VISIONAL INC</t>
  </si>
  <si>
    <t xml:space="preserve">002230</t>
  </si>
  <si>
    <t xml:space="preserve">IFLYTEK CO LTD   A</t>
  </si>
  <si>
    <t xml:space="preserve">ELEQ</t>
  </si>
  <si>
    <t xml:space="preserve">ELGI EQUIPMENTS LTD</t>
  </si>
  <si>
    <t xml:space="preserve">ALHE</t>
  </si>
  <si>
    <t xml:space="preserve">ALONY HETZ PROPERTIES + INV</t>
  </si>
  <si>
    <t xml:space="preserve">BLDP</t>
  </si>
  <si>
    <t xml:space="preserve">BALLARD POWER SYSTEMS INC</t>
  </si>
  <si>
    <t xml:space="preserve">2931</t>
  </si>
  <si>
    <t xml:space="preserve">EUGLENA CO LTD</t>
  </si>
  <si>
    <t xml:space="preserve">BRSL</t>
  </si>
  <si>
    <t xml:space="preserve">BRIGHTSTAR LOTTERY PLC</t>
  </si>
  <si>
    <t xml:space="preserve">RDF</t>
  </si>
  <si>
    <t xml:space="preserve">REDEFINE PROPERTIES LTD</t>
  </si>
  <si>
    <t xml:space="preserve">600150</t>
  </si>
  <si>
    <t xml:space="preserve">CHINA CSSC HOLDINGS LTD A</t>
  </si>
  <si>
    <t xml:space="preserve">A004370</t>
  </si>
  <si>
    <t xml:space="preserve">NONGSHIM CO LTD</t>
  </si>
  <si>
    <t xml:space="preserve">VET</t>
  </si>
  <si>
    <t xml:space="preserve">VERMILION ENERGY INC</t>
  </si>
  <si>
    <t xml:space="preserve">301611</t>
  </si>
  <si>
    <t xml:space="preserve">SUZHOU KEMATEK INC A</t>
  </si>
  <si>
    <t xml:space="preserve">FRVIA</t>
  </si>
  <si>
    <t xml:space="preserve">FORVIA</t>
  </si>
  <si>
    <t xml:space="preserve">OLAELEC</t>
  </si>
  <si>
    <t xml:space="preserve">OLA ELECTRIC MOBILITY LTD</t>
  </si>
  <si>
    <t xml:space="preserve">600111</t>
  </si>
  <si>
    <t xml:space="preserve">CHINA NORTHERN RARE EARTH  A</t>
  </si>
  <si>
    <t xml:space="preserve">A008930</t>
  </si>
  <si>
    <t xml:space="preserve">HANMI SCIENCE CO LTD</t>
  </si>
  <si>
    <t xml:space="preserve">3295</t>
  </si>
  <si>
    <t xml:space="preserve">HULIC REIT INC</t>
  </si>
  <si>
    <t xml:space="preserve">JUN3</t>
  </si>
  <si>
    <t xml:space="preserve">JUNGHEINRICH   PRFD</t>
  </si>
  <si>
    <t xml:space="preserve">300316</t>
  </si>
  <si>
    <t xml:space="preserve">ZHEJIANG JINGSHENG MECHANI A</t>
  </si>
  <si>
    <t xml:space="preserve">SHA0</t>
  </si>
  <si>
    <t xml:space="preserve">SCHAEFFLER AG</t>
  </si>
  <si>
    <t xml:space="preserve">A225570</t>
  </si>
  <si>
    <t xml:space="preserve">NEXON GAMES CO LTD</t>
  </si>
  <si>
    <t xml:space="preserve">000301</t>
  </si>
  <si>
    <t xml:space="preserve">JIANGSU EASTERN SHENGHONG  A</t>
  </si>
  <si>
    <t xml:space="preserve">CLICKS GROUP LTD</t>
  </si>
  <si>
    <t xml:space="preserve">601133</t>
  </si>
  <si>
    <t xml:space="preserve">BOTH ENGINEERING TECHNOLOG A</t>
  </si>
  <si>
    <t xml:space="preserve">RMLI</t>
  </si>
  <si>
    <t xml:space="preserve">RAMI LEVY CHAIN STORES HASHI</t>
  </si>
  <si>
    <t xml:space="preserve">688361</t>
  </si>
  <si>
    <t xml:space="preserve">SKYVERSE TECHNOLOGY CO LTD A</t>
  </si>
  <si>
    <t xml:space="preserve">002532</t>
  </si>
  <si>
    <t xml:space="preserve">TIANSHAN ALUMINUM GROUP CO A</t>
  </si>
  <si>
    <t xml:space="preserve">200625</t>
  </si>
  <si>
    <t xml:space="preserve">CHONGQING CHANGAN AUTOMOBI B</t>
  </si>
  <si>
    <t xml:space="preserve">SIME</t>
  </si>
  <si>
    <t xml:space="preserve">SIME DARBY BERHAD</t>
  </si>
  <si>
    <t xml:space="preserve">603060</t>
  </si>
  <si>
    <t xml:space="preserve">CHINA TESTING + CERTIFICAT A</t>
  </si>
  <si>
    <t xml:space="preserve">A008730</t>
  </si>
  <si>
    <t xml:space="preserve">YOULCHON CHEMICAL CO LTD</t>
  </si>
  <si>
    <t xml:space="preserve">7173</t>
  </si>
  <si>
    <t xml:space="preserve">TOKYO KIRABOSHI FINANCIAL GR</t>
  </si>
  <si>
    <t xml:space="preserve">2206</t>
  </si>
  <si>
    <t xml:space="preserve">EZAKI GLICO CO LTD</t>
  </si>
  <si>
    <t xml:space="preserve">603090</t>
  </si>
  <si>
    <t xml:space="preserve">WUXI HONGSHENG HEAT EXCHAN A</t>
  </si>
  <si>
    <t xml:space="preserve">4180</t>
  </si>
  <si>
    <t xml:space="preserve">FITAIHI HOLDING GROUP</t>
  </si>
  <si>
    <t xml:space="preserve">TISCO-F</t>
  </si>
  <si>
    <t xml:space="preserve">TISCO FINANCIAL FOREIGN</t>
  </si>
  <si>
    <t xml:space="preserve">ENC</t>
  </si>
  <si>
    <t xml:space="preserve">ENCE ENERGIA Y CELULOSA SA</t>
  </si>
  <si>
    <t xml:space="preserve">AXIATA</t>
  </si>
  <si>
    <t xml:space="preserve">AXIATA GROUP BERHAD</t>
  </si>
  <si>
    <t xml:space="preserve">JSAW</t>
  </si>
  <si>
    <t xml:space="preserve">JINDAL SAW LTD</t>
  </si>
  <si>
    <t xml:space="preserve">1193</t>
  </si>
  <si>
    <t xml:space="preserve">CHINA RESOURCES GAS GROUP LT</t>
  </si>
  <si>
    <t xml:space="preserve">002050</t>
  </si>
  <si>
    <t xml:space="preserve">ZHEJIANG SANHUA INTELLIGEN A</t>
  </si>
  <si>
    <t xml:space="preserve">688621</t>
  </si>
  <si>
    <t xml:space="preserve">BEIJING SUN NOVO PHARMACEU A</t>
  </si>
  <si>
    <t xml:space="preserve">PI</t>
  </si>
  <si>
    <t xml:space="preserve">PI INDUSTRIES LTD</t>
  </si>
  <si>
    <t xml:space="preserve">VTY</t>
  </si>
  <si>
    <t xml:space="preserve">VISTRY GROUP PLC</t>
  </si>
  <si>
    <t xml:space="preserve">688449</t>
  </si>
  <si>
    <t xml:space="preserve">MAXIO TECHNOLOGY HANGZHOU  A</t>
  </si>
  <si>
    <t xml:space="preserve">3234</t>
  </si>
  <si>
    <t xml:space="preserve">TRUELIGHT CORP</t>
  </si>
  <si>
    <t xml:space="preserve">SRU.UN</t>
  </si>
  <si>
    <t xml:space="preserve">SMARTCENTRES REAL ESTATE INV</t>
  </si>
  <si>
    <t xml:space="preserve">GRSE</t>
  </si>
  <si>
    <t xml:space="preserve">GARDEN REACH SHIPBUILDERS +</t>
  </si>
  <si>
    <t xml:space="preserve">OERL</t>
  </si>
  <si>
    <t xml:space="preserve">OC OERLIKON CORP AG REG</t>
  </si>
  <si>
    <t xml:space="preserve">9A4U</t>
  </si>
  <si>
    <t xml:space="preserve">ESR REIT</t>
  </si>
  <si>
    <t xml:space="preserve">600809</t>
  </si>
  <si>
    <t xml:space="preserve">SHANXI XINGHUACUN FEN WINE A</t>
  </si>
  <si>
    <t xml:space="preserve">MLX</t>
  </si>
  <si>
    <t xml:space="preserve">METALS X LTD</t>
  </si>
  <si>
    <t xml:space="preserve">600285</t>
  </si>
  <si>
    <t xml:space="preserve">HENAN LINGRUI PHARMACEUTIC A</t>
  </si>
  <si>
    <t xml:space="preserve">688167</t>
  </si>
  <si>
    <t xml:space="preserve">FOCUSLIGHT TECHNOLOGIES IN A</t>
  </si>
  <si>
    <t xml:space="preserve">603728</t>
  </si>
  <si>
    <t xml:space="preserve">SHANGHAI MOONS  ELECTRIC C A</t>
  </si>
  <si>
    <t xml:space="preserve">BH-F</t>
  </si>
  <si>
    <t xml:space="preserve">BUMRUNGRAD HOSPITAL FOREIGN</t>
  </si>
  <si>
    <t xml:space="preserve">002465</t>
  </si>
  <si>
    <t xml:space="preserve">GUANGZHOU HAIGE COMMUNICAT A</t>
  </si>
  <si>
    <t xml:space="preserve">3330</t>
  </si>
  <si>
    <t xml:space="preserve">LINGBAO GOLD GROUP CO LTD H</t>
  </si>
  <si>
    <t xml:space="preserve">8570</t>
  </si>
  <si>
    <t xml:space="preserve">AEON FINANCIAL SERVICE CO LT</t>
  </si>
  <si>
    <t xml:space="preserve">002266</t>
  </si>
  <si>
    <t xml:space="preserve">ZHEFU HOLDING GROUP CO LTD A</t>
  </si>
  <si>
    <t xml:space="preserve">A081660</t>
  </si>
  <si>
    <t xml:space="preserve">MISTO HOLDINGS CORP</t>
  </si>
  <si>
    <t xml:space="preserve">6182</t>
  </si>
  <si>
    <t xml:space="preserve">WAFER WORKS CORP</t>
  </si>
  <si>
    <t xml:space="preserve">688146</t>
  </si>
  <si>
    <t xml:space="preserve">PERIC SPECIAL GASES CO LTD A</t>
  </si>
  <si>
    <t xml:space="preserve">PNDX B</t>
  </si>
  <si>
    <t xml:space="preserve">PANDOX AB</t>
  </si>
  <si>
    <t xml:space="preserve">600958</t>
  </si>
  <si>
    <t xml:space="preserve">ORIENT SECURITIES CO LTD A</t>
  </si>
  <si>
    <t xml:space="preserve">000651</t>
  </si>
  <si>
    <t xml:space="preserve">GREE ELECTRIC APPLIANCES I A</t>
  </si>
  <si>
    <t xml:space="preserve">TMC</t>
  </si>
  <si>
    <t xml:space="preserve">TMC THE METALS CO INC</t>
  </si>
  <si>
    <t xml:space="preserve">UBBL</t>
  </si>
  <si>
    <t xml:space="preserve">UNITED BREWERIES LTD</t>
  </si>
  <si>
    <t xml:space="preserve">QEWS</t>
  </si>
  <si>
    <t xml:space="preserve">NEBRAS ENERGY</t>
  </si>
  <si>
    <t xml:space="preserve">002493</t>
  </si>
  <si>
    <t xml:space="preserve">RONGSHENG PETROCHEMICAL CO A</t>
  </si>
  <si>
    <t xml:space="preserve">600641</t>
  </si>
  <si>
    <t xml:space="preserve">SHANGHAI VITAL MICROTECH CO</t>
  </si>
  <si>
    <t xml:space="preserve">RHBBANK</t>
  </si>
  <si>
    <t xml:space="preserve">RHB BANK BHD</t>
  </si>
  <si>
    <t xml:space="preserve">002311</t>
  </si>
  <si>
    <t xml:space="preserve">GUANGDONG HAID GROUP CO A</t>
  </si>
  <si>
    <t xml:space="preserve">LDA</t>
  </si>
  <si>
    <t xml:space="preserve">LINEA DIRECTA ASEGURADORA SA</t>
  </si>
  <si>
    <t xml:space="preserve">000100</t>
  </si>
  <si>
    <t xml:space="preserve">TCL TECHNOLOGY GROUP CORP A</t>
  </si>
  <si>
    <t xml:space="preserve">000733</t>
  </si>
  <si>
    <t xml:space="preserve">CHINA ZHENHUA GROUP SCIENC A</t>
  </si>
  <si>
    <t xml:space="preserve">301188</t>
  </si>
  <si>
    <t xml:space="preserve">SHANDONG LINUO PHARMACEUTICA</t>
  </si>
  <si>
    <t xml:space="preserve">2290</t>
  </si>
  <si>
    <t xml:space="preserve">YANBU NATIONAL PETROCHEMICAL</t>
  </si>
  <si>
    <t xml:space="preserve">TEHOL</t>
  </si>
  <si>
    <t xml:space="preserve">TERA YATIRIM TEKNOLOJI HOLDI</t>
  </si>
  <si>
    <t xml:space="preserve">9505</t>
  </si>
  <si>
    <t xml:space="preserve">HOKURIKU ELECTRIC POWER CO</t>
  </si>
  <si>
    <t xml:space="preserve">4290</t>
  </si>
  <si>
    <t xml:space="preserve">AL KHALEEJ TRAINING AND EDUC</t>
  </si>
  <si>
    <t xml:space="preserve">9934</t>
  </si>
  <si>
    <t xml:space="preserve">INABA DENKI SANGYO CO LTD</t>
  </si>
  <si>
    <t xml:space="preserve">IPRU</t>
  </si>
  <si>
    <t xml:space="preserve">ICICI PRUDENTIAL LIFE INSURA</t>
  </si>
  <si>
    <t xml:space="preserve">GXI</t>
  </si>
  <si>
    <t xml:space="preserve">GERRESHEIMER AG</t>
  </si>
  <si>
    <t xml:space="preserve">000021</t>
  </si>
  <si>
    <t xml:space="preserve">SHENZHEN KAIFA TECHNOLOGY A</t>
  </si>
  <si>
    <t xml:space="preserve">A004990</t>
  </si>
  <si>
    <t xml:space="preserve">LOTTE CORP</t>
  </si>
  <si>
    <t xml:space="preserve">VCT</t>
  </si>
  <si>
    <t xml:space="preserve">VICTREX PLC</t>
  </si>
  <si>
    <t xml:space="preserve">BDMN</t>
  </si>
  <si>
    <t xml:space="preserve">BANK DANAMON INDONESIA TBK</t>
  </si>
  <si>
    <t xml:space="preserve">PTTGC-F</t>
  </si>
  <si>
    <t xml:space="preserve">PTT GLOBAL CHEMICAL PCL FOR</t>
  </si>
  <si>
    <t xml:space="preserve">300548</t>
  </si>
  <si>
    <t xml:space="preserve">EVERPROX TECHNOLOGIES CO L A</t>
  </si>
  <si>
    <t xml:space="preserve">SID</t>
  </si>
  <si>
    <t xml:space="preserve">CIA SIDERURGICA NACL SP ADR</t>
  </si>
  <si>
    <t xml:space="preserve">300540</t>
  </si>
  <si>
    <t xml:space="preserve">SICHUAN SHUDAO EQUIPMENT T A</t>
  </si>
  <si>
    <t xml:space="preserve">A001040</t>
  </si>
  <si>
    <t xml:space="preserve">CJ CORP</t>
  </si>
  <si>
    <t xml:space="preserve">2866</t>
  </si>
  <si>
    <t xml:space="preserve">COSCO SHIPPING DEVELOPMENT H</t>
  </si>
  <si>
    <t xml:space="preserve">CASH</t>
  </si>
  <si>
    <t xml:space="preserve">PROSEGUR CASH SA</t>
  </si>
  <si>
    <t xml:space="preserve">7419</t>
  </si>
  <si>
    <t xml:space="preserve">NOJIMA CORP</t>
  </si>
  <si>
    <t xml:space="preserve">DLPL</t>
  </si>
  <si>
    <t xml:space="preserve">DR LAL PATHLABS LTD</t>
  </si>
  <si>
    <t xml:space="preserve">6432</t>
  </si>
  <si>
    <t xml:space="preserve">TAKEUCHI MFG CO LTD</t>
  </si>
  <si>
    <t xml:space="preserve">600018</t>
  </si>
  <si>
    <t xml:space="preserve">SHANGHAI INTERNATIONAL POR A</t>
  </si>
  <si>
    <t xml:space="preserve">4260</t>
  </si>
  <si>
    <t xml:space="preserve">UNITED INTERNATIONAL TRANSPO</t>
  </si>
  <si>
    <t xml:space="preserve">HTRO</t>
  </si>
  <si>
    <t xml:space="preserve">HEXATRONIC GROUP AB</t>
  </si>
  <si>
    <t xml:space="preserve">A310210</t>
  </si>
  <si>
    <t xml:space="preserve">VORONOI INC</t>
  </si>
  <si>
    <t xml:space="preserve">688200</t>
  </si>
  <si>
    <t xml:space="preserve">BEIJING HUAFENG TEST + CON A</t>
  </si>
  <si>
    <t xml:space="preserve">002063</t>
  </si>
  <si>
    <t xml:space="preserve">YGSOFT INC  A</t>
  </si>
  <si>
    <t xml:space="preserve">A020560</t>
  </si>
  <si>
    <t xml:space="preserve">ASIANA AIRLINES</t>
  </si>
  <si>
    <t xml:space="preserve">LKFT</t>
  </si>
  <si>
    <t xml:space="preserve">LAKEFRONT BIOTHERAPEUTICS</t>
  </si>
  <si>
    <t xml:space="preserve">603757</t>
  </si>
  <si>
    <t xml:space="preserve">ZHEJIANG DAYUAN PUMPS INDU A</t>
  </si>
  <si>
    <t xml:space="preserve">600795</t>
  </si>
  <si>
    <t xml:space="preserve">GD POWER DEVELOPMENT CO  A</t>
  </si>
  <si>
    <t xml:space="preserve">551</t>
  </si>
  <si>
    <t xml:space="preserve">YUE YUEN INDUSTRIAL HLDG</t>
  </si>
  <si>
    <t xml:space="preserve">HAS</t>
  </si>
  <si>
    <t xml:space="preserve">HAYS PLC</t>
  </si>
  <si>
    <t xml:space="preserve">000839</t>
  </si>
  <si>
    <t xml:space="preserve">CITIC GUOAN INFORMATION A</t>
  </si>
  <si>
    <t xml:space="preserve">300382</t>
  </si>
  <si>
    <t xml:space="preserve">SUZHOU SLAC PRECISION EQUI A</t>
  </si>
  <si>
    <t xml:space="preserve">300602</t>
  </si>
  <si>
    <t xml:space="preserve">SHENZHEN FRD SCIENCE + TEC A</t>
  </si>
  <si>
    <t xml:space="preserve">002402</t>
  </si>
  <si>
    <t xml:space="preserve">SHENZHEN H+T INTELLIGENT A</t>
  </si>
  <si>
    <t xml:space="preserve">CIBUS</t>
  </si>
  <si>
    <t xml:space="preserve">CIBUS REAL ESTATE AB PUBL</t>
  </si>
  <si>
    <t xml:space="preserve">MELIA HOTELS INTERNATIONAL</t>
  </si>
  <si>
    <t xml:space="preserve">QTCOM</t>
  </si>
  <si>
    <t xml:space="preserve">QT GROUP OYJ</t>
  </si>
  <si>
    <t xml:space="preserve">HEPS</t>
  </si>
  <si>
    <t xml:space="preserve">D MARKET ELECTRONIC SERV ADR</t>
  </si>
  <si>
    <t xml:space="preserve">AVALON</t>
  </si>
  <si>
    <t xml:space="preserve">AVALON TECHNOLOGIES LTD</t>
  </si>
  <si>
    <t xml:space="preserve">AMRT</t>
  </si>
  <si>
    <t xml:space="preserve">SUMBER ALFARIA TRIJAYA TBK P</t>
  </si>
  <si>
    <t xml:space="preserve">7220</t>
  </si>
  <si>
    <t xml:space="preserve">MUSASHI SEIMITSU INDUSTRY CO</t>
  </si>
  <si>
    <t xml:space="preserve">LSG</t>
  </si>
  <si>
    <t xml:space="preserve">LEROY SEAFOOD GROUP ASA</t>
  </si>
  <si>
    <t xml:space="preserve">A007070</t>
  </si>
  <si>
    <t xml:space="preserve">GS RETAIL CO LTD</t>
  </si>
  <si>
    <t xml:space="preserve">ULKER</t>
  </si>
  <si>
    <t xml:space="preserve">ULKER BISKUVI SANAYI</t>
  </si>
  <si>
    <t xml:space="preserve">002407</t>
  </si>
  <si>
    <t xml:space="preserve">DO FLUORIDE NEW MATERIALS  A</t>
  </si>
  <si>
    <t xml:space="preserve">PROT</t>
  </si>
  <si>
    <t xml:space="preserve">PROTECTOR FORSIKRING ASA</t>
  </si>
  <si>
    <t xml:space="preserve">AMOT</t>
  </si>
  <si>
    <t xml:space="preserve">AMOT INVESTMENTS LTD</t>
  </si>
  <si>
    <t xml:space="preserve">A009240</t>
  </si>
  <si>
    <t xml:space="preserve">HANSSEM CO LTD</t>
  </si>
  <si>
    <t xml:space="preserve">601766</t>
  </si>
  <si>
    <t xml:space="preserve">CRRC CORP LTD A</t>
  </si>
  <si>
    <t xml:space="preserve">PIRPHARM</t>
  </si>
  <si>
    <t xml:space="preserve">PIRAMAL PHARMA LTD</t>
  </si>
  <si>
    <t xml:space="preserve">603638</t>
  </si>
  <si>
    <t xml:space="preserve">YANTAI EDDIE PRECISION MAC A</t>
  </si>
  <si>
    <t xml:space="preserve">601919</t>
  </si>
  <si>
    <t xml:space="preserve">COSCO SHIPPING HOLDINGS CO A</t>
  </si>
  <si>
    <t xml:space="preserve">603118</t>
  </si>
  <si>
    <t xml:space="preserve">SHENZHEN GONGJIN ELECTRONI A</t>
  </si>
  <si>
    <t xml:space="preserve">KIO</t>
  </si>
  <si>
    <t xml:space="preserve">KUMBA IRON ORE LTD</t>
  </si>
  <si>
    <t xml:space="preserve">CANF</t>
  </si>
  <si>
    <t xml:space="preserve">CAN FIN HOMES LTD</t>
  </si>
  <si>
    <t xml:space="preserve">A014680</t>
  </si>
  <si>
    <t xml:space="preserve">HANSOL CHEMICAL CO LTD</t>
  </si>
  <si>
    <t xml:space="preserve">002675</t>
  </si>
  <si>
    <t xml:space="preserve">YANTAI DONGCHENG PHARMACEU A</t>
  </si>
  <si>
    <t xml:space="preserve">688248</t>
  </si>
  <si>
    <t xml:space="preserve">CHINA SOUTHERN POWER GRID  A</t>
  </si>
  <si>
    <t xml:space="preserve">6830</t>
  </si>
  <si>
    <t xml:space="preserve">MSSCORPS CO LTD</t>
  </si>
  <si>
    <t xml:space="preserve">DML</t>
  </si>
  <si>
    <t xml:space="preserve">DENISON MINES CORP</t>
  </si>
  <si>
    <t xml:space="preserve">600050</t>
  </si>
  <si>
    <t xml:space="preserve">CHINA UNITED NETWORK A</t>
  </si>
  <si>
    <t xml:space="preserve">GPE</t>
  </si>
  <si>
    <t xml:space="preserve">GREAT PORTLAND ESTATES PLC</t>
  </si>
  <si>
    <t xml:space="preserve">MFEA</t>
  </si>
  <si>
    <t xml:space="preserve">MFE MEDIAFOREUROPE NV CL A</t>
  </si>
  <si>
    <t xml:space="preserve">002049</t>
  </si>
  <si>
    <t xml:space="preserve">UNIGROUP GUOXIN MICROELECT A</t>
  </si>
  <si>
    <t xml:space="preserve">LEON</t>
  </si>
  <si>
    <t xml:space="preserve">LEONTEQ AG</t>
  </si>
  <si>
    <t xml:space="preserve">7381</t>
  </si>
  <si>
    <t xml:space="preserve">CCI GROUP INC</t>
  </si>
  <si>
    <t xml:space="preserve">RDWR</t>
  </si>
  <si>
    <t xml:space="preserve">RADWARE LTD</t>
  </si>
  <si>
    <t xml:space="preserve">OHLA</t>
  </si>
  <si>
    <t xml:space="preserve">OBRASCON HUARTE LAIN S.A.</t>
  </si>
  <si>
    <t xml:space="preserve">IBASE TECHNOLOGY INC</t>
  </si>
  <si>
    <t xml:space="preserve">ATHM</t>
  </si>
  <si>
    <t xml:space="preserve">AUTOHOME INC ADR</t>
  </si>
  <si>
    <t xml:space="preserve">000938</t>
  </si>
  <si>
    <t xml:space="preserve">UNISPLENDOUR CORP LTD A</t>
  </si>
  <si>
    <t xml:space="preserve">9504</t>
  </si>
  <si>
    <t xml:space="preserve">CHUGOKU ELECTRIC POWER CO</t>
  </si>
  <si>
    <t xml:space="preserve">WKP</t>
  </si>
  <si>
    <t xml:space="preserve">WORKSPACE GROUP PLC</t>
  </si>
  <si>
    <t xml:space="preserve">002916</t>
  </si>
  <si>
    <t xml:space="preserve">SHENNAN CIRCUITS CO LTD A</t>
  </si>
  <si>
    <t xml:space="preserve">9003</t>
  </si>
  <si>
    <t xml:space="preserve">SOTETSU HOLDINGS INC</t>
  </si>
  <si>
    <t xml:space="preserve">1885</t>
  </si>
  <si>
    <t xml:space="preserve">TOA CORP</t>
  </si>
  <si>
    <t xml:space="preserve">1473</t>
  </si>
  <si>
    <t xml:space="preserve">TAINAN ENTERPRISES CO LTD</t>
  </si>
  <si>
    <t xml:space="preserve">002901</t>
  </si>
  <si>
    <t xml:space="preserve">DOUBLE MEDICAL TECHNOLOGY A</t>
  </si>
  <si>
    <t xml:space="preserve">WIZZ</t>
  </si>
  <si>
    <t xml:space="preserve">WIZZ AIR HOLDINGS PLC</t>
  </si>
  <si>
    <t xml:space="preserve">AFX</t>
  </si>
  <si>
    <t xml:space="preserve">CARL ZEISS MEDITEC AG   BR</t>
  </si>
  <si>
    <t xml:space="preserve">DATAPATT</t>
  </si>
  <si>
    <t xml:space="preserve">DATA PATTERNS INDIA LTD</t>
  </si>
  <si>
    <t xml:space="preserve">AIAE</t>
  </si>
  <si>
    <t xml:space="preserve">AIA ENGINEERING LTD</t>
  </si>
  <si>
    <t xml:space="preserve">CSAN3</t>
  </si>
  <si>
    <t xml:space="preserve">COSAN SA</t>
  </si>
  <si>
    <t xml:space="preserve">002235</t>
  </si>
  <si>
    <t xml:space="preserve">XIAMEN ANNE CORP  A</t>
  </si>
  <si>
    <t xml:space="preserve">NEXI</t>
  </si>
  <si>
    <t xml:space="preserve">NEXI SPA</t>
  </si>
  <si>
    <t xml:space="preserve">968</t>
  </si>
  <si>
    <t xml:space="preserve">XINYI SOLAR HOLDINGS LTD</t>
  </si>
  <si>
    <t xml:space="preserve">BOS</t>
  </si>
  <si>
    <t xml:space="preserve">BOSCH LTD</t>
  </si>
  <si>
    <t xml:space="preserve">601668</t>
  </si>
  <si>
    <t xml:space="preserve">CHINA STATE CONSTRUCTION  A</t>
  </si>
  <si>
    <t xml:space="preserve">TPK</t>
  </si>
  <si>
    <t xml:space="preserve">TRAVIS PERKINS PLC</t>
  </si>
  <si>
    <t xml:space="preserve">603163</t>
  </si>
  <si>
    <t xml:space="preserve">ACTER TECHNOLOGY INTEGRATI A</t>
  </si>
  <si>
    <t xml:space="preserve">000034</t>
  </si>
  <si>
    <t xml:space="preserve">DIGITAL CHINA GROUP CO LTD A</t>
  </si>
  <si>
    <t xml:space="preserve">1U1</t>
  </si>
  <si>
    <t xml:space="preserve">1+1 AG</t>
  </si>
  <si>
    <t xml:space="preserve">POST</t>
  </si>
  <si>
    <t xml:space="preserve">OESTERREICHISCHE POST AG</t>
  </si>
  <si>
    <t xml:space="preserve">WHL</t>
  </si>
  <si>
    <t xml:space="preserve">WOOLWORTHS HOLDINGS LTD</t>
  </si>
  <si>
    <t xml:space="preserve">A271560</t>
  </si>
  <si>
    <t xml:space="preserve">ORION CORP/REPUBLIC OF KOREA</t>
  </si>
  <si>
    <t xml:space="preserve">338</t>
  </si>
  <si>
    <t xml:space="preserve">SINOPEC SHANGHAI PETROCHEM H</t>
  </si>
  <si>
    <t xml:space="preserve">FUR</t>
  </si>
  <si>
    <t xml:space="preserve">FUGRO NV</t>
  </si>
  <si>
    <t xml:space="preserve">DAMAI ENTERTAINMENT HOLDINGS</t>
  </si>
  <si>
    <t xml:space="preserve">301196</t>
  </si>
  <si>
    <t xml:space="preserve">XIAMEN VOKE MOLD + PLASTIC A</t>
  </si>
  <si>
    <t xml:space="preserve">6166</t>
  </si>
  <si>
    <t xml:space="preserve">CIG SHANGHAI CO LTD H</t>
  </si>
  <si>
    <t xml:space="preserve">8129</t>
  </si>
  <si>
    <t xml:space="preserve">TOHO HOLDINGS CO LTD</t>
  </si>
  <si>
    <t xml:space="preserve">9989</t>
  </si>
  <si>
    <t xml:space="preserve">SUNDRUG CO LTD</t>
  </si>
  <si>
    <t xml:space="preserve">688677</t>
  </si>
  <si>
    <t xml:space="preserve">QINGDAO NOVELBEAM TECHNOLO A</t>
  </si>
  <si>
    <t xml:space="preserve">2476</t>
  </si>
  <si>
    <t xml:space="preserve">VICTORY GIANT TECHNOLOGY H H</t>
  </si>
  <si>
    <t xml:space="preserve">FIE</t>
  </si>
  <si>
    <t xml:space="preserve">FIELMANN GROUP AG</t>
  </si>
  <si>
    <t xml:space="preserve">PARADEEP</t>
  </si>
  <si>
    <t xml:space="preserve">PARADEEP PHOSPHATES LTD</t>
  </si>
  <si>
    <t xml:space="preserve">SIVE</t>
  </si>
  <si>
    <t xml:space="preserve">SIVERS SEMICONDUCTORS AB</t>
  </si>
  <si>
    <t xml:space="preserve">A041510</t>
  </si>
  <si>
    <t xml:space="preserve">SM ENTERTAINMENT CO LTD</t>
  </si>
  <si>
    <t xml:space="preserve">6683</t>
  </si>
  <si>
    <t xml:space="preserve">KEYSTONE MICROTECH CO</t>
  </si>
  <si>
    <t xml:space="preserve">301333</t>
  </si>
  <si>
    <t xml:space="preserve">R+G PHARMASTUDIES CO LTD A</t>
  </si>
  <si>
    <t xml:space="preserve">8</t>
  </si>
  <si>
    <t xml:space="preserve">PCCW LTD</t>
  </si>
  <si>
    <t xml:space="preserve">688757</t>
  </si>
  <si>
    <t xml:space="preserve">WINTECH NANO SUZHOU CO LTD A</t>
  </si>
  <si>
    <t xml:space="preserve">300408</t>
  </si>
  <si>
    <t xml:space="preserve">CHAOZHOU THREE CIRCLE GROU A</t>
  </si>
  <si>
    <t xml:space="preserve">APEX</t>
  </si>
  <si>
    <t xml:space="preserve">APEX INVESTMENT CO PSC</t>
  </si>
  <si>
    <t xml:space="preserve">COGN3</t>
  </si>
  <si>
    <t xml:space="preserve">COGNA EDUCACAO</t>
  </si>
  <si>
    <t xml:space="preserve">603093</t>
  </si>
  <si>
    <t xml:space="preserve">NANHUA FUTURES CO LTD A</t>
  </si>
  <si>
    <t xml:space="preserve">HYPE3</t>
  </si>
  <si>
    <t xml:space="preserve">HYPERA SA</t>
  </si>
  <si>
    <t xml:space="preserve">600391</t>
  </si>
  <si>
    <t xml:space="preserve">AECC AERO SCIENCE + TECHNO A</t>
  </si>
  <si>
    <t xml:space="preserve">9830</t>
  </si>
  <si>
    <t xml:space="preserve">TRUSCO NAKAYAMA CORP</t>
  </si>
  <si>
    <t xml:space="preserve">INDA</t>
  </si>
  <si>
    <t xml:space="preserve">INTELLECT DESIGN ARENA LTD</t>
  </si>
  <si>
    <t xml:space="preserve">PFIZ</t>
  </si>
  <si>
    <t xml:space="preserve">PFIZER LIMITED</t>
  </si>
  <si>
    <t xml:space="preserve">GVYM</t>
  </si>
  <si>
    <t xml:space="preserve">GAV YAM LANDS CORP LTD</t>
  </si>
  <si>
    <t xml:space="preserve">8039</t>
  </si>
  <si>
    <t xml:space="preserve">TAIFLEX SCIENTIFIC CO LTD</t>
  </si>
  <si>
    <t xml:space="preserve">600332</t>
  </si>
  <si>
    <t xml:space="preserve">GUANGZHOU BAIYUNSHAN PHAR A</t>
  </si>
  <si>
    <t xml:space="preserve">603599</t>
  </si>
  <si>
    <t xml:space="preserve">ANHUI GUANGXIN AGROCHEMICA A</t>
  </si>
  <si>
    <t xml:space="preserve">688710</t>
  </si>
  <si>
    <t xml:space="preserve">SHANGHAI INNOSTAR BIO TECH A</t>
  </si>
  <si>
    <t xml:space="preserve">300620</t>
  </si>
  <si>
    <t xml:space="preserve">ADVANCED FIBER RESOURCES Z A</t>
  </si>
  <si>
    <t xml:space="preserve">603568</t>
  </si>
  <si>
    <t xml:space="preserve">ZHEJIANG WEIMING ENVIRONME A</t>
  </si>
  <si>
    <t xml:space="preserve">ARPT</t>
  </si>
  <si>
    <t xml:space="preserve">AIRPORT CITY LTD</t>
  </si>
  <si>
    <t xml:space="preserve">002568</t>
  </si>
  <si>
    <t xml:space="preserve">SHANGHAI BAIRUN INVESTMENT A</t>
  </si>
  <si>
    <t xml:space="preserve">600176</t>
  </si>
  <si>
    <t xml:space="preserve">CHINA JUSHI CO LTD  A</t>
  </si>
  <si>
    <t xml:space="preserve">002670</t>
  </si>
  <si>
    <t xml:space="preserve">GUOSHENG SECURITIES INC A</t>
  </si>
  <si>
    <t xml:space="preserve">303</t>
  </si>
  <si>
    <t xml:space="preserve">VTECH HOLDINGS LTD</t>
  </si>
  <si>
    <t xml:space="preserve">LEGN</t>
  </si>
  <si>
    <t xml:space="preserve">LEGEND BIOTECH CORP ADR</t>
  </si>
  <si>
    <t xml:space="preserve">4040</t>
  </si>
  <si>
    <t xml:space="preserve">SAUDI PUBLIC TRANSPORT CO</t>
  </si>
  <si>
    <t xml:space="preserve">9302</t>
  </si>
  <si>
    <t xml:space="preserve">MITSUI SOKO HOLDINGS CO LTD</t>
  </si>
  <si>
    <t xml:space="preserve">603806</t>
  </si>
  <si>
    <t xml:space="preserve">HANGZHOU FIRST APPLIED MAT A</t>
  </si>
  <si>
    <t xml:space="preserve">RVNL</t>
  </si>
  <si>
    <t xml:space="preserve">RAIL VIKAS NIGAM LTD</t>
  </si>
  <si>
    <t xml:space="preserve">SMLMAH</t>
  </si>
  <si>
    <t xml:space="preserve">SML MAHINDRA LTD</t>
  </si>
  <si>
    <t xml:space="preserve">A089030</t>
  </si>
  <si>
    <t xml:space="preserve">TECHWING INC</t>
  </si>
  <si>
    <t xml:space="preserve">IHP</t>
  </si>
  <si>
    <t xml:space="preserve">INTEGRAFIN HOLDINGS PLC</t>
  </si>
  <si>
    <t xml:space="preserve">DFM</t>
  </si>
  <si>
    <t xml:space="preserve">DUBAI FINANCIAL MARKET PJSC</t>
  </si>
  <si>
    <t xml:space="preserve">AMPLIFON SPA</t>
  </si>
  <si>
    <t xml:space="preserve">PAVREIT</t>
  </si>
  <si>
    <t xml:space="preserve">PAVILION REAL ESTATE INVEST</t>
  </si>
  <si>
    <t xml:space="preserve">123</t>
  </si>
  <si>
    <t xml:space="preserve">YUEXIU PROPERTY CO LTD</t>
  </si>
  <si>
    <t xml:space="preserve">688711</t>
  </si>
  <si>
    <t xml:space="preserve">MACMIC SCIENCE + TECHNOLOG A</t>
  </si>
  <si>
    <t xml:space="preserve">K71U</t>
  </si>
  <si>
    <t xml:space="preserve">KEPPEL REIT</t>
  </si>
  <si>
    <t xml:space="preserve">300623</t>
  </si>
  <si>
    <t xml:space="preserve">JIANGSU JIEJIE MICROELECTR A</t>
  </si>
  <si>
    <t xml:space="preserve">UEMS</t>
  </si>
  <si>
    <t xml:space="preserve">UEM SUNRISE BHD</t>
  </si>
  <si>
    <t xml:space="preserve">8111</t>
  </si>
  <si>
    <t xml:space="preserve">GOLDWIN INC</t>
  </si>
  <si>
    <t xml:space="preserve">CHILEAN PESO</t>
  </si>
  <si>
    <t xml:space="preserve">A204320</t>
  </si>
  <si>
    <t xml:space="preserve">HL MANDO CO LTD</t>
  </si>
  <si>
    <t xml:space="preserve">A022100</t>
  </si>
  <si>
    <t xml:space="preserve">POSCO DX CO LTD</t>
  </si>
  <si>
    <t xml:space="preserve">4046</t>
  </si>
  <si>
    <t xml:space="preserve">OSAKA SODA CO LTD</t>
  </si>
  <si>
    <t xml:space="preserve">OBEROIRLTY</t>
  </si>
  <si>
    <t xml:space="preserve">OBEROI REALTY LTD</t>
  </si>
  <si>
    <t xml:space="preserve">KRN HEAT EXCHANGER AND REFRI</t>
  </si>
  <si>
    <t xml:space="preserve">GYC</t>
  </si>
  <si>
    <t xml:space="preserve">GRAND CITY PROPERTIES</t>
  </si>
  <si>
    <t xml:space="preserve">600905</t>
  </si>
  <si>
    <t xml:space="preserve">CHINA THREE GORGES RENEWAB A</t>
  </si>
  <si>
    <t xml:space="preserve">600256</t>
  </si>
  <si>
    <t xml:space="preserve">GUANGHUI ENERGY CO LTD A</t>
  </si>
  <si>
    <t xml:space="preserve">6781</t>
  </si>
  <si>
    <t xml:space="preserve">ADVANCED ENERGY SOLUTION HOL</t>
  </si>
  <si>
    <t xml:space="preserve">PROX</t>
  </si>
  <si>
    <t xml:space="preserve">PROXIMUS</t>
  </si>
  <si>
    <t xml:space="preserve">DXCO3</t>
  </si>
  <si>
    <t xml:space="preserve">DEXCO SA</t>
  </si>
  <si>
    <t xml:space="preserve">002544</t>
  </si>
  <si>
    <t xml:space="preserve">CETC POTEVIO SCIENCE+TECHN A</t>
  </si>
  <si>
    <t xml:space="preserve">600396</t>
  </si>
  <si>
    <t xml:space="preserve">HUADIAN LIAONING ENERGY DE A</t>
  </si>
  <si>
    <t xml:space="preserve">ARB</t>
  </si>
  <si>
    <t xml:space="preserve">ARB CORP LTD</t>
  </si>
  <si>
    <t xml:space="preserve">NEW ZEALAND DOLLAR</t>
  </si>
  <si>
    <t xml:space="preserve">MPARK</t>
  </si>
  <si>
    <t xml:space="preserve">MLP SAGLIK HIZMETLERI AS</t>
  </si>
  <si>
    <t xml:space="preserve">DAH SING BANKING GROUP LTD</t>
  </si>
  <si>
    <t xml:space="preserve">N91</t>
  </si>
  <si>
    <t xml:space="preserve">NINETY ONE PLC</t>
  </si>
  <si>
    <t xml:space="preserve">KAYNES</t>
  </si>
  <si>
    <t xml:space="preserve">KAYNES TECHNOLOGY INDIA LTD</t>
  </si>
  <si>
    <t xml:space="preserve">HRHO</t>
  </si>
  <si>
    <t xml:space="preserve">EFG HOLDING S.A.E.</t>
  </si>
  <si>
    <t xml:space="preserve">A326030</t>
  </si>
  <si>
    <t xml:space="preserve">SK BIOPHARMACEUTICALS CO LTD</t>
  </si>
  <si>
    <t xml:space="preserve">2534</t>
  </si>
  <si>
    <t xml:space="preserve">HUNG SHENG CONSTRUCTION LTD</t>
  </si>
  <si>
    <t xml:space="preserve">1513</t>
  </si>
  <si>
    <t xml:space="preserve">LIVZON PHARMACEUTICAL GROU H</t>
  </si>
  <si>
    <t xml:space="preserve">600845</t>
  </si>
  <si>
    <t xml:space="preserve">SHANGHAI BAOSIGHT SOFTWARE A</t>
  </si>
  <si>
    <t xml:space="preserve">DAE</t>
  </si>
  <si>
    <t xml:space="preserve">DAETWYLER HOLDING AG BR</t>
  </si>
  <si>
    <t xml:space="preserve">GP</t>
  </si>
  <si>
    <t xml:space="preserve">GODFREY PHILLIPS INDIA LTD</t>
  </si>
  <si>
    <t xml:space="preserve">MRCB</t>
  </si>
  <si>
    <t xml:space="preserve">MALAYSIAN RESOURCES CORP BHD</t>
  </si>
  <si>
    <t xml:space="preserve">6315</t>
  </si>
  <si>
    <t xml:space="preserve">TOWA CORP</t>
  </si>
  <si>
    <t xml:space="preserve">688037</t>
  </si>
  <si>
    <t xml:space="preserve">KINGSEMI CO LTD A</t>
  </si>
  <si>
    <t xml:space="preserve">A298380</t>
  </si>
  <si>
    <t xml:space="preserve">ABLBIO INC</t>
  </si>
  <si>
    <t xml:space="preserve">7157</t>
  </si>
  <si>
    <t xml:space="preserve">LIFENET INSURANCE CO</t>
  </si>
  <si>
    <t xml:space="preserve">002304</t>
  </si>
  <si>
    <t xml:space="preserve">JIANGSU YANGHE DISTILLERY A</t>
  </si>
  <si>
    <t xml:space="preserve">QFLS</t>
  </si>
  <si>
    <t xml:space="preserve">QATAR FUEL QSC</t>
  </si>
  <si>
    <t xml:space="preserve">A010060</t>
  </si>
  <si>
    <t xml:space="preserve">OCI HOLDINGS CO LTD</t>
  </si>
  <si>
    <t xml:space="preserve">NLL</t>
  </si>
  <si>
    <t xml:space="preserve">NEULAND LABORATORIES LTD</t>
  </si>
  <si>
    <t xml:space="preserve">A454910</t>
  </si>
  <si>
    <t xml:space="preserve">DOOSAN ROBOTICS INC</t>
  </si>
  <si>
    <t xml:space="preserve">688111</t>
  </si>
  <si>
    <t xml:space="preserve">BEIJING KINGSOFT OFFICE SO A</t>
  </si>
  <si>
    <t xml:space="preserve">CSG</t>
  </si>
  <si>
    <t xml:space="preserve">CSG NV</t>
  </si>
  <si>
    <t xml:space="preserve">GRIL</t>
  </si>
  <si>
    <t xml:space="preserve">GRAPHITE INDIA LTD</t>
  </si>
  <si>
    <t xml:space="preserve">SJS</t>
  </si>
  <si>
    <t xml:space="preserve">SJS ENTERPRISES LTD</t>
  </si>
  <si>
    <t xml:space="preserve">A017960</t>
  </si>
  <si>
    <t xml:space="preserve">HAN KUK CARBON CO LTD</t>
  </si>
  <si>
    <t xml:space="preserve">ELTR</t>
  </si>
  <si>
    <t xml:space="preserve">ELECTRA LTD</t>
  </si>
  <si>
    <t xml:space="preserve">PPC</t>
  </si>
  <si>
    <t xml:space="preserve">PPC LTD</t>
  </si>
  <si>
    <t xml:space="preserve">002236</t>
  </si>
  <si>
    <t xml:space="preserve">ZHEJIANG DAHUA TECHNOLOGY A</t>
  </si>
  <si>
    <t xml:space="preserve">PARAS</t>
  </si>
  <si>
    <t xml:space="preserve">PARAS DEFENCE + SPACE TECHNO</t>
  </si>
  <si>
    <t xml:space="preserve">SWANCORP</t>
  </si>
  <si>
    <t xml:space="preserve">SWAN CORP LTD</t>
  </si>
  <si>
    <t xml:space="preserve">BDMS-F</t>
  </si>
  <si>
    <t xml:space="preserve">BANGKOK DUSIT MED SERVICE F</t>
  </si>
  <si>
    <t xml:space="preserve">PNV</t>
  </si>
  <si>
    <t xml:space="preserve">POLYNOVO LTD</t>
  </si>
  <si>
    <t xml:space="preserve">688319</t>
  </si>
  <si>
    <t xml:space="preserve">CHENGDU OLYMVAX BIOPHARMAC A</t>
  </si>
  <si>
    <t xml:space="preserve">300033</t>
  </si>
  <si>
    <t xml:space="preserve">HITHINK ROYALFLUSH INFORMA A</t>
  </si>
  <si>
    <t xml:space="preserve">LLC</t>
  </si>
  <si>
    <t xml:space="preserve">LENDLEASE GROUP</t>
  </si>
  <si>
    <t xml:space="preserve">JM</t>
  </si>
  <si>
    <t xml:space="preserve">JM AB</t>
  </si>
  <si>
    <t xml:space="preserve">9678</t>
  </si>
  <si>
    <t xml:space="preserve">UNISOUND AI TECHNOLOGY CO  H</t>
  </si>
  <si>
    <t xml:space="preserve">002498</t>
  </si>
  <si>
    <t xml:space="preserve">QINGDAO HANHE CABLE CO LTD A</t>
  </si>
  <si>
    <t xml:space="preserve">IRFC</t>
  </si>
  <si>
    <t xml:space="preserve">INDIAN RAILWAY FINANCE CORP</t>
  </si>
  <si>
    <t xml:space="preserve">PETGAS</t>
  </si>
  <si>
    <t xml:space="preserve">PETRONAS GAS BHD</t>
  </si>
  <si>
    <t xml:space="preserve">NK</t>
  </si>
  <si>
    <t xml:space="preserve">IMERYS SA</t>
  </si>
  <si>
    <t xml:space="preserve">EIEL</t>
  </si>
  <si>
    <t xml:space="preserve">ENVIRO INFRA ENGINEERS LTD</t>
  </si>
  <si>
    <t xml:space="preserve">600010</t>
  </si>
  <si>
    <t xml:space="preserve">INNER MONGOLIA BAOTOU STE A</t>
  </si>
  <si>
    <t xml:space="preserve">601607</t>
  </si>
  <si>
    <t xml:space="preserve">SHANGHAI PHARMACEUTICALS A</t>
  </si>
  <si>
    <t xml:space="preserve">PRICOL</t>
  </si>
  <si>
    <t xml:space="preserve">PRICOL LTD</t>
  </si>
  <si>
    <t xml:space="preserve">688307</t>
  </si>
  <si>
    <t xml:space="preserve">JIAXING ZMAX OPTECH CO LTD A</t>
  </si>
  <si>
    <t xml:space="preserve">BRGR</t>
  </si>
  <si>
    <t xml:space="preserve">BERGER PAINTS INDIA LTD</t>
  </si>
  <si>
    <t xml:space="preserve">OPM</t>
  </si>
  <si>
    <t xml:space="preserve">OPMOBILITY</t>
  </si>
  <si>
    <t xml:space="preserve">PPGN</t>
  </si>
  <si>
    <t xml:space="preserve">POLYPEPTIDE GROUP AG</t>
  </si>
  <si>
    <t xml:space="preserve">ASTRA</t>
  </si>
  <si>
    <t xml:space="preserve">ASTRAL LTD</t>
  </si>
  <si>
    <t xml:space="preserve">780</t>
  </si>
  <si>
    <t xml:space="preserve">TONGCHENG TRAVEL HOLDINGS LT</t>
  </si>
  <si>
    <t xml:space="preserve">LSPD</t>
  </si>
  <si>
    <t xml:space="preserve">LIGHTSPEED COMMERCE INC</t>
  </si>
  <si>
    <t xml:space="preserve">SF</t>
  </si>
  <si>
    <t xml:space="preserve">SUNDRAM FASTENERS LTD</t>
  </si>
  <si>
    <t xml:space="preserve">MLCO</t>
  </si>
  <si>
    <t xml:space="preserve">MELCO RESORTS + ENTERT ADR</t>
  </si>
  <si>
    <t xml:space="preserve">A005690</t>
  </si>
  <si>
    <t xml:space="preserve">PHARMICELL CO LTD</t>
  </si>
  <si>
    <t xml:space="preserve">HLBANK</t>
  </si>
  <si>
    <t xml:space="preserve">HONG LEONG BANK BERHAD</t>
  </si>
  <si>
    <t xml:space="preserve">BFF</t>
  </si>
  <si>
    <t xml:space="preserve">BFF BANK SPA</t>
  </si>
  <si>
    <t xml:space="preserve">EMBASSY</t>
  </si>
  <si>
    <t xml:space="preserve">EMBASSY OFFICE PARKS REIT</t>
  </si>
  <si>
    <t xml:space="preserve">NEWGEN</t>
  </si>
  <si>
    <t xml:space="preserve">NEWGEN SOFTWARE TECHNOLOGIES</t>
  </si>
  <si>
    <t xml:space="preserve">600580</t>
  </si>
  <si>
    <t xml:space="preserve">WOLONG ELECTRIC GROUP CO L A</t>
  </si>
  <si>
    <t xml:space="preserve">TIMKEN</t>
  </si>
  <si>
    <t xml:space="preserve">TIMKEN INDIA LTD</t>
  </si>
  <si>
    <t xml:space="preserve">IGL</t>
  </si>
  <si>
    <t xml:space="preserve">INDRAPRASTHA GAS LTD</t>
  </si>
  <si>
    <t xml:space="preserve">1876</t>
  </si>
  <si>
    <t xml:space="preserve">BUDWEISER BREWING CO APAC LT</t>
  </si>
  <si>
    <t xml:space="preserve">ADPORTS</t>
  </si>
  <si>
    <t xml:space="preserve">ABU DHABI PORTS CO PJSC</t>
  </si>
  <si>
    <t xml:space="preserve">6116</t>
  </si>
  <si>
    <t xml:space="preserve">HANNSTAR DISPLAY CORP</t>
  </si>
  <si>
    <t xml:space="preserve">GRFL</t>
  </si>
  <si>
    <t xml:space="preserve">GATEWAY DISTRIPARKS LTD</t>
  </si>
  <si>
    <t xml:space="preserve">301338</t>
  </si>
  <si>
    <t xml:space="preserve">GKG PRECISION MACHINE CO L A</t>
  </si>
  <si>
    <t xml:space="preserve">200028</t>
  </si>
  <si>
    <t xml:space="preserve">CHINA NATIONAL ACCORD MEDI B</t>
  </si>
  <si>
    <t xml:space="preserve">4540</t>
  </si>
  <si>
    <t xml:space="preserve">TSUMURA + CO</t>
  </si>
  <si>
    <t xml:space="preserve">000603</t>
  </si>
  <si>
    <t xml:space="preserve">SHENGDA RESOURCES CO LTD A</t>
  </si>
  <si>
    <t xml:space="preserve">A023530</t>
  </si>
  <si>
    <t xml:space="preserve">LOTTE SHOPPING CO</t>
  </si>
  <si>
    <t xml:space="preserve">3080</t>
  </si>
  <si>
    <t xml:space="preserve">EASTERN PROVINCE CEMENT CO</t>
  </si>
  <si>
    <t xml:space="preserve">CHEMM</t>
  </si>
  <si>
    <t xml:space="preserve">CHEMOMETEC A/S</t>
  </si>
  <si>
    <t xml:space="preserve">ENELAM</t>
  </si>
  <si>
    <t xml:space="preserve">ENEL AMERICAS SA</t>
  </si>
  <si>
    <t xml:space="preserve">A243070</t>
  </si>
  <si>
    <t xml:space="preserve">HUONS CO LTD</t>
  </si>
  <si>
    <t xml:space="preserve">QPOWER</t>
  </si>
  <si>
    <t xml:space="preserve">QUALITY POWER ELECTRICAL EQU</t>
  </si>
  <si>
    <t xml:space="preserve">BPT</t>
  </si>
  <si>
    <t xml:space="preserve">BEACH ENERGY LTD</t>
  </si>
  <si>
    <t xml:space="preserve">SCHFL</t>
  </si>
  <si>
    <t xml:space="preserve">SCHAEFFLER INDIA LTD</t>
  </si>
  <si>
    <t xml:space="preserve">1820</t>
  </si>
  <si>
    <t xml:space="preserve">BAAN HOLDING GROUP CO</t>
  </si>
  <si>
    <t xml:space="preserve">A005290</t>
  </si>
  <si>
    <t xml:space="preserve">DONGJIN SEMICHEM CO LTD</t>
  </si>
  <si>
    <t xml:space="preserve">BOOZT</t>
  </si>
  <si>
    <t xml:space="preserve">BOOZT AB</t>
  </si>
  <si>
    <t xml:space="preserve">ASTM</t>
  </si>
  <si>
    <t xml:space="preserve">ASTRA MICROWAVE PRODUCTS LTD</t>
  </si>
  <si>
    <t xml:space="preserve">NETC</t>
  </si>
  <si>
    <t xml:space="preserve">NETCOMPANY GROUP AS</t>
  </si>
  <si>
    <t xml:space="preserve">6505</t>
  </si>
  <si>
    <t xml:space="preserve">FORMOSA PETROCHEMICAL CORP</t>
  </si>
  <si>
    <t xml:space="preserve">FDCLT</t>
  </si>
  <si>
    <t xml:space="preserve">FDC LTD</t>
  </si>
  <si>
    <t xml:space="preserve">PCBL</t>
  </si>
  <si>
    <t xml:space="preserve">PCBL CHEMICAL LTD</t>
  </si>
  <si>
    <t xml:space="preserve">2367</t>
  </si>
  <si>
    <t xml:space="preserve">GIANT BIOGENE HOLDING CO LTD</t>
  </si>
  <si>
    <t xml:space="preserve">A000500</t>
  </si>
  <si>
    <t xml:space="preserve">GAON CABLE CO LTD</t>
  </si>
  <si>
    <t xml:space="preserve">3994</t>
  </si>
  <si>
    <t xml:space="preserve">MONEY FORWARD INC</t>
  </si>
  <si>
    <t xml:space="preserve">688719</t>
  </si>
  <si>
    <t xml:space="preserve">XI AN ACTIONPOWER ELECTRIC A</t>
  </si>
  <si>
    <t xml:space="preserve">600212</t>
  </si>
  <si>
    <t xml:space="preserve">GRESGYING DIGITAL ENERGY T A</t>
  </si>
  <si>
    <t xml:space="preserve">A145020</t>
  </si>
  <si>
    <t xml:space="preserve">HUGEL INC</t>
  </si>
  <si>
    <t xml:space="preserve">5608</t>
  </si>
  <si>
    <t xml:space="preserve">SHIH WEI NAVIGATION CO LTD</t>
  </si>
  <si>
    <t xml:space="preserve">2505</t>
  </si>
  <si>
    <t xml:space="preserve">KUOYANG CONSTRUCTION</t>
  </si>
  <si>
    <t xml:space="preserve">SIX3</t>
  </si>
  <si>
    <t xml:space="preserve">SIXT SE   PRFD</t>
  </si>
  <si>
    <t xml:space="preserve">002531</t>
  </si>
  <si>
    <t xml:space="preserve">TITAN WIND ENERGY SUZHOU A</t>
  </si>
  <si>
    <t xml:space="preserve">XPBR31</t>
  </si>
  <si>
    <t xml:space="preserve">XP INC   BDR</t>
  </si>
  <si>
    <t xml:space="preserve">002601</t>
  </si>
  <si>
    <t xml:space="preserve">LB GROUP CO LTD A</t>
  </si>
  <si>
    <t xml:space="preserve">002736</t>
  </si>
  <si>
    <t xml:space="preserve">GUOSEN SECURITIES CO LTD A</t>
  </si>
  <si>
    <t xml:space="preserve">9517</t>
  </si>
  <si>
    <t xml:space="preserve">EREX CO LTD</t>
  </si>
  <si>
    <t xml:space="preserve">MYOR</t>
  </si>
  <si>
    <t xml:space="preserve">MAYORA INDAH PT</t>
  </si>
  <si>
    <t xml:space="preserve">UBI</t>
  </si>
  <si>
    <t xml:space="preserve">UBISOFT ENTERTAINMENT</t>
  </si>
  <si>
    <t xml:space="preserve">A257720</t>
  </si>
  <si>
    <t xml:space="preserve">SILICON2 CO LTD</t>
  </si>
  <si>
    <t xml:space="preserve">002155</t>
  </si>
  <si>
    <t xml:space="preserve">HUNAN GOLD CORP LTD A</t>
  </si>
  <si>
    <t xml:space="preserve">002195</t>
  </si>
  <si>
    <t xml:space="preserve">SHANGHAI STONEHILL TECHNOL A</t>
  </si>
  <si>
    <t xml:space="preserve">CXO</t>
  </si>
  <si>
    <t xml:space="preserve">CORE LITHIUM LTD</t>
  </si>
  <si>
    <t xml:space="preserve">2120</t>
  </si>
  <si>
    <t xml:space="preserve">SAUDI ADVANCED INDUSTRIES</t>
  </si>
  <si>
    <t xml:space="preserve">SOUTH AFRICAN RAND</t>
  </si>
  <si>
    <t xml:space="preserve">2767</t>
  </si>
  <si>
    <t xml:space="preserve">TSUBURAYA FIELDS HOLDINGS IN</t>
  </si>
  <si>
    <t xml:space="preserve">300757</t>
  </si>
  <si>
    <t xml:space="preserve">ROBOTECHNIK INTELLIGENT TE A</t>
  </si>
  <si>
    <t xml:space="preserve">2486</t>
  </si>
  <si>
    <t xml:space="preserve">I CHIUN PRECISION IND CO LTD</t>
  </si>
  <si>
    <t xml:space="preserve">688268</t>
  </si>
  <si>
    <t xml:space="preserve">GUANGDONG HUATE GAS CO LTD A</t>
  </si>
  <si>
    <t xml:space="preserve">PASEU</t>
  </si>
  <si>
    <t xml:space="preserve">PASIFIK EURASIA LOJISTIK DIS</t>
  </si>
  <si>
    <t xml:space="preserve">603357</t>
  </si>
  <si>
    <t xml:space="preserve">ANHUI TRANSPORT CONSULTING A</t>
  </si>
  <si>
    <t xml:space="preserve">1072</t>
  </si>
  <si>
    <t xml:space="preserve">DONGFANG ELECTRIC CORP LTD H</t>
  </si>
  <si>
    <t xml:space="preserve">600887</t>
  </si>
  <si>
    <t xml:space="preserve">INNER MONGOLIA YILI INDUS A</t>
  </si>
  <si>
    <t xml:space="preserve">SKPI</t>
  </si>
  <si>
    <t xml:space="preserve">SHAKTI PUMPS (INDIA) LTD</t>
  </si>
  <si>
    <t xml:space="preserve">7750</t>
  </si>
  <si>
    <t xml:space="preserve">SYNTEC TECHNOLOGY CO LTD</t>
  </si>
  <si>
    <t xml:space="preserve">8078</t>
  </si>
  <si>
    <t xml:space="preserve">HANWA CO LTD</t>
  </si>
  <si>
    <t xml:space="preserve">603256</t>
  </si>
  <si>
    <t xml:space="preserve">GRACE FABRIC TECHNOLOGY CO A</t>
  </si>
  <si>
    <t xml:space="preserve">BSOFT</t>
  </si>
  <si>
    <t xml:space="preserve">BIRLASOFT LTD</t>
  </si>
  <si>
    <t xml:space="preserve">JUBLPHAR</t>
  </si>
  <si>
    <t xml:space="preserve">JUBILANT PHARMOVA LTD</t>
  </si>
  <si>
    <t xml:space="preserve">A068760</t>
  </si>
  <si>
    <t xml:space="preserve">CELLTRION PHARM INC</t>
  </si>
  <si>
    <t xml:space="preserve">NDA FI</t>
  </si>
  <si>
    <t xml:space="preserve">NORDEA BANK ABP</t>
  </si>
  <si>
    <t xml:space="preserve">VMART</t>
  </si>
  <si>
    <t xml:space="preserve">VMART RETAIL LTD</t>
  </si>
  <si>
    <t xml:space="preserve">603596</t>
  </si>
  <si>
    <t xml:space="preserve">BETHEL AUTOMOTIVE SAFETY S A</t>
  </si>
  <si>
    <t xml:space="preserve">MPHL</t>
  </si>
  <si>
    <t xml:space="preserve">MPHASIS LTD</t>
  </si>
  <si>
    <t xml:space="preserve">PATANJAL</t>
  </si>
  <si>
    <t xml:space="preserve">PATANJALI FOODS LTD</t>
  </si>
  <si>
    <t xml:space="preserve">TOKMAN</t>
  </si>
  <si>
    <t xml:space="preserve">TOKMANNI GROUP CORP</t>
  </si>
  <si>
    <t xml:space="preserve">688018</t>
  </si>
  <si>
    <t xml:space="preserve">ESPRESSIF SYSTEMS SHANGHAI A</t>
  </si>
  <si>
    <t xml:space="preserve">4592</t>
  </si>
  <si>
    <t xml:space="preserve">SANBIO CO LTD</t>
  </si>
  <si>
    <t xml:space="preserve">VITR</t>
  </si>
  <si>
    <t xml:space="preserve">VITROLIFE AB</t>
  </si>
  <si>
    <t xml:space="preserve">SIX2</t>
  </si>
  <si>
    <t xml:space="preserve">SIXT SE</t>
  </si>
  <si>
    <t xml:space="preserve">MERS</t>
  </si>
  <si>
    <t xml:space="preserve">AL MEERA CONSUMER GOODS CO</t>
  </si>
  <si>
    <t xml:space="preserve">000987</t>
  </si>
  <si>
    <t xml:space="preserve">GUANGZHOU YUEXIU CAPITAL H A</t>
  </si>
  <si>
    <t xml:space="preserve">WEB</t>
  </si>
  <si>
    <t xml:space="preserve">WEBBEDS GROUP LTD</t>
  </si>
  <si>
    <t xml:space="preserve">SVL</t>
  </si>
  <si>
    <t xml:space="preserve">SILVER MINES LTD</t>
  </si>
  <si>
    <t xml:space="preserve">688382</t>
  </si>
  <si>
    <t xml:space="preserve">INVENTISBIO CO LTD A</t>
  </si>
  <si>
    <t xml:space="preserve">A383220</t>
  </si>
  <si>
    <t xml:space="preserve">F+F CO LTD / NEW</t>
  </si>
  <si>
    <t xml:space="preserve">000902</t>
  </si>
  <si>
    <t xml:space="preserve">YONFER AGRICULTURAL TECHNO A</t>
  </si>
  <si>
    <t xml:space="preserve">SZU</t>
  </si>
  <si>
    <t xml:space="preserve">SUEDZUCKER AG</t>
  </si>
  <si>
    <t xml:space="preserve">GLIN</t>
  </si>
  <si>
    <t xml:space="preserve">GOODLUCK INDIA LTD</t>
  </si>
  <si>
    <t xml:space="preserve">BWMX</t>
  </si>
  <si>
    <t xml:space="preserve">BETTERWARE DE MEXICO SAPI DE</t>
  </si>
  <si>
    <t xml:space="preserve">600744</t>
  </si>
  <si>
    <t xml:space="preserve">DATANG HUAYIN ELECTRIC POW A</t>
  </si>
  <si>
    <t xml:space="preserve">688110</t>
  </si>
  <si>
    <t xml:space="preserve">DOSILICON CO LTD A</t>
  </si>
  <si>
    <t xml:space="preserve">CEMARGOS</t>
  </si>
  <si>
    <t xml:space="preserve">CEMENTOS ARGOS SA</t>
  </si>
  <si>
    <t xml:space="preserve">002120</t>
  </si>
  <si>
    <t xml:space="preserve">YUNDA HOLDING GROUP CO LTD A</t>
  </si>
  <si>
    <t xml:space="preserve">5439</t>
  </si>
  <si>
    <t xml:space="preserve">FIRST HI TEC ENTERPRISE CO</t>
  </si>
  <si>
    <t xml:space="preserve">4477</t>
  </si>
  <si>
    <t xml:space="preserve">BASE INC</t>
  </si>
  <si>
    <t xml:space="preserve">A028670</t>
  </si>
  <si>
    <t xml:space="preserve">PAN OCEAN CO LTD</t>
  </si>
  <si>
    <t xml:space="preserve">600460</t>
  </si>
  <si>
    <t xml:space="preserve">HANGZHOU SILAN MICROELECTR A</t>
  </si>
  <si>
    <t xml:space="preserve">960</t>
  </si>
  <si>
    <t xml:space="preserve">LONGFOR GROUP HOLDINGS LTD</t>
  </si>
  <si>
    <t xml:space="preserve">IVL/F</t>
  </si>
  <si>
    <t xml:space="preserve">INDORAMA VENTURES FOREIGN</t>
  </si>
  <si>
    <t xml:space="preserve">DMP</t>
  </si>
  <si>
    <t xml:space="preserve">DOMINO S PIZZA ENTERPRISES L</t>
  </si>
  <si>
    <t xml:space="preserve">688052</t>
  </si>
  <si>
    <t xml:space="preserve">SUZHOU NOVOSENSE MICROELEC A</t>
  </si>
  <si>
    <t xml:space="preserve">300760</t>
  </si>
  <si>
    <t xml:space="preserve">SHENZHEN MINDRAY BIO MEDIC A</t>
  </si>
  <si>
    <t xml:space="preserve">600536</t>
  </si>
  <si>
    <t xml:space="preserve">CHINA NATIONAL SOFTWARE  A</t>
  </si>
  <si>
    <t xml:space="preserve">002027</t>
  </si>
  <si>
    <t xml:space="preserve">FOCUS MEDIA INFORMATION TE A</t>
  </si>
  <si>
    <t xml:space="preserve">HR.UN</t>
  </si>
  <si>
    <t xml:space="preserve">H+R REAL ESTATE INV REIT UTS</t>
  </si>
  <si>
    <t xml:space="preserve">TOPGLOV</t>
  </si>
  <si>
    <t xml:space="preserve">TOP GLOVE CORP BHD</t>
  </si>
  <si>
    <t xml:space="preserve">MOSCHIP</t>
  </si>
  <si>
    <t xml:space="preserve">MOSCHIP TECHNOLOGIES LTD</t>
  </si>
  <si>
    <t xml:space="preserve">2233</t>
  </si>
  <si>
    <t xml:space="preserve">WEST CHINA CEMENT LTD</t>
  </si>
  <si>
    <t xml:space="preserve">LTTS</t>
  </si>
  <si>
    <t xml:space="preserve">L+T TECHNOLOGY SERVICES LTD</t>
  </si>
  <si>
    <t xml:space="preserve">YDUQ3</t>
  </si>
  <si>
    <t xml:space="preserve">YDUQS PARTICIPACOES SA</t>
  </si>
  <si>
    <t xml:space="preserve">002697</t>
  </si>
  <si>
    <t xml:space="preserve">CHENGDU HONGQI CHAIN CO LT A</t>
  </si>
  <si>
    <t xml:space="preserve">3558</t>
  </si>
  <si>
    <t xml:space="preserve">JADE GROUP INC</t>
  </si>
  <si>
    <t xml:space="preserve">LUX</t>
  </si>
  <si>
    <t xml:space="preserve">LUX INDUSTRIES LTD</t>
  </si>
  <si>
    <t xml:space="preserve">600105</t>
  </si>
  <si>
    <t xml:space="preserve">JIANGSU ETERN CO LTD A</t>
  </si>
  <si>
    <t xml:space="preserve">000810</t>
  </si>
  <si>
    <t xml:space="preserve">SKYWORTH DIGITAL CO LTD A</t>
  </si>
  <si>
    <t xml:space="preserve">TFI</t>
  </si>
  <si>
    <t xml:space="preserve">TELEVISION FRANCAISE (T.F.1)</t>
  </si>
  <si>
    <t xml:space="preserve">002030</t>
  </si>
  <si>
    <t xml:space="preserve">DAAN GENE CO LTD A</t>
  </si>
  <si>
    <t xml:space="preserve">002832</t>
  </si>
  <si>
    <t xml:space="preserve">BIEM.L.FDLKK GARMENT CO LT A</t>
  </si>
  <si>
    <t xml:space="preserve">A083650</t>
  </si>
  <si>
    <t xml:space="preserve">BHI CO LTD</t>
  </si>
  <si>
    <t xml:space="preserve">600114</t>
  </si>
  <si>
    <t xml:space="preserve">NBTM NEW MATERIALS GROUP C A</t>
  </si>
  <si>
    <t xml:space="preserve">002575</t>
  </si>
  <si>
    <t xml:space="preserve">GUANGDONG QUNXING TOYS A</t>
  </si>
  <si>
    <t xml:space="preserve">000547</t>
  </si>
  <si>
    <t xml:space="preserve">ADDSINO CO LTD  A</t>
  </si>
  <si>
    <t xml:space="preserve">6727</t>
  </si>
  <si>
    <t xml:space="preserve">ASIA METAL INDUSTRIES LNC</t>
  </si>
  <si>
    <t xml:space="preserve">AEGISLOG</t>
  </si>
  <si>
    <t xml:space="preserve">AEGIS LOGISTICS LTD</t>
  </si>
  <si>
    <t xml:space="preserve">900911</t>
  </si>
  <si>
    <t xml:space="preserve">SHANGHAI JINQIAO EXPORT PR B</t>
  </si>
  <si>
    <t xml:space="preserve">4001</t>
  </si>
  <si>
    <t xml:space="preserve">ABDULLAH AL OTHAIM MARKETS</t>
  </si>
  <si>
    <t xml:space="preserve">CHENNAI PETROLEUM CORP LTD</t>
  </si>
  <si>
    <t xml:space="preserve">688102</t>
  </si>
  <si>
    <t xml:space="preserve">SHAANXI SIRUI ADVANCED MAT A</t>
  </si>
  <si>
    <t xml:space="preserve">772</t>
  </si>
  <si>
    <t xml:space="preserve">CHINA LITERATURE LTD</t>
  </si>
  <si>
    <t xml:space="preserve">FBU</t>
  </si>
  <si>
    <t xml:space="preserve">FLETCHER BUILDING LTD</t>
  </si>
  <si>
    <t xml:space="preserve">ICAD</t>
  </si>
  <si>
    <t xml:space="preserve">ICADE</t>
  </si>
  <si>
    <t xml:space="preserve">A096530</t>
  </si>
  <si>
    <t xml:space="preserve">SEEGENE INC</t>
  </si>
  <si>
    <t xml:space="preserve">603799</t>
  </si>
  <si>
    <t xml:space="preserve">ZHEJIANG HUAYOU COBALT CO  A</t>
  </si>
  <si>
    <t xml:space="preserve">300077</t>
  </si>
  <si>
    <t xml:space="preserve">NATIONS TECHNOLOGIES INC A</t>
  </si>
  <si>
    <t xml:space="preserve">4340</t>
  </si>
  <si>
    <t xml:space="preserve">AL RAJHI REIT</t>
  </si>
  <si>
    <t xml:space="preserve">168</t>
  </si>
  <si>
    <t xml:space="preserve">TSINGTAO BREWERY CO LTD H</t>
  </si>
  <si>
    <t xml:space="preserve">A00680K</t>
  </si>
  <si>
    <t xml:space="preserve">MIRAE ASSET SECURITIES   2P</t>
  </si>
  <si>
    <t xml:space="preserve">2270</t>
  </si>
  <si>
    <t xml:space="preserve">SAUDIA DAIRY + FOODSTUFF CO</t>
  </si>
  <si>
    <t xml:space="preserve">RPWR</t>
  </si>
  <si>
    <t xml:space="preserve">RELIANCE POWER LTD</t>
  </si>
  <si>
    <t xml:space="preserve">601699</t>
  </si>
  <si>
    <t xml:space="preserve">SHANXI LU AN ENVIRONMENTAL A</t>
  </si>
  <si>
    <t xml:space="preserve">WHEELS INDIA LTD</t>
  </si>
  <si>
    <t xml:space="preserve">316</t>
  </si>
  <si>
    <t xml:space="preserve">ORIENT OVERSEAS INTL LTD</t>
  </si>
  <si>
    <t xml:space="preserve">CHALET</t>
  </si>
  <si>
    <t xml:space="preserve">CHALET HOTELS LTD</t>
  </si>
  <si>
    <t xml:space="preserve">A103140</t>
  </si>
  <si>
    <t xml:space="preserve">POONGSAN CORP</t>
  </si>
  <si>
    <t xml:space="preserve">DUE</t>
  </si>
  <si>
    <t xml:space="preserve">DUERR AG</t>
  </si>
  <si>
    <t xml:space="preserve">002151</t>
  </si>
  <si>
    <t xml:space="preserve">BEIJING BDSTAR NAVIGATION  A</t>
  </si>
  <si>
    <t xml:space="preserve">HORNG TERNG AUTOMATION CO LT</t>
  </si>
  <si>
    <t xml:space="preserve">7906</t>
  </si>
  <si>
    <t xml:space="preserve">YONEX CO LTD</t>
  </si>
  <si>
    <t xml:space="preserve">THAILAND BAHT</t>
  </si>
  <si>
    <t xml:space="preserve">856</t>
  </si>
  <si>
    <t xml:space="preserve">VSTECS HOLDINGS LTD</t>
  </si>
  <si>
    <t xml:space="preserve">MSUMI</t>
  </si>
  <si>
    <t xml:space="preserve">MOTHERSON SUMI WIRING INDIA</t>
  </si>
  <si>
    <t xml:space="preserve">IJM</t>
  </si>
  <si>
    <t xml:space="preserve">IJM CORP BHD</t>
  </si>
  <si>
    <t xml:space="preserve">600989</t>
  </si>
  <si>
    <t xml:space="preserve">NINGXIA BAOFENG ENERGY GRO A</t>
  </si>
  <si>
    <t xml:space="preserve">000756</t>
  </si>
  <si>
    <t xml:space="preserve">SHANDONG XINHUA PHARM CO A</t>
  </si>
  <si>
    <t xml:space="preserve">QIGD</t>
  </si>
  <si>
    <t xml:space="preserve">QATARI INVESTORS GROUP</t>
  </si>
  <si>
    <t xml:space="preserve">PNBHOUSI</t>
  </si>
  <si>
    <t xml:space="preserve">PNB HOUSING FINANCE LTD</t>
  </si>
  <si>
    <t xml:space="preserve">8343</t>
  </si>
  <si>
    <t xml:space="preserve">AKITA BANK LTD/THE</t>
  </si>
  <si>
    <t xml:space="preserve">BOLSA A</t>
  </si>
  <si>
    <t xml:space="preserve">BOLSA MEXICANA DE VALORES SA</t>
  </si>
  <si>
    <t xml:space="preserve">900942</t>
  </si>
  <si>
    <t xml:space="preserve">HUANGSHAN TOURISM DEVELOP B</t>
  </si>
  <si>
    <t xml:space="preserve">EMBRAC B</t>
  </si>
  <si>
    <t xml:space="preserve">EMBRACER GROUP AB</t>
  </si>
  <si>
    <t xml:space="preserve">CORFICOLCF</t>
  </si>
  <si>
    <t xml:space="preserve">CORP FINANCIERA COLOMBIANA</t>
  </si>
  <si>
    <t xml:space="preserve">HCM</t>
  </si>
  <si>
    <t xml:space="preserve">HUTCHMED CHINA ADR</t>
  </si>
  <si>
    <t xml:space="preserve">ASTOR</t>
  </si>
  <si>
    <t xml:space="preserve">ASTOR TRANSFORMATOR ENERJI T</t>
  </si>
  <si>
    <t xml:space="preserve">SCHI</t>
  </si>
  <si>
    <t xml:space="preserve">SUDARSHAN CHEMICAL INDS LTD</t>
  </si>
  <si>
    <t xml:space="preserve">002292</t>
  </si>
  <si>
    <t xml:space="preserve">ALPHA GROUP A</t>
  </si>
  <si>
    <t xml:space="preserve">MEDX</t>
  </si>
  <si>
    <t xml:space="preserve">MEDMIX AG</t>
  </si>
  <si>
    <t xml:space="preserve">301526</t>
  </si>
  <si>
    <t xml:space="preserve">CHONGQING POLYCOMP INTERNA A</t>
  </si>
  <si>
    <t xml:space="preserve">RW</t>
  </si>
  <si>
    <t xml:space="preserve">RAYMOND LTD</t>
  </si>
  <si>
    <t xml:space="preserve">002643</t>
  </si>
  <si>
    <t xml:space="preserve">VALIANT CO LTD   A</t>
  </si>
  <si>
    <t xml:space="preserve">688668</t>
  </si>
  <si>
    <t xml:space="preserve">DONGGUAN DINGTONG PRECISIO A</t>
  </si>
  <si>
    <t xml:space="preserve">TPW</t>
  </si>
  <si>
    <t xml:space="preserve">TEMPLE + WEBSTER GROUP LTD</t>
  </si>
  <si>
    <t xml:space="preserve">A048410</t>
  </si>
  <si>
    <t xml:space="preserve">HYUNDAI BIOSCIENCE CO LTD</t>
  </si>
  <si>
    <t xml:space="preserve">002683</t>
  </si>
  <si>
    <t xml:space="preserve">GUANGDONG HONGDA HOLDIN A</t>
  </si>
  <si>
    <t xml:space="preserve">QNNS</t>
  </si>
  <si>
    <t xml:space="preserve">QATAR NAVIGATION</t>
  </si>
  <si>
    <t xml:space="preserve">3023</t>
  </si>
  <si>
    <t xml:space="preserve">SINBON ELECTRONICS CO LTD</t>
  </si>
  <si>
    <t xml:space="preserve">7240</t>
  </si>
  <si>
    <t xml:space="preserve">NOK CORP</t>
  </si>
  <si>
    <t xml:space="preserve">9606</t>
  </si>
  <si>
    <t xml:space="preserve">DUALITY BIOTHERAPEUTICS INC</t>
  </si>
  <si>
    <t xml:space="preserve">2128</t>
  </si>
  <si>
    <t xml:space="preserve">CHINA LESSO GROUP HOLDINGS L</t>
  </si>
  <si>
    <t xml:space="preserve">152</t>
  </si>
  <si>
    <t xml:space="preserve">SHENZHEN INTL HOLDINGS</t>
  </si>
  <si>
    <t xml:space="preserve">694</t>
  </si>
  <si>
    <t xml:space="preserve">BEIJING CAPITAL INTL AIRPO H</t>
  </si>
  <si>
    <t xml:space="preserve">3167</t>
  </si>
  <si>
    <t xml:space="preserve">TA LIANG TECHNOLOGY CO LTD</t>
  </si>
  <si>
    <t xml:space="preserve">600998</t>
  </si>
  <si>
    <t xml:space="preserve">JOINTOWN PHARMACEUTICAL A</t>
  </si>
  <si>
    <t xml:space="preserve">CSIQ</t>
  </si>
  <si>
    <t xml:space="preserve">CANADIAN SOLAR INC</t>
  </si>
  <si>
    <t xml:space="preserve">MFG</t>
  </si>
  <si>
    <t xml:space="preserve">MAGELLAN FINANCIAL GROUP LTD</t>
  </si>
  <si>
    <t xml:space="preserve">A026960</t>
  </si>
  <si>
    <t xml:space="preserve">DONGSUH COMPANIES INC</t>
  </si>
  <si>
    <t xml:space="preserve">SOLARA</t>
  </si>
  <si>
    <t xml:space="preserve">SOLARA ACTIVE PHARMA SCIENCES</t>
  </si>
  <si>
    <t xml:space="preserve">CROMPTON</t>
  </si>
  <si>
    <t xml:space="preserve">CROMPTON GREAVES CONSUMER EL</t>
  </si>
  <si>
    <t xml:space="preserve">RYM</t>
  </si>
  <si>
    <t xml:space="preserve">RYMAN HEALTHCARE LTD</t>
  </si>
  <si>
    <t xml:space="preserve">600895</t>
  </si>
  <si>
    <t xml:space="preserve">SHANGHAI ZHANGJIANG HIGH A</t>
  </si>
  <si>
    <t xml:space="preserve">300827</t>
  </si>
  <si>
    <t xml:space="preserve">SINENG ELECTRIC CO LTD A</t>
  </si>
  <si>
    <t xml:space="preserve">2912</t>
  </si>
  <si>
    <t xml:space="preserve">PRESIDENT CHAIN STORE CORP</t>
  </si>
  <si>
    <t xml:space="preserve">EDEL</t>
  </si>
  <si>
    <t xml:space="preserve">EDELWEISS FINANCIAL SERVICES</t>
  </si>
  <si>
    <t xml:space="preserve">601360</t>
  </si>
  <si>
    <t xml:space="preserve">360 SECURITY TECHNOLOGY IN A</t>
  </si>
  <si>
    <t xml:space="preserve">A030000</t>
  </si>
  <si>
    <t xml:space="preserve">CHEIL WORLDWIDE INC</t>
  </si>
  <si>
    <t xml:space="preserve">688197</t>
  </si>
  <si>
    <t xml:space="preserve">SHOUYAO HOLDINGS BEIJING C A</t>
  </si>
  <si>
    <t xml:space="preserve">601231</t>
  </si>
  <si>
    <t xml:space="preserve">UNIVERSAL SCIENTIFIC INDUS A</t>
  </si>
  <si>
    <t xml:space="preserve">603893</t>
  </si>
  <si>
    <t xml:space="preserve">ROCKCHIP ELECTRONICS CO L A</t>
  </si>
  <si>
    <t xml:space="preserve">002281</t>
  </si>
  <si>
    <t xml:space="preserve">ACCELINK TECHNOLOGIES CO  A</t>
  </si>
  <si>
    <t xml:space="preserve">7004</t>
  </si>
  <si>
    <t xml:space="preserve">KANADEVIA CORP</t>
  </si>
  <si>
    <t xml:space="preserve">MCCS</t>
  </si>
  <si>
    <t xml:space="preserve">MANNAI CORPORATION QPSC</t>
  </si>
  <si>
    <t xml:space="preserve">1219</t>
  </si>
  <si>
    <t xml:space="preserve">FWUSOW INDUSTRY CO LTD</t>
  </si>
  <si>
    <t xml:space="preserve">5410</t>
  </si>
  <si>
    <t xml:space="preserve">GODO STEEL LTD</t>
  </si>
  <si>
    <t xml:space="preserve">6544</t>
  </si>
  <si>
    <t xml:space="preserve">JAPAN ELEVATOR SERVICE HOLDI</t>
  </si>
  <si>
    <t xml:space="preserve">A328130</t>
  </si>
  <si>
    <t xml:space="preserve">LUNIT INC</t>
  </si>
  <si>
    <t xml:space="preserve">MORE</t>
  </si>
  <si>
    <t xml:space="preserve">MOREPEN LABORATORIES LTD</t>
  </si>
  <si>
    <t xml:space="preserve">ARTO</t>
  </si>
  <si>
    <t xml:space="preserve">AARTI INDUSTRIES LIMITED</t>
  </si>
  <si>
    <t xml:space="preserve">000158</t>
  </si>
  <si>
    <t xml:space="preserve">SHIJIAZHUANG CHANGSHAN BEI A</t>
  </si>
  <si>
    <t xml:space="preserve">200725</t>
  </si>
  <si>
    <t xml:space="preserve">BOE TECHNOLOGY GROUP CO LT B</t>
  </si>
  <si>
    <t xml:space="preserve">CBG</t>
  </si>
  <si>
    <t xml:space="preserve">CLOSE BROTHERS GROUP PLC</t>
  </si>
  <si>
    <t xml:space="preserve">778</t>
  </si>
  <si>
    <t xml:space="preserve">FORTUNE REIT</t>
  </si>
  <si>
    <t xml:space="preserve">5609</t>
  </si>
  <si>
    <t xml:space="preserve">DIMERCO EXPRESS CORP</t>
  </si>
  <si>
    <t xml:space="preserve">CRISIL</t>
  </si>
  <si>
    <t xml:space="preserve">CRISIL LTD</t>
  </si>
  <si>
    <t xml:space="preserve">2210</t>
  </si>
  <si>
    <t xml:space="preserve">NAMA CHEMICALS CO</t>
  </si>
  <si>
    <t xml:space="preserve">600196</t>
  </si>
  <si>
    <t xml:space="preserve">SHANGHAI FOSUN PHARMACEUTI A</t>
  </si>
  <si>
    <t xml:space="preserve">GPL</t>
  </si>
  <si>
    <t xml:space="preserve">GODREJ PROPERTIES LTD</t>
  </si>
  <si>
    <t xml:space="preserve">9995</t>
  </si>
  <si>
    <t xml:space="preserve">REMEGEN CO LTD H</t>
  </si>
  <si>
    <t xml:space="preserve">A248070</t>
  </si>
  <si>
    <t xml:space="preserve">SOLUM CO LTD</t>
  </si>
  <si>
    <t xml:space="preserve">TFCI</t>
  </si>
  <si>
    <t xml:space="preserve">TOURISM FINANCE CORP INDIA</t>
  </si>
  <si>
    <t xml:space="preserve">6409</t>
  </si>
  <si>
    <t xml:space="preserve">VOLTRONIC POWER TECHNOLOGY</t>
  </si>
  <si>
    <t xml:space="preserve">688082</t>
  </si>
  <si>
    <t xml:space="preserve">ACM RESEARCH SHANGHAI I A</t>
  </si>
  <si>
    <t xml:space="preserve">CJT</t>
  </si>
  <si>
    <t xml:space="preserve">CARGOJET INC</t>
  </si>
  <si>
    <t xml:space="preserve">3900</t>
  </si>
  <si>
    <t xml:space="preserve">GREENTOWN CHINA HOLDINGS</t>
  </si>
  <si>
    <t xml:space="preserve">ODD</t>
  </si>
  <si>
    <t xml:space="preserve">ODDITY TECH LTD CL A</t>
  </si>
  <si>
    <t xml:space="preserve">688336</t>
  </si>
  <si>
    <t xml:space="preserve">SUNSHINE GUOJIAN PHARMACEU A</t>
  </si>
  <si>
    <t xml:space="preserve">A018880</t>
  </si>
  <si>
    <t xml:space="preserve">HANON SYSTEMS</t>
  </si>
  <si>
    <t xml:space="preserve">GPIN</t>
  </si>
  <si>
    <t xml:space="preserve">GENUS POWER INFRASTRUCTURES</t>
  </si>
  <si>
    <t xml:space="preserve">601878</t>
  </si>
  <si>
    <t xml:space="preserve">ZHESHANG SECURITIES CO LTD A</t>
  </si>
  <si>
    <t xml:space="preserve">688150</t>
  </si>
  <si>
    <t xml:space="preserve">SHAANXI LIGHTE OPTOELECTRO A</t>
  </si>
  <si>
    <t xml:space="preserve">ATLP</t>
  </si>
  <si>
    <t xml:space="preserve">ATUL LTD</t>
  </si>
  <si>
    <t xml:space="preserve">MOMO</t>
  </si>
  <si>
    <t xml:space="preserve">HELLO GROUP INC  SPN ADR</t>
  </si>
  <si>
    <t xml:space="preserve">2922</t>
  </si>
  <si>
    <t xml:space="preserve">REALORD TECHNOLOGY CO LTD</t>
  </si>
  <si>
    <t xml:space="preserve">SSYS</t>
  </si>
  <si>
    <t xml:space="preserve">STRATASYS LTD</t>
  </si>
  <si>
    <t xml:space="preserve">002583</t>
  </si>
  <si>
    <t xml:space="preserve">HYTERA COMMUNICATIONS CORP A</t>
  </si>
  <si>
    <t xml:space="preserve">HEG GRAPHITE LTD</t>
  </si>
  <si>
    <t xml:space="preserve">688209</t>
  </si>
  <si>
    <t xml:space="preserve">SHENZHEN INJOINIC TECHNOLO A</t>
  </si>
  <si>
    <t xml:space="preserve">A263750</t>
  </si>
  <si>
    <t xml:space="preserve">PEARL ABYSS CORP</t>
  </si>
  <si>
    <t xml:space="preserve">2577</t>
  </si>
  <si>
    <t xml:space="preserve">INNOSCIENCE SUZHOU TECHNOL H</t>
  </si>
  <si>
    <t xml:space="preserve">601066</t>
  </si>
  <si>
    <t xml:space="preserve">CSC FINANCIAL CO LTD A</t>
  </si>
  <si>
    <t xml:space="preserve">TRAINLINE PLC</t>
  </si>
  <si>
    <t xml:space="preserve">UJJIVANS</t>
  </si>
  <si>
    <t xml:space="preserve">UJJIVAN SMALL FINANCE BANK L</t>
  </si>
  <si>
    <t xml:space="preserve">BTDR</t>
  </si>
  <si>
    <t xml:space="preserve">BITDEER TECHNOLOGIES GROUP A</t>
  </si>
  <si>
    <t xml:space="preserve">3107</t>
  </si>
  <si>
    <t xml:space="preserve">DAIWABO HOLDINGS CO LTD</t>
  </si>
  <si>
    <t xml:space="preserve">INMD</t>
  </si>
  <si>
    <t xml:space="preserve">INMODE LTD</t>
  </si>
  <si>
    <t xml:space="preserve">PMV</t>
  </si>
  <si>
    <t xml:space="preserve">PREMIER INVESTMENTS LTD</t>
  </si>
  <si>
    <t xml:space="preserve">600210</t>
  </si>
  <si>
    <t xml:space="preserve">SHANGHAI ZI JIANG ENTERPRI A</t>
  </si>
  <si>
    <t xml:space="preserve">MNSO</t>
  </si>
  <si>
    <t xml:space="preserve">MINISO GROUP HOLDING LTD ADR</t>
  </si>
  <si>
    <t xml:space="preserve">A035250</t>
  </si>
  <si>
    <t xml:space="preserve">KANGWON LAND INC</t>
  </si>
  <si>
    <t xml:space="preserve">6291</t>
  </si>
  <si>
    <t xml:space="preserve">ANALOG INTEGRATIONS CORP</t>
  </si>
  <si>
    <t xml:space="preserve">TRUE B</t>
  </si>
  <si>
    <t xml:space="preserve">TRUECALLER AB B</t>
  </si>
  <si>
    <t xml:space="preserve">2023</t>
  </si>
  <si>
    <t xml:space="preserve">YIEH PHUI ENTERPRISE CO LTD</t>
  </si>
  <si>
    <t xml:space="preserve">JGS</t>
  </si>
  <si>
    <t xml:space="preserve">JG SUMMIT HOLDINGS INC</t>
  </si>
  <si>
    <t xml:space="preserve">IVSO</t>
  </si>
  <si>
    <t xml:space="preserve">INVISIO AB</t>
  </si>
  <si>
    <t xml:space="preserve">CCRI</t>
  </si>
  <si>
    <t xml:space="preserve">CONTAINER CORP OF INDIA LTD</t>
  </si>
  <si>
    <t xml:space="preserve">600438</t>
  </si>
  <si>
    <t xml:space="preserve">TONGWEI CO LTD A</t>
  </si>
  <si>
    <t xml:space="preserve">3714</t>
  </si>
  <si>
    <t xml:space="preserve">ENNOSTAR INC</t>
  </si>
  <si>
    <t xml:space="preserve">000688</t>
  </si>
  <si>
    <t xml:space="preserve">GUOCHENG MINING CO LTD A</t>
  </si>
  <si>
    <t xml:space="preserve">A282330</t>
  </si>
  <si>
    <t xml:space="preserve">BGF RETAIL CO LTD</t>
  </si>
  <si>
    <t xml:space="preserve">000783</t>
  </si>
  <si>
    <t xml:space="preserve">CHANGJIANG SECURITIES CO L A</t>
  </si>
  <si>
    <t xml:space="preserve">GABR</t>
  </si>
  <si>
    <t xml:space="preserve">GABRIEL INDIA LTD</t>
  </si>
  <si>
    <t xml:space="preserve">AUTOSTORE HOLDINGS LTD</t>
  </si>
  <si>
    <t xml:space="preserve">1201</t>
  </si>
  <si>
    <t xml:space="preserve">WEI CHUAN FOODS</t>
  </si>
  <si>
    <t xml:space="preserve">4521</t>
  </si>
  <si>
    <t xml:space="preserve">KAKEN PHARMACEUTICAL CO LTD</t>
  </si>
  <si>
    <t xml:space="preserve">FERTIGLB</t>
  </si>
  <si>
    <t xml:space="preserve">FERTIGLOBE PLC</t>
  </si>
  <si>
    <t xml:space="preserve">INXW</t>
  </si>
  <si>
    <t xml:space="preserve">INOX WIND LTD</t>
  </si>
  <si>
    <t xml:space="preserve">1797</t>
  </si>
  <si>
    <t xml:space="preserve">EAST BUY HOLDING LTD</t>
  </si>
  <si>
    <t xml:space="preserve">323</t>
  </si>
  <si>
    <t xml:space="preserve">MAANSHAN IRON + STEEL H</t>
  </si>
  <si>
    <t xml:space="preserve">688091</t>
  </si>
  <si>
    <t xml:space="preserve">SHANGHAI YIZHONG PHARMACEU A</t>
  </si>
  <si>
    <t xml:space="preserve">CREDAG</t>
  </si>
  <si>
    <t xml:space="preserve">CREDITACCESS GRAMEEN LTD</t>
  </si>
  <si>
    <t xml:space="preserve">7666</t>
  </si>
  <si>
    <t xml:space="preserve">METIS TECHBIO CO LTD H</t>
  </si>
  <si>
    <t xml:space="preserve">002254</t>
  </si>
  <si>
    <t xml:space="preserve">TAYHO ADVANCED MATERIALS G A</t>
  </si>
  <si>
    <t xml:space="preserve">4480</t>
  </si>
  <si>
    <t xml:space="preserve">MEDLEY INC</t>
  </si>
  <si>
    <t xml:space="preserve">PBB</t>
  </si>
  <si>
    <t xml:space="preserve">DEUTSCHE PFANDBRIEFBANK AG</t>
  </si>
  <si>
    <t xml:space="preserve">600331</t>
  </si>
  <si>
    <t xml:space="preserve">SICHUAN HONGDA CO LTD  A</t>
  </si>
  <si>
    <t xml:space="preserve">688046</t>
  </si>
  <si>
    <t xml:space="preserve">GEMPHARMATECH CO LTD A</t>
  </si>
  <si>
    <t xml:space="preserve">688003</t>
  </si>
  <si>
    <t xml:space="preserve">SUZHOU TZTEK TECHNOLOGY CO A</t>
  </si>
  <si>
    <t xml:space="preserve">SUNTV</t>
  </si>
  <si>
    <t xml:space="preserve">SUN TV NETWORK LTD</t>
  </si>
  <si>
    <t xml:space="preserve">QFIN</t>
  </si>
  <si>
    <t xml:space="preserve">QFIN HOLDINGS INC ADR</t>
  </si>
  <si>
    <t xml:space="preserve">POONAWAL</t>
  </si>
  <si>
    <t xml:space="preserve">POONAWALLA FINCORP LTD</t>
  </si>
  <si>
    <t xml:space="preserve">688617</t>
  </si>
  <si>
    <t xml:space="preserve">APT MEDICAL INC A</t>
  </si>
  <si>
    <t xml:space="preserve">603816</t>
  </si>
  <si>
    <t xml:space="preserve">JASON FURNITURE HANGZHOU C A</t>
  </si>
  <si>
    <t xml:space="preserve">HDFCAMC</t>
  </si>
  <si>
    <t xml:space="preserve">HDFC ASSET MANAGEMENT CO LTD</t>
  </si>
  <si>
    <t xml:space="preserve">2296</t>
  </si>
  <si>
    <t xml:space="preserve">ITOHAM YONEKYU HOLDINGS INC</t>
  </si>
  <si>
    <t xml:space="preserve">002317</t>
  </si>
  <si>
    <t xml:space="preserve">GUANGDONG ZHONGSHENG PHA A</t>
  </si>
  <si>
    <t xml:space="preserve">002007</t>
  </si>
  <si>
    <t xml:space="preserve">HUALAN BIOLOGICAL ENGINEER A</t>
  </si>
  <si>
    <t xml:space="preserve">3606</t>
  </si>
  <si>
    <t xml:space="preserve">FUYAO GLASS INDUSTRY GROUP H</t>
  </si>
  <si>
    <t xml:space="preserve">GUJENERG</t>
  </si>
  <si>
    <t xml:space="preserve">GUJARAT ENERGY LTD</t>
  </si>
  <si>
    <t xml:space="preserve">688443</t>
  </si>
  <si>
    <t xml:space="preserve">CHONGQING GENRIX BIOPHARMA A</t>
  </si>
  <si>
    <t xml:space="preserve">6834</t>
  </si>
  <si>
    <t xml:space="preserve">EVER OHMS TECHNOLOGY CO LTD</t>
  </si>
  <si>
    <t xml:space="preserve">4908</t>
  </si>
  <si>
    <t xml:space="preserve">APAC OPTO ELECTRONICS INC</t>
  </si>
  <si>
    <t xml:space="preserve">688279</t>
  </si>
  <si>
    <t xml:space="preserve">FORTIOR TECHNOLOGY SHENZHE A</t>
  </si>
  <si>
    <t xml:space="preserve">9726</t>
  </si>
  <si>
    <t xml:space="preserve">KNT CT HOLDINGS CO LTD</t>
  </si>
  <si>
    <t xml:space="preserve">WAHA</t>
  </si>
  <si>
    <t xml:space="preserve">WAHA CAPITAL PJSC</t>
  </si>
  <si>
    <t xml:space="preserve">000933</t>
  </si>
  <si>
    <t xml:space="preserve">HENAN SHENHUO COAL + POWER A</t>
  </si>
  <si>
    <t xml:space="preserve">002375</t>
  </si>
  <si>
    <t xml:space="preserve">ZHEJIANG YASHA DECORATION A</t>
  </si>
  <si>
    <t xml:space="preserve">000061</t>
  </si>
  <si>
    <t xml:space="preserve">SHENZHEN AGRICULTURAL POWE A</t>
  </si>
  <si>
    <t xml:space="preserve">1417</t>
  </si>
  <si>
    <t xml:space="preserve">MIRAIT ONE CORP</t>
  </si>
  <si>
    <t xml:space="preserve">DELHIVER</t>
  </si>
  <si>
    <t xml:space="preserve">DELHIVERY LTD</t>
  </si>
  <si>
    <t xml:space="preserve">METSB</t>
  </si>
  <si>
    <t xml:space="preserve">METSA BOARD OYJ B</t>
  </si>
  <si>
    <t xml:space="preserve">A139480</t>
  </si>
  <si>
    <t xml:space="preserve">E MART INC</t>
  </si>
  <si>
    <t xml:space="preserve">A112610</t>
  </si>
  <si>
    <t xml:space="preserve">CS WIND CORP</t>
  </si>
  <si>
    <t xml:space="preserve">6186</t>
  </si>
  <si>
    <t xml:space="preserve">CHINA FEIHE LTD</t>
  </si>
  <si>
    <t xml:space="preserve">6055</t>
  </si>
  <si>
    <t xml:space="preserve">CHINA TOBACCO INTERNATIONAL</t>
  </si>
  <si>
    <t xml:space="preserve">2565</t>
  </si>
  <si>
    <t xml:space="preserve">PEGBIO CO LTD H</t>
  </si>
  <si>
    <t xml:space="preserve">PTZ6</t>
  </si>
  <si>
    <t xml:space="preserve">S+P/TSX 60 IX FUT DEC26</t>
  </si>
  <si>
    <t xml:space="preserve">603466</t>
  </si>
  <si>
    <t xml:space="preserve">SHANGHAI FENGYUZHU CULTURE A</t>
  </si>
  <si>
    <t xml:space="preserve">GEN</t>
  </si>
  <si>
    <t xml:space="preserve">GENUIT GROUP PLC</t>
  </si>
  <si>
    <t xml:space="preserve">ATRLJB</t>
  </si>
  <si>
    <t xml:space="preserve">ATRIUM LJUNGBERG AB B SHS</t>
  </si>
  <si>
    <t xml:space="preserve">A475830</t>
  </si>
  <si>
    <t xml:space="preserve">ORUM THERAPEUTICS INC</t>
  </si>
  <si>
    <t xml:space="preserve">VIRI</t>
  </si>
  <si>
    <t xml:space="preserve">VIRIDIEN</t>
  </si>
  <si>
    <t xml:space="preserve">300015</t>
  </si>
  <si>
    <t xml:space="preserve">AIER EYE HOSPITAL GROUP CO A</t>
  </si>
  <si>
    <t xml:space="preserve">3035</t>
  </si>
  <si>
    <t xml:space="preserve">FARADAY TECHNOLOGY CORP</t>
  </si>
  <si>
    <t xml:space="preserve">AMR</t>
  </si>
  <si>
    <t xml:space="preserve">AMERICANA RESTAURANTS INTERN</t>
  </si>
  <si>
    <t xml:space="preserve">INKP</t>
  </si>
  <si>
    <t xml:space="preserve">INDAH KIAT PULP + PAPER TBK</t>
  </si>
  <si>
    <t xml:space="preserve">300900</t>
  </si>
  <si>
    <t xml:space="preserve">GUANGLIAN AVIATION INDUSTR A</t>
  </si>
  <si>
    <t xml:space="preserve">CUAN</t>
  </si>
  <si>
    <t xml:space="preserve">PETRINDO JAYA KREASI TBK PT</t>
  </si>
  <si>
    <t xml:space="preserve">603119</t>
  </si>
  <si>
    <t xml:space="preserve">ZHEJIANG RONGTAI ELECTRIC  A</t>
  </si>
  <si>
    <t xml:space="preserve">JYOTICNC</t>
  </si>
  <si>
    <t xml:space="preserve">JYOTI CNC AUTOMATION LTD</t>
  </si>
  <si>
    <t xml:space="preserve">NISHIMATSU CONSTRUCTION CO</t>
  </si>
  <si>
    <t xml:space="preserve">A121600</t>
  </si>
  <si>
    <t xml:space="preserve">ADVANCED NANO PRODUCTS CO LT</t>
  </si>
  <si>
    <t xml:space="preserve">8361</t>
  </si>
  <si>
    <t xml:space="preserve">OGAKI KYORITSU BANK LTD/THE</t>
  </si>
  <si>
    <t xml:space="preserve">600104</t>
  </si>
  <si>
    <t xml:space="preserve">SAIC MOTOR CORP LTD A</t>
  </si>
  <si>
    <t xml:space="preserve">CSTRL</t>
  </si>
  <si>
    <t xml:space="preserve">CASTROL INDIA LTD</t>
  </si>
  <si>
    <t xml:space="preserve">CCR</t>
  </si>
  <si>
    <t xml:space="preserve">C+C GROUP PLC</t>
  </si>
  <si>
    <t xml:space="preserve">688131</t>
  </si>
  <si>
    <t xml:space="preserve">SHANGHAI HAOYUAN CHEMEXPRE A</t>
  </si>
  <si>
    <t xml:space="preserve">200539</t>
  </si>
  <si>
    <t xml:space="preserve">GUANGDONG ELECTRIC POWER B</t>
  </si>
  <si>
    <t xml:space="preserve">IRESS LTD</t>
  </si>
  <si>
    <t xml:space="preserve">688127</t>
  </si>
  <si>
    <t xml:space="preserve">ZHEJIANG LANTE OPTICS CO L A</t>
  </si>
  <si>
    <t xml:space="preserve">TGA</t>
  </si>
  <si>
    <t xml:space="preserve">THUNGELA RESOURCES LTD</t>
  </si>
  <si>
    <t xml:space="preserve">DANA</t>
  </si>
  <si>
    <t xml:space="preserve">DANA GAS</t>
  </si>
  <si>
    <t xml:space="preserve">8028</t>
  </si>
  <si>
    <t xml:space="preserve">PHOENIX SILICON INTL CORP</t>
  </si>
  <si>
    <t xml:space="preserve">2310</t>
  </si>
  <si>
    <t xml:space="preserve">SAHARA INTERNATIONAL PETROCH</t>
  </si>
  <si>
    <t xml:space="preserve">6136</t>
  </si>
  <si>
    <t xml:space="preserve">OSG CORP</t>
  </si>
  <si>
    <t xml:space="preserve">002819</t>
  </si>
  <si>
    <t xml:space="preserve">BEIJING ORIENTAL JICHENG C A</t>
  </si>
  <si>
    <t xml:space="preserve">KIRLOSENG</t>
  </si>
  <si>
    <t xml:space="preserve">KIRLOSKAR OIL ENGINES LTD</t>
  </si>
  <si>
    <t xml:space="preserve">SAMMAANC</t>
  </si>
  <si>
    <t xml:space="preserve">SAMMAAN CAPITAL LTD</t>
  </si>
  <si>
    <t xml:space="preserve">3680</t>
  </si>
  <si>
    <t xml:space="preserve">GUDENG PRECISION INDUSTRIAL</t>
  </si>
  <si>
    <t xml:space="preserve">MTRX</t>
  </si>
  <si>
    <t xml:space="preserve">MATRIX IT LTD</t>
  </si>
  <si>
    <t xml:space="preserve">ICP</t>
  </si>
  <si>
    <t xml:space="preserve">IOL CHEMICALS AND PHARMA LTD</t>
  </si>
  <si>
    <t xml:space="preserve">PRE</t>
  </si>
  <si>
    <t xml:space="preserve">PREMIER EXPLOSIVES LTD</t>
  </si>
  <si>
    <t xml:space="preserve">3583</t>
  </si>
  <si>
    <t xml:space="preserve">SCIENTECH CORP</t>
  </si>
  <si>
    <t xml:space="preserve">DQ</t>
  </si>
  <si>
    <t xml:space="preserve">DAQO NEW ENERGY CORP ADR</t>
  </si>
  <si>
    <t xml:space="preserve">002421</t>
  </si>
  <si>
    <t xml:space="preserve">SHENZHEN DAS INTELLITECH A</t>
  </si>
  <si>
    <t xml:space="preserve">DFPC</t>
  </si>
  <si>
    <t xml:space="preserve">DEEPAK FERTILISERS + PETRO</t>
  </si>
  <si>
    <t xml:space="preserve">POLYCAB</t>
  </si>
  <si>
    <t xml:space="preserve">POLYCAB INDIA LTD</t>
  </si>
  <si>
    <t xml:space="preserve">8424</t>
  </si>
  <si>
    <t xml:space="preserve">FUYO GENERAL LEASE CO LTD</t>
  </si>
  <si>
    <t xml:space="preserve">ADX</t>
  </si>
  <si>
    <t xml:space="preserve">AUDAX RENOVABLES SA</t>
  </si>
  <si>
    <t xml:space="preserve">5483</t>
  </si>
  <si>
    <t xml:space="preserve">SINO AMERICAN SILICON PRODUC</t>
  </si>
  <si>
    <t xml:space="preserve">QAMC</t>
  </si>
  <si>
    <t xml:space="preserve">QATAR ALUMINUM MANUFACTURING</t>
  </si>
  <si>
    <t xml:space="preserve">IIFL</t>
  </si>
  <si>
    <t xml:space="preserve">IIFL FINANCE LTD</t>
  </si>
  <si>
    <t xml:space="preserve">600009</t>
  </si>
  <si>
    <t xml:space="preserve">SHANGHAI INTERNATIONAL AIR A</t>
  </si>
  <si>
    <t xml:space="preserve">MINT-F</t>
  </si>
  <si>
    <t xml:space="preserve">MINOR INTERNATIONAL PCL FOR</t>
  </si>
  <si>
    <t xml:space="preserve">600459</t>
  </si>
  <si>
    <t xml:space="preserve">SINO PLATINUM METALS CO A</t>
  </si>
  <si>
    <t xml:space="preserve">NY1</t>
  </si>
  <si>
    <t xml:space="preserve">NINETY ONE LTD</t>
  </si>
  <si>
    <t xml:space="preserve">300130</t>
  </si>
  <si>
    <t xml:space="preserve">XGD INC A</t>
  </si>
  <si>
    <t xml:space="preserve">CDI</t>
  </si>
  <si>
    <t xml:space="preserve">CHRISTIAN DIOR SE</t>
  </si>
  <si>
    <t xml:space="preserve">CGEN</t>
  </si>
  <si>
    <t xml:space="preserve">COMPUGEN LTD</t>
  </si>
  <si>
    <t xml:space="preserve">4971</t>
  </si>
  <si>
    <t xml:space="preserve">INTELLIEPI INC</t>
  </si>
  <si>
    <t xml:space="preserve">SHADOWF</t>
  </si>
  <si>
    <t xml:space="preserve">SHADOWFAX TECHNOLOGIES LTD</t>
  </si>
  <si>
    <t xml:space="preserve">MCGS</t>
  </si>
  <si>
    <t xml:space="preserve">MEDICARE GROUP</t>
  </si>
  <si>
    <t xml:space="preserve">EMTK</t>
  </si>
  <si>
    <t xml:space="preserve">ELANG MAHKOTA TEKNOLOGI TBK</t>
  </si>
  <si>
    <t xml:space="preserve">8174</t>
  </si>
  <si>
    <t xml:space="preserve">NIPPON GAS CO LTD</t>
  </si>
  <si>
    <t xml:space="preserve">603888</t>
  </si>
  <si>
    <t xml:space="preserve">XINHUANET CO LTD A</t>
  </si>
  <si>
    <t xml:space="preserve">TMX</t>
  </si>
  <si>
    <t xml:space="preserve">THERMAX LTD FOREIGN</t>
  </si>
  <si>
    <t xml:space="preserve">9069</t>
  </si>
  <si>
    <t xml:space="preserve">SENKO GROUP HOLDINGS CO LTD</t>
  </si>
  <si>
    <t xml:space="preserve">A051600</t>
  </si>
  <si>
    <t xml:space="preserve">KEPCO PLANT SERVICE + ENGINE</t>
  </si>
  <si>
    <t xml:space="preserve">A005070</t>
  </si>
  <si>
    <t xml:space="preserve">COSMOAM+T CO LTD</t>
  </si>
  <si>
    <t xml:space="preserve">300450</t>
  </si>
  <si>
    <t xml:space="preserve">WUXI LEAD INTELLIGENT EQUI A</t>
  </si>
  <si>
    <t xml:space="preserve">002705</t>
  </si>
  <si>
    <t xml:space="preserve">GUANGDONG XINBAO ELECTRICA A</t>
  </si>
  <si>
    <t xml:space="preserve">2426</t>
  </si>
  <si>
    <t xml:space="preserve">TYNTEK CORPORATION</t>
  </si>
  <si>
    <t xml:space="preserve">A036460</t>
  </si>
  <si>
    <t xml:space="preserve">KOREA GAS CORPORATION</t>
  </si>
  <si>
    <t xml:space="preserve">A035900</t>
  </si>
  <si>
    <t xml:space="preserve">JYP ENTERTAINMENT CORP</t>
  </si>
  <si>
    <t xml:space="preserve">4681</t>
  </si>
  <si>
    <t xml:space="preserve">RESORTTRUST INC</t>
  </si>
  <si>
    <t xml:space="preserve">TMV</t>
  </si>
  <si>
    <t xml:space="preserve">TEAMVIEWER SE</t>
  </si>
  <si>
    <t xml:space="preserve">000750</t>
  </si>
  <si>
    <t xml:space="preserve">SEALAND SECURITIES CO LTD  A</t>
  </si>
  <si>
    <t xml:space="preserve">000792</t>
  </si>
  <si>
    <t xml:space="preserve">QINGHAI SALT LAKE INDUSTRY A</t>
  </si>
  <si>
    <t xml:space="preserve">2685</t>
  </si>
  <si>
    <t xml:space="preserve">QUANTGROUP HD LTD</t>
  </si>
  <si>
    <t xml:space="preserve">1066</t>
  </si>
  <si>
    <t xml:space="preserve">SHANDONG WEIGAO GP MEDICAL H</t>
  </si>
  <si>
    <t xml:space="preserve">7828</t>
  </si>
  <si>
    <t xml:space="preserve">INNOSTAR SERVICE INC</t>
  </si>
  <si>
    <t xml:space="preserve">ENGR</t>
  </si>
  <si>
    <t xml:space="preserve">ENGINEERS INDIA LTD</t>
  </si>
  <si>
    <t xml:space="preserve">A101490</t>
  </si>
  <si>
    <t xml:space="preserve">S+S TECH CORP</t>
  </si>
  <si>
    <t xml:space="preserve">300459</t>
  </si>
  <si>
    <t xml:space="preserve">ZHEJIANG JINKE TOM CULTURE A</t>
  </si>
  <si>
    <t xml:space="preserve">TORRENT POWER LTD</t>
  </si>
  <si>
    <t xml:space="preserve">336</t>
  </si>
  <si>
    <t xml:space="preserve">HUABAO INTERNATIONAL HOLDING</t>
  </si>
  <si>
    <t xml:space="preserve">3532</t>
  </si>
  <si>
    <t xml:space="preserve">FORMOSA SUMCO TECHNOLOGY COR</t>
  </si>
  <si>
    <t xml:space="preserve">4587</t>
  </si>
  <si>
    <t xml:space="preserve">PEPTIDREAM INC</t>
  </si>
  <si>
    <t xml:space="preserve">000951</t>
  </si>
  <si>
    <t xml:space="preserve">SINOTRUK JINAN TRUCK CO LT A</t>
  </si>
  <si>
    <t xml:space="preserve">000932</t>
  </si>
  <si>
    <t xml:space="preserve">HUNAN VALIN STEEL CO LTD  A</t>
  </si>
  <si>
    <t xml:space="preserve">2157</t>
  </si>
  <si>
    <t xml:space="preserve">LEPU BIOPHARMA CO LTD H</t>
  </si>
  <si>
    <t xml:space="preserve">300432</t>
  </si>
  <si>
    <t xml:space="preserve">FULIN PRECISION CO LTD A</t>
  </si>
  <si>
    <t xml:space="preserve">116</t>
  </si>
  <si>
    <t xml:space="preserve">CHOW SANG SANG HLDG</t>
  </si>
  <si>
    <t xml:space="preserve">327</t>
  </si>
  <si>
    <t xml:space="preserve">PAX GLOBAL TECHNOLOGY LTD</t>
  </si>
  <si>
    <t xml:space="preserve">SHUR</t>
  </si>
  <si>
    <t xml:space="preserve">SHURGARD SELF STORAGE LTD</t>
  </si>
  <si>
    <t xml:space="preserve">POMO4</t>
  </si>
  <si>
    <t xml:space="preserve">MARCOPOLO SA PREF</t>
  </si>
  <si>
    <t xml:space="preserve">000950</t>
  </si>
  <si>
    <t xml:space="preserve">CQ PHARMACEUTICAL HOLDING A</t>
  </si>
  <si>
    <t xml:space="preserve">MAN</t>
  </si>
  <si>
    <t xml:space="preserve">MAN INDUSTRIES (INDIA) LTD</t>
  </si>
  <si>
    <t xml:space="preserve">4240</t>
  </si>
  <si>
    <t xml:space="preserve">AFG INTERNATIONAL CO</t>
  </si>
  <si>
    <t xml:space="preserve">LAC</t>
  </si>
  <si>
    <t xml:space="preserve">LITHIUM AMERICAS CORP</t>
  </si>
  <si>
    <t xml:space="preserve">BNT</t>
  </si>
  <si>
    <t xml:space="preserve">BROOKFIELD WEALTH SOLUTIONS</t>
  </si>
  <si>
    <t xml:space="preserve">7734</t>
  </si>
  <si>
    <t xml:space="preserve">ABLEPRINT TECHNOLOGY CO LTD</t>
  </si>
  <si>
    <t xml:space="preserve">LINK</t>
  </si>
  <si>
    <t xml:space="preserve">LINK MOBILITY GROUP HOLDING</t>
  </si>
  <si>
    <t xml:space="preserve">A086900</t>
  </si>
  <si>
    <t xml:space="preserve">MEDY TOX INC</t>
  </si>
  <si>
    <t xml:space="preserve">ESHRAQ</t>
  </si>
  <si>
    <t xml:space="preserve">ESHRAQ INVESTMENTS PJSC</t>
  </si>
  <si>
    <t xml:space="preserve">ELECTRICAL INDUSTRIES CO</t>
  </si>
  <si>
    <t xml:space="preserve">NORWEGIAN KRONE</t>
  </si>
  <si>
    <t xml:space="preserve">688226</t>
  </si>
  <si>
    <t xml:space="preserve">WETOWN ELECTRIC GROUP CO L A</t>
  </si>
  <si>
    <t xml:space="preserve">LIFETECH SCIENTIFIC CORP</t>
  </si>
  <si>
    <t xml:space="preserve">000876</t>
  </si>
  <si>
    <t xml:space="preserve">NEW HOPE LIUHE CO LTD A</t>
  </si>
  <si>
    <t xml:space="preserve">VST</t>
  </si>
  <si>
    <t xml:space="preserve">VST INDUSTRIES LTD</t>
  </si>
  <si>
    <t xml:space="preserve">TELECOM PLUS PLC</t>
  </si>
  <si>
    <t xml:space="preserve">SKIPPER</t>
  </si>
  <si>
    <t xml:space="preserve">SKIPPER LTD</t>
  </si>
  <si>
    <t xml:space="preserve">ACUTAAS</t>
  </si>
  <si>
    <t xml:space="preserve">ACUTAAS CHEMICALS LTD</t>
  </si>
  <si>
    <t xml:space="preserve">INOXINDI</t>
  </si>
  <si>
    <t xml:space="preserve">INOX INDIA LTD</t>
  </si>
  <si>
    <t xml:space="preserve">BDL</t>
  </si>
  <si>
    <t xml:space="preserve">BHARAT DYNAMICS LTD</t>
  </si>
  <si>
    <t xml:space="preserve">600171</t>
  </si>
  <si>
    <t xml:space="preserve">SHANGHAI BELLING CO LTD A</t>
  </si>
  <si>
    <t xml:space="preserve">HWA</t>
  </si>
  <si>
    <t xml:space="preserve">HONEYWELL AUTOMATION INDIA</t>
  </si>
  <si>
    <t xml:space="preserve">603899</t>
  </si>
  <si>
    <t xml:space="preserve">SHANGHAI M+G STATIONERY IN A</t>
  </si>
  <si>
    <t xml:space="preserve">000676</t>
  </si>
  <si>
    <t xml:space="preserve">GENIMOUS TECHNOLOGY CO LT A</t>
  </si>
  <si>
    <t xml:space="preserve">BALUFORG</t>
  </si>
  <si>
    <t xml:space="preserve">BALU FORGE INDUSTRIES LTD</t>
  </si>
  <si>
    <t xml:space="preserve">688536</t>
  </si>
  <si>
    <t xml:space="preserve">3PEAK INC A</t>
  </si>
  <si>
    <t xml:space="preserve">STOR B</t>
  </si>
  <si>
    <t xml:space="preserve">STORSKOGEN GROUP AB B</t>
  </si>
  <si>
    <t xml:space="preserve">4114</t>
  </si>
  <si>
    <t xml:space="preserve">NIPPON SHOKUBAI CO LTD</t>
  </si>
  <si>
    <t xml:space="preserve">FTXC</t>
  </si>
  <si>
    <t xml:space="preserve">FINEOTEX CHEMICAL LTD</t>
  </si>
  <si>
    <t xml:space="preserve">002052</t>
  </si>
  <si>
    <t xml:space="preserve">SHENZHEN COSHIP ELECTRONIC A</t>
  </si>
  <si>
    <t xml:space="preserve">DEYAAR</t>
  </si>
  <si>
    <t xml:space="preserve">DEYAAR DEVELOPMENT PJSC</t>
  </si>
  <si>
    <t xml:space="preserve">A084110</t>
  </si>
  <si>
    <t xml:space="preserve">HUONS GLOBAL CO LTD</t>
  </si>
  <si>
    <t xml:space="preserve">A039200</t>
  </si>
  <si>
    <t xml:space="preserve">OSCOTEC INC</t>
  </si>
  <si>
    <t xml:space="preserve">2323</t>
  </si>
  <si>
    <t xml:space="preserve">CMC MAGNETICS CORP</t>
  </si>
  <si>
    <t xml:space="preserve">KOTOBUKI SPIRITS CO LTD</t>
  </si>
  <si>
    <t xml:space="preserve">HFG</t>
  </si>
  <si>
    <t xml:space="preserve">HELLOFRESH SE</t>
  </si>
  <si>
    <t xml:space="preserve">301392</t>
  </si>
  <si>
    <t xml:space="preserve">GUANGDONG HUICHENG VACUUM  A</t>
  </si>
  <si>
    <t xml:space="preserve">A071970</t>
  </si>
  <si>
    <t xml:space="preserve">HD HYUNDAI MARINE ENGINE</t>
  </si>
  <si>
    <t xml:space="preserve">INBR32</t>
  </si>
  <si>
    <t xml:space="preserve">INTER + CO INC   BDR</t>
  </si>
  <si>
    <t xml:space="preserve">300672</t>
  </si>
  <si>
    <t xml:space="preserve">GOKE MICROELECTRONICS CO A</t>
  </si>
  <si>
    <t xml:space="preserve">ZRGYO</t>
  </si>
  <si>
    <t xml:space="preserve">ZIRAAT GAYRIMENKUL YATIRIM O</t>
  </si>
  <si>
    <t xml:space="preserve">1503</t>
  </si>
  <si>
    <t xml:space="preserve">SHIHLIN ELECTRIC + ENGINEER</t>
  </si>
  <si>
    <t xml:space="preserve">600985</t>
  </si>
  <si>
    <t xml:space="preserve">HUAIBEI MINING HOLDINGS CO A</t>
  </si>
  <si>
    <t xml:space="preserve">688180</t>
  </si>
  <si>
    <t xml:space="preserve">SHANGHAI JUNSHI BIOSCIENCE A</t>
  </si>
  <si>
    <t xml:space="preserve">6990</t>
  </si>
  <si>
    <t xml:space="preserve">SICHUAN KELUN BIOTECH BIOP H</t>
  </si>
  <si>
    <t xml:space="preserve">AZAD</t>
  </si>
  <si>
    <t xml:space="preserve">AZAD ENGINEERING LTD</t>
  </si>
  <si>
    <t xml:space="preserve">DSSA</t>
  </si>
  <si>
    <t xml:space="preserve">DIAN SWASTATIKA SENTOSA TBK</t>
  </si>
  <si>
    <t xml:space="preserve">3020</t>
  </si>
  <si>
    <t xml:space="preserve">YAMAMA CEMENT CO</t>
  </si>
  <si>
    <t xml:space="preserve">688123</t>
  </si>
  <si>
    <t xml:space="preserve">GIANTEC SEMICONDUCTOR CORP A</t>
  </si>
  <si>
    <t xml:space="preserve">CEB</t>
  </si>
  <si>
    <t xml:space="preserve">CEBU AIR INC</t>
  </si>
  <si>
    <t xml:space="preserve">NJCC</t>
  </si>
  <si>
    <t xml:space="preserve">NCC LTD</t>
  </si>
  <si>
    <t xml:space="preserve">861</t>
  </si>
  <si>
    <t xml:space="preserve">DIGITAL CHINA HOLDINGS LTD</t>
  </si>
  <si>
    <t xml:space="preserve">TPG</t>
  </si>
  <si>
    <t xml:space="preserve">TPG TELECOM LTD</t>
  </si>
  <si>
    <t xml:space="preserve">5857</t>
  </si>
  <si>
    <t xml:space="preserve">ARE HOLDINGS INC</t>
  </si>
  <si>
    <t xml:space="preserve">600588</t>
  </si>
  <si>
    <t xml:space="preserve">YONYOU NETWORK TECHNOLOGY A</t>
  </si>
  <si>
    <t xml:space="preserve">000895</t>
  </si>
  <si>
    <t xml:space="preserve">HENAN SHUANGHUI INVESTMENT A</t>
  </si>
  <si>
    <t xml:space="preserve">2929</t>
  </si>
  <si>
    <t xml:space="preserve">PHARMA FOODS INTERNATIONAL</t>
  </si>
  <si>
    <t xml:space="preserve">002340</t>
  </si>
  <si>
    <t xml:space="preserve">GEM CO LTD A</t>
  </si>
  <si>
    <t xml:space="preserve">VGP</t>
  </si>
  <si>
    <t xml:space="preserve">SHEP</t>
  </si>
  <si>
    <t xml:space="preserve">SHAILY ENGINEERING PLASTICS</t>
  </si>
  <si>
    <t xml:space="preserve">2616</t>
  </si>
  <si>
    <t xml:space="preserve">CSTONE PHARMACEUTICALS</t>
  </si>
  <si>
    <t xml:space="preserve">3600</t>
  </si>
  <si>
    <t xml:space="preserve">MODERN DENTAL GROUP LTD</t>
  </si>
  <si>
    <t xml:space="preserve">000670</t>
  </si>
  <si>
    <t xml:space="preserve">INFOTMIC CO LTD A</t>
  </si>
  <si>
    <t xml:space="preserve">002129</t>
  </si>
  <si>
    <t xml:space="preserve">TCL ZHONGHUAN RENEWABLE EN A</t>
  </si>
  <si>
    <t xml:space="preserve">002265</t>
  </si>
  <si>
    <t xml:space="preserve">JIANSHE INDUSTRY GROUP YUN A</t>
  </si>
  <si>
    <t xml:space="preserve">9887</t>
  </si>
  <si>
    <t xml:space="preserve">NANJING LEADS BIOLABS CO L H</t>
  </si>
  <si>
    <t xml:space="preserve">4208</t>
  </si>
  <si>
    <t xml:space="preserve">UBE CORP</t>
  </si>
  <si>
    <t xml:space="preserve">A011170</t>
  </si>
  <si>
    <t xml:space="preserve">LOTTE CHEMICAL CORP</t>
  </si>
  <si>
    <t xml:space="preserve">6831</t>
  </si>
  <si>
    <t xml:space="preserve">TAIWAN MICROLOOPS CORP</t>
  </si>
  <si>
    <t xml:space="preserve">601069</t>
  </si>
  <si>
    <t xml:space="preserve">WESTERN REGION GOLD CO LTD A</t>
  </si>
  <si>
    <t xml:space="preserve">MGM CHINA HOLDINGS LTD</t>
  </si>
  <si>
    <t xml:space="preserve">GODPI</t>
  </si>
  <si>
    <t xml:space="preserve">GODAWARI POWER AND ISPAT LTD</t>
  </si>
  <si>
    <t xml:space="preserve">A450080</t>
  </si>
  <si>
    <t xml:space="preserve">ECOPRO MATERIALS CO LTD</t>
  </si>
  <si>
    <t xml:space="preserve">MSLH</t>
  </si>
  <si>
    <t xml:space="preserve">MARSHALLS PLC</t>
  </si>
  <si>
    <t xml:space="preserve">000035</t>
  </si>
  <si>
    <t xml:space="preserve">CHINA TIANYING INC A</t>
  </si>
  <si>
    <t xml:space="preserve">002624</t>
  </si>
  <si>
    <t xml:space="preserve">PERFECT WORLD CO LTD A</t>
  </si>
  <si>
    <t xml:space="preserve">002185</t>
  </si>
  <si>
    <t xml:space="preserve">TIANSHUI HUATIAN TECHNOLOG A</t>
  </si>
  <si>
    <t xml:space="preserve">AISG</t>
  </si>
  <si>
    <t xml:space="preserve">ASAHI INDIA GLASS LTD</t>
  </si>
  <si>
    <t xml:space="preserve">14</t>
  </si>
  <si>
    <t xml:space="preserve">HYSAN DEVELOPMENT CO</t>
  </si>
  <si>
    <t xml:space="preserve">BAR</t>
  </si>
  <si>
    <t xml:space="preserve">BARCO N.V.</t>
  </si>
  <si>
    <t xml:space="preserve">601877</t>
  </si>
  <si>
    <t xml:space="preserve">ZHEJIANG CHINT ELECTRICS A</t>
  </si>
  <si>
    <t xml:space="preserve">2421</t>
  </si>
  <si>
    <t xml:space="preserve">SUNONWEALTH ELECTRIC MACHINE</t>
  </si>
  <si>
    <t xml:space="preserve">DOM</t>
  </si>
  <si>
    <t xml:space="preserve">DOMETIC GROUP AB</t>
  </si>
  <si>
    <t xml:space="preserve">REFX</t>
  </si>
  <si>
    <t xml:space="preserve">REFEX INDUSTRIES LTD</t>
  </si>
  <si>
    <t xml:space="preserve">603369</t>
  </si>
  <si>
    <t xml:space="preserve">JIANGSU KING S LUCK BREWER A</t>
  </si>
  <si>
    <t xml:space="preserve">300790</t>
  </si>
  <si>
    <t xml:space="preserve">DONGGUAN YUTONG OPTICAL TE A</t>
  </si>
  <si>
    <t xml:space="preserve">1883</t>
  </si>
  <si>
    <t xml:space="preserve">CITIC TELECOM INTERNATIONAL</t>
  </si>
  <si>
    <t xml:space="preserve">2080</t>
  </si>
  <si>
    <t xml:space="preserve">NATIONAL GAS + INDUSTRIALIZA</t>
  </si>
  <si>
    <t xml:space="preserve">AKSO</t>
  </si>
  <si>
    <t xml:space="preserve">AKER SOLUTIONS ASA</t>
  </si>
  <si>
    <t xml:space="preserve">PAT</t>
  </si>
  <si>
    <t xml:space="preserve">PATRIZIA SE</t>
  </si>
  <si>
    <t xml:space="preserve">300696</t>
  </si>
  <si>
    <t xml:space="preserve">CHENGDU ALD AVIATION MANUF A</t>
  </si>
  <si>
    <t xml:space="preserve">1788</t>
  </si>
  <si>
    <t xml:space="preserve">GUOTAI JUNAN INTERNATIONAL</t>
  </si>
  <si>
    <t xml:space="preserve">WESTLIFE</t>
  </si>
  <si>
    <t xml:space="preserve">WESTLIFE FOODWORLD LTD</t>
  </si>
  <si>
    <t xml:space="preserve">002597</t>
  </si>
  <si>
    <t xml:space="preserve">ANHUI JINHE INDUSTRIAL CO  A</t>
  </si>
  <si>
    <t xml:space="preserve">601966</t>
  </si>
  <si>
    <t xml:space="preserve">SHANDONG LINGLONG TYRE CO  A</t>
  </si>
  <si>
    <t xml:space="preserve">002074</t>
  </si>
  <si>
    <t xml:space="preserve">GOTION HIGH TECH CO LTD A</t>
  </si>
  <si>
    <t xml:space="preserve">300811</t>
  </si>
  <si>
    <t xml:space="preserve">POCO HOLDING CO LTD A</t>
  </si>
  <si>
    <t xml:space="preserve">347</t>
  </si>
  <si>
    <t xml:space="preserve">ANGANG STEEL CO LTD H</t>
  </si>
  <si>
    <t xml:space="preserve">688300</t>
  </si>
  <si>
    <t xml:space="preserve">NOVORAY CORP A</t>
  </si>
  <si>
    <t xml:space="preserve">TRGYO</t>
  </si>
  <si>
    <t xml:space="preserve">TORUNLAR GAYRIMENKUL YATIRIM</t>
  </si>
  <si>
    <t xml:space="preserve">000993</t>
  </si>
  <si>
    <t xml:space="preserve">FUJIAN MINDONG ELECTRIC PW A</t>
  </si>
  <si>
    <t xml:space="preserve">AMMN</t>
  </si>
  <si>
    <t xml:space="preserve">AMMAN MINERAL INTERNASIONAL</t>
  </si>
  <si>
    <t xml:space="preserve">TITAGARH</t>
  </si>
  <si>
    <t xml:space="preserve">TITAGARH RAIL SYSTEM LTD</t>
  </si>
  <si>
    <t xml:space="preserve">301389</t>
  </si>
  <si>
    <t xml:space="preserve">LONG YOUNG ELECTRONIC KUNS A</t>
  </si>
  <si>
    <t xml:space="preserve">ADMR</t>
  </si>
  <si>
    <t xml:space="preserve">ALAMTRI MINERALS INDONESIA T</t>
  </si>
  <si>
    <t xml:space="preserve">4210</t>
  </si>
  <si>
    <t xml:space="preserve">SAUDI RESEARCH + MEDIA GROUP</t>
  </si>
  <si>
    <t xml:space="preserve">603083</t>
  </si>
  <si>
    <t xml:space="preserve">CIG SHANGHAI CO LTD A</t>
  </si>
  <si>
    <t xml:space="preserve">603387</t>
  </si>
  <si>
    <t xml:space="preserve">GETEIN BIOTECH INC A</t>
  </si>
  <si>
    <t xml:space="preserve">4816</t>
  </si>
  <si>
    <t xml:space="preserve">TOEI ANIMATION CO LTD</t>
  </si>
  <si>
    <t xml:space="preserve">TESB</t>
  </si>
  <si>
    <t xml:space="preserve">TESSENDERLO GROUP</t>
  </si>
  <si>
    <t xml:space="preserve">3645</t>
  </si>
  <si>
    <t xml:space="preserve">TAIMIDE TECH INC</t>
  </si>
  <si>
    <t xml:space="preserve">3915</t>
  </si>
  <si>
    <t xml:space="preserve">TERRASKY CO LTD</t>
  </si>
  <si>
    <t xml:space="preserve">2050</t>
  </si>
  <si>
    <t xml:space="preserve">SAVOLA</t>
  </si>
  <si>
    <t xml:space="preserve">RERE</t>
  </si>
  <si>
    <t xml:space="preserve">ATRENEW INC</t>
  </si>
  <si>
    <t xml:space="preserve">300724</t>
  </si>
  <si>
    <t xml:space="preserve">SHENZHEN SC NEW ENERGY TEC A</t>
  </si>
  <si>
    <t xml:space="preserve">AEV</t>
  </si>
  <si>
    <t xml:space="preserve">ABOITIZ EQUITY VENTURES INC</t>
  </si>
  <si>
    <t xml:space="preserve">1083</t>
  </si>
  <si>
    <t xml:space="preserve">TOWNGAS SMART ENERGY CO LTD</t>
  </si>
  <si>
    <t xml:space="preserve">603000</t>
  </si>
  <si>
    <t xml:space="preserve">PEOPLE.CN CO LTD A</t>
  </si>
  <si>
    <t xml:space="preserve">688385</t>
  </si>
  <si>
    <t xml:space="preserve">SHANGHAI FUDAN MICROELE DO A</t>
  </si>
  <si>
    <t xml:space="preserve">RATEGAIN</t>
  </si>
  <si>
    <t xml:space="preserve">RATEGAIN TRAVEL TECHNOLOGIES</t>
  </si>
  <si>
    <t xml:space="preserve">SSIA</t>
  </si>
  <si>
    <t xml:space="preserve">SURYA SEMESTA INTERNUSA PT</t>
  </si>
  <si>
    <t xml:space="preserve">3649</t>
  </si>
  <si>
    <t xml:space="preserve">FINDEX INC</t>
  </si>
  <si>
    <t xml:space="preserve">6966</t>
  </si>
  <si>
    <t xml:space="preserve">MITSUI HIGH TEC INC</t>
  </si>
  <si>
    <t xml:space="preserve">6855</t>
  </si>
  <si>
    <t xml:space="preserve">ASCENTAGE PHARMA GROUP INTER</t>
  </si>
  <si>
    <t xml:space="preserve">PAISALO</t>
  </si>
  <si>
    <t xml:space="preserve">PAISALO DIGITAL LTD</t>
  </si>
  <si>
    <t xml:space="preserve">2666</t>
  </si>
  <si>
    <t xml:space="preserve">GENERTEC UNIVERSAL MEDICAL G</t>
  </si>
  <si>
    <t xml:space="preserve">6753</t>
  </si>
  <si>
    <t xml:space="preserve">SHARP CORP</t>
  </si>
  <si>
    <t xml:space="preserve">VNET</t>
  </si>
  <si>
    <t xml:space="preserve">VNET GROUP INC ADR</t>
  </si>
  <si>
    <t xml:space="preserve">300153</t>
  </si>
  <si>
    <t xml:space="preserve">SHANGHAI COOLTECH POWER CO A</t>
  </si>
  <si>
    <t xml:space="preserve">INTEGRATED</t>
  </si>
  <si>
    <t xml:space="preserve">INTEGRATED HOLDING CO KCSC</t>
  </si>
  <si>
    <t xml:space="preserve">POCL</t>
  </si>
  <si>
    <t xml:space="preserve">PONDY OXIDES + CHEMICAL LTD</t>
  </si>
  <si>
    <t xml:space="preserve">6925</t>
  </si>
  <si>
    <t xml:space="preserve">USHIO INC</t>
  </si>
  <si>
    <t xml:space="preserve">GEST</t>
  </si>
  <si>
    <t xml:space="preserve">GESTAMP AUTOMOCION SA</t>
  </si>
  <si>
    <t xml:space="preserve">002549</t>
  </si>
  <si>
    <t xml:space="preserve">HUNAN KAIMEITE GASES CO A</t>
  </si>
  <si>
    <t xml:space="preserve">WLN</t>
  </si>
  <si>
    <t xml:space="preserve">WORLDLINE SA</t>
  </si>
  <si>
    <t xml:space="preserve">3030</t>
  </si>
  <si>
    <t xml:space="preserve">SAUDI CEMENT</t>
  </si>
  <si>
    <t xml:space="preserve">TARIL</t>
  </si>
  <si>
    <t xml:space="preserve">TRANSFORMERS + RECTIFIERS IN</t>
  </si>
  <si>
    <t xml:space="preserve">6070</t>
  </si>
  <si>
    <t xml:space="preserve">AL JOUF AGRICULTURE DEVELOPM</t>
  </si>
  <si>
    <t xml:space="preserve">2171</t>
  </si>
  <si>
    <t xml:space="preserve">CARSGEN THERAPEUTICS HOLDING</t>
  </si>
  <si>
    <t xml:space="preserve">RMKF</t>
  </si>
  <si>
    <t xml:space="preserve">RAMKRISHNA FORGINGS LTD</t>
  </si>
  <si>
    <t xml:space="preserve">6862</t>
  </si>
  <si>
    <t xml:space="preserve">HAIDILAO INTERNATIONAL HOLDI</t>
  </si>
  <si>
    <t xml:space="preserve">2538</t>
  </si>
  <si>
    <t xml:space="preserve">KEE TAI PROPERTIES CO LTD</t>
  </si>
  <si>
    <t xml:space="preserve">3324</t>
  </si>
  <si>
    <t xml:space="preserve">AURAS TECHNOLOGY CO LTD</t>
  </si>
  <si>
    <t xml:space="preserve">F83</t>
  </si>
  <si>
    <t xml:space="preserve">COSCO SHIPPING INTERNATIONAL</t>
  </si>
  <si>
    <t xml:space="preserve">002489</t>
  </si>
  <si>
    <t xml:space="preserve">YOTRIO GROUP CO LTD A</t>
  </si>
  <si>
    <t xml:space="preserve">600089</t>
  </si>
  <si>
    <t xml:space="preserve">TBEA CO LTD A</t>
  </si>
  <si>
    <t xml:space="preserve">ALLIANCE GLOBAL GROUP INC</t>
  </si>
  <si>
    <t xml:space="preserve">4978</t>
  </si>
  <si>
    <t xml:space="preserve">REPROCELL INC</t>
  </si>
  <si>
    <t xml:space="preserve">9744</t>
  </si>
  <si>
    <t xml:space="preserve">MEITEC GROUP HOLDINGS INC</t>
  </si>
  <si>
    <t xml:space="preserve">SFER</t>
  </si>
  <si>
    <t xml:space="preserve">SALVATORE FERRAGAMO SPA</t>
  </si>
  <si>
    <t xml:space="preserve">IDIA</t>
  </si>
  <si>
    <t xml:space="preserve">IDORSIA LTD</t>
  </si>
  <si>
    <t xml:space="preserve">2607</t>
  </si>
  <si>
    <t xml:space="preserve">SHANGHAI PHARMACEUTICALS H</t>
  </si>
  <si>
    <t xml:space="preserve">2637</t>
  </si>
  <si>
    <t xml:space="preserve">WISDOM MARINE LINES CO LTD</t>
  </si>
  <si>
    <t xml:space="preserve">NAZARA</t>
  </si>
  <si>
    <t xml:space="preserve">NAZARA TECHNOLOGIES LTD</t>
  </si>
  <si>
    <t xml:space="preserve">900934</t>
  </si>
  <si>
    <t xml:space="preserve">SH JINJIANG INTL HOTELS   B</t>
  </si>
  <si>
    <t xml:space="preserve">002242</t>
  </si>
  <si>
    <t xml:space="preserve">JOYOUNG CO LTD  A</t>
  </si>
  <si>
    <t xml:space="preserve">ANTM</t>
  </si>
  <si>
    <t xml:space="preserve">ANTAM PERSERO TBK PT</t>
  </si>
  <si>
    <t xml:space="preserve">002056</t>
  </si>
  <si>
    <t xml:space="preserve">HENGDIAN GROUP DMEGC  A</t>
  </si>
  <si>
    <t xml:space="preserve">SELEC</t>
  </si>
  <si>
    <t xml:space="preserve">SELCUK ECZA DEPOSU TICARET V</t>
  </si>
  <si>
    <t xml:space="preserve">4339</t>
  </si>
  <si>
    <t xml:space="preserve">DERAYAH REIT</t>
  </si>
  <si>
    <t xml:space="preserve">JKCE</t>
  </si>
  <si>
    <t xml:space="preserve">JK CEMENT LTD</t>
  </si>
  <si>
    <t xml:space="preserve">A020150</t>
  </si>
  <si>
    <t xml:space="preserve">LOTTE ENERGY MATERIALS CORP</t>
  </si>
  <si>
    <t xml:space="preserve">600236</t>
  </si>
  <si>
    <t xml:space="preserve">GUANGXI GUIGUAN ELECTRIC A</t>
  </si>
  <si>
    <t xml:space="preserve">300684</t>
  </si>
  <si>
    <t xml:space="preserve">JONES TECH PLC A</t>
  </si>
  <si>
    <t xml:space="preserve">4966</t>
  </si>
  <si>
    <t xml:space="preserve">PARADE TECHNOLOGIES LTD</t>
  </si>
  <si>
    <t xml:space="preserve">5351</t>
  </si>
  <si>
    <t xml:space="preserve">ETRON TECHNOLOGY INC</t>
  </si>
  <si>
    <t xml:space="preserve">FINEORG</t>
  </si>
  <si>
    <t xml:space="preserve">FINE ORGANIC INDUSTRIES LTD</t>
  </si>
  <si>
    <t xml:space="preserve">RTPOW</t>
  </si>
  <si>
    <t xml:space="preserve">RATTANINDIA POWER LTD</t>
  </si>
  <si>
    <t xml:space="preserve">600007</t>
  </si>
  <si>
    <t xml:space="preserve">CHINA WORLD TRADE CENTER A</t>
  </si>
  <si>
    <t xml:space="preserve">300708</t>
  </si>
  <si>
    <t xml:space="preserve">FOCUS LIGHTINGS CO LTD A</t>
  </si>
  <si>
    <t xml:space="preserve">UNVR</t>
  </si>
  <si>
    <t xml:space="preserve">UNILEVER INDONESIA TBK PT</t>
  </si>
  <si>
    <t xml:space="preserve">688036</t>
  </si>
  <si>
    <t xml:space="preserve">SHENZHEN TRANSSION HOLDING A</t>
  </si>
  <si>
    <t xml:space="preserve">300207</t>
  </si>
  <si>
    <t xml:space="preserve">SUNWODA ELECTRONIC CO LTD A</t>
  </si>
  <si>
    <t xml:space="preserve">5269</t>
  </si>
  <si>
    <t xml:space="preserve">ASMEDIA TECHNOLOGY INC</t>
  </si>
  <si>
    <t xml:space="preserve">600048</t>
  </si>
  <si>
    <t xml:space="preserve">POLY DEVELOPMENTS AND HOLD A</t>
  </si>
  <si>
    <t xml:space="preserve">002326</t>
  </si>
  <si>
    <t xml:space="preserve">ZHEJIANG YONGTAI TECH A</t>
  </si>
  <si>
    <t xml:space="preserve">ANELE</t>
  </si>
  <si>
    <t xml:space="preserve">ANEL ELEKTRIK PROJE TAAHHUT</t>
  </si>
  <si>
    <t xml:space="preserve">CHN</t>
  </si>
  <si>
    <t xml:space="preserve">CHALICE MINING LTD</t>
  </si>
  <si>
    <t xml:space="preserve">000166</t>
  </si>
  <si>
    <t xml:space="preserve">SHENWAN HONGYUAN GROUP CO A</t>
  </si>
  <si>
    <t xml:space="preserve">1167</t>
  </si>
  <si>
    <t xml:space="preserve">JACOBIO PHARMACEUTICALS GROU</t>
  </si>
  <si>
    <t xml:space="preserve">GSM</t>
  </si>
  <si>
    <t xml:space="preserve">FERROGLOBE PLC</t>
  </si>
  <si>
    <t xml:space="preserve">AEONCR</t>
  </si>
  <si>
    <t xml:space="preserve">AEON CREDIT SERVICE M BHD</t>
  </si>
  <si>
    <t xml:space="preserve">RINDL</t>
  </si>
  <si>
    <t xml:space="preserve">RAIN INDUSTRIES LTD</t>
  </si>
  <si>
    <t xml:space="preserve">A950160</t>
  </si>
  <si>
    <t xml:space="preserve">KOLON TISSUEGENE INC KDR</t>
  </si>
  <si>
    <t xml:space="preserve">6103</t>
  </si>
  <si>
    <t xml:space="preserve">OKUMA CORP</t>
  </si>
  <si>
    <t xml:space="preserve">601377</t>
  </si>
  <si>
    <t xml:space="preserve">INDUSTRIAL SECURITIES CO A</t>
  </si>
  <si>
    <t xml:space="preserve">603338</t>
  </si>
  <si>
    <t xml:space="preserve">ZHEJIANG DINGLI MACHINERY  A</t>
  </si>
  <si>
    <t xml:space="preserve">MAZAYA</t>
  </si>
  <si>
    <t xml:space="preserve">AL MAZAYA HOLDING CO</t>
  </si>
  <si>
    <t xml:space="preserve">002284</t>
  </si>
  <si>
    <t xml:space="preserve">ZHEJIANG ASIA PACIFIC MECH A</t>
  </si>
  <si>
    <t xml:space="preserve">300893</t>
  </si>
  <si>
    <t xml:space="preserve">ZHEJIANG SONGYUAN AUTOMOTI A</t>
  </si>
  <si>
    <t xml:space="preserve">3060</t>
  </si>
  <si>
    <t xml:space="preserve">YANBU CEMENT CO</t>
  </si>
  <si>
    <t xml:space="preserve">002850</t>
  </si>
  <si>
    <t xml:space="preserve">SHENZHEN KEDALI INDUSTRY C A</t>
  </si>
  <si>
    <t xml:space="preserve">600595</t>
  </si>
  <si>
    <t xml:space="preserve">HENAN ZHONGFU INDUSTRY CO A</t>
  </si>
  <si>
    <t xml:space="preserve">DHBK</t>
  </si>
  <si>
    <t xml:space="preserve">DOHA BANK QPSC</t>
  </si>
  <si>
    <t xml:space="preserve">9449</t>
  </si>
  <si>
    <t xml:space="preserve">GMO INTERNET GROUP INC</t>
  </si>
  <si>
    <t xml:space="preserve">TURSG</t>
  </si>
  <si>
    <t xml:space="preserve">TURKIYE SIGORTA AS</t>
  </si>
  <si>
    <t xml:space="preserve">TRANSRAI</t>
  </si>
  <si>
    <t xml:space="preserve">TRANSRAIL LIGHTING LTD</t>
  </si>
  <si>
    <t xml:space="preserve">600850</t>
  </si>
  <si>
    <t xml:space="preserve">CETC DIGITAL TECHNOLOGY CO A</t>
  </si>
  <si>
    <t xml:space="preserve">2201</t>
  </si>
  <si>
    <t xml:space="preserve">MORINAGA + CO LTD</t>
  </si>
  <si>
    <t xml:space="preserve">MFEB</t>
  </si>
  <si>
    <t xml:space="preserve">MFE MEDIAFOREUROPE NV CL B</t>
  </si>
  <si>
    <t xml:space="preserve">HARTA</t>
  </si>
  <si>
    <t xml:space="preserve">HARTALEGA HOLDINGS BHD</t>
  </si>
  <si>
    <t xml:space="preserve">688206</t>
  </si>
  <si>
    <t xml:space="preserve">PRIMARIUS TECHNOLOGIES CO  A</t>
  </si>
  <si>
    <t xml:space="preserve">EXID</t>
  </si>
  <si>
    <t xml:space="preserve">EXIDE INDUSTRIES LTD</t>
  </si>
  <si>
    <t xml:space="preserve">MINDA CORP LTD</t>
  </si>
  <si>
    <t xml:space="preserve">000400</t>
  </si>
  <si>
    <t xml:space="preserve">XUJI ELECTRIC CO LTD A</t>
  </si>
  <si>
    <t xml:space="preserve">YIT</t>
  </si>
  <si>
    <t xml:space="preserve">YIT OYJ</t>
  </si>
  <si>
    <t xml:space="preserve">9605</t>
  </si>
  <si>
    <t xml:space="preserve">TOEI CO LTD</t>
  </si>
  <si>
    <t xml:space="preserve">MKHZN</t>
  </si>
  <si>
    <t xml:space="preserve">AGILITY</t>
  </si>
  <si>
    <t xml:space="preserve">BLUEJET</t>
  </si>
  <si>
    <t xml:space="preserve">BLUE JET HEALTHCARE LTD</t>
  </si>
  <si>
    <t xml:space="preserve">301205</t>
  </si>
  <si>
    <t xml:space="preserve">LINKTEL TECHNOLOGIES CO LT A</t>
  </si>
  <si>
    <t xml:space="preserve">CGX</t>
  </si>
  <si>
    <t xml:space="preserve">CINEPLEX INC</t>
  </si>
  <si>
    <t xml:space="preserve">300661</t>
  </si>
  <si>
    <t xml:space="preserve">SG MICRO CORP A</t>
  </si>
  <si>
    <t xml:space="preserve">A011210</t>
  </si>
  <si>
    <t xml:space="preserve">HYUNDAI WIA CORP</t>
  </si>
  <si>
    <t xml:space="preserve">SMWH</t>
  </si>
  <si>
    <t xml:space="preserve">WH SMITH PLC</t>
  </si>
  <si>
    <t xml:space="preserve">A006280</t>
  </si>
  <si>
    <t xml:space="preserve">GC BIOPHARMA CORP</t>
  </si>
  <si>
    <t xml:space="preserve">6060</t>
  </si>
  <si>
    <t xml:space="preserve">ZHONGAN ONLINE P+C INSURAN H</t>
  </si>
  <si>
    <t xml:space="preserve">AVTS</t>
  </si>
  <si>
    <t xml:space="preserve">AVANTEL LTD</t>
  </si>
  <si>
    <t xml:space="preserve">1672</t>
  </si>
  <si>
    <t xml:space="preserve">ASCLETIS PHARMA INC</t>
  </si>
  <si>
    <t xml:space="preserve">TPIA</t>
  </si>
  <si>
    <t xml:space="preserve">CHANDRA ASRI PACIFIC TBK PT</t>
  </si>
  <si>
    <t xml:space="preserve">3715</t>
  </si>
  <si>
    <t xml:space="preserve">DYNAMIC HOLDING CO LTD</t>
  </si>
  <si>
    <t xml:space="preserve">4666</t>
  </si>
  <si>
    <t xml:space="preserve">PARK24 CO LTD</t>
  </si>
  <si>
    <t xml:space="preserve">603027</t>
  </si>
  <si>
    <t xml:space="preserve">QIANHE CONDIMENT AND FOOD A</t>
  </si>
  <si>
    <t xml:space="preserve">6013</t>
  </si>
  <si>
    <t xml:space="preserve">TAKUMA CO LTD</t>
  </si>
  <si>
    <t xml:space="preserve">002926</t>
  </si>
  <si>
    <t xml:space="preserve">HUAXI SECURITIES CO LTD A</t>
  </si>
  <si>
    <t xml:space="preserve">FVRR</t>
  </si>
  <si>
    <t xml:space="preserve">FIVERR INTERNATIONAL LTD</t>
  </si>
  <si>
    <t xml:space="preserve">IRCTC</t>
  </si>
  <si>
    <t xml:space="preserve">INDIAN RAILWAY CATERING + TO</t>
  </si>
  <si>
    <t xml:space="preserve">4009</t>
  </si>
  <si>
    <t xml:space="preserve">MIDDLE EAST HEALTHCARE CO</t>
  </si>
  <si>
    <t xml:space="preserve">6090</t>
  </si>
  <si>
    <t xml:space="preserve">BUTONG GROUP</t>
  </si>
  <si>
    <t xml:space="preserve">SPADV</t>
  </si>
  <si>
    <t xml:space="preserve">SUN PHARMA ADVANCED RESEARCH</t>
  </si>
  <si>
    <t xml:space="preserve">CHUNG HSIN ELECTRIC + MACHIN</t>
  </si>
  <si>
    <t xml:space="preserve">STGT-F</t>
  </si>
  <si>
    <t xml:space="preserve">SRI TRANG GLOVES THA FOREIGN</t>
  </si>
  <si>
    <t xml:space="preserve">ERO</t>
  </si>
  <si>
    <t xml:space="preserve">ERO COPPER CORP</t>
  </si>
  <si>
    <t xml:space="preserve">AERO</t>
  </si>
  <si>
    <t xml:space="preserve">GRUPO AEROMEXICO SAB DE CV</t>
  </si>
  <si>
    <t xml:space="preserve">8966</t>
  </si>
  <si>
    <t xml:space="preserve">HEIWA REAL ESTATE REIT INC</t>
  </si>
  <si>
    <t xml:space="preserve">002752</t>
  </si>
  <si>
    <t xml:space="preserve">SUNRISE GROUP CO LTD A</t>
  </si>
  <si>
    <t xml:space="preserve">2202</t>
  </si>
  <si>
    <t xml:space="preserve">CHINA VANKE CO LTD H</t>
  </si>
  <si>
    <t xml:space="preserve">600584</t>
  </si>
  <si>
    <t xml:space="preserve">JCET GROUP CO LTD A</t>
  </si>
  <si>
    <t xml:space="preserve">002104</t>
  </si>
  <si>
    <t xml:space="preserve">HENGBAO CO LTD A</t>
  </si>
  <si>
    <t xml:space="preserve">3591</t>
  </si>
  <si>
    <t xml:space="preserve">WACOAL HOLDINGS CORP</t>
  </si>
  <si>
    <t xml:space="preserve">4023</t>
  </si>
  <si>
    <t xml:space="preserve">KUREHA CORP</t>
  </si>
  <si>
    <t xml:space="preserve">HNSA</t>
  </si>
  <si>
    <t xml:space="preserve">HANSA BIOPHARMA AB</t>
  </si>
  <si>
    <t xml:space="preserve">601811</t>
  </si>
  <si>
    <t xml:space="preserve">XINHUA WINSHARE PUBLISHING A</t>
  </si>
  <si>
    <t xml:space="preserve">4045</t>
  </si>
  <si>
    <t xml:space="preserve">TOAGOSEI CO LTD</t>
  </si>
  <si>
    <t xml:space="preserve">KFINTECH</t>
  </si>
  <si>
    <t xml:space="preserve">KFIN TECHNOLOGIES LTD</t>
  </si>
  <si>
    <t xml:space="preserve">688656</t>
  </si>
  <si>
    <t xml:space="preserve">HOB BIOTECH GROUP SUZHOU C A</t>
  </si>
  <si>
    <t xml:space="preserve">002690</t>
  </si>
  <si>
    <t xml:space="preserve">HEFEI MEIYA OPTOELECTRONIC A</t>
  </si>
  <si>
    <t xml:space="preserve">4749</t>
  </si>
  <si>
    <t xml:space="preserve">ADVANCED ECHEM MATERIALS CO</t>
  </si>
  <si>
    <t xml:space="preserve">002461</t>
  </si>
  <si>
    <t xml:space="preserve">GUANGZHOU ZHUJIANG BREWERY A</t>
  </si>
  <si>
    <t xml:space="preserve">002226</t>
  </si>
  <si>
    <t xml:space="preserve">ANHUI JIANGNAN CHEMICAL  A</t>
  </si>
  <si>
    <t xml:space="preserve">WELSPUNL</t>
  </si>
  <si>
    <t xml:space="preserve">WELSPUN LIVING LTD</t>
  </si>
  <si>
    <t xml:space="preserve">9757</t>
  </si>
  <si>
    <t xml:space="preserve">FUNAI SOKEN HOLDINGS INC</t>
  </si>
  <si>
    <t xml:space="preserve">000681</t>
  </si>
  <si>
    <t xml:space="preserve">VISUAL CHINA GROUP CO LTD A</t>
  </si>
  <si>
    <t xml:space="preserve">2170</t>
  </si>
  <si>
    <t xml:space="preserve">ALUJAIN CORP</t>
  </si>
  <si>
    <t xml:space="preserve">000969</t>
  </si>
  <si>
    <t xml:space="preserve">ADVANCED TECH + MATERIAL  A</t>
  </si>
  <si>
    <t xml:space="preserve">7716</t>
  </si>
  <si>
    <t xml:space="preserve">NAKANISHI INC</t>
  </si>
  <si>
    <t xml:space="preserve">TLW</t>
  </si>
  <si>
    <t xml:space="preserve">TULLOW OIL PLC</t>
  </si>
  <si>
    <t xml:space="preserve">1368</t>
  </si>
  <si>
    <t xml:space="preserve">XTEP INTERNATIONAL HOLDINGS</t>
  </si>
  <si>
    <t xml:space="preserve">600982</t>
  </si>
  <si>
    <t xml:space="preserve">NINGBO ENERGY GROUP CO LTD A</t>
  </si>
  <si>
    <t xml:space="preserve">GREATEC</t>
  </si>
  <si>
    <t xml:space="preserve">GREATECH TECHNOLOGY BHD</t>
  </si>
  <si>
    <t xml:space="preserve">JUBLINGR</t>
  </si>
  <si>
    <t xml:space="preserve">JUBILANT INGREVIA LTD</t>
  </si>
  <si>
    <t xml:space="preserve">603529</t>
  </si>
  <si>
    <t xml:space="preserve">AIMA TECHNOLOGY GROUP CO L A</t>
  </si>
  <si>
    <t xml:space="preserve">HMC</t>
  </si>
  <si>
    <t xml:space="preserve">HMC CAPITAL LTD</t>
  </si>
  <si>
    <t xml:space="preserve">300613</t>
  </si>
  <si>
    <t xml:space="preserve">SHANGHAI FULLHAN MICROELEC A</t>
  </si>
  <si>
    <t xml:space="preserve">688126</t>
  </si>
  <si>
    <t xml:space="preserve">NATIONAL SILICON INDUSTRY  A</t>
  </si>
  <si>
    <t xml:space="preserve">IEX</t>
  </si>
  <si>
    <t xml:space="preserve">INDIAN ENERGY EXCHANGE LTD</t>
  </si>
  <si>
    <t xml:space="preserve">PROGATE GROUP CORPORATION</t>
  </si>
  <si>
    <t xml:space="preserve">301165</t>
  </si>
  <si>
    <t xml:space="preserve">RUIJIE NETWORKS CO LTD A</t>
  </si>
  <si>
    <t xml:space="preserve">LANDMARK</t>
  </si>
  <si>
    <t xml:space="preserve">LANDMARK CARS LTD</t>
  </si>
  <si>
    <t xml:space="preserve">600821</t>
  </si>
  <si>
    <t xml:space="preserve">NYOCOR CO LTD A</t>
  </si>
  <si>
    <t xml:space="preserve">300413</t>
  </si>
  <si>
    <t xml:space="preserve">MANGO EXCELLENT MEDIA CO L A</t>
  </si>
  <si>
    <t xml:space="preserve">301080</t>
  </si>
  <si>
    <t xml:space="preserve">ACROBIOSYSTEMS CO LTD A</t>
  </si>
  <si>
    <t xml:space="preserve">7846</t>
  </si>
  <si>
    <t xml:space="preserve">PILOT CORP</t>
  </si>
  <si>
    <t xml:space="preserve">601016</t>
  </si>
  <si>
    <t xml:space="preserve">CECEP WIND POWER CORP A</t>
  </si>
  <si>
    <t xml:space="preserve">603345</t>
  </si>
  <si>
    <t xml:space="preserve">ANJOY FOODS GROUP CO LTD A</t>
  </si>
  <si>
    <t xml:space="preserve">300666</t>
  </si>
  <si>
    <t xml:space="preserve">KONFOONG MATERIALS INTERNA A</t>
  </si>
  <si>
    <t xml:space="preserve">300319</t>
  </si>
  <si>
    <t xml:space="preserve">SHENZHEN MICROGATE TECHNOL A</t>
  </si>
  <si>
    <t xml:space="preserve">300337</t>
  </si>
  <si>
    <t xml:space="preserve">YINBANG CLAD MATERIAL CO L A</t>
  </si>
  <si>
    <t xml:space="preserve">601618</t>
  </si>
  <si>
    <t xml:space="preserve">METALLURGICAL CORP OF CHIN A</t>
  </si>
  <si>
    <t xml:space="preserve">3163</t>
  </si>
  <si>
    <t xml:space="preserve">BROWAVE CORP</t>
  </si>
  <si>
    <t xml:space="preserve">GUBRF</t>
  </si>
  <si>
    <t xml:space="preserve">GUBRE FABRIKALARI TAS</t>
  </si>
  <si>
    <t xml:space="preserve">8030</t>
  </si>
  <si>
    <t xml:space="preserve">MEDITERRANEAN + GULF INSURAN</t>
  </si>
  <si>
    <t xml:space="preserve">CEMPRO</t>
  </si>
  <si>
    <t xml:space="preserve">CEMINDIA PROJECTS LTD</t>
  </si>
  <si>
    <t xml:space="preserve">2782</t>
  </si>
  <si>
    <t xml:space="preserve">SERIA CO LTD</t>
  </si>
  <si>
    <t xml:space="preserve">PMZ.UN</t>
  </si>
  <si>
    <t xml:space="preserve">PRIMARIS REIT</t>
  </si>
  <si>
    <t xml:space="preserve">LEMONTRE</t>
  </si>
  <si>
    <t xml:space="preserve">LEMON TREE HOTELS LTD</t>
  </si>
  <si>
    <t xml:space="preserve">IXIGO</t>
  </si>
  <si>
    <t xml:space="preserve">LE TRAVENUES TECHNOLOGY LTD</t>
  </si>
  <si>
    <t xml:space="preserve">QATARI RIAL</t>
  </si>
  <si>
    <t xml:space="preserve">002204</t>
  </si>
  <si>
    <t xml:space="preserve">DALIAN HUARUI HEAVY INDUS  A</t>
  </si>
  <si>
    <t xml:space="preserve">3050</t>
  </si>
  <si>
    <t xml:space="preserve">SOUTHERN PROVINCE CEMENT CO</t>
  </si>
  <si>
    <t xml:space="preserve">A002790</t>
  </si>
  <si>
    <t xml:space="preserve">AMOREPACIFIC HOLDINGS CORP</t>
  </si>
  <si>
    <t xml:space="preserve">688047</t>
  </si>
  <si>
    <t xml:space="preserve">LOONGSON TECHNOLOGY CORP L A</t>
  </si>
  <si>
    <t xml:space="preserve">NUVAMA</t>
  </si>
  <si>
    <t xml:space="preserve">NUVAMA WEALTH MANAGEMENT LTD</t>
  </si>
  <si>
    <t xml:space="preserve">603659</t>
  </si>
  <si>
    <t xml:space="preserve">SHANGHAI PUTAILAI NEW ENERGY</t>
  </si>
  <si>
    <t xml:space="preserve">ORISSAMINE</t>
  </si>
  <si>
    <t xml:space="preserve">ORISSA MINERALS DEVELOPMENT</t>
  </si>
  <si>
    <t xml:space="preserve">300353</t>
  </si>
  <si>
    <t xml:space="preserve">KYLAND TECHNOLOGY CO LTD A</t>
  </si>
  <si>
    <t xml:space="preserve">300223</t>
  </si>
  <si>
    <t xml:space="preserve">INGENIC SEMICONDUCTOR CO  A</t>
  </si>
  <si>
    <t xml:space="preserve">BYRCS</t>
  </si>
  <si>
    <t xml:space="preserve">BAYER CROPSCIENCE LTD</t>
  </si>
  <si>
    <t xml:space="preserve">PGHL</t>
  </si>
  <si>
    <t xml:space="preserve">PROCTER + GAMBLE HEALTH LTD</t>
  </si>
  <si>
    <t xml:space="preserve">600369</t>
  </si>
  <si>
    <t xml:space="preserve">SOUTHWEST SECURITIES CO LT A</t>
  </si>
  <si>
    <t xml:space="preserve">VIT B</t>
  </si>
  <si>
    <t xml:space="preserve">VITEC SOFTWARE GROUP AB B SH</t>
  </si>
  <si>
    <t xml:space="preserve">000066</t>
  </si>
  <si>
    <t xml:space="preserve">CHINA GREATWALL TECHNOLOGY A</t>
  </si>
  <si>
    <t xml:space="preserve">002123</t>
  </si>
  <si>
    <t xml:space="preserve">MONTNETS CLOUD TECHNOLOGY A</t>
  </si>
  <si>
    <t xml:space="preserve">8595</t>
  </si>
  <si>
    <t xml:space="preserve">JAFCO GROUP CO LTD</t>
  </si>
  <si>
    <t xml:space="preserve">002488</t>
  </si>
  <si>
    <t xml:space="preserve">ZHEJIANG JINGU CO LTD A</t>
  </si>
  <si>
    <t xml:space="preserve">ELCN</t>
  </si>
  <si>
    <t xml:space="preserve">ELECON ENGINEERING CO LTD</t>
  </si>
  <si>
    <t xml:space="preserve">HEM</t>
  </si>
  <si>
    <t xml:space="preserve">HEMNET GROUP AB</t>
  </si>
  <si>
    <t xml:space="preserve">002626</t>
  </si>
  <si>
    <t xml:space="preserve">XIAMEN KINGDOMWAY GROUP CO A</t>
  </si>
  <si>
    <t xml:space="preserve">300328</t>
  </si>
  <si>
    <t xml:space="preserve">DONGGUAN EONTEC CO LTD A</t>
  </si>
  <si>
    <t xml:space="preserve">603486</t>
  </si>
  <si>
    <t xml:space="preserve">ECOVACS ROBOTICS CO LTD A</t>
  </si>
  <si>
    <t xml:space="preserve">YGGYO</t>
  </si>
  <si>
    <t xml:space="preserve">YENI GIMAT GAYRIMENKUL ORTAK</t>
  </si>
  <si>
    <t xml:space="preserve">VIKRAMSO</t>
  </si>
  <si>
    <t xml:space="preserve">VIKRAM SOLAR LTD</t>
  </si>
  <si>
    <t xml:space="preserve">CCAVENUE</t>
  </si>
  <si>
    <t xml:space="preserve">AVENUESAI LTD</t>
  </si>
  <si>
    <t xml:space="preserve">GEXP</t>
  </si>
  <si>
    <t xml:space="preserve">GOKALDAS EXPORTS LTD</t>
  </si>
  <si>
    <t xml:space="preserve">600585</t>
  </si>
  <si>
    <t xml:space="preserve">ANHUI CONCH CEMENT CO LTD A</t>
  </si>
  <si>
    <t xml:space="preserve">136</t>
  </si>
  <si>
    <t xml:space="preserve">CHINA RUYI HOLDINGS LTD</t>
  </si>
  <si>
    <t xml:space="preserve">CARE</t>
  </si>
  <si>
    <t xml:space="preserve">CARE RATINGS LTD</t>
  </si>
  <si>
    <t xml:space="preserve">CEAT</t>
  </si>
  <si>
    <t xml:space="preserve">CEAT LTD</t>
  </si>
  <si>
    <t xml:space="preserve">600363</t>
  </si>
  <si>
    <t xml:space="preserve">JIANGXI LIANCHUANG OPTOELE A</t>
  </si>
  <si>
    <t xml:space="preserve">300122</t>
  </si>
  <si>
    <t xml:space="preserve">CHONGQING ZHIFEI BIOLOGICA A</t>
  </si>
  <si>
    <t xml:space="preserve">9044</t>
  </si>
  <si>
    <t xml:space="preserve">NANKAI CO LTD</t>
  </si>
  <si>
    <t xml:space="preserve">A214150</t>
  </si>
  <si>
    <t xml:space="preserve">CLASSYS INC</t>
  </si>
  <si>
    <t xml:space="preserve">002345</t>
  </si>
  <si>
    <t xml:space="preserve">GUANGDONG CHJ INDUSTRY CO A</t>
  </si>
  <si>
    <t xml:space="preserve">3193</t>
  </si>
  <si>
    <t xml:space="preserve">ETERNAL HOSPITALITY GROUP CO</t>
  </si>
  <si>
    <t xml:space="preserve">002913</t>
  </si>
  <si>
    <t xml:space="preserve">AOSHIKANG TECHNOLOGY CO LT A</t>
  </si>
  <si>
    <t xml:space="preserve">603444</t>
  </si>
  <si>
    <t xml:space="preserve">G BITS NETWORK TECHNOLOGY A</t>
  </si>
  <si>
    <t xml:space="preserve">TATUNG CO LTD</t>
  </si>
  <si>
    <t xml:space="preserve">BASF</t>
  </si>
  <si>
    <t xml:space="preserve">BASF INDIA LTD</t>
  </si>
  <si>
    <t xml:space="preserve">JFC</t>
  </si>
  <si>
    <t xml:space="preserve">JOLLIBEE FOODS CORP</t>
  </si>
  <si>
    <t xml:space="preserve">1111</t>
  </si>
  <si>
    <t xml:space="preserve">SAUDI TADAWUL GROUP HOLDING</t>
  </si>
  <si>
    <t xml:space="preserve">SAPPI LIMITED</t>
  </si>
  <si>
    <t xml:space="preserve">3896</t>
  </si>
  <si>
    <t xml:space="preserve">KINGSOFT CLOUD HOLDINGS LTD</t>
  </si>
  <si>
    <t xml:space="preserve">002153</t>
  </si>
  <si>
    <t xml:space="preserve">BEIJING SHIJI INFORMATION  A</t>
  </si>
  <si>
    <t xml:space="preserve">PKI</t>
  </si>
  <si>
    <t xml:space="preserve">PRAKASH INDUSTRIES LTD</t>
  </si>
  <si>
    <t xml:space="preserve">425</t>
  </si>
  <si>
    <t xml:space="preserve">MINTH GROUP LTD</t>
  </si>
  <si>
    <t xml:space="preserve">CHINHIN</t>
  </si>
  <si>
    <t xml:space="preserve">CHIN HIN GROUP BHD</t>
  </si>
  <si>
    <t xml:space="preserve">VTEX</t>
  </si>
  <si>
    <t xml:space="preserve">VTEX  CLASS A</t>
  </si>
  <si>
    <t xml:space="preserve">002174</t>
  </si>
  <si>
    <t xml:space="preserve">YOUZU INTERACTIVE CO LTD A</t>
  </si>
  <si>
    <t xml:space="preserve">000977</t>
  </si>
  <si>
    <t xml:space="preserve">IEIT SYSTEMS CO LTD A</t>
  </si>
  <si>
    <t xml:space="preserve">ENGH</t>
  </si>
  <si>
    <t xml:space="preserve">ENGHOUSE SYSTEMS LTD</t>
  </si>
  <si>
    <t xml:space="preserve">TRALT</t>
  </si>
  <si>
    <t xml:space="preserve">TURK ALTIN ISLETMELERI AS</t>
  </si>
  <si>
    <t xml:space="preserve">688368</t>
  </si>
  <si>
    <t xml:space="preserve">SHANGHAI BRIGHT POWER SEMI A</t>
  </si>
  <si>
    <t xml:space="preserve">853</t>
  </si>
  <si>
    <t xml:space="preserve">MICROPORT SCIENTIFIC CORP</t>
  </si>
  <si>
    <t xml:space="preserve">A302440</t>
  </si>
  <si>
    <t xml:space="preserve">SK BIOSCIENCE CO LTD</t>
  </si>
  <si>
    <t xml:space="preserve">3311</t>
  </si>
  <si>
    <t xml:space="preserve">CHINA STATE CONSTRUCTION INT</t>
  </si>
  <si>
    <t xml:space="preserve">METROHL</t>
  </si>
  <si>
    <t xml:space="preserve">METROPOLIS HEALTHCARE LTD</t>
  </si>
  <si>
    <t xml:space="preserve">000550</t>
  </si>
  <si>
    <t xml:space="preserve">JIANGLING MOTORS CORP LTD A</t>
  </si>
  <si>
    <t xml:space="preserve">688596</t>
  </si>
  <si>
    <t xml:space="preserve">SHANGHAI GENTECH CO LTD A</t>
  </si>
  <si>
    <t xml:space="preserve">002373</t>
  </si>
  <si>
    <t xml:space="preserve">CHINA TRANSINFO TECHNOLOGY A</t>
  </si>
  <si>
    <t xml:space="preserve">3697</t>
  </si>
  <si>
    <t xml:space="preserve">SHIFT INC</t>
  </si>
  <si>
    <t xml:space="preserve">636</t>
  </si>
  <si>
    <t xml:space="preserve">KLN LOGISTICS GROUP LTD</t>
  </si>
  <si>
    <t xml:space="preserve">WAREERTL</t>
  </si>
  <si>
    <t xml:space="preserve">WAAREE RENEWABLE TECHNOLOGIE</t>
  </si>
  <si>
    <t xml:space="preserve">300969</t>
  </si>
  <si>
    <t xml:space="preserve">NINGBO HENGSHUAI CO LTD A</t>
  </si>
  <si>
    <t xml:space="preserve">PHARM</t>
  </si>
  <si>
    <t xml:space="preserve">PHARMING GROUP NV</t>
  </si>
  <si>
    <t xml:space="preserve">GLAND</t>
  </si>
  <si>
    <t xml:space="preserve">GLAND PHARMA LTD</t>
  </si>
  <si>
    <t xml:space="preserve">4565</t>
  </si>
  <si>
    <t xml:space="preserve">NXERA PHARMA CO LTD</t>
  </si>
  <si>
    <t xml:space="preserve">603043</t>
  </si>
  <si>
    <t xml:space="preserve">GUANGZHOU RESTAURANT GROUP A</t>
  </si>
  <si>
    <t xml:space="preserve">FUJI OIL CO LTD /OSAKA</t>
  </si>
  <si>
    <t xml:space="preserve">6436</t>
  </si>
  <si>
    <t xml:space="preserve">AMANO CORP</t>
  </si>
  <si>
    <t xml:space="preserve">CAPITA PLC</t>
  </si>
  <si>
    <t xml:space="preserve">200429</t>
  </si>
  <si>
    <t xml:space="preserve">GUANGDONG PROVINCIAL EXPR B</t>
  </si>
  <si>
    <t xml:space="preserve">BSANTANDER</t>
  </si>
  <si>
    <t xml:space="preserve">BANCO SANTANDER CHILE</t>
  </si>
  <si>
    <t xml:space="preserve">RNW</t>
  </si>
  <si>
    <t xml:space="preserve">RENEW ENERGY GLOBAL PLC A</t>
  </si>
  <si>
    <t xml:space="preserve">002468</t>
  </si>
  <si>
    <t xml:space="preserve">STO EXPRESS CO LTD A</t>
  </si>
  <si>
    <t xml:space="preserve">002821</t>
  </si>
  <si>
    <t xml:space="preserve">ASYMCHEM LABORATORIES TIAN A</t>
  </si>
  <si>
    <t xml:space="preserve">SWSOLAR</t>
  </si>
  <si>
    <t xml:space="preserve">STERLING AND WILSON RENEWABL</t>
  </si>
  <si>
    <t xml:space="preserve">ARYN</t>
  </si>
  <si>
    <t xml:space="preserve">ARYZTA AG</t>
  </si>
  <si>
    <t xml:space="preserve">1414</t>
  </si>
  <si>
    <t xml:space="preserve">SHO BOND HOLDINGS CO LTD</t>
  </si>
  <si>
    <t xml:space="preserve">SANYANG MOTOR CO LTD</t>
  </si>
  <si>
    <t xml:space="preserve">002299</t>
  </si>
  <si>
    <t xml:space="preserve">FUJIAN SUNNER DEVELOPMENT A</t>
  </si>
  <si>
    <t xml:space="preserve">688017</t>
  </si>
  <si>
    <t xml:space="preserve">LEADER HARMONIOUS DRIVE SY A</t>
  </si>
  <si>
    <t xml:space="preserve">600667</t>
  </si>
  <si>
    <t xml:space="preserve">WUXI TAIJI INDUS CO LTD A</t>
  </si>
  <si>
    <t xml:space="preserve">300953</t>
  </si>
  <si>
    <t xml:space="preserve">NINGBO ZHENYU TECHNOLOGY C A</t>
  </si>
  <si>
    <t xml:space="preserve">SINGAPORE DOLLAR</t>
  </si>
  <si>
    <t xml:space="preserve">WIFI</t>
  </si>
  <si>
    <t xml:space="preserve">SOLUSI SINERGI DIGITAL TBK P</t>
  </si>
  <si>
    <t xml:space="preserve">KKB</t>
  </si>
  <si>
    <t xml:space="preserve">KIRLOSKAR BROTHERS LTD</t>
  </si>
  <si>
    <t xml:space="preserve">2481</t>
  </si>
  <si>
    <t xml:space="preserve">PAN JIT INTERNATIONAL INC</t>
  </si>
  <si>
    <t xml:space="preserve">BRSAN</t>
  </si>
  <si>
    <t xml:space="preserve">BORUSAN BIRLESIK BORU FABRIK</t>
  </si>
  <si>
    <t xml:space="preserve">4483</t>
  </si>
  <si>
    <t xml:space="preserve">JMDC INC</t>
  </si>
  <si>
    <t xml:space="preserve">A181710</t>
  </si>
  <si>
    <t xml:space="preserve">NHN CORP</t>
  </si>
  <si>
    <t xml:space="preserve">002635</t>
  </si>
  <si>
    <t xml:space="preserve">SUZHOU ANJIE TECHNOLOGY CO A</t>
  </si>
  <si>
    <t xml:space="preserve">VLA</t>
  </si>
  <si>
    <t xml:space="preserve">VALNEVA SE</t>
  </si>
  <si>
    <t xml:space="preserve">TRID</t>
  </si>
  <si>
    <t xml:space="preserve">TRIDENT LTD</t>
  </si>
  <si>
    <t xml:space="preserve">PGSUS</t>
  </si>
  <si>
    <t xml:space="preserve">PEGASUS HAVA TASIMACILIGI AS</t>
  </si>
  <si>
    <t xml:space="preserve">688099</t>
  </si>
  <si>
    <t xml:space="preserve">AMLOGIC SHANGHAI INC A</t>
  </si>
  <si>
    <t xml:space="preserve">360ONE</t>
  </si>
  <si>
    <t xml:space="preserve">360 ONE WAM LTD</t>
  </si>
  <si>
    <t xml:space="preserve">688138</t>
  </si>
  <si>
    <t xml:space="preserve">SHENZHEN QINGYI PHOTOMASK  A</t>
  </si>
  <si>
    <t xml:space="preserve">4665</t>
  </si>
  <si>
    <t xml:space="preserve">DUSKIN CO LTD</t>
  </si>
  <si>
    <t xml:space="preserve">601567</t>
  </si>
  <si>
    <t xml:space="preserve">NINGBO SANXING MEDICAL ELE A</t>
  </si>
  <si>
    <t xml:space="preserve">9759</t>
  </si>
  <si>
    <t xml:space="preserve">NSD CO LTD</t>
  </si>
  <si>
    <t xml:space="preserve">KPIG</t>
  </si>
  <si>
    <t xml:space="preserve">KPI GREEN ENERGY LTD</t>
  </si>
  <si>
    <t xml:space="preserve">002252</t>
  </si>
  <si>
    <t xml:space="preserve">SHANGHAI RAAS BLOOD PRODUC A</t>
  </si>
  <si>
    <t xml:space="preserve">ZEN</t>
  </si>
  <si>
    <t xml:space="preserve">ZEN TECHNOLOGIES LTD</t>
  </si>
  <si>
    <t xml:space="preserve">ALKEM</t>
  </si>
  <si>
    <t xml:space="preserve">ALKEM LABORATORIES LTD</t>
  </si>
  <si>
    <t xml:space="preserve">LNZ</t>
  </si>
  <si>
    <t xml:space="preserve">LENZING AG</t>
  </si>
  <si>
    <t xml:space="preserve">688378</t>
  </si>
  <si>
    <t xml:space="preserve">JILIN OLED MATERIAL TECH C A</t>
  </si>
  <si>
    <t xml:space="preserve">MEG</t>
  </si>
  <si>
    <t xml:space="preserve">MEGAWORLD CORP</t>
  </si>
  <si>
    <t xml:space="preserve">WALAA COOPERATIVE INSURANCE</t>
  </si>
  <si>
    <t xml:space="preserve">688001</t>
  </si>
  <si>
    <t xml:space="preserve">SUZHOU HYC TECHNOLOGY CO L A</t>
  </si>
  <si>
    <t xml:space="preserve">688608</t>
  </si>
  <si>
    <t xml:space="preserve">BESTECHNIC SHANGHAI CO LTD A</t>
  </si>
  <si>
    <t xml:space="preserve">600529</t>
  </si>
  <si>
    <t xml:space="preserve">SHANDONG PHARMACEUTICAL   A</t>
  </si>
  <si>
    <t xml:space="preserve">CHENBRO MICOM CO LTD</t>
  </si>
  <si>
    <t xml:space="preserve">2696</t>
  </si>
  <si>
    <t xml:space="preserve">SHANGHAI HENLIUS BIOTECH I H</t>
  </si>
  <si>
    <t xml:space="preserve">PANI</t>
  </si>
  <si>
    <t xml:space="preserve">PANTAI INDAH KAPUK DUA TBK P</t>
  </si>
  <si>
    <t xml:space="preserve">600741</t>
  </si>
  <si>
    <t xml:space="preserve">HUAYU AUTOMOTIVE SYSTEMS  A</t>
  </si>
  <si>
    <t xml:space="preserve">ELV</t>
  </si>
  <si>
    <t xml:space="preserve">ELEVRA LITHIUM LTD</t>
  </si>
  <si>
    <t xml:space="preserve">601216</t>
  </si>
  <si>
    <t xml:space="preserve">INNER MONGOLIA JUNZHENG EN A</t>
  </si>
  <si>
    <t xml:space="preserve">570</t>
  </si>
  <si>
    <t xml:space="preserve">CHINA TRADITIONAL CHINESE ME</t>
  </si>
  <si>
    <t xml:space="preserve">000009</t>
  </si>
  <si>
    <t xml:space="preserve">CHINA BAOAN GROUP A</t>
  </si>
  <si>
    <t xml:space="preserve">CBRAIN</t>
  </si>
  <si>
    <t xml:space="preserve">CBRAIN A/S</t>
  </si>
  <si>
    <t xml:space="preserve">A032500</t>
  </si>
  <si>
    <t xml:space="preserve">KMW CO LTD</t>
  </si>
  <si>
    <t xml:space="preserve">KWIL</t>
  </si>
  <si>
    <t xml:space="preserve">KWALITY WALL S INDIA LTD</t>
  </si>
  <si>
    <t xml:space="preserve">KOSSAN</t>
  </si>
  <si>
    <t xml:space="preserve">KOSSAN RUBBER INDUSTRIES</t>
  </si>
  <si>
    <t xml:space="preserve">A004000</t>
  </si>
  <si>
    <t xml:space="preserve">LOTTE FINE CHEMICAL CO LTD</t>
  </si>
  <si>
    <t xml:space="preserve">NNDM</t>
  </si>
  <si>
    <t xml:space="preserve">NANO DIMENSION LTD   ADR</t>
  </si>
  <si>
    <t xml:space="preserve">AML</t>
  </si>
  <si>
    <t xml:space="preserve">ASTON MARTIN LAGONDA GLOBAL</t>
  </si>
  <si>
    <t xml:space="preserve">1585</t>
  </si>
  <si>
    <t xml:space="preserve">YADEA GROUP HOLDINGS LTD</t>
  </si>
  <si>
    <t xml:space="preserve">603129</t>
  </si>
  <si>
    <t xml:space="preserve">ZHEJIANG CFMOTO POWER CO L A</t>
  </si>
  <si>
    <t xml:space="preserve">A499790</t>
  </si>
  <si>
    <t xml:space="preserve">GS P+L CO LTD</t>
  </si>
  <si>
    <t xml:space="preserve">3549</t>
  </si>
  <si>
    <t xml:space="preserve">KUSURI NO AOKI HOLDINGS CO L</t>
  </si>
  <si>
    <t xml:space="preserve">1128</t>
  </si>
  <si>
    <t xml:space="preserve">WYNN MACAU LTD</t>
  </si>
  <si>
    <t xml:space="preserve">002034</t>
  </si>
  <si>
    <t xml:space="preserve">WANGNENG ENVIRONMENT CO LT A</t>
  </si>
  <si>
    <t xml:space="preserve">HBLENGIN</t>
  </si>
  <si>
    <t xml:space="preserve">HBL ENGINEERING LTD</t>
  </si>
  <si>
    <t xml:space="preserve">GOTU</t>
  </si>
  <si>
    <t xml:space="preserve">GAOTU TECHEDU INC</t>
  </si>
  <si>
    <t xml:space="preserve">4967</t>
  </si>
  <si>
    <t xml:space="preserve">KOBAYASHI PHARMACEUTICAL CO</t>
  </si>
  <si>
    <t xml:space="preserve">002541</t>
  </si>
  <si>
    <t xml:space="preserve">ANHUI HONGLU STEEL CONSTRU A</t>
  </si>
  <si>
    <t xml:space="preserve">A000210</t>
  </si>
  <si>
    <t xml:space="preserve">DL HOLDINGS CO LTD</t>
  </si>
  <si>
    <t xml:space="preserve">JKS</t>
  </si>
  <si>
    <t xml:space="preserve">JINKOSOLAR HOLDING CO ADR</t>
  </si>
  <si>
    <t xml:space="preserve">TIGR</t>
  </si>
  <si>
    <t xml:space="preserve">UP FINTECH HOLDING LTD   ADR</t>
  </si>
  <si>
    <t xml:space="preserve">A265520</t>
  </si>
  <si>
    <t xml:space="preserve">ADVANCED PROCESS SYSTEMS COR</t>
  </si>
  <si>
    <t xml:space="preserve">601038</t>
  </si>
  <si>
    <t xml:space="preserve">FIRST TRACTOR CO LTD A</t>
  </si>
  <si>
    <t xml:space="preserve">MISC</t>
  </si>
  <si>
    <t xml:space="preserve">MISC BHD</t>
  </si>
  <si>
    <t xml:space="preserve">300567</t>
  </si>
  <si>
    <t xml:space="preserve">WUHAN JINGCE ELECTRONIC GR A</t>
  </si>
  <si>
    <t xml:space="preserve">300870</t>
  </si>
  <si>
    <t xml:space="preserve">SHENZHEN HONOR ELECTRONIC  A</t>
  </si>
  <si>
    <t xml:space="preserve">1772</t>
  </si>
  <si>
    <t xml:space="preserve">GANFENG LITHIUM GROUP CO L H</t>
  </si>
  <si>
    <t xml:space="preserve">MRPL</t>
  </si>
  <si>
    <t xml:space="preserve">MANGALORE REFINERY + PETRO</t>
  </si>
  <si>
    <t xml:space="preserve">3090</t>
  </si>
  <si>
    <t xml:space="preserve">TABUK CEMENT CO</t>
  </si>
  <si>
    <t xml:space="preserve">BORA PHARMACEUTICALS CO LTD</t>
  </si>
  <si>
    <t xml:space="preserve">MAPMYIND</t>
  </si>
  <si>
    <t xml:space="preserve">CE INFO SYSTEMS LTD</t>
  </si>
  <si>
    <t xml:space="preserve">000408</t>
  </si>
  <si>
    <t xml:space="preserve">ZANGGE MINING CO LTD A</t>
  </si>
  <si>
    <t xml:space="preserve">URC</t>
  </si>
  <si>
    <t xml:space="preserve">UNIVERSAL ROBINA CORP</t>
  </si>
  <si>
    <t xml:space="preserve">HYQ</t>
  </si>
  <si>
    <t xml:space="preserve">HYPOPORT SE</t>
  </si>
  <si>
    <t xml:space="preserve">DOCM</t>
  </si>
  <si>
    <t xml:space="preserve">DOCMORRIS AG</t>
  </si>
  <si>
    <t xml:space="preserve">4344</t>
  </si>
  <si>
    <t xml:space="preserve">SOURCENEXT CORP</t>
  </si>
  <si>
    <t xml:space="preserve">002017</t>
  </si>
  <si>
    <t xml:space="preserve">EASTCOMPEACE TECHNOLOGY CO A</t>
  </si>
  <si>
    <t xml:space="preserve">2127</t>
  </si>
  <si>
    <t xml:space="preserve">NIHON M+A CENTER HOLDINGS IN</t>
  </si>
  <si>
    <t xml:space="preserve">9861</t>
  </si>
  <si>
    <t xml:space="preserve">YOSHINOYA HOLDINGS CO LTD</t>
  </si>
  <si>
    <t xml:space="preserve">601669</t>
  </si>
  <si>
    <t xml:space="preserve">POWER CONSTRUCTION CORP OF A</t>
  </si>
  <si>
    <t xml:space="preserve">3406</t>
  </si>
  <si>
    <t xml:space="preserve">GENIUS ELECTRONIC OPTICAL CO</t>
  </si>
  <si>
    <t xml:space="preserve">688601</t>
  </si>
  <si>
    <t xml:space="preserve">WUXI ETEK MICROELECTRONICS A</t>
  </si>
  <si>
    <t xml:space="preserve">NHPC</t>
  </si>
  <si>
    <t xml:space="preserve">NHPC LTD</t>
  </si>
  <si>
    <t xml:space="preserve">2049</t>
  </si>
  <si>
    <t xml:space="preserve">HIWIN TECHNOLOGIES CORP</t>
  </si>
  <si>
    <t xml:space="preserve">STEEL STRIPS WHEELS LTD</t>
  </si>
  <si>
    <t xml:space="preserve">MAGEN</t>
  </si>
  <si>
    <t xml:space="preserve">MARGUN ENERJI URETIM SANAYI</t>
  </si>
  <si>
    <t xml:space="preserve">AGHOL</t>
  </si>
  <si>
    <t xml:space="preserve">AG ANADOLU GRUBU HOLDING AS</t>
  </si>
  <si>
    <t xml:space="preserve">EID</t>
  </si>
  <si>
    <t xml:space="preserve">EID PARRY INDIA LTD</t>
  </si>
  <si>
    <t xml:space="preserve">HEG</t>
  </si>
  <si>
    <t xml:space="preserve">HEG LTD</t>
  </si>
  <si>
    <t xml:space="preserve">9948</t>
  </si>
  <si>
    <t xml:space="preserve">ARCS CO LTD</t>
  </si>
  <si>
    <t xml:space="preserve">3116</t>
  </si>
  <si>
    <t xml:space="preserve">TOYOTA BOSHOKU CORP</t>
  </si>
  <si>
    <t xml:space="preserve">9793</t>
  </si>
  <si>
    <t xml:space="preserve">DAISEKI CO LTD</t>
  </si>
  <si>
    <t xml:space="preserve">EMSLIMIT</t>
  </si>
  <si>
    <t xml:space="preserve">EMS LTD</t>
  </si>
  <si>
    <t xml:space="preserve">301307</t>
  </si>
  <si>
    <t xml:space="preserve">CHONGQING MILLISON TECHNOL A</t>
  </si>
  <si>
    <t xml:space="preserve">002368</t>
  </si>
  <si>
    <t xml:space="preserve">TAIJI COMPUTER CORP LTD A</t>
  </si>
  <si>
    <t xml:space="preserve">RAYMONDR</t>
  </si>
  <si>
    <t xml:space="preserve">RAYMOND REALTY LTD</t>
  </si>
  <si>
    <t xml:space="preserve">000543</t>
  </si>
  <si>
    <t xml:space="preserve">AN HUI WENERGY CO LTD  A</t>
  </si>
  <si>
    <t xml:space="preserve">300298</t>
  </si>
  <si>
    <t xml:space="preserve">SINOCARE INC   A</t>
  </si>
  <si>
    <t xml:space="preserve">QUESS</t>
  </si>
  <si>
    <t xml:space="preserve">QUESS CORP LTD</t>
  </si>
  <si>
    <t xml:space="preserve">PRSMJ</t>
  </si>
  <si>
    <t xml:space="preserve">PRISM JOHNSON LTD</t>
  </si>
  <si>
    <t xml:space="preserve">A377300</t>
  </si>
  <si>
    <t xml:space="preserve">KAKAOPAY CORP</t>
  </si>
  <si>
    <t xml:space="preserve">300236</t>
  </si>
  <si>
    <t xml:space="preserve">SHANGHAI SINYANG SEMICONDU A</t>
  </si>
  <si>
    <t xml:space="preserve">002212</t>
  </si>
  <si>
    <t xml:space="preserve">TOPSEC TECHNOLOGIES GROUP  A</t>
  </si>
  <si>
    <t xml:space="preserve">BJH</t>
  </si>
  <si>
    <t xml:space="preserve">BAJAJ HINDUSTHAN SUGAR LTD</t>
  </si>
  <si>
    <t xml:space="preserve">NEMAK A</t>
  </si>
  <si>
    <t xml:space="preserve">NEMAK SAB DE CV</t>
  </si>
  <si>
    <t xml:space="preserve">000156</t>
  </si>
  <si>
    <t xml:space="preserve">WASU MEDIA HOLDING CO LTD A</t>
  </si>
  <si>
    <t xml:space="preserve">MDV</t>
  </si>
  <si>
    <t xml:space="preserve">MODIVO SA</t>
  </si>
  <si>
    <t xml:space="preserve">600120</t>
  </si>
  <si>
    <t xml:space="preserve">ZHEJIANG ORIENT HOLDINGS G A</t>
  </si>
  <si>
    <t xml:space="preserve">LAR</t>
  </si>
  <si>
    <t xml:space="preserve">LITHIUM ARGENTINA AG</t>
  </si>
  <si>
    <t xml:space="preserve">600655</t>
  </si>
  <si>
    <t xml:space="preserve">SHANGHAI YUYUAN TOURIST MA A</t>
  </si>
  <si>
    <t xml:space="preserve">6078</t>
  </si>
  <si>
    <t xml:space="preserve">HYGEIA HEALTHCARE HOLDINGS C</t>
  </si>
  <si>
    <t xml:space="preserve">5284</t>
  </si>
  <si>
    <t xml:space="preserve">JPP HOLDING CO LTD</t>
  </si>
  <si>
    <t xml:space="preserve">HIVE</t>
  </si>
  <si>
    <t xml:space="preserve">HIVE DIGITAL TECHNOLOGIES LT</t>
  </si>
  <si>
    <t xml:space="preserve">WICKES GROUP PLC</t>
  </si>
  <si>
    <t xml:space="preserve">600635</t>
  </si>
  <si>
    <t xml:space="preserve">SHANGHAI DAZHONG PUBLIC UT A</t>
  </si>
  <si>
    <t xml:space="preserve">300663</t>
  </si>
  <si>
    <t xml:space="preserve">CLIENT SERVICE INTERNATION A</t>
  </si>
  <si>
    <t xml:space="preserve">DCM HOLDINGS CO LTD</t>
  </si>
  <si>
    <t xml:space="preserve">601788</t>
  </si>
  <si>
    <t xml:space="preserve">EVERBRIGHT SECURITIE CO  A</t>
  </si>
  <si>
    <t xml:space="preserve">300455</t>
  </si>
  <si>
    <t xml:space="preserve">BEIJING AEROSPACE SHENZHOU A</t>
  </si>
  <si>
    <t xml:space="preserve">300498</t>
  </si>
  <si>
    <t xml:space="preserve">WENS FOODSTUFF GROUP CO L A</t>
  </si>
  <si>
    <t xml:space="preserve">688177</t>
  </si>
  <si>
    <t xml:space="preserve">BIO THERA SOLUTIONS LTD A</t>
  </si>
  <si>
    <t xml:space="preserve">SECARE</t>
  </si>
  <si>
    <t xml:space="preserve">SWEDENCARE AB</t>
  </si>
  <si>
    <t xml:space="preserve">300219</t>
  </si>
  <si>
    <t xml:space="preserve">HONGLI ZHIHUI GROUP CO LTD A</t>
  </si>
  <si>
    <t xml:space="preserve">002097</t>
  </si>
  <si>
    <t xml:space="preserve">SUNWARD INTELLIGENT EQUIPM A</t>
  </si>
  <si>
    <t xml:space="preserve">AP4</t>
  </si>
  <si>
    <t xml:space="preserve">RIVERSTONE HOLDINGS LTD</t>
  </si>
  <si>
    <t xml:space="preserve">AFFLE</t>
  </si>
  <si>
    <t xml:space="preserve">AFFLE 3I LTD</t>
  </si>
  <si>
    <t xml:space="preserve">UTIAM</t>
  </si>
  <si>
    <t xml:space="preserve">UTI ASSET MANAGEMENT CO LTD</t>
  </si>
  <si>
    <t xml:space="preserve">603077</t>
  </si>
  <si>
    <t xml:space="preserve">SICHUAN HEBANG BIOTECHNOL  A</t>
  </si>
  <si>
    <t xml:space="preserve">AL SEER MARINE SUPPLIES + EQ</t>
  </si>
  <si>
    <t xml:space="preserve">VAKBN</t>
  </si>
  <si>
    <t xml:space="preserve">TURKIYE VAKIFLAR BANKASI T D</t>
  </si>
  <si>
    <t xml:space="preserve">1873</t>
  </si>
  <si>
    <t xml:space="preserve">VIVA BIOTECH HOLDINGS</t>
  </si>
  <si>
    <t xml:space="preserve">9663</t>
  </si>
  <si>
    <t xml:space="preserve">NAGAWA CO LTD</t>
  </si>
  <si>
    <t xml:space="preserve">BHG</t>
  </si>
  <si>
    <t xml:space="preserve">BHG GROUP AB</t>
  </si>
  <si>
    <t xml:space="preserve">DGXX</t>
  </si>
  <si>
    <t xml:space="preserve">DIGI POWER X INC</t>
  </si>
  <si>
    <t xml:space="preserve">863</t>
  </si>
  <si>
    <t xml:space="preserve">OSL GROUP LTD</t>
  </si>
  <si>
    <t xml:space="preserve">1597</t>
  </si>
  <si>
    <t xml:space="preserve">CHIEFTEK PRECISION CO LTD</t>
  </si>
  <si>
    <t xml:space="preserve">2256</t>
  </si>
  <si>
    <t xml:space="preserve">ABBISKO CAYMAN LTD</t>
  </si>
  <si>
    <t xml:space="preserve">6826</t>
  </si>
  <si>
    <t xml:space="preserve">TAIWAN PURITIC CORP</t>
  </si>
  <si>
    <t xml:space="preserve">AKSGY</t>
  </si>
  <si>
    <t xml:space="preserve">AKIS GAYRIMENKUL YATIRIMI AS</t>
  </si>
  <si>
    <t xml:space="preserve">CPF-F</t>
  </si>
  <si>
    <t xml:space="preserve">CHAROEN POKPHAND FOOD FORGN</t>
  </si>
  <si>
    <t xml:space="preserve">600259</t>
  </si>
  <si>
    <t xml:space="preserve">CHINA RARE EARTH NONFERROU A</t>
  </si>
  <si>
    <t xml:space="preserve">2670</t>
  </si>
  <si>
    <t xml:space="preserve">ABC MART INC</t>
  </si>
  <si>
    <t xml:space="preserve">STA-F</t>
  </si>
  <si>
    <t xml:space="preserve">SRI TRANG AGRO INDUSTRY FOR</t>
  </si>
  <si>
    <t xml:space="preserve">2552</t>
  </si>
  <si>
    <t xml:space="preserve">HUA MEDICINE</t>
  </si>
  <si>
    <t xml:space="preserve">MALAYSIAN RINGGIT</t>
  </si>
  <si>
    <t xml:space="preserve">1476</t>
  </si>
  <si>
    <t xml:space="preserve">ECLAT TEXTILE COMPANY LTD</t>
  </si>
  <si>
    <t xml:space="preserve">3687</t>
  </si>
  <si>
    <t xml:space="preserve">FIXSTARS CORP</t>
  </si>
  <si>
    <t xml:space="preserve">ENDU</t>
  </si>
  <si>
    <t xml:space="preserve">ENDURANCE TECHNOLOGIES LTD</t>
  </si>
  <si>
    <t xml:space="preserve">2606</t>
  </si>
  <si>
    <t xml:space="preserve">U MING MARINE TRANSPORT CORP</t>
  </si>
  <si>
    <t xml:space="preserve">688508</t>
  </si>
  <si>
    <t xml:space="preserve">WUXI CHIPOWN MICRO ELECTRO A</t>
  </si>
  <si>
    <t xml:space="preserve">DALBHARA</t>
  </si>
  <si>
    <t xml:space="preserve">DALMIA BHARAT LTD</t>
  </si>
  <si>
    <t xml:space="preserve">300776</t>
  </si>
  <si>
    <t xml:space="preserve">WUHAN DR LASER TECHNOLOGY  A</t>
  </si>
  <si>
    <t xml:space="preserve">000708</t>
  </si>
  <si>
    <t xml:space="preserve">CITI PACIFIC SPECIAL STEE A</t>
  </si>
  <si>
    <t xml:space="preserve">VS</t>
  </si>
  <si>
    <t xml:space="preserve">V.S. INDUSTRY BERHAD</t>
  </si>
  <si>
    <t xml:space="preserve">DCBO</t>
  </si>
  <si>
    <t xml:space="preserve">DOCEBO INC</t>
  </si>
  <si>
    <t xml:space="preserve">300751</t>
  </si>
  <si>
    <t xml:space="preserve">SUZHOU MAXWELL TECHNOLOGIE A</t>
  </si>
  <si>
    <t xml:space="preserve">STM</t>
  </si>
  <si>
    <t xml:space="preserve">STABILUS SE</t>
  </si>
  <si>
    <t xml:space="preserve">6707</t>
  </si>
  <si>
    <t xml:space="preserve">SANKEN ELECTRIC CO LTD</t>
  </si>
  <si>
    <t xml:space="preserve">605333</t>
  </si>
  <si>
    <t xml:space="preserve">KUNSHAN HUGUANG AUTO HARNE A</t>
  </si>
  <si>
    <t xml:space="preserve">SHIP</t>
  </si>
  <si>
    <t xml:space="preserve">HEAVY ENGINEERING AND SHIP B</t>
  </si>
  <si>
    <t xml:space="preserve">300142</t>
  </si>
  <si>
    <t xml:space="preserve">WALVAX BIOTECHNOLOGY CO A</t>
  </si>
  <si>
    <t xml:space="preserve">A285130</t>
  </si>
  <si>
    <t xml:space="preserve">SK CHEMICALS CO LTD</t>
  </si>
  <si>
    <t xml:space="preserve">2351</t>
  </si>
  <si>
    <t xml:space="preserve">SDI CORPORATION</t>
  </si>
  <si>
    <t xml:space="preserve">OYAKC</t>
  </si>
  <si>
    <t xml:space="preserve">OYAK CIMENTO FABRIKALARI</t>
  </si>
  <si>
    <t xml:space="preserve">AGILITY GLOBAL PLC</t>
  </si>
  <si>
    <t xml:space="preserve">601881</t>
  </si>
  <si>
    <t xml:space="preserve">CHINA GALAXY SECURITIES CO A</t>
  </si>
  <si>
    <t xml:space="preserve">LIAB</t>
  </si>
  <si>
    <t xml:space="preserve">LINDAB INTERNATIONAL AB</t>
  </si>
  <si>
    <t xml:space="preserve">4763</t>
  </si>
  <si>
    <t xml:space="preserve">JINAN ACETATE CHEMICAL CO LT</t>
  </si>
  <si>
    <t xml:space="preserve">17</t>
  </si>
  <si>
    <t xml:space="preserve">NEW WORLD DEVELOPMENT</t>
  </si>
  <si>
    <t xml:space="preserve">4478</t>
  </si>
  <si>
    <t xml:space="preserve">FREEE KK</t>
  </si>
  <si>
    <t xml:space="preserve">600877</t>
  </si>
  <si>
    <t xml:space="preserve">CETC CHIPS TECHNOLOGY I A</t>
  </si>
  <si>
    <t xml:space="preserve">AJP</t>
  </si>
  <si>
    <t xml:space="preserve">AJANTA PHARMA LTD</t>
  </si>
  <si>
    <t xml:space="preserve">688068</t>
  </si>
  <si>
    <t xml:space="preserve">BEIJING HOTGEN BIOTECH CO  A</t>
  </si>
  <si>
    <t xml:space="preserve">8027</t>
  </si>
  <si>
    <t xml:space="preserve">E+R ENGINEERING CORP</t>
  </si>
  <si>
    <t xml:space="preserve">AO.</t>
  </si>
  <si>
    <t xml:space="preserve">AO WORLD PLC</t>
  </si>
  <si>
    <t xml:space="preserve">2350</t>
  </si>
  <si>
    <t xml:space="preserve">SAUDI KAYAN PETROCHEMICAL CO</t>
  </si>
  <si>
    <t xml:space="preserve">000881</t>
  </si>
  <si>
    <t xml:space="preserve">CGN NUCLEAR TECHNOLOGY DEV A</t>
  </si>
  <si>
    <t xml:space="preserve">6643</t>
  </si>
  <si>
    <t xml:space="preserve">M31 TECHNOLOGY CORP</t>
  </si>
  <si>
    <t xml:space="preserve">601375</t>
  </si>
  <si>
    <t xml:space="preserve">CENTRAL CHINA SECURITIES C A</t>
  </si>
  <si>
    <t xml:space="preserve">PGOLD</t>
  </si>
  <si>
    <t xml:space="preserve">PUREGOLD PRICE CLUB INC</t>
  </si>
  <si>
    <t xml:space="preserve">4919</t>
  </si>
  <si>
    <t xml:space="preserve">MILBON CO LTD</t>
  </si>
  <si>
    <t xml:space="preserve">A035760</t>
  </si>
  <si>
    <t xml:space="preserve">CJ ENM CO LTD</t>
  </si>
  <si>
    <t xml:space="preserve">ARL</t>
  </si>
  <si>
    <t xml:space="preserve">ASTRAL FOODS LTD</t>
  </si>
  <si>
    <t xml:space="preserve">002459</t>
  </si>
  <si>
    <t xml:space="preserve">JA SOLAR TECHNOLOGY CO LTD A</t>
  </si>
  <si>
    <t xml:space="preserve">1385</t>
  </si>
  <si>
    <t xml:space="preserve">SHANGHAI FUDAN MICROELECT H</t>
  </si>
  <si>
    <t xml:space="preserve">2377</t>
  </si>
  <si>
    <t xml:space="preserve">MICRO STAR INTERNATIONAL CO</t>
  </si>
  <si>
    <t xml:space="preserve">BETCO</t>
  </si>
  <si>
    <t xml:space="preserve">BETTER COLLECTIVE A/S</t>
  </si>
  <si>
    <t xml:space="preserve">THCOM-F</t>
  </si>
  <si>
    <t xml:space="preserve">THAICOM PCL FOREIGN</t>
  </si>
  <si>
    <t xml:space="preserve">A000120</t>
  </si>
  <si>
    <t xml:space="preserve">CJ LOGISTICS</t>
  </si>
  <si>
    <t xml:space="preserve">VOGL</t>
  </si>
  <si>
    <t xml:space="preserve">VEDANTA OIL AND GAS LTD</t>
  </si>
  <si>
    <t xml:space="preserve">000818</t>
  </si>
  <si>
    <t xml:space="preserve">HANGJIN TECHNOLOGY CO LTD A</t>
  </si>
  <si>
    <t xml:space="preserve">4544</t>
  </si>
  <si>
    <t xml:space="preserve">H.U. GROUP HOLDINGS INC</t>
  </si>
  <si>
    <t xml:space="preserve">600295</t>
  </si>
  <si>
    <t xml:space="preserve">INNER MONGOLIA ERDOS RESOU A</t>
  </si>
  <si>
    <t xml:space="preserve">4095</t>
  </si>
  <si>
    <t xml:space="preserve">NIHON PARKERIZING CO LTD</t>
  </si>
  <si>
    <t xml:space="preserve">6996</t>
  </si>
  <si>
    <t xml:space="preserve">ANTENGENE CORP LTD</t>
  </si>
  <si>
    <t xml:space="preserve">KGN</t>
  </si>
  <si>
    <t xml:space="preserve">KOGAN.COM LTD</t>
  </si>
  <si>
    <t xml:space="preserve">CHMB</t>
  </si>
  <si>
    <t xml:space="preserve">CHAMBAL FERTILISERS + CHEM</t>
  </si>
  <si>
    <t xml:space="preserve">VIMIAN</t>
  </si>
  <si>
    <t xml:space="preserve">VIMIAN GROUP AB</t>
  </si>
  <si>
    <t xml:space="preserve">TAIWAN GLASS IND CORP</t>
  </si>
  <si>
    <t xml:space="preserve">600502</t>
  </si>
  <si>
    <t xml:space="preserve">ANHUI CONSTRUCTION ENG A</t>
  </si>
  <si>
    <t xml:space="preserve">8919</t>
  </si>
  <si>
    <t xml:space="preserve">KATITAS CO LTD</t>
  </si>
  <si>
    <t xml:space="preserve">603609</t>
  </si>
  <si>
    <t xml:space="preserve">WELLHOPE FOODS CO LTD  A</t>
  </si>
  <si>
    <t xml:space="preserve">EVT</t>
  </si>
  <si>
    <t xml:space="preserve">EVOTEC SE</t>
  </si>
  <si>
    <t xml:space="preserve">HAPV3</t>
  </si>
  <si>
    <t xml:space="preserve">HAPVIDA PARTICIPACOES E INVE</t>
  </si>
  <si>
    <t xml:space="preserve">3635</t>
  </si>
  <si>
    <t xml:space="preserve">KOEI TECMO HOLDINGS CO LTD</t>
  </si>
  <si>
    <t xml:space="preserve">ADVANCED PETROCHEMICALS CO</t>
  </si>
  <si>
    <t xml:space="preserve">SYSTENA CORP</t>
  </si>
  <si>
    <t xml:space="preserve">ITCHOTEL</t>
  </si>
  <si>
    <t xml:space="preserve">ITC HOTELS LIMITED</t>
  </si>
  <si>
    <t xml:space="preserve">RYSAS</t>
  </si>
  <si>
    <t xml:space="preserve">REYSAS TICARET AS</t>
  </si>
  <si>
    <t xml:space="preserve">FML</t>
  </si>
  <si>
    <t xml:space="preserve">FORCE MOTORS LTD</t>
  </si>
  <si>
    <t xml:space="preserve">002237</t>
  </si>
  <si>
    <t xml:space="preserve">SHANDONG HUMON SMELTING A</t>
  </si>
  <si>
    <t xml:space="preserve">A122870</t>
  </si>
  <si>
    <t xml:space="preserve">YG ENTERTAINMENT INC</t>
  </si>
  <si>
    <t xml:space="preserve">MGLU3</t>
  </si>
  <si>
    <t xml:space="preserve">MAGAZINE LUIZA SA</t>
  </si>
  <si>
    <t xml:space="preserve">SHUAA</t>
  </si>
  <si>
    <t xml:space="preserve">SHUAA CAPITAL PSC</t>
  </si>
  <si>
    <t xml:space="preserve">688112</t>
  </si>
  <si>
    <t xml:space="preserve">SIGLENT TECHNOLOGIES CO LT A</t>
  </si>
  <si>
    <t xml:space="preserve">000008</t>
  </si>
  <si>
    <t xml:space="preserve">CHINA HIGH SPEED RAILWAY  A</t>
  </si>
  <si>
    <t xml:space="preserve">605376</t>
  </si>
  <si>
    <t xml:space="preserve">JIANGSU BOQIAN NEW MATERIA A</t>
  </si>
  <si>
    <t xml:space="preserve">688208</t>
  </si>
  <si>
    <t xml:space="preserve">AUTEL INTELLIGENT TECHNOLO A</t>
  </si>
  <si>
    <t xml:space="preserve">000981</t>
  </si>
  <si>
    <t xml:space="preserve">SENSTEED HI TECH GROUP A</t>
  </si>
  <si>
    <t xml:space="preserve">ROBOSENSE TECHNOLOGY CO LTD</t>
  </si>
  <si>
    <t xml:space="preserve">002020</t>
  </si>
  <si>
    <t xml:space="preserve">ZHEJIANG JINGXIN PHARMACEU A</t>
  </si>
  <si>
    <t xml:space="preserve">HUG</t>
  </si>
  <si>
    <t xml:space="preserve">HUUUGE INC</t>
  </si>
  <si>
    <t xml:space="preserve">STILLFRONT GROUP AB</t>
  </si>
  <si>
    <t xml:space="preserve">IQ</t>
  </si>
  <si>
    <t xml:space="preserve">IQIYI INC ADR</t>
  </si>
  <si>
    <t xml:space="preserve">ARQQ</t>
  </si>
  <si>
    <t xml:space="preserve">ARQIT QUANTUM INC</t>
  </si>
  <si>
    <t xml:space="preserve">601818</t>
  </si>
  <si>
    <t xml:space="preserve">CHINA EVERBRIGHT BANK CO A</t>
  </si>
  <si>
    <t xml:space="preserve">JKI</t>
  </si>
  <si>
    <t xml:space="preserve">JK TYRE + INDUSTRIES LTD</t>
  </si>
  <si>
    <t xml:space="preserve">IRBR3</t>
  </si>
  <si>
    <t xml:space="preserve">IRB BRASIL RESSEGUROS SA</t>
  </si>
  <si>
    <t xml:space="preserve">4443</t>
  </si>
  <si>
    <t xml:space="preserve">SANSAN INC</t>
  </si>
  <si>
    <t xml:space="preserve">467</t>
  </si>
  <si>
    <t xml:space="preserve">UNITED ENERGY GROUP LTD</t>
  </si>
  <si>
    <t xml:space="preserve">YALA</t>
  </si>
  <si>
    <t xml:space="preserve">YALLA GROUP LTD</t>
  </si>
  <si>
    <t xml:space="preserve">8957</t>
  </si>
  <si>
    <t xml:space="preserve">TOKYU REIT INC</t>
  </si>
  <si>
    <t xml:space="preserve">3013</t>
  </si>
  <si>
    <t xml:space="preserve">CHENMING ELECTRONIC TECH COR</t>
  </si>
  <si>
    <t xml:space="preserve">000563</t>
  </si>
  <si>
    <t xml:space="preserve">SHAANXI INTL TRUST CO LTD A</t>
  </si>
  <si>
    <t xml:space="preserve">MTC-F</t>
  </si>
  <si>
    <t xml:space="preserve">MUANGTHAI CAPITAL PCL FOREIG</t>
  </si>
  <si>
    <t xml:space="preserve">603667</t>
  </si>
  <si>
    <t xml:space="preserve">ZHEJIANG XCC GROUP CO LTD A</t>
  </si>
  <si>
    <t xml:space="preserve">2778</t>
  </si>
  <si>
    <t xml:space="preserve">CHAMPION REIT</t>
  </si>
  <si>
    <t xml:space="preserve">003021</t>
  </si>
  <si>
    <t xml:space="preserve">SHENZHEN ZHAOWEI MACHINERY A</t>
  </si>
  <si>
    <t xml:space="preserve">GPSC-F</t>
  </si>
  <si>
    <t xml:space="preserve">GLOBAL POWER SYNERGY PCL F</t>
  </si>
  <si>
    <t xml:space="preserve">3036</t>
  </si>
  <si>
    <t xml:space="preserve">ALCONIX CORP</t>
  </si>
  <si>
    <t xml:space="preserve">DCMS</t>
  </si>
  <si>
    <t xml:space="preserve">DCM SHRIRAM LTD</t>
  </si>
  <si>
    <t xml:space="preserve">002797</t>
  </si>
  <si>
    <t xml:space="preserve">FIRST CAPITAL SECURITIES C A</t>
  </si>
  <si>
    <t xml:space="preserve">VARDHMAN TEXTILES LTD</t>
  </si>
  <si>
    <t xml:space="preserve">SIRI-F</t>
  </si>
  <si>
    <t xml:space="preserve">SANSIRI PUBLIC CO LTD FORGN</t>
  </si>
  <si>
    <t xml:space="preserve">CTRA</t>
  </si>
  <si>
    <t xml:space="preserve">CIPUTRA DEVELOPMENT TBK PT</t>
  </si>
  <si>
    <t xml:space="preserve">BREN</t>
  </si>
  <si>
    <t xml:space="preserve">BARITO RENEWABLES ENERGY TBK</t>
  </si>
  <si>
    <t xml:space="preserve">UPP</t>
  </si>
  <si>
    <t xml:space="preserve">UNION PROPERTIES PJSC</t>
  </si>
  <si>
    <t xml:space="preserve">002867</t>
  </si>
  <si>
    <t xml:space="preserve">CHOW TAI SENG JEWELLERY CO A</t>
  </si>
  <si>
    <t xml:space="preserve">3923</t>
  </si>
  <si>
    <t xml:space="preserve">RAKUS CO LTD</t>
  </si>
  <si>
    <t xml:space="preserve">ZENT</t>
  </si>
  <si>
    <t xml:space="preserve">ZENSAR TECHNOLOGIES LTD</t>
  </si>
  <si>
    <t xml:space="preserve">603128</t>
  </si>
  <si>
    <t xml:space="preserve">CTS INTERNATIONAL LOGISTII A</t>
  </si>
  <si>
    <t xml:space="preserve">NORION</t>
  </si>
  <si>
    <t xml:space="preserve">NORION BANK AB</t>
  </si>
  <si>
    <t xml:space="preserve">688595</t>
  </si>
  <si>
    <t xml:space="preserve">CHIPSEA TECHNOLOGIES SHENZ A</t>
  </si>
  <si>
    <t xml:space="preserve">600167</t>
  </si>
  <si>
    <t xml:space="preserve">LUENMEI QUANTUM CO LTD A</t>
  </si>
  <si>
    <t xml:space="preserve">3693</t>
  </si>
  <si>
    <t xml:space="preserve">AIC INC</t>
  </si>
  <si>
    <t xml:space="preserve">OLECTRA</t>
  </si>
  <si>
    <t xml:space="preserve">OLECTRA GREENTECH LTD</t>
  </si>
  <si>
    <t xml:space="preserve">6457</t>
  </si>
  <si>
    <t xml:space="preserve">GLORY LTD</t>
  </si>
  <si>
    <t xml:space="preserve">603283</t>
  </si>
  <si>
    <t xml:space="preserve">SUZHOU SECOTE PRECISION A</t>
  </si>
  <si>
    <t xml:space="preserve">7313</t>
  </si>
  <si>
    <t xml:space="preserve">TS TECH CO LTD</t>
  </si>
  <si>
    <t xml:space="preserve">000800</t>
  </si>
  <si>
    <t xml:space="preserve">FAW JIEFANG GROUP CO LTD A</t>
  </si>
  <si>
    <t xml:space="preserve">000002</t>
  </si>
  <si>
    <t xml:space="preserve">CHINA VANKE CO LTD  A</t>
  </si>
  <si>
    <t xml:space="preserve">8964</t>
  </si>
  <si>
    <t xml:space="preserve">MITSUI FUDOSAN RETAIL FUND I</t>
  </si>
  <si>
    <t xml:space="preserve">A256840</t>
  </si>
  <si>
    <t xml:space="preserve">BNC KOREA INC</t>
  </si>
  <si>
    <t xml:space="preserve">603516</t>
  </si>
  <si>
    <t xml:space="preserve">BEIJING TRICOLOR TECHNOLOG A</t>
  </si>
  <si>
    <t xml:space="preserve">A035080</t>
  </si>
  <si>
    <t xml:space="preserve">GRADIANT CORP</t>
  </si>
  <si>
    <t xml:space="preserve">INCO</t>
  </si>
  <si>
    <t xml:space="preserve">VALE INDONESIA TBK</t>
  </si>
  <si>
    <t xml:space="preserve">002458</t>
  </si>
  <si>
    <t xml:space="preserve">SHANDONG YISHENG LIVESTOCK A</t>
  </si>
  <si>
    <t xml:space="preserve">EA-F</t>
  </si>
  <si>
    <t xml:space="preserve">ENERGY ABSOLUTE PCL FOREIGN</t>
  </si>
  <si>
    <t xml:space="preserve">ORAS</t>
  </si>
  <si>
    <t xml:space="preserve">ORASCOM CONSTRUCTION PLC</t>
  </si>
  <si>
    <t xml:space="preserve">VEDPOWER</t>
  </si>
  <si>
    <t xml:space="preserve">VEDANTA POWER LTD</t>
  </si>
  <si>
    <t xml:space="preserve">3279</t>
  </si>
  <si>
    <t xml:space="preserve">ACTIVIA PROPERTIES INC</t>
  </si>
  <si>
    <t xml:space="preserve">SAWAD-F</t>
  </si>
  <si>
    <t xml:space="preserve">SRISAWADCORP PCL   FOREIGN</t>
  </si>
  <si>
    <t xml:space="preserve">VISL</t>
  </si>
  <si>
    <t xml:space="preserve">VEDANTA IRON AND STEEL LTD</t>
  </si>
  <si>
    <t xml:space="preserve">SNDL</t>
  </si>
  <si>
    <t xml:space="preserve">SNDL INC</t>
  </si>
  <si>
    <t xml:space="preserve">ALETIHAD</t>
  </si>
  <si>
    <t xml:space="preserve">AL ETIHAD COOPERATIVE INSURA</t>
  </si>
  <si>
    <t xml:space="preserve">ETL</t>
  </si>
  <si>
    <t xml:space="preserve">EUTELSAT COMMUNICATIONS</t>
  </si>
  <si>
    <t xml:space="preserve">002126</t>
  </si>
  <si>
    <t xml:space="preserve">ZHEJIANG YINLUN MACHINERY  A</t>
  </si>
  <si>
    <t xml:space="preserve">002038</t>
  </si>
  <si>
    <t xml:space="preserve">BEIJING SL PHARMACEUTICAL  A</t>
  </si>
  <si>
    <t xml:space="preserve">8054</t>
  </si>
  <si>
    <t xml:space="preserve">ALCOR MICRO CORP</t>
  </si>
  <si>
    <t xml:space="preserve">SYNG</t>
  </si>
  <si>
    <t xml:space="preserve">SYNGENE INTERNATIONAL LTD</t>
  </si>
  <si>
    <t xml:space="preserve">435</t>
  </si>
  <si>
    <t xml:space="preserve">SUNLIGHT REAL ESTATE INVEST</t>
  </si>
  <si>
    <t xml:space="preserve">354</t>
  </si>
  <si>
    <t xml:space="preserve">CHINASOFT INTERNATIONAL LTD</t>
  </si>
  <si>
    <t xml:space="preserve">605111</t>
  </si>
  <si>
    <t xml:space="preserve">WUXI NCE POWER CO LTD A</t>
  </si>
  <si>
    <t xml:space="preserve">RELIGARE</t>
  </si>
  <si>
    <t xml:space="preserve">RELIGARE ENTERPRISES LTD</t>
  </si>
  <si>
    <t xml:space="preserve">GISS</t>
  </si>
  <si>
    <t xml:space="preserve">GULF INTERNATIONAL SERVICES</t>
  </si>
  <si>
    <t xml:space="preserve">1618</t>
  </si>
  <si>
    <t xml:space="preserve">METALLURGICAL CORP OF CHIN H</t>
  </si>
  <si>
    <t xml:space="preserve">GLOBAL DOMINION ACCESS SA</t>
  </si>
  <si>
    <t xml:space="preserve">FORN</t>
  </si>
  <si>
    <t xml:space="preserve">FORBO HOLDING AG REG</t>
  </si>
  <si>
    <t xml:space="preserve">300442</t>
  </si>
  <si>
    <t xml:space="preserve">RANGE INTELLIGENT COMPUTI A</t>
  </si>
  <si>
    <t xml:space="preserve">600446</t>
  </si>
  <si>
    <t xml:space="preserve">SHENZHEN KINGDOM SCI TECH A</t>
  </si>
  <si>
    <t xml:space="preserve">603358</t>
  </si>
  <si>
    <t xml:space="preserve">HUADA AUTOMOTIVE TECHNOLOG A</t>
  </si>
  <si>
    <t xml:space="preserve">002881</t>
  </si>
  <si>
    <t xml:space="preserve">MEIG SMART TECH CO LTD  A</t>
  </si>
  <si>
    <t xml:space="preserve">8045</t>
  </si>
  <si>
    <t xml:space="preserve">TWOWAY COMMUNICATION INC</t>
  </si>
  <si>
    <t xml:space="preserve">A000080</t>
  </si>
  <si>
    <t xml:space="preserve">HITE JINRO CO LTD</t>
  </si>
  <si>
    <t xml:space="preserve">9956</t>
  </si>
  <si>
    <t xml:space="preserve">VALOR HOLDINGS CO LTD</t>
  </si>
  <si>
    <t xml:space="preserve">4516</t>
  </si>
  <si>
    <t xml:space="preserve">NIPPON SHINYAKU CO LTD</t>
  </si>
  <si>
    <t xml:space="preserve">603108</t>
  </si>
  <si>
    <t xml:space="preserve">SHANGHAI RUNDA MEDICAL TEC A</t>
  </si>
  <si>
    <t xml:space="preserve">CUBK</t>
  </si>
  <si>
    <t xml:space="preserve">CITY UNION BANK LTD</t>
  </si>
  <si>
    <t xml:space="preserve">3808</t>
  </si>
  <si>
    <t xml:space="preserve">SINOTRUK HONG KONG LTD</t>
  </si>
  <si>
    <t xml:space="preserve">MCOV B</t>
  </si>
  <si>
    <t xml:space="preserve">MEDICOVER AB   B SHARE</t>
  </si>
  <si>
    <t xml:space="preserve">SANB11</t>
  </si>
  <si>
    <t xml:space="preserve">BANCO SANTANDER  BRASIL UNIT</t>
  </si>
  <si>
    <t xml:space="preserve">8454</t>
  </si>
  <si>
    <t xml:space="preserve">MOMO.COM INC</t>
  </si>
  <si>
    <t xml:space="preserve">CYL</t>
  </si>
  <si>
    <t xml:space="preserve">CYIENT LTD FOREIGN</t>
  </si>
  <si>
    <t xml:space="preserve">900932</t>
  </si>
  <si>
    <t xml:space="preserve">SHANGHAI LUJIAZUI FIN+TRAD B</t>
  </si>
  <si>
    <t xml:space="preserve">GLJ</t>
  </si>
  <si>
    <t xml:space="preserve">GRENKE AG</t>
  </si>
  <si>
    <t xml:space="preserve">GWN</t>
  </si>
  <si>
    <t xml:space="preserve">GRINDWELL NORTON LTD</t>
  </si>
  <si>
    <t xml:space="preserve">2105</t>
  </si>
  <si>
    <t xml:space="preserve">LAEKNA INC</t>
  </si>
  <si>
    <t xml:space="preserve">000682</t>
  </si>
  <si>
    <t xml:space="preserve">DONGFANG ELECTRONICS CO LT A</t>
  </si>
  <si>
    <t xml:space="preserve">HALKB</t>
  </si>
  <si>
    <t xml:space="preserve">TURKIYE HALK BANKASI</t>
  </si>
  <si>
    <t xml:space="preserve">600499</t>
  </si>
  <si>
    <t xml:space="preserve">KEDA INDUSTRIAL GROUP CO L A</t>
  </si>
  <si>
    <t xml:space="preserve">JWL</t>
  </si>
  <si>
    <t xml:space="preserve">JUPITER WAGONS LTD</t>
  </si>
  <si>
    <t xml:space="preserve">CARYSIL</t>
  </si>
  <si>
    <t xml:space="preserve">CARYSIL LTD</t>
  </si>
  <si>
    <t xml:space="preserve">6284</t>
  </si>
  <si>
    <t xml:space="preserve">NISSEI ASB MACHINE CO LTD</t>
  </si>
  <si>
    <t xml:space="preserve">SKG</t>
  </si>
  <si>
    <t xml:space="preserve">STORAGE KING GROUP</t>
  </si>
  <si>
    <t xml:space="preserve">000596</t>
  </si>
  <si>
    <t xml:space="preserve">ANHUI GUJING DISTILLERY CO A</t>
  </si>
  <si>
    <t xml:space="preserve">LTF</t>
  </si>
  <si>
    <t xml:space="preserve">L+T FINANCE LTD</t>
  </si>
  <si>
    <t xml:space="preserve">QH-F</t>
  </si>
  <si>
    <t xml:space="preserve">QUALITY HOUSE PCL FOREIGN</t>
  </si>
  <si>
    <t xml:space="preserve">6538</t>
  </si>
  <si>
    <t xml:space="preserve">BRAVE C+H SUPPLY CO LTD</t>
  </si>
  <si>
    <t xml:space="preserve">003031</t>
  </si>
  <si>
    <t xml:space="preserve">HEBEI SINOPACK ELECTRONIC  A</t>
  </si>
  <si>
    <t xml:space="preserve">SANGHVI MOVERS LTD</t>
  </si>
  <si>
    <t xml:space="preserve">RABIGH REFINING AND PETROCHE</t>
  </si>
  <si>
    <t xml:space="preserve">XVIVO</t>
  </si>
  <si>
    <t xml:space="preserve">XVIVO PERFUSION AB</t>
  </si>
  <si>
    <t xml:space="preserve">4493</t>
  </si>
  <si>
    <t xml:space="preserve">CYBER SECURITY CLOUD INC</t>
  </si>
  <si>
    <t xml:space="preserve">AMS OSRAM AG</t>
  </si>
  <si>
    <t xml:space="preserve">119</t>
  </si>
  <si>
    <t xml:space="preserve">POLY PROPERTY GROUP CO LTD</t>
  </si>
  <si>
    <t xml:space="preserve">002703</t>
  </si>
  <si>
    <t xml:space="preserve">ZHEJIANG SHIBAO CO LTD A</t>
  </si>
  <si>
    <t xml:space="preserve">EMBDL</t>
  </si>
  <si>
    <t xml:space="preserve">EMBASSY DEVELOPMENTS LTD</t>
  </si>
  <si>
    <t xml:space="preserve">688297</t>
  </si>
  <si>
    <t xml:space="preserve">AVIC CHENGDU UAS CO LTD A</t>
  </si>
  <si>
    <t xml:space="preserve">300487</t>
  </si>
  <si>
    <t xml:space="preserve">SUNRESIN NEW MATERIALS CO  A</t>
  </si>
  <si>
    <t xml:space="preserve">6173</t>
  </si>
  <si>
    <t xml:space="preserve">PROSPERITY DIELECTRICS CO LT</t>
  </si>
  <si>
    <t xml:space="preserve">688559</t>
  </si>
  <si>
    <t xml:space="preserve">HYMSON LASER TECHNOLOGY GR A</t>
  </si>
  <si>
    <t xml:space="preserve">JUST</t>
  </si>
  <si>
    <t xml:space="preserve">JUST DIAL LTD</t>
  </si>
  <si>
    <t xml:space="preserve">601127</t>
  </si>
  <si>
    <t xml:space="preserve">SERES GROUP CO L A</t>
  </si>
  <si>
    <t xml:space="preserve">3292</t>
  </si>
  <si>
    <t xml:space="preserve">AEON REIT INVESTMENT CORP</t>
  </si>
  <si>
    <t xml:space="preserve">603198</t>
  </si>
  <si>
    <t xml:space="preserve">ANHUI YINGJIAGONGJIU CO LT A</t>
  </si>
  <si>
    <t xml:space="preserve">000712</t>
  </si>
  <si>
    <t xml:space="preserve">GUANGDONG GOLDEN DRAGON DE A</t>
  </si>
  <si>
    <t xml:space="preserve">4887</t>
  </si>
  <si>
    <t xml:space="preserve">SAWAI GROUP HOLDINGS CO LTD</t>
  </si>
  <si>
    <t xml:space="preserve">A298020</t>
  </si>
  <si>
    <t xml:space="preserve">HYOSUNG TNC CORP</t>
  </si>
  <si>
    <t xml:space="preserve">A002710</t>
  </si>
  <si>
    <t xml:space="preserve">TCC STEEL</t>
  </si>
  <si>
    <t xml:space="preserve">603236</t>
  </si>
  <si>
    <t xml:space="preserve">QUECTEL WIRELESS SOLUTIONS A</t>
  </si>
  <si>
    <t xml:space="preserve">VIP</t>
  </si>
  <si>
    <t xml:space="preserve">V.I.P. INDUSTRIES LTD</t>
  </si>
  <si>
    <t xml:space="preserve">002399</t>
  </si>
  <si>
    <t xml:space="preserve">SHENZHEN HEPALINK PHARMACE A</t>
  </si>
  <si>
    <t xml:space="preserve">601865</t>
  </si>
  <si>
    <t xml:space="preserve">FLAT GLASS GROUP CO LTD A</t>
  </si>
  <si>
    <t xml:space="preserve">688305</t>
  </si>
  <si>
    <t xml:space="preserve">KEDE NUMERICAL CONTROL CO  A</t>
  </si>
  <si>
    <t xml:space="preserve">601816</t>
  </si>
  <si>
    <t xml:space="preserve">BEIJING SHANGHAI HIGH SPE A</t>
  </si>
  <si>
    <t xml:space="preserve">688173</t>
  </si>
  <si>
    <t xml:space="preserve">HALO MICROELECTRONICS CO L A</t>
  </si>
  <si>
    <t xml:space="preserve">DIP CORP</t>
  </si>
  <si>
    <t xml:space="preserve">DYTC</t>
  </si>
  <si>
    <t xml:space="preserve">DYNAMATIC TECHNO FOREIGN</t>
  </si>
  <si>
    <t xml:space="preserve">INRN</t>
  </si>
  <si>
    <t xml:space="preserve">INTERROLL HOLDING AG REG</t>
  </si>
  <si>
    <t xml:space="preserve">DNEX</t>
  </si>
  <si>
    <t xml:space="preserve">DAGANG NEXCHANGE BHD</t>
  </si>
  <si>
    <t xml:space="preserve">GGD</t>
  </si>
  <si>
    <t xml:space="preserve">GOGOLD RESOURCES INC</t>
  </si>
  <si>
    <t xml:space="preserve">603069</t>
  </si>
  <si>
    <t xml:space="preserve">HAINAN HAIQI TRANSPORTATIO A</t>
  </si>
  <si>
    <t xml:space="preserve">INTP</t>
  </si>
  <si>
    <t xml:space="preserve">INDOCEMENT TUNGGAL PRAKARSA</t>
  </si>
  <si>
    <t xml:space="preserve">HANA-F</t>
  </si>
  <si>
    <t xml:space="preserve">HANA MICROELECTRONICS FOREIG</t>
  </si>
  <si>
    <t xml:space="preserve">7864</t>
  </si>
  <si>
    <t xml:space="preserve">FUJI SEAL INTERNATIONAL INC</t>
  </si>
  <si>
    <t xml:space="preserve">ESSA</t>
  </si>
  <si>
    <t xml:space="preserve">ESSA INDUSTRIES INDONESIA TB</t>
  </si>
  <si>
    <t xml:space="preserve">4922</t>
  </si>
  <si>
    <t xml:space="preserve">KOSE HOLDINGS CORP</t>
  </si>
  <si>
    <t xml:space="preserve">600933</t>
  </si>
  <si>
    <t xml:space="preserve">IKD CO LTD A</t>
  </si>
  <si>
    <t xml:space="preserve">1258</t>
  </si>
  <si>
    <t xml:space="preserve">CHINA NONFERROUS MINING CORP</t>
  </si>
  <si>
    <t xml:space="preserve">300418</t>
  </si>
  <si>
    <t xml:space="preserve">KUNLUN TECH CO LTD A</t>
  </si>
  <si>
    <t xml:space="preserve">MORI HILLS REIT INVESTMENT C</t>
  </si>
  <si>
    <t xml:space="preserve">2250</t>
  </si>
  <si>
    <t xml:space="preserve">SAUDI IND INVESTMENT GROUP</t>
  </si>
  <si>
    <t xml:space="preserve">4849</t>
  </si>
  <si>
    <t xml:space="preserve">EN INC/JAPAN</t>
  </si>
  <si>
    <t xml:space="preserve">2329</t>
  </si>
  <si>
    <t xml:space="preserve">ORIENT SEMICONDUCTOR ELECTR</t>
  </si>
  <si>
    <t xml:space="preserve">MGROS</t>
  </si>
  <si>
    <t xml:space="preserve">MIGROS TICARET A.S</t>
  </si>
  <si>
    <t xml:space="preserve">NBP</t>
  </si>
  <si>
    <t xml:space="preserve">NOVABRIDGE BIOSCIENCES</t>
  </si>
  <si>
    <t xml:space="preserve">EUPWR</t>
  </si>
  <si>
    <t xml:space="preserve">EUROPOWER ENERJI VE OTOMASYO</t>
  </si>
  <si>
    <t xml:space="preserve">FCT</t>
  </si>
  <si>
    <t xml:space="preserve">FERTILISERS + CHEM TRAVANCR</t>
  </si>
  <si>
    <t xml:space="preserve">TANLA</t>
  </si>
  <si>
    <t xml:space="preserve">TANLA PLATFORMS LTD</t>
  </si>
  <si>
    <t xml:space="preserve">300896</t>
  </si>
  <si>
    <t xml:space="preserve">IMEIK TECHNOLOGY DEVELOPME A</t>
  </si>
  <si>
    <t xml:space="preserve">TIIL</t>
  </si>
  <si>
    <t xml:space="preserve">TECHNOCRAFT INDUSTRIES INDIA</t>
  </si>
  <si>
    <t xml:space="preserve">NEXA</t>
  </si>
  <si>
    <t xml:space="preserve">NEXA RESOURCES SA</t>
  </si>
  <si>
    <t xml:space="preserve">SANDUMA</t>
  </si>
  <si>
    <t xml:space="preserve">SANDUR MANGANESE + IRON ORE</t>
  </si>
  <si>
    <t xml:space="preserve">300803</t>
  </si>
  <si>
    <t xml:space="preserve">BEIJING COMPASS TECHNOLOGY A</t>
  </si>
  <si>
    <t xml:space="preserve">300083</t>
  </si>
  <si>
    <t xml:space="preserve">GUANGDONG CREATE CENTURY I A</t>
  </si>
  <si>
    <t xml:space="preserve">JBMA</t>
  </si>
  <si>
    <t xml:space="preserve">JBM AUTO LTD</t>
  </si>
  <si>
    <t xml:space="preserve">300260</t>
  </si>
  <si>
    <t xml:space="preserve">KUNSHAN KINGLAI HYGIENIC A</t>
  </si>
  <si>
    <t xml:space="preserve">CABLE</t>
  </si>
  <si>
    <t xml:space="preserve">GULF CABLES + ELECTRICAL IND</t>
  </si>
  <si>
    <t xml:space="preserve">IEL</t>
  </si>
  <si>
    <t xml:space="preserve">IDP EDUCATION LTD</t>
  </si>
  <si>
    <t xml:space="preserve">000555</t>
  </si>
  <si>
    <t xml:space="preserve">DIGITAL CHINA INFORMATION  A</t>
  </si>
  <si>
    <t xml:space="preserve">9075</t>
  </si>
  <si>
    <t xml:space="preserve">FUKUYAMA TRANSPORTING CO LTD</t>
  </si>
  <si>
    <t xml:space="preserve">4686</t>
  </si>
  <si>
    <t xml:space="preserve">JUSTSYSTEMS CORP</t>
  </si>
  <si>
    <t xml:space="preserve">MFCB</t>
  </si>
  <si>
    <t xml:space="preserve">MEGA FIRST CORP BHD</t>
  </si>
  <si>
    <t xml:space="preserve">600185</t>
  </si>
  <si>
    <t xml:space="preserve">ZHUHAI ZHUMIAN GROUP CO LTD</t>
  </si>
  <si>
    <t xml:space="preserve">688318</t>
  </si>
  <si>
    <t xml:space="preserve">SHENZHEN FORTUNE TREND TEC A</t>
  </si>
  <si>
    <t xml:space="preserve">SUPERMX</t>
  </si>
  <si>
    <t xml:space="preserve">SUPERMAX CORP BHD</t>
  </si>
  <si>
    <t xml:space="preserve">002338</t>
  </si>
  <si>
    <t xml:space="preserve">CHANGCHUN UP OPTOTECH CO A</t>
  </si>
  <si>
    <t xml:space="preserve">WH</t>
  </si>
  <si>
    <t xml:space="preserve">VENKY S (INDIA) LTD</t>
  </si>
  <si>
    <t xml:space="preserve">SRL</t>
  </si>
  <si>
    <t xml:space="preserve">SUNRISE ENERGY METALS LTD</t>
  </si>
  <si>
    <t xml:space="preserve">688262</t>
  </si>
  <si>
    <t xml:space="preserve">C CORE TECHNOLOGY CO LTD A</t>
  </si>
  <si>
    <t xml:space="preserve">590</t>
  </si>
  <si>
    <t xml:space="preserve">LUK FOOK HOLDINGS INTL LTD</t>
  </si>
  <si>
    <t xml:space="preserve">7458</t>
  </si>
  <si>
    <t xml:space="preserve">DAIICHIKOSHO CO LTD</t>
  </si>
  <si>
    <t xml:space="preserve">4206</t>
  </si>
  <si>
    <t xml:space="preserve">AICA KOGYO CO LTD</t>
  </si>
  <si>
    <t xml:space="preserve">900903</t>
  </si>
  <si>
    <t xml:space="preserve">DAZHONG TRANSPORTATION GRP B</t>
  </si>
  <si>
    <t xml:space="preserve">1377</t>
  </si>
  <si>
    <t xml:space="preserve">SAKATA SEED CORP</t>
  </si>
  <si>
    <t xml:space="preserve">REDTAPE</t>
  </si>
  <si>
    <t xml:space="preserve">REDTAPE LTD/INDIA</t>
  </si>
  <si>
    <t xml:space="preserve">A007390</t>
  </si>
  <si>
    <t xml:space="preserve">NATURECELL CO LTD</t>
  </si>
  <si>
    <t xml:space="preserve">4008</t>
  </si>
  <si>
    <t xml:space="preserve">SAUDI CO FOR HARDWARE LLC</t>
  </si>
  <si>
    <t xml:space="preserve">604</t>
  </si>
  <si>
    <t xml:space="preserve">SHENZHEN INVESTMENT LTD</t>
  </si>
  <si>
    <t xml:space="preserve">MIKA</t>
  </si>
  <si>
    <t xml:space="preserve">MITRA KELUARGA KARYASEHAT TB</t>
  </si>
  <si>
    <t xml:space="preserve">3010</t>
  </si>
  <si>
    <t xml:space="preserve">ARABIAN CEMENT</t>
  </si>
  <si>
    <t xml:space="preserve">AIR NEW ZEALAND LTD</t>
  </si>
  <si>
    <t xml:space="preserve">8976</t>
  </si>
  <si>
    <t xml:space="preserve">DAIWA OFFICE INVESTMENT CORP</t>
  </si>
  <si>
    <t xml:space="preserve">CHENG SHIN RUBBER IND CO LTD</t>
  </si>
  <si>
    <t xml:space="preserve">ISMEN</t>
  </si>
  <si>
    <t xml:space="preserve">IS YATIRIM MENKUL DEGERLER A</t>
  </si>
  <si>
    <t xml:space="preserve">AURE3</t>
  </si>
  <si>
    <t xml:space="preserve">AUREN ENERGIA SA   ON</t>
  </si>
  <si>
    <t xml:space="preserve">002127</t>
  </si>
  <si>
    <t xml:space="preserve">NANJI E COMMERCE CO LTD A</t>
  </si>
  <si>
    <t xml:space="preserve">RALI</t>
  </si>
  <si>
    <t xml:space="preserve">RALLIS INDIA LTD</t>
  </si>
  <si>
    <t xml:space="preserve">300458</t>
  </si>
  <si>
    <t xml:space="preserve">ALL WINNER TECHNOLOGY CO L A</t>
  </si>
  <si>
    <t xml:space="preserve">ACCE</t>
  </si>
  <si>
    <t xml:space="preserve">ACTION CONSTRUCTION EQUIPMEN</t>
  </si>
  <si>
    <t xml:space="preserve">FNXC</t>
  </si>
  <si>
    <t xml:space="preserve">FINOLEX CABLES LTD</t>
  </si>
  <si>
    <t xml:space="preserve">603708</t>
  </si>
  <si>
    <t xml:space="preserve">JIAJIAYUE GROUP CO LTD A</t>
  </si>
  <si>
    <t xml:space="preserve">SHRS</t>
  </si>
  <si>
    <t xml:space="preserve">SHREE RENUKA SUGARS LTD</t>
  </si>
  <si>
    <t xml:space="preserve">688800</t>
  </si>
  <si>
    <t xml:space="preserve">SUZHOU RECODEAL INTERCONNE A</t>
  </si>
  <si>
    <t xml:space="preserve">A108320</t>
  </si>
  <si>
    <t xml:space="preserve">LX SEMICON CO LTD</t>
  </si>
  <si>
    <t xml:space="preserve">603859</t>
  </si>
  <si>
    <t xml:space="preserve">NANCAL TECHNOLOGY C0 LTD A</t>
  </si>
  <si>
    <t xml:space="preserve">002385</t>
  </si>
  <si>
    <t xml:space="preserve">BEIJING DABEINONG TECHNOLO A</t>
  </si>
  <si>
    <t xml:space="preserve">300990</t>
  </si>
  <si>
    <t xml:space="preserve">SANHE TONGFEI REFRIGERATI A</t>
  </si>
  <si>
    <t xml:space="preserve">IPX</t>
  </si>
  <si>
    <t xml:space="preserve">IPERIONX LTD</t>
  </si>
  <si>
    <t xml:space="preserve">3162</t>
  </si>
  <si>
    <t xml:space="preserve">UNITED ALLOY TECH CO</t>
  </si>
  <si>
    <t xml:space="preserve">002061</t>
  </si>
  <si>
    <t xml:space="preserve">ZHEJIANG COMMUNICATIONS TE A</t>
  </si>
  <si>
    <t xml:space="preserve">301031</t>
  </si>
  <si>
    <t xml:space="preserve">XI AN SINOFUSE ELECTRIC CO A</t>
  </si>
  <si>
    <t xml:space="preserve">601108</t>
  </si>
  <si>
    <t xml:space="preserve">CAITONG SECURITIES CO LTD A</t>
  </si>
  <si>
    <t xml:space="preserve">MONDE</t>
  </si>
  <si>
    <t xml:space="preserve">MONDE NISSIN CORP</t>
  </si>
  <si>
    <t xml:space="preserve">301413</t>
  </si>
  <si>
    <t xml:space="preserve">SHENZHEN AMPRON TECHNOLOGY A</t>
  </si>
  <si>
    <t xml:space="preserve">NUVOTON TECHNOLOGY CORP</t>
  </si>
  <si>
    <t xml:space="preserve">NIITMTS</t>
  </si>
  <si>
    <t xml:space="preserve">NIIT LEARNING SYSTEMS LTD</t>
  </si>
  <si>
    <t xml:space="preserve">688261</t>
  </si>
  <si>
    <t xml:space="preserve">SUZHOU ORIENTAL SEMICONDUC A</t>
  </si>
  <si>
    <t xml:space="preserve">VGM</t>
  </si>
  <si>
    <t xml:space="preserve">VAIBHAV GLOBAL LTD</t>
  </si>
  <si>
    <t xml:space="preserve">INVZ</t>
  </si>
  <si>
    <t xml:space="preserve">INNOVIZ TECHNOLOGIES LTD</t>
  </si>
  <si>
    <t xml:space="preserve">9603</t>
  </si>
  <si>
    <t xml:space="preserve">H I S CO LTD</t>
  </si>
  <si>
    <t xml:space="preserve">RITE</t>
  </si>
  <si>
    <t xml:space="preserve">RITES LTD</t>
  </si>
  <si>
    <t xml:space="preserve">600366</t>
  </si>
  <si>
    <t xml:space="preserve">NINGBO YUNSHENG (GROUP) CO A</t>
  </si>
  <si>
    <t xml:space="preserve">AVNT</t>
  </si>
  <si>
    <t xml:space="preserve">AVANTI FEEDS LTD</t>
  </si>
  <si>
    <t xml:space="preserve">TTLS</t>
  </si>
  <si>
    <t xml:space="preserve">TATA TELESERVICES MAHARASHTR</t>
  </si>
  <si>
    <t xml:space="preserve">A383800</t>
  </si>
  <si>
    <t xml:space="preserve">LX HOLDINGS CORP</t>
  </si>
  <si>
    <t xml:space="preserve">300677</t>
  </si>
  <si>
    <t xml:space="preserve">INTCO MEDICAL TECHNOLOGY C A</t>
  </si>
  <si>
    <t xml:space="preserve">688006</t>
  </si>
  <si>
    <t xml:space="preserve">ZHEJIANG HANGKE TECHNOLOGY A</t>
  </si>
  <si>
    <t xml:space="preserve">WACOM CO LTD</t>
  </si>
  <si>
    <t xml:space="preserve">RCL-F</t>
  </si>
  <si>
    <t xml:space="preserve">REGIONAL CONTAINER LINES FOR</t>
  </si>
  <si>
    <t xml:space="preserve">1579</t>
  </si>
  <si>
    <t xml:space="preserve">YIHAI INTERNATIONAL HOLDING</t>
  </si>
  <si>
    <t xml:space="preserve">9636</t>
  </si>
  <si>
    <t xml:space="preserve">JF SMARTINVEST HOLDINGS LTD</t>
  </si>
  <si>
    <t xml:space="preserve">SASA</t>
  </si>
  <si>
    <t xml:space="preserve">SASA POLYESTER SANAYI</t>
  </si>
  <si>
    <t xml:space="preserve">A112040</t>
  </si>
  <si>
    <t xml:space="preserve">WEMADE CO LTD</t>
  </si>
  <si>
    <t xml:space="preserve">002044</t>
  </si>
  <si>
    <t xml:space="preserve">MEINIAN ONEHEALTH HEALTHCA A</t>
  </si>
  <si>
    <t xml:space="preserve">8986</t>
  </si>
  <si>
    <t xml:space="preserve">DAIWA SECURITIES LIVING INVE</t>
  </si>
  <si>
    <t xml:space="preserve">301308</t>
  </si>
  <si>
    <t xml:space="preserve">SHENZHEN LONGSYS ELECTRONI A</t>
  </si>
  <si>
    <t xml:space="preserve">EPLL</t>
  </si>
  <si>
    <t xml:space="preserve">EPL LTD</t>
  </si>
  <si>
    <t xml:space="preserve">603305</t>
  </si>
  <si>
    <t xml:space="preserve">NINGBO XUSHENG GROUP CO LT A</t>
  </si>
  <si>
    <t xml:space="preserve">3962</t>
  </si>
  <si>
    <t xml:space="preserve">CHANGE HOLDINGS INC</t>
  </si>
  <si>
    <t xml:space="preserve">0220W0</t>
  </si>
  <si>
    <t xml:space="preserve">HANWHA MACHINERY + SERVICE H</t>
  </si>
  <si>
    <t xml:space="preserve">BAYANAT</t>
  </si>
  <si>
    <t xml:space="preserve">SPACE42 PLC</t>
  </si>
  <si>
    <t xml:space="preserve">002979</t>
  </si>
  <si>
    <t xml:space="preserve">CHINA LEADSHINE TECHNOLOGY A</t>
  </si>
  <si>
    <t xml:space="preserve">RATI</t>
  </si>
  <si>
    <t xml:space="preserve">RATTANINDIA ENTERPRISES LTD</t>
  </si>
  <si>
    <t xml:space="preserve">601900</t>
  </si>
  <si>
    <t xml:space="preserve">SOUTHERN PUBLISHING + MEDI A</t>
  </si>
  <si>
    <t xml:space="preserve">CITY CEMENT CO</t>
  </si>
  <si>
    <t xml:space="preserve">600995</t>
  </si>
  <si>
    <t xml:space="preserve">CHINA SOUTHERN POWER GRID A</t>
  </si>
  <si>
    <t xml:space="preserve">002332</t>
  </si>
  <si>
    <t xml:space="preserve">ZHEJIANG XIANJU PHARMA A</t>
  </si>
  <si>
    <t xml:space="preserve">688088</t>
  </si>
  <si>
    <t xml:space="preserve">ARCSOFT CORP LTD A</t>
  </si>
  <si>
    <t xml:space="preserve">8698</t>
  </si>
  <si>
    <t xml:space="preserve">MONEX GROUP INC</t>
  </si>
  <si>
    <t xml:space="preserve">THG</t>
  </si>
  <si>
    <t xml:space="preserve">THG PLC</t>
  </si>
  <si>
    <t xml:space="preserve">JPFA</t>
  </si>
  <si>
    <t xml:space="preserve">JAPFA COMFEED INDONES TBK PT</t>
  </si>
  <si>
    <t xml:space="preserve">600609</t>
  </si>
  <si>
    <t xml:space="preserve">JINBEI AUTOMOTIVE CO LTD A</t>
  </si>
  <si>
    <t xml:space="preserve">600787</t>
  </si>
  <si>
    <t xml:space="preserve">CMST DEVELOPMENT CO LTD A</t>
  </si>
  <si>
    <t xml:space="preserve">CCOLA</t>
  </si>
  <si>
    <t xml:space="preserve">COCA COLA ICECEK AS</t>
  </si>
  <si>
    <t xml:space="preserve">VENUSPIP</t>
  </si>
  <si>
    <t xml:space="preserve">VENUS PIPES + TUBES LTD</t>
  </si>
  <si>
    <t xml:space="preserve">688599</t>
  </si>
  <si>
    <t xml:space="preserve">TRINA SOLAR CO LTD A</t>
  </si>
  <si>
    <t xml:space="preserve">688700</t>
  </si>
  <si>
    <t xml:space="preserve">KUNSHAN DONGWEI TECHNOLOGY A</t>
  </si>
  <si>
    <t xml:space="preserve">1882</t>
  </si>
  <si>
    <t xml:space="preserve">HAITIAN INTERNATIONAL HLDGS</t>
  </si>
  <si>
    <t xml:space="preserve">TEAM</t>
  </si>
  <si>
    <t xml:space="preserve">TEAMLEASE SERVICES LTD</t>
  </si>
  <si>
    <t xml:space="preserve">TKIM</t>
  </si>
  <si>
    <t xml:space="preserve">PABRIK KERTAS TJIWI KIMIA PT</t>
  </si>
  <si>
    <t xml:space="preserve">7476</t>
  </si>
  <si>
    <t xml:space="preserve">AS ONE CORP</t>
  </si>
  <si>
    <t xml:space="preserve">PRJ</t>
  </si>
  <si>
    <t xml:space="preserve">PRAJ INDUSTRIES LTD</t>
  </si>
  <si>
    <t xml:space="preserve">603179</t>
  </si>
  <si>
    <t xml:space="preserve">JIANGSU XINQUAN AUTOMOTIVE A</t>
  </si>
  <si>
    <t xml:space="preserve">BRAZILIAN REAL</t>
  </si>
  <si>
    <t xml:space="preserve">5232</t>
  </si>
  <si>
    <t xml:space="preserve">SUMITOMO OSAKA CEMENT CO LTD</t>
  </si>
  <si>
    <t xml:space="preserve">APTUS</t>
  </si>
  <si>
    <t xml:space="preserve">APTUS VALUE HOUSING FINANCE</t>
  </si>
  <si>
    <t xml:space="preserve">ELIOR</t>
  </si>
  <si>
    <t xml:space="preserve">ELIOR GROUP</t>
  </si>
  <si>
    <t xml:space="preserve">600373</t>
  </si>
  <si>
    <t xml:space="preserve">CHINESE UNIVERSE PUBLISHIN A</t>
  </si>
  <si>
    <t xml:space="preserve">002706</t>
  </si>
  <si>
    <t xml:space="preserve">SHANGHAI LIANGXIN ELECTRIC A</t>
  </si>
  <si>
    <t xml:space="preserve">APCO</t>
  </si>
  <si>
    <t xml:space="preserve">APCOTEX INDUSTRIES LTD</t>
  </si>
  <si>
    <t xml:space="preserve">ABLBL</t>
  </si>
  <si>
    <t xml:space="preserve">ADITYA BIRLA LIFESTYLE BRAND</t>
  </si>
  <si>
    <t xml:space="preserve">300454</t>
  </si>
  <si>
    <t xml:space="preserve">SANGFOR TECHNOLOGIES INC A</t>
  </si>
  <si>
    <t xml:space="preserve">ISGYO</t>
  </si>
  <si>
    <t xml:space="preserve">IS GAYRIMENKUL YATIRIM ORTAK</t>
  </si>
  <si>
    <t xml:space="preserve">9031</t>
  </si>
  <si>
    <t xml:space="preserve">NISHI NIPPON RAILROAD CO LTD</t>
  </si>
  <si>
    <t xml:space="preserve">A348370</t>
  </si>
  <si>
    <t xml:space="preserve">ENCHEM CO LTD</t>
  </si>
  <si>
    <t xml:space="preserve">HL</t>
  </si>
  <si>
    <t xml:space="preserve">HECLA MINING CO</t>
  </si>
  <si>
    <t xml:space="preserve">EMAMI LTD</t>
  </si>
  <si>
    <t xml:space="preserve">AWL</t>
  </si>
  <si>
    <t xml:space="preserve">AWL AGRI BUSINESS LTD</t>
  </si>
  <si>
    <t xml:space="preserve">600648</t>
  </si>
  <si>
    <t xml:space="preserve">SHANGHAI WAIGAOQIAO FTZ A</t>
  </si>
  <si>
    <t xml:space="preserve">8016</t>
  </si>
  <si>
    <t xml:space="preserve">SITRONIX TECHNOLOGY CORP</t>
  </si>
  <si>
    <t xml:space="preserve">PSGYO</t>
  </si>
  <si>
    <t xml:space="preserve">PASIFIK GAYRIMENKUL YATIRIM</t>
  </si>
  <si>
    <t xml:space="preserve">688202</t>
  </si>
  <si>
    <t xml:space="preserve">SHANGHAI MEDICILON INC A</t>
  </si>
  <si>
    <t xml:space="preserve">301297</t>
  </si>
  <si>
    <t xml:space="preserve">FERROTEC ANHUI TECHNOLOGY  A</t>
  </si>
  <si>
    <t xml:space="preserve">002518</t>
  </si>
  <si>
    <t xml:space="preserve">SHENZHEN KSTAR SCIENCE AND A</t>
  </si>
  <si>
    <t xml:space="preserve">601555</t>
  </si>
  <si>
    <t xml:space="preserve">SOOCHOW SECURITIES CO LTD A</t>
  </si>
  <si>
    <t xml:space="preserve">1798</t>
  </si>
  <si>
    <t xml:space="preserve">CHINA DATANG CORP RENEWABL H</t>
  </si>
  <si>
    <t xml:space="preserve">TLGO</t>
  </si>
  <si>
    <t xml:space="preserve">TALGO SA</t>
  </si>
  <si>
    <t xml:space="preserve">NEC</t>
  </si>
  <si>
    <t xml:space="preserve">NINE ENTERTAINMENT CO HOLDIN</t>
  </si>
  <si>
    <t xml:space="preserve">600956</t>
  </si>
  <si>
    <t xml:space="preserve">CHINA SUNTIEN GREEN ENERGY A</t>
  </si>
  <si>
    <t xml:space="preserve">AMANAT</t>
  </si>
  <si>
    <t xml:space="preserve">AMANAT HOLDINGS PJSC</t>
  </si>
  <si>
    <t xml:space="preserve">DCAL</t>
  </si>
  <si>
    <t xml:space="preserve">DISHMAN CARBOGEN AMCIS LTD</t>
  </si>
  <si>
    <t xml:space="preserve">688516</t>
  </si>
  <si>
    <t xml:space="preserve">WUXI AUTOWELL TECHNOLOGY C A</t>
  </si>
  <si>
    <t xml:space="preserve">2252</t>
  </si>
  <si>
    <t xml:space="preserve">SHANGHAI MICROPORT MEDBOT H</t>
  </si>
  <si>
    <t xml:space="preserve">603800</t>
  </si>
  <si>
    <t xml:space="preserve">JIANGSU HONGTIAN TECHNOLO A</t>
  </si>
  <si>
    <t xml:space="preserve">SARKY</t>
  </si>
  <si>
    <t xml:space="preserve">SARKUYSAN ELEKTROLITIK BAKIR</t>
  </si>
  <si>
    <t xml:space="preserve">ION</t>
  </si>
  <si>
    <t xml:space="preserve">ION EXCHANGE (INDIA) LTD</t>
  </si>
  <si>
    <t xml:space="preserve">688586</t>
  </si>
  <si>
    <t xml:space="preserve">HEFEI JIANGHANG AIRCRAFT E A</t>
  </si>
  <si>
    <t xml:space="preserve">AARTIPHA</t>
  </si>
  <si>
    <t xml:space="preserve">AARTI PHARMALABS LTD</t>
  </si>
  <si>
    <t xml:space="preserve">600348</t>
  </si>
  <si>
    <t xml:space="preserve">SHAN XI HUA YANG GROUP NEW A</t>
  </si>
  <si>
    <t xml:space="preserve">JINXIN FERTILITY GROUP LTD</t>
  </si>
  <si>
    <t xml:space="preserve">600422</t>
  </si>
  <si>
    <t xml:space="preserve">KPC PHARMACEUTICALS INC A</t>
  </si>
  <si>
    <t xml:space="preserve">688396</t>
  </si>
  <si>
    <t xml:space="preserve">CHINA RESOURCES MICROELECT A</t>
  </si>
  <si>
    <t xml:space="preserve">BURG</t>
  </si>
  <si>
    <t xml:space="preserve">BURGAN BANK</t>
  </si>
  <si>
    <t xml:space="preserve">7094</t>
  </si>
  <si>
    <t xml:space="preserve">NEXTONE INC</t>
  </si>
  <si>
    <t xml:space="preserve">AGHC</t>
  </si>
  <si>
    <t xml:space="preserve">AL ARABI GROUP HOLDING CO</t>
  </si>
  <si>
    <t xml:space="preserve">1999</t>
  </si>
  <si>
    <t xml:space="preserve">MAN WAH HOLDINGS LTD</t>
  </si>
  <si>
    <t xml:space="preserve">2810</t>
  </si>
  <si>
    <t xml:space="preserve">HOUSE FOODS GROUP INC</t>
  </si>
  <si>
    <t xml:space="preserve">751</t>
  </si>
  <si>
    <t xml:space="preserve">SKYWORTH GROUP LTD</t>
  </si>
  <si>
    <t xml:space="preserve">600884</t>
  </si>
  <si>
    <t xml:space="preserve">NINGBO SHANSHAN CO LTD A</t>
  </si>
  <si>
    <t xml:space="preserve">API</t>
  </si>
  <si>
    <t xml:space="preserve">AGORA INC ADR</t>
  </si>
  <si>
    <t xml:space="preserve">6125</t>
  </si>
  <si>
    <t xml:space="preserve">KENMEC MECHANICAL ENGINEERIN</t>
  </si>
  <si>
    <t xml:space="preserve">SHIP HEALTHCARE HOLDINGS INC</t>
  </si>
  <si>
    <t xml:space="preserve">600663</t>
  </si>
  <si>
    <t xml:space="preserve">SHANGHAI LUJIAZUI FIN+TRAD A</t>
  </si>
  <si>
    <t xml:space="preserve">300118</t>
  </si>
  <si>
    <t xml:space="preserve">RISEN ENERGY CO LTD A</t>
  </si>
  <si>
    <t xml:space="preserve">MITSUBISHI ESTATE LOGISTICS</t>
  </si>
  <si>
    <t xml:space="preserve">300919</t>
  </si>
  <si>
    <t xml:space="preserve">CNGR ADVANCED MATERIAL CO  A</t>
  </si>
  <si>
    <t xml:space="preserve">GNFC</t>
  </si>
  <si>
    <t xml:space="preserve">GUJARAT NARMADA VALLEY FERT</t>
  </si>
  <si>
    <t xml:space="preserve">TOASO</t>
  </si>
  <si>
    <t xml:space="preserve">TOFAS TURK OTOMOBIL FABRIKA</t>
  </si>
  <si>
    <t xml:space="preserve">Developed / -</t>
  </si>
  <si>
    <t xml:space="preserve">601615</t>
  </si>
  <si>
    <t xml:space="preserve">MING YANG SMART ENERGY GRO A</t>
  </si>
  <si>
    <t xml:space="preserve">688520</t>
  </si>
  <si>
    <t xml:space="preserve">SINOCELLTECH GROUP LTD A</t>
  </si>
  <si>
    <t xml:space="preserve">688383</t>
  </si>
  <si>
    <t xml:space="preserve">SHENZHEN XINYICHANG TECHNO A</t>
  </si>
  <si>
    <t xml:space="preserve">002947</t>
  </si>
  <si>
    <t xml:space="preserve">SUZHOU HENGMINGDA ELECTRON A</t>
  </si>
  <si>
    <t xml:space="preserve">BSDE</t>
  </si>
  <si>
    <t xml:space="preserve">BUMI SERPONG DAMAI PT</t>
  </si>
  <si>
    <t xml:space="preserve">300782</t>
  </si>
  <si>
    <t xml:space="preserve">MAXSCEND MICROELECTRONICS  A</t>
  </si>
  <si>
    <t xml:space="preserve">9945</t>
  </si>
  <si>
    <t xml:space="preserve">RUENTEX DEVELOPMENT CO LTD</t>
  </si>
  <si>
    <t xml:space="preserve">SBB B</t>
  </si>
  <si>
    <t xml:space="preserve">SAMHALLSBYGGNADSBOLAGET I NO</t>
  </si>
  <si>
    <t xml:space="preserve">BICO</t>
  </si>
  <si>
    <t xml:space="preserve">BICO GROUP AB</t>
  </si>
  <si>
    <t xml:space="preserve">ZETRIX</t>
  </si>
  <si>
    <t xml:space="preserve">ZETRIX AI BHD</t>
  </si>
  <si>
    <t xml:space="preserve">ORIENTEL</t>
  </si>
  <si>
    <t xml:space="preserve">ORIENT ELECTRIC LTD</t>
  </si>
  <si>
    <t xml:space="preserve">002139</t>
  </si>
  <si>
    <t xml:space="preserve">SHENZHEN TOPBAND CO LTD  A</t>
  </si>
  <si>
    <t xml:space="preserve">BRN</t>
  </si>
  <si>
    <t xml:space="preserve">BRAINCHIP HOLDINGS LTD</t>
  </si>
  <si>
    <t xml:space="preserve">3287</t>
  </si>
  <si>
    <t xml:space="preserve">HOSHINO RESORTS REIT INC</t>
  </si>
  <si>
    <t xml:space="preserve">300748</t>
  </si>
  <si>
    <t xml:space="preserve">JL MAG RARE EARTH CO LTD A</t>
  </si>
  <si>
    <t xml:space="preserve">002261</t>
  </si>
  <si>
    <t xml:space="preserve">TALKWEB INFORMATION SYSTEM A</t>
  </si>
  <si>
    <t xml:space="preserve">603688</t>
  </si>
  <si>
    <t xml:space="preserve">JIANGSU PACIFIC QUARTZ CO  A</t>
  </si>
  <si>
    <t xml:space="preserve">6278</t>
  </si>
  <si>
    <t xml:space="preserve">TAIWAN SURFACE MOUNTING TECH</t>
  </si>
  <si>
    <t xml:space="preserve">001979</t>
  </si>
  <si>
    <t xml:space="preserve">CHINA MERCHANTS SHEKOU IND A</t>
  </si>
  <si>
    <t xml:space="preserve">HOE</t>
  </si>
  <si>
    <t xml:space="preserve">HINDUSTAN OIL EXPLORATION CO</t>
  </si>
  <si>
    <t xml:space="preserve">301328</t>
  </si>
  <si>
    <t xml:space="preserve">WCON ELECTRONICS CO LTD</t>
  </si>
  <si>
    <t xml:space="preserve">600732</t>
  </si>
  <si>
    <t xml:space="preserve">SHANGHAI AIKO SOLAR ENERGY A</t>
  </si>
  <si>
    <t xml:space="preserve">300253</t>
  </si>
  <si>
    <t xml:space="preserve">WINNING HEALTH TECHNOLOGY A</t>
  </si>
  <si>
    <t xml:space="preserve">ABK</t>
  </si>
  <si>
    <t xml:space="preserve">AL AHLI BANK OF KUWAIT</t>
  </si>
  <si>
    <t xml:space="preserve">A456040</t>
  </si>
  <si>
    <t xml:space="preserve">OCI CO LTD</t>
  </si>
  <si>
    <t xml:space="preserve">3305</t>
  </si>
  <si>
    <t xml:space="preserve">SHENMAO TECHNOLOGY INC</t>
  </si>
  <si>
    <t xml:space="preserve">2186</t>
  </si>
  <si>
    <t xml:space="preserve">LUYE PHARMA GROUP LTD</t>
  </si>
  <si>
    <t xml:space="preserve">3362</t>
  </si>
  <si>
    <t xml:space="preserve">ABILITY OPTO ELECTRONICS TEC</t>
  </si>
  <si>
    <t xml:space="preserve">ICNT</t>
  </si>
  <si>
    <t xml:space="preserve">INDO COUNT INDUSTRIES LTD</t>
  </si>
  <si>
    <t xml:space="preserve">600415</t>
  </si>
  <si>
    <t xml:space="preserve">ZHEJIANG CHINA COMMODITIES A</t>
  </si>
  <si>
    <t xml:space="preserve">VIA TECHNOLOGIES INC</t>
  </si>
  <si>
    <t xml:space="preserve">5904</t>
  </si>
  <si>
    <t xml:space="preserve">POYA INTERNATIONAL CO LTD</t>
  </si>
  <si>
    <t xml:space="preserve">3587</t>
  </si>
  <si>
    <t xml:space="preserve">MATERIALS ANALYSIS TECHNOLOG</t>
  </si>
  <si>
    <t xml:space="preserve">688190</t>
  </si>
  <si>
    <t xml:space="preserve">QINGDAO YUNLU ADVANCED MAT A</t>
  </si>
  <si>
    <t xml:space="preserve">NEXG</t>
  </si>
  <si>
    <t xml:space="preserve">NEXG BHD</t>
  </si>
  <si>
    <t xml:space="preserve">001301</t>
  </si>
  <si>
    <t xml:space="preserve">SHIJIAZHUANG SHANGTAI TECH A</t>
  </si>
  <si>
    <t xml:space="preserve">DDL</t>
  </si>
  <si>
    <t xml:space="preserve">DINGDONG CAYMAN LTD  SPN ADR</t>
  </si>
  <si>
    <t xml:space="preserve">688239</t>
  </si>
  <si>
    <t xml:space="preserve">GUIZHOU AVIATION TECHNICAL A</t>
  </si>
  <si>
    <t xml:space="preserve">002079</t>
  </si>
  <si>
    <t xml:space="preserve">SUZHOU GOOD ARK ELECTRONIC A</t>
  </si>
  <si>
    <t xml:space="preserve">9910</t>
  </si>
  <si>
    <t xml:space="preserve">FENG TAY ENTERPRISE CO LTD</t>
  </si>
  <si>
    <t xml:space="preserve">9969</t>
  </si>
  <si>
    <t xml:space="preserve">INNOCARE PHARMA LTD H</t>
  </si>
  <si>
    <t xml:space="preserve">300516</t>
  </si>
  <si>
    <t xml:space="preserve">HUBEI JIUZHIYANG INFRARED  A</t>
  </si>
  <si>
    <t xml:space="preserve">6808</t>
  </si>
  <si>
    <t xml:space="preserve">SUN ART RETAIL GROUP LTD</t>
  </si>
  <si>
    <t xml:space="preserve">900941</t>
  </si>
  <si>
    <t xml:space="preserve">EASTERN COMMUNICATIONS CO B</t>
  </si>
  <si>
    <t xml:space="preserve">JTLIND</t>
  </si>
  <si>
    <t xml:space="preserve">JTL INDUSTRIES LTD</t>
  </si>
  <si>
    <t xml:space="preserve">300480</t>
  </si>
  <si>
    <t xml:space="preserve">ZHENGZHOU GL TECH CO LTD A</t>
  </si>
  <si>
    <t xml:space="preserve">002567</t>
  </si>
  <si>
    <t xml:space="preserve">TANGRENSHEN GROUP CO LTD A</t>
  </si>
  <si>
    <t xml:space="preserve">000625</t>
  </si>
  <si>
    <t xml:space="preserve">CHONGQING CHANGAN AUTOMOB A</t>
  </si>
  <si>
    <t xml:space="preserve">002372</t>
  </si>
  <si>
    <t xml:space="preserve">ZHEJIANG WEIXING NEW BUILD A</t>
  </si>
  <si>
    <t xml:space="preserve">300395</t>
  </si>
  <si>
    <t xml:space="preserve">HUBEI FEILIHUA QUARTZ GLAS A</t>
  </si>
  <si>
    <t xml:space="preserve">BGRIM-F</t>
  </si>
  <si>
    <t xml:space="preserve">B GRIMM POWER PCL FOREIGN</t>
  </si>
  <si>
    <t xml:space="preserve">440</t>
  </si>
  <si>
    <t xml:space="preserve">DAH SING FINANCIAL HOLDINGS</t>
  </si>
  <si>
    <t xml:space="preserve">AGIG</t>
  </si>
  <si>
    <t xml:space="preserve">AGI GREENPAC LTD</t>
  </si>
  <si>
    <t xml:space="preserve">SBC</t>
  </si>
  <si>
    <t xml:space="preserve">SHIVALIK BIMETAL CONTROLS</t>
  </si>
  <si>
    <t xml:space="preserve">A293490</t>
  </si>
  <si>
    <t xml:space="preserve">KAKAO GAMES CORP</t>
  </si>
  <si>
    <t xml:space="preserve">301050</t>
  </si>
  <si>
    <t xml:space="preserve">CHENGDU RML TECHNOLOGY CO  A</t>
  </si>
  <si>
    <t xml:space="preserve">590A</t>
  </si>
  <si>
    <t xml:space="preserve">GIFTEE GROUP INC</t>
  </si>
  <si>
    <t xml:space="preserve">601128</t>
  </si>
  <si>
    <t xml:space="preserve">JIANGSU CHANGSHU RURAL COM A</t>
  </si>
  <si>
    <t xml:space="preserve">HEMIPROP</t>
  </si>
  <si>
    <t xml:space="preserve">HEMISPHERE PROPERTIES INDIA</t>
  </si>
  <si>
    <t xml:space="preserve">000899</t>
  </si>
  <si>
    <t xml:space="preserve">JIANGXI GANNENG CO A</t>
  </si>
  <si>
    <t xml:space="preserve">MACHVISION INC</t>
  </si>
  <si>
    <t xml:space="preserve">D+L INDUSTRIES INC</t>
  </si>
  <si>
    <t xml:space="preserve">JI</t>
  </si>
  <si>
    <t xml:space="preserve">JAIN IRRIGATION SYSTEMS LTD</t>
  </si>
  <si>
    <t xml:space="preserve">688005</t>
  </si>
  <si>
    <t xml:space="preserve">NINGBO RONBAY NEW ENERGY T A</t>
  </si>
  <si>
    <t xml:space="preserve">301358</t>
  </si>
  <si>
    <t xml:space="preserve">HUNAN YUNENG NEW ENERGY BA A</t>
  </si>
  <si>
    <t xml:space="preserve">688107</t>
  </si>
  <si>
    <t xml:space="preserve">SHANGHAI ANLOGIC INFOTECH  A</t>
  </si>
  <si>
    <t xml:space="preserve">BERA</t>
  </si>
  <si>
    <t xml:space="preserve">BERA HOLDING AS</t>
  </si>
  <si>
    <t xml:space="preserve">UAE DIRHAM</t>
  </si>
  <si>
    <t xml:space="preserve">KUYAS</t>
  </si>
  <si>
    <t xml:space="preserve">KUYUMCUKENT GAYRIMENKUL TATI</t>
  </si>
  <si>
    <t xml:space="preserve">001337</t>
  </si>
  <si>
    <t xml:space="preserve">SICHUAN GOLD CO LTD A</t>
  </si>
  <si>
    <t xml:space="preserve">002672</t>
  </si>
  <si>
    <t xml:space="preserve">DONGJIANG ENVIRONMENTAL CO A</t>
  </si>
  <si>
    <t xml:space="preserve">INGENTEC CORP</t>
  </si>
  <si>
    <t xml:space="preserve">3880</t>
  </si>
  <si>
    <t xml:space="preserve">DAIO PAPER CORP</t>
  </si>
  <si>
    <t xml:space="preserve">MALATH INSURANCE</t>
  </si>
  <si>
    <t xml:space="preserve">POLISH ZLOTY</t>
  </si>
  <si>
    <t xml:space="preserve">002939</t>
  </si>
  <si>
    <t xml:space="preserve">CHINA GREAT WALL SECURITIE A</t>
  </si>
  <si>
    <t xml:space="preserve">EU</t>
  </si>
  <si>
    <t xml:space="preserve">ENCORE ENERGY CORP</t>
  </si>
  <si>
    <t xml:space="preserve">603228</t>
  </si>
  <si>
    <t xml:space="preserve">SHENZHEN KINWONG ELECTRONI A</t>
  </si>
  <si>
    <t xml:space="preserve">REPCO</t>
  </si>
  <si>
    <t xml:space="preserve">REPCO HOME FINANCE LTD</t>
  </si>
  <si>
    <t xml:space="preserve">YEOTK</t>
  </si>
  <si>
    <t xml:space="preserve">YEO TEKNOLOJI ENERJI VE ENDU</t>
  </si>
  <si>
    <t xml:space="preserve">002487</t>
  </si>
  <si>
    <t xml:space="preserve">DAJIN HEAVY INDUSTRY CO LT A</t>
  </si>
  <si>
    <t xml:space="preserve">002897</t>
  </si>
  <si>
    <t xml:space="preserve">WENZHOU YIHUA CONNECTOR CO A</t>
  </si>
  <si>
    <t xml:space="preserve">GAKUJO CO LTD</t>
  </si>
  <si>
    <t xml:space="preserve">300438</t>
  </si>
  <si>
    <t xml:space="preserve">GUANGZHOU GREAT POWER ENER A</t>
  </si>
  <si>
    <t xml:space="preserve">ASCN</t>
  </si>
  <si>
    <t xml:space="preserve">ASCOM HOLDING AG REG</t>
  </si>
  <si>
    <t xml:space="preserve">A005250</t>
  </si>
  <si>
    <t xml:space="preserve">GC CORP</t>
  </si>
  <si>
    <t xml:space="preserve">000728</t>
  </si>
  <si>
    <t xml:space="preserve">GUOYUAN SECURITIES CO LTD A</t>
  </si>
  <si>
    <t xml:space="preserve">6002</t>
  </si>
  <si>
    <t xml:space="preserve">HERFY FOOD SERVICES CO</t>
  </si>
  <si>
    <t xml:space="preserve">799</t>
  </si>
  <si>
    <t xml:space="preserve">IGG INC</t>
  </si>
  <si>
    <t xml:space="preserve">4927</t>
  </si>
  <si>
    <t xml:space="preserve">POLA ORBIS HOLDINGS INC</t>
  </si>
  <si>
    <t xml:space="preserve">IRB</t>
  </si>
  <si>
    <t xml:space="preserve">IRB INFRASTRUCTURE DEVELOPER</t>
  </si>
  <si>
    <t xml:space="preserve">3617</t>
  </si>
  <si>
    <t xml:space="preserve">CYBERPOWER SYSTEMS INC</t>
  </si>
  <si>
    <t xml:space="preserve">179</t>
  </si>
  <si>
    <t xml:space="preserve">JOHNSON ELECTRIC HOLDINGS</t>
  </si>
  <si>
    <t xml:space="preserve">A361610</t>
  </si>
  <si>
    <t xml:space="preserve">SK IE TECHNOLOGY CO LTD</t>
  </si>
  <si>
    <t xml:space="preserve">5236</t>
  </si>
  <si>
    <t xml:space="preserve">SUNPLUS INNOVATION TECHNOLOG</t>
  </si>
  <si>
    <t xml:space="preserve">603939</t>
  </si>
  <si>
    <t xml:space="preserve">YIFENG PHARMACY CHAIN CO L A</t>
  </si>
  <si>
    <t xml:space="preserve">3466</t>
  </si>
  <si>
    <t xml:space="preserve">LASALLE LOGIPORT REIT</t>
  </si>
  <si>
    <t xml:space="preserve">2369</t>
  </si>
  <si>
    <t xml:space="preserve">LINGSEN PRECISION INDUSTRIES</t>
  </si>
  <si>
    <t xml:space="preserve">VAMP</t>
  </si>
  <si>
    <t xml:space="preserve">VOLTAMP TRANSFORMERS LTD</t>
  </si>
  <si>
    <t xml:space="preserve">KRDMD</t>
  </si>
  <si>
    <t xml:space="preserve">KARDEMIR KARABUK DEMIR CL D</t>
  </si>
  <si>
    <t xml:space="preserve">6110</t>
  </si>
  <si>
    <t xml:space="preserve">TOPSPORTS INTERNATIONAL HOLD</t>
  </si>
  <si>
    <t xml:space="preserve">603105</t>
  </si>
  <si>
    <t xml:space="preserve">ZHEJIANG SUNOREN SOLAR TECHN</t>
  </si>
  <si>
    <t xml:space="preserve">1608</t>
  </si>
  <si>
    <t xml:space="preserve">HUA ENG WIRE + CABLE CO LTD</t>
  </si>
  <si>
    <t xml:space="preserve">605168</t>
  </si>
  <si>
    <t xml:space="preserve">THREE S CO FUTURE TECHNOLO A</t>
  </si>
  <si>
    <t xml:space="preserve">JM FINANCIAL LTD</t>
  </si>
  <si>
    <t xml:space="preserve">HZ</t>
  </si>
  <si>
    <t xml:space="preserve">HINDUSTAN ZINC LTD</t>
  </si>
  <si>
    <t xml:space="preserve">ALPM</t>
  </si>
  <si>
    <t xml:space="preserve">ALEMBIC PHARMACEUTICALS LTD</t>
  </si>
  <si>
    <t xml:space="preserve">000723</t>
  </si>
  <si>
    <t xml:space="preserve">SHANXI MEIJIN ENERGY CO LT A</t>
  </si>
  <si>
    <t xml:space="preserve">2196</t>
  </si>
  <si>
    <t xml:space="preserve">SHANGHAI FOSUN PHARMACEUTI H</t>
  </si>
  <si>
    <t xml:space="preserve">ARJO B</t>
  </si>
  <si>
    <t xml:space="preserve">ARJO AB   B SHARES</t>
  </si>
  <si>
    <t xml:space="preserve">600576</t>
  </si>
  <si>
    <t xml:space="preserve">ZHEJIANG SUNRIVER CULTURE  A</t>
  </si>
  <si>
    <t xml:space="preserve">002191</t>
  </si>
  <si>
    <t xml:space="preserve">SHENZHEN JINJIA GROUP CO L A</t>
  </si>
  <si>
    <t xml:space="preserve">BANK JAGO TBK PT</t>
  </si>
  <si>
    <t xml:space="preserve">000686</t>
  </si>
  <si>
    <t xml:space="preserve">NORTHEAST SECURITIES CO LT A</t>
  </si>
  <si>
    <t xml:space="preserve">9958</t>
  </si>
  <si>
    <t xml:space="preserve">CENTURY IRON + STEEL INDUS</t>
  </si>
  <si>
    <t xml:space="preserve">FNXP</t>
  </si>
  <si>
    <t xml:space="preserve">FINOLEX INDUSTRIES LTD</t>
  </si>
  <si>
    <t xml:space="preserve">002506</t>
  </si>
  <si>
    <t xml:space="preserve">GCL SYSTEM INTEGRATION TEC A</t>
  </si>
  <si>
    <t xml:space="preserve">ALOK</t>
  </si>
  <si>
    <t xml:space="preserve">ALOK INDUSTRIES LTD</t>
  </si>
  <si>
    <t xml:space="preserve">300390</t>
  </si>
  <si>
    <t xml:space="preserve">CANMAX TECHNOLOGIES CO LTD A</t>
  </si>
  <si>
    <t xml:space="preserve">GLYHO</t>
  </si>
  <si>
    <t xml:space="preserve">GLOBAL YATIRIM HOLDING AS</t>
  </si>
  <si>
    <t xml:space="preserve">000090</t>
  </si>
  <si>
    <t xml:space="preserve">SHENZHEN TAGEN GROUP CO  A</t>
  </si>
  <si>
    <t xml:space="preserve">300354</t>
  </si>
  <si>
    <t xml:space="preserve">DONGHUA TESTING TECHNOLOGY A</t>
  </si>
  <si>
    <t xml:space="preserve">ABACUS GROUP</t>
  </si>
  <si>
    <t xml:space="preserve">AFYA</t>
  </si>
  <si>
    <t xml:space="preserve">AFYA LTD CLASS A</t>
  </si>
  <si>
    <t xml:space="preserve">688016</t>
  </si>
  <si>
    <t xml:space="preserve">SHANGHAI MICROPORT ENDOVAS A</t>
  </si>
  <si>
    <t xml:space="preserve">ICEM</t>
  </si>
  <si>
    <t xml:space="preserve">INDIA CEMENTS LTD</t>
  </si>
  <si>
    <t xml:space="preserve">UNISEM</t>
  </si>
  <si>
    <t xml:space="preserve">UNISEM (M) BERHAD</t>
  </si>
  <si>
    <t xml:space="preserve">002824</t>
  </si>
  <si>
    <t xml:space="preserve">GUANGDONG HOSHION ALUMINIU A</t>
  </si>
  <si>
    <t xml:space="preserve">4534</t>
  </si>
  <si>
    <t xml:space="preserve">MOCHIDA PHARMACEUTICAL CO</t>
  </si>
  <si>
    <t xml:space="preserve">6788</t>
  </si>
  <si>
    <t xml:space="preserve">BRILLIAN NETWORK + AUTOMATIO</t>
  </si>
  <si>
    <t xml:space="preserve">1333</t>
  </si>
  <si>
    <t xml:space="preserve">UMIOS CORP</t>
  </si>
  <si>
    <t xml:space="preserve">300507</t>
  </si>
  <si>
    <t xml:space="preserve">JIANGSU OLIVE SENSORS HIGH A</t>
  </si>
  <si>
    <t xml:space="preserve">PSL-F</t>
  </si>
  <si>
    <t xml:space="preserve">PRECIOUS SHIPPING PCL FORGN</t>
  </si>
  <si>
    <t xml:space="preserve">AMLAK</t>
  </si>
  <si>
    <t xml:space="preserve">AMLAK FINANCE</t>
  </si>
  <si>
    <t xml:space="preserve">IIFLCAPS</t>
  </si>
  <si>
    <t xml:space="preserve">IIFL CAPITAL SERVICES LTD</t>
  </si>
  <si>
    <t xml:space="preserve">603699</t>
  </si>
  <si>
    <t xml:space="preserve">NEWAY VALVE SUZHOU CO LTD A</t>
  </si>
  <si>
    <t xml:space="preserve">A460860</t>
  </si>
  <si>
    <t xml:space="preserve">DONGKUK STEEL MILL CO LTD/NE</t>
  </si>
  <si>
    <t xml:space="preserve">300364</t>
  </si>
  <si>
    <t xml:space="preserve">COL GLOBAL CO LTD A</t>
  </si>
  <si>
    <t xml:space="preserve">603606</t>
  </si>
  <si>
    <t xml:space="preserve">NINGBO ORIENT WIRES + CABL A</t>
  </si>
  <si>
    <t xml:space="preserve">4330</t>
  </si>
  <si>
    <t xml:space="preserve">RIYAD REIT FUND</t>
  </si>
  <si>
    <t xml:space="preserve">CHEMANOL</t>
  </si>
  <si>
    <t xml:space="preserve">METHANOL CHEMICALS CO</t>
  </si>
  <si>
    <t xml:space="preserve">SUNF</t>
  </si>
  <si>
    <t xml:space="preserve">SUNFLAG IRON + STEEL CO LTD</t>
  </si>
  <si>
    <t xml:space="preserve">2039</t>
  </si>
  <si>
    <t xml:space="preserve">CHINA INTERNATIONAL MARINE H</t>
  </si>
  <si>
    <t xml:space="preserve">SHCR</t>
  </si>
  <si>
    <t xml:space="preserve">SHARDA CROPCHEM LTD</t>
  </si>
  <si>
    <t xml:space="preserve">VEEDOL</t>
  </si>
  <si>
    <t xml:space="preserve">VEEDOL CORPORATION LTD</t>
  </si>
  <si>
    <t xml:space="preserve">688390</t>
  </si>
  <si>
    <t xml:space="preserve">GOODWE TECHNOLOGIES CO LTD A</t>
  </si>
  <si>
    <t xml:space="preserve">LH-F</t>
  </si>
  <si>
    <t xml:space="preserve">LAND + HOUSES PUB CO FOR REG</t>
  </si>
  <si>
    <t xml:space="preserve">000825</t>
  </si>
  <si>
    <t xml:space="preserve">SHANXI TAIGANG STAINLESS A</t>
  </si>
  <si>
    <t xml:space="preserve">COFFEE B</t>
  </si>
  <si>
    <t xml:space="preserve">COFFEE STAIN GROUP AB B</t>
  </si>
  <si>
    <t xml:space="preserve">MCG</t>
  </si>
  <si>
    <t xml:space="preserve">MOBICO GROUP PLC</t>
  </si>
  <si>
    <t xml:space="preserve">600817</t>
  </si>
  <si>
    <t xml:space="preserve">YUTONG HEAVY INDUSTRIES CO A</t>
  </si>
  <si>
    <t xml:space="preserve">2013</t>
  </si>
  <si>
    <t xml:space="preserve">WEIMOB INC</t>
  </si>
  <si>
    <t xml:space="preserve">601995</t>
  </si>
  <si>
    <t xml:space="preserve">CHINA INTERNATIONAL CAPTAL A</t>
  </si>
  <si>
    <t xml:space="preserve">YULON MOTOR COMPANY</t>
  </si>
  <si>
    <t xml:space="preserve">LOGO</t>
  </si>
  <si>
    <t xml:space="preserve">LOGO YAZILIM SANAYI VE TICAR</t>
  </si>
  <si>
    <t xml:space="preserve">CRAFTSMA</t>
  </si>
  <si>
    <t xml:space="preserve">CRAFTSMAN AUTOMATION LTD</t>
  </si>
  <si>
    <t xml:space="preserve">1541</t>
  </si>
  <si>
    <t xml:space="preserve">IMMUNEONCO BIOPHARMACEUTIC H</t>
  </si>
  <si>
    <t xml:space="preserve">INMART</t>
  </si>
  <si>
    <t xml:space="preserve">INDIAMART INTERMESH LTD</t>
  </si>
  <si>
    <t xml:space="preserve">ADVANC</t>
  </si>
  <si>
    <t xml:space="preserve">ADVANCED INFO SERVICE NVDR</t>
  </si>
  <si>
    <t xml:space="preserve">VICO</t>
  </si>
  <si>
    <t xml:space="preserve">VICORE PHARMA HOLDING AB</t>
  </si>
  <si>
    <t xml:space="preserve">600153</t>
  </si>
  <si>
    <t xml:space="preserve">XIAMEN C + D INC A</t>
  </si>
  <si>
    <t xml:space="preserve">000893</t>
  </si>
  <si>
    <t xml:space="preserve">ASIA POTASH INTERNATIONAL A</t>
  </si>
  <si>
    <t xml:space="preserve">002378</t>
  </si>
  <si>
    <t xml:space="preserve">CHONGYI ZHANGYUAN TUNGSTEN A</t>
  </si>
  <si>
    <t xml:space="preserve">9601</t>
  </si>
  <si>
    <t xml:space="preserve">SHOCHIKU CO LTD</t>
  </si>
  <si>
    <t xml:space="preserve">300951</t>
  </si>
  <si>
    <t xml:space="preserve">SHENZHEN BSC TECHNOLOGY CO A</t>
  </si>
  <si>
    <t xml:space="preserve">601799</t>
  </si>
  <si>
    <t xml:space="preserve">CHANGZHOU XINGYU AUTOMOTIV A</t>
  </si>
  <si>
    <t xml:space="preserve">RAKCEC</t>
  </si>
  <si>
    <t xml:space="preserve">RAS AL KHAIMAH CERAMICS PJSC</t>
  </si>
  <si>
    <t xml:space="preserve">6004</t>
  </si>
  <si>
    <t xml:space="preserve">CATRION CATERING HOLDING CO</t>
  </si>
  <si>
    <t xml:space="preserve">4142</t>
  </si>
  <si>
    <t xml:space="preserve">ADIMMUNE CORP</t>
  </si>
  <si>
    <t xml:space="preserve">300842</t>
  </si>
  <si>
    <t xml:space="preserve">WUXI DK ELECTRONIC MATERIA A</t>
  </si>
  <si>
    <t xml:space="preserve">001287</t>
  </si>
  <si>
    <t xml:space="preserve">SHENZHEN CECPORT TECHNOLOG A</t>
  </si>
  <si>
    <t xml:space="preserve">3282</t>
  </si>
  <si>
    <t xml:space="preserve">COMFORIA RESIDENTIAL REIT IN</t>
  </si>
  <si>
    <t xml:space="preserve">LHC</t>
  </si>
  <si>
    <t xml:space="preserve">LIFE HEALTHCARE GROUP HOLDIN</t>
  </si>
  <si>
    <t xml:space="preserve">002405</t>
  </si>
  <si>
    <t xml:space="preserve">NAVINFO CO LTD A</t>
  </si>
  <si>
    <t xml:space="preserve">5340</t>
  </si>
  <si>
    <t xml:space="preserve">BAOTEK INDUSTRIAL MATERIALS</t>
  </si>
  <si>
    <t xml:space="preserve">600563</t>
  </si>
  <si>
    <t xml:space="preserve">XIAMEN FARATRONIC CO LTD A</t>
  </si>
  <si>
    <t xml:space="preserve">NSLNISP</t>
  </si>
  <si>
    <t xml:space="preserve">NMDC STEEL LTD</t>
  </si>
  <si>
    <t xml:space="preserve">VOLCARB</t>
  </si>
  <si>
    <t xml:space="preserve">VOLVO CAR AB B</t>
  </si>
  <si>
    <t xml:space="preserve">ISCD</t>
  </si>
  <si>
    <t xml:space="preserve">ISRACARD LTD</t>
  </si>
  <si>
    <t xml:space="preserve">6547</t>
  </si>
  <si>
    <t xml:space="preserve">MEDIGEN VACCINE BIOLOGICS</t>
  </si>
  <si>
    <t xml:space="preserve">688223</t>
  </si>
  <si>
    <t xml:space="preserve">JINKO SOLAR CO LTD A</t>
  </si>
  <si>
    <t xml:space="preserve">301048</t>
  </si>
  <si>
    <t xml:space="preserve">GEMAC ENGINEERING MACHINER A</t>
  </si>
  <si>
    <t xml:space="preserve">300102</t>
  </si>
  <si>
    <t xml:space="preserve">XIAMEN CHANGELIGHT CO LTD A</t>
  </si>
  <si>
    <t xml:space="preserve">8956</t>
  </si>
  <si>
    <t xml:space="preserve">NTT UD REIT INVESTMENT CORP</t>
  </si>
  <si>
    <t xml:space="preserve">AMRN</t>
  </si>
  <si>
    <t xml:space="preserve">AMARIN CORP PLC  ADR</t>
  </si>
  <si>
    <t xml:space="preserve">1691</t>
  </si>
  <si>
    <t xml:space="preserve">JS GLOBAL LIFESTYLE CO LTD</t>
  </si>
  <si>
    <t xml:space="preserve">3689</t>
  </si>
  <si>
    <t xml:space="preserve">UDE CORP</t>
  </si>
  <si>
    <t xml:space="preserve">DAVA</t>
  </si>
  <si>
    <t xml:space="preserve">ENDAVA PLC  SPON ADR</t>
  </si>
  <si>
    <t xml:space="preserve">A078340</t>
  </si>
  <si>
    <t xml:space="preserve">COM2US CORP</t>
  </si>
  <si>
    <t xml:space="preserve">RLXF</t>
  </si>
  <si>
    <t xml:space="preserve">RELAXO FOOTWEARS LTD</t>
  </si>
  <si>
    <t xml:space="preserve">1918</t>
  </si>
  <si>
    <t xml:space="preserve">SUNAC CHINA HOLDINGS LTD</t>
  </si>
  <si>
    <t xml:space="preserve">7780</t>
  </si>
  <si>
    <t xml:space="preserve">MENICON CO LTD</t>
  </si>
  <si>
    <t xml:space="preserve">300451</t>
  </si>
  <si>
    <t xml:space="preserve">B SOFT CO LTD A</t>
  </si>
  <si>
    <t xml:space="preserve">1504</t>
  </si>
  <si>
    <t xml:space="preserve">TECO ELECTRIC + MACHINERY</t>
  </si>
  <si>
    <t xml:space="preserve">A194480</t>
  </si>
  <si>
    <t xml:space="preserve">DEVSISTERS CO LTD</t>
  </si>
  <si>
    <t xml:space="preserve">3707</t>
  </si>
  <si>
    <t xml:space="preserve">EPISIL TECHNOLOGIES INC</t>
  </si>
  <si>
    <t xml:space="preserve">000960</t>
  </si>
  <si>
    <t xml:space="preserve">YUNNAN TIN CO LTD A</t>
  </si>
  <si>
    <t xml:space="preserve">ORRON</t>
  </si>
  <si>
    <t xml:space="preserve">ORRON ENERGY AB</t>
  </si>
  <si>
    <t xml:space="preserve">2363</t>
  </si>
  <si>
    <t xml:space="preserve">SILICON INTEGRATED SYSTEMS</t>
  </si>
  <si>
    <t xml:space="preserve">603738</t>
  </si>
  <si>
    <t xml:space="preserve">TKD SCIENCE AND TECHNOLOGY A</t>
  </si>
  <si>
    <t xml:space="preserve">002354</t>
  </si>
  <si>
    <t xml:space="preserve">TIANYU DIGITAL TECHNOLOGY A</t>
  </si>
  <si>
    <t xml:space="preserve">600452</t>
  </si>
  <si>
    <t xml:space="preserve">CHONGQING FULING ELECTRIC A</t>
  </si>
  <si>
    <t xml:space="preserve">1FRVIA</t>
  </si>
  <si>
    <t xml:space="preserve">1205</t>
  </si>
  <si>
    <t xml:space="preserve">CITIC RESOURCES HOLDINGS LTD</t>
  </si>
  <si>
    <t xml:space="preserve">000050</t>
  </si>
  <si>
    <t xml:space="preserve">TIANMA MICROELECTRONICS A</t>
  </si>
  <si>
    <t xml:space="preserve">PNBN</t>
  </si>
  <si>
    <t xml:space="preserve">BANK PAN INDONESIA TBK PT</t>
  </si>
  <si>
    <t xml:space="preserve">002456</t>
  </si>
  <si>
    <t xml:space="preserve">OFILM GROUP CO LTD A</t>
  </si>
  <si>
    <t xml:space="preserve">A092730</t>
  </si>
  <si>
    <t xml:space="preserve">NEOPHARM CO LTD</t>
  </si>
  <si>
    <t xml:space="preserve">002617</t>
  </si>
  <si>
    <t xml:space="preserve">ROSHOW TECHNOLOGY CO LTD A</t>
  </si>
  <si>
    <t xml:space="preserve">002390</t>
  </si>
  <si>
    <t xml:space="preserve">GUIZHOU XINBANG PHARMACEUT A</t>
  </si>
  <si>
    <t xml:space="preserve">A452260</t>
  </si>
  <si>
    <t xml:space="preserve">HANWHA GALLERIA CO LTD</t>
  </si>
  <si>
    <t xml:space="preserve">6712</t>
  </si>
  <si>
    <t xml:space="preserve">EVER SUPREME BIO TECH CO LTD</t>
  </si>
  <si>
    <t xml:space="preserve">688556</t>
  </si>
  <si>
    <t xml:space="preserve">QINGDAO GAOCE TECHNOLOGY C A</t>
  </si>
  <si>
    <t xml:space="preserve">FIEM</t>
  </si>
  <si>
    <t xml:space="preserve">FIEM INDUSTRIES LTD</t>
  </si>
  <si>
    <t xml:space="preserve">688188</t>
  </si>
  <si>
    <t xml:space="preserve">SHANGHAI BOCHU ELECTRONIC A</t>
  </si>
  <si>
    <t xml:space="preserve">000538</t>
  </si>
  <si>
    <t xml:space="preserve">YUNNAN BAIYAO GROUP CO LTD A</t>
  </si>
  <si>
    <t xml:space="preserve">688122</t>
  </si>
  <si>
    <t xml:space="preserve">WESTERN SUPERCONDUCTING TE A</t>
  </si>
  <si>
    <t xml:space="preserve">GRAV</t>
  </si>
  <si>
    <t xml:space="preserve">GRAVITA INDIA LTD</t>
  </si>
  <si>
    <t xml:space="preserve">301171</t>
  </si>
  <si>
    <t xml:space="preserve">EASY CLICK WORLDWIDE NETWO A</t>
  </si>
  <si>
    <t xml:space="preserve">300593</t>
  </si>
  <si>
    <t xml:space="preserve">BEIJING RELPOW TECHNOLOGY A</t>
  </si>
  <si>
    <t xml:space="preserve">ZH</t>
  </si>
  <si>
    <t xml:space="preserve">ZHIHU INC  ADR</t>
  </si>
  <si>
    <t xml:space="preserve">MAXIS</t>
  </si>
  <si>
    <t xml:space="preserve">MAXIS BHD</t>
  </si>
  <si>
    <t xml:space="preserve">8961</t>
  </si>
  <si>
    <t xml:space="preserve">MORI TRUST REIT INC</t>
  </si>
  <si>
    <t xml:space="preserve">A064550</t>
  </si>
  <si>
    <t xml:space="preserve">BIONEER CORP</t>
  </si>
  <si>
    <t xml:space="preserve">002065</t>
  </si>
  <si>
    <t xml:space="preserve">DHC SOFTWARE CO LTD  A</t>
  </si>
  <si>
    <t xml:space="preserve">4147</t>
  </si>
  <si>
    <t xml:space="preserve">TAIMED BIOLOGICS INC</t>
  </si>
  <si>
    <t xml:space="preserve">600273</t>
  </si>
  <si>
    <t xml:space="preserve">ZHEJIANG JIAHUA ENERGY CHE A</t>
  </si>
  <si>
    <t xml:space="preserve">600436</t>
  </si>
  <si>
    <t xml:space="preserve">ZHANGZHOU PIENTZEHUANG PHA A</t>
  </si>
  <si>
    <t xml:space="preserve">JKPAPER</t>
  </si>
  <si>
    <t xml:space="preserve">JK PAPER LTD</t>
  </si>
  <si>
    <t xml:space="preserve">VI</t>
  </si>
  <si>
    <t xml:space="preserve">VESUVIUS INDIA LTD</t>
  </si>
  <si>
    <t xml:space="preserve">600916</t>
  </si>
  <si>
    <t xml:space="preserve">CHINA NATIONAL GOLD GROUP  A</t>
  </si>
  <si>
    <t xml:space="preserve">ANUP</t>
  </si>
  <si>
    <t xml:space="preserve">ANUP ENGINEERING LIMITED/THE</t>
  </si>
  <si>
    <t xml:space="preserve">9627</t>
  </si>
  <si>
    <t xml:space="preserve">AIN HOLDINGS INC</t>
  </si>
  <si>
    <t xml:space="preserve">9863</t>
  </si>
  <si>
    <t xml:space="preserve">ZHEJIANG LEAPMOTOR TECHNOL H</t>
  </si>
  <si>
    <t xml:space="preserve">JAS-F</t>
  </si>
  <si>
    <t xml:space="preserve">JASMINE INTL PCL FOREIGN</t>
  </si>
  <si>
    <t xml:space="preserve">BD</t>
  </si>
  <si>
    <t xml:space="preserve">BOMBAY DYEING + MFG CO LTD</t>
  </si>
  <si>
    <t xml:space="preserve">601222</t>
  </si>
  <si>
    <t xml:space="preserve">JIANGSU LINYANG ENERGY CO  A</t>
  </si>
  <si>
    <t xml:space="preserve">ABFRL</t>
  </si>
  <si>
    <t xml:space="preserve">ADITYA BIRLA FASHION AND RET</t>
  </si>
  <si>
    <t xml:space="preserve">000629</t>
  </si>
  <si>
    <t xml:space="preserve">PANGANG GROUP VANADIUM TIT A</t>
  </si>
  <si>
    <t xml:space="preserve">7947</t>
  </si>
  <si>
    <t xml:space="preserve">FP CORP</t>
  </si>
  <si>
    <t xml:space="preserve">MRVE3</t>
  </si>
  <si>
    <t xml:space="preserve">MRV ENGENHARIA</t>
  </si>
  <si>
    <t xml:space="preserve">600032</t>
  </si>
  <si>
    <t xml:space="preserve">ZHEJIANG PROVINCIAL NEW EN A</t>
  </si>
  <si>
    <t xml:space="preserve">002387</t>
  </si>
  <si>
    <t xml:space="preserve">VISIONOX TECHNOLOGY INC A</t>
  </si>
  <si>
    <t xml:space="preserve">000537</t>
  </si>
  <si>
    <t xml:space="preserve">GREEN DEVELOPMENT ELECTRIC A</t>
  </si>
  <si>
    <t xml:space="preserve">688388</t>
  </si>
  <si>
    <t xml:space="preserve">GUANGDONG JIA YUAN TECHNOL A</t>
  </si>
  <si>
    <t xml:space="preserve">1773</t>
  </si>
  <si>
    <t xml:space="preserve">TIANLI INTERNATIONAL HOLDING</t>
  </si>
  <si>
    <t xml:space="preserve">000718</t>
  </si>
  <si>
    <t xml:space="preserve">SUNING UNIVERSAL CO LTD A</t>
  </si>
  <si>
    <t xml:space="preserve">6620</t>
  </si>
  <si>
    <t xml:space="preserve">HANDA PHARMACEUTICALS INC</t>
  </si>
  <si>
    <t xml:space="preserve">BORORENE</t>
  </si>
  <si>
    <t xml:space="preserve">BOROSIL RENEWABLES LTD</t>
  </si>
  <si>
    <t xml:space="preserve">688085</t>
  </si>
  <si>
    <t xml:space="preserve">SHANGHAI SANYOU MEDICAL CO A</t>
  </si>
  <si>
    <t xml:space="preserve">000617</t>
  </si>
  <si>
    <t xml:space="preserve">CNPC CAPITAL CO LTD A</t>
  </si>
  <si>
    <t xml:space="preserve">002315</t>
  </si>
  <si>
    <t xml:space="preserve">FOCUS TECHNOLOGY CO LTD A</t>
  </si>
  <si>
    <t xml:space="preserve">600058</t>
  </si>
  <si>
    <t xml:space="preserve">MINMETALS DEVELOPMENT CO A</t>
  </si>
  <si>
    <t xml:space="preserve">002677</t>
  </si>
  <si>
    <t xml:space="preserve">ZHEJIANG MEIDA INDUSTRIAL A</t>
  </si>
  <si>
    <t xml:space="preserve">600617</t>
  </si>
  <si>
    <t xml:space="preserve">SHANXI GUOXIN ENERGY CORP A</t>
  </si>
  <si>
    <t xml:space="preserve">3169</t>
  </si>
  <si>
    <t xml:space="preserve">ASIX ELECTRONICS CORPORATION</t>
  </si>
  <si>
    <t xml:space="preserve">300456</t>
  </si>
  <si>
    <t xml:space="preserve">SAI MICROELECTRONICS INC A</t>
  </si>
  <si>
    <t xml:space="preserve">3002</t>
  </si>
  <si>
    <t xml:space="preserve">NAJRAN CEMENT CO</t>
  </si>
  <si>
    <t xml:space="preserve">2594</t>
  </si>
  <si>
    <t xml:space="preserve">KEY COFFEE INC</t>
  </si>
  <si>
    <t xml:space="preserve">300820</t>
  </si>
  <si>
    <t xml:space="preserve">SICHUAN INJET ELECTRIC CO  A</t>
  </si>
  <si>
    <t xml:space="preserve">BLDN</t>
  </si>
  <si>
    <t xml:space="preserve">BALADNA</t>
  </si>
  <si>
    <t xml:space="preserve">600577</t>
  </si>
  <si>
    <t xml:space="preserve">TONGLING JINGDA SPECIAL A</t>
  </si>
  <si>
    <t xml:space="preserve">GESCO</t>
  </si>
  <si>
    <t xml:space="preserve">GREAT EASTERN SHIPPING CO F</t>
  </si>
  <si>
    <t xml:space="preserve">2158</t>
  </si>
  <si>
    <t xml:space="preserve">YIDU TECH INC</t>
  </si>
  <si>
    <t xml:space="preserve">1558</t>
  </si>
  <si>
    <t xml:space="preserve">ZENG HSING INDUSTRIAL CO LTD</t>
  </si>
  <si>
    <t xml:space="preserve">002812</t>
  </si>
  <si>
    <t xml:space="preserve">YUNNAN ENERGY NEW MATERIAL A</t>
  </si>
  <si>
    <t xml:space="preserve">600207</t>
  </si>
  <si>
    <t xml:space="preserve">HENAN ANCAI HI TECH CO A</t>
  </si>
  <si>
    <t xml:space="preserve">SMGR</t>
  </si>
  <si>
    <t xml:space="preserve">SEMEN INDONESIA PERSERO TBK</t>
  </si>
  <si>
    <t xml:space="preserve">CPNREI/F</t>
  </si>
  <si>
    <t xml:space="preserve">CPN RETAIL GROWTH LEASEH FOR</t>
  </si>
  <si>
    <t xml:space="preserve">603662</t>
  </si>
  <si>
    <t xml:space="preserve">KELI SENSING TECHNOLOGY NI A</t>
  </si>
  <si>
    <t xml:space="preserve">002432</t>
  </si>
  <si>
    <t xml:space="preserve">ANDON HEALTH CO LTD A</t>
  </si>
  <si>
    <t xml:space="preserve">002099</t>
  </si>
  <si>
    <t xml:space="preserve">ZHEJIANG HISOAR PHARM  A</t>
  </si>
  <si>
    <t xml:space="preserve">TSKB</t>
  </si>
  <si>
    <t xml:space="preserve">TURKIYE SINAI KALKINMA BANK</t>
  </si>
  <si>
    <t xml:space="preserve">2811</t>
  </si>
  <si>
    <t xml:space="preserve">KAGOME CO LTD</t>
  </si>
  <si>
    <t xml:space="preserve">3588</t>
  </si>
  <si>
    <t xml:space="preserve">LEADTREND TECHNOLOGY CORP</t>
  </si>
  <si>
    <t xml:space="preserve">GHITHA</t>
  </si>
  <si>
    <t xml:space="preserve">GHITHA HOLDING PJSC</t>
  </si>
  <si>
    <t xml:space="preserve">AKFYE</t>
  </si>
  <si>
    <t xml:space="preserve">AKFEN YENILENEBILIR ENERJI A</t>
  </si>
  <si>
    <t xml:space="preserve">3296</t>
  </si>
  <si>
    <t xml:space="preserve">NIPPON REIT INVESTMENT CORP</t>
  </si>
  <si>
    <t xml:space="preserve">688278</t>
  </si>
  <si>
    <t xml:space="preserve">XIAMEN AMOYTOP BIOTECH CO  A</t>
  </si>
  <si>
    <t xml:space="preserve">3016</t>
  </si>
  <si>
    <t xml:space="preserve">EPISIL PRECISION INC</t>
  </si>
  <si>
    <t xml:space="preserve">200012</t>
  </si>
  <si>
    <t xml:space="preserve">CSG HOLDING CO LTD   B</t>
  </si>
  <si>
    <t xml:space="preserve">J+V ENERGY TECHNOLOGY CO LTD</t>
  </si>
  <si>
    <t xml:space="preserve">1316</t>
  </si>
  <si>
    <t xml:space="preserve">NEXTEER AUTOMOTIVE GROUP LTD</t>
  </si>
  <si>
    <t xml:space="preserve">RVRC</t>
  </si>
  <si>
    <t xml:space="preserve">RVRC HOLDING AB</t>
  </si>
  <si>
    <t xml:space="preserve">SUMICHEM</t>
  </si>
  <si>
    <t xml:space="preserve">SUMITOMO CHEMICAL INDIA LTD</t>
  </si>
  <si>
    <t xml:space="preserve">KKF</t>
  </si>
  <si>
    <t xml:space="preserve">KIRLOSKAR FERROUS INDUS LTD</t>
  </si>
  <si>
    <t xml:space="preserve">600116</t>
  </si>
  <si>
    <t xml:space="preserve">CHONGQING THREE GORGES A</t>
  </si>
  <si>
    <t xml:space="preserve">2869</t>
  </si>
  <si>
    <t xml:space="preserve">GREENTOWN SERVICE GROUP CO L</t>
  </si>
  <si>
    <t xml:space="preserve">000983</t>
  </si>
  <si>
    <t xml:space="preserve">SHANXI COKING COAL ENERGY A</t>
  </si>
  <si>
    <t xml:space="preserve">AVIA</t>
  </si>
  <si>
    <t xml:space="preserve">AVIA AVIAN TBK PT</t>
  </si>
  <si>
    <t xml:space="preserve">IFBI</t>
  </si>
  <si>
    <t xml:space="preserve">IFB INDUSTRIES LTD</t>
  </si>
  <si>
    <t xml:space="preserve">002609</t>
  </si>
  <si>
    <t xml:space="preserve">SHENZHEN JIESHUN SCIENCE A</t>
  </si>
  <si>
    <t xml:space="preserve">TLRY</t>
  </si>
  <si>
    <t xml:space="preserve">TILRAY BRANDS INC</t>
  </si>
  <si>
    <t xml:space="preserve">688153</t>
  </si>
  <si>
    <t xml:space="preserve">VANCHIP TIANJIN TECHNOLOGY A</t>
  </si>
  <si>
    <t xml:space="preserve">CPKR</t>
  </si>
  <si>
    <t xml:space="preserve">CANADA PACKERS INC</t>
  </si>
  <si>
    <t xml:space="preserve">345</t>
  </si>
  <si>
    <t xml:space="preserve">VITASOY INTL HOLDINGS LTD</t>
  </si>
  <si>
    <t xml:space="preserve">300792</t>
  </si>
  <si>
    <t xml:space="preserve">HANGZHOU ONECHANCE TECH CO A</t>
  </si>
  <si>
    <t xml:space="preserve">EMUDHRA</t>
  </si>
  <si>
    <t xml:space="preserve">EMUDHRA LTD</t>
  </si>
  <si>
    <t xml:space="preserve">9010</t>
  </si>
  <si>
    <t xml:space="preserve">FUJI KYUKO CO LTD</t>
  </si>
  <si>
    <t xml:space="preserve">7730</t>
  </si>
  <si>
    <t xml:space="preserve">MANI INC</t>
  </si>
  <si>
    <t xml:space="preserve">SII</t>
  </si>
  <si>
    <t xml:space="preserve">SAFARI INDUSTRIES INDIA LTD</t>
  </si>
  <si>
    <t xml:space="preserve">6782</t>
  </si>
  <si>
    <t xml:space="preserve">VISCO VISION INC</t>
  </si>
  <si>
    <t xml:space="preserve">300001</t>
  </si>
  <si>
    <t xml:space="preserve">QINGDAO TGOOD ELECTRIC A</t>
  </si>
  <si>
    <t xml:space="preserve">9921</t>
  </si>
  <si>
    <t xml:space="preserve">GIANT MANUFACTURING</t>
  </si>
  <si>
    <t xml:space="preserve">VO</t>
  </si>
  <si>
    <t xml:space="preserve">VINATI ORGANICS LTD</t>
  </si>
  <si>
    <t xml:space="preserve">900909</t>
  </si>
  <si>
    <t xml:space="preserve">SHANGHAI HUAYI GROUP CORP</t>
  </si>
  <si>
    <t xml:space="preserve">688798</t>
  </si>
  <si>
    <t xml:space="preserve">SHANGHAI AWINIC TECHNOLOGY A</t>
  </si>
  <si>
    <t xml:space="preserve">000930</t>
  </si>
  <si>
    <t xml:space="preserve">COFCO BIOTECHNOLOGY CL LT A</t>
  </si>
  <si>
    <t xml:space="preserve">4819</t>
  </si>
  <si>
    <t xml:space="preserve">DIGITAL GARAGE INC</t>
  </si>
  <si>
    <t xml:space="preserve">SIMEPROP</t>
  </si>
  <si>
    <t xml:space="preserve">SIME DARBY PROPERTY BHD</t>
  </si>
  <si>
    <t xml:space="preserve">GSPL TRANSMISSION LTD</t>
  </si>
  <si>
    <t xml:space="preserve">SOHU</t>
  </si>
  <si>
    <t xml:space="preserve">SOHU.COM LTD ADR</t>
  </si>
  <si>
    <t xml:space="preserve">7564</t>
  </si>
  <si>
    <t xml:space="preserve">WORKMAN CO LTD</t>
  </si>
  <si>
    <t xml:space="preserve">A336370</t>
  </si>
  <si>
    <t xml:space="preserve">SOLUS ADVANCED MATERIALS CO</t>
  </si>
  <si>
    <t xml:space="preserve">3675</t>
  </si>
  <si>
    <t xml:space="preserve">ERIS TECHNOLOGY CORP</t>
  </si>
  <si>
    <t xml:space="preserve">300398</t>
  </si>
  <si>
    <t xml:space="preserve">PHICHEM CORP A</t>
  </si>
  <si>
    <t xml:space="preserve">AGF.B</t>
  </si>
  <si>
    <t xml:space="preserve">AGF MANAGEMENT LTD CLASS B</t>
  </si>
  <si>
    <t xml:space="preserve">A298050</t>
  </si>
  <si>
    <t xml:space="preserve">HS HYOSUNG ADVANCED MATERIAL</t>
  </si>
  <si>
    <t xml:space="preserve">MAIT</t>
  </si>
  <si>
    <t xml:space="preserve">MAITHAN ALLOYS LTD</t>
  </si>
  <si>
    <t xml:space="preserve">002382</t>
  </si>
  <si>
    <t xml:space="preserve">BLUE SAIL MEDICAL CO LTD A</t>
  </si>
  <si>
    <t xml:space="preserve">300037</t>
  </si>
  <si>
    <t xml:space="preserve">SHENZHEN CAPCHEM TECHNOLOG A</t>
  </si>
  <si>
    <t xml:space="preserve">600378</t>
  </si>
  <si>
    <t xml:space="preserve">HAOHUA CHEMICAL SCIENCE   A</t>
  </si>
  <si>
    <t xml:space="preserve">710</t>
  </si>
  <si>
    <t xml:space="preserve">BOE VARITRONIX LTD</t>
  </si>
  <si>
    <t xml:space="preserve">688606</t>
  </si>
  <si>
    <t xml:space="preserve">HANGZHOU ALLTEST BIOTECH  A</t>
  </si>
  <si>
    <t xml:space="preserve">4961</t>
  </si>
  <si>
    <t xml:space="preserve">FITIPOWER INTEGRATED TECH</t>
  </si>
  <si>
    <t xml:space="preserve">YTL POWER INT WARRANTS</t>
  </si>
  <si>
    <t xml:space="preserve">A003000</t>
  </si>
  <si>
    <t xml:space="preserve">BUKWANG PHARMACEUTICAL CO</t>
  </si>
  <si>
    <t xml:space="preserve">5425</t>
  </si>
  <si>
    <t xml:space="preserve">TAIWAN SEMICONDUCTOR CO LTD</t>
  </si>
  <si>
    <t xml:space="preserve">CBOI</t>
  </si>
  <si>
    <t xml:space="preserve">CENTRAL BANK OF INDIA</t>
  </si>
  <si>
    <t xml:space="preserve">UNBK</t>
  </si>
  <si>
    <t xml:space="preserve">UNION BANK OF INDIA</t>
  </si>
  <si>
    <t xml:space="preserve">600071</t>
  </si>
  <si>
    <t xml:space="preserve">PHENIX OPTICAL CO LTD A</t>
  </si>
  <si>
    <t xml:space="preserve">IPCO</t>
  </si>
  <si>
    <t xml:space="preserve">INTERNATIONAL PETROLEUM CORP</t>
  </si>
  <si>
    <t xml:space="preserve">RJEX</t>
  </si>
  <si>
    <t xml:space="preserve">RAJESH EXPORTS LTD</t>
  </si>
  <si>
    <t xml:space="preserve">603713</t>
  </si>
  <si>
    <t xml:space="preserve">MILKYWAY INTELLIGENT SUPP A</t>
  </si>
  <si>
    <t xml:space="preserve">PWON</t>
  </si>
  <si>
    <t xml:space="preserve">PAKUWON JATI TBK PT</t>
  </si>
  <si>
    <t xml:space="preserve">3931</t>
  </si>
  <si>
    <t xml:space="preserve">CALB GROUP CO LTD H</t>
  </si>
  <si>
    <t xml:space="preserve">IOB</t>
  </si>
  <si>
    <t xml:space="preserve">INDIAN OVERSEAS BANK</t>
  </si>
  <si>
    <t xml:space="preserve">300291</t>
  </si>
  <si>
    <t xml:space="preserve">BEIJING BAINATION PICTURES A</t>
  </si>
  <si>
    <t xml:space="preserve">3825</t>
  </si>
  <si>
    <t xml:space="preserve">REMIXPOINT INC</t>
  </si>
  <si>
    <t xml:space="preserve">3228</t>
  </si>
  <si>
    <t xml:space="preserve">RDC SEMICONDUCTOR CO LTD</t>
  </si>
  <si>
    <t xml:space="preserve">MER</t>
  </si>
  <si>
    <t xml:space="preserve">MANILA ELECTRIC COMPANY</t>
  </si>
  <si>
    <t xml:space="preserve">6742</t>
  </si>
  <si>
    <t xml:space="preserve">VACTRONICS TECHNOLOGIES INC</t>
  </si>
  <si>
    <t xml:space="preserve">603613</t>
  </si>
  <si>
    <t xml:space="preserve">BEIJING UNITED INFORMATION A</t>
  </si>
  <si>
    <t xml:space="preserve">2640</t>
  </si>
  <si>
    <t xml:space="preserve">TAIWAN TAXI CO LTD</t>
  </si>
  <si>
    <t xml:space="preserve">600763</t>
  </si>
  <si>
    <t xml:space="preserve">TOPCHOICE MEDICAL CORPORAT A</t>
  </si>
  <si>
    <t xml:space="preserve">596</t>
  </si>
  <si>
    <t xml:space="preserve">INSPUR DIGITAL ENTERPRISE TE</t>
  </si>
  <si>
    <t xml:space="preserve">601949</t>
  </si>
  <si>
    <t xml:space="preserve">CHINA PUBLISHING + MEDIA C A</t>
  </si>
  <si>
    <t xml:space="preserve">MESZ6</t>
  </si>
  <si>
    <t xml:space="preserve">MSCI EMGMKT       DEC26</t>
  </si>
  <si>
    <t xml:space="preserve">601005</t>
  </si>
  <si>
    <t xml:space="preserve">CHONGQING IRON + STEEL CO A</t>
  </si>
  <si>
    <t xml:space="preserve">000600</t>
  </si>
  <si>
    <t xml:space="preserve">JOINTO ENERGY INVESTMENT C A</t>
  </si>
  <si>
    <t xml:space="preserve">688139</t>
  </si>
  <si>
    <t xml:space="preserve">QINGDAO HAIER BIOMEDICAL C A</t>
  </si>
  <si>
    <t xml:space="preserve">300638</t>
  </si>
  <si>
    <t xml:space="preserve">FIBOCOM WIRELESS INC    A</t>
  </si>
  <si>
    <t xml:space="preserve">4104</t>
  </si>
  <si>
    <t xml:space="preserve">EXCELSIOR MEDICAL CO LTD</t>
  </si>
  <si>
    <t xml:space="preserve">002500</t>
  </si>
  <si>
    <t xml:space="preserve">SHANXI SECURITIES CO LTD A</t>
  </si>
  <si>
    <t xml:space="preserve">4743</t>
  </si>
  <si>
    <t xml:space="preserve">ONENESS BIOTECH CO LTD</t>
  </si>
  <si>
    <t xml:space="preserve">000683</t>
  </si>
  <si>
    <t xml:space="preserve">INNER MONGOLIA BERUN CHEMI A</t>
  </si>
  <si>
    <t xml:space="preserve">KBANK-R</t>
  </si>
  <si>
    <t xml:space="preserve">KASIKORNBANK PCL NVDR</t>
  </si>
  <si>
    <t xml:space="preserve">600874</t>
  </si>
  <si>
    <t xml:space="preserve">TIANJIN CAPITAL ENVIRON A</t>
  </si>
  <si>
    <t xml:space="preserve">754</t>
  </si>
  <si>
    <t xml:space="preserve">HOPSON DEVELOPMENT HOLDINGS</t>
  </si>
  <si>
    <t xml:space="preserve">300788</t>
  </si>
  <si>
    <t xml:space="preserve">CITIC PRESS CORP A</t>
  </si>
  <si>
    <t xml:space="preserve">000968</t>
  </si>
  <si>
    <t xml:space="preserve">SHANXI BLUE FLAME HOLDING  A</t>
  </si>
  <si>
    <t xml:space="preserve">6138</t>
  </si>
  <si>
    <t xml:space="preserve">ANPEC ELECTRONICS CORP</t>
  </si>
  <si>
    <t xml:space="preserve">UDCD</t>
  </si>
  <si>
    <t xml:space="preserve">UNITED DEVELOPMENT CO</t>
  </si>
  <si>
    <t xml:space="preserve">603300</t>
  </si>
  <si>
    <t xml:space="preserve">ZHEJIANG HAIKONG NANKE HUATI</t>
  </si>
  <si>
    <t xml:space="preserve">NOAH</t>
  </si>
  <si>
    <t xml:space="preserve">NOAH HOLDINGS LTD SPON ADS</t>
  </si>
  <si>
    <t xml:space="preserve">600096</t>
  </si>
  <si>
    <t xml:space="preserve">YUNNAN YUNTIANHUA CO A</t>
  </si>
  <si>
    <t xml:space="preserve">2478</t>
  </si>
  <si>
    <t xml:space="preserve">TA I TECHNOLOGY CO LTD</t>
  </si>
  <si>
    <t xml:space="preserve">601500</t>
  </si>
  <si>
    <t xml:space="preserve">JIANGSU GENERAL SCIENCE TE A</t>
  </si>
  <si>
    <t xml:space="preserve">ORBIA *</t>
  </si>
  <si>
    <t xml:space="preserve">ORBIA ADVANCE CORP SAB DE CV</t>
  </si>
  <si>
    <t xml:space="preserve">002537</t>
  </si>
  <si>
    <t xml:space="preserve">HYUNION HOLDING CO LTD A</t>
  </si>
  <si>
    <t xml:space="preserve">301029</t>
  </si>
  <si>
    <t xml:space="preserve">DONGGUAN YIHEDA AUTOMATION A</t>
  </si>
  <si>
    <t xml:space="preserve">1477</t>
  </si>
  <si>
    <t xml:space="preserve">MAKALOT INDUSTRIAL CO LTD</t>
  </si>
  <si>
    <t xml:space="preserve">3141</t>
  </si>
  <si>
    <t xml:space="preserve">ULTRA CHIP INC</t>
  </si>
  <si>
    <t xml:space="preserve">EVTL</t>
  </si>
  <si>
    <t xml:space="preserve">VERTICAL AEROSPACE LTD</t>
  </si>
  <si>
    <t xml:space="preserve">688116</t>
  </si>
  <si>
    <t xml:space="preserve">JIANGSU CNANO TECHNOLOGY C A</t>
  </si>
  <si>
    <t xml:space="preserve">A019170</t>
  </si>
  <si>
    <t xml:space="preserve">SHIN POONG PHARMACEUTICAL CO</t>
  </si>
  <si>
    <t xml:space="preserve">688518</t>
  </si>
  <si>
    <t xml:space="preserve">SHENZHEN UNITED WINNERS LA A</t>
  </si>
  <si>
    <t xml:space="preserve">4820</t>
  </si>
  <si>
    <t xml:space="preserve">EM SYSTEMS CO LTD</t>
  </si>
  <si>
    <t xml:space="preserve">002335</t>
  </si>
  <si>
    <t xml:space="preserve">KEHUA DATA CO LTD  A</t>
  </si>
  <si>
    <t xml:space="preserve">3545</t>
  </si>
  <si>
    <t xml:space="preserve">FOCALTECH SYSTEMS CO LTD</t>
  </si>
  <si>
    <t xml:space="preserve">NETM</t>
  </si>
  <si>
    <t xml:space="preserve">NETWORK 18 MEDIA + INVTS LTD</t>
  </si>
  <si>
    <t xml:space="preserve">PADINI</t>
  </si>
  <si>
    <t xml:space="preserve">PADINI HOLDINGS BERHAD</t>
  </si>
  <si>
    <t xml:space="preserve">002366</t>
  </si>
  <si>
    <t xml:space="preserve">RONGFA NUCLEAR EQUIPMENT C A</t>
  </si>
  <si>
    <t xml:space="preserve">600917</t>
  </si>
  <si>
    <t xml:space="preserve">CHONGQING GAS GROUP CORP L A</t>
  </si>
  <si>
    <t xml:space="preserve">301096</t>
  </si>
  <si>
    <t xml:space="preserve">HANGZHOU BIO SINCERITY PHA A</t>
  </si>
  <si>
    <t xml:space="preserve">GRUMA B</t>
  </si>
  <si>
    <t xml:space="preserve">GRUMA S.A.B. B</t>
  </si>
  <si>
    <t xml:space="preserve">002803</t>
  </si>
  <si>
    <t xml:space="preserve">XIAMEN JIHONG TECHNOLOGY C A</t>
  </si>
  <si>
    <t xml:space="preserve">EH</t>
  </si>
  <si>
    <t xml:space="preserve">EHANG HOLDINGS LTD SPS ADR</t>
  </si>
  <si>
    <t xml:space="preserve">GMM</t>
  </si>
  <si>
    <t xml:space="preserve">GMM PFAUDLER LTD</t>
  </si>
  <si>
    <t xml:space="preserve">PLW</t>
  </si>
  <si>
    <t xml:space="preserve">PLAYWAY SA</t>
  </si>
  <si>
    <t xml:space="preserve">JKBK</t>
  </si>
  <si>
    <t xml:space="preserve">JAMMU + KASHMIR BANK LTD</t>
  </si>
  <si>
    <t xml:space="preserve">AKFGY</t>
  </si>
  <si>
    <t xml:space="preserve">AKFEN GAYRIMENKUL YATIRIM OR</t>
  </si>
  <si>
    <t xml:space="preserve">601858</t>
  </si>
  <si>
    <t xml:space="preserve">CHINA SCIENCE PUBLISHING + A</t>
  </si>
  <si>
    <t xml:space="preserve">000027</t>
  </si>
  <si>
    <t xml:space="preserve">SHENZHEN ENERGY GROUP CO L A</t>
  </si>
  <si>
    <t xml:space="preserve">002906</t>
  </si>
  <si>
    <t xml:space="preserve">FORYOU CORP A</t>
  </si>
  <si>
    <t xml:space="preserve">A001570</t>
  </si>
  <si>
    <t xml:space="preserve">KUM YANG CO LTD</t>
  </si>
  <si>
    <t xml:space="preserve">TXMRE</t>
  </si>
  <si>
    <t xml:space="preserve">TEXMACO RAIL + ENGINEERING L</t>
  </si>
  <si>
    <t xml:space="preserve">300569</t>
  </si>
  <si>
    <t xml:space="preserve">QINGDAO TIANNENG HEAVY IND A</t>
  </si>
  <si>
    <t xml:space="preserve">SMRA</t>
  </si>
  <si>
    <t xml:space="preserve">SUMMARECON AGUNG TBK PT</t>
  </si>
  <si>
    <t xml:space="preserve">GALAXY SOFTWARE SERVICES COR</t>
  </si>
  <si>
    <t xml:space="preserve">688301</t>
  </si>
  <si>
    <t xml:space="preserve">IRAY GROUP A</t>
  </si>
  <si>
    <t xml:space="preserve">300457</t>
  </si>
  <si>
    <t xml:space="preserve">SHENZHEN YINGHE TECHNOLOGY A</t>
  </si>
  <si>
    <t xml:space="preserve">2593</t>
  </si>
  <si>
    <t xml:space="preserve">ITO EN LTD</t>
  </si>
  <si>
    <t xml:space="preserve">6589</t>
  </si>
  <si>
    <t xml:space="preserve">EIRGENIX INC</t>
  </si>
  <si>
    <t xml:space="preserve">BURJEEL</t>
  </si>
  <si>
    <t xml:space="preserve">BURJEEL HOLDINGS PLC</t>
  </si>
  <si>
    <t xml:space="preserve">ERES</t>
  </si>
  <si>
    <t xml:space="preserve">EZDAN HOLDING GROUP</t>
  </si>
  <si>
    <t xml:space="preserve">VALU</t>
  </si>
  <si>
    <t xml:space="preserve">U CONSUMER FINANCE</t>
  </si>
  <si>
    <t xml:space="preserve">6699</t>
  </si>
  <si>
    <t xml:space="preserve">ANGELALIGN TECHNOLOGY INC</t>
  </si>
  <si>
    <t xml:space="preserve">300007</t>
  </si>
  <si>
    <t xml:space="preserve">HANWEI ELECTRONICS GROUP A</t>
  </si>
  <si>
    <t xml:space="preserve">603355</t>
  </si>
  <si>
    <t xml:space="preserve">KINGCLEAN ELECTRIC CO LTD A</t>
  </si>
  <si>
    <t xml:space="preserve">WELL</t>
  </si>
  <si>
    <t xml:space="preserve">WELL HEALTH TECHNOLOGIES COR</t>
  </si>
  <si>
    <t xml:space="preserve">MEZZAN</t>
  </si>
  <si>
    <t xml:space="preserve">MEZZAN HOLDING CO KSCC</t>
  </si>
  <si>
    <t xml:space="preserve">1789</t>
  </si>
  <si>
    <t xml:space="preserve">AK MEDICAL HOLDINGS LTD</t>
  </si>
  <si>
    <t xml:space="preserve">6789</t>
  </si>
  <si>
    <t xml:space="preserve">VISERA TECHNOLOGIES CO LTD</t>
  </si>
  <si>
    <t xml:space="preserve">SYML</t>
  </si>
  <si>
    <t xml:space="preserve">SYMPHONY LTD</t>
  </si>
  <si>
    <t xml:space="preserve">300679</t>
  </si>
  <si>
    <t xml:space="preserve">ELECTRIC CONNECTOR TECHNOL A</t>
  </si>
  <si>
    <t xml:space="preserve">300617</t>
  </si>
  <si>
    <t xml:space="preserve">JIANGSU ANKURA INTELLIGENT A</t>
  </si>
  <si>
    <t xml:space="preserve">300763</t>
  </si>
  <si>
    <t xml:space="preserve">GINLONG TECHNOLOGIES CO LT A</t>
  </si>
  <si>
    <t xml:space="preserve">300331</t>
  </si>
  <si>
    <t xml:space="preserve">SVG OPTRONICS CO LTD A</t>
  </si>
  <si>
    <t xml:space="preserve">002563</t>
  </si>
  <si>
    <t xml:space="preserve">ZHEJIANG SEMIR GARMENT CO A</t>
  </si>
  <si>
    <t xml:space="preserve">SOBHA</t>
  </si>
  <si>
    <t xml:space="preserve">SOBHA LTD</t>
  </si>
  <si>
    <t xml:space="preserve">FINV</t>
  </si>
  <si>
    <t xml:space="preserve">FINVOLUTION GROUP ADR</t>
  </si>
  <si>
    <t xml:space="preserve">STARHEAL</t>
  </si>
  <si>
    <t xml:space="preserve">STAR HEALTH + ALLIED INSURAN</t>
  </si>
  <si>
    <t xml:space="preserve">002831</t>
  </si>
  <si>
    <t xml:space="preserve">SHENZHEN YUTO PACKAGING TE A</t>
  </si>
  <si>
    <t xml:space="preserve">ODAS</t>
  </si>
  <si>
    <t xml:space="preserve">ODAS ELEKTRIK URETIM VE SANA</t>
  </si>
  <si>
    <t xml:space="preserve">2014</t>
  </si>
  <si>
    <t xml:space="preserve">CHUNG HUNG STEEL CORP</t>
  </si>
  <si>
    <t xml:space="preserve">600392</t>
  </si>
  <si>
    <t xml:space="preserve">SHENGHE RESOURCES HOLDINGS A</t>
  </si>
  <si>
    <t xml:space="preserve">MIATK</t>
  </si>
  <si>
    <t xml:space="preserve">MIA TEKNOLOJI AS</t>
  </si>
  <si>
    <t xml:space="preserve">603997</t>
  </si>
  <si>
    <t xml:space="preserve">NINGBO JIFENG AUTO PARTS C A</t>
  </si>
  <si>
    <t xml:space="preserve">1707</t>
  </si>
  <si>
    <t xml:space="preserve">GRAPE KING BIO LTD</t>
  </si>
  <si>
    <t xml:space="preserve">002534</t>
  </si>
  <si>
    <t xml:space="preserve">XIZI CLEAN ENERGY EQUIPMEN A</t>
  </si>
  <si>
    <t xml:space="preserve">PHILIPPINE PESO</t>
  </si>
  <si>
    <t xml:space="preserve">600498</t>
  </si>
  <si>
    <t xml:space="preserve">FIBERHOME TELECOM TECH CO A</t>
  </si>
  <si>
    <t xml:space="preserve">2273</t>
  </si>
  <si>
    <t xml:space="preserve">GUSHENGTANG HOLDINGS LTD</t>
  </si>
  <si>
    <t xml:space="preserve">688182</t>
  </si>
  <si>
    <t xml:space="preserve">JIANGSU CAI QIN TECHNOLOGY A</t>
  </si>
  <si>
    <t xml:space="preserve">OTKAR</t>
  </si>
  <si>
    <t xml:space="preserve">OTOKAR OTOMOTIV VE SAVUNMA</t>
  </si>
  <si>
    <t xml:space="preserve">EXCL</t>
  </si>
  <si>
    <t xml:space="preserve">XLSMART TELECOM SEJAHTERA TB</t>
  </si>
  <si>
    <t xml:space="preserve">000761</t>
  </si>
  <si>
    <t xml:space="preserve">BENGANG STEEL PLATES CO A</t>
  </si>
  <si>
    <t xml:space="preserve">300832</t>
  </si>
  <si>
    <t xml:space="preserve">SHENZHEN NEW INDUSTRIES BI A</t>
  </si>
  <si>
    <t xml:space="preserve">2617</t>
  </si>
  <si>
    <t xml:space="preserve">TAIWAN NAVIGATION CO LTD</t>
  </si>
  <si>
    <t xml:space="preserve">EUREKAFO</t>
  </si>
  <si>
    <t xml:space="preserve">EUREKA FORBES LTD</t>
  </si>
  <si>
    <t xml:space="preserve">8388</t>
  </si>
  <si>
    <t xml:space="preserve">AWA BANK LTD/THE</t>
  </si>
  <si>
    <t xml:space="preserve">EPIGRAL</t>
  </si>
  <si>
    <t xml:space="preserve">EPIGRAL LTD</t>
  </si>
  <si>
    <t xml:space="preserve">EMSTEEL</t>
  </si>
  <si>
    <t xml:space="preserve">EMSTEEL BUILDING MATERIALS</t>
  </si>
  <si>
    <t xml:space="preserve">603569</t>
  </si>
  <si>
    <t xml:space="preserve">BEIJING CHANGJIU LOGISTICS A</t>
  </si>
  <si>
    <t xml:space="preserve">SURYODAY</t>
  </si>
  <si>
    <t xml:space="preserve">SURYODAY SMALL FINANCE BANK</t>
  </si>
  <si>
    <t xml:space="preserve">CWENE</t>
  </si>
  <si>
    <t xml:space="preserve">CW ENERJI MUHENDISLIK TICARE</t>
  </si>
  <si>
    <t xml:space="preserve">2009</t>
  </si>
  <si>
    <t xml:space="preserve">BBMG CORP H</t>
  </si>
  <si>
    <t xml:space="preserve">6955</t>
  </si>
  <si>
    <t xml:space="preserve">SHANDONG BOAN BIOTECH H</t>
  </si>
  <si>
    <t xml:space="preserve">3257</t>
  </si>
  <si>
    <t xml:space="preserve">CHAMPION MICROELECTRONIC COR</t>
  </si>
  <si>
    <t xml:space="preserve">460</t>
  </si>
  <si>
    <t xml:space="preserve">SIHUAN PHARMACEUTICAL HLDGS</t>
  </si>
  <si>
    <t xml:space="preserve">BRYAT</t>
  </si>
  <si>
    <t xml:space="preserve">BORUSAN YATIRIM VE PAZARLAMA</t>
  </si>
  <si>
    <t xml:space="preserve">003022</t>
  </si>
  <si>
    <t xml:space="preserve">LEVIMA ADVANCED MATERIALS  A</t>
  </si>
  <si>
    <t xml:space="preserve">A278280</t>
  </si>
  <si>
    <t xml:space="preserve">CHUNBO CO LTD</t>
  </si>
  <si>
    <t xml:space="preserve">6664</t>
  </si>
  <si>
    <t xml:space="preserve">GROUP UP INDUSTRIAL CO LTD</t>
  </si>
  <si>
    <t xml:space="preserve">LWSA3</t>
  </si>
  <si>
    <t xml:space="preserve">LWSA SA</t>
  </si>
  <si>
    <t xml:space="preserve">AUPS</t>
  </si>
  <si>
    <t xml:space="preserve">AURIONPRO SOLUTIONS LTD</t>
  </si>
  <si>
    <t xml:space="preserve">NUHCM</t>
  </si>
  <si>
    <t xml:space="preserve">NUH CIMENTO SANAYI AS</t>
  </si>
  <si>
    <t xml:space="preserve">603392</t>
  </si>
  <si>
    <t xml:space="preserve">BEIJING WANTAI BIOLOGICAL A</t>
  </si>
  <si>
    <t xml:space="preserve">603260</t>
  </si>
  <si>
    <t xml:space="preserve">HOSHINE SILICON INDUSTRY C A</t>
  </si>
  <si>
    <t xml:space="preserve">A137310</t>
  </si>
  <si>
    <t xml:space="preserve">SD BIOSENSOR INC</t>
  </si>
  <si>
    <t xml:space="preserve">YTL CORP BHD WARRANT</t>
  </si>
  <si>
    <t xml:space="preserve">VAPORES</t>
  </si>
  <si>
    <t xml:space="preserve">CIA SUD AMERICANA DE VAPORES</t>
  </si>
  <si>
    <t xml:space="preserve">SWON</t>
  </si>
  <si>
    <t xml:space="preserve">SOFTWAREONE HOLDING AG</t>
  </si>
  <si>
    <t xml:space="preserve">LU</t>
  </si>
  <si>
    <t xml:space="preserve">LUFAX HOLDING LTD ADR</t>
  </si>
  <si>
    <t xml:space="preserve">2204</t>
  </si>
  <si>
    <t xml:space="preserve">CHINA MOTOR CORP</t>
  </si>
  <si>
    <t xml:space="preserve">EQUITASB</t>
  </si>
  <si>
    <t xml:space="preserve">EQUITAS SMALL FINANCE BANK L</t>
  </si>
  <si>
    <t xml:space="preserve">564</t>
  </si>
  <si>
    <t xml:space="preserve">ZCZL INDUSTRIAL TECHNOLOGY H</t>
  </si>
  <si>
    <t xml:space="preserve">601658</t>
  </si>
  <si>
    <t xml:space="preserve">POSTAL SAVINGS BANK OF CHI A</t>
  </si>
  <si>
    <t xml:space="preserve">002782</t>
  </si>
  <si>
    <t xml:space="preserve">SHENZHEN CLICK TECHNOLOGY A</t>
  </si>
  <si>
    <t xml:space="preserve">INTEGRATED SERVICE TECHNOLOG</t>
  </si>
  <si>
    <t xml:space="preserve">6104</t>
  </si>
  <si>
    <t xml:space="preserve">GENESYS LOGIC INC</t>
  </si>
  <si>
    <t xml:space="preserve">002922</t>
  </si>
  <si>
    <t xml:space="preserve">EAGLERISE ELECTRIC + ELECT A</t>
  </si>
  <si>
    <t xml:space="preserve">002010</t>
  </si>
  <si>
    <t xml:space="preserve">TRANSFAR ZHILIAN CO LTD A</t>
  </si>
  <si>
    <t xml:space="preserve">CNVRG</t>
  </si>
  <si>
    <t xml:space="preserve">CONVERGE INFORMATION AND COM</t>
  </si>
  <si>
    <t xml:space="preserve">1382</t>
  </si>
  <si>
    <t xml:space="preserve">PACIFIC TEXTILES HOLDINGS</t>
  </si>
  <si>
    <t xml:space="preserve">605090</t>
  </si>
  <si>
    <t xml:space="preserve">JIANGXI JOVO ENERGY CO LTD A</t>
  </si>
  <si>
    <t xml:space="preserve">4126</t>
  </si>
  <si>
    <t xml:space="preserve">PACIFIC HOSPITAL SUPPLY CO</t>
  </si>
  <si>
    <t xml:space="preserve">605020</t>
  </si>
  <si>
    <t xml:space="preserve">ZHEJIANG YONGHE REFRIGERAN A</t>
  </si>
  <si>
    <t xml:space="preserve">A151860</t>
  </si>
  <si>
    <t xml:space="preserve">KG ECO SOLUTION CO LTD</t>
  </si>
  <si>
    <t xml:space="preserve">3596</t>
  </si>
  <si>
    <t xml:space="preserve">ARCADYAN TECHNOLOGY CORP</t>
  </si>
  <si>
    <t xml:space="preserve">SWTQ</t>
  </si>
  <si>
    <t xml:space="preserve">SCHWEITER TECHNOLOGIES AG</t>
  </si>
  <si>
    <t xml:space="preserve">NIIT</t>
  </si>
  <si>
    <t xml:space="preserve">NIIT LTD</t>
  </si>
  <si>
    <t xml:space="preserve">4662</t>
  </si>
  <si>
    <t xml:space="preserve">FOCUS SYSTEMS CORP</t>
  </si>
  <si>
    <t xml:space="preserve">002073</t>
  </si>
  <si>
    <t xml:space="preserve">MESNAC CO LTD  A</t>
  </si>
  <si>
    <t xml:space="preserve">300587</t>
  </si>
  <si>
    <t xml:space="preserve">ZHEJIANG TIANTIE SCIENCE + A</t>
  </si>
  <si>
    <t xml:space="preserve">VANQ</t>
  </si>
  <si>
    <t xml:space="preserve">VANQUIS BANKING GROUP PLC</t>
  </si>
  <si>
    <t xml:space="preserve">002605</t>
  </si>
  <si>
    <t xml:space="preserve">SHANGHAI YAOJI TECHNOLOGY A</t>
  </si>
  <si>
    <t xml:space="preserve">688569</t>
  </si>
  <si>
    <t xml:space="preserve">BEIJING TIEKE SHOUGANG RAI A</t>
  </si>
  <si>
    <t xml:space="preserve">300785</t>
  </si>
  <si>
    <t xml:space="preserve">BEIJING ZHIDEMAI TECHNOLOG A</t>
  </si>
  <si>
    <t xml:space="preserve">GRVY</t>
  </si>
  <si>
    <t xml:space="preserve">GRAVITY CO LTD SPONSORED ADR</t>
  </si>
  <si>
    <t xml:space="preserve">XNDU</t>
  </si>
  <si>
    <t xml:space="preserve">XANADU QUANTUM TECH CL B</t>
  </si>
  <si>
    <t xml:space="preserve">BRIS</t>
  </si>
  <si>
    <t xml:space="preserve">BANK SYARIAH INDONESIA PERSERO</t>
  </si>
  <si>
    <t xml:space="preserve">SFOR</t>
  </si>
  <si>
    <t xml:space="preserve">S4 CAPITAL PLC</t>
  </si>
  <si>
    <t xml:space="preserve">TTRAK</t>
  </si>
  <si>
    <t xml:space="preserve">TURK TRAKTOR VE ZIRAAT MAKIN</t>
  </si>
  <si>
    <t xml:space="preserve">GATECHNOLOGIES CO LTD</t>
  </si>
  <si>
    <t xml:space="preserve">300624</t>
  </si>
  <si>
    <t xml:space="preserve">WONDERSHARE TECHNOLOGY GR  A</t>
  </si>
  <si>
    <t xml:space="preserve">3765</t>
  </si>
  <si>
    <t xml:space="preserve">GUNGHO ONLINE ENTERTAINMENT</t>
  </si>
  <si>
    <t xml:space="preserve">PCELL</t>
  </si>
  <si>
    <t xml:space="preserve">POWERCELL SWEDEN AB</t>
  </si>
  <si>
    <t xml:space="preserve">CEVI</t>
  </si>
  <si>
    <t xml:space="preserve">CELLAVISION AB</t>
  </si>
  <si>
    <t xml:space="preserve">535</t>
  </si>
  <si>
    <t xml:space="preserve">GEMDALE PROPERTIES AND INVES</t>
  </si>
  <si>
    <t xml:space="preserve">2155</t>
  </si>
  <si>
    <t xml:space="preserve">MORIMATSU INTERNATIONAL HOLD</t>
  </si>
  <si>
    <t xml:space="preserve">1795</t>
  </si>
  <si>
    <t xml:space="preserve">LOTUS PHARMACEUTICAL CO LTD</t>
  </si>
  <si>
    <t xml:space="preserve">M UP HOLDINGS INC</t>
  </si>
  <si>
    <t xml:space="preserve">A051905</t>
  </si>
  <si>
    <t xml:space="preserve">LG H+H PRF</t>
  </si>
  <si>
    <t xml:space="preserve">8273</t>
  </si>
  <si>
    <t xml:space="preserve">IZUMI CO LTD</t>
  </si>
  <si>
    <t xml:space="preserve">METALLIUM LTD</t>
  </si>
  <si>
    <t xml:space="preserve">GESAN</t>
  </si>
  <si>
    <t xml:space="preserve">GIRISIM ELEKTRIK SANAYI TAAH</t>
  </si>
  <si>
    <t xml:space="preserve">BIOEN</t>
  </si>
  <si>
    <t xml:space="preserve">BIOTREND CEVRE VE ENERJI YAT</t>
  </si>
  <si>
    <t xml:space="preserve">VLN</t>
  </si>
  <si>
    <t xml:space="preserve">VALENS SEMICONDUCTOR LTD</t>
  </si>
  <si>
    <t xml:space="preserve">6736</t>
  </si>
  <si>
    <t xml:space="preserve">SUN CORP</t>
  </si>
  <si>
    <t xml:space="preserve">2698</t>
  </si>
  <si>
    <t xml:space="preserve">CAN DO CO LTD</t>
  </si>
  <si>
    <t xml:space="preserve">ICICIBC</t>
  </si>
  <si>
    <t xml:space="preserve">ICICI BANK LTD</t>
  </si>
  <si>
    <t xml:space="preserve">KUWAITI DINAR</t>
  </si>
  <si>
    <t xml:space="preserve">MYR</t>
  </si>
  <si>
    <t xml:space="preserve">MYER HOLDINGS LTD</t>
  </si>
  <si>
    <t xml:space="preserve">PEP</t>
  </si>
  <si>
    <t xml:space="preserve">PPB GROUP BERHAD</t>
  </si>
  <si>
    <t xml:space="preserve">CUV</t>
  </si>
  <si>
    <t xml:space="preserve">CLINUVEL PHARMACEUTICALS LTD</t>
  </si>
  <si>
    <t xml:space="preserve">806</t>
  </si>
  <si>
    <t xml:space="preserve">VALUE PARTNERS GROUP LTD</t>
  </si>
  <si>
    <t xml:space="preserve">1755</t>
  </si>
  <si>
    <t xml:space="preserve">S ENJOY SERVICE GROUP CO LTD</t>
  </si>
  <si>
    <t xml:space="preserve">TURKISH LIRA</t>
  </si>
  <si>
    <t xml:space="preserve">A006060</t>
  </si>
  <si>
    <t xml:space="preserve">H.S. INDUSTRIES CO LTD</t>
  </si>
  <si>
    <t xml:space="preserve">KLRHO</t>
  </si>
  <si>
    <t xml:space="preserve">KILER HOLDING AS</t>
  </si>
  <si>
    <t xml:space="preserve">4728</t>
  </si>
  <si>
    <t xml:space="preserve">SUNMAX BIOTECHNOLOGY CO LTD</t>
  </si>
  <si>
    <t xml:space="preserve">341</t>
  </si>
  <si>
    <t xml:space="preserve">CAFE DE CORAL HOLDINGS LTD</t>
  </si>
  <si>
    <t xml:space="preserve">MGRT</t>
  </si>
  <si>
    <t xml:space="preserve">MEGA FORTUNE CO LTD</t>
  </si>
  <si>
    <t xml:space="preserve">3633</t>
  </si>
  <si>
    <t xml:space="preserve">ZHONGYU ENERGY HOLDINGS LTD</t>
  </si>
  <si>
    <t xml:space="preserve">A084650</t>
  </si>
  <si>
    <t xml:space="preserve">LABGENOMICS CO LTD</t>
  </si>
  <si>
    <t xml:space="preserve">CREEK + RIVER CO LTD</t>
  </si>
  <si>
    <t xml:space="preserve">A206650</t>
  </si>
  <si>
    <t xml:space="preserve">EUBIOLOGICS CO LTD</t>
  </si>
  <si>
    <t xml:space="preserve">9519</t>
  </si>
  <si>
    <t xml:space="preserve">RENOVA INC</t>
  </si>
  <si>
    <t xml:space="preserve">605598</t>
  </si>
  <si>
    <t xml:space="preserve">SHANGHAI GEOHARBOUR CONSTR A</t>
  </si>
  <si>
    <t xml:space="preserve">SCC</t>
  </si>
  <si>
    <t xml:space="preserve">SIAM CEMENT PCL NVDR</t>
  </si>
  <si>
    <t xml:space="preserve">4129</t>
  </si>
  <si>
    <t xml:space="preserve">UNITED ORTHOPEDIC CORP</t>
  </si>
  <si>
    <t xml:space="preserve">200</t>
  </si>
  <si>
    <t xml:space="preserve">MELCO INTERNATIONAL DEVELOP.</t>
  </si>
  <si>
    <t xml:space="preserve">A011000</t>
  </si>
  <si>
    <t xml:space="preserve">GENEONE LIFE SCIENCE INC</t>
  </si>
  <si>
    <t xml:space="preserve">PSGC-F</t>
  </si>
  <si>
    <t xml:space="preserve">PSG CORP PCL FOREIGN</t>
  </si>
  <si>
    <t xml:space="preserve">RESP</t>
  </si>
  <si>
    <t xml:space="preserve">RESPONSIVE INDUSTRIES LTD</t>
  </si>
  <si>
    <t xml:space="preserve">KLK</t>
  </si>
  <si>
    <t xml:space="preserve">KUALA LUMPUR KEPONG BHD</t>
  </si>
  <si>
    <t xml:space="preserve">INDONESIAN RUPIAH</t>
  </si>
  <si>
    <t xml:space="preserve">4552</t>
  </si>
  <si>
    <t xml:space="preserve">JCR PHARMACEUTICALS CO LTD</t>
  </si>
  <si>
    <t xml:space="preserve">6908</t>
  </si>
  <si>
    <t xml:space="preserve">IRISO ELECTRONICS CO LTD</t>
  </si>
  <si>
    <t xml:space="preserve">6914</t>
  </si>
  <si>
    <t xml:space="preserve">PSS CO LTD</t>
  </si>
  <si>
    <t xml:space="preserve">MTLS</t>
  </si>
  <si>
    <t xml:space="preserve">MATERIALISE NV ADR</t>
  </si>
  <si>
    <t xml:space="preserve">EVER FORTUNE AI CO LTD</t>
  </si>
  <si>
    <t xml:space="preserve">DNEX-WE</t>
  </si>
  <si>
    <t xml:space="preserve">GLO</t>
  </si>
  <si>
    <t xml:space="preserve">GLOBAL ATOMIC CORP</t>
  </si>
  <si>
    <t xml:space="preserve">GCB-WC</t>
  </si>
  <si>
    <t xml:space="preserve">HEXIND</t>
  </si>
  <si>
    <t xml:space="preserve">HEXTAR INDUSTRIES BHD</t>
  </si>
  <si>
    <t xml:space="preserve">TIMECOM</t>
  </si>
  <si>
    <t xml:space="preserve">TIME DOTCOM BHD</t>
  </si>
  <si>
    <t xml:space="preserve">6550</t>
  </si>
  <si>
    <t xml:space="preserve">POLARIS GROUP</t>
  </si>
  <si>
    <t xml:space="preserve">8967</t>
  </si>
  <si>
    <t xml:space="preserve">JAPAN LOGISTICS FUND INC</t>
  </si>
  <si>
    <t xml:space="preserve">6612</t>
  </si>
  <si>
    <t xml:space="preserve">ICARES MEDICUS INC</t>
  </si>
  <si>
    <t xml:space="preserve">6051</t>
  </si>
  <si>
    <t xml:space="preserve">YOUZAN TECHNOLOGY LTD</t>
  </si>
  <si>
    <t xml:space="preserve">NEL</t>
  </si>
  <si>
    <t xml:space="preserve">NEL ASA</t>
  </si>
  <si>
    <t xml:space="preserve">8979</t>
  </si>
  <si>
    <t xml:space="preserve">STARTS PROCEED INVESTMENT CO</t>
  </si>
  <si>
    <t xml:space="preserve">SMRTG</t>
  </si>
  <si>
    <t xml:space="preserve">SMART GUNES ENERJISI TEKNOLO</t>
  </si>
  <si>
    <t xml:space="preserve">2462</t>
  </si>
  <si>
    <t xml:space="preserve">LIKE INC</t>
  </si>
  <si>
    <t xml:space="preserve">CANTE</t>
  </si>
  <si>
    <t xml:space="preserve">CAN2 TERMIK AS</t>
  </si>
  <si>
    <t xml:space="preserve">1137</t>
  </si>
  <si>
    <t xml:space="preserve">HONG KONG TECHNOLOGY VENTURE</t>
  </si>
  <si>
    <t xml:space="preserve">NEXG-WB</t>
  </si>
  <si>
    <t xml:space="preserve">6474</t>
  </si>
  <si>
    <t xml:space="preserve">NACHI FUJIKOSHI CORP</t>
  </si>
  <si>
    <t xml:space="preserve">2475401G</t>
  </si>
  <si>
    <t xml:space="preserve">UCHITEC</t>
  </si>
  <si>
    <t xml:space="preserve">UCHI TECHNOLOGIES BHD</t>
  </si>
  <si>
    <t xml:space="preserve">4572</t>
  </si>
  <si>
    <t xml:space="preserve">DREWLOONG PRECISION INC</t>
  </si>
  <si>
    <t xml:space="preserve">2121</t>
  </si>
  <si>
    <t xml:space="preserve">MIXI INC</t>
  </si>
  <si>
    <t xml:space="preserve">6733</t>
  </si>
  <si>
    <t xml:space="preserve">BIOGEND THERAPEUTICS CO LTD</t>
  </si>
  <si>
    <t xml:space="preserve">9616</t>
  </si>
  <si>
    <t xml:space="preserve">KYORITSU MAINTENANCE CO LTD</t>
  </si>
  <si>
    <t xml:space="preserve">FRONTEO INC</t>
  </si>
  <si>
    <t xml:space="preserve">RHIM</t>
  </si>
  <si>
    <t xml:space="preserve">RHI MAGNESITA NV</t>
  </si>
  <si>
    <t xml:space="preserve">8934</t>
  </si>
  <si>
    <t xml:space="preserve">SUN FRONTIER FUDOUSAN CO LTD</t>
  </si>
  <si>
    <t xml:space="preserve">3773</t>
  </si>
  <si>
    <t xml:space="preserve">ADVANCED MEDIA INC</t>
  </si>
  <si>
    <t xml:space="preserve">OPTOCIRCUI</t>
  </si>
  <si>
    <t xml:space="preserve">OPTO CIRCUITS INDIA LTD</t>
  </si>
  <si>
    <t xml:space="preserve">6395</t>
  </si>
  <si>
    <t xml:space="preserve">TADANO LTD</t>
  </si>
  <si>
    <t xml:space="preserve">CZECH KORUNA</t>
  </si>
  <si>
    <t xml:space="preserve">3182</t>
  </si>
  <si>
    <t xml:space="preserve">OISIX INC</t>
  </si>
  <si>
    <t xml:space="preserve">9404</t>
  </si>
  <si>
    <t xml:space="preserve">NIPPON TELEVISION HOLDINGS</t>
  </si>
  <si>
    <t xml:space="preserve">ACB</t>
  </si>
  <si>
    <t xml:space="preserve">AURORA CANNABIS INC</t>
  </si>
  <si>
    <t xml:space="preserve">DITV</t>
  </si>
  <si>
    <t xml:space="preserve">DISH TV INDIA LTD</t>
  </si>
  <si>
    <t xml:space="preserve">2906501G</t>
  </si>
  <si>
    <t xml:space="preserve">MFSZ6</t>
  </si>
  <si>
    <t xml:space="preserve">MSCI EAFE         DEC26</t>
  </si>
  <si>
    <t xml:space="preserve">1786</t>
  </si>
  <si>
    <t xml:space="preserve">SCIVISION BIOTECH INC</t>
  </si>
  <si>
    <t xml:space="preserve">FIREFINCH LTD.</t>
  </si>
  <si>
    <t xml:space="preserve">J85</t>
  </si>
  <si>
    <t xml:space="preserve">CDL HOSPITALITY TRUSTS</t>
  </si>
  <si>
    <t xml:space="preserve">6203</t>
  </si>
  <si>
    <t xml:space="preserve">SEA SONIC ELECTRONICS CO LTD</t>
  </si>
  <si>
    <t xml:space="preserve">UNA</t>
  </si>
  <si>
    <t xml:space="preserve">405</t>
  </si>
  <si>
    <t xml:space="preserve">YUEXIU REAL ESTATE INVESTMEN</t>
  </si>
  <si>
    <t xml:space="preserve">8219</t>
  </si>
  <si>
    <t xml:space="preserve">AOYAMA TRADING CO LTD</t>
  </si>
  <si>
    <t xml:space="preserve">7616</t>
  </si>
  <si>
    <t xml:space="preserve">COLOWIDE CO LTD</t>
  </si>
  <si>
    <t xml:space="preserve">587</t>
  </si>
  <si>
    <t xml:space="preserve">CHINA CONCH ENVIRONMENT PROT</t>
  </si>
  <si>
    <t xml:space="preserve">6799</t>
  </si>
  <si>
    <t xml:space="preserve">M3 TECHNOLOGY INC</t>
  </si>
  <si>
    <t xml:space="preserve">3207</t>
  </si>
  <si>
    <t xml:space="preserve">YAO SHENG ELECTRONIC CO LTD</t>
  </si>
  <si>
    <t xml:space="preserve">EMERGING DISPLAY TECHNOLOGIE</t>
  </si>
  <si>
    <t xml:space="preserve">344820</t>
  </si>
  <si>
    <t xml:space="preserve">KCC GLASS CORP</t>
  </si>
  <si>
    <t xml:space="preserve">HUNGARIAN FORINT</t>
  </si>
  <si>
    <t xml:space="preserve">4533</t>
  </si>
  <si>
    <t xml:space="preserve">SHIEH YIH MACHINERY INDUSTRY</t>
  </si>
  <si>
    <t xml:space="preserve">3051</t>
  </si>
  <si>
    <t xml:space="preserve">OPTIMAX TECHNOLOGY CORP</t>
  </si>
  <si>
    <t xml:space="preserve">KONTR</t>
  </si>
  <si>
    <t xml:space="preserve">KONTROLMATIK ENERJI VE MUHEN</t>
  </si>
  <si>
    <t xml:space="preserve">WEED</t>
  </si>
  <si>
    <t xml:space="preserve">CANOPY GROWTH CORP</t>
  </si>
  <si>
    <t xml:space="preserve">A205470</t>
  </si>
  <si>
    <t xml:space="preserve">HUMASIS CO LTD</t>
  </si>
  <si>
    <t xml:space="preserve">PTTGC</t>
  </si>
  <si>
    <t xml:space="preserve">PTT GLOBAL CHEMICAL PCL NVDR</t>
  </si>
  <si>
    <t xml:space="preserve">MEXICAN PESO (NEW)</t>
  </si>
  <si>
    <t xml:space="preserve">PEN</t>
  </si>
  <si>
    <t xml:space="preserve">PENINSULA ENERGY LTD</t>
  </si>
  <si>
    <t xml:space="preserve">Emerging / -</t>
  </si>
  <si>
    <t xml:space="preserve">558</t>
  </si>
  <si>
    <t xml:space="preserve">L.K. TECHNOLOGY HOLDINGS LTD</t>
  </si>
  <si>
    <t xml:space="preserve">A245620</t>
  </si>
  <si>
    <t xml:space="preserve">EONE DIAGNOMICS GENOME CENTE</t>
  </si>
  <si>
    <t xml:space="preserve">EGYPTIAN POUND</t>
  </si>
  <si>
    <t xml:space="preserve">880</t>
  </si>
  <si>
    <t xml:space="preserve">SJM HOLDINGS LTD</t>
  </si>
  <si>
    <t xml:space="preserve">2497</t>
  </si>
  <si>
    <t xml:space="preserve">E LEAD ELECTRONIC CO LTD</t>
  </si>
  <si>
    <t xml:space="preserve">OCI</t>
  </si>
  <si>
    <t xml:space="preserve">OCI NV</t>
  </si>
  <si>
    <t xml:space="preserve">DSX.WS</t>
  </si>
  <si>
    <t xml:space="preserve">DIANA SHIPPING INC</t>
  </si>
  <si>
    <t xml:space="preserve">HINDWARE</t>
  </si>
  <si>
    <t xml:space="preserve">HINDWARE HOME INNOVATION LTD</t>
  </si>
  <si>
    <t xml:space="preserve">TOPGLOV-WA</t>
  </si>
  <si>
    <t xml:space="preserve">VLEGOV</t>
  </si>
  <si>
    <t xml:space="preserve">VL E GOVERNANCE + IT SOLUTIO</t>
  </si>
  <si>
    <t xml:space="preserve">GENP</t>
  </si>
  <si>
    <t xml:space="preserve">GENUS PRIME INFRA LTD</t>
  </si>
  <si>
    <t xml:space="preserve">SUPERMX-WA</t>
  </si>
  <si>
    <t xml:space="preserve">KTN</t>
  </si>
  <si>
    <t xml:space="preserve">KONTRON AG</t>
  </si>
  <si>
    <t xml:space="preserve">A950130</t>
  </si>
  <si>
    <t xml:space="preserve">ACCESS BIO INC KDR</t>
  </si>
  <si>
    <t xml:space="preserve">MIG</t>
  </si>
  <si>
    <t xml:space="preserve">MIG HOLDINGS SA</t>
  </si>
  <si>
    <t xml:space="preserve">VGCX</t>
  </si>
  <si>
    <t xml:space="preserve">VICTORIA GOLD CORP</t>
  </si>
  <si>
    <t xml:space="preserve">TECH</t>
  </si>
  <si>
    <t xml:space="preserve">INDOSTERLING TECHNOMEDIA TBK</t>
  </si>
  <si>
    <t xml:space="preserve">ADIT</t>
  </si>
  <si>
    <t xml:space="preserve">ADITYA BIRLA CAPITAL LTD GDR</t>
  </si>
  <si>
    <t xml:space="preserve">6176</t>
  </si>
  <si>
    <t xml:space="preserve">RADIANT OPTO ELECTRONICS COR</t>
  </si>
  <si>
    <t xml:space="preserve">INB</t>
  </si>
  <si>
    <t xml:space="preserve">INVEST BANK</t>
  </si>
  <si>
    <t xml:space="preserve">RYZON MATERIALS LTD UNL</t>
  </si>
  <si>
    <t xml:space="preserve">MRCB-WB</t>
  </si>
  <si>
    <t xml:space="preserve">GDEX-WC</t>
  </si>
  <si>
    <t xml:space="preserve">GDEX BHD</t>
  </si>
  <si>
    <t xml:space="preserve">POLL</t>
  </si>
  <si>
    <t xml:space="preserve">POLLUX PROPERTIES INDONESIA</t>
  </si>
  <si>
    <t xml:space="preserve">AE/F</t>
  </si>
  <si>
    <t xml:space="preserve">ALL ENERGY + UTILITI FOREIGN</t>
  </si>
  <si>
    <t xml:space="preserve">ABE</t>
  </si>
  <si>
    <t xml:space="preserve">ABERTIS INFRAESTRUCTURAS SA</t>
  </si>
  <si>
    <t xml:space="preserve">ACW</t>
  </si>
  <si>
    <t xml:space="preserve">ACTINOGEN MEDICAL LTD</t>
  </si>
  <si>
    <t xml:space="preserve">AMCO   ASSET MANAGEMENT CO B</t>
  </si>
  <si>
    <t xml:space="preserve">2299955D</t>
  </si>
  <si>
    <t xml:space="preserve">CONSTELLATION SOFTWARE INC</t>
  </si>
  <si>
    <t xml:space="preserve">A091690</t>
  </si>
  <si>
    <t xml:space="preserve">DIGITECH SYSTEMS CO LTD</t>
  </si>
  <si>
    <t xml:space="preserve">DUB</t>
  </si>
  <si>
    <t xml:space="preserve">DUBBER CORP LTD</t>
  </si>
  <si>
    <t xml:space="preserve">FAE</t>
  </si>
  <si>
    <t xml:space="preserve">FAES FARMA SA</t>
  </si>
  <si>
    <t xml:space="preserve">A095700</t>
  </si>
  <si>
    <t xml:space="preserve">GENEXINE CO LTD</t>
  </si>
  <si>
    <t xml:space="preserve">GREENH</t>
  </si>
  <si>
    <t xml:space="preserve">GREEN HYDROGEN SYSTEMS A/S</t>
  </si>
  <si>
    <t xml:space="preserve">A065620</t>
  </si>
  <si>
    <t xml:space="preserve">JENAX INC</t>
  </si>
  <si>
    <t xml:space="preserve">GOW</t>
  </si>
  <si>
    <t xml:space="preserve">LET S GOWEX S.A</t>
  </si>
  <si>
    <t xml:space="preserve">NEW NOBLE</t>
  </si>
  <si>
    <t xml:space="preserve">NOEA</t>
  </si>
  <si>
    <t xml:space="preserve">NORMA GROUP SE</t>
  </si>
  <si>
    <t xml:space="preserve">PFC</t>
  </si>
  <si>
    <t xml:space="preserve">PETROFAC LTD</t>
  </si>
  <si>
    <t xml:space="preserve">SUSE S.A</t>
  </si>
  <si>
    <t xml:space="preserve">2191</t>
  </si>
  <si>
    <t xml:space="preserve">TELLA INC</t>
  </si>
  <si>
    <t xml:space="preserve">UNTRADE.LONG WELL INTL</t>
  </si>
  <si>
    <t xml:space="preserve">CONTRA ADR GRACELL BI</t>
  </si>
  <si>
    <t xml:space="preserve">VGI-W3</t>
  </si>
  <si>
    <t xml:space="preserve">VGI PCL</t>
  </si>
  <si>
    <t xml:space="preserve">ACL</t>
  </si>
  <si>
    <t xml:space="preserve">ARCELORMITTAL SOUTH AFRICA</t>
  </si>
  <si>
    <t xml:space="preserve">MDLN</t>
  </si>
  <si>
    <t xml:space="preserve">MODERNLAND REALTY TBK PT</t>
  </si>
  <si>
    <t xml:space="preserve">GTN</t>
  </si>
  <si>
    <t xml:space="preserve">GETIN HOLDING SA</t>
  </si>
  <si>
    <t xml:space="preserve">PROCF</t>
  </si>
  <si>
    <t xml:space="preserve">SOFGEN PHARMA SA</t>
  </si>
  <si>
    <t xml:space="preserve">KLBN4</t>
  </si>
  <si>
    <t xml:space="preserve">KLABIN SA PREF</t>
  </si>
  <si>
    <t xml:space="preserve">ARTC</t>
  </si>
  <si>
    <t xml:space="preserve">ARABTEC HOLDING CO PJSC</t>
  </si>
  <si>
    <t xml:space="preserve">CHINA COM RICH RENE ENE INVEST</t>
  </si>
  <si>
    <t xml:space="preserve">CCIHY</t>
  </si>
  <si>
    <t xml:space="preserve">CHINACACHE INTERNAT SPON ADR</t>
  </si>
  <si>
    <t xml:space="preserve">CTKYY</t>
  </si>
  <si>
    <t xml:space="preserve">COOTEK CAYMAN INC ADR</t>
  </si>
  <si>
    <t xml:space="preserve">COREEDUTEC</t>
  </si>
  <si>
    <t xml:space="preserve">CORE EDUCATION + TECHNOLOGIE</t>
  </si>
  <si>
    <t xml:space="preserve">ERA INFRA ENGINEERING LTD</t>
  </si>
  <si>
    <t xml:space="preserve">FFGRP</t>
  </si>
  <si>
    <t xml:space="preserve">FF GROUP</t>
  </si>
  <si>
    <t xml:space="preserve">GMON</t>
  </si>
  <si>
    <t xml:space="preserve">GAMMON INDIA LTD</t>
  </si>
  <si>
    <t xml:space="preserve">GITANJALI</t>
  </si>
  <si>
    <t xml:space="preserve">GITANJALI GEMS LTD</t>
  </si>
  <si>
    <t xml:space="preserve">GROUP FIVE</t>
  </si>
  <si>
    <t xml:space="preserve">GUJNRECOKE</t>
  </si>
  <si>
    <t xml:space="preserve">GUJARAT NRE COKE LTD</t>
  </si>
  <si>
    <t xml:space="preserve">GGICO</t>
  </si>
  <si>
    <t xml:space="preserve">GULF GENERAL INVESTMENT CO</t>
  </si>
  <si>
    <t xml:space="preserve">HUISHAN DAIRY</t>
  </si>
  <si>
    <t xml:space="preserve">IVRCLINFRA</t>
  </si>
  <si>
    <t xml:space="preserve">IVRCL LTD</t>
  </si>
  <si>
    <t xml:space="preserve">JETIN</t>
  </si>
  <si>
    <t xml:space="preserve">JET AIRWAYS INDIA LTD</t>
  </si>
  <si>
    <t xml:space="preserve">900953</t>
  </si>
  <si>
    <t xml:space="preserve">KAMA CO LTD B</t>
  </si>
  <si>
    <t xml:space="preserve">LITL</t>
  </si>
  <si>
    <t xml:space="preserve">LANCO INFRATECH LTD</t>
  </si>
  <si>
    <t xml:space="preserve">LITRAK</t>
  </si>
  <si>
    <t xml:space="preserve">LINGKARAN TRANS KOTA HLDGS</t>
  </si>
  <si>
    <t xml:space="preserve">LKM</t>
  </si>
  <si>
    <t xml:space="preserve">LINK MOTION INC   SPON ADR</t>
  </si>
  <si>
    <t xml:space="preserve">MANB</t>
  </si>
  <si>
    <t xml:space="preserve">MANPASAND BEVERAGES LTD</t>
  </si>
  <si>
    <t xml:space="preserve">MTL</t>
  </si>
  <si>
    <t xml:space="preserve">MECHEL PJSC SPONSORED ADR</t>
  </si>
  <si>
    <t xml:space="preserve">MMXM3</t>
  </si>
  <si>
    <t xml:space="preserve">MMX MINERACAO E METALICOS SA</t>
  </si>
  <si>
    <t xml:space="preserve">MURRAY AND ROBERTS HOLDINGS</t>
  </si>
  <si>
    <t xml:space="preserve">OIBZQ</t>
  </si>
  <si>
    <t xml:space="preserve">OI SA ADR</t>
  </si>
  <si>
    <t xml:space="preserve">002505</t>
  </si>
  <si>
    <t xml:space="preserve">PENGDU AGRICULTURE + ANIMA A</t>
  </si>
  <si>
    <t xml:space="preserve">6452</t>
  </si>
  <si>
    <t xml:space="preserve">PHARMALLY INTERENATIONAL HOL</t>
  </si>
  <si>
    <t xml:space="preserve">PIHSIANG MACHINERY MFG CO</t>
  </si>
  <si>
    <t xml:space="preserve">5387</t>
  </si>
  <si>
    <t xml:space="preserve">PROMOS TECHNOLOGIES INC</t>
  </si>
  <si>
    <t xml:space="preserve">PUNJLLOYD</t>
  </si>
  <si>
    <t xml:space="preserve">PUNJ LLOYD LTD</t>
  </si>
  <si>
    <t xml:space="preserve">NEWYY</t>
  </si>
  <si>
    <t xml:space="preserve">PUXIN LTD ADR</t>
  </si>
  <si>
    <t xml:space="preserve">QTTOY</t>
  </si>
  <si>
    <t xml:space="preserve">QUTOUTIAO INC ADR</t>
  </si>
  <si>
    <t xml:space="preserve">REIA</t>
  </si>
  <si>
    <t xml:space="preserve">REI AGRO LTD</t>
  </si>
  <si>
    <t xml:space="preserve">ROSYY</t>
  </si>
  <si>
    <t xml:space="preserve">ROSTELECOM SPONSORED ADR</t>
  </si>
  <si>
    <t xml:space="preserve">SARE B</t>
  </si>
  <si>
    <t xml:space="preserve">SARE HOLDING SAB DE CV CL B</t>
  </si>
  <si>
    <t xml:space="preserve">SVST</t>
  </si>
  <si>
    <t xml:space="preserve">SEVERSTAL   GDR REG S</t>
  </si>
  <si>
    <t xml:space="preserve">TMPI</t>
  </si>
  <si>
    <t xml:space="preserve">SIGMAGOLD INTI PERKASA TBK P</t>
  </si>
  <si>
    <t xml:space="preserve">SSA</t>
  </si>
  <si>
    <t xml:space="preserve">SISTEMA PJSC REG S SPONS GDR</t>
  </si>
  <si>
    <t xml:space="preserve">2841</t>
  </si>
  <si>
    <t xml:space="preserve">TAIWAN LAND DEVELOPMENT CORP</t>
  </si>
  <si>
    <t xml:space="preserve">TRANSASIA AIRWAYS CORP</t>
  </si>
  <si>
    <t xml:space="preserve">AZTECA CPO</t>
  </si>
  <si>
    <t xml:space="preserve">TV AZTECA SAB DE CV CPO</t>
  </si>
  <si>
    <t xml:space="preserve">2499</t>
  </si>
  <si>
    <t xml:space="preserve">UNITY OPTO TECHNOLOGY CO LTD</t>
  </si>
  <si>
    <t xml:space="preserve">UNTRADE HUIYUAN JUICE</t>
  </si>
  <si>
    <t xml:space="preserve">UNTRADE MH DEVELOPMENT NPV</t>
  </si>
  <si>
    <t xml:space="preserve">UNTRADE NH HEALTH</t>
  </si>
  <si>
    <t xml:space="preserve">UNTRADE REAL NUTRI</t>
  </si>
  <si>
    <t xml:space="preserve">UNTRADE. OZNER WATER</t>
  </si>
  <si>
    <t xml:space="preserve">UNTRADE.C FIBER OPTIC</t>
  </si>
  <si>
    <t xml:space="preserve">UNTRADE.CHI OCEAN IND</t>
  </si>
  <si>
    <t xml:space="preserve">UNTRADE.CHINA DILI</t>
  </si>
  <si>
    <t xml:space="preserve">UNTRADE.CHONGSING HLDGS</t>
  </si>
  <si>
    <t xml:space="preserve">UNTRADE.IMPERIAL PAC</t>
  </si>
  <si>
    <t xml:space="preserve">UNTRADE.NATIONAL AGRI</t>
  </si>
  <si>
    <t xml:space="preserve">UNTRADE.TECH PRO</t>
  </si>
  <si>
    <t xml:space="preserve">UNTRADE.YINCHENG INTL</t>
  </si>
  <si>
    <t xml:space="preserve">VIDEOIND</t>
  </si>
  <si>
    <t xml:space="preserve">VIDEOCON INDUSTRIES LTD</t>
  </si>
  <si>
    <t xml:space="preserve">VKCO</t>
  </si>
  <si>
    <t xml:space="preserve">VK IPJSC</t>
  </si>
  <si>
    <t xml:space="preserve">8925</t>
  </si>
  <si>
    <t xml:space="preserve">WEI MON INDUSTRY CO LTD</t>
  </si>
  <si>
    <t xml:space="preserve">002610</t>
  </si>
  <si>
    <t xml:space="preserve">ZHEJIANG AKCOME NEW ENERGY T</t>
  </si>
  <si>
    <t xml:space="preserve">COLOMBIAN PESO</t>
  </si>
  <si>
    <t xml:space="preserve">Approx. Weight</t>
  </si>
  <si>
    <t xml:space="preserve"># of Tickers</t>
  </si>
  <si>
    <t xml:space="preserve">Avg P/E (simple, P/E&lt;=100)</t>
  </si>
  <si>
    <t xml:space="preserve">Unclassified (no sector retrieved)</t>
  </si>
  <si>
    <t xml:space="preserve">Total</t>
  </si>
  <si>
    <t xml:space="preserve">VXUS proxy: all stocks outside the US (S&amp;P Developed ex-US BMI 75% + S&amp;P Emerging BMI 25%)</t>
  </si>
  <si>
    <t xml:space="preserve">Holdings and weights: State Street SPDR Portfolio Developed World ex-US ETF (SPDW, 2478 stocks) and SPDR Portfolio Emerging Markets ETF (SPEM, 2802 stocks), daily holdings files as of 21-Sep-2026. The two lists are blended 75% developed / 25% emerging, which is VXUS's approximate regional mix, and weights are rescaled to 100%.</t>
  </si>
  <si>
    <t xml:space="preserve">Why this is a proxy: VXUS tracks the FTSE Global All Cap ex US Index (about 8,500 stocks). Vanguard's full holdings file is not downloadable from here. The S&amp;P BMI indexes used above cover the same countries and the same large and mid caps; VXUS additionally holds several thousand very small names that carry little weight. Classification differences: S&amp;P treats South Korea as developed (as does FTSE); both treat Taiwan, China and India as emerging.</t>
  </si>
  <si>
    <t xml:space="preserve">The Sub-Industry column holds Region / local trading currency, since sector data was not available for every name. Fundamentals were retrieved for the largest holdings only (see Notes column): P/E (TTM), EPS (TTM), Price/Sales, GICS sector and company name come from Yahoo Finance via yfinance, retrieved Sept 22, 2026, using the local-exchange listing (the Yahoo symbol is in the Notes column). Prices and market caps are shown only for USD listings; local-currency figures are left blank rather than converted.</t>
  </si>
  <si>
    <t xml:space="preserve">Revenue TTM ($B) is derived as Market Cap / Price-to-Sales where both exist in USD; blank otherwise.</t>
  </si>
  <si>
    <t xml:space="preserve">Rows without a Yahoo match (smaller names, GDR lines, dual listings) carry weight and region only. The Sectors tab shows the share of weight that could not be classified.</t>
  </si>
  <si>
    <t xml:space="preserve">Cumulative Weight assumes the default sort by rank; after re-sorting it shows the running weight in the new order.</t>
  </si>
  <si>
    <t xml:space="preserve">For information only; not investment advice.</t>
  </si>
  <si>
    <t xml:space="preserve">Historical tabs 'Annual Returns' (1991-2025) and 'By Decade': there is no 100-year history for international stocks in freely available data; MSCI EAFE, the oldest widely used ex-US index, starts in 1970 and MSCI's download service was unavailable. The series used is Kenneth French's Developed-ex-US market portfolio (cap-weighted, in US dollars, total return with dividends), which begins July 1990, so 1991 is the first full year. A 75% developed / 25% emerging blend using French's Emerging Markets portfolio (from 1989) is shown alongside as the closer match to VXUS. Source: mba.tuck.dartmouth.edu/pages/faculty/ken.french/data_library.html, 'Developed ex US 3 Factors' and 'Emerging 5 Factors' (Mkt-RF plus RF), files created from the 202607 Bloomberg database.</t>
  </si>
  <si>
    <t xml:space="preserve">Real returns use December-over-December US CPI-U (NSA): Robert Shiller's dataset through 2023, then BLS series CUUR0000SA0 (Dec 2024 = 315.605, Dec 2025 = 324.054). No separate price-only series exists, so the price-return columns on the S&amp;P 500 sheet are omitted here.</t>
  </si>
  <si>
    <t xml:space="preserve">Year</t>
  </si>
  <si>
    <t xml:space="preserve">Decade</t>
  </si>
  <si>
    <t xml:space="preserve">Total Return
(w/ dividends)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</si>
  <si>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</si>
  <si>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</si>
  <si>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</si>
  <si>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(Real)</t>
  </si>
  <si>
    <t xml:space="preserve">75% developed ex-US + 25% emerging blend</t>
  </si>
  <si>
    <t xml:space="preserve">Summary</t>
  </si>
  <si>
    <t xml:space="preserve">Years</t>
  </si>
  <si>
    <t xml:space="preserve">Up years</t>
  </si>
  <si>
    <t xml:space="preserve">Down years</t>
  </si>
  <si>
    <t xml:space="preserve">Average annual total return</t>
  </si>
  <si>
    <t xml:space="preserve">Annualized (CAGR) total return</t>
  </si>
  <si>
    <t xml:space="preserve">Average annual real return</t>
  </si>
  <si>
    <t xml:space="preserve">Annualized (CAGR) real return</t>
  </si>
  <si>
    <t xml:space="preserve">Best year (total)</t>
  </si>
  <si>
    <t xml:space="preserve">Worst year (total)</t>
  </si>
  <si>
    <t xml:space="preserve">Standard deviation of annual returns</t>
  </si>
  <si>
    <t xml:space="preserve">$1 grew to (total, 1991-2025)</t>
  </si>
  <si>
    <t xml:space="preserve">$1 grew to (real)</t>
  </si>
  <si>
    <t xml:space="preserve">Comparison series: average</t>
  </si>
  <si>
    <t xml:space="preserve">Comparison series: CAGR</t>
  </si>
  <si>
    <t xml:space="preserve">Developed markets ex-US (Fama-French, USD, cap-weighted)</t>
  </si>
  <si>
    <t xml:space="preserve">Returns are calendar-year, compounded from monthly data, with dividends reinvested. Real returns are CPI-adjusted. 'Average' is the simple mean of yearly returns; 'Annualized / CAGR' is the compound rate actually earned, always lower because of volatility drag.</t>
  </si>
  <si>
    <t xml:space="preserve">2026 is excluded because the year is not complete. See the Notes tab for sources and why this series stands in for the index.</t>
  </si>
  <si>
    <t xml:space="preserve">Years
Covered</t>
  </si>
  <si>
    <t xml:space="preserve"># of
Years</t>
  </si>
  <si>
    <t xml:space="preserve">Up
Years</t>
  </si>
  <si>
    <t xml:space="preserve">Down
Years</t>
  </si>
  <si>
    <t xml:space="preserve">Avg Annual
Total Return</t>
  </si>
  <si>
    <t xml:space="preserve">Annualized
(CAGR)
Total Return</t>
  </si>
  <si>
    <t xml:space="preserve">Cumulative
Total Return</t>
  </si>
  <si>
    <t xml:space="preserve">Avg Annual
Real Total Return</t>
  </si>
  <si>
    <t xml:space="preserve">Annualized
(CAGR)
Real Return</t>
  </si>
  <si>
    <t xml:space="preserve">Best Year
(Total)</t>
  </si>
  <si>
    <t xml:space="preserve">Worst Year
(Total)</t>
  </si>
  <si>
    <t xml:space="preserve">$1 Grew To
(Total)</t>
  </si>
  <si>
    <t xml:space="preserve">Comparison series
CAGR</t>
  </si>
  <si>
    <t xml:space="preserve">1990s</t>
  </si>
  <si>
    <t xml:space="preserve">1991–1999 (partial)</t>
  </si>
  <si>
    <t xml:space="preserve">2000s</t>
  </si>
  <si>
    <t xml:space="preserve">2000–2009</t>
  </si>
  <si>
    <t xml:space="preserve">2010s</t>
  </si>
  <si>
    <t xml:space="preserve">2010–2019</t>
  </si>
  <si>
    <t xml:space="preserve">2020s</t>
  </si>
  <si>
    <t xml:space="preserve">2020–2025 (partial)</t>
  </si>
  <si>
    <t xml:space="preserve">All years</t>
  </si>
  <si>
    <t xml:space="preserve">1991–2025</t>
  </si>
  <si>
    <t xml:space="preserve">Decades are calendar decades. Partial decades are marked.</t>
  </si>
  <si>
    <t xml:space="preserve">Avg Annual = simple average of the yearly returns in that decade. Annualized (CAGR) = the compound rate that turns the starting dollar into the ending dollar; this is the number that reflects what you actually earned.</t>
  </si>
  <si>
    <t xml:space="preserve">Cumulative Total Return = total growth over the decade with dividends reinvested. All figures pull live from the 'Annual Returns' tab.</t>
  </si>
  <si>
    <t xml:space="preserve">Comparison series = 75% developed ex-US + 25% emerging blend. Source and methodology: see the Notes tab.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</si>
</sst>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@"/>
    <numFmt numFmtId="171" formatCode="0"/>
    <numFmt numFmtId="172" formatCode="0.00%;[RED]\-0.00%"/>
    <numFmt numFmtId="173" formatCode="\$#,##0.00"/>
    <numFmt numFmtId="174" formatCode="\$#,##0.00"/>
    <numFmt numFmtId="17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0.035539</v>
      </c>
      <c r="G2" s="3" t="n">
        <f aca="false">SUM($F$2:F2)</f>
        <v>0.035539</v>
      </c>
      <c r="H2" s="4"/>
      <c r="I2" s="5" t="n">
        <v>28.7518</v>
      </c>
      <c r="J2" s="4" t="n">
        <v>85.56</v>
      </c>
      <c r="K2" s="5"/>
      <c r="L2" s="6" t="n">
        <v>14.3663</v>
      </c>
      <c r="M2" s="5" t="str">
        <f aca="false">IF(AND(N(K2)&gt;0,N(L2)&gt;0),K2/L2,"")</f>
        <v/>
      </c>
      <c r="N2" s="2" t="s">
        <v>18</v>
      </c>
    </row>
    <row r="3" customFormat="false" ht="15" hidden="false" customHeight="false" outlineLevel="0" collapsed="false">
      <c r="A3" s="2" t="n">
        <v>2</v>
      </c>
      <c r="B3" s="2" t="s">
        <v>19</v>
      </c>
      <c r="C3" s="2" t="s">
        <v>20</v>
      </c>
      <c r="D3" s="2" t="s">
        <v>16</v>
      </c>
      <c r="E3" s="2" t="s">
        <v>21</v>
      </c>
      <c r="F3" s="3" t="n">
        <v>0.020247</v>
      </c>
      <c r="G3" s="3" t="n">
        <f aca="false">SUM($F$2:F3)</f>
        <v>0.055786</v>
      </c>
      <c r="H3" s="4" t="n">
        <v>1179.5</v>
      </c>
      <c r="I3" s="5"/>
      <c r="J3" s="4"/>
      <c r="K3" s="5" t="n">
        <v>309.8105</v>
      </c>
      <c r="L3" s="6"/>
      <c r="M3" s="5" t="str">
        <f aca="false">IF(AND(N(K3)&gt;0,N(L3)&gt;0),K3/L3,"")</f>
        <v/>
      </c>
      <c r="N3" s="2" t="s">
        <v>22</v>
      </c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16</v>
      </c>
      <c r="E4" s="2" t="s">
        <v>25</v>
      </c>
      <c r="F4" s="3" t="n">
        <v>0.017194</v>
      </c>
      <c r="G4" s="3" t="n">
        <f aca="false">SUM($F$2:F4)</f>
        <v>0.07298</v>
      </c>
      <c r="H4" s="4"/>
      <c r="I4" s="5"/>
      <c r="J4" s="4"/>
      <c r="K4" s="5"/>
      <c r="L4" s="6" t="n">
        <v>6.9045</v>
      </c>
      <c r="M4" s="5" t="str">
        <f aca="false">IF(AND(N(K4)&gt;0,N(L4)&gt;0),K4/L4,"")</f>
        <v/>
      </c>
      <c r="N4" s="2" t="s">
        <v>26</v>
      </c>
    </row>
    <row r="5" customFormat="false" ht="15" hidden="false" customHeight="false" outlineLevel="0" collapsed="false">
      <c r="A5" s="2" t="n">
        <v>4</v>
      </c>
      <c r="B5" s="2" t="s">
        <v>27</v>
      </c>
      <c r="C5" s="2" t="s">
        <v>28</v>
      </c>
      <c r="D5" s="2" t="s">
        <v>16</v>
      </c>
      <c r="E5" s="2" t="s">
        <v>29</v>
      </c>
      <c r="F5" s="3" t="n">
        <v>0.01451</v>
      </c>
      <c r="G5" s="3" t="n">
        <f aca="false">SUM($F$2:F5)</f>
        <v>0.08749</v>
      </c>
      <c r="H5" s="4"/>
      <c r="I5" s="5" t="n">
        <v>58.3909</v>
      </c>
      <c r="J5" s="4" t="n">
        <v>25.48</v>
      </c>
      <c r="K5" s="5"/>
      <c r="L5" s="6" t="n">
        <v>16.1762</v>
      </c>
      <c r="M5" s="5" t="str">
        <f aca="false">IF(AND(N(K5)&gt;0,N(L5)&gt;0),K5/L5,"")</f>
        <v/>
      </c>
      <c r="N5" s="2" t="s">
        <v>30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32</v>
      </c>
      <c r="D6" s="2"/>
      <c r="E6" s="2" t="s">
        <v>33</v>
      </c>
      <c r="F6" s="3" t="n">
        <v>0.007739</v>
      </c>
      <c r="G6" s="3" t="n">
        <f aca="false">SUM($F$2:F6)</f>
        <v>0.095229</v>
      </c>
      <c r="H6" s="4"/>
      <c r="I6" s="5"/>
      <c r="J6" s="4"/>
      <c r="K6" s="5"/>
      <c r="L6" s="6"/>
      <c r="M6" s="5" t="str">
        <f aca="false">IF(AND(N(K6)&gt;0,N(L6)&gt;0),K6/L6,"")</f>
        <v/>
      </c>
      <c r="N6" s="2" t="s">
        <v>34</v>
      </c>
    </row>
    <row r="7" customFormat="false" ht="15" hidden="false" customHeight="false" outlineLevel="0" collapsed="false">
      <c r="A7" s="2" t="n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3" t="n">
        <v>0.006866</v>
      </c>
      <c r="G7" s="3" t="n">
        <f aca="false">SUM($F$2:F7)</f>
        <v>0.102095</v>
      </c>
      <c r="H7" s="4"/>
      <c r="I7" s="5" t="n">
        <v>23.6227</v>
      </c>
      <c r="J7" s="4" t="n">
        <v>15.32</v>
      </c>
      <c r="K7" s="5"/>
      <c r="L7" s="6" t="n">
        <v>4.58</v>
      </c>
      <c r="M7" s="5" t="str">
        <f aca="false">IF(AND(N(K7)&gt;0,N(L7)&gt;0),K7/L7,"")</f>
        <v/>
      </c>
      <c r="N7" s="2" t="s">
        <v>39</v>
      </c>
    </row>
    <row r="8" customFormat="false" ht="15" hidden="false" customHeight="false" outlineLevel="0" collapsed="false">
      <c r="A8" s="2" t="n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3" t="n">
        <v>0.00655</v>
      </c>
      <c r="G8" s="3" t="n">
        <f aca="false">SUM($F$2:F8)</f>
        <v>0.108645</v>
      </c>
      <c r="H8" s="4"/>
      <c r="I8" s="5" t="n">
        <v>15.1544</v>
      </c>
      <c r="J8" s="4" t="n">
        <v>29.8</v>
      </c>
      <c r="K8" s="5"/>
      <c r="L8" s="6" t="n">
        <v>5.1597</v>
      </c>
      <c r="M8" s="5" t="str">
        <f aca="false">IF(AND(N(K8)&gt;0,N(L8)&gt;0),K8/L8,"")</f>
        <v/>
      </c>
      <c r="N8" s="2" t="s">
        <v>44</v>
      </c>
    </row>
    <row r="9" customFormat="false" ht="15" hidden="false" customHeight="false" outlineLevel="0" collapsed="false">
      <c r="A9" s="2" t="n">
        <v>8</v>
      </c>
      <c r="B9" s="2" t="s">
        <v>45</v>
      </c>
      <c r="C9" s="2" t="s">
        <v>46</v>
      </c>
      <c r="D9" s="2" t="s">
        <v>47</v>
      </c>
      <c r="E9" s="2" t="s">
        <v>48</v>
      </c>
      <c r="F9" s="3" t="n">
        <v>0.00636</v>
      </c>
      <c r="G9" s="3" t="n">
        <f aca="false">SUM($F$2:F9)</f>
        <v>0.115005</v>
      </c>
      <c r="H9" s="4"/>
      <c r="I9" s="5" t="n">
        <v>18.2508</v>
      </c>
      <c r="J9" s="4" t="n">
        <v>15.87</v>
      </c>
      <c r="K9" s="5"/>
      <c r="L9" s="6" t="n">
        <v>5.9714</v>
      </c>
      <c r="M9" s="5" t="str">
        <f aca="false">IF(AND(N(K9)&gt;0,N(L9)&gt;0),K9/L9,"")</f>
        <v/>
      </c>
      <c r="N9" s="2" t="s">
        <v>49</v>
      </c>
    </row>
    <row r="10" customFormat="false" ht="15" hidden="false" customHeight="false" outlineLevel="0" collapsed="false">
      <c r="A10" s="2" t="n">
        <v>9</v>
      </c>
      <c r="B10" s="2" t="s">
        <v>50</v>
      </c>
      <c r="C10" s="2" t="s">
        <v>51</v>
      </c>
      <c r="D10" s="2" t="s">
        <v>47</v>
      </c>
      <c r="E10" s="2" t="s">
        <v>52</v>
      </c>
      <c r="F10" s="3" t="n">
        <v>0.006161</v>
      </c>
      <c r="G10" s="3" t="n">
        <f aca="false">SUM($F$2:F10)</f>
        <v>0.121166</v>
      </c>
      <c r="H10" s="4"/>
      <c r="I10" s="5" t="n">
        <v>15.3137</v>
      </c>
      <c r="J10" s="4" t="n">
        <v>236.39</v>
      </c>
      <c r="K10" s="5"/>
      <c r="L10" s="6" t="n">
        <v>5.612</v>
      </c>
      <c r="M10" s="5" t="str">
        <f aca="false">IF(AND(N(K10)&gt;0,N(L10)&gt;0),K10/L10,"")</f>
        <v/>
      </c>
      <c r="N10" s="2" t="s">
        <v>53</v>
      </c>
    </row>
    <row r="11" customFormat="false" ht="15" hidden="false" customHeight="false" outlineLevel="0" collapsed="false">
      <c r="A11" s="2" t="n">
        <v>10</v>
      </c>
      <c r="B11" s="2" t="s">
        <v>54</v>
      </c>
      <c r="C11" s="2" t="s">
        <v>55</v>
      </c>
      <c r="D11" s="2"/>
      <c r="E11" s="2" t="s">
        <v>33</v>
      </c>
      <c r="F11" s="3" t="n">
        <v>0.005748</v>
      </c>
      <c r="G11" s="3" t="n">
        <f aca="false">SUM($F$2:F11)</f>
        <v>0.126914</v>
      </c>
      <c r="H11" s="4"/>
      <c r="I11" s="5"/>
      <c r="J11" s="4"/>
      <c r="K11" s="5"/>
      <c r="L11" s="6"/>
      <c r="M11" s="5" t="str">
        <f aca="false">IF(AND(N(K11)&gt;0,N(L11)&gt;0),K11/L11,"")</f>
        <v/>
      </c>
      <c r="N11" s="2" t="s">
        <v>34</v>
      </c>
    </row>
    <row r="12" customFormat="false" ht="15" hidden="false" customHeight="false" outlineLevel="0" collapsed="false">
      <c r="A12" s="2" t="n">
        <v>11</v>
      </c>
      <c r="B12" s="2" t="s">
        <v>56</v>
      </c>
      <c r="C12" s="2" t="s">
        <v>57</v>
      </c>
      <c r="D12" s="2"/>
      <c r="E12" s="2" t="s">
        <v>33</v>
      </c>
      <c r="F12" s="3" t="n">
        <v>0.005736</v>
      </c>
      <c r="G12" s="3" t="n">
        <f aca="false">SUM($F$2:F12)</f>
        <v>0.13265</v>
      </c>
      <c r="H12" s="4"/>
      <c r="I12" s="5"/>
      <c r="J12" s="4"/>
      <c r="K12" s="5"/>
      <c r="L12" s="6"/>
      <c r="M12" s="5" t="str">
        <f aca="false">IF(AND(N(K12)&gt;0,N(L12)&gt;0),K12/L12,"")</f>
        <v/>
      </c>
      <c r="N12" s="2" t="s">
        <v>34</v>
      </c>
    </row>
    <row r="13" customFormat="false" ht="15" hidden="false" customHeight="false" outlineLevel="0" collapsed="false">
      <c r="A13" s="2" t="n">
        <v>12</v>
      </c>
      <c r="B13" s="2" t="s">
        <v>58</v>
      </c>
      <c r="C13" s="2" t="s">
        <v>59</v>
      </c>
      <c r="D13" s="2" t="s">
        <v>37</v>
      </c>
      <c r="E13" s="2" t="s">
        <v>38</v>
      </c>
      <c r="F13" s="3" t="n">
        <v>0.005725</v>
      </c>
      <c r="G13" s="3" t="n">
        <f aca="false">SUM($F$2:F13)</f>
        <v>0.138375</v>
      </c>
      <c r="H13" s="4"/>
      <c r="I13" s="5" t="n">
        <v>21.2651</v>
      </c>
      <c r="J13" s="4" t="n">
        <v>5.47</v>
      </c>
      <c r="K13" s="5"/>
      <c r="L13" s="6" t="n">
        <v>3.8998</v>
      </c>
      <c r="M13" s="5" t="str">
        <f aca="false">IF(AND(N(K13)&gt;0,N(L13)&gt;0),K13/L13,"")</f>
        <v/>
      </c>
      <c r="N13" s="2" t="s">
        <v>60</v>
      </c>
    </row>
    <row r="14" customFormat="false" ht="15" hidden="false" customHeight="false" outlineLevel="0" collapsed="false">
      <c r="A14" s="2" t="n">
        <v>13</v>
      </c>
      <c r="B14" s="2" t="s">
        <v>61</v>
      </c>
      <c r="C14" s="2" t="s">
        <v>62</v>
      </c>
      <c r="D14" s="2" t="s">
        <v>63</v>
      </c>
      <c r="E14" s="2" t="s">
        <v>38</v>
      </c>
      <c r="F14" s="3" t="n">
        <v>0.005371</v>
      </c>
      <c r="G14" s="3" t="n">
        <f aca="false">SUM($F$2:F14)</f>
        <v>0.143746</v>
      </c>
      <c r="H14" s="4"/>
      <c r="I14" s="5" t="n">
        <v>26.7958</v>
      </c>
      <c r="J14" s="4" t="n">
        <v>2.89</v>
      </c>
      <c r="K14" s="5"/>
      <c r="L14" s="6" t="n">
        <v>2.2438</v>
      </c>
      <c r="M14" s="5" t="str">
        <f aca="false">IF(AND(N(K14)&gt;0,N(L14)&gt;0),K14/L14,"")</f>
        <v/>
      </c>
      <c r="N14" s="2" t="s">
        <v>64</v>
      </c>
    </row>
    <row r="15" customFormat="false" ht="15" hidden="false" customHeight="false" outlineLevel="0" collapsed="false">
      <c r="A15" s="2" t="n">
        <v>14</v>
      </c>
      <c r="B15" s="2" t="s">
        <v>65</v>
      </c>
      <c r="C15" s="2" t="s">
        <v>66</v>
      </c>
      <c r="D15" s="2" t="s">
        <v>67</v>
      </c>
      <c r="E15" s="2" t="s">
        <v>43</v>
      </c>
      <c r="F15" s="3" t="n">
        <v>0.00528</v>
      </c>
      <c r="G15" s="3" t="n">
        <f aca="false">SUM($F$2:F15)</f>
        <v>0.149026</v>
      </c>
      <c r="H15" s="4"/>
      <c r="I15" s="5" t="n">
        <v>26.3908</v>
      </c>
      <c r="J15" s="4" t="n">
        <v>4.35</v>
      </c>
      <c r="K15" s="5"/>
      <c r="L15" s="6" t="n">
        <v>2.1846</v>
      </c>
      <c r="M15" s="5" t="str">
        <f aca="false">IF(AND(N(K15)&gt;0,N(L15)&gt;0),K15/L15,"")</f>
        <v/>
      </c>
      <c r="N15" s="2" t="s">
        <v>68</v>
      </c>
    </row>
    <row r="16" customFormat="false" ht="15" hidden="false" customHeight="false" outlineLevel="0" collapsed="false">
      <c r="A16" s="2" t="n">
        <v>15</v>
      </c>
      <c r="B16" s="2" t="s">
        <v>69</v>
      </c>
      <c r="C16" s="2" t="s">
        <v>70</v>
      </c>
      <c r="D16" s="2" t="s">
        <v>67</v>
      </c>
      <c r="E16" s="2" t="s">
        <v>52</v>
      </c>
      <c r="F16" s="3" t="n">
        <v>0.005127</v>
      </c>
      <c r="G16" s="3" t="n">
        <f aca="false">SUM($F$2:F16)</f>
        <v>0.154153</v>
      </c>
      <c r="H16" s="4"/>
      <c r="I16" s="5" t="n">
        <v>8.6057</v>
      </c>
      <c r="J16" s="4" t="n">
        <v>351.51</v>
      </c>
      <c r="K16" s="5"/>
      <c r="L16" s="6" t="n">
        <v>0.6894</v>
      </c>
      <c r="M16" s="5" t="str">
        <f aca="false">IF(AND(N(K16)&gt;0,N(L16)&gt;0),K16/L16,"")</f>
        <v/>
      </c>
      <c r="N16" s="2" t="s">
        <v>71</v>
      </c>
    </row>
    <row r="17" customFormat="false" ht="15" hidden="false" customHeight="false" outlineLevel="0" collapsed="false">
      <c r="A17" s="2" t="n">
        <v>16</v>
      </c>
      <c r="B17" s="2" t="s">
        <v>72</v>
      </c>
      <c r="C17" s="2" t="s">
        <v>73</v>
      </c>
      <c r="D17" s="2" t="s">
        <v>74</v>
      </c>
      <c r="E17" s="2" t="s">
        <v>29</v>
      </c>
      <c r="F17" s="3" t="n">
        <v>0.005069</v>
      </c>
      <c r="G17" s="3" t="n">
        <f aca="false">SUM($F$2:F17)</f>
        <v>0.159222</v>
      </c>
      <c r="H17" s="4"/>
      <c r="I17" s="5" t="n">
        <v>27.4625</v>
      </c>
      <c r="J17" s="4" t="n">
        <v>10.01</v>
      </c>
      <c r="K17" s="5"/>
      <c r="L17" s="6" t="n">
        <v>2.6444</v>
      </c>
      <c r="M17" s="5" t="str">
        <f aca="false">IF(AND(N(K17)&gt;0,N(L17)&gt;0),K17/L17,"")</f>
        <v/>
      </c>
      <c r="N17" s="2" t="s">
        <v>75</v>
      </c>
    </row>
    <row r="18" customFormat="false" ht="15" hidden="false" customHeight="false" outlineLevel="0" collapsed="false">
      <c r="A18" s="2" t="n">
        <v>17</v>
      </c>
      <c r="B18" s="2" t="s">
        <v>76</v>
      </c>
      <c r="C18" s="2" t="s">
        <v>77</v>
      </c>
      <c r="D18" s="2" t="s">
        <v>16</v>
      </c>
      <c r="E18" s="2" t="s">
        <v>17</v>
      </c>
      <c r="F18" s="3" t="n">
        <v>0.00491</v>
      </c>
      <c r="G18" s="3" t="n">
        <f aca="false">SUM($F$2:F18)</f>
        <v>0.164132</v>
      </c>
      <c r="H18" s="4"/>
      <c r="I18" s="5" t="n">
        <v>85.4504</v>
      </c>
      <c r="J18" s="4" t="n">
        <v>60.62</v>
      </c>
      <c r="K18" s="5"/>
      <c r="L18" s="6" t="n">
        <v>13.9371</v>
      </c>
      <c r="M18" s="5" t="str">
        <f aca="false">IF(AND(N(K18)&gt;0,N(L18)&gt;0),K18/L18,"")</f>
        <v/>
      </c>
      <c r="N18" s="2" t="s">
        <v>78</v>
      </c>
    </row>
    <row r="19" customFormat="false" ht="15" hidden="false" customHeight="false" outlineLevel="0" collapsed="false">
      <c r="A19" s="2" t="n">
        <v>18</v>
      </c>
      <c r="B19" s="2" t="s">
        <v>79</v>
      </c>
      <c r="C19" s="2" t="s">
        <v>80</v>
      </c>
      <c r="D19" s="2" t="s">
        <v>81</v>
      </c>
      <c r="E19" s="2" t="s">
        <v>82</v>
      </c>
      <c r="F19" s="3" t="n">
        <v>0.004866</v>
      </c>
      <c r="G19" s="3" t="n">
        <f aca="false">SUM($F$2:F19)</f>
        <v>0.168998</v>
      </c>
      <c r="H19" s="4"/>
      <c r="I19" s="5" t="n">
        <v>22.4249</v>
      </c>
      <c r="J19" s="4" t="n">
        <v>2.73</v>
      </c>
      <c r="K19" s="5"/>
      <c r="L19" s="6" t="n">
        <v>5.2958</v>
      </c>
      <c r="M19" s="5" t="str">
        <f aca="false">IF(AND(N(K19)&gt;0,N(L19)&gt;0),K19/L19,"")</f>
        <v/>
      </c>
      <c r="N19" s="2" t="s">
        <v>83</v>
      </c>
    </row>
    <row r="20" customFormat="false" ht="15" hidden="false" customHeight="false" outlineLevel="0" collapsed="false">
      <c r="A20" s="2" t="n">
        <v>19</v>
      </c>
      <c r="B20" s="2" t="s">
        <v>84</v>
      </c>
      <c r="C20" s="2" t="s">
        <v>85</v>
      </c>
      <c r="D20" s="2" t="s">
        <v>47</v>
      </c>
      <c r="E20" s="2" t="s">
        <v>29</v>
      </c>
      <c r="F20" s="3" t="n">
        <v>0.004846</v>
      </c>
      <c r="G20" s="3" t="n">
        <f aca="false">SUM($F$2:F20)</f>
        <v>0.173844</v>
      </c>
      <c r="H20" s="4"/>
      <c r="I20" s="5" t="n">
        <v>14.6136</v>
      </c>
      <c r="J20" s="4" t="n">
        <v>0.88</v>
      </c>
      <c r="K20" s="5"/>
      <c r="L20" s="6" t="n">
        <v>3.8444</v>
      </c>
      <c r="M20" s="5" t="str">
        <f aca="false">IF(AND(N(K20)&gt;0,N(L20)&gt;0),K20/L20,"")</f>
        <v/>
      </c>
      <c r="N20" s="2" t="s">
        <v>86</v>
      </c>
    </row>
    <row r="21" customFormat="false" ht="15" hidden="false" customHeight="false" outlineLevel="0" collapsed="false">
      <c r="A21" s="2" t="n">
        <v>20</v>
      </c>
      <c r="B21" s="2" t="s">
        <v>87</v>
      </c>
      <c r="C21" s="2" t="s">
        <v>88</v>
      </c>
      <c r="D21" s="2" t="s">
        <v>16</v>
      </c>
      <c r="E21" s="2" t="s">
        <v>29</v>
      </c>
      <c r="F21" s="3" t="n">
        <v>0.004705</v>
      </c>
      <c r="G21" s="3" t="n">
        <f aca="false">SUM($F$2:F21)</f>
        <v>0.178549</v>
      </c>
      <c r="H21" s="4"/>
      <c r="I21" s="5" t="n">
        <v>27.7751</v>
      </c>
      <c r="J21" s="4" t="n">
        <v>6.67</v>
      </c>
      <c r="K21" s="5"/>
      <c r="L21" s="6" t="n">
        <v>5.5988</v>
      </c>
      <c r="M21" s="5" t="str">
        <f aca="false">IF(AND(N(K21)&gt;0,N(L21)&gt;0),K21/L21,"")</f>
        <v/>
      </c>
      <c r="N21" s="2" t="s">
        <v>89</v>
      </c>
    </row>
    <row r="22" customFormat="false" ht="15" hidden="false" customHeight="false" outlineLevel="0" collapsed="false">
      <c r="A22" s="2" t="n">
        <v>21</v>
      </c>
      <c r="B22" s="2" t="s">
        <v>90</v>
      </c>
      <c r="C22" s="2" t="s">
        <v>91</v>
      </c>
      <c r="D22" s="2" t="s">
        <v>47</v>
      </c>
      <c r="E22" s="2" t="s">
        <v>48</v>
      </c>
      <c r="F22" s="3" t="n">
        <v>0.004543</v>
      </c>
      <c r="G22" s="3" t="n">
        <f aca="false">SUM($F$2:F22)</f>
        <v>0.183092</v>
      </c>
      <c r="H22" s="4"/>
      <c r="I22" s="5" t="n">
        <v>18.6203</v>
      </c>
      <c r="J22" s="4" t="n">
        <v>9.35</v>
      </c>
      <c r="K22" s="5"/>
      <c r="L22" s="6" t="n">
        <v>4.6902</v>
      </c>
      <c r="M22" s="5" t="str">
        <f aca="false">IF(AND(N(K22)&gt;0,N(L22)&gt;0),K22/L22,"")</f>
        <v/>
      </c>
      <c r="N22" s="2" t="s">
        <v>92</v>
      </c>
    </row>
    <row r="23" customFormat="false" ht="15" hidden="false" customHeight="false" outlineLevel="0" collapsed="false">
      <c r="A23" s="2" t="n">
        <v>22</v>
      </c>
      <c r="B23" s="2" t="s">
        <v>93</v>
      </c>
      <c r="C23" s="2" t="s">
        <v>94</v>
      </c>
      <c r="D23" s="2" t="s">
        <v>47</v>
      </c>
      <c r="E23" s="2" t="s">
        <v>29</v>
      </c>
      <c r="F23" s="3" t="n">
        <v>0.004222</v>
      </c>
      <c r="G23" s="3" t="n">
        <f aca="false">SUM($F$2:F23)</f>
        <v>0.187314</v>
      </c>
      <c r="H23" s="4"/>
      <c r="I23" s="5" t="n">
        <v>14.4014</v>
      </c>
      <c r="J23" s="4" t="n">
        <v>30.49</v>
      </c>
      <c r="K23" s="5"/>
      <c r="L23" s="6"/>
      <c r="M23" s="5" t="str">
        <f aca="false">IF(AND(N(K23)&gt;0,N(L23)&gt;0),K23/L23,"")</f>
        <v/>
      </c>
      <c r="N23" s="2" t="s">
        <v>95</v>
      </c>
    </row>
    <row r="24" customFormat="false" ht="15" hidden="false" customHeight="false" outlineLevel="0" collapsed="false">
      <c r="A24" s="2" t="n">
        <v>23</v>
      </c>
      <c r="B24" s="2" t="s">
        <v>96</v>
      </c>
      <c r="C24" s="2" t="s">
        <v>97</v>
      </c>
      <c r="D24" s="2" t="s">
        <v>74</v>
      </c>
      <c r="E24" s="2" t="s">
        <v>29</v>
      </c>
      <c r="F24" s="3" t="n">
        <v>0.004173</v>
      </c>
      <c r="G24" s="3" t="n">
        <f aca="false">SUM($F$2:F24)</f>
        <v>0.191487</v>
      </c>
      <c r="H24" s="4"/>
      <c r="I24" s="5" t="n">
        <v>34.8353</v>
      </c>
      <c r="J24" s="4" t="n">
        <v>8.5</v>
      </c>
      <c r="K24" s="5"/>
      <c r="L24" s="6" t="n">
        <v>3.9673</v>
      </c>
      <c r="M24" s="5" t="str">
        <f aca="false">IF(AND(N(K24)&gt;0,N(L24)&gt;0),K24/L24,"")</f>
        <v/>
      </c>
      <c r="N24" s="2" t="s">
        <v>98</v>
      </c>
    </row>
    <row r="25" customFormat="false" ht="15" hidden="false" customHeight="false" outlineLevel="0" collapsed="false">
      <c r="A25" s="2" t="n">
        <v>24</v>
      </c>
      <c r="B25" s="2" t="s">
        <v>99</v>
      </c>
      <c r="C25" s="2" t="s">
        <v>100</v>
      </c>
      <c r="D25" s="2" t="s">
        <v>101</v>
      </c>
      <c r="E25" s="2" t="s">
        <v>29</v>
      </c>
      <c r="F25" s="3" t="n">
        <v>0.004165</v>
      </c>
      <c r="G25" s="3" t="n">
        <f aca="false">SUM($F$2:F25)</f>
        <v>0.195652</v>
      </c>
      <c r="H25" s="4"/>
      <c r="I25" s="5" t="n">
        <v>11.1509</v>
      </c>
      <c r="J25" s="4" t="n">
        <v>6.96</v>
      </c>
      <c r="K25" s="5"/>
      <c r="L25" s="6" t="n">
        <v>0.873</v>
      </c>
      <c r="M25" s="5" t="str">
        <f aca="false">IF(AND(N(K25)&gt;0,N(L25)&gt;0),K25/L25,"")</f>
        <v/>
      </c>
      <c r="N25" s="2" t="s">
        <v>102</v>
      </c>
    </row>
    <row r="26" customFormat="false" ht="15" hidden="false" customHeight="false" outlineLevel="0" collapsed="false">
      <c r="A26" s="2" t="n">
        <v>25</v>
      </c>
      <c r="B26" s="2" t="s">
        <v>103</v>
      </c>
      <c r="C26" s="2" t="s">
        <v>104</v>
      </c>
      <c r="D26" s="2" t="s">
        <v>47</v>
      </c>
      <c r="E26" s="2" t="s">
        <v>82</v>
      </c>
      <c r="F26" s="3" t="n">
        <v>0.004035</v>
      </c>
      <c r="G26" s="3" t="n">
        <f aca="false">SUM($F$2:F26)</f>
        <v>0.199687</v>
      </c>
      <c r="H26" s="4"/>
      <c r="I26" s="5" t="n">
        <v>23.3635</v>
      </c>
      <c r="J26" s="4" t="n">
        <v>6.52</v>
      </c>
      <c r="K26" s="5"/>
      <c r="L26" s="6" t="n">
        <v>8.6726</v>
      </c>
      <c r="M26" s="5" t="str">
        <f aca="false">IF(AND(N(K26)&gt;0,N(L26)&gt;0),K26/L26,"")</f>
        <v/>
      </c>
      <c r="N26" s="2" t="s">
        <v>105</v>
      </c>
    </row>
    <row r="27" customFormat="false" ht="15" hidden="false" customHeight="false" outlineLevel="0" collapsed="false">
      <c r="A27" s="2" t="n">
        <v>26</v>
      </c>
      <c r="B27" s="2" t="s">
        <v>106</v>
      </c>
      <c r="C27" s="2" t="s">
        <v>107</v>
      </c>
      <c r="D27" s="2"/>
      <c r="E27" s="2" t="s">
        <v>33</v>
      </c>
      <c r="F27" s="3" t="n">
        <v>0.003948</v>
      </c>
      <c r="G27" s="3" t="n">
        <f aca="false">SUM($F$2:F27)</f>
        <v>0.203635</v>
      </c>
      <c r="H27" s="4"/>
      <c r="I27" s="5"/>
      <c r="J27" s="4"/>
      <c r="K27" s="5"/>
      <c r="L27" s="6"/>
      <c r="M27" s="5" t="str">
        <f aca="false">IF(AND(N(K27)&gt;0,N(L27)&gt;0),K27/L27,"")</f>
        <v/>
      </c>
      <c r="N27" s="2" t="s">
        <v>34</v>
      </c>
    </row>
    <row r="28" customFormat="false" ht="15" hidden="false" customHeight="false" outlineLevel="0" collapsed="false">
      <c r="A28" s="2" t="n">
        <v>27</v>
      </c>
      <c r="B28" s="2" t="s">
        <v>108</v>
      </c>
      <c r="C28" s="2" t="s">
        <v>109</v>
      </c>
      <c r="D28" s="2" t="s">
        <v>16</v>
      </c>
      <c r="E28" s="2" t="s">
        <v>48</v>
      </c>
      <c r="F28" s="3" t="n">
        <v>0.003725</v>
      </c>
      <c r="G28" s="3" t="n">
        <f aca="false">SUM($F$2:F28)</f>
        <v>0.20736</v>
      </c>
      <c r="H28" s="4"/>
      <c r="I28" s="5" t="n">
        <v>93.4203</v>
      </c>
      <c r="J28" s="4" t="n">
        <v>2.07</v>
      </c>
      <c r="K28" s="5"/>
      <c r="L28" s="6" t="n">
        <v>18.9118</v>
      </c>
      <c r="M28" s="5" t="str">
        <f aca="false">IF(AND(N(K28)&gt;0,N(L28)&gt;0),K28/L28,"")</f>
        <v/>
      </c>
      <c r="N28" s="2" t="s">
        <v>110</v>
      </c>
    </row>
    <row r="29" customFormat="false" ht="15" hidden="false" customHeight="false" outlineLevel="0" collapsed="false">
      <c r="A29" s="2" t="n">
        <v>28</v>
      </c>
      <c r="B29" s="2" t="s">
        <v>111</v>
      </c>
      <c r="C29" s="2" t="s">
        <v>112</v>
      </c>
      <c r="D29" s="2" t="s">
        <v>47</v>
      </c>
      <c r="E29" s="2" t="s">
        <v>52</v>
      </c>
      <c r="F29" s="3" t="n">
        <v>0.003712</v>
      </c>
      <c r="G29" s="3" t="n">
        <f aca="false">SUM($F$2:F29)</f>
        <v>0.211072</v>
      </c>
      <c r="H29" s="4"/>
      <c r="I29" s="5" t="n">
        <v>15.3139</v>
      </c>
      <c r="J29" s="4" t="n">
        <v>446</v>
      </c>
      <c r="K29" s="5"/>
      <c r="L29" s="6" t="n">
        <v>5.5027</v>
      </c>
      <c r="M29" s="5" t="str">
        <f aca="false">IF(AND(N(K29)&gt;0,N(L29)&gt;0),K29/L29,"")</f>
        <v/>
      </c>
      <c r="N29" s="2" t="s">
        <v>113</v>
      </c>
    </row>
    <row r="30" customFormat="false" ht="15" hidden="false" customHeight="false" outlineLevel="0" collapsed="false">
      <c r="A30" s="2" t="n">
        <v>29</v>
      </c>
      <c r="B30" s="2" t="s">
        <v>114</v>
      </c>
      <c r="C30" s="2" t="s">
        <v>115</v>
      </c>
      <c r="D30" s="2" t="s">
        <v>47</v>
      </c>
      <c r="E30" s="2" t="s">
        <v>29</v>
      </c>
      <c r="F30" s="3" t="n">
        <v>0.003701</v>
      </c>
      <c r="G30" s="3" t="n">
        <f aca="false">SUM($F$2:F30)</f>
        <v>0.214773</v>
      </c>
      <c r="H30" s="4"/>
      <c r="I30" s="5" t="n">
        <v>13.3598</v>
      </c>
      <c r="J30" s="4" t="n">
        <v>1.89</v>
      </c>
      <c r="K30" s="5"/>
      <c r="L30" s="6" t="n">
        <v>4.0819</v>
      </c>
      <c r="M30" s="5" t="str">
        <f aca="false">IF(AND(N(K30)&gt;0,N(L30)&gt;0),K30/L30,"")</f>
        <v/>
      </c>
      <c r="N30" s="2" t="s">
        <v>116</v>
      </c>
    </row>
    <row r="31" customFormat="false" ht="15" hidden="false" customHeight="false" outlineLevel="0" collapsed="false">
      <c r="A31" s="2" t="n">
        <v>30</v>
      </c>
      <c r="B31" s="2" t="s">
        <v>117</v>
      </c>
      <c r="C31" s="2" t="s">
        <v>118</v>
      </c>
      <c r="D31" s="2" t="s">
        <v>42</v>
      </c>
      <c r="E31" s="2" t="s">
        <v>52</v>
      </c>
      <c r="F31" s="3" t="n">
        <v>0.003592</v>
      </c>
      <c r="G31" s="3" t="n">
        <f aca="false">SUM($F$2:F31)</f>
        <v>0.218365</v>
      </c>
      <c r="H31" s="4"/>
      <c r="I31" s="5" t="n">
        <v>50</v>
      </c>
      <c r="J31" s="4" t="n">
        <v>347</v>
      </c>
      <c r="K31" s="5"/>
      <c r="L31" s="6" t="n">
        <v>6.2365</v>
      </c>
      <c r="M31" s="5" t="str">
        <f aca="false">IF(AND(N(K31)&gt;0,N(L31)&gt;0),K31/L31,"")</f>
        <v/>
      </c>
      <c r="N31" s="2" t="s">
        <v>119</v>
      </c>
    </row>
    <row r="32" customFormat="false" ht="15" hidden="false" customHeight="false" outlineLevel="0" collapsed="false">
      <c r="A32" s="2" t="n">
        <v>31</v>
      </c>
      <c r="B32" s="2" t="s">
        <v>120</v>
      </c>
      <c r="C32" s="2" t="s">
        <v>121</v>
      </c>
      <c r="D32" s="2" t="s">
        <v>47</v>
      </c>
      <c r="E32" s="2" t="s">
        <v>38</v>
      </c>
      <c r="F32" s="3" t="n">
        <v>0.003568</v>
      </c>
      <c r="G32" s="3" t="n">
        <f aca="false">SUM($F$2:F32)</f>
        <v>0.221933</v>
      </c>
      <c r="H32" s="4"/>
      <c r="I32" s="5" t="n">
        <v>17.0702</v>
      </c>
      <c r="J32" s="4" t="n">
        <v>2.42</v>
      </c>
      <c r="K32" s="5"/>
      <c r="L32" s="6" t="n">
        <v>2.3846</v>
      </c>
      <c r="M32" s="5" t="str">
        <f aca="false">IF(AND(N(K32)&gt;0,N(L32)&gt;0),K32/L32,"")</f>
        <v/>
      </c>
      <c r="N32" s="2" t="s">
        <v>122</v>
      </c>
    </row>
    <row r="33" customFormat="false" ht="15" hidden="false" customHeight="false" outlineLevel="0" collapsed="false">
      <c r="A33" s="2" t="n">
        <v>32</v>
      </c>
      <c r="B33" s="2" t="s">
        <v>123</v>
      </c>
      <c r="C33" s="2" t="s">
        <v>124</v>
      </c>
      <c r="D33" s="2" t="s">
        <v>74</v>
      </c>
      <c r="E33" s="2" t="s">
        <v>38</v>
      </c>
      <c r="F33" s="3" t="n">
        <v>0.00356</v>
      </c>
      <c r="G33" s="3" t="n">
        <f aca="false">SUM($F$2:F33)</f>
        <v>0.225493</v>
      </c>
      <c r="H33" s="4"/>
      <c r="I33" s="5" t="n">
        <v>37.1928</v>
      </c>
      <c r="J33" s="4" t="n">
        <v>2.23</v>
      </c>
      <c r="K33" s="5"/>
      <c r="L33" s="6" t="n">
        <v>4.2007</v>
      </c>
      <c r="M33" s="5" t="str">
        <f aca="false">IF(AND(N(K33)&gt;0,N(L33)&gt;0),K33/L33,"")</f>
        <v/>
      </c>
      <c r="N33" s="2" t="s">
        <v>125</v>
      </c>
    </row>
    <row r="34" customFormat="false" ht="15" hidden="false" customHeight="false" outlineLevel="0" collapsed="false">
      <c r="A34" s="2" t="n">
        <v>33</v>
      </c>
      <c r="B34" s="2" t="s">
        <v>126</v>
      </c>
      <c r="C34" s="2" t="s">
        <v>127</v>
      </c>
      <c r="D34" s="2" t="s">
        <v>16</v>
      </c>
      <c r="E34" s="2" t="s">
        <v>52</v>
      </c>
      <c r="F34" s="3" t="n">
        <v>0.003546</v>
      </c>
      <c r="G34" s="3" t="n">
        <f aca="false">SUM($F$2:F34)</f>
        <v>0.229039</v>
      </c>
      <c r="H34" s="4"/>
      <c r="I34" s="5" t="n">
        <v>42.3727</v>
      </c>
      <c r="J34" s="4" t="n">
        <v>1253.4</v>
      </c>
      <c r="K34" s="5"/>
      <c r="L34" s="6" t="n">
        <v>9.1868</v>
      </c>
      <c r="M34" s="5" t="str">
        <f aca="false">IF(AND(N(K34)&gt;0,N(L34)&gt;0),K34/L34,"")</f>
        <v/>
      </c>
      <c r="N34" s="2" t="s">
        <v>128</v>
      </c>
    </row>
    <row r="35" customFormat="false" ht="15" hidden="false" customHeight="false" outlineLevel="0" collapsed="false">
      <c r="A35" s="2" t="n">
        <v>34</v>
      </c>
      <c r="B35" s="2" t="s">
        <v>129</v>
      </c>
      <c r="C35" s="2" t="s">
        <v>130</v>
      </c>
      <c r="D35" s="2" t="s">
        <v>74</v>
      </c>
      <c r="E35" s="2" t="s">
        <v>52</v>
      </c>
      <c r="F35" s="3" t="n">
        <v>0.00354</v>
      </c>
      <c r="G35" s="3" t="n">
        <f aca="false">SUM($F$2:F35)</f>
        <v>0.232579</v>
      </c>
      <c r="H35" s="4"/>
      <c r="I35" s="5" t="n">
        <v>31.2496</v>
      </c>
      <c r="J35" s="4" t="n">
        <v>176.77</v>
      </c>
      <c r="K35" s="5"/>
      <c r="L35" s="6" t="n">
        <v>2.2348</v>
      </c>
      <c r="M35" s="5" t="str">
        <f aca="false">IF(AND(N(K35)&gt;0,N(L35)&gt;0),K35/L35,"")</f>
        <v/>
      </c>
      <c r="N35" s="2" t="s">
        <v>131</v>
      </c>
    </row>
    <row r="36" customFormat="false" ht="15" hidden="false" customHeight="false" outlineLevel="0" collapsed="false">
      <c r="A36" s="2" t="n">
        <v>35</v>
      </c>
      <c r="B36" s="2" t="s">
        <v>132</v>
      </c>
      <c r="C36" s="2" t="s">
        <v>133</v>
      </c>
      <c r="D36" s="2" t="s">
        <v>42</v>
      </c>
      <c r="E36" s="2" t="s">
        <v>52</v>
      </c>
      <c r="F36" s="3" t="n">
        <v>0.003535</v>
      </c>
      <c r="G36" s="3" t="n">
        <f aca="false">SUM($F$2:F36)</f>
        <v>0.236114</v>
      </c>
      <c r="H36" s="4"/>
      <c r="I36" s="5" t="n">
        <v>7.2359</v>
      </c>
      <c r="J36" s="4" t="n">
        <v>872.73</v>
      </c>
      <c r="K36" s="5"/>
      <c r="L36" s="6" t="n">
        <v>4.4998</v>
      </c>
      <c r="M36" s="5" t="str">
        <f aca="false">IF(AND(N(K36)&gt;0,N(L36)&gt;0),K36/L36,"")</f>
        <v/>
      </c>
      <c r="N36" s="2" t="s">
        <v>134</v>
      </c>
    </row>
    <row r="37" customFormat="false" ht="15" hidden="false" customHeight="false" outlineLevel="0" collapsed="false">
      <c r="A37" s="2" t="n">
        <v>36</v>
      </c>
      <c r="B37" s="2" t="s">
        <v>135</v>
      </c>
      <c r="C37" s="2" t="s">
        <v>136</v>
      </c>
      <c r="D37" s="2" t="s">
        <v>16</v>
      </c>
      <c r="E37" s="2" t="s">
        <v>52</v>
      </c>
      <c r="F37" s="3" t="n">
        <v>0.003491</v>
      </c>
      <c r="G37" s="3" t="n">
        <f aca="false">SUM($F$2:F37)</f>
        <v>0.239605</v>
      </c>
      <c r="H37" s="4"/>
      <c r="I37" s="5" t="n">
        <v>62.1112</v>
      </c>
      <c r="J37" s="4" t="n">
        <v>516.01</v>
      </c>
      <c r="K37" s="5"/>
      <c r="L37" s="6" t="n">
        <v>18.7766</v>
      </c>
      <c r="M37" s="5" t="str">
        <f aca="false">IF(AND(N(K37)&gt;0,N(L37)&gt;0),K37/L37,"")</f>
        <v/>
      </c>
      <c r="N37" s="2" t="s">
        <v>137</v>
      </c>
    </row>
    <row r="38" customFormat="false" ht="15" hidden="false" customHeight="false" outlineLevel="0" collapsed="false">
      <c r="A38" s="2" t="n">
        <v>37</v>
      </c>
      <c r="B38" s="2" t="s">
        <v>138</v>
      </c>
      <c r="C38" s="2" t="s">
        <v>139</v>
      </c>
      <c r="D38" s="2" t="s">
        <v>47</v>
      </c>
      <c r="E38" s="2" t="s">
        <v>29</v>
      </c>
      <c r="F38" s="3" t="n">
        <v>0.003439</v>
      </c>
      <c r="G38" s="3" t="n">
        <f aca="false">SUM($F$2:F38)</f>
        <v>0.243044</v>
      </c>
      <c r="H38" s="4"/>
      <c r="I38" s="5" t="n">
        <v>11.8638</v>
      </c>
      <c r="J38" s="4" t="n">
        <v>7.05</v>
      </c>
      <c r="K38" s="5"/>
      <c r="L38" s="6" t="n">
        <v>5.0769</v>
      </c>
      <c r="M38" s="5" t="str">
        <f aca="false">IF(AND(N(K38)&gt;0,N(L38)&gt;0),K38/L38,"")</f>
        <v/>
      </c>
      <c r="N38" s="2" t="s">
        <v>140</v>
      </c>
    </row>
    <row r="39" customFormat="false" ht="15" hidden="false" customHeight="false" outlineLevel="0" collapsed="false">
      <c r="A39" s="2" t="n">
        <v>38</v>
      </c>
      <c r="B39" s="2" t="s">
        <v>141</v>
      </c>
      <c r="C39" s="2" t="s">
        <v>142</v>
      </c>
      <c r="D39" s="2" t="s">
        <v>16</v>
      </c>
      <c r="E39" s="2" t="s">
        <v>52</v>
      </c>
      <c r="F39" s="3" t="n">
        <v>0.003282</v>
      </c>
      <c r="G39" s="3" t="n">
        <f aca="false">SUM($F$2:F39)</f>
        <v>0.246326</v>
      </c>
      <c r="H39" s="4"/>
      <c r="I39" s="5" t="n">
        <v>19.8411</v>
      </c>
      <c r="J39" s="4" t="n">
        <v>186.33</v>
      </c>
      <c r="K39" s="5"/>
      <c r="L39" s="6" t="n">
        <v>1.7022</v>
      </c>
      <c r="M39" s="5" t="str">
        <f aca="false">IF(AND(N(K39)&gt;0,N(L39)&gt;0),K39/L39,"")</f>
        <v/>
      </c>
      <c r="N39" s="2" t="s">
        <v>143</v>
      </c>
    </row>
    <row r="40" customFormat="false" ht="15" hidden="false" customHeight="false" outlineLevel="0" collapsed="false">
      <c r="A40" s="2" t="n">
        <v>39</v>
      </c>
      <c r="B40" s="2" t="s">
        <v>144</v>
      </c>
      <c r="C40" s="2" t="s">
        <v>145</v>
      </c>
      <c r="D40" s="2" t="s">
        <v>146</v>
      </c>
      <c r="E40" s="2" t="s">
        <v>29</v>
      </c>
      <c r="F40" s="3" t="n">
        <v>0.003218</v>
      </c>
      <c r="G40" s="3" t="n">
        <f aca="false">SUM($F$2:F40)</f>
        <v>0.249544</v>
      </c>
      <c r="H40" s="4"/>
      <c r="I40" s="5" t="n">
        <v>25.35</v>
      </c>
      <c r="J40" s="4" t="n">
        <v>0.8</v>
      </c>
      <c r="K40" s="5"/>
      <c r="L40" s="6" t="n">
        <v>3.0449</v>
      </c>
      <c r="M40" s="5" t="str">
        <f aca="false">IF(AND(N(K40)&gt;0,N(L40)&gt;0),K40/L40,"")</f>
        <v/>
      </c>
      <c r="N40" s="2" t="s">
        <v>147</v>
      </c>
    </row>
    <row r="41" customFormat="false" ht="15" hidden="false" customHeight="false" outlineLevel="0" collapsed="false">
      <c r="A41" s="2" t="n">
        <v>40</v>
      </c>
      <c r="B41" s="2" t="s">
        <v>148</v>
      </c>
      <c r="C41" s="2" t="s">
        <v>149</v>
      </c>
      <c r="D41" s="2"/>
      <c r="E41" s="2" t="s">
        <v>33</v>
      </c>
      <c r="F41" s="3" t="n">
        <v>0.003053</v>
      </c>
      <c r="G41" s="3" t="n">
        <f aca="false">SUM($F$2:F41)</f>
        <v>0.252597</v>
      </c>
      <c r="H41" s="4"/>
      <c r="I41" s="5"/>
      <c r="J41" s="4"/>
      <c r="K41" s="5"/>
      <c r="L41" s="6"/>
      <c r="M41" s="5" t="str">
        <f aca="false">IF(AND(N(K41)&gt;0,N(L41)&gt;0),K41/L41,"")</f>
        <v/>
      </c>
      <c r="N41" s="2" t="s">
        <v>34</v>
      </c>
    </row>
    <row r="42" customFormat="false" ht="15" hidden="false" customHeight="false" outlineLevel="0" collapsed="false">
      <c r="A42" s="2" t="n">
        <v>41</v>
      </c>
      <c r="B42" s="2" t="s">
        <v>150</v>
      </c>
      <c r="C42" s="2" t="s">
        <v>151</v>
      </c>
      <c r="D42" s="2" t="s">
        <v>74</v>
      </c>
      <c r="E42" s="2" t="s">
        <v>29</v>
      </c>
      <c r="F42" s="3" t="n">
        <v>0.003036</v>
      </c>
      <c r="G42" s="3" t="n">
        <f aca="false">SUM($F$2:F42)</f>
        <v>0.255633</v>
      </c>
      <c r="H42" s="4"/>
      <c r="I42" s="5" t="n">
        <v>26.1995</v>
      </c>
      <c r="J42" s="4" t="n">
        <v>7.52</v>
      </c>
      <c r="K42" s="5"/>
      <c r="L42" s="6" t="n">
        <v>2.0255</v>
      </c>
      <c r="M42" s="5" t="str">
        <f aca="false">IF(AND(N(K42)&gt;0,N(L42)&gt;0),K42/L42,"")</f>
        <v/>
      </c>
      <c r="N42" s="2" t="s">
        <v>152</v>
      </c>
    </row>
    <row r="43" customFormat="false" ht="15" hidden="false" customHeight="false" outlineLevel="0" collapsed="false">
      <c r="A43" s="2" t="n">
        <v>42</v>
      </c>
      <c r="B43" s="2" t="s">
        <v>153</v>
      </c>
      <c r="C43" s="2" t="s">
        <v>154</v>
      </c>
      <c r="D43" s="2" t="s">
        <v>47</v>
      </c>
      <c r="E43" s="2" t="s">
        <v>52</v>
      </c>
      <c r="F43" s="3" t="n">
        <v>0.00294</v>
      </c>
      <c r="G43" s="3" t="n">
        <f aca="false">SUM($F$2:F43)</f>
        <v>0.258573</v>
      </c>
      <c r="H43" s="4"/>
      <c r="I43" s="5" t="n">
        <v>15.1515</v>
      </c>
      <c r="J43" s="4" t="n">
        <v>560.67</v>
      </c>
      <c r="K43" s="5"/>
      <c r="L43" s="6" t="n">
        <v>4.3383</v>
      </c>
      <c r="M43" s="5" t="str">
        <f aca="false">IF(AND(N(K43)&gt;0,N(L43)&gt;0),K43/L43,"")</f>
        <v/>
      </c>
      <c r="N43" s="2" t="s">
        <v>155</v>
      </c>
    </row>
    <row r="44" customFormat="false" ht="15" hidden="false" customHeight="false" outlineLevel="0" collapsed="false">
      <c r="A44" s="2" t="n">
        <v>43</v>
      </c>
      <c r="B44" s="2" t="s">
        <v>156</v>
      </c>
      <c r="C44" s="2" t="s">
        <v>157</v>
      </c>
      <c r="D44" s="2" t="s">
        <v>74</v>
      </c>
      <c r="E44" s="2" t="s">
        <v>29</v>
      </c>
      <c r="F44" s="3" t="n">
        <v>0.002812</v>
      </c>
      <c r="G44" s="3" t="n">
        <f aca="false">SUM($F$2:F44)</f>
        <v>0.261385</v>
      </c>
      <c r="H44" s="4"/>
      <c r="I44" s="5" t="n">
        <v>36.0323</v>
      </c>
      <c r="J44" s="4" t="n">
        <v>9.3</v>
      </c>
      <c r="K44" s="5"/>
      <c r="L44" s="6" t="n">
        <v>4.1365</v>
      </c>
      <c r="M44" s="5" t="str">
        <f aca="false">IF(AND(N(K44)&gt;0,N(L44)&gt;0),K44/L44,"")</f>
        <v/>
      </c>
      <c r="N44" s="2" t="s">
        <v>158</v>
      </c>
    </row>
    <row r="45" customFormat="false" ht="15" hidden="false" customHeight="false" outlineLevel="0" collapsed="false">
      <c r="A45" s="2" t="n">
        <v>44</v>
      </c>
      <c r="B45" s="2" t="s">
        <v>159</v>
      </c>
      <c r="C45" s="2" t="s">
        <v>160</v>
      </c>
      <c r="D45" s="2" t="s">
        <v>74</v>
      </c>
      <c r="E45" s="2" t="s">
        <v>52</v>
      </c>
      <c r="F45" s="3" t="n">
        <v>0.002805</v>
      </c>
      <c r="G45" s="3" t="n">
        <f aca="false">SUM($F$2:F45)</f>
        <v>0.26419</v>
      </c>
      <c r="H45" s="4"/>
      <c r="I45" s="5" t="n">
        <v>23.5852</v>
      </c>
      <c r="J45" s="4" t="n">
        <v>209.75</v>
      </c>
      <c r="K45" s="5"/>
      <c r="L45" s="6" t="n">
        <v>0.9112</v>
      </c>
      <c r="M45" s="5" t="str">
        <f aca="false">IF(AND(N(K45)&gt;0,N(L45)&gt;0),K45/L45,"")</f>
        <v/>
      </c>
      <c r="N45" s="2" t="s">
        <v>161</v>
      </c>
    </row>
    <row r="46" customFormat="false" ht="15" hidden="false" customHeight="false" outlineLevel="0" collapsed="false">
      <c r="A46" s="2" t="n">
        <v>45</v>
      </c>
      <c r="B46" s="2" t="s">
        <v>162</v>
      </c>
      <c r="C46" s="2" t="s">
        <v>163</v>
      </c>
      <c r="D46" s="2" t="s">
        <v>47</v>
      </c>
      <c r="E46" s="2" t="s">
        <v>48</v>
      </c>
      <c r="F46" s="3" t="n">
        <v>0.002802</v>
      </c>
      <c r="G46" s="3" t="n">
        <f aca="false">SUM($F$2:F46)</f>
        <v>0.266992</v>
      </c>
      <c r="H46" s="4"/>
      <c r="I46" s="5" t="n">
        <v>20.2804</v>
      </c>
      <c r="J46" s="4" t="n">
        <v>12.27</v>
      </c>
      <c r="K46" s="5"/>
      <c r="L46" s="6" t="n">
        <v>4.8496</v>
      </c>
      <c r="M46" s="5" t="str">
        <f aca="false">IF(AND(N(K46)&gt;0,N(L46)&gt;0),K46/L46,"")</f>
        <v/>
      </c>
      <c r="N46" s="2" t="s">
        <v>164</v>
      </c>
    </row>
    <row r="47" customFormat="false" ht="15" hidden="false" customHeight="false" outlineLevel="0" collapsed="false">
      <c r="A47" s="2" t="n">
        <v>46</v>
      </c>
      <c r="B47" s="2" t="s">
        <v>165</v>
      </c>
      <c r="C47" s="2" t="s">
        <v>166</v>
      </c>
      <c r="D47" s="2"/>
      <c r="E47" s="2" t="s">
        <v>167</v>
      </c>
      <c r="F47" s="3" t="n">
        <v>0.002794</v>
      </c>
      <c r="G47" s="3" t="n">
        <f aca="false">SUM($F$2:F47)</f>
        <v>0.269786</v>
      </c>
      <c r="H47" s="4"/>
      <c r="I47" s="5"/>
      <c r="J47" s="4"/>
      <c r="K47" s="5"/>
      <c r="L47" s="6"/>
      <c r="M47" s="5" t="str">
        <f aca="false">IF(AND(N(K47)&gt;0,N(L47)&gt;0),K47/L47,"")</f>
        <v/>
      </c>
      <c r="N47" s="2" t="s">
        <v>34</v>
      </c>
    </row>
    <row r="48" customFormat="false" ht="15" hidden="false" customHeight="false" outlineLevel="0" collapsed="false">
      <c r="A48" s="2" t="n">
        <v>47</v>
      </c>
      <c r="B48" s="2" t="s">
        <v>168</v>
      </c>
      <c r="C48" s="2" t="s">
        <v>169</v>
      </c>
      <c r="D48" s="2" t="s">
        <v>47</v>
      </c>
      <c r="E48" s="2" t="s">
        <v>29</v>
      </c>
      <c r="F48" s="3" t="n">
        <v>0.002786</v>
      </c>
      <c r="G48" s="3" t="n">
        <f aca="false">SUM($F$2:F48)</f>
        <v>0.272572</v>
      </c>
      <c r="H48" s="4"/>
      <c r="I48" s="5" t="n">
        <v>12.1196</v>
      </c>
      <c r="J48" s="4" t="n">
        <v>0.56</v>
      </c>
      <c r="K48" s="5"/>
      <c r="L48" s="6" t="n">
        <v>4.5139</v>
      </c>
      <c r="M48" s="5" t="str">
        <f aca="false">IF(AND(N(K48)&gt;0,N(L48)&gt;0),K48/L48,"")</f>
        <v/>
      </c>
      <c r="N48" s="2" t="s">
        <v>170</v>
      </c>
    </row>
    <row r="49" customFormat="false" ht="15" hidden="false" customHeight="false" outlineLevel="0" collapsed="false">
      <c r="A49" s="2" t="n">
        <v>48</v>
      </c>
      <c r="B49" s="2" t="s">
        <v>171</v>
      </c>
      <c r="C49" s="2" t="s">
        <v>172</v>
      </c>
      <c r="D49" s="2" t="s">
        <v>47</v>
      </c>
      <c r="E49" s="2" t="s">
        <v>173</v>
      </c>
      <c r="F49" s="3" t="n">
        <v>0.002783</v>
      </c>
      <c r="G49" s="3" t="n">
        <f aca="false">SUM($F$2:F49)</f>
        <v>0.275355</v>
      </c>
      <c r="H49" s="4"/>
      <c r="I49" s="5" t="n">
        <v>19.8977</v>
      </c>
      <c r="J49" s="4" t="n">
        <v>3.91</v>
      </c>
      <c r="K49" s="5"/>
      <c r="L49" s="6" t="n">
        <v>9.7619</v>
      </c>
      <c r="M49" s="5" t="str">
        <f aca="false">IF(AND(N(K49)&gt;0,N(L49)&gt;0),K49/L49,"")</f>
        <v/>
      </c>
      <c r="N49" s="2" t="s">
        <v>174</v>
      </c>
    </row>
    <row r="50" customFormat="false" ht="15" hidden="false" customHeight="false" outlineLevel="0" collapsed="false">
      <c r="A50" s="2" t="n">
        <v>49</v>
      </c>
      <c r="B50" s="2" t="s">
        <v>175</v>
      </c>
      <c r="C50" s="2" t="s">
        <v>176</v>
      </c>
      <c r="D50" s="2" t="s">
        <v>16</v>
      </c>
      <c r="E50" s="2" t="s">
        <v>52</v>
      </c>
      <c r="F50" s="3" t="n">
        <v>0.002777</v>
      </c>
      <c r="G50" s="3" t="n">
        <f aca="false">SUM($F$2:F50)</f>
        <v>0.278132</v>
      </c>
      <c r="H50" s="4"/>
      <c r="I50" s="5" t="n">
        <v>54.0538</v>
      </c>
      <c r="J50" s="4" t="n">
        <v>1009.55</v>
      </c>
      <c r="K50" s="5"/>
      <c r="L50" s="6" t="n">
        <v>7.7244</v>
      </c>
      <c r="M50" s="5" t="str">
        <f aca="false">IF(AND(N(K50)&gt;0,N(L50)&gt;0),K50/L50,"")</f>
        <v/>
      </c>
      <c r="N50" s="2" t="s">
        <v>177</v>
      </c>
    </row>
    <row r="51" customFormat="false" ht="15" hidden="false" customHeight="false" outlineLevel="0" collapsed="false">
      <c r="A51" s="2" t="n">
        <v>50</v>
      </c>
      <c r="B51" s="2" t="s">
        <v>178</v>
      </c>
      <c r="C51" s="2" t="s">
        <v>179</v>
      </c>
      <c r="D51" s="2"/>
      <c r="E51" s="2" t="s">
        <v>33</v>
      </c>
      <c r="F51" s="3" t="n">
        <v>0.002705</v>
      </c>
      <c r="G51" s="3" t="n">
        <f aca="false">SUM($F$2:F51)</f>
        <v>0.280837</v>
      </c>
      <c r="H51" s="4"/>
      <c r="I51" s="5"/>
      <c r="J51" s="4"/>
      <c r="K51" s="5"/>
      <c r="L51" s="6"/>
      <c r="M51" s="5" t="str">
        <f aca="false">IF(AND(N(K51)&gt;0,N(L51)&gt;0),K51/L51,"")</f>
        <v/>
      </c>
      <c r="N51" s="2" t="s">
        <v>34</v>
      </c>
    </row>
    <row r="52" customFormat="false" ht="15" hidden="false" customHeight="false" outlineLevel="0" collapsed="false">
      <c r="A52" s="2" t="n">
        <v>51</v>
      </c>
      <c r="B52" s="2" t="s">
        <v>180</v>
      </c>
      <c r="C52" s="2" t="s">
        <v>181</v>
      </c>
      <c r="D52" s="2" t="s">
        <v>47</v>
      </c>
      <c r="E52" s="2" t="s">
        <v>48</v>
      </c>
      <c r="F52" s="3" t="n">
        <v>0.002704</v>
      </c>
      <c r="G52" s="3" t="n">
        <f aca="false">SUM($F$2:F52)</f>
        <v>0.283541</v>
      </c>
      <c r="H52" s="4"/>
      <c r="I52" s="5" t="n">
        <v>17.5223</v>
      </c>
      <c r="J52" s="4" t="n">
        <v>7.64</v>
      </c>
      <c r="K52" s="5"/>
      <c r="L52" s="6" t="n">
        <v>4.6348</v>
      </c>
      <c r="M52" s="5" t="str">
        <f aca="false">IF(AND(N(K52)&gt;0,N(L52)&gt;0),K52/L52,"")</f>
        <v/>
      </c>
      <c r="N52" s="2" t="s">
        <v>182</v>
      </c>
    </row>
    <row r="53" customFormat="false" ht="15" hidden="false" customHeight="false" outlineLevel="0" collapsed="false">
      <c r="A53" s="2" t="n">
        <v>52</v>
      </c>
      <c r="B53" s="2" t="s">
        <v>183</v>
      </c>
      <c r="C53" s="2" t="s">
        <v>184</v>
      </c>
      <c r="D53" s="2" t="s">
        <v>81</v>
      </c>
      <c r="E53" s="2" t="s">
        <v>29</v>
      </c>
      <c r="F53" s="3" t="n">
        <v>0.002656</v>
      </c>
      <c r="G53" s="3" t="n">
        <f aca="false">SUM($F$2:F53)</f>
        <v>0.286197</v>
      </c>
      <c r="H53" s="4"/>
      <c r="I53" s="5" t="n">
        <v>29.9387</v>
      </c>
      <c r="J53" s="4" t="n">
        <v>5.55</v>
      </c>
      <c r="K53" s="5"/>
      <c r="L53" s="6" t="n">
        <v>3.9206</v>
      </c>
      <c r="M53" s="5" t="str">
        <f aca="false">IF(AND(N(K53)&gt;0,N(L53)&gt;0),K53/L53,"")</f>
        <v/>
      </c>
      <c r="N53" s="2" t="s">
        <v>185</v>
      </c>
    </row>
    <row r="54" customFormat="false" ht="15" hidden="false" customHeight="false" outlineLevel="0" collapsed="false">
      <c r="A54" s="2" t="n">
        <v>53</v>
      </c>
      <c r="B54" s="2" t="s">
        <v>186</v>
      </c>
      <c r="C54" s="2" t="s">
        <v>20</v>
      </c>
      <c r="D54" s="2" t="s">
        <v>16</v>
      </c>
      <c r="E54" s="2" t="s">
        <v>25</v>
      </c>
      <c r="F54" s="3" t="n">
        <v>0.002629</v>
      </c>
      <c r="G54" s="3" t="n">
        <f aca="false">SUM($F$2:F54)</f>
        <v>0.288826</v>
      </c>
      <c r="H54" s="4"/>
      <c r="I54" s="5"/>
      <c r="J54" s="4"/>
      <c r="K54" s="5"/>
      <c r="L54" s="6" t="n">
        <v>2.8758</v>
      </c>
      <c r="M54" s="5" t="str">
        <f aca="false">IF(AND(N(K54)&gt;0,N(L54)&gt;0),K54/L54,"")</f>
        <v/>
      </c>
      <c r="N54" s="2" t="s">
        <v>187</v>
      </c>
    </row>
    <row r="55" customFormat="false" ht="15" hidden="false" customHeight="false" outlineLevel="0" collapsed="false">
      <c r="A55" s="2" t="n">
        <v>54</v>
      </c>
      <c r="B55" s="2" t="s">
        <v>188</v>
      </c>
      <c r="C55" s="2" t="s">
        <v>189</v>
      </c>
      <c r="D55" s="2" t="s">
        <v>67</v>
      </c>
      <c r="E55" s="2" t="s">
        <v>29</v>
      </c>
      <c r="F55" s="3" t="n">
        <v>0.0026</v>
      </c>
      <c r="G55" s="3" t="n">
        <f aca="false">SUM($F$2:F55)</f>
        <v>0.291426</v>
      </c>
      <c r="H55" s="4"/>
      <c r="I55" s="5" t="n">
        <v>18.5125</v>
      </c>
      <c r="J55" s="4" t="n">
        <v>21.95</v>
      </c>
      <c r="K55" s="5"/>
      <c r="L55" s="6" t="n">
        <v>2.5152</v>
      </c>
      <c r="M55" s="5" t="str">
        <f aca="false">IF(AND(N(K55)&gt;0,N(L55)&gt;0),K55/L55,"")</f>
        <v/>
      </c>
      <c r="N55" s="2" t="s">
        <v>190</v>
      </c>
    </row>
    <row r="56" customFormat="false" ht="15" hidden="false" customHeight="false" outlineLevel="0" collapsed="false">
      <c r="A56" s="2" t="n">
        <v>55</v>
      </c>
      <c r="B56" s="2" t="s">
        <v>191</v>
      </c>
      <c r="C56" s="2" t="s">
        <v>192</v>
      </c>
      <c r="D56" s="2" t="s">
        <v>47</v>
      </c>
      <c r="E56" s="2" t="s">
        <v>29</v>
      </c>
      <c r="F56" s="3" t="n">
        <v>0.002596</v>
      </c>
      <c r="G56" s="3" t="n">
        <f aca="false">SUM($F$2:F56)</f>
        <v>0.294022</v>
      </c>
      <c r="H56" s="4"/>
      <c r="I56" s="5" t="n">
        <v>8.8668</v>
      </c>
      <c r="J56" s="4" t="n">
        <v>11.56</v>
      </c>
      <c r="K56" s="5"/>
      <c r="L56" s="6" t="n">
        <v>2.1917</v>
      </c>
      <c r="M56" s="5" t="str">
        <f aca="false">IF(AND(N(K56)&gt;0,N(L56)&gt;0),K56/L56,"")</f>
        <v/>
      </c>
      <c r="N56" s="2" t="s">
        <v>193</v>
      </c>
    </row>
    <row r="57" customFormat="false" ht="15" hidden="false" customHeight="false" outlineLevel="0" collapsed="false">
      <c r="A57" s="2" t="n">
        <v>56</v>
      </c>
      <c r="B57" s="2" t="s">
        <v>194</v>
      </c>
      <c r="C57" s="2" t="s">
        <v>195</v>
      </c>
      <c r="D57" s="2" t="s">
        <v>74</v>
      </c>
      <c r="E57" s="2" t="s">
        <v>29</v>
      </c>
      <c r="F57" s="3" t="n">
        <v>0.00258</v>
      </c>
      <c r="G57" s="3" t="n">
        <f aca="false">SUM($F$2:F57)</f>
        <v>0.296602</v>
      </c>
      <c r="H57" s="4"/>
      <c r="I57" s="5" t="n">
        <v>46.6926</v>
      </c>
      <c r="J57" s="4" t="n">
        <v>3.09</v>
      </c>
      <c r="K57" s="5"/>
      <c r="L57" s="6" t="n">
        <v>2.9338</v>
      </c>
      <c r="M57" s="5" t="str">
        <f aca="false">IF(AND(N(K57)&gt;0,N(L57)&gt;0),K57/L57,"")</f>
        <v/>
      </c>
      <c r="N57" s="2" t="s">
        <v>196</v>
      </c>
    </row>
    <row r="58" customFormat="false" ht="15" hidden="false" customHeight="false" outlineLevel="0" collapsed="false">
      <c r="A58" s="2" t="n">
        <v>57</v>
      </c>
      <c r="B58" s="2" t="s">
        <v>197</v>
      </c>
      <c r="C58" s="2" t="s">
        <v>198</v>
      </c>
      <c r="D58" s="2" t="s">
        <v>47</v>
      </c>
      <c r="E58" s="2" t="s">
        <v>199</v>
      </c>
      <c r="F58" s="3" t="n">
        <v>0.00248</v>
      </c>
      <c r="G58" s="3" t="n">
        <f aca="false">SUM($F$2:F58)</f>
        <v>0.299082</v>
      </c>
      <c r="H58" s="4"/>
      <c r="I58" s="5" t="n">
        <v>12.7936</v>
      </c>
      <c r="J58" s="4" t="n">
        <v>5.96</v>
      </c>
      <c r="K58" s="5"/>
      <c r="L58" s="6" t="n">
        <v>30.3478</v>
      </c>
      <c r="M58" s="5" t="str">
        <f aca="false">IF(AND(N(K58)&gt;0,N(L58)&gt;0),K58/L58,"")</f>
        <v/>
      </c>
      <c r="N58" s="2" t="s">
        <v>200</v>
      </c>
    </row>
    <row r="59" customFormat="false" ht="15" hidden="false" customHeight="false" outlineLevel="0" collapsed="false">
      <c r="A59" s="2" t="n">
        <v>58</v>
      </c>
      <c r="B59" s="2" t="s">
        <v>201</v>
      </c>
      <c r="C59" s="2" t="s">
        <v>202</v>
      </c>
      <c r="D59" s="2" t="s">
        <v>47</v>
      </c>
      <c r="E59" s="2" t="s">
        <v>29</v>
      </c>
      <c r="F59" s="3" t="n">
        <v>0.002453</v>
      </c>
      <c r="G59" s="3" t="n">
        <f aca="false">SUM($F$2:F59)</f>
        <v>0.301535</v>
      </c>
      <c r="H59" s="4"/>
      <c r="I59" s="5" t="n">
        <v>13.9697</v>
      </c>
      <c r="J59" s="4" t="n">
        <v>2.31</v>
      </c>
      <c r="K59" s="5"/>
      <c r="L59" s="6" t="n">
        <v>3.6463</v>
      </c>
      <c r="M59" s="5" t="str">
        <f aca="false">IF(AND(N(K59)&gt;0,N(L59)&gt;0),K59/L59,"")</f>
        <v/>
      </c>
      <c r="N59" s="2" t="s">
        <v>203</v>
      </c>
    </row>
    <row r="60" customFormat="false" ht="15" hidden="false" customHeight="false" outlineLevel="0" collapsed="false">
      <c r="A60" s="2" t="n">
        <v>59</v>
      </c>
      <c r="B60" s="2" t="s">
        <v>204</v>
      </c>
      <c r="C60" s="2" t="s">
        <v>205</v>
      </c>
      <c r="D60" s="2" t="s">
        <v>47</v>
      </c>
      <c r="E60" s="2" t="s">
        <v>38</v>
      </c>
      <c r="F60" s="3" t="n">
        <v>0.00245</v>
      </c>
      <c r="G60" s="3" t="n">
        <f aca="false">SUM($F$2:F60)</f>
        <v>0.303985</v>
      </c>
      <c r="H60" s="4"/>
      <c r="I60" s="5" t="n">
        <v>14.665</v>
      </c>
      <c r="J60" s="4" t="n">
        <v>40.75</v>
      </c>
      <c r="K60" s="5"/>
      <c r="L60" s="6" t="n">
        <v>1.1597</v>
      </c>
      <c r="M60" s="5" t="str">
        <f aca="false">IF(AND(N(K60)&gt;0,N(L60)&gt;0),K60/L60,"")</f>
        <v/>
      </c>
      <c r="N60" s="2" t="s">
        <v>206</v>
      </c>
    </row>
    <row r="61" customFormat="false" ht="15" hidden="false" customHeight="false" outlineLevel="0" collapsed="false">
      <c r="A61" s="2" t="n">
        <v>60</v>
      </c>
      <c r="B61" s="2" t="s">
        <v>207</v>
      </c>
      <c r="C61" s="2" t="s">
        <v>208</v>
      </c>
      <c r="D61" s="2" t="s">
        <v>67</v>
      </c>
      <c r="E61" s="2" t="s">
        <v>38</v>
      </c>
      <c r="F61" s="3" t="n">
        <v>0.002436</v>
      </c>
      <c r="G61" s="3" t="n">
        <f aca="false">SUM($F$2:F61)</f>
        <v>0.306421</v>
      </c>
      <c r="H61" s="4"/>
      <c r="I61" s="5" t="n">
        <v>30.9622</v>
      </c>
      <c r="J61" s="4" t="n">
        <v>5.56</v>
      </c>
      <c r="K61" s="5"/>
      <c r="L61" s="6" t="n">
        <v>4.5144</v>
      </c>
      <c r="M61" s="5" t="str">
        <f aca="false">IF(AND(N(K61)&gt;0,N(L61)&gt;0),K61/L61,"")</f>
        <v/>
      </c>
      <c r="N61" s="2" t="s">
        <v>209</v>
      </c>
    </row>
    <row r="62" customFormat="false" ht="15" hidden="false" customHeight="false" outlineLevel="0" collapsed="false">
      <c r="A62" s="2" t="n">
        <v>61</v>
      </c>
      <c r="B62" s="2" t="s">
        <v>210</v>
      </c>
      <c r="C62" s="2" t="s">
        <v>211</v>
      </c>
      <c r="D62" s="2"/>
      <c r="E62" s="2" t="s">
        <v>33</v>
      </c>
      <c r="F62" s="3" t="n">
        <v>0.002417</v>
      </c>
      <c r="G62" s="3" t="n">
        <f aca="false">SUM($F$2:F62)</f>
        <v>0.308838</v>
      </c>
      <c r="H62" s="4"/>
      <c r="I62" s="5"/>
      <c r="J62" s="4"/>
      <c r="K62" s="5"/>
      <c r="L62" s="6"/>
      <c r="M62" s="5" t="str">
        <f aca="false">IF(AND(N(K62)&gt;0,N(L62)&gt;0),K62/L62,"")</f>
        <v/>
      </c>
      <c r="N62" s="2" t="s">
        <v>34</v>
      </c>
    </row>
    <row r="63" customFormat="false" ht="15" hidden="false" customHeight="false" outlineLevel="0" collapsed="false">
      <c r="A63" s="2" t="n">
        <v>62</v>
      </c>
      <c r="B63" s="2" t="s">
        <v>212</v>
      </c>
      <c r="C63" s="2" t="s">
        <v>213</v>
      </c>
      <c r="D63" s="2" t="s">
        <v>47</v>
      </c>
      <c r="E63" s="2" t="s">
        <v>48</v>
      </c>
      <c r="F63" s="3" t="n">
        <v>0.002395</v>
      </c>
      <c r="G63" s="3" t="n">
        <f aca="false">SUM($F$2:F63)</f>
        <v>0.311233</v>
      </c>
      <c r="H63" s="4"/>
      <c r="I63" s="5" t="n">
        <v>15.6679</v>
      </c>
      <c r="J63" s="4" t="n">
        <v>10.42</v>
      </c>
      <c r="K63" s="5"/>
      <c r="L63" s="6" t="n">
        <v>4.94</v>
      </c>
      <c r="M63" s="5" t="str">
        <f aca="false">IF(AND(N(K63)&gt;0,N(L63)&gt;0),K63/L63,"")</f>
        <v/>
      </c>
      <c r="N63" s="2" t="s">
        <v>214</v>
      </c>
    </row>
    <row r="64" customFormat="false" ht="15" hidden="false" customHeight="false" outlineLevel="0" collapsed="false">
      <c r="A64" s="2" t="n">
        <v>63</v>
      </c>
      <c r="B64" s="2" t="s">
        <v>215</v>
      </c>
      <c r="C64" s="2" t="s">
        <v>216</v>
      </c>
      <c r="D64" s="2" t="s">
        <v>16</v>
      </c>
      <c r="E64" s="2" t="s">
        <v>17</v>
      </c>
      <c r="F64" s="3" t="n">
        <v>0.002387</v>
      </c>
      <c r="G64" s="3" t="n">
        <f aca="false">SUM($F$2:F64)</f>
        <v>0.31362</v>
      </c>
      <c r="H64" s="4"/>
      <c r="I64" s="5" t="n">
        <v>55.9811</v>
      </c>
      <c r="J64" s="4" t="n">
        <v>33.94</v>
      </c>
      <c r="K64" s="5"/>
      <c r="L64" s="6" t="n">
        <v>7.5402</v>
      </c>
      <c r="M64" s="5" t="str">
        <f aca="false">IF(AND(N(K64)&gt;0,N(L64)&gt;0),K64/L64,"")</f>
        <v/>
      </c>
      <c r="N64" s="2" t="s">
        <v>217</v>
      </c>
    </row>
    <row r="65" customFormat="false" ht="15" hidden="false" customHeight="false" outlineLevel="0" collapsed="false">
      <c r="A65" s="2" t="n">
        <v>64</v>
      </c>
      <c r="B65" s="2" t="s">
        <v>218</v>
      </c>
      <c r="C65" s="2" t="s">
        <v>219</v>
      </c>
      <c r="D65" s="2" t="s">
        <v>42</v>
      </c>
      <c r="E65" s="2" t="s">
        <v>29</v>
      </c>
      <c r="F65" s="3" t="n">
        <v>0.002367</v>
      </c>
      <c r="G65" s="3" t="n">
        <f aca="false">SUM($F$2:F65)</f>
        <v>0.315987</v>
      </c>
      <c r="H65" s="4"/>
      <c r="I65" s="5" t="n">
        <v>15.2135</v>
      </c>
      <c r="J65" s="4" t="n">
        <v>1.78</v>
      </c>
      <c r="K65" s="5"/>
      <c r="L65" s="6" t="n">
        <v>1.051</v>
      </c>
      <c r="M65" s="5" t="str">
        <f aca="false">IF(AND(N(K65)&gt;0,N(L65)&gt;0),K65/L65,"")</f>
        <v/>
      </c>
      <c r="N65" s="2" t="s">
        <v>220</v>
      </c>
    </row>
    <row r="66" customFormat="false" ht="15" hidden="false" customHeight="false" outlineLevel="0" collapsed="false">
      <c r="A66" s="2" t="n">
        <v>65</v>
      </c>
      <c r="B66" s="2" t="s">
        <v>221</v>
      </c>
      <c r="C66" s="2" t="s">
        <v>222</v>
      </c>
      <c r="D66" s="2" t="s">
        <v>47</v>
      </c>
      <c r="E66" s="2" t="s">
        <v>43</v>
      </c>
      <c r="F66" s="3" t="n">
        <v>0.002344</v>
      </c>
      <c r="G66" s="3" t="n">
        <f aca="false">SUM($F$2:F66)</f>
        <v>0.318331</v>
      </c>
      <c r="H66" s="4"/>
      <c r="I66" s="5" t="n">
        <v>6.4112</v>
      </c>
      <c r="J66" s="4" t="n">
        <v>1.52</v>
      </c>
      <c r="K66" s="5"/>
      <c r="L66" s="6" t="n">
        <v>4.0749</v>
      </c>
      <c r="M66" s="5" t="str">
        <f aca="false">IF(AND(N(K66)&gt;0,N(L66)&gt;0),K66/L66,"")</f>
        <v/>
      </c>
      <c r="N66" s="2" t="s">
        <v>223</v>
      </c>
    </row>
    <row r="67" customFormat="false" ht="15" hidden="false" customHeight="false" outlineLevel="0" collapsed="false">
      <c r="A67" s="2" t="n">
        <v>66</v>
      </c>
      <c r="B67" s="2" t="s">
        <v>224</v>
      </c>
      <c r="C67" s="2" t="s">
        <v>225</v>
      </c>
      <c r="D67" s="2" t="s">
        <v>81</v>
      </c>
      <c r="E67" s="2" t="s">
        <v>48</v>
      </c>
      <c r="F67" s="3" t="n">
        <v>0.00233</v>
      </c>
      <c r="G67" s="3" t="n">
        <f aca="false">SUM($F$2:F67)</f>
        <v>0.320661</v>
      </c>
      <c r="H67" s="4"/>
      <c r="I67" s="5" t="n">
        <v>16.9755</v>
      </c>
      <c r="J67" s="4" t="n">
        <v>16.34</v>
      </c>
      <c r="K67" s="5"/>
      <c r="L67" s="6" t="n">
        <v>9.6693</v>
      </c>
      <c r="M67" s="5" t="str">
        <f aca="false">IF(AND(N(K67)&gt;0,N(L67)&gt;0),K67/L67,"")</f>
        <v/>
      </c>
      <c r="N67" s="2" t="s">
        <v>226</v>
      </c>
    </row>
    <row r="68" customFormat="false" ht="15" hidden="false" customHeight="false" outlineLevel="0" collapsed="false">
      <c r="A68" s="2" t="n">
        <v>67</v>
      </c>
      <c r="B68" s="2" t="s">
        <v>227</v>
      </c>
      <c r="C68" s="2" t="s">
        <v>228</v>
      </c>
      <c r="D68" s="2"/>
      <c r="E68" s="2" t="s">
        <v>33</v>
      </c>
      <c r="F68" s="3" t="n">
        <v>0.002315</v>
      </c>
      <c r="G68" s="3" t="n">
        <f aca="false">SUM($F$2:F68)</f>
        <v>0.322976</v>
      </c>
      <c r="H68" s="4"/>
      <c r="I68" s="5"/>
      <c r="J68" s="4"/>
      <c r="K68" s="5"/>
      <c r="L68" s="6"/>
      <c r="M68" s="5" t="str">
        <f aca="false">IF(AND(N(K68)&gt;0,N(L68)&gt;0),K68/L68,"")</f>
        <v/>
      </c>
      <c r="N68" s="2" t="s">
        <v>34</v>
      </c>
    </row>
    <row r="69" customFormat="false" ht="15" hidden="false" customHeight="false" outlineLevel="0" collapsed="false">
      <c r="A69" s="2" t="n">
        <v>68</v>
      </c>
      <c r="B69" s="2" t="s">
        <v>229</v>
      </c>
      <c r="C69" s="2" t="s">
        <v>230</v>
      </c>
      <c r="D69" s="2" t="s">
        <v>47</v>
      </c>
      <c r="E69" s="2" t="s">
        <v>52</v>
      </c>
      <c r="F69" s="3" t="n">
        <v>0.002293</v>
      </c>
      <c r="G69" s="3" t="n">
        <f aca="false">SUM($F$2:F69)</f>
        <v>0.325269</v>
      </c>
      <c r="H69" s="4"/>
      <c r="I69" s="5" t="n">
        <v>29.4118</v>
      </c>
      <c r="J69" s="4" t="n">
        <v>278.8</v>
      </c>
      <c r="K69" s="5"/>
      <c r="L69" s="6" t="n">
        <v>1.8628</v>
      </c>
      <c r="M69" s="5" t="str">
        <f aca="false">IF(AND(N(K69)&gt;0,N(L69)&gt;0),K69/L69,"")</f>
        <v/>
      </c>
      <c r="N69" s="2" t="s">
        <v>231</v>
      </c>
    </row>
    <row r="70" customFormat="false" ht="15" hidden="false" customHeight="false" outlineLevel="0" collapsed="false">
      <c r="A70" s="2" t="n">
        <v>69</v>
      </c>
      <c r="B70" s="2" t="s">
        <v>232</v>
      </c>
      <c r="C70" s="2" t="s">
        <v>233</v>
      </c>
      <c r="D70" s="2" t="s">
        <v>101</v>
      </c>
      <c r="E70" s="2" t="s">
        <v>48</v>
      </c>
      <c r="F70" s="3" t="n">
        <v>0.002289</v>
      </c>
      <c r="G70" s="3" t="n">
        <f aca="false">SUM($F$2:F70)</f>
        <v>0.327558</v>
      </c>
      <c r="H70" s="4"/>
      <c r="I70" s="5" t="n">
        <v>26.1351</v>
      </c>
      <c r="J70" s="4" t="n">
        <v>2.59</v>
      </c>
      <c r="K70" s="5"/>
      <c r="L70" s="6" t="n">
        <v>1.807</v>
      </c>
      <c r="M70" s="5" t="str">
        <f aca="false">IF(AND(N(K70)&gt;0,N(L70)&gt;0),K70/L70,"")</f>
        <v/>
      </c>
      <c r="N70" s="2" t="s">
        <v>234</v>
      </c>
    </row>
    <row r="71" customFormat="false" ht="15" hidden="false" customHeight="false" outlineLevel="0" collapsed="false">
      <c r="A71" s="2" t="n">
        <v>70</v>
      </c>
      <c r="B71" s="2" t="s">
        <v>235</v>
      </c>
      <c r="C71" s="2" t="s">
        <v>236</v>
      </c>
      <c r="D71" s="2" t="s">
        <v>74</v>
      </c>
      <c r="E71" s="2" t="s">
        <v>52</v>
      </c>
      <c r="F71" s="3" t="n">
        <v>0.002282</v>
      </c>
      <c r="G71" s="3" t="n">
        <f aca="false">SUM($F$2:F71)</f>
        <v>0.32984</v>
      </c>
      <c r="H71" s="4"/>
      <c r="I71" s="5" t="n">
        <v>18.0181</v>
      </c>
      <c r="J71" s="4" t="n">
        <v>128.01</v>
      </c>
      <c r="K71" s="5"/>
      <c r="L71" s="6" t="n">
        <v>1.0649</v>
      </c>
      <c r="M71" s="5" t="str">
        <f aca="false">IF(AND(N(K71)&gt;0,N(L71)&gt;0),K71/L71,"")</f>
        <v/>
      </c>
      <c r="N71" s="2" t="s">
        <v>237</v>
      </c>
    </row>
    <row r="72" customFormat="false" ht="15" hidden="false" customHeight="false" outlineLevel="0" collapsed="false">
      <c r="A72" s="2" t="n">
        <v>71</v>
      </c>
      <c r="B72" s="2" t="s">
        <v>238</v>
      </c>
      <c r="C72" s="2" t="s">
        <v>239</v>
      </c>
      <c r="D72" s="2"/>
      <c r="E72" s="2" t="s">
        <v>33</v>
      </c>
      <c r="F72" s="3" t="n">
        <v>0.00227</v>
      </c>
      <c r="G72" s="3" t="n">
        <f aca="false">SUM($F$2:F72)</f>
        <v>0.33211</v>
      </c>
      <c r="H72" s="4"/>
      <c r="I72" s="5"/>
      <c r="J72" s="4"/>
      <c r="K72" s="5"/>
      <c r="L72" s="6"/>
      <c r="M72" s="5" t="str">
        <f aca="false">IF(AND(N(K72)&gt;0,N(L72)&gt;0),K72/L72,"")</f>
        <v/>
      </c>
      <c r="N72" s="2" t="s">
        <v>34</v>
      </c>
    </row>
    <row r="73" customFormat="false" ht="15" hidden="false" customHeight="false" outlineLevel="0" collapsed="false">
      <c r="A73" s="2" t="n">
        <v>72</v>
      </c>
      <c r="B73" s="2" t="s">
        <v>240</v>
      </c>
      <c r="C73" s="2" t="s">
        <v>241</v>
      </c>
      <c r="D73" s="2" t="s">
        <v>63</v>
      </c>
      <c r="E73" s="2" t="s">
        <v>29</v>
      </c>
      <c r="F73" s="3" t="n">
        <v>0.00221</v>
      </c>
      <c r="G73" s="3" t="n">
        <f aca="false">SUM($F$2:F73)</f>
        <v>0.33432</v>
      </c>
      <c r="H73" s="4"/>
      <c r="I73" s="5" t="n">
        <v>33.056</v>
      </c>
      <c r="J73" s="4" t="n">
        <v>11.78</v>
      </c>
      <c r="K73" s="5"/>
      <c r="L73" s="6" t="n">
        <v>4.5731</v>
      </c>
      <c r="M73" s="5" t="str">
        <f aca="false">IF(AND(N(K73)&gt;0,N(L73)&gt;0),K73/L73,"")</f>
        <v/>
      </c>
      <c r="N73" s="2" t="s">
        <v>242</v>
      </c>
    </row>
    <row r="74" customFormat="false" ht="15" hidden="false" customHeight="false" outlineLevel="0" collapsed="false">
      <c r="A74" s="2" t="n">
        <v>73</v>
      </c>
      <c r="B74" s="2" t="s">
        <v>243</v>
      </c>
      <c r="C74" s="2" t="s">
        <v>244</v>
      </c>
      <c r="D74" s="2" t="s">
        <v>101</v>
      </c>
      <c r="E74" s="2" t="s">
        <v>48</v>
      </c>
      <c r="F74" s="3" t="n">
        <v>0.002208</v>
      </c>
      <c r="G74" s="3" t="n">
        <f aca="false">SUM($F$2:F74)</f>
        <v>0.336528</v>
      </c>
      <c r="H74" s="4"/>
      <c r="I74" s="5" t="n">
        <v>12.0676</v>
      </c>
      <c r="J74" s="4" t="n">
        <v>5.62</v>
      </c>
      <c r="K74" s="5"/>
      <c r="L74" s="6" t="n">
        <v>3.1294</v>
      </c>
      <c r="M74" s="5" t="str">
        <f aca="false">IF(AND(N(K74)&gt;0,N(L74)&gt;0),K74/L74,"")</f>
        <v/>
      </c>
      <c r="N74" s="2" t="s">
        <v>245</v>
      </c>
    </row>
    <row r="75" customFormat="false" ht="15" hidden="false" customHeight="false" outlineLevel="0" collapsed="false">
      <c r="A75" s="2" t="n">
        <v>74</v>
      </c>
      <c r="B75" s="2" t="s">
        <v>246</v>
      </c>
      <c r="C75" s="2" t="s">
        <v>247</v>
      </c>
      <c r="D75" s="2" t="s">
        <v>74</v>
      </c>
      <c r="E75" s="2" t="s">
        <v>52</v>
      </c>
      <c r="F75" s="3" t="n">
        <v>0.002206</v>
      </c>
      <c r="G75" s="3" t="n">
        <f aca="false">SUM($F$2:F75)</f>
        <v>0.338734</v>
      </c>
      <c r="H75" s="4"/>
      <c r="I75" s="5" t="n">
        <v>17.7305</v>
      </c>
      <c r="J75" s="4" t="n">
        <v>291.08</v>
      </c>
      <c r="K75" s="5"/>
      <c r="L75" s="6" t="n">
        <v>0.9751</v>
      </c>
      <c r="M75" s="5" t="str">
        <f aca="false">IF(AND(N(K75)&gt;0,N(L75)&gt;0),K75/L75,"")</f>
        <v/>
      </c>
      <c r="N75" s="2" t="s">
        <v>248</v>
      </c>
    </row>
    <row r="76" customFormat="false" ht="15" hidden="false" customHeight="false" outlineLevel="0" collapsed="false">
      <c r="A76" s="2" t="n">
        <v>75</v>
      </c>
      <c r="B76" s="2" t="s">
        <v>249</v>
      </c>
      <c r="C76" s="2" t="s">
        <v>250</v>
      </c>
      <c r="D76" s="2" t="s">
        <v>16</v>
      </c>
      <c r="E76" s="2" t="s">
        <v>52</v>
      </c>
      <c r="F76" s="3" t="n">
        <v>0.002181</v>
      </c>
      <c r="G76" s="3" t="n">
        <f aca="false">SUM($F$2:F76)</f>
        <v>0.340915</v>
      </c>
      <c r="H76" s="4"/>
      <c r="I76" s="5" t="n">
        <v>60.9771</v>
      </c>
      <c r="J76" s="4" t="n">
        <v>127.31</v>
      </c>
      <c r="K76" s="5"/>
      <c r="L76" s="6" t="n">
        <v>7.3407</v>
      </c>
      <c r="M76" s="5" t="str">
        <f aca="false">IF(AND(N(K76)&gt;0,N(L76)&gt;0),K76/L76,"")</f>
        <v/>
      </c>
      <c r="N76" s="2" t="s">
        <v>251</v>
      </c>
    </row>
    <row r="77" customFormat="false" ht="15" hidden="false" customHeight="false" outlineLevel="0" collapsed="false">
      <c r="A77" s="2" t="n">
        <v>76</v>
      </c>
      <c r="B77" s="2" t="s">
        <v>252</v>
      </c>
      <c r="C77" s="2" t="s">
        <v>253</v>
      </c>
      <c r="D77" s="2"/>
      <c r="E77" s="2" t="s">
        <v>33</v>
      </c>
      <c r="F77" s="3" t="n">
        <v>0.002164</v>
      </c>
      <c r="G77" s="3" t="n">
        <f aca="false">SUM($F$2:F77)</f>
        <v>0.343079</v>
      </c>
      <c r="H77" s="4"/>
      <c r="I77" s="5"/>
      <c r="J77" s="4"/>
      <c r="K77" s="5"/>
      <c r="L77" s="6"/>
      <c r="M77" s="5" t="str">
        <f aca="false">IF(AND(N(K77)&gt;0,N(L77)&gt;0),K77/L77,"")</f>
        <v/>
      </c>
      <c r="N77" s="2" t="s">
        <v>34</v>
      </c>
    </row>
    <row r="78" customFormat="false" ht="15" hidden="false" customHeight="false" outlineLevel="0" collapsed="false">
      <c r="A78" s="2" t="n">
        <v>77</v>
      </c>
      <c r="B78" s="2" t="s">
        <v>254</v>
      </c>
      <c r="C78" s="2" t="s">
        <v>255</v>
      </c>
      <c r="D78" s="2" t="s">
        <v>47</v>
      </c>
      <c r="E78" s="2" t="s">
        <v>173</v>
      </c>
      <c r="F78" s="3" t="n">
        <v>0.002145</v>
      </c>
      <c r="G78" s="3" t="n">
        <f aca="false">SUM($F$2:F78)</f>
        <v>0.345224</v>
      </c>
      <c r="H78" s="4"/>
      <c r="I78" s="5" t="n">
        <v>18.4713</v>
      </c>
      <c r="J78" s="4" t="n">
        <v>1.74</v>
      </c>
      <c r="K78" s="5"/>
      <c r="L78" s="6" t="n">
        <v>9.8294</v>
      </c>
      <c r="M78" s="5" t="str">
        <f aca="false">IF(AND(N(K78)&gt;0,N(L78)&gt;0),K78/L78,"")</f>
        <v/>
      </c>
      <c r="N78" s="2" t="s">
        <v>256</v>
      </c>
    </row>
    <row r="79" customFormat="false" ht="15" hidden="false" customHeight="false" outlineLevel="0" collapsed="false">
      <c r="A79" s="2" t="n">
        <v>78</v>
      </c>
      <c r="B79" s="2" t="s">
        <v>257</v>
      </c>
      <c r="C79" s="2" t="s">
        <v>258</v>
      </c>
      <c r="D79" s="2" t="s">
        <v>16</v>
      </c>
      <c r="E79" s="2" t="s">
        <v>17</v>
      </c>
      <c r="F79" s="3" t="n">
        <v>0.002124</v>
      </c>
      <c r="G79" s="3" t="n">
        <f aca="false">SUM($F$2:F79)</f>
        <v>0.347348</v>
      </c>
      <c r="H79" s="4"/>
      <c r="I79" s="5" t="n">
        <v>16.7217</v>
      </c>
      <c r="J79" s="4" t="n">
        <v>15.13</v>
      </c>
      <c r="K79" s="5"/>
      <c r="L79" s="6" t="n">
        <v>0.3807</v>
      </c>
      <c r="M79" s="5" t="str">
        <f aca="false">IF(AND(N(K79)&gt;0,N(L79)&gt;0),K79/L79,"")</f>
        <v/>
      </c>
      <c r="N79" s="2" t="s">
        <v>259</v>
      </c>
    </row>
    <row r="80" customFormat="false" ht="15" hidden="false" customHeight="false" outlineLevel="0" collapsed="false">
      <c r="A80" s="2" t="n">
        <v>79</v>
      </c>
      <c r="B80" s="2" t="s">
        <v>260</v>
      </c>
      <c r="C80" s="2" t="s">
        <v>261</v>
      </c>
      <c r="D80" s="2" t="s">
        <v>16</v>
      </c>
      <c r="E80" s="2" t="s">
        <v>52</v>
      </c>
      <c r="F80" s="3" t="n">
        <v>0.002118</v>
      </c>
      <c r="G80" s="3" t="n">
        <f aca="false">SUM($F$2:F80)</f>
        <v>0.349466</v>
      </c>
      <c r="H80" s="4"/>
      <c r="I80" s="5" t="n">
        <v>41.6667</v>
      </c>
      <c r="J80" s="4" t="n">
        <v>1837.92</v>
      </c>
      <c r="K80" s="5"/>
      <c r="L80" s="6" t="n">
        <v>14.8008</v>
      </c>
      <c r="M80" s="5" t="str">
        <f aca="false">IF(AND(N(K80)&gt;0,N(L80)&gt;0),K80/L80,"")</f>
        <v/>
      </c>
      <c r="N80" s="2" t="s">
        <v>262</v>
      </c>
    </row>
    <row r="81" customFormat="false" ht="15" hidden="false" customHeight="false" outlineLevel="0" collapsed="false">
      <c r="A81" s="2" t="n">
        <v>80</v>
      </c>
      <c r="B81" s="2" t="s">
        <v>84</v>
      </c>
      <c r="C81" s="2" t="s">
        <v>263</v>
      </c>
      <c r="D81" s="2" t="s">
        <v>37</v>
      </c>
      <c r="E81" s="2" t="s">
        <v>29</v>
      </c>
      <c r="F81" s="3" t="n">
        <v>0.00206</v>
      </c>
      <c r="G81" s="3" t="n">
        <f aca="false">SUM($F$2:F81)</f>
        <v>0.351526</v>
      </c>
      <c r="H81" s="4"/>
      <c r="I81" s="5" t="n">
        <v>22.8607</v>
      </c>
      <c r="J81" s="4" t="n">
        <v>3.23</v>
      </c>
      <c r="K81" s="5"/>
      <c r="L81" s="6" t="n">
        <v>1.8084</v>
      </c>
      <c r="M81" s="5" t="str">
        <f aca="false">IF(AND(N(K81)&gt;0,N(L81)&gt;0),K81/L81,"")</f>
        <v/>
      </c>
      <c r="N81" s="2" t="s">
        <v>264</v>
      </c>
    </row>
    <row r="82" customFormat="false" ht="15" hidden="false" customHeight="false" outlineLevel="0" collapsed="false">
      <c r="A82" s="2" t="n">
        <v>81</v>
      </c>
      <c r="B82" s="2" t="s">
        <v>265</v>
      </c>
      <c r="C82" s="2" t="s">
        <v>266</v>
      </c>
      <c r="D82" s="2" t="s">
        <v>67</v>
      </c>
      <c r="E82" s="2" t="s">
        <v>52</v>
      </c>
      <c r="F82" s="3" t="n">
        <v>0.00203</v>
      </c>
      <c r="G82" s="3" t="n">
        <f aca="false">SUM($F$2:F82)</f>
        <v>0.353556</v>
      </c>
      <c r="H82" s="4"/>
      <c r="I82" s="5" t="n">
        <v>43.4783</v>
      </c>
      <c r="J82" s="4" t="n">
        <v>1556.64</v>
      </c>
      <c r="K82" s="5"/>
      <c r="L82" s="6" t="n">
        <v>5.3956</v>
      </c>
      <c r="M82" s="5" t="str">
        <f aca="false">IF(AND(N(K82)&gt;0,N(L82)&gt;0),K82/L82,"")</f>
        <v/>
      </c>
      <c r="N82" s="2" t="s">
        <v>267</v>
      </c>
    </row>
    <row r="83" customFormat="false" ht="15" hidden="false" customHeight="false" outlineLevel="0" collapsed="false">
      <c r="A83" s="2" t="n">
        <v>82</v>
      </c>
      <c r="B83" s="2" t="s">
        <v>268</v>
      </c>
      <c r="C83" s="2" t="s">
        <v>269</v>
      </c>
      <c r="D83" s="2" t="s">
        <v>47</v>
      </c>
      <c r="E83" s="2" t="s">
        <v>29</v>
      </c>
      <c r="F83" s="3" t="n">
        <v>0.001962</v>
      </c>
      <c r="G83" s="3" t="n">
        <f aca="false">SUM($F$2:F83)</f>
        <v>0.355518</v>
      </c>
      <c r="H83" s="4"/>
      <c r="I83" s="5" t="n">
        <v>11.9461</v>
      </c>
      <c r="J83" s="4" t="n">
        <v>3.71</v>
      </c>
      <c r="K83" s="5"/>
      <c r="L83" s="6" t="n">
        <v>0.9574</v>
      </c>
      <c r="M83" s="5" t="str">
        <f aca="false">IF(AND(N(K83)&gt;0,N(L83)&gt;0),K83/L83,"")</f>
        <v/>
      </c>
      <c r="N83" s="2" t="s">
        <v>270</v>
      </c>
    </row>
    <row r="84" customFormat="false" ht="15" hidden="false" customHeight="false" outlineLevel="0" collapsed="false">
      <c r="A84" s="2" t="n">
        <v>83</v>
      </c>
      <c r="B84" s="2" t="s">
        <v>271</v>
      </c>
      <c r="C84" s="2" t="s">
        <v>272</v>
      </c>
      <c r="D84" s="2"/>
      <c r="E84" s="2" t="s">
        <v>33</v>
      </c>
      <c r="F84" s="3" t="n">
        <v>0.001933</v>
      </c>
      <c r="G84" s="3" t="n">
        <f aca="false">SUM($F$2:F84)</f>
        <v>0.357451</v>
      </c>
      <c r="H84" s="4"/>
      <c r="I84" s="5"/>
      <c r="J84" s="4"/>
      <c r="K84" s="5"/>
      <c r="L84" s="6"/>
      <c r="M84" s="5" t="str">
        <f aca="false">IF(AND(N(K84)&gt;0,N(L84)&gt;0),K84/L84,"")</f>
        <v/>
      </c>
      <c r="N84" s="2" t="s">
        <v>34</v>
      </c>
    </row>
    <row r="85" customFormat="false" ht="15" hidden="false" customHeight="false" outlineLevel="0" collapsed="false">
      <c r="A85" s="2" t="n">
        <v>84</v>
      </c>
      <c r="B85" s="2" t="s">
        <v>273</v>
      </c>
      <c r="C85" s="2" t="s">
        <v>274</v>
      </c>
      <c r="D85" s="2" t="s">
        <v>16</v>
      </c>
      <c r="E85" s="2" t="s">
        <v>29</v>
      </c>
      <c r="F85" s="3" t="n">
        <v>0.001906</v>
      </c>
      <c r="G85" s="3" t="n">
        <f aca="false">SUM($F$2:F85)</f>
        <v>0.359357</v>
      </c>
      <c r="H85" s="4"/>
      <c r="I85" s="5" t="n">
        <v>71.5122</v>
      </c>
      <c r="J85" s="4" t="n">
        <v>0.82</v>
      </c>
      <c r="K85" s="5"/>
      <c r="L85" s="6" t="n">
        <v>4.8876</v>
      </c>
      <c r="M85" s="5" t="str">
        <f aca="false">IF(AND(N(K85)&gt;0,N(L85)&gt;0),K85/L85,"")</f>
        <v/>
      </c>
      <c r="N85" s="2" t="s">
        <v>275</v>
      </c>
    </row>
    <row r="86" customFormat="false" ht="15" hidden="false" customHeight="false" outlineLevel="0" collapsed="false">
      <c r="A86" s="2" t="n">
        <v>85</v>
      </c>
      <c r="B86" s="2" t="s">
        <v>276</v>
      </c>
      <c r="C86" s="2" t="s">
        <v>277</v>
      </c>
      <c r="D86" s="2" t="s">
        <v>47</v>
      </c>
      <c r="E86" s="2" t="s">
        <v>82</v>
      </c>
      <c r="F86" s="3" t="n">
        <v>0.001898</v>
      </c>
      <c r="G86" s="3" t="n">
        <f aca="false">SUM($F$2:F86)</f>
        <v>0.361255</v>
      </c>
      <c r="H86" s="4"/>
      <c r="I86" s="5" t="n">
        <v>19.305</v>
      </c>
      <c r="J86" s="4" t="n">
        <v>2</v>
      </c>
      <c r="K86" s="5"/>
      <c r="L86" s="6"/>
      <c r="M86" s="5" t="str">
        <f aca="false">IF(AND(N(K86)&gt;0,N(L86)&gt;0),K86/L86,"")</f>
        <v/>
      </c>
      <c r="N86" s="2" t="s">
        <v>278</v>
      </c>
    </row>
    <row r="87" customFormat="false" ht="15" hidden="false" customHeight="false" outlineLevel="0" collapsed="false">
      <c r="A87" s="2" t="n">
        <v>86</v>
      </c>
      <c r="B87" s="2" t="s">
        <v>279</v>
      </c>
      <c r="C87" s="2" t="s">
        <v>280</v>
      </c>
      <c r="D87" s="2"/>
      <c r="E87" s="2" t="s">
        <v>33</v>
      </c>
      <c r="F87" s="3" t="n">
        <v>0.00187</v>
      </c>
      <c r="G87" s="3" t="n">
        <f aca="false">SUM($F$2:F87)</f>
        <v>0.363125</v>
      </c>
      <c r="H87" s="4"/>
      <c r="I87" s="5"/>
      <c r="J87" s="4"/>
      <c r="K87" s="5"/>
      <c r="L87" s="6"/>
      <c r="M87" s="5" t="str">
        <f aca="false">IF(AND(N(K87)&gt;0,N(L87)&gt;0),K87/L87,"")</f>
        <v/>
      </c>
      <c r="N87" s="2" t="s">
        <v>34</v>
      </c>
    </row>
    <row r="88" customFormat="false" ht="15" hidden="false" customHeight="false" outlineLevel="0" collapsed="false">
      <c r="A88" s="2" t="n">
        <v>87</v>
      </c>
      <c r="B88" s="2" t="s">
        <v>281</v>
      </c>
      <c r="C88" s="2" t="s">
        <v>282</v>
      </c>
      <c r="D88" s="2" t="s">
        <v>47</v>
      </c>
      <c r="E88" s="2" t="s">
        <v>82</v>
      </c>
      <c r="F88" s="3" t="n">
        <v>0.001862</v>
      </c>
      <c r="G88" s="3" t="n">
        <f aca="false">SUM($F$2:F88)</f>
        <v>0.364987</v>
      </c>
      <c r="H88" s="4"/>
      <c r="I88" s="5" t="n">
        <v>17.197</v>
      </c>
      <c r="J88" s="4" t="n">
        <v>2.03</v>
      </c>
      <c r="K88" s="5"/>
      <c r="L88" s="6" t="n">
        <v>5.3539</v>
      </c>
      <c r="M88" s="5" t="str">
        <f aca="false">IF(AND(N(K88)&gt;0,N(L88)&gt;0),K88/L88,"")</f>
        <v/>
      </c>
      <c r="N88" s="2" t="s">
        <v>283</v>
      </c>
    </row>
    <row r="89" customFormat="false" ht="15" hidden="false" customHeight="false" outlineLevel="0" collapsed="false">
      <c r="A89" s="2" t="n">
        <v>88</v>
      </c>
      <c r="B89" s="2" t="s">
        <v>284</v>
      </c>
      <c r="C89" s="2" t="s">
        <v>285</v>
      </c>
      <c r="D89" s="2" t="s">
        <v>47</v>
      </c>
      <c r="E89" s="2" t="s">
        <v>48</v>
      </c>
      <c r="F89" s="3" t="n">
        <v>0.001861</v>
      </c>
      <c r="G89" s="3" t="n">
        <f aca="false">SUM($F$2:F89)</f>
        <v>0.366848</v>
      </c>
      <c r="H89" s="4"/>
      <c r="I89" s="5" t="n">
        <v>70.2237</v>
      </c>
      <c r="J89" s="4" t="n">
        <v>0.76</v>
      </c>
      <c r="K89" s="5"/>
      <c r="L89" s="6" t="n">
        <v>1.4765</v>
      </c>
      <c r="M89" s="5" t="str">
        <f aca="false">IF(AND(N(K89)&gt;0,N(L89)&gt;0),K89/L89,"")</f>
        <v/>
      </c>
      <c r="N89" s="2" t="s">
        <v>286</v>
      </c>
    </row>
    <row r="90" customFormat="false" ht="15" hidden="false" customHeight="false" outlineLevel="0" collapsed="false">
      <c r="A90" s="2" t="n">
        <v>89</v>
      </c>
      <c r="B90" s="2" t="s">
        <v>287</v>
      </c>
      <c r="C90" s="2" t="s">
        <v>288</v>
      </c>
      <c r="D90" s="2" t="s">
        <v>47</v>
      </c>
      <c r="E90" s="2" t="s">
        <v>289</v>
      </c>
      <c r="F90" s="3" t="n">
        <v>0.001829</v>
      </c>
      <c r="G90" s="3" t="n">
        <f aca="false">SUM($F$2:F90)</f>
        <v>0.368677</v>
      </c>
      <c r="H90" s="4"/>
      <c r="I90" s="5" t="n">
        <v>16.1337</v>
      </c>
      <c r="J90" s="4" t="n">
        <v>45.78</v>
      </c>
      <c r="K90" s="5"/>
      <c r="L90" s="6" t="n">
        <v>3.8604</v>
      </c>
      <c r="M90" s="5" t="str">
        <f aca="false">IF(AND(N(K90)&gt;0,N(L90)&gt;0),K90/L90,"")</f>
        <v/>
      </c>
      <c r="N90" s="2" t="s">
        <v>290</v>
      </c>
    </row>
    <row r="91" customFormat="false" ht="15" hidden="false" customHeight="false" outlineLevel="0" collapsed="false">
      <c r="A91" s="2" t="n">
        <v>90</v>
      </c>
      <c r="B91" s="2" t="s">
        <v>291</v>
      </c>
      <c r="C91" s="2" t="s">
        <v>292</v>
      </c>
      <c r="D91" s="2" t="s">
        <v>74</v>
      </c>
      <c r="E91" s="2" t="s">
        <v>52</v>
      </c>
      <c r="F91" s="3" t="n">
        <v>0.001819</v>
      </c>
      <c r="G91" s="3" t="n">
        <f aca="false">SUM($F$2:F91)</f>
        <v>0.370496</v>
      </c>
      <c r="H91" s="4"/>
      <c r="I91" s="5" t="n">
        <v>55.5571</v>
      </c>
      <c r="J91" s="4" t="n">
        <v>69.82</v>
      </c>
      <c r="K91" s="5"/>
      <c r="L91" s="6" t="n">
        <v>2.5387</v>
      </c>
      <c r="M91" s="5" t="str">
        <f aca="false">IF(AND(N(K91)&gt;0,N(L91)&gt;0),K91/L91,"")</f>
        <v/>
      </c>
      <c r="N91" s="2" t="s">
        <v>293</v>
      </c>
    </row>
    <row r="92" customFormat="false" ht="15" hidden="false" customHeight="false" outlineLevel="0" collapsed="false">
      <c r="A92" s="2" t="n">
        <v>91</v>
      </c>
      <c r="B92" s="2" t="s">
        <v>294</v>
      </c>
      <c r="C92" s="2" t="s">
        <v>295</v>
      </c>
      <c r="D92" s="2" t="s">
        <v>101</v>
      </c>
      <c r="E92" s="2" t="s">
        <v>296</v>
      </c>
      <c r="F92" s="3" t="n">
        <v>0.001805</v>
      </c>
      <c r="G92" s="3" t="n">
        <f aca="false">SUM($F$2:F92)</f>
        <v>0.372301</v>
      </c>
      <c r="H92" s="4" t="n">
        <v>62.05</v>
      </c>
      <c r="I92" s="5"/>
      <c r="J92" s="4"/>
      <c r="K92" s="5" t="n">
        <v>209.9225</v>
      </c>
      <c r="L92" s="6"/>
      <c r="M92" s="5" t="str">
        <f aca="false">IF(AND(N(K92)&gt;0,N(L92)&gt;0),K92/L92,"")</f>
        <v/>
      </c>
      <c r="N92" s="2" t="s">
        <v>297</v>
      </c>
    </row>
    <row r="93" customFormat="false" ht="15" hidden="false" customHeight="false" outlineLevel="0" collapsed="false">
      <c r="A93" s="2" t="n">
        <v>92</v>
      </c>
      <c r="B93" s="2" t="s">
        <v>298</v>
      </c>
      <c r="C93" s="2" t="s">
        <v>299</v>
      </c>
      <c r="D93" s="2" t="s">
        <v>74</v>
      </c>
      <c r="E93" s="2" t="s">
        <v>48</v>
      </c>
      <c r="F93" s="3" t="n">
        <v>0.001802</v>
      </c>
      <c r="G93" s="3" t="n">
        <f aca="false">SUM($F$2:F93)</f>
        <v>0.374103</v>
      </c>
      <c r="H93" s="4"/>
      <c r="I93" s="5" t="n">
        <v>28.3744</v>
      </c>
      <c r="J93" s="4" t="n">
        <v>4.3</v>
      </c>
      <c r="K93" s="5"/>
      <c r="L93" s="6" t="n">
        <v>6.9426</v>
      </c>
      <c r="M93" s="5" t="str">
        <f aca="false">IF(AND(N(K93)&gt;0,N(L93)&gt;0),K93/L93,"")</f>
        <v/>
      </c>
      <c r="N93" s="2" t="s">
        <v>300</v>
      </c>
    </row>
    <row r="94" customFormat="false" ht="15" hidden="false" customHeight="false" outlineLevel="0" collapsed="false">
      <c r="A94" s="2" t="n">
        <v>93</v>
      </c>
      <c r="B94" s="2" t="s">
        <v>301</v>
      </c>
      <c r="C94" s="2" t="s">
        <v>302</v>
      </c>
      <c r="D94" s="2"/>
      <c r="E94" s="2" t="s">
        <v>17</v>
      </c>
      <c r="F94" s="3" t="n">
        <v>0.001792</v>
      </c>
      <c r="G94" s="3" t="n">
        <f aca="false">SUM($F$2:F94)</f>
        <v>0.375895</v>
      </c>
      <c r="H94" s="4"/>
      <c r="I94" s="5"/>
      <c r="J94" s="4"/>
      <c r="K94" s="5"/>
      <c r="L94" s="6"/>
      <c r="M94" s="5" t="str">
        <f aca="false">IF(AND(N(K94)&gt;0,N(L94)&gt;0),K94/L94,"")</f>
        <v/>
      </c>
      <c r="N94" s="2" t="s">
        <v>34</v>
      </c>
    </row>
    <row r="95" customFormat="false" ht="15" hidden="false" customHeight="false" outlineLevel="0" collapsed="false">
      <c r="A95" s="2" t="n">
        <v>94</v>
      </c>
      <c r="B95" s="2" t="s">
        <v>303</v>
      </c>
      <c r="C95" s="2" t="s">
        <v>304</v>
      </c>
      <c r="D95" s="2" t="s">
        <v>42</v>
      </c>
      <c r="E95" s="2" t="s">
        <v>21</v>
      </c>
      <c r="F95" s="3" t="n">
        <v>0.001782</v>
      </c>
      <c r="G95" s="3" t="n">
        <f aca="false">SUM($F$2:F95)</f>
        <v>0.377677</v>
      </c>
      <c r="H95" s="4" t="n">
        <v>516.77</v>
      </c>
      <c r="I95" s="5"/>
      <c r="J95" s="4"/>
      <c r="K95" s="5" t="n">
        <v>106.2398</v>
      </c>
      <c r="L95" s="6"/>
      <c r="M95" s="5" t="str">
        <f aca="false">IF(AND(N(K95)&gt;0,N(L95)&gt;0),K95/L95,"")</f>
        <v/>
      </c>
      <c r="N95" s="2" t="s">
        <v>305</v>
      </c>
    </row>
    <row r="96" customFormat="false" ht="15" hidden="false" customHeight="false" outlineLevel="0" collapsed="false">
      <c r="A96" s="2" t="n">
        <v>95</v>
      </c>
      <c r="B96" s="2" t="s">
        <v>306</v>
      </c>
      <c r="C96" s="2" t="s">
        <v>307</v>
      </c>
      <c r="D96" s="2" t="s">
        <v>47</v>
      </c>
      <c r="E96" s="2" t="s">
        <v>82</v>
      </c>
      <c r="F96" s="3" t="n">
        <v>0.001779</v>
      </c>
      <c r="G96" s="3" t="n">
        <f aca="false">SUM($F$2:F96)</f>
        <v>0.379456</v>
      </c>
      <c r="H96" s="4"/>
      <c r="I96" s="5" t="n">
        <v>19.3655</v>
      </c>
      <c r="J96" s="4" t="n">
        <v>1.97</v>
      </c>
      <c r="K96" s="5"/>
      <c r="L96" s="6"/>
      <c r="M96" s="5" t="str">
        <f aca="false">IF(AND(N(K96)&gt;0,N(L96)&gt;0),K96/L96,"")</f>
        <v/>
      </c>
      <c r="N96" s="2" t="s">
        <v>308</v>
      </c>
    </row>
    <row r="97" customFormat="false" ht="15" hidden="false" customHeight="false" outlineLevel="0" collapsed="false">
      <c r="A97" s="2" t="n">
        <v>96</v>
      </c>
      <c r="B97" s="2" t="s">
        <v>96</v>
      </c>
      <c r="C97" s="2" t="s">
        <v>309</v>
      </c>
      <c r="D97" s="2" t="s">
        <v>101</v>
      </c>
      <c r="E97" s="2" t="s">
        <v>48</v>
      </c>
      <c r="F97" s="3" t="n">
        <v>0.00175</v>
      </c>
      <c r="G97" s="3" t="n">
        <f aca="false">SUM($F$2:F97)</f>
        <v>0.381206</v>
      </c>
      <c r="H97" s="4"/>
      <c r="I97" s="5" t="n">
        <v>12.6155</v>
      </c>
      <c r="J97" s="4" t="n">
        <v>7.49</v>
      </c>
      <c r="K97" s="5"/>
      <c r="L97" s="6" t="n">
        <v>1.9722</v>
      </c>
      <c r="M97" s="5" t="str">
        <f aca="false">IF(AND(N(K97)&gt;0,N(L97)&gt;0),K97/L97,"")</f>
        <v/>
      </c>
      <c r="N97" s="2" t="s">
        <v>310</v>
      </c>
    </row>
    <row r="98" customFormat="false" ht="15" hidden="false" customHeight="false" outlineLevel="0" collapsed="false">
      <c r="A98" s="2" t="n">
        <v>97</v>
      </c>
      <c r="B98" s="2" t="s">
        <v>311</v>
      </c>
      <c r="C98" s="2" t="s">
        <v>312</v>
      </c>
      <c r="D98" s="2" t="s">
        <v>146</v>
      </c>
      <c r="E98" s="2" t="s">
        <v>29</v>
      </c>
      <c r="F98" s="3" t="n">
        <v>0.001728</v>
      </c>
      <c r="G98" s="3" t="n">
        <f aca="false">SUM($F$2:F98)</f>
        <v>0.382934</v>
      </c>
      <c r="H98" s="4"/>
      <c r="I98" s="5" t="n">
        <v>21.2381</v>
      </c>
      <c r="J98" s="4" t="n">
        <v>0.42</v>
      </c>
      <c r="K98" s="5"/>
      <c r="L98" s="6" t="n">
        <v>1.1132</v>
      </c>
      <c r="M98" s="5" t="str">
        <f aca="false">IF(AND(N(K98)&gt;0,N(L98)&gt;0),K98/L98,"")</f>
        <v/>
      </c>
      <c r="N98" s="2" t="s">
        <v>313</v>
      </c>
    </row>
    <row r="99" customFormat="false" ht="15" hidden="false" customHeight="false" outlineLevel="0" collapsed="false">
      <c r="A99" s="2" t="n">
        <v>98</v>
      </c>
      <c r="B99" s="2" t="s">
        <v>314</v>
      </c>
      <c r="C99" s="2" t="s">
        <v>315</v>
      </c>
      <c r="D99" s="2" t="s">
        <v>63</v>
      </c>
      <c r="E99" s="2" t="s">
        <v>29</v>
      </c>
      <c r="F99" s="3" t="n">
        <v>0.0017</v>
      </c>
      <c r="G99" s="3" t="n">
        <f aca="false">SUM($F$2:F99)</f>
        <v>0.384634</v>
      </c>
      <c r="H99" s="4"/>
      <c r="I99" s="5" t="n">
        <v>16.901</v>
      </c>
      <c r="J99" s="4" t="n">
        <v>4.04</v>
      </c>
      <c r="K99" s="5"/>
      <c r="L99" s="6" t="n">
        <v>2.1473</v>
      </c>
      <c r="M99" s="5" t="str">
        <f aca="false">IF(AND(N(K99)&gt;0,N(L99)&gt;0),K99/L99,"")</f>
        <v/>
      </c>
      <c r="N99" s="2" t="s">
        <v>316</v>
      </c>
    </row>
    <row r="100" customFormat="false" ht="15" hidden="false" customHeight="false" outlineLevel="0" collapsed="false">
      <c r="A100" s="2" t="n">
        <v>99</v>
      </c>
      <c r="B100" s="2" t="s">
        <v>317</v>
      </c>
      <c r="C100" s="2" t="s">
        <v>318</v>
      </c>
      <c r="D100" s="2"/>
      <c r="E100" s="2" t="s">
        <v>33</v>
      </c>
      <c r="F100" s="3" t="n">
        <v>0.001694</v>
      </c>
      <c r="G100" s="3" t="n">
        <f aca="false">SUM($F$2:F100)</f>
        <v>0.386328</v>
      </c>
      <c r="H100" s="4"/>
      <c r="I100" s="5"/>
      <c r="J100" s="4"/>
      <c r="K100" s="5"/>
      <c r="L100" s="6"/>
      <c r="M100" s="5" t="str">
        <f aca="false">IF(AND(N(K100)&gt;0,N(L100)&gt;0),K100/L100,"")</f>
        <v/>
      </c>
      <c r="N100" s="2" t="s">
        <v>34</v>
      </c>
    </row>
    <row r="101" customFormat="false" ht="15" hidden="false" customHeight="false" outlineLevel="0" collapsed="false">
      <c r="A101" s="2" t="n">
        <v>100</v>
      </c>
      <c r="B101" s="2" t="s">
        <v>319</v>
      </c>
      <c r="C101" s="2" t="s">
        <v>320</v>
      </c>
      <c r="D101" s="2"/>
      <c r="E101" s="2" t="s">
        <v>33</v>
      </c>
      <c r="F101" s="3" t="n">
        <v>0.001693</v>
      </c>
      <c r="G101" s="3" t="n">
        <f aca="false">SUM($F$2:F101)</f>
        <v>0.388021</v>
      </c>
      <c r="H101" s="4"/>
      <c r="I101" s="5"/>
      <c r="J101" s="4"/>
      <c r="K101" s="5"/>
      <c r="L101" s="6"/>
      <c r="M101" s="5" t="str">
        <f aca="false">IF(AND(N(K101)&gt;0,N(L101)&gt;0),K101/L101,"")</f>
        <v/>
      </c>
      <c r="N101" s="2" t="s">
        <v>34</v>
      </c>
    </row>
    <row r="102" customFormat="false" ht="15" hidden="false" customHeight="false" outlineLevel="0" collapsed="false">
      <c r="A102" s="2" t="n">
        <v>101</v>
      </c>
      <c r="B102" s="2" t="s">
        <v>321</v>
      </c>
      <c r="C102" s="2" t="s">
        <v>322</v>
      </c>
      <c r="D102" s="2" t="s">
        <v>47</v>
      </c>
      <c r="E102" s="2" t="s">
        <v>29</v>
      </c>
      <c r="F102" s="3" t="n">
        <v>0.001693</v>
      </c>
      <c r="G102" s="3" t="n">
        <f aca="false">SUM($F$2:F102)</f>
        <v>0.389714</v>
      </c>
      <c r="H102" s="4"/>
      <c r="I102" s="5" t="n">
        <v>9.4496</v>
      </c>
      <c r="J102" s="4" t="n">
        <v>53.78</v>
      </c>
      <c r="K102" s="5"/>
      <c r="L102" s="6" t="n">
        <v>1.039</v>
      </c>
      <c r="M102" s="5" t="str">
        <f aca="false">IF(AND(N(K102)&gt;0,N(L102)&gt;0),K102/L102,"")</f>
        <v/>
      </c>
      <c r="N102" s="2" t="s">
        <v>323</v>
      </c>
    </row>
    <row r="103" customFormat="false" ht="15" hidden="false" customHeight="false" outlineLevel="0" collapsed="false">
      <c r="A103" s="2" t="n">
        <v>102</v>
      </c>
      <c r="B103" s="2" t="s">
        <v>324</v>
      </c>
      <c r="C103" s="2" t="s">
        <v>325</v>
      </c>
      <c r="D103" s="2" t="s">
        <v>47</v>
      </c>
      <c r="E103" s="2" t="s">
        <v>29</v>
      </c>
      <c r="F103" s="3" t="n">
        <v>0.001681</v>
      </c>
      <c r="G103" s="3" t="n">
        <f aca="false">SUM($F$2:F103)</f>
        <v>0.391395</v>
      </c>
      <c r="H103" s="4"/>
      <c r="I103" s="5" t="n">
        <v>10.1429</v>
      </c>
      <c r="J103" s="4" t="n">
        <v>3.29</v>
      </c>
      <c r="K103" s="5"/>
      <c r="L103" s="6" t="n">
        <v>2.0582</v>
      </c>
      <c r="M103" s="5" t="str">
        <f aca="false">IF(AND(N(K103)&gt;0,N(L103)&gt;0),K103/L103,"")</f>
        <v/>
      </c>
      <c r="N103" s="2" t="s">
        <v>326</v>
      </c>
    </row>
    <row r="104" customFormat="false" ht="15" hidden="false" customHeight="false" outlineLevel="0" collapsed="false">
      <c r="A104" s="2" t="n">
        <v>103</v>
      </c>
      <c r="B104" s="2" t="s">
        <v>327</v>
      </c>
      <c r="C104" s="2" t="s">
        <v>328</v>
      </c>
      <c r="D104" s="2" t="s">
        <v>16</v>
      </c>
      <c r="E104" s="2" t="s">
        <v>17</v>
      </c>
      <c r="F104" s="3" t="n">
        <v>0.001679</v>
      </c>
      <c r="G104" s="3" t="n">
        <f aca="false">SUM($F$2:F104)</f>
        <v>0.393074</v>
      </c>
      <c r="H104" s="4"/>
      <c r="I104" s="5" t="n">
        <v>50.9934</v>
      </c>
      <c r="J104" s="4" t="n">
        <v>13.59</v>
      </c>
      <c r="K104" s="5"/>
      <c r="L104" s="6" t="n">
        <v>5.074</v>
      </c>
      <c r="M104" s="5" t="str">
        <f aca="false">IF(AND(N(K104)&gt;0,N(L104)&gt;0),K104/L104,"")</f>
        <v/>
      </c>
      <c r="N104" s="2" t="s">
        <v>329</v>
      </c>
    </row>
    <row r="105" customFormat="false" ht="15" hidden="false" customHeight="false" outlineLevel="0" collapsed="false">
      <c r="A105" s="2" t="n">
        <v>104</v>
      </c>
      <c r="B105" s="2" t="s">
        <v>330</v>
      </c>
      <c r="C105" s="2" t="s">
        <v>331</v>
      </c>
      <c r="D105" s="2"/>
      <c r="E105" s="2" t="s">
        <v>33</v>
      </c>
      <c r="F105" s="3" t="n">
        <v>0.001674</v>
      </c>
      <c r="G105" s="3" t="n">
        <f aca="false">SUM($F$2:F105)</f>
        <v>0.394748</v>
      </c>
      <c r="H105" s="4"/>
      <c r="I105" s="5"/>
      <c r="J105" s="4"/>
      <c r="K105" s="5"/>
      <c r="L105" s="6"/>
      <c r="M105" s="5" t="str">
        <f aca="false">IF(AND(N(K105)&gt;0,N(L105)&gt;0),K105/L105,"")</f>
        <v/>
      </c>
      <c r="N105" s="2" t="s">
        <v>34</v>
      </c>
    </row>
    <row r="106" customFormat="false" ht="15" hidden="false" customHeight="false" outlineLevel="0" collapsed="false">
      <c r="A106" s="2" t="n">
        <v>105</v>
      </c>
      <c r="B106" s="2" t="s">
        <v>332</v>
      </c>
      <c r="C106" s="2" t="s">
        <v>333</v>
      </c>
      <c r="D106" s="2" t="s">
        <v>47</v>
      </c>
      <c r="E106" s="2" t="s">
        <v>334</v>
      </c>
      <c r="F106" s="3" t="n">
        <v>0.001673</v>
      </c>
      <c r="G106" s="3" t="n">
        <f aca="false">SUM($F$2:F106)</f>
        <v>0.396421</v>
      </c>
      <c r="H106" s="4"/>
      <c r="I106" s="5" t="n">
        <v>4.7748</v>
      </c>
      <c r="J106" s="4" t="n">
        <v>85.69</v>
      </c>
      <c r="K106" s="5"/>
      <c r="L106" s="6"/>
      <c r="M106" s="5" t="str">
        <f aca="false">IF(AND(N(K106)&gt;0,N(L106)&gt;0),K106/L106,"")</f>
        <v/>
      </c>
      <c r="N106" s="2" t="s">
        <v>335</v>
      </c>
    </row>
    <row r="107" customFormat="false" ht="15" hidden="false" customHeight="false" outlineLevel="0" collapsed="false">
      <c r="A107" s="2" t="n">
        <v>106</v>
      </c>
      <c r="B107" s="2" t="s">
        <v>336</v>
      </c>
      <c r="C107" s="2" t="s">
        <v>337</v>
      </c>
      <c r="D107" s="2" t="s">
        <v>81</v>
      </c>
      <c r="E107" s="2" t="s">
        <v>52</v>
      </c>
      <c r="F107" s="3" t="n">
        <v>0.001665</v>
      </c>
      <c r="G107" s="3" t="n">
        <f aca="false">SUM($F$2:F107)</f>
        <v>0.398086</v>
      </c>
      <c r="H107" s="4"/>
      <c r="I107" s="5" t="n">
        <v>23.1482</v>
      </c>
      <c r="J107" s="4" t="n">
        <v>252.46</v>
      </c>
      <c r="K107" s="5"/>
      <c r="L107" s="6" t="n">
        <v>4.0674</v>
      </c>
      <c r="M107" s="5" t="str">
        <f aca="false">IF(AND(N(K107)&gt;0,N(L107)&gt;0),K107/L107,"")</f>
        <v/>
      </c>
      <c r="N107" s="2" t="s">
        <v>338</v>
      </c>
    </row>
    <row r="108" customFormat="false" ht="15" hidden="false" customHeight="false" outlineLevel="0" collapsed="false">
      <c r="A108" s="2" t="n">
        <v>107</v>
      </c>
      <c r="B108" s="2" t="s">
        <v>339</v>
      </c>
      <c r="C108" s="2" t="s">
        <v>340</v>
      </c>
      <c r="D108" s="2" t="s">
        <v>47</v>
      </c>
      <c r="E108" s="2" t="s">
        <v>296</v>
      </c>
      <c r="F108" s="3" t="n">
        <v>0.001659</v>
      </c>
      <c r="G108" s="3" t="n">
        <f aca="false">SUM($F$2:F108)</f>
        <v>0.399745</v>
      </c>
      <c r="H108" s="4" t="n">
        <v>28.32</v>
      </c>
      <c r="I108" s="5"/>
      <c r="J108" s="4"/>
      <c r="K108" s="5" t="n">
        <v>101.6372</v>
      </c>
      <c r="L108" s="6"/>
      <c r="M108" s="5" t="str">
        <f aca="false">IF(AND(N(K108)&gt;0,N(L108)&gt;0),K108/L108,"")</f>
        <v/>
      </c>
      <c r="N108" s="2" t="s">
        <v>341</v>
      </c>
    </row>
    <row r="109" customFormat="false" ht="15" hidden="false" customHeight="false" outlineLevel="0" collapsed="false">
      <c r="A109" s="2" t="n">
        <v>108</v>
      </c>
      <c r="B109" s="2" t="s">
        <v>342</v>
      </c>
      <c r="C109" s="2" t="s">
        <v>343</v>
      </c>
      <c r="D109" s="2" t="s">
        <v>74</v>
      </c>
      <c r="E109" s="2" t="s">
        <v>48</v>
      </c>
      <c r="F109" s="3" t="n">
        <v>0.001624</v>
      </c>
      <c r="G109" s="3" t="n">
        <f aca="false">SUM($F$2:F109)</f>
        <v>0.401369</v>
      </c>
      <c r="H109" s="4"/>
      <c r="I109" s="5" t="n">
        <v>21.1849</v>
      </c>
      <c r="J109" s="4" t="n">
        <v>7.79</v>
      </c>
      <c r="K109" s="5"/>
      <c r="L109" s="6" t="n">
        <v>5.6131</v>
      </c>
      <c r="M109" s="5" t="str">
        <f aca="false">IF(AND(N(K109)&gt;0,N(L109)&gt;0),K109/L109,"")</f>
        <v/>
      </c>
      <c r="N109" s="2" t="s">
        <v>344</v>
      </c>
    </row>
    <row r="110" customFormat="false" ht="15" hidden="false" customHeight="false" outlineLevel="0" collapsed="false">
      <c r="A110" s="2" t="n">
        <v>109</v>
      </c>
      <c r="B110" s="2" t="s">
        <v>345</v>
      </c>
      <c r="C110" s="2" t="s">
        <v>346</v>
      </c>
      <c r="D110" s="2" t="s">
        <v>47</v>
      </c>
      <c r="E110" s="2" t="s">
        <v>48</v>
      </c>
      <c r="F110" s="3" t="n">
        <v>0.001609</v>
      </c>
      <c r="G110" s="3" t="n">
        <f aca="false">SUM($F$2:F110)</f>
        <v>0.402978</v>
      </c>
      <c r="H110" s="4"/>
      <c r="I110" s="5" t="n">
        <v>16.9756</v>
      </c>
      <c r="J110" s="4" t="n">
        <v>3.69</v>
      </c>
      <c r="K110" s="5"/>
      <c r="L110" s="6" t="n">
        <v>3.1393</v>
      </c>
      <c r="M110" s="5" t="str">
        <f aca="false">IF(AND(N(K110)&gt;0,N(L110)&gt;0),K110/L110,"")</f>
        <v/>
      </c>
      <c r="N110" s="2" t="s">
        <v>347</v>
      </c>
    </row>
    <row r="111" customFormat="false" ht="15" hidden="false" customHeight="false" outlineLevel="0" collapsed="false">
      <c r="A111" s="2" t="n">
        <v>110</v>
      </c>
      <c r="B111" s="2" t="s">
        <v>348</v>
      </c>
      <c r="C111" s="2" t="s">
        <v>349</v>
      </c>
      <c r="D111" s="2" t="s">
        <v>81</v>
      </c>
      <c r="E111" s="2" t="s">
        <v>48</v>
      </c>
      <c r="F111" s="3" t="n">
        <v>0.001589</v>
      </c>
      <c r="G111" s="3" t="n">
        <f aca="false">SUM($F$2:F111)</f>
        <v>0.404567</v>
      </c>
      <c r="H111" s="4"/>
      <c r="I111" s="5" t="n">
        <v>11.0813</v>
      </c>
      <c r="J111" s="4" t="n">
        <v>5.41</v>
      </c>
      <c r="K111" s="5"/>
      <c r="L111" s="6" t="n">
        <v>4.7771</v>
      </c>
      <c r="M111" s="5" t="str">
        <f aca="false">IF(AND(N(K111)&gt;0,N(L111)&gt;0),K111/L111,"")</f>
        <v/>
      </c>
      <c r="N111" s="2" t="s">
        <v>350</v>
      </c>
    </row>
    <row r="112" customFormat="false" ht="15" hidden="false" customHeight="false" outlineLevel="0" collapsed="false">
      <c r="A112" s="2" t="n">
        <v>111</v>
      </c>
      <c r="B112" s="2" t="s">
        <v>351</v>
      </c>
      <c r="C112" s="2" t="s">
        <v>352</v>
      </c>
      <c r="D112" s="2" t="s">
        <v>16</v>
      </c>
      <c r="E112" s="2" t="s">
        <v>25</v>
      </c>
      <c r="F112" s="3" t="n">
        <v>0.001584</v>
      </c>
      <c r="G112" s="3" t="n">
        <f aca="false">SUM($F$2:F112)</f>
        <v>0.406151</v>
      </c>
      <c r="H112" s="4"/>
      <c r="I112" s="5"/>
      <c r="J112" s="4"/>
      <c r="K112" s="5"/>
      <c r="L112" s="6" t="n">
        <v>4.2904</v>
      </c>
      <c r="M112" s="5" t="str">
        <f aca="false">IF(AND(N(K112)&gt;0,N(L112)&gt;0),K112/L112,"")</f>
        <v/>
      </c>
      <c r="N112" s="2" t="s">
        <v>353</v>
      </c>
    </row>
    <row r="113" customFormat="false" ht="15" hidden="false" customHeight="false" outlineLevel="0" collapsed="false">
      <c r="A113" s="2" t="n">
        <v>112</v>
      </c>
      <c r="B113" s="2" t="s">
        <v>354</v>
      </c>
      <c r="C113" s="2" t="s">
        <v>355</v>
      </c>
      <c r="D113" s="2" t="s">
        <v>47</v>
      </c>
      <c r="E113" s="2" t="s">
        <v>334</v>
      </c>
      <c r="F113" s="3" t="n">
        <v>0.001527</v>
      </c>
      <c r="G113" s="3" t="n">
        <f aca="false">SUM($F$2:F113)</f>
        <v>0.407678</v>
      </c>
      <c r="H113" s="4"/>
      <c r="I113" s="5" t="n">
        <v>13.1715</v>
      </c>
      <c r="J113" s="4" t="n">
        <v>15.45</v>
      </c>
      <c r="K113" s="5"/>
      <c r="L113" s="6" t="n">
        <v>59.414</v>
      </c>
      <c r="M113" s="5" t="str">
        <f aca="false">IF(AND(N(K113)&gt;0,N(L113)&gt;0),K113/L113,"")</f>
        <v/>
      </c>
      <c r="N113" s="2" t="s">
        <v>356</v>
      </c>
    </row>
    <row r="114" customFormat="false" ht="15" hidden="false" customHeight="false" outlineLevel="0" collapsed="false">
      <c r="A114" s="2" t="n">
        <v>113</v>
      </c>
      <c r="B114" s="2" t="s">
        <v>357</v>
      </c>
      <c r="C114" s="2" t="s">
        <v>358</v>
      </c>
      <c r="D114" s="2" t="s">
        <v>74</v>
      </c>
      <c r="E114" s="2" t="s">
        <v>52</v>
      </c>
      <c r="F114" s="3" t="n">
        <v>0.001518</v>
      </c>
      <c r="G114" s="3" t="n">
        <f aca="false">SUM($F$2:F114)</f>
        <v>0.409196</v>
      </c>
      <c r="H114" s="4"/>
      <c r="I114" s="5" t="n">
        <v>25.8393</v>
      </c>
      <c r="J114" s="4" t="n">
        <v>198.38</v>
      </c>
      <c r="K114" s="5"/>
      <c r="L114" s="6" t="n">
        <v>1.7256</v>
      </c>
      <c r="M114" s="5" t="str">
        <f aca="false">IF(AND(N(K114)&gt;0,N(L114)&gt;0),K114/L114,"")</f>
        <v/>
      </c>
      <c r="N114" s="2" t="s">
        <v>359</v>
      </c>
    </row>
    <row r="115" customFormat="false" ht="15" hidden="false" customHeight="false" outlineLevel="0" collapsed="false">
      <c r="A115" s="2" t="n">
        <v>114</v>
      </c>
      <c r="B115" s="2" t="s">
        <v>360</v>
      </c>
      <c r="C115" s="2" t="s">
        <v>361</v>
      </c>
      <c r="D115" s="2"/>
      <c r="E115" s="2" t="s">
        <v>33</v>
      </c>
      <c r="F115" s="3" t="n">
        <v>0.001469</v>
      </c>
      <c r="G115" s="3" t="n">
        <f aca="false">SUM($F$2:F115)</f>
        <v>0.410665</v>
      </c>
      <c r="H115" s="4"/>
      <c r="I115" s="5"/>
      <c r="J115" s="4"/>
      <c r="K115" s="5"/>
      <c r="L115" s="6"/>
      <c r="M115" s="5" t="str">
        <f aca="false">IF(AND(N(K115)&gt;0,N(L115)&gt;0),K115/L115,"")</f>
        <v/>
      </c>
      <c r="N115" s="2" t="s">
        <v>34</v>
      </c>
    </row>
    <row r="116" customFormat="false" ht="15" hidden="false" customHeight="false" outlineLevel="0" collapsed="false">
      <c r="A116" s="2" t="n">
        <v>115</v>
      </c>
      <c r="B116" s="2" t="s">
        <v>362</v>
      </c>
      <c r="C116" s="2" t="s">
        <v>363</v>
      </c>
      <c r="D116" s="2" t="s">
        <v>67</v>
      </c>
      <c r="E116" s="2" t="s">
        <v>29</v>
      </c>
      <c r="F116" s="3" t="n">
        <v>0.001468</v>
      </c>
      <c r="G116" s="3" t="n">
        <f aca="false">SUM($F$2:F116)</f>
        <v>0.412133</v>
      </c>
      <c r="H116" s="4"/>
      <c r="I116" s="5" t="n">
        <v>25.9805</v>
      </c>
      <c r="J116" s="4" t="n">
        <v>2.05</v>
      </c>
      <c r="K116" s="5"/>
      <c r="L116" s="6" t="n">
        <v>4.0208</v>
      </c>
      <c r="M116" s="5" t="str">
        <f aca="false">IF(AND(N(K116)&gt;0,N(L116)&gt;0),K116/L116,"")</f>
        <v/>
      </c>
      <c r="N116" s="2" t="s">
        <v>364</v>
      </c>
    </row>
    <row r="117" customFormat="false" ht="15" hidden="false" customHeight="false" outlineLevel="0" collapsed="false">
      <c r="A117" s="2" t="n">
        <v>116</v>
      </c>
      <c r="B117" s="2" t="s">
        <v>365</v>
      </c>
      <c r="C117" s="2" t="s">
        <v>366</v>
      </c>
      <c r="D117" s="2" t="s">
        <v>16</v>
      </c>
      <c r="E117" s="2" t="s">
        <v>29</v>
      </c>
      <c r="F117" s="3" t="n">
        <v>0.001457</v>
      </c>
      <c r="G117" s="3" t="n">
        <f aca="false">SUM($F$2:F117)</f>
        <v>0.41359</v>
      </c>
      <c r="H117" s="4"/>
      <c r="I117" s="5" t="n">
        <v>78.25</v>
      </c>
      <c r="J117" s="4" t="n">
        <v>0.12</v>
      </c>
      <c r="K117" s="5"/>
      <c r="L117" s="6" t="n">
        <v>2.5778</v>
      </c>
      <c r="M117" s="5" t="str">
        <f aca="false">IF(AND(N(K117)&gt;0,N(L117)&gt;0),K117/L117,"")</f>
        <v/>
      </c>
      <c r="N117" s="2" t="s">
        <v>367</v>
      </c>
    </row>
    <row r="118" customFormat="false" ht="15" hidden="false" customHeight="false" outlineLevel="0" collapsed="false">
      <c r="A118" s="2" t="n">
        <v>117</v>
      </c>
      <c r="B118" s="2" t="s">
        <v>368</v>
      </c>
      <c r="C118" s="2" t="s">
        <v>369</v>
      </c>
      <c r="D118" s="2" t="s">
        <v>16</v>
      </c>
      <c r="E118" s="2" t="s">
        <v>52</v>
      </c>
      <c r="F118" s="3" t="n">
        <v>0.001456</v>
      </c>
      <c r="G118" s="3" t="n">
        <f aca="false">SUM($F$2:F118)</f>
        <v>0.415046</v>
      </c>
      <c r="H118" s="4"/>
      <c r="I118" s="5" t="n">
        <v>52.9129</v>
      </c>
      <c r="J118" s="4" t="n">
        <v>81.02</v>
      </c>
      <c r="K118" s="5"/>
      <c r="L118" s="6" t="n">
        <v>1.2251</v>
      </c>
      <c r="M118" s="5" t="str">
        <f aca="false">IF(AND(N(K118)&gt;0,N(L118)&gt;0),K118/L118,"")</f>
        <v/>
      </c>
      <c r="N118" s="2" t="s">
        <v>370</v>
      </c>
    </row>
    <row r="119" customFormat="false" ht="15" hidden="false" customHeight="false" outlineLevel="0" collapsed="false">
      <c r="A119" s="2" t="n">
        <v>118</v>
      </c>
      <c r="B119" s="2" t="s">
        <v>371</v>
      </c>
      <c r="C119" s="2" t="s">
        <v>372</v>
      </c>
      <c r="D119" s="2" t="s">
        <v>81</v>
      </c>
      <c r="E119" s="2" t="s">
        <v>48</v>
      </c>
      <c r="F119" s="3" t="n">
        <v>0.00145</v>
      </c>
      <c r="G119" s="3" t="n">
        <f aca="false">SUM($F$2:F119)</f>
        <v>0.416496</v>
      </c>
      <c r="H119" s="4"/>
      <c r="I119" s="5" t="n">
        <v>32.8764</v>
      </c>
      <c r="J119" s="4" t="n">
        <v>6.31</v>
      </c>
      <c r="K119" s="5"/>
      <c r="L119" s="6" t="n">
        <v>29.7056</v>
      </c>
      <c r="M119" s="5" t="str">
        <f aca="false">IF(AND(N(K119)&gt;0,N(L119)&gt;0),K119/L119,"")</f>
        <v/>
      </c>
      <c r="N119" s="2" t="s">
        <v>373</v>
      </c>
    </row>
    <row r="120" customFormat="false" ht="15" hidden="false" customHeight="false" outlineLevel="0" collapsed="false">
      <c r="A120" s="2" t="n">
        <v>119</v>
      </c>
      <c r="B120" s="2" t="s">
        <v>374</v>
      </c>
      <c r="C120" s="2" t="s">
        <v>375</v>
      </c>
      <c r="D120" s="2" t="s">
        <v>74</v>
      </c>
      <c r="E120" s="2" t="s">
        <v>29</v>
      </c>
      <c r="F120" s="3" t="n">
        <v>0.001438</v>
      </c>
      <c r="G120" s="3" t="n">
        <f aca="false">SUM($F$2:F120)</f>
        <v>0.417934</v>
      </c>
      <c r="H120" s="4"/>
      <c r="I120" s="5" t="n">
        <v>12.5139</v>
      </c>
      <c r="J120" s="4" t="n">
        <v>9.01</v>
      </c>
      <c r="K120" s="5"/>
      <c r="L120" s="6" t="n">
        <v>0.823</v>
      </c>
      <c r="M120" s="5" t="str">
        <f aca="false">IF(AND(N(K120)&gt;0,N(L120)&gt;0),K120/L120,"")</f>
        <v/>
      </c>
      <c r="N120" s="2" t="s">
        <v>376</v>
      </c>
    </row>
    <row r="121" customFormat="false" ht="15" hidden="false" customHeight="false" outlineLevel="0" collapsed="false">
      <c r="A121" s="2" t="n">
        <v>120</v>
      </c>
      <c r="B121" s="2" t="s">
        <v>377</v>
      </c>
      <c r="C121" s="2" t="s">
        <v>378</v>
      </c>
      <c r="D121" s="2" t="s">
        <v>42</v>
      </c>
      <c r="E121" s="2" t="s">
        <v>52</v>
      </c>
      <c r="F121" s="3" t="n">
        <v>0.001408</v>
      </c>
      <c r="G121" s="3" t="n">
        <f aca="false">SUM($F$2:F121)</f>
        <v>0.419342</v>
      </c>
      <c r="H121" s="4"/>
      <c r="I121" s="5" t="n">
        <v>22.8836</v>
      </c>
      <c r="J121" s="4" t="n">
        <v>364.41</v>
      </c>
      <c r="K121" s="5"/>
      <c r="L121" s="6" t="n">
        <v>4.2567</v>
      </c>
      <c r="M121" s="5" t="str">
        <f aca="false">IF(AND(N(K121)&gt;0,N(L121)&gt;0),K121/L121,"")</f>
        <v/>
      </c>
      <c r="N121" s="2" t="s">
        <v>379</v>
      </c>
    </row>
    <row r="122" customFormat="false" ht="15" hidden="false" customHeight="false" outlineLevel="0" collapsed="false">
      <c r="A122" s="2" t="n">
        <v>121</v>
      </c>
      <c r="B122" s="2" t="s">
        <v>380</v>
      </c>
      <c r="C122" s="2" t="s">
        <v>381</v>
      </c>
      <c r="D122" s="2" t="s">
        <v>47</v>
      </c>
      <c r="E122" s="2" t="s">
        <v>43</v>
      </c>
      <c r="F122" s="3" t="n">
        <v>0.0014</v>
      </c>
      <c r="G122" s="3" t="n">
        <f aca="false">SUM($F$2:F122)</f>
        <v>0.420742</v>
      </c>
      <c r="H122" s="4"/>
      <c r="I122" s="5" t="n">
        <v>6.3898</v>
      </c>
      <c r="J122" s="4" t="n">
        <v>1.18</v>
      </c>
      <c r="K122" s="5"/>
      <c r="L122" s="6" t="n">
        <v>3.9375</v>
      </c>
      <c r="M122" s="5" t="str">
        <f aca="false">IF(AND(N(K122)&gt;0,N(L122)&gt;0),K122/L122,"")</f>
        <v/>
      </c>
      <c r="N122" s="2" t="s">
        <v>382</v>
      </c>
    </row>
    <row r="123" customFormat="false" ht="15" hidden="false" customHeight="false" outlineLevel="0" collapsed="false">
      <c r="A123" s="2" t="n">
        <v>122</v>
      </c>
      <c r="B123" s="2" t="s">
        <v>383</v>
      </c>
      <c r="C123" s="2" t="s">
        <v>384</v>
      </c>
      <c r="D123" s="2" t="s">
        <v>101</v>
      </c>
      <c r="E123" s="2" t="s">
        <v>48</v>
      </c>
      <c r="F123" s="3" t="n">
        <v>0.001384</v>
      </c>
      <c r="G123" s="3" t="n">
        <f aca="false">SUM($F$2:F123)</f>
        <v>0.422126</v>
      </c>
      <c r="H123" s="4"/>
      <c r="I123" s="5" t="n">
        <v>24.1937</v>
      </c>
      <c r="J123" s="4" t="n">
        <v>3.51</v>
      </c>
      <c r="K123" s="5"/>
      <c r="L123" s="6" t="n">
        <v>5.6384</v>
      </c>
      <c r="M123" s="5" t="str">
        <f aca="false">IF(AND(N(K123)&gt;0,N(L123)&gt;0),K123/L123,"")</f>
        <v/>
      </c>
      <c r="N123" s="2" t="s">
        <v>385</v>
      </c>
    </row>
    <row r="124" customFormat="false" ht="15" hidden="false" customHeight="false" outlineLevel="0" collapsed="false">
      <c r="A124" s="2" t="n">
        <v>123</v>
      </c>
      <c r="B124" s="2" t="s">
        <v>386</v>
      </c>
      <c r="C124" s="2" t="s">
        <v>387</v>
      </c>
      <c r="D124" s="2" t="s">
        <v>101</v>
      </c>
      <c r="E124" s="2" t="s">
        <v>29</v>
      </c>
      <c r="F124" s="3" t="n">
        <v>0.001383</v>
      </c>
      <c r="G124" s="3" t="n">
        <f aca="false">SUM($F$2:F124)</f>
        <v>0.423509</v>
      </c>
      <c r="H124" s="4"/>
      <c r="I124" s="5" t="n">
        <v>12.0521</v>
      </c>
      <c r="J124" s="4" t="n">
        <v>1.92</v>
      </c>
      <c r="K124" s="5"/>
      <c r="L124" s="6" t="n">
        <v>0.7389</v>
      </c>
      <c r="M124" s="5" t="str">
        <f aca="false">IF(AND(N(K124)&gt;0,N(L124)&gt;0),K124/L124,"")</f>
        <v/>
      </c>
      <c r="N124" s="2" t="s">
        <v>388</v>
      </c>
    </row>
    <row r="125" customFormat="false" ht="15" hidden="false" customHeight="false" outlineLevel="0" collapsed="false">
      <c r="A125" s="2" t="n">
        <v>124</v>
      </c>
      <c r="B125" s="2" t="s">
        <v>389</v>
      </c>
      <c r="C125" s="2" t="s">
        <v>390</v>
      </c>
      <c r="D125" s="2"/>
      <c r="E125" s="2" t="s">
        <v>82</v>
      </c>
      <c r="F125" s="3" t="n">
        <v>0.001379</v>
      </c>
      <c r="G125" s="3" t="n">
        <f aca="false">SUM($F$2:F125)</f>
        <v>0.424888</v>
      </c>
      <c r="H125" s="4"/>
      <c r="I125" s="5"/>
      <c r="J125" s="4"/>
      <c r="K125" s="5"/>
      <c r="L125" s="6"/>
      <c r="M125" s="5" t="str">
        <f aca="false">IF(AND(N(K125)&gt;0,N(L125)&gt;0),K125/L125,"")</f>
        <v/>
      </c>
      <c r="N125" s="2" t="s">
        <v>391</v>
      </c>
    </row>
    <row r="126" customFormat="false" ht="15" hidden="false" customHeight="false" outlineLevel="0" collapsed="false">
      <c r="A126" s="2" t="n">
        <v>125</v>
      </c>
      <c r="B126" s="2" t="s">
        <v>392</v>
      </c>
      <c r="C126" s="2" t="s">
        <v>393</v>
      </c>
      <c r="D126" s="2" t="s">
        <v>47</v>
      </c>
      <c r="E126" s="2" t="s">
        <v>199</v>
      </c>
      <c r="F126" s="3" t="n">
        <v>0.00137</v>
      </c>
      <c r="G126" s="3" t="n">
        <f aca="false">SUM($F$2:F126)</f>
        <v>0.426258</v>
      </c>
      <c r="H126" s="4"/>
      <c r="I126" s="5" t="n">
        <v>25.393</v>
      </c>
      <c r="J126" s="4" t="n">
        <v>15.65</v>
      </c>
      <c r="K126" s="5"/>
      <c r="L126" s="6" t="n">
        <v>15.953</v>
      </c>
      <c r="M126" s="5" t="str">
        <f aca="false">IF(AND(N(K126)&gt;0,N(L126)&gt;0),K126/L126,"")</f>
        <v/>
      </c>
      <c r="N126" s="2" t="s">
        <v>394</v>
      </c>
    </row>
    <row r="127" customFormat="false" ht="15" hidden="false" customHeight="false" outlineLevel="0" collapsed="false">
      <c r="A127" s="2" t="n">
        <v>126</v>
      </c>
      <c r="B127" s="2" t="s">
        <v>395</v>
      </c>
      <c r="C127" s="2" t="s">
        <v>396</v>
      </c>
      <c r="D127" s="2" t="s">
        <v>37</v>
      </c>
      <c r="E127" s="2" t="s">
        <v>82</v>
      </c>
      <c r="F127" s="3" t="n">
        <v>0.00136</v>
      </c>
      <c r="G127" s="3" t="n">
        <f aca="false">SUM($F$2:F127)</f>
        <v>0.427618</v>
      </c>
      <c r="H127" s="4"/>
      <c r="I127" s="5"/>
      <c r="J127" s="4" t="n">
        <v>-7.51</v>
      </c>
      <c r="K127" s="5"/>
      <c r="L127" s="6" t="n">
        <v>5.4899</v>
      </c>
      <c r="M127" s="5" t="str">
        <f aca="false">IF(AND(N(K127)&gt;0,N(L127)&gt;0),K127/L127,"")</f>
        <v/>
      </c>
      <c r="N127" s="2" t="s">
        <v>397</v>
      </c>
    </row>
    <row r="128" customFormat="false" ht="15" hidden="false" customHeight="false" outlineLevel="0" collapsed="false">
      <c r="A128" s="2" t="n">
        <v>127</v>
      </c>
      <c r="B128" s="2" t="s">
        <v>398</v>
      </c>
      <c r="C128" s="2" t="s">
        <v>399</v>
      </c>
      <c r="D128" s="2" t="s">
        <v>47</v>
      </c>
      <c r="E128" s="2" t="s">
        <v>29</v>
      </c>
      <c r="F128" s="3" t="n">
        <v>0.001359</v>
      </c>
      <c r="G128" s="3" t="n">
        <f aca="false">SUM($F$2:F128)</f>
        <v>0.428977</v>
      </c>
      <c r="H128" s="4"/>
      <c r="I128" s="5" t="n">
        <v>9.7214</v>
      </c>
      <c r="J128" s="4" t="n">
        <v>7.61</v>
      </c>
      <c r="K128" s="5"/>
      <c r="L128" s="6" t="n">
        <v>2.0575</v>
      </c>
      <c r="M128" s="5" t="str">
        <f aca="false">IF(AND(N(K128)&gt;0,N(L128)&gt;0),K128/L128,"")</f>
        <v/>
      </c>
      <c r="N128" s="2" t="s">
        <v>400</v>
      </c>
    </row>
    <row r="129" customFormat="false" ht="15" hidden="false" customHeight="false" outlineLevel="0" collapsed="false">
      <c r="A129" s="2" t="n">
        <v>128</v>
      </c>
      <c r="B129" s="2" t="s">
        <v>401</v>
      </c>
      <c r="C129" s="2" t="s">
        <v>402</v>
      </c>
      <c r="D129" s="2" t="s">
        <v>37</v>
      </c>
      <c r="E129" s="2" t="s">
        <v>52</v>
      </c>
      <c r="F129" s="3" t="n">
        <v>0.001353</v>
      </c>
      <c r="G129" s="3" t="n">
        <f aca="false">SUM($F$2:F129)</f>
        <v>0.43033</v>
      </c>
      <c r="H129" s="4"/>
      <c r="I129" s="5"/>
      <c r="J129" s="4" t="n">
        <v>-104.44</v>
      </c>
      <c r="K129" s="5"/>
      <c r="L129" s="6" t="n">
        <v>2.0631</v>
      </c>
      <c r="M129" s="5" t="str">
        <f aca="false">IF(AND(N(K129)&gt;0,N(L129)&gt;0),K129/L129,"")</f>
        <v/>
      </c>
      <c r="N129" s="2" t="s">
        <v>403</v>
      </c>
    </row>
    <row r="130" customFormat="false" ht="15" hidden="false" customHeight="false" outlineLevel="0" collapsed="false">
      <c r="A130" s="2" t="n">
        <v>129</v>
      </c>
      <c r="B130" s="2" t="s">
        <v>404</v>
      </c>
      <c r="C130" s="2" t="s">
        <v>405</v>
      </c>
      <c r="D130" s="2" t="s">
        <v>37</v>
      </c>
      <c r="E130" s="2" t="s">
        <v>29</v>
      </c>
      <c r="F130" s="3" t="n">
        <v>0.00135</v>
      </c>
      <c r="G130" s="3" t="n">
        <f aca="false">SUM($F$2:F130)</f>
        <v>0.43168</v>
      </c>
      <c r="H130" s="4"/>
      <c r="I130" s="5" t="n">
        <v>37.88</v>
      </c>
      <c r="J130" s="4" t="n">
        <v>22.83</v>
      </c>
      <c r="K130" s="5"/>
      <c r="L130" s="6" t="n">
        <v>10.1176</v>
      </c>
      <c r="M130" s="5" t="str">
        <f aca="false">IF(AND(N(K130)&gt;0,N(L130)&gt;0),K130/L130,"")</f>
        <v/>
      </c>
      <c r="N130" s="2" t="s">
        <v>406</v>
      </c>
    </row>
    <row r="131" customFormat="false" ht="15" hidden="false" customHeight="false" outlineLevel="0" collapsed="false">
      <c r="A131" s="2" t="n">
        <v>130</v>
      </c>
      <c r="B131" s="2" t="s">
        <v>407</v>
      </c>
      <c r="C131" s="2" t="s">
        <v>408</v>
      </c>
      <c r="D131" s="2" t="s">
        <v>16</v>
      </c>
      <c r="E131" s="2" t="s">
        <v>296</v>
      </c>
      <c r="F131" s="3" t="n">
        <v>0.001331</v>
      </c>
      <c r="G131" s="3" t="n">
        <f aca="false">SUM($F$2:F131)</f>
        <v>0.433011</v>
      </c>
      <c r="H131" s="4" t="n">
        <v>25.43</v>
      </c>
      <c r="I131" s="5"/>
      <c r="J131" s="4"/>
      <c r="K131" s="5" t="n">
        <v>63.7761</v>
      </c>
      <c r="L131" s="6"/>
      <c r="M131" s="5" t="str">
        <f aca="false">IF(AND(N(K131)&gt;0,N(L131)&gt;0),K131/L131,"")</f>
        <v/>
      </c>
      <c r="N131" s="2" t="s">
        <v>409</v>
      </c>
    </row>
    <row r="132" customFormat="false" ht="15" hidden="false" customHeight="false" outlineLevel="0" collapsed="false">
      <c r="A132" s="2" t="n">
        <v>131</v>
      </c>
      <c r="B132" s="2" t="s">
        <v>410</v>
      </c>
      <c r="C132" s="2" t="s">
        <v>411</v>
      </c>
      <c r="D132" s="2" t="s">
        <v>74</v>
      </c>
      <c r="E132" s="2" t="s">
        <v>52</v>
      </c>
      <c r="F132" s="3" t="n">
        <v>0.001331</v>
      </c>
      <c r="G132" s="3" t="n">
        <f aca="false">SUM($F$2:F132)</f>
        <v>0.434342</v>
      </c>
      <c r="H132" s="4"/>
      <c r="I132" s="5" t="n">
        <v>14.4095</v>
      </c>
      <c r="J132" s="4" t="n">
        <v>124.64</v>
      </c>
      <c r="K132" s="5"/>
      <c r="L132" s="6" t="n">
        <v>1.1321</v>
      </c>
      <c r="M132" s="5" t="str">
        <f aca="false">IF(AND(N(K132)&gt;0,N(L132)&gt;0),K132/L132,"")</f>
        <v/>
      </c>
      <c r="N132" s="2" t="s">
        <v>412</v>
      </c>
    </row>
    <row r="133" customFormat="false" ht="15" hidden="false" customHeight="false" outlineLevel="0" collapsed="false">
      <c r="A133" s="2" t="n">
        <v>132</v>
      </c>
      <c r="B133" s="2" t="s">
        <v>413</v>
      </c>
      <c r="C133" s="2" t="s">
        <v>414</v>
      </c>
      <c r="D133" s="2" t="s">
        <v>74</v>
      </c>
      <c r="E133" s="2" t="s">
        <v>29</v>
      </c>
      <c r="F133" s="3" t="n">
        <v>0.001329</v>
      </c>
      <c r="G133" s="3" t="n">
        <f aca="false">SUM($F$2:F133)</f>
        <v>0.435671</v>
      </c>
      <c r="H133" s="4"/>
      <c r="I133" s="5" t="n">
        <v>17.8171</v>
      </c>
      <c r="J133" s="4" t="n">
        <v>3.28</v>
      </c>
      <c r="K133" s="5"/>
      <c r="L133" s="6" t="n">
        <v>0.758</v>
      </c>
      <c r="M133" s="5" t="str">
        <f aca="false">IF(AND(N(K133)&gt;0,N(L133)&gt;0),K133/L133,"")</f>
        <v/>
      </c>
      <c r="N133" s="2" t="s">
        <v>415</v>
      </c>
    </row>
    <row r="134" customFormat="false" ht="15" hidden="false" customHeight="false" outlineLevel="0" collapsed="false">
      <c r="A134" s="2" t="n">
        <v>133</v>
      </c>
      <c r="B134" s="2" t="s">
        <v>416</v>
      </c>
      <c r="C134" s="2" t="s">
        <v>417</v>
      </c>
      <c r="D134" s="2" t="s">
        <v>47</v>
      </c>
      <c r="E134" s="2" t="s">
        <v>29</v>
      </c>
      <c r="F134" s="3" t="n">
        <v>0.001325</v>
      </c>
      <c r="G134" s="3" t="n">
        <f aca="false">SUM($F$2:F134)</f>
        <v>0.436996</v>
      </c>
      <c r="H134" s="4"/>
      <c r="I134" s="5" t="n">
        <v>24.3658</v>
      </c>
      <c r="J134" s="4" t="n">
        <v>11.59</v>
      </c>
      <c r="K134" s="5"/>
      <c r="L134" s="6" t="n">
        <v>6.5703</v>
      </c>
      <c r="M134" s="5" t="str">
        <f aca="false">IF(AND(N(K134)&gt;0,N(L134)&gt;0),K134/L134,"")</f>
        <v/>
      </c>
      <c r="N134" s="2" t="s">
        <v>418</v>
      </c>
    </row>
    <row r="135" customFormat="false" ht="15" hidden="false" customHeight="false" outlineLevel="0" collapsed="false">
      <c r="A135" s="2" t="n">
        <v>134</v>
      </c>
      <c r="B135" s="2" t="s">
        <v>419</v>
      </c>
      <c r="C135" s="2" t="s">
        <v>420</v>
      </c>
      <c r="D135" s="2" t="s">
        <v>47</v>
      </c>
      <c r="E135" s="2" t="s">
        <v>17</v>
      </c>
      <c r="F135" s="3" t="n">
        <v>0.001322</v>
      </c>
      <c r="G135" s="3" t="n">
        <f aca="false">SUM($F$2:F135)</f>
        <v>0.438318</v>
      </c>
      <c r="H135" s="4"/>
      <c r="I135" s="5" t="n">
        <v>17.1429</v>
      </c>
      <c r="J135" s="4" t="n">
        <v>4.06</v>
      </c>
      <c r="K135" s="5"/>
      <c r="L135" s="6" t="n">
        <v>2.4896</v>
      </c>
      <c r="M135" s="5" t="str">
        <f aca="false">IF(AND(N(K135)&gt;0,N(L135)&gt;0),K135/L135,"")</f>
        <v/>
      </c>
      <c r="N135" s="2" t="s">
        <v>421</v>
      </c>
    </row>
    <row r="136" customFormat="false" ht="15" hidden="false" customHeight="false" outlineLevel="0" collapsed="false">
      <c r="A136" s="2" t="n">
        <v>135</v>
      </c>
      <c r="B136" s="2" t="s">
        <v>422</v>
      </c>
      <c r="C136" s="2" t="s">
        <v>423</v>
      </c>
      <c r="D136" s="2" t="s">
        <v>47</v>
      </c>
      <c r="E136" s="2" t="s">
        <v>48</v>
      </c>
      <c r="F136" s="3" t="n">
        <v>0.001311</v>
      </c>
      <c r="G136" s="3" t="n">
        <f aca="false">SUM($F$2:F136)</f>
        <v>0.439629</v>
      </c>
      <c r="H136" s="4"/>
      <c r="I136" s="5" t="n">
        <v>17.9482</v>
      </c>
      <c r="J136" s="4" t="n">
        <v>11.97</v>
      </c>
      <c r="K136" s="5"/>
      <c r="L136" s="6" t="n">
        <v>5.6736</v>
      </c>
      <c r="M136" s="5" t="str">
        <f aca="false">IF(AND(N(K136)&gt;0,N(L136)&gt;0),K136/L136,"")</f>
        <v/>
      </c>
      <c r="N136" s="2" t="s">
        <v>424</v>
      </c>
    </row>
    <row r="137" customFormat="false" ht="15" hidden="false" customHeight="false" outlineLevel="0" collapsed="false">
      <c r="A137" s="2" t="n">
        <v>136</v>
      </c>
      <c r="B137" s="2" t="s">
        <v>425</v>
      </c>
      <c r="C137" s="2" t="s">
        <v>426</v>
      </c>
      <c r="D137" s="2" t="s">
        <v>67</v>
      </c>
      <c r="E137" s="2" t="s">
        <v>82</v>
      </c>
      <c r="F137" s="3" t="n">
        <v>0.001306</v>
      </c>
      <c r="G137" s="3" t="n">
        <f aca="false">SUM($F$2:F137)</f>
        <v>0.440935</v>
      </c>
      <c r="H137" s="4"/>
      <c r="I137" s="5" t="n">
        <v>28.8661</v>
      </c>
      <c r="J137" s="4" t="n">
        <v>2.54</v>
      </c>
      <c r="K137" s="5"/>
      <c r="L137" s="6" t="n">
        <v>1.7608</v>
      </c>
      <c r="M137" s="5" t="str">
        <f aca="false">IF(AND(N(K137)&gt;0,N(L137)&gt;0),K137/L137,"")</f>
        <v/>
      </c>
      <c r="N137" s="2" t="s">
        <v>427</v>
      </c>
    </row>
    <row r="138" customFormat="false" ht="15" hidden="false" customHeight="false" outlineLevel="0" collapsed="false">
      <c r="A138" s="2" t="n">
        <v>137</v>
      </c>
      <c r="B138" s="2" t="s">
        <v>428</v>
      </c>
      <c r="C138" s="2" t="s">
        <v>429</v>
      </c>
      <c r="D138" s="2" t="s">
        <v>47</v>
      </c>
      <c r="E138" s="2" t="s">
        <v>29</v>
      </c>
      <c r="F138" s="3" t="n">
        <v>0.00127</v>
      </c>
      <c r="G138" s="3" t="n">
        <f aca="false">SUM($F$2:F138)</f>
        <v>0.442205</v>
      </c>
      <c r="H138" s="4"/>
      <c r="I138" s="5" t="n">
        <v>15.744</v>
      </c>
      <c r="J138" s="4" t="n">
        <v>0.84</v>
      </c>
      <c r="K138" s="5"/>
      <c r="L138" s="6" t="n">
        <v>5.8384</v>
      </c>
      <c r="M138" s="5" t="str">
        <f aca="false">IF(AND(N(K138)&gt;0,N(L138)&gt;0),K138/L138,"")</f>
        <v/>
      </c>
      <c r="N138" s="2" t="s">
        <v>430</v>
      </c>
    </row>
    <row r="139" customFormat="false" ht="15" hidden="false" customHeight="false" outlineLevel="0" collapsed="false">
      <c r="A139" s="2" t="n">
        <v>138</v>
      </c>
      <c r="B139" s="2" t="s">
        <v>431</v>
      </c>
      <c r="C139" s="2" t="s">
        <v>432</v>
      </c>
      <c r="D139" s="2" t="s">
        <v>16</v>
      </c>
      <c r="E139" s="2" t="s">
        <v>25</v>
      </c>
      <c r="F139" s="3" t="n">
        <v>0.001252</v>
      </c>
      <c r="G139" s="3" t="n">
        <f aca="false">SUM($F$2:F139)</f>
        <v>0.443457</v>
      </c>
      <c r="H139" s="4"/>
      <c r="I139" s="5"/>
      <c r="J139" s="4"/>
      <c r="K139" s="5"/>
      <c r="L139" s="6" t="n">
        <v>9.0117</v>
      </c>
      <c r="M139" s="5" t="str">
        <f aca="false">IF(AND(N(K139)&gt;0,N(L139)&gt;0),K139/L139,"")</f>
        <v/>
      </c>
      <c r="N139" s="2" t="s">
        <v>433</v>
      </c>
    </row>
    <row r="140" customFormat="false" ht="15" hidden="false" customHeight="false" outlineLevel="0" collapsed="false">
      <c r="A140" s="2" t="n">
        <v>139</v>
      </c>
      <c r="B140" s="2" t="s">
        <v>434</v>
      </c>
      <c r="C140" s="2" t="s">
        <v>435</v>
      </c>
      <c r="D140" s="2" t="s">
        <v>42</v>
      </c>
      <c r="E140" s="2" t="s">
        <v>289</v>
      </c>
      <c r="F140" s="3" t="n">
        <v>0.001247</v>
      </c>
      <c r="G140" s="3" t="n">
        <f aca="false">SUM($F$2:F140)</f>
        <v>0.444704</v>
      </c>
      <c r="H140" s="4"/>
      <c r="I140" s="5" t="n">
        <v>38.0364</v>
      </c>
      <c r="J140" s="4" t="n">
        <v>47.77</v>
      </c>
      <c r="K140" s="5"/>
      <c r="L140" s="6" t="n">
        <v>5.1514</v>
      </c>
      <c r="M140" s="5" t="str">
        <f aca="false">IF(AND(N(K140)&gt;0,N(L140)&gt;0),K140/L140,"")</f>
        <v/>
      </c>
      <c r="N140" s="2" t="s">
        <v>436</v>
      </c>
    </row>
    <row r="141" customFormat="false" ht="15" hidden="false" customHeight="false" outlineLevel="0" collapsed="false">
      <c r="A141" s="2" t="n">
        <v>140</v>
      </c>
      <c r="B141" s="2" t="s">
        <v>437</v>
      </c>
      <c r="C141" s="2" t="s">
        <v>438</v>
      </c>
      <c r="D141" s="2" t="s">
        <v>47</v>
      </c>
      <c r="E141" s="2" t="s">
        <v>29</v>
      </c>
      <c r="F141" s="3" t="n">
        <v>0.001235</v>
      </c>
      <c r="G141" s="3" t="n">
        <f aca="false">SUM($F$2:F141)</f>
        <v>0.445939</v>
      </c>
      <c r="H141" s="4"/>
      <c r="I141" s="5" t="n">
        <v>15.2814</v>
      </c>
      <c r="J141" s="4" t="n">
        <v>2.95</v>
      </c>
      <c r="K141" s="5"/>
      <c r="L141" s="6" t="n">
        <v>1.1466</v>
      </c>
      <c r="M141" s="5" t="str">
        <f aca="false">IF(AND(N(K141)&gt;0,N(L141)&gt;0),K141/L141,"")</f>
        <v/>
      </c>
      <c r="N141" s="2" t="s">
        <v>439</v>
      </c>
    </row>
    <row r="142" customFormat="false" ht="15" hidden="false" customHeight="false" outlineLevel="0" collapsed="false">
      <c r="A142" s="2" t="n">
        <v>141</v>
      </c>
      <c r="B142" s="2" t="s">
        <v>440</v>
      </c>
      <c r="C142" s="2" t="s">
        <v>441</v>
      </c>
      <c r="D142" s="2"/>
      <c r="E142" s="2" t="s">
        <v>33</v>
      </c>
      <c r="F142" s="3" t="n">
        <v>0.001235</v>
      </c>
      <c r="G142" s="3" t="n">
        <f aca="false">SUM($F$2:F142)</f>
        <v>0.447174</v>
      </c>
      <c r="H142" s="4"/>
      <c r="I142" s="5"/>
      <c r="J142" s="4"/>
      <c r="K142" s="5"/>
      <c r="L142" s="6"/>
      <c r="M142" s="5" t="str">
        <f aca="false">IF(AND(N(K142)&gt;0,N(L142)&gt;0),K142/L142,"")</f>
        <v/>
      </c>
      <c r="N142" s="2" t="s">
        <v>34</v>
      </c>
    </row>
    <row r="143" customFormat="false" ht="15" hidden="false" customHeight="false" outlineLevel="0" collapsed="false">
      <c r="A143" s="2" t="n">
        <v>142</v>
      </c>
      <c r="B143" s="2" t="s">
        <v>442</v>
      </c>
      <c r="C143" s="2" t="s">
        <v>443</v>
      </c>
      <c r="D143" s="2" t="s">
        <v>42</v>
      </c>
      <c r="E143" s="2" t="s">
        <v>52</v>
      </c>
      <c r="F143" s="3" t="n">
        <v>0.001231</v>
      </c>
      <c r="G143" s="3" t="n">
        <f aca="false">SUM($F$2:F143)</f>
        <v>0.448405</v>
      </c>
      <c r="H143" s="4"/>
      <c r="I143" s="5" t="n">
        <v>16.6667</v>
      </c>
      <c r="J143" s="4" t="n">
        <v>183.6</v>
      </c>
      <c r="K143" s="5"/>
      <c r="L143" s="6" t="n">
        <v>1.8409</v>
      </c>
      <c r="M143" s="5" t="str">
        <f aca="false">IF(AND(N(K143)&gt;0,N(L143)&gt;0),K143/L143,"")</f>
        <v/>
      </c>
      <c r="N143" s="2" t="s">
        <v>444</v>
      </c>
    </row>
    <row r="144" customFormat="false" ht="15" hidden="false" customHeight="false" outlineLevel="0" collapsed="false">
      <c r="A144" s="2" t="n">
        <v>143</v>
      </c>
      <c r="B144" s="2" t="s">
        <v>445</v>
      </c>
      <c r="C144" s="2" t="s">
        <v>446</v>
      </c>
      <c r="D144" s="2" t="s">
        <v>47</v>
      </c>
      <c r="E144" s="2" t="s">
        <v>25</v>
      </c>
      <c r="F144" s="3" t="n">
        <v>0.001219</v>
      </c>
      <c r="G144" s="3" t="n">
        <f aca="false">SUM($F$2:F144)</f>
        <v>0.449624</v>
      </c>
      <c r="H144" s="4"/>
      <c r="I144" s="5"/>
      <c r="J144" s="4"/>
      <c r="K144" s="5"/>
      <c r="L144" s="6" t="n">
        <v>3.5871</v>
      </c>
      <c r="M144" s="5" t="str">
        <f aca="false">IF(AND(N(K144)&gt;0,N(L144)&gt;0),K144/L144,"")</f>
        <v/>
      </c>
      <c r="N144" s="2" t="s">
        <v>447</v>
      </c>
    </row>
    <row r="145" customFormat="false" ht="15" hidden="false" customHeight="false" outlineLevel="0" collapsed="false">
      <c r="A145" s="2" t="n">
        <v>144</v>
      </c>
      <c r="B145" s="2" t="s">
        <v>448</v>
      </c>
      <c r="C145" s="2" t="s">
        <v>449</v>
      </c>
      <c r="D145" s="2" t="s">
        <v>47</v>
      </c>
      <c r="E145" s="2" t="s">
        <v>52</v>
      </c>
      <c r="F145" s="3" t="n">
        <v>0.001215</v>
      </c>
      <c r="G145" s="3" t="n">
        <f aca="false">SUM($F$2:F145)</f>
        <v>0.450839</v>
      </c>
      <c r="H145" s="4"/>
      <c r="I145" s="5" t="n">
        <v>15.7723</v>
      </c>
      <c r="J145" s="4" t="n">
        <v>121.32</v>
      </c>
      <c r="K145" s="5"/>
      <c r="L145" s="6" t="n">
        <v>0.6006</v>
      </c>
      <c r="M145" s="5" t="str">
        <f aca="false">IF(AND(N(K145)&gt;0,N(L145)&gt;0),K145/L145,"")</f>
        <v/>
      </c>
      <c r="N145" s="2" t="s">
        <v>450</v>
      </c>
    </row>
    <row r="146" customFormat="false" ht="15" hidden="false" customHeight="false" outlineLevel="0" collapsed="false">
      <c r="A146" s="2" t="n">
        <v>145</v>
      </c>
      <c r="B146" s="2" t="s">
        <v>451</v>
      </c>
      <c r="C146" s="2" t="s">
        <v>452</v>
      </c>
      <c r="D146" s="2" t="s">
        <v>47</v>
      </c>
      <c r="E146" s="2" t="s">
        <v>43</v>
      </c>
      <c r="F146" s="3" t="n">
        <v>0.001207</v>
      </c>
      <c r="G146" s="3" t="n">
        <f aca="false">SUM($F$2:F146)</f>
        <v>0.452046</v>
      </c>
      <c r="H146" s="4"/>
      <c r="I146" s="5" t="n">
        <v>6.9195</v>
      </c>
      <c r="J146" s="4" t="n">
        <v>0.87</v>
      </c>
      <c r="K146" s="5"/>
      <c r="L146" s="6" t="n">
        <v>3.3788</v>
      </c>
      <c r="M146" s="5" t="str">
        <f aca="false">IF(AND(N(K146)&gt;0,N(L146)&gt;0),K146/L146,"")</f>
        <v/>
      </c>
      <c r="N146" s="2" t="s">
        <v>453</v>
      </c>
    </row>
    <row r="147" customFormat="false" ht="15" hidden="false" customHeight="false" outlineLevel="0" collapsed="false">
      <c r="A147" s="2" t="n">
        <v>146</v>
      </c>
      <c r="B147" s="2" t="s">
        <v>454</v>
      </c>
      <c r="C147" s="2" t="s">
        <v>455</v>
      </c>
      <c r="D147" s="2" t="s">
        <v>37</v>
      </c>
      <c r="E147" s="2" t="s">
        <v>52</v>
      </c>
      <c r="F147" s="3" t="n">
        <v>0.001201</v>
      </c>
      <c r="G147" s="3" t="n">
        <f aca="false">SUM($F$2:F147)</f>
        <v>0.453247</v>
      </c>
      <c r="H147" s="4"/>
      <c r="I147" s="5" t="n">
        <v>30.3953</v>
      </c>
      <c r="J147" s="4" t="n">
        <v>743.7</v>
      </c>
      <c r="K147" s="5"/>
      <c r="L147" s="6" t="n">
        <v>7.6656</v>
      </c>
      <c r="M147" s="5" t="str">
        <f aca="false">IF(AND(N(K147)&gt;0,N(L147)&gt;0),K147/L147,"")</f>
        <v/>
      </c>
      <c r="N147" s="2" t="s">
        <v>456</v>
      </c>
    </row>
    <row r="148" customFormat="false" ht="15" hidden="false" customHeight="false" outlineLevel="0" collapsed="false">
      <c r="A148" s="2" t="n">
        <v>147</v>
      </c>
      <c r="B148" s="2" t="s">
        <v>457</v>
      </c>
      <c r="C148" s="2" t="s">
        <v>458</v>
      </c>
      <c r="D148" s="2" t="s">
        <v>67</v>
      </c>
      <c r="E148" s="2" t="s">
        <v>29</v>
      </c>
      <c r="F148" s="3" t="n">
        <v>0.001189</v>
      </c>
      <c r="G148" s="3" t="n">
        <f aca="false">SUM($F$2:F148)</f>
        <v>0.454436</v>
      </c>
      <c r="H148" s="4"/>
      <c r="I148" s="5" t="n">
        <v>8.33</v>
      </c>
      <c r="J148" s="4" t="n">
        <v>4.56</v>
      </c>
      <c r="K148" s="5"/>
      <c r="L148" s="6" t="n">
        <v>8.1888</v>
      </c>
      <c r="M148" s="5" t="str">
        <f aca="false">IF(AND(N(K148)&gt;0,N(L148)&gt;0),K148/L148,"")</f>
        <v/>
      </c>
      <c r="N148" s="2" t="s">
        <v>459</v>
      </c>
    </row>
    <row r="149" customFormat="false" ht="15" hidden="false" customHeight="false" outlineLevel="0" collapsed="false">
      <c r="A149" s="2" t="n">
        <v>148</v>
      </c>
      <c r="B149" s="2" t="s">
        <v>460</v>
      </c>
      <c r="C149" s="2" t="s">
        <v>461</v>
      </c>
      <c r="D149" s="2" t="s">
        <v>16</v>
      </c>
      <c r="E149" s="2" t="s">
        <v>43</v>
      </c>
      <c r="F149" s="3" t="n">
        <v>0.001177</v>
      </c>
      <c r="G149" s="3" t="n">
        <f aca="false">SUM($F$2:F149)</f>
        <v>0.455613</v>
      </c>
      <c r="H149" s="4"/>
      <c r="I149" s="5" t="n">
        <v>19.021</v>
      </c>
      <c r="J149" s="4" t="n">
        <v>1.43</v>
      </c>
      <c r="K149" s="5"/>
      <c r="L149" s="6" t="n">
        <v>1.5972</v>
      </c>
      <c r="M149" s="5" t="str">
        <f aca="false">IF(AND(N(K149)&gt;0,N(L149)&gt;0),K149/L149,"")</f>
        <v/>
      </c>
      <c r="N149" s="2" t="s">
        <v>462</v>
      </c>
    </row>
    <row r="150" customFormat="false" ht="15" hidden="false" customHeight="false" outlineLevel="0" collapsed="false">
      <c r="A150" s="2" t="n">
        <v>149</v>
      </c>
      <c r="B150" s="2" t="s">
        <v>463</v>
      </c>
      <c r="C150" s="2" t="s">
        <v>464</v>
      </c>
      <c r="D150" s="2" t="s">
        <v>37</v>
      </c>
      <c r="E150" s="2" t="s">
        <v>29</v>
      </c>
      <c r="F150" s="3" t="n">
        <v>0.001177</v>
      </c>
      <c r="G150" s="3" t="n">
        <f aca="false">SUM($F$2:F150)</f>
        <v>0.45679</v>
      </c>
      <c r="H150" s="4"/>
      <c r="I150" s="5"/>
      <c r="J150" s="4" t="n">
        <v>-1.76</v>
      </c>
      <c r="K150" s="5"/>
      <c r="L150" s="6" t="n">
        <v>1.0635</v>
      </c>
      <c r="M150" s="5" t="str">
        <f aca="false">IF(AND(N(K150)&gt;0,N(L150)&gt;0),K150/L150,"")</f>
        <v/>
      </c>
      <c r="N150" s="2" t="s">
        <v>465</v>
      </c>
    </row>
    <row r="151" customFormat="false" ht="15" hidden="false" customHeight="false" outlineLevel="0" collapsed="false">
      <c r="A151" s="2" t="n">
        <v>150</v>
      </c>
      <c r="B151" s="2" t="s">
        <v>466</v>
      </c>
      <c r="C151" s="2" t="s">
        <v>467</v>
      </c>
      <c r="D151" s="2" t="s">
        <v>74</v>
      </c>
      <c r="E151" s="2" t="s">
        <v>29</v>
      </c>
      <c r="F151" s="3" t="n">
        <v>0.001166</v>
      </c>
      <c r="G151" s="3" t="n">
        <f aca="false">SUM($F$2:F151)</f>
        <v>0.457956</v>
      </c>
      <c r="H151" s="4"/>
      <c r="I151" s="5" t="n">
        <v>38.751</v>
      </c>
      <c r="J151" s="4" t="n">
        <v>26.1</v>
      </c>
      <c r="K151" s="5"/>
      <c r="L151" s="6" t="n">
        <v>4.1356</v>
      </c>
      <c r="M151" s="5" t="str">
        <f aca="false">IF(AND(N(K151)&gt;0,N(L151)&gt;0),K151/L151,"")</f>
        <v/>
      </c>
      <c r="N151" s="2" t="s">
        <v>468</v>
      </c>
    </row>
    <row r="152" customFormat="false" ht="15" hidden="false" customHeight="false" outlineLevel="0" collapsed="false">
      <c r="A152" s="2" t="n">
        <v>151</v>
      </c>
      <c r="B152" s="2" t="s">
        <v>469</v>
      </c>
      <c r="C152" s="2" t="s">
        <v>470</v>
      </c>
      <c r="D152" s="2" t="s">
        <v>42</v>
      </c>
      <c r="E152" s="2" t="s">
        <v>21</v>
      </c>
      <c r="F152" s="3" t="n">
        <v>0.001164</v>
      </c>
      <c r="G152" s="3" t="n">
        <f aca="false">SUM($F$2:F152)</f>
        <v>0.45912</v>
      </c>
      <c r="H152" s="4" t="n">
        <v>232.8</v>
      </c>
      <c r="I152" s="5"/>
      <c r="J152" s="4" t="n">
        <v>-0.07</v>
      </c>
      <c r="K152" s="5" t="n">
        <v>63.2879</v>
      </c>
      <c r="L152" s="6" t="n">
        <v>46.7035</v>
      </c>
      <c r="M152" s="5" t="n">
        <f aca="false">IF(AND(N(K152)&gt;0,N(L152)&gt;0),K152/L152,"")</f>
        <v>1.35509972486002</v>
      </c>
      <c r="N152" s="2" t="s">
        <v>471</v>
      </c>
    </row>
    <row r="153" customFormat="false" ht="15" hidden="false" customHeight="false" outlineLevel="0" collapsed="false">
      <c r="A153" s="2" t="n">
        <v>152</v>
      </c>
      <c r="B153" s="2" t="s">
        <v>472</v>
      </c>
      <c r="C153" s="2" t="s">
        <v>473</v>
      </c>
      <c r="D153" s="2" t="s">
        <v>74</v>
      </c>
      <c r="E153" s="2" t="s">
        <v>52</v>
      </c>
      <c r="F153" s="3" t="n">
        <v>0.00116</v>
      </c>
      <c r="G153" s="3" t="n">
        <f aca="false">SUM($F$2:F153)</f>
        <v>0.46028</v>
      </c>
      <c r="H153" s="4"/>
      <c r="I153" s="5" t="n">
        <v>52.0825</v>
      </c>
      <c r="J153" s="4" t="n">
        <v>95.08</v>
      </c>
      <c r="K153" s="5"/>
      <c r="L153" s="6" t="n">
        <v>6.2281</v>
      </c>
      <c r="M153" s="5" t="str">
        <f aca="false">IF(AND(N(K153)&gt;0,N(L153)&gt;0),K153/L153,"")</f>
        <v/>
      </c>
      <c r="N153" s="2" t="s">
        <v>474</v>
      </c>
    </row>
    <row r="154" customFormat="false" ht="15" hidden="false" customHeight="false" outlineLevel="0" collapsed="false">
      <c r="A154" s="2" t="n">
        <v>153</v>
      </c>
      <c r="B154" s="2" t="s">
        <v>475</v>
      </c>
      <c r="C154" s="2" t="s">
        <v>476</v>
      </c>
      <c r="D154" s="2" t="s">
        <v>67</v>
      </c>
      <c r="E154" s="2" t="s">
        <v>296</v>
      </c>
      <c r="F154" s="3" t="n">
        <v>0.00115</v>
      </c>
      <c r="G154" s="3" t="n">
        <f aca="false">SUM($F$2:F154)</f>
        <v>0.46143</v>
      </c>
      <c r="H154" s="4" t="n">
        <v>79.3</v>
      </c>
      <c r="I154" s="5"/>
      <c r="J154" s="4"/>
      <c r="K154" s="5" t="n">
        <v>112.8682</v>
      </c>
      <c r="L154" s="6"/>
      <c r="M154" s="5" t="str">
        <f aca="false">IF(AND(N(K154)&gt;0,N(L154)&gt;0),K154/L154,"")</f>
        <v/>
      </c>
      <c r="N154" s="2" t="s">
        <v>477</v>
      </c>
    </row>
    <row r="155" customFormat="false" ht="15" hidden="false" customHeight="false" outlineLevel="0" collapsed="false">
      <c r="A155" s="2" t="n">
        <v>154</v>
      </c>
      <c r="B155" s="2" t="s">
        <v>478</v>
      </c>
      <c r="C155" s="2" t="s">
        <v>479</v>
      </c>
      <c r="D155" s="2" t="s">
        <v>67</v>
      </c>
      <c r="E155" s="2" t="s">
        <v>29</v>
      </c>
      <c r="F155" s="3" t="n">
        <v>0.001148</v>
      </c>
      <c r="G155" s="3" t="n">
        <f aca="false">SUM($F$2:F155)</f>
        <v>0.462578</v>
      </c>
      <c r="H155" s="4"/>
      <c r="I155" s="5" t="n">
        <v>31.4346</v>
      </c>
      <c r="J155" s="4" t="n">
        <v>43.01</v>
      </c>
      <c r="K155" s="5"/>
      <c r="L155" s="6" t="n">
        <v>8.7788</v>
      </c>
      <c r="M155" s="5" t="str">
        <f aca="false">IF(AND(N(K155)&gt;0,N(L155)&gt;0),K155/L155,"")</f>
        <v/>
      </c>
      <c r="N155" s="2" t="s">
        <v>480</v>
      </c>
    </row>
    <row r="156" customFormat="false" ht="15" hidden="false" customHeight="false" outlineLevel="0" collapsed="false">
      <c r="A156" s="2" t="n">
        <v>155</v>
      </c>
      <c r="B156" s="2" t="s">
        <v>481</v>
      </c>
      <c r="C156" s="2" t="s">
        <v>482</v>
      </c>
      <c r="D156" s="2" t="s">
        <v>74</v>
      </c>
      <c r="E156" s="2" t="s">
        <v>52</v>
      </c>
      <c r="F156" s="3" t="n">
        <v>0.001144</v>
      </c>
      <c r="G156" s="3" t="n">
        <f aca="false">SUM($F$2:F156)</f>
        <v>0.463722</v>
      </c>
      <c r="H156" s="4"/>
      <c r="I156" s="5" t="n">
        <v>16.9491</v>
      </c>
      <c r="J156" s="4" t="n">
        <v>413.71</v>
      </c>
      <c r="K156" s="5"/>
      <c r="L156" s="6" t="n">
        <v>1.4587</v>
      </c>
      <c r="M156" s="5" t="str">
        <f aca="false">IF(AND(N(K156)&gt;0,N(L156)&gt;0),K156/L156,"")</f>
        <v/>
      </c>
      <c r="N156" s="2" t="s">
        <v>483</v>
      </c>
    </row>
    <row r="157" customFormat="false" ht="15" hidden="false" customHeight="false" outlineLevel="0" collapsed="false">
      <c r="A157" s="2" t="n">
        <v>156</v>
      </c>
      <c r="B157" s="2" t="s">
        <v>484</v>
      </c>
      <c r="C157" s="2" t="s">
        <v>485</v>
      </c>
      <c r="D157" s="2" t="s">
        <v>74</v>
      </c>
      <c r="E157" s="2" t="s">
        <v>52</v>
      </c>
      <c r="F157" s="3" t="n">
        <v>0.00114</v>
      </c>
      <c r="G157" s="3" t="n">
        <f aca="false">SUM($F$2:F157)</f>
        <v>0.464862</v>
      </c>
      <c r="H157" s="4"/>
      <c r="I157" s="5" t="n">
        <v>15.0829</v>
      </c>
      <c r="J157" s="4" t="n">
        <v>329.91</v>
      </c>
      <c r="K157" s="5"/>
      <c r="L157" s="6" t="n">
        <v>0.9281</v>
      </c>
      <c r="M157" s="5" t="str">
        <f aca="false">IF(AND(N(K157)&gt;0,N(L157)&gt;0),K157/L157,"")</f>
        <v/>
      </c>
      <c r="N157" s="2" t="s">
        <v>486</v>
      </c>
    </row>
    <row r="158" customFormat="false" ht="15" hidden="false" customHeight="false" outlineLevel="0" collapsed="false">
      <c r="A158" s="2" t="n">
        <v>157</v>
      </c>
      <c r="B158" s="2" t="s">
        <v>487</v>
      </c>
      <c r="C158" s="2" t="s">
        <v>488</v>
      </c>
      <c r="D158" s="2" t="s">
        <v>74</v>
      </c>
      <c r="E158" s="2" t="s">
        <v>334</v>
      </c>
      <c r="F158" s="3" t="n">
        <v>0.001129</v>
      </c>
      <c r="G158" s="3" t="n">
        <f aca="false">SUM($F$2:F158)</f>
        <v>0.465991</v>
      </c>
      <c r="H158" s="4"/>
      <c r="I158" s="5" t="n">
        <v>18.9841</v>
      </c>
      <c r="J158" s="4" t="n">
        <v>17.62</v>
      </c>
      <c r="K158" s="5"/>
      <c r="L158" s="6" t="n">
        <v>1.4425</v>
      </c>
      <c r="M158" s="5" t="str">
        <f aca="false">IF(AND(N(K158)&gt;0,N(L158)&gt;0),K158/L158,"")</f>
        <v/>
      </c>
      <c r="N158" s="2" t="s">
        <v>489</v>
      </c>
    </row>
    <row r="159" customFormat="false" ht="15" hidden="false" customHeight="false" outlineLevel="0" collapsed="false">
      <c r="A159" s="2" t="n">
        <v>158</v>
      </c>
      <c r="B159" s="2" t="s">
        <v>490</v>
      </c>
      <c r="C159" s="2" t="s">
        <v>491</v>
      </c>
      <c r="D159" s="2" t="s">
        <v>47</v>
      </c>
      <c r="E159" s="2" t="s">
        <v>17</v>
      </c>
      <c r="F159" s="3" t="n">
        <v>0.001129</v>
      </c>
      <c r="G159" s="3" t="n">
        <f aca="false">SUM($F$2:F159)</f>
        <v>0.46712</v>
      </c>
      <c r="H159" s="4"/>
      <c r="I159" s="5" t="n">
        <v>18.4588</v>
      </c>
      <c r="J159" s="4" t="n">
        <v>8.37</v>
      </c>
      <c r="K159" s="5"/>
      <c r="L159" s="6" t="n">
        <v>2.1372</v>
      </c>
      <c r="M159" s="5" t="str">
        <f aca="false">IF(AND(N(K159)&gt;0,N(L159)&gt;0),K159/L159,"")</f>
        <v/>
      </c>
      <c r="N159" s="2" t="s">
        <v>492</v>
      </c>
    </row>
    <row r="160" customFormat="false" ht="15" hidden="false" customHeight="false" outlineLevel="0" collapsed="false">
      <c r="A160" s="2" t="n">
        <v>159</v>
      </c>
      <c r="B160" s="2" t="s">
        <v>493</v>
      </c>
      <c r="C160" s="2" t="s">
        <v>494</v>
      </c>
      <c r="D160" s="2" t="s">
        <v>81</v>
      </c>
      <c r="E160" s="2" t="s">
        <v>29</v>
      </c>
      <c r="F160" s="3" t="n">
        <v>0.001125</v>
      </c>
      <c r="G160" s="3" t="n">
        <f aca="false">SUM($F$2:F160)</f>
        <v>0.468245</v>
      </c>
      <c r="H160" s="4"/>
      <c r="I160" s="5" t="n">
        <v>21.5252</v>
      </c>
      <c r="J160" s="4" t="n">
        <v>2.38</v>
      </c>
      <c r="K160" s="5"/>
      <c r="L160" s="6" t="n">
        <v>0.7162</v>
      </c>
      <c r="M160" s="5" t="str">
        <f aca="false">IF(AND(N(K160)&gt;0,N(L160)&gt;0),K160/L160,"")</f>
        <v/>
      </c>
      <c r="N160" s="2" t="s">
        <v>495</v>
      </c>
    </row>
    <row r="161" customFormat="false" ht="15" hidden="false" customHeight="false" outlineLevel="0" collapsed="false">
      <c r="A161" s="2" t="n">
        <v>160</v>
      </c>
      <c r="B161" s="2" t="s">
        <v>496</v>
      </c>
      <c r="C161" s="2" t="s">
        <v>497</v>
      </c>
      <c r="D161" s="2" t="s">
        <v>63</v>
      </c>
      <c r="E161" s="2" t="s">
        <v>52</v>
      </c>
      <c r="F161" s="3" t="n">
        <v>0.001124</v>
      </c>
      <c r="G161" s="3" t="n">
        <f aca="false">SUM($F$2:F161)</f>
        <v>0.469369</v>
      </c>
      <c r="H161" s="4"/>
      <c r="I161" s="5" t="n">
        <v>20.5338</v>
      </c>
      <c r="J161" s="4" t="n">
        <v>335.35</v>
      </c>
      <c r="K161" s="5"/>
      <c r="L161" s="6" t="n">
        <v>3.287</v>
      </c>
      <c r="M161" s="5" t="str">
        <f aca="false">IF(AND(N(K161)&gt;0,N(L161)&gt;0),K161/L161,"")</f>
        <v/>
      </c>
      <c r="N161" s="2" t="s">
        <v>498</v>
      </c>
    </row>
    <row r="162" customFormat="false" ht="15" hidden="false" customHeight="false" outlineLevel="0" collapsed="false">
      <c r="A162" s="2" t="n">
        <v>161</v>
      </c>
      <c r="B162" s="2" t="s">
        <v>499</v>
      </c>
      <c r="C162" s="2" t="s">
        <v>500</v>
      </c>
      <c r="D162" s="2" t="s">
        <v>47</v>
      </c>
      <c r="E162" s="2" t="s">
        <v>29</v>
      </c>
      <c r="F162" s="3" t="n">
        <v>0.00112</v>
      </c>
      <c r="G162" s="3" t="n">
        <f aca="false">SUM($F$2:F162)</f>
        <v>0.470489</v>
      </c>
      <c r="H162" s="4"/>
      <c r="I162" s="5" t="n">
        <v>16.1648</v>
      </c>
      <c r="J162" s="4" t="n">
        <v>2.61</v>
      </c>
      <c r="K162" s="5"/>
      <c r="L162" s="6" t="n">
        <v>3.8375</v>
      </c>
      <c r="M162" s="5" t="str">
        <f aca="false">IF(AND(N(K162)&gt;0,N(L162)&gt;0),K162/L162,"")</f>
        <v/>
      </c>
      <c r="N162" s="2" t="s">
        <v>501</v>
      </c>
    </row>
    <row r="163" customFormat="false" ht="15" hidden="false" customHeight="false" outlineLevel="0" collapsed="false">
      <c r="A163" s="2" t="n">
        <v>162</v>
      </c>
      <c r="B163" s="2" t="s">
        <v>502</v>
      </c>
      <c r="C163" s="2" t="s">
        <v>503</v>
      </c>
      <c r="D163" s="2" t="s">
        <v>47</v>
      </c>
      <c r="E163" s="2" t="s">
        <v>52</v>
      </c>
      <c r="F163" s="3" t="n">
        <v>0.001111</v>
      </c>
      <c r="G163" s="3" t="n">
        <f aca="false">SUM($F$2:F163)</f>
        <v>0.4716</v>
      </c>
      <c r="H163" s="4"/>
      <c r="I163" s="5" t="n">
        <v>10.9171</v>
      </c>
      <c r="J163" s="4" t="n">
        <v>562.97</v>
      </c>
      <c r="K163" s="5"/>
      <c r="L163" s="6" t="n">
        <v>1.8471</v>
      </c>
      <c r="M163" s="5" t="str">
        <f aca="false">IF(AND(N(K163)&gt;0,N(L163)&gt;0),K163/L163,"")</f>
        <v/>
      </c>
      <c r="N163" s="2" t="s">
        <v>504</v>
      </c>
    </row>
    <row r="164" customFormat="false" ht="15" hidden="false" customHeight="false" outlineLevel="0" collapsed="false">
      <c r="A164" s="2" t="n">
        <v>163</v>
      </c>
      <c r="B164" s="2" t="s">
        <v>505</v>
      </c>
      <c r="C164" s="2" t="s">
        <v>506</v>
      </c>
      <c r="D164" s="2"/>
      <c r="E164" s="2" t="s">
        <v>33</v>
      </c>
      <c r="F164" s="3" t="n">
        <v>0.001108</v>
      </c>
      <c r="G164" s="3" t="n">
        <f aca="false">SUM($F$2:F164)</f>
        <v>0.472708</v>
      </c>
      <c r="H164" s="4"/>
      <c r="I164" s="5"/>
      <c r="J164" s="4"/>
      <c r="K164" s="5"/>
      <c r="L164" s="6"/>
      <c r="M164" s="5" t="str">
        <f aca="false">IF(AND(N(K164)&gt;0,N(L164)&gt;0),K164/L164,"")</f>
        <v/>
      </c>
      <c r="N164" s="2" t="s">
        <v>34</v>
      </c>
    </row>
    <row r="165" customFormat="false" ht="15" hidden="false" customHeight="false" outlineLevel="0" collapsed="false">
      <c r="A165" s="2" t="n">
        <v>164</v>
      </c>
      <c r="B165" s="2" t="s">
        <v>507</v>
      </c>
      <c r="C165" s="2" t="s">
        <v>508</v>
      </c>
      <c r="D165" s="2" t="s">
        <v>74</v>
      </c>
      <c r="E165" s="2" t="s">
        <v>334</v>
      </c>
      <c r="F165" s="3" t="n">
        <v>0.001106</v>
      </c>
      <c r="G165" s="3" t="n">
        <f aca="false">SUM($F$2:F165)</f>
        <v>0.473814</v>
      </c>
      <c r="H165" s="4"/>
      <c r="I165" s="5" t="n">
        <v>38.3119</v>
      </c>
      <c r="J165" s="4" t="n">
        <v>5.45</v>
      </c>
      <c r="K165" s="5"/>
      <c r="L165" s="6" t="n">
        <v>5.995</v>
      </c>
      <c r="M165" s="5" t="str">
        <f aca="false">IF(AND(N(K165)&gt;0,N(L165)&gt;0),K165/L165,"")</f>
        <v/>
      </c>
      <c r="N165" s="2" t="s">
        <v>509</v>
      </c>
    </row>
    <row r="166" customFormat="false" ht="15" hidden="false" customHeight="false" outlineLevel="0" collapsed="false">
      <c r="A166" s="2" t="n">
        <v>165</v>
      </c>
      <c r="B166" s="2" t="s">
        <v>510</v>
      </c>
      <c r="C166" s="2" t="s">
        <v>511</v>
      </c>
      <c r="D166" s="2" t="s">
        <v>101</v>
      </c>
      <c r="E166" s="2" t="s">
        <v>48</v>
      </c>
      <c r="F166" s="3" t="n">
        <v>0.001105</v>
      </c>
      <c r="G166" s="3" t="n">
        <f aca="false">SUM($F$2:F166)</f>
        <v>0.474919</v>
      </c>
      <c r="H166" s="4"/>
      <c r="I166" s="5" t="n">
        <v>161.716</v>
      </c>
      <c r="J166" s="4" t="n">
        <v>0.81</v>
      </c>
      <c r="K166" s="5"/>
      <c r="L166" s="6" t="n">
        <v>16.4192</v>
      </c>
      <c r="M166" s="5" t="str">
        <f aca="false">IF(AND(N(K166)&gt;0,N(L166)&gt;0),K166/L166,"")</f>
        <v/>
      </c>
      <c r="N166" s="2" t="s">
        <v>512</v>
      </c>
    </row>
    <row r="167" customFormat="false" ht="15" hidden="false" customHeight="false" outlineLevel="0" collapsed="false">
      <c r="A167" s="2" t="n">
        <v>166</v>
      </c>
      <c r="B167" s="2" t="s">
        <v>513</v>
      </c>
      <c r="C167" s="2" t="s">
        <v>514</v>
      </c>
      <c r="D167" s="2" t="s">
        <v>67</v>
      </c>
      <c r="E167" s="2" t="s">
        <v>21</v>
      </c>
      <c r="F167" s="3" t="n">
        <v>0.001097</v>
      </c>
      <c r="G167" s="3" t="n">
        <f aca="false">SUM($F$2:F167)</f>
        <v>0.476016</v>
      </c>
      <c r="H167" s="4" t="n">
        <v>30.6</v>
      </c>
      <c r="I167" s="5" t="n">
        <v>25.7143</v>
      </c>
      <c r="J167" s="4" t="n">
        <v>1.19</v>
      </c>
      <c r="K167" s="5" t="n">
        <v>52.0296</v>
      </c>
      <c r="L167" s="6" t="n">
        <v>1.0731</v>
      </c>
      <c r="M167" s="5" t="n">
        <f aca="false">IF(AND(N(K167)&gt;0,N(L167)&gt;0),K167/L167,"")</f>
        <v>48.4853228962818</v>
      </c>
      <c r="N167" s="2" t="s">
        <v>515</v>
      </c>
    </row>
    <row r="168" customFormat="false" ht="15" hidden="false" customHeight="false" outlineLevel="0" collapsed="false">
      <c r="A168" s="2" t="n">
        <v>167</v>
      </c>
      <c r="B168" s="2" t="s">
        <v>516</v>
      </c>
      <c r="C168" s="2" t="s">
        <v>517</v>
      </c>
      <c r="D168" s="2" t="s">
        <v>81</v>
      </c>
      <c r="E168" s="2" t="s">
        <v>48</v>
      </c>
      <c r="F168" s="3" t="n">
        <v>0.001096</v>
      </c>
      <c r="G168" s="3" t="n">
        <f aca="false">SUM($F$2:F168)</f>
        <v>0.477112</v>
      </c>
      <c r="H168" s="4"/>
      <c r="I168" s="5" t="n">
        <v>34.3686</v>
      </c>
      <c r="J168" s="4" t="n">
        <v>10.69</v>
      </c>
      <c r="K168" s="5"/>
      <c r="L168" s="6" t="n">
        <v>30.7988</v>
      </c>
      <c r="M168" s="5" t="str">
        <f aca="false">IF(AND(N(K168)&gt;0,N(L168)&gt;0),K168/L168,"")</f>
        <v/>
      </c>
      <c r="N168" s="2" t="s">
        <v>518</v>
      </c>
    </row>
    <row r="169" customFormat="false" ht="15" hidden="false" customHeight="false" outlineLevel="0" collapsed="false">
      <c r="A169" s="2" t="n">
        <v>168</v>
      </c>
      <c r="B169" s="2" t="s">
        <v>519</v>
      </c>
      <c r="C169" s="2" t="s">
        <v>520</v>
      </c>
      <c r="D169" s="2" t="s">
        <v>47</v>
      </c>
      <c r="E169" s="2" t="s">
        <v>38</v>
      </c>
      <c r="F169" s="3" t="n">
        <v>0.001093</v>
      </c>
      <c r="G169" s="3" t="n">
        <f aca="false">SUM($F$2:F169)</f>
        <v>0.478205</v>
      </c>
      <c r="H169" s="4"/>
      <c r="I169" s="5" t="n">
        <v>10.2987</v>
      </c>
      <c r="J169" s="4" t="n">
        <v>13.56</v>
      </c>
      <c r="K169" s="5"/>
      <c r="L169" s="6" t="n">
        <v>0.9842</v>
      </c>
      <c r="M169" s="5" t="str">
        <f aca="false">IF(AND(N(K169)&gt;0,N(L169)&gt;0),K169/L169,"")</f>
        <v/>
      </c>
      <c r="N169" s="2" t="s">
        <v>521</v>
      </c>
    </row>
    <row r="170" customFormat="false" ht="15" hidden="false" customHeight="false" outlineLevel="0" collapsed="false">
      <c r="A170" s="2" t="n">
        <v>169</v>
      </c>
      <c r="B170" s="2" t="s">
        <v>522</v>
      </c>
      <c r="C170" s="2" t="s">
        <v>523</v>
      </c>
      <c r="D170" s="2" t="s">
        <v>74</v>
      </c>
      <c r="E170" s="2" t="s">
        <v>334</v>
      </c>
      <c r="F170" s="3" t="n">
        <v>0.001087</v>
      </c>
      <c r="G170" s="3" t="n">
        <f aca="false">SUM($F$2:F170)</f>
        <v>0.479292</v>
      </c>
      <c r="H170" s="4"/>
      <c r="I170" s="5" t="n">
        <v>28.5896</v>
      </c>
      <c r="J170" s="4" t="n">
        <v>13.4</v>
      </c>
      <c r="K170" s="5"/>
      <c r="L170" s="6" t="n">
        <v>3.7219</v>
      </c>
      <c r="M170" s="5" t="str">
        <f aca="false">IF(AND(N(K170)&gt;0,N(L170)&gt;0),K170/L170,"")</f>
        <v/>
      </c>
      <c r="N170" s="2" t="s">
        <v>524</v>
      </c>
    </row>
    <row r="171" customFormat="false" ht="15" hidden="false" customHeight="false" outlineLevel="0" collapsed="false">
      <c r="A171" s="2" t="n">
        <v>170</v>
      </c>
      <c r="B171" s="2" t="s">
        <v>525</v>
      </c>
      <c r="C171" s="2" t="s">
        <v>526</v>
      </c>
      <c r="D171" s="2" t="s">
        <v>67</v>
      </c>
      <c r="E171" s="2" t="s">
        <v>29</v>
      </c>
      <c r="F171" s="3" t="n">
        <v>0.001082</v>
      </c>
      <c r="G171" s="3" t="n">
        <f aca="false">SUM($F$2:F171)</f>
        <v>0.480374</v>
      </c>
      <c r="H171" s="4"/>
      <c r="I171" s="5" t="n">
        <v>39.1909</v>
      </c>
      <c r="J171" s="4" t="n">
        <v>9.27</v>
      </c>
      <c r="K171" s="5"/>
      <c r="L171" s="6" t="n">
        <v>8.6762</v>
      </c>
      <c r="M171" s="5" t="str">
        <f aca="false">IF(AND(N(K171)&gt;0,N(L171)&gt;0),K171/L171,"")</f>
        <v/>
      </c>
      <c r="N171" s="2" t="s">
        <v>527</v>
      </c>
    </row>
    <row r="172" customFormat="false" ht="15" hidden="false" customHeight="false" outlineLevel="0" collapsed="false">
      <c r="A172" s="2" t="n">
        <v>171</v>
      </c>
      <c r="B172" s="2" t="s">
        <v>528</v>
      </c>
      <c r="C172" s="2" t="s">
        <v>529</v>
      </c>
      <c r="D172" s="2" t="s">
        <v>47</v>
      </c>
      <c r="E172" s="2" t="s">
        <v>29</v>
      </c>
      <c r="F172" s="3" t="n">
        <v>0.001079</v>
      </c>
      <c r="G172" s="3" t="n">
        <f aca="false">SUM($F$2:F172)</f>
        <v>0.481453</v>
      </c>
      <c r="H172" s="4"/>
      <c r="I172" s="5" t="n">
        <v>13.5794</v>
      </c>
      <c r="J172" s="4" t="n">
        <v>8.94</v>
      </c>
      <c r="K172" s="5"/>
      <c r="L172" s="6" t="n">
        <v>3.5979</v>
      </c>
      <c r="M172" s="5" t="str">
        <f aca="false">IF(AND(N(K172)&gt;0,N(L172)&gt;0),K172/L172,"")</f>
        <v/>
      </c>
      <c r="N172" s="2" t="s">
        <v>530</v>
      </c>
    </row>
    <row r="173" customFormat="false" ht="15" hidden="false" customHeight="false" outlineLevel="0" collapsed="false">
      <c r="A173" s="2" t="n">
        <v>172</v>
      </c>
      <c r="B173" s="2" t="s">
        <v>531</v>
      </c>
      <c r="C173" s="2" t="s">
        <v>532</v>
      </c>
      <c r="D173" s="2" t="s">
        <v>146</v>
      </c>
      <c r="E173" s="2" t="s">
        <v>29</v>
      </c>
      <c r="F173" s="3" t="n">
        <v>0.001071</v>
      </c>
      <c r="G173" s="3" t="n">
        <f aca="false">SUM($F$2:F173)</f>
        <v>0.482524</v>
      </c>
      <c r="H173" s="4"/>
      <c r="I173" s="5" t="n">
        <v>14.638</v>
      </c>
      <c r="J173" s="4" t="n">
        <v>1.63</v>
      </c>
      <c r="K173" s="5"/>
      <c r="L173" s="6" t="n">
        <v>0.8588</v>
      </c>
      <c r="M173" s="5" t="str">
        <f aca="false">IF(AND(N(K173)&gt;0,N(L173)&gt;0),K173/L173,"")</f>
        <v/>
      </c>
      <c r="N173" s="2" t="s">
        <v>533</v>
      </c>
    </row>
    <row r="174" customFormat="false" ht="15" hidden="false" customHeight="false" outlineLevel="0" collapsed="false">
      <c r="A174" s="2" t="n">
        <v>173</v>
      </c>
      <c r="B174" s="2" t="s">
        <v>534</v>
      </c>
      <c r="C174" s="2" t="s">
        <v>535</v>
      </c>
      <c r="D174" s="2" t="s">
        <v>47</v>
      </c>
      <c r="E174" s="2" t="s">
        <v>52</v>
      </c>
      <c r="F174" s="3" t="n">
        <v>0.001064</v>
      </c>
      <c r="G174" s="3" t="n">
        <f aca="false">SUM($F$2:F174)</f>
        <v>0.483588</v>
      </c>
      <c r="H174" s="4"/>
      <c r="I174" s="5" t="n">
        <v>9.862</v>
      </c>
      <c r="J174" s="4" t="n">
        <v>529</v>
      </c>
      <c r="K174" s="5"/>
      <c r="L174" s="6" t="n">
        <v>0.9895</v>
      </c>
      <c r="M174" s="5" t="str">
        <f aca="false">IF(AND(N(K174)&gt;0,N(L174)&gt;0),K174/L174,"")</f>
        <v/>
      </c>
      <c r="N174" s="2" t="s">
        <v>536</v>
      </c>
    </row>
    <row r="175" customFormat="false" ht="15" hidden="false" customHeight="false" outlineLevel="0" collapsed="false">
      <c r="A175" s="2" t="n">
        <v>174</v>
      </c>
      <c r="B175" s="2" t="s">
        <v>537</v>
      </c>
      <c r="C175" s="2" t="s">
        <v>538</v>
      </c>
      <c r="D175" s="2" t="s">
        <v>47</v>
      </c>
      <c r="E175" s="2" t="s">
        <v>539</v>
      </c>
      <c r="F175" s="3" t="n">
        <v>0.001062</v>
      </c>
      <c r="G175" s="3" t="n">
        <f aca="false">SUM($F$2:F175)</f>
        <v>0.48465</v>
      </c>
      <c r="H175" s="4"/>
      <c r="I175" s="5" t="n">
        <v>15.5048</v>
      </c>
      <c r="J175" s="4" t="n">
        <v>4.16</v>
      </c>
      <c r="K175" s="5"/>
      <c r="L175" s="6" t="n">
        <v>9.9241</v>
      </c>
      <c r="M175" s="5" t="str">
        <f aca="false">IF(AND(N(K175)&gt;0,N(L175)&gt;0),K175/L175,"")</f>
        <v/>
      </c>
      <c r="N175" s="2" t="s">
        <v>540</v>
      </c>
    </row>
    <row r="176" customFormat="false" ht="15" hidden="false" customHeight="false" outlineLevel="0" collapsed="false">
      <c r="A176" s="2" t="n">
        <v>175</v>
      </c>
      <c r="B176" s="2" t="s">
        <v>541</v>
      </c>
      <c r="C176" s="2" t="s">
        <v>542</v>
      </c>
      <c r="D176" s="2" t="s">
        <v>47</v>
      </c>
      <c r="E176" s="2" t="s">
        <v>52</v>
      </c>
      <c r="F176" s="3" t="n">
        <v>0.001054</v>
      </c>
      <c r="G176" s="3" t="n">
        <f aca="false">SUM($F$2:F176)</f>
        <v>0.485704</v>
      </c>
      <c r="H176" s="4"/>
      <c r="I176" s="5" t="n">
        <v>27.4728</v>
      </c>
      <c r="J176" s="4" t="n">
        <v>250.83</v>
      </c>
      <c r="K176" s="5"/>
      <c r="L176" s="6" t="n">
        <v>0.9935</v>
      </c>
      <c r="M176" s="5" t="str">
        <f aca="false">IF(AND(N(K176)&gt;0,N(L176)&gt;0),K176/L176,"")</f>
        <v/>
      </c>
      <c r="N176" s="2" t="s">
        <v>543</v>
      </c>
    </row>
    <row r="177" customFormat="false" ht="15" hidden="false" customHeight="false" outlineLevel="0" collapsed="false">
      <c r="A177" s="2" t="n">
        <v>176</v>
      </c>
      <c r="B177" s="2" t="s">
        <v>544</v>
      </c>
      <c r="C177" s="2" t="s">
        <v>545</v>
      </c>
      <c r="D177" s="2" t="s">
        <v>67</v>
      </c>
      <c r="E177" s="2" t="s">
        <v>48</v>
      </c>
      <c r="F177" s="3" t="n">
        <v>0.001044</v>
      </c>
      <c r="G177" s="3" t="n">
        <f aca="false">SUM($F$2:F177)</f>
        <v>0.486748</v>
      </c>
      <c r="H177" s="4"/>
      <c r="I177" s="5" t="n">
        <v>16.5842</v>
      </c>
      <c r="J177" s="4" t="n">
        <v>4.81</v>
      </c>
      <c r="K177" s="5"/>
      <c r="L177" s="6" t="n">
        <v>0.9055</v>
      </c>
      <c r="M177" s="5" t="str">
        <f aca="false">IF(AND(N(K177)&gt;0,N(L177)&gt;0),K177/L177,"")</f>
        <v/>
      </c>
      <c r="N177" s="2" t="s">
        <v>546</v>
      </c>
    </row>
    <row r="178" customFormat="false" ht="15" hidden="false" customHeight="false" outlineLevel="0" collapsed="false">
      <c r="A178" s="2" t="n">
        <v>177</v>
      </c>
      <c r="B178" s="2" t="s">
        <v>547</v>
      </c>
      <c r="C178" s="2" t="s">
        <v>548</v>
      </c>
      <c r="D178" s="2" t="s">
        <v>47</v>
      </c>
      <c r="E178" s="2" t="s">
        <v>173</v>
      </c>
      <c r="F178" s="3" t="n">
        <v>0.00103</v>
      </c>
      <c r="G178" s="3" t="n">
        <f aca="false">SUM($F$2:F178)</f>
        <v>0.487778</v>
      </c>
      <c r="H178" s="4"/>
      <c r="I178" s="5" t="n">
        <v>14.8611</v>
      </c>
      <c r="J178" s="4" t="n">
        <v>2.88</v>
      </c>
      <c r="K178" s="5"/>
      <c r="L178" s="6" t="n">
        <v>5.9714</v>
      </c>
      <c r="M178" s="5" t="str">
        <f aca="false">IF(AND(N(K178)&gt;0,N(L178)&gt;0),K178/L178,"")</f>
        <v/>
      </c>
      <c r="N178" s="2" t="s">
        <v>549</v>
      </c>
    </row>
    <row r="179" customFormat="false" ht="15" hidden="false" customHeight="false" outlineLevel="0" collapsed="false">
      <c r="A179" s="2" t="n">
        <v>178</v>
      </c>
      <c r="B179" s="2" t="s">
        <v>550</v>
      </c>
      <c r="C179" s="2" t="s">
        <v>551</v>
      </c>
      <c r="D179" s="2" t="s">
        <v>37</v>
      </c>
      <c r="E179" s="2" t="s">
        <v>38</v>
      </c>
      <c r="F179" s="3" t="n">
        <v>0.001026</v>
      </c>
      <c r="G179" s="3" t="n">
        <f aca="false">SUM($F$2:F179)</f>
        <v>0.488804</v>
      </c>
      <c r="H179" s="4"/>
      <c r="I179" s="5" t="n">
        <v>36.0853</v>
      </c>
      <c r="J179" s="4" t="n">
        <v>15.48</v>
      </c>
      <c r="K179" s="5"/>
      <c r="L179" s="6" t="n">
        <v>5.6782</v>
      </c>
      <c r="M179" s="5" t="str">
        <f aca="false">IF(AND(N(K179)&gt;0,N(L179)&gt;0),K179/L179,"")</f>
        <v/>
      </c>
      <c r="N179" s="2" t="s">
        <v>552</v>
      </c>
    </row>
    <row r="180" customFormat="false" ht="15" hidden="false" customHeight="false" outlineLevel="0" collapsed="false">
      <c r="A180" s="2" t="n">
        <v>179</v>
      </c>
      <c r="B180" s="2" t="s">
        <v>553</v>
      </c>
      <c r="C180" s="2" t="s">
        <v>554</v>
      </c>
      <c r="D180" s="2" t="s">
        <v>16</v>
      </c>
      <c r="E180" s="2" t="s">
        <v>21</v>
      </c>
      <c r="F180" s="3" t="n">
        <v>0.001023</v>
      </c>
      <c r="G180" s="3" t="n">
        <f aca="false">SUM($F$2:F180)</f>
        <v>0.489827</v>
      </c>
      <c r="H180" s="4" t="n">
        <v>322.9</v>
      </c>
      <c r="I180" s="5" t="n">
        <v>332.8866</v>
      </c>
      <c r="J180" s="4" t="n">
        <v>0.97</v>
      </c>
      <c r="K180" s="5" t="n">
        <v>344.8567</v>
      </c>
      <c r="L180" s="6" t="n">
        <v>66.8846</v>
      </c>
      <c r="M180" s="5" t="n">
        <f aca="false">IF(AND(N(K180)&gt;0,N(L180)&gt;0),K180/L180,"")</f>
        <v>5.15599555054527</v>
      </c>
      <c r="N180" s="2" t="s">
        <v>555</v>
      </c>
    </row>
    <row r="181" customFormat="false" ht="15" hidden="false" customHeight="false" outlineLevel="0" collapsed="false">
      <c r="A181" s="2" t="n">
        <v>180</v>
      </c>
      <c r="B181" s="2" t="s">
        <v>556</v>
      </c>
      <c r="C181" s="2" t="s">
        <v>557</v>
      </c>
      <c r="D181" s="2" t="s">
        <v>37</v>
      </c>
      <c r="E181" s="2" t="s">
        <v>29</v>
      </c>
      <c r="F181" s="3" t="n">
        <v>0.001022</v>
      </c>
      <c r="G181" s="3" t="n">
        <f aca="false">SUM($F$2:F181)</f>
        <v>0.490849</v>
      </c>
      <c r="H181" s="4"/>
      <c r="I181" s="5" t="n">
        <v>26.7196</v>
      </c>
      <c r="J181" s="4" t="n">
        <v>5.35</v>
      </c>
      <c r="K181" s="5"/>
      <c r="L181" s="6" t="n">
        <v>2.2392</v>
      </c>
      <c r="M181" s="5" t="str">
        <f aca="false">IF(AND(N(K181)&gt;0,N(L181)&gt;0),K181/L181,"")</f>
        <v/>
      </c>
      <c r="N181" s="2" t="s">
        <v>558</v>
      </c>
    </row>
    <row r="182" customFormat="false" ht="15" hidden="false" customHeight="false" outlineLevel="0" collapsed="false">
      <c r="A182" s="2" t="n">
        <v>181</v>
      </c>
      <c r="B182" s="2" t="s">
        <v>559</v>
      </c>
      <c r="C182" s="2" t="s">
        <v>560</v>
      </c>
      <c r="D182" s="2"/>
      <c r="E182" s="2" t="s">
        <v>33</v>
      </c>
      <c r="F182" s="3" t="n">
        <v>0.001015</v>
      </c>
      <c r="G182" s="3" t="n">
        <f aca="false">SUM($F$2:F182)</f>
        <v>0.491864</v>
      </c>
      <c r="H182" s="4"/>
      <c r="I182" s="5"/>
      <c r="J182" s="4"/>
      <c r="K182" s="5"/>
      <c r="L182" s="6"/>
      <c r="M182" s="5" t="str">
        <f aca="false">IF(AND(N(K182)&gt;0,N(L182)&gt;0),K182/L182,"")</f>
        <v/>
      </c>
      <c r="N182" s="2" t="s">
        <v>34</v>
      </c>
    </row>
    <row r="183" customFormat="false" ht="15" hidden="false" customHeight="false" outlineLevel="0" collapsed="false">
      <c r="A183" s="2" t="n">
        <v>182</v>
      </c>
      <c r="B183" s="2" t="s">
        <v>227</v>
      </c>
      <c r="C183" s="2" t="s">
        <v>561</v>
      </c>
      <c r="D183" s="2" t="s">
        <v>81</v>
      </c>
      <c r="E183" s="2" t="s">
        <v>82</v>
      </c>
      <c r="F183" s="3" t="n">
        <v>0.001008</v>
      </c>
      <c r="G183" s="3" t="n">
        <f aca="false">SUM($F$2:F183)</f>
        <v>0.492872</v>
      </c>
      <c r="H183" s="4"/>
      <c r="I183" s="5" t="n">
        <v>16.0676</v>
      </c>
      <c r="J183" s="4" t="n">
        <v>10.35</v>
      </c>
      <c r="K183" s="5"/>
      <c r="L183" s="6" t="n">
        <v>4.3738</v>
      </c>
      <c r="M183" s="5" t="str">
        <f aca="false">IF(AND(N(K183)&gt;0,N(L183)&gt;0),K183/L183,"")</f>
        <v/>
      </c>
      <c r="N183" s="2" t="s">
        <v>562</v>
      </c>
    </row>
    <row r="184" customFormat="false" ht="15" hidden="false" customHeight="false" outlineLevel="0" collapsed="false">
      <c r="A184" s="2" t="n">
        <v>183</v>
      </c>
      <c r="B184" s="2" t="s">
        <v>563</v>
      </c>
      <c r="C184" s="2" t="s">
        <v>564</v>
      </c>
      <c r="D184" s="2" t="s">
        <v>146</v>
      </c>
      <c r="E184" s="2" t="s">
        <v>29</v>
      </c>
      <c r="F184" s="3" t="n">
        <v>0.001007</v>
      </c>
      <c r="G184" s="3" t="n">
        <f aca="false">SUM($F$2:F184)</f>
        <v>0.493879</v>
      </c>
      <c r="H184" s="4"/>
      <c r="I184" s="5" t="n">
        <v>13.3215</v>
      </c>
      <c r="J184" s="4" t="n">
        <v>4.51</v>
      </c>
      <c r="K184" s="5"/>
      <c r="L184" s="6" t="n">
        <v>2.9349</v>
      </c>
      <c r="M184" s="5" t="str">
        <f aca="false">IF(AND(N(K184)&gt;0,N(L184)&gt;0),K184/L184,"")</f>
        <v/>
      </c>
      <c r="N184" s="2" t="s">
        <v>565</v>
      </c>
    </row>
    <row r="185" customFormat="false" ht="15" hidden="false" customHeight="false" outlineLevel="0" collapsed="false">
      <c r="A185" s="2" t="n">
        <v>184</v>
      </c>
      <c r="B185" s="2" t="s">
        <v>566</v>
      </c>
      <c r="C185" s="2" t="s">
        <v>567</v>
      </c>
      <c r="D185" s="2" t="s">
        <v>47</v>
      </c>
      <c r="E185" s="2" t="s">
        <v>296</v>
      </c>
      <c r="F185" s="3" t="n">
        <v>0.001005</v>
      </c>
      <c r="G185" s="3" t="n">
        <f aca="false">SUM($F$2:F185)</f>
        <v>0.494884</v>
      </c>
      <c r="H185" s="4" t="n">
        <v>14.06</v>
      </c>
      <c r="I185" s="5" t="n">
        <v>19.2603</v>
      </c>
      <c r="J185" s="4" t="n">
        <v>0.73</v>
      </c>
      <c r="K185" s="5" t="n">
        <v>67.9195</v>
      </c>
      <c r="L185" s="6" t="n">
        <v>8.0454</v>
      </c>
      <c r="M185" s="5" t="n">
        <f aca="false">IF(AND(N(K185)&gt;0,N(L185)&gt;0),K185/L185,"")</f>
        <v>8.44202898550725</v>
      </c>
      <c r="N185" s="2" t="s">
        <v>568</v>
      </c>
    </row>
    <row r="186" customFormat="false" ht="15" hidden="false" customHeight="false" outlineLevel="0" collapsed="false">
      <c r="A186" s="2" t="n">
        <v>185</v>
      </c>
      <c r="B186" s="2" t="s">
        <v>569</v>
      </c>
      <c r="C186" s="2" t="s">
        <v>570</v>
      </c>
      <c r="D186" s="2" t="s">
        <v>37</v>
      </c>
      <c r="E186" s="2" t="s">
        <v>52</v>
      </c>
      <c r="F186" s="3" t="n">
        <v>0.001</v>
      </c>
      <c r="G186" s="3" t="n">
        <f aca="false">SUM($F$2:F186)</f>
        <v>0.495884</v>
      </c>
      <c r="H186" s="4"/>
      <c r="I186" s="5" t="n">
        <v>14.4718</v>
      </c>
      <c r="J186" s="4" t="n">
        <v>768.39</v>
      </c>
      <c r="K186" s="5"/>
      <c r="L186" s="6" t="n">
        <v>2.2261</v>
      </c>
      <c r="M186" s="5" t="str">
        <f aca="false">IF(AND(N(K186)&gt;0,N(L186)&gt;0),K186/L186,"")</f>
        <v/>
      </c>
      <c r="N186" s="2" t="s">
        <v>571</v>
      </c>
    </row>
    <row r="187" customFormat="false" ht="15" hidden="false" customHeight="false" outlineLevel="0" collapsed="false">
      <c r="A187" s="2" t="n">
        <v>186</v>
      </c>
      <c r="B187" s="2" t="s">
        <v>572</v>
      </c>
      <c r="C187" s="2" t="s">
        <v>573</v>
      </c>
      <c r="D187" s="2"/>
      <c r="E187" s="2" t="s">
        <v>33</v>
      </c>
      <c r="F187" s="3" t="n">
        <v>0.000998</v>
      </c>
      <c r="G187" s="3" t="n">
        <f aca="false">SUM($F$2:F187)</f>
        <v>0.496882</v>
      </c>
      <c r="H187" s="4"/>
      <c r="I187" s="5"/>
      <c r="J187" s="4"/>
      <c r="K187" s="5"/>
      <c r="L187" s="6"/>
      <c r="M187" s="5" t="str">
        <f aca="false">IF(AND(N(K187)&gt;0,N(L187)&gt;0),K187/L187,"")</f>
        <v/>
      </c>
      <c r="N187" s="2" t="s">
        <v>34</v>
      </c>
    </row>
    <row r="188" customFormat="false" ht="15" hidden="false" customHeight="false" outlineLevel="0" collapsed="false">
      <c r="A188" s="2" t="n">
        <v>187</v>
      </c>
      <c r="B188" s="2" t="s">
        <v>574</v>
      </c>
      <c r="C188" s="2" t="s">
        <v>575</v>
      </c>
      <c r="D188" s="2" t="s">
        <v>47</v>
      </c>
      <c r="E188" s="2" t="s">
        <v>48</v>
      </c>
      <c r="F188" s="3" t="n">
        <v>0.000998</v>
      </c>
      <c r="G188" s="3" t="n">
        <f aca="false">SUM($F$2:F188)</f>
        <v>0.49788</v>
      </c>
      <c r="H188" s="4"/>
      <c r="I188" s="5" t="n">
        <v>19.4228</v>
      </c>
      <c r="J188" s="4" t="n">
        <v>5.89</v>
      </c>
      <c r="K188" s="5"/>
      <c r="L188" s="6" t="n">
        <v>1.7904</v>
      </c>
      <c r="M188" s="5" t="str">
        <f aca="false">IF(AND(N(K188)&gt;0,N(L188)&gt;0),K188/L188,"")</f>
        <v/>
      </c>
      <c r="N188" s="2" t="s">
        <v>576</v>
      </c>
    </row>
    <row r="189" customFormat="false" ht="15" hidden="false" customHeight="false" outlineLevel="0" collapsed="false">
      <c r="A189" s="2" t="n">
        <v>188</v>
      </c>
      <c r="B189" s="2" t="s">
        <v>577</v>
      </c>
      <c r="C189" s="2" t="s">
        <v>578</v>
      </c>
      <c r="D189" s="2" t="s">
        <v>37</v>
      </c>
      <c r="E189" s="2" t="s">
        <v>21</v>
      </c>
      <c r="F189" s="3" t="n">
        <v>0.000995</v>
      </c>
      <c r="G189" s="3" t="n">
        <f aca="false">SUM($F$2:F189)</f>
        <v>0.498875</v>
      </c>
      <c r="H189" s="4" t="n">
        <v>40.06</v>
      </c>
      <c r="I189" s="5" t="n">
        <v>66.7667</v>
      </c>
      <c r="J189" s="4" t="n">
        <v>0.6</v>
      </c>
      <c r="K189" s="5" t="n">
        <v>46.7217</v>
      </c>
      <c r="L189" s="6" t="n">
        <v>2.6983</v>
      </c>
      <c r="M189" s="5" t="n">
        <f aca="false">IF(AND(N(K189)&gt;0,N(L189)&gt;0),K189/L189,"")</f>
        <v>17.3152355186599</v>
      </c>
      <c r="N189" s="2" t="s">
        <v>579</v>
      </c>
    </row>
    <row r="190" customFormat="false" ht="15" hidden="false" customHeight="false" outlineLevel="0" collapsed="false">
      <c r="A190" s="2" t="n">
        <v>189</v>
      </c>
      <c r="B190" s="2" t="s">
        <v>580</v>
      </c>
      <c r="C190" s="2" t="s">
        <v>581</v>
      </c>
      <c r="D190" s="2"/>
      <c r="E190" s="2" t="s">
        <v>33</v>
      </c>
      <c r="F190" s="3" t="n">
        <v>0.00099</v>
      </c>
      <c r="G190" s="3" t="n">
        <f aca="false">SUM($F$2:F190)</f>
        <v>0.499865</v>
      </c>
      <c r="H190" s="4"/>
      <c r="I190" s="5"/>
      <c r="J190" s="4"/>
      <c r="K190" s="5"/>
      <c r="L190" s="6"/>
      <c r="M190" s="5" t="str">
        <f aca="false">IF(AND(N(K190)&gt;0,N(L190)&gt;0),K190/L190,"")</f>
        <v/>
      </c>
      <c r="N190" s="2" t="s">
        <v>34</v>
      </c>
    </row>
    <row r="191" customFormat="false" ht="15" hidden="false" customHeight="false" outlineLevel="0" collapsed="false">
      <c r="A191" s="2" t="n">
        <v>190</v>
      </c>
      <c r="B191" s="2" t="s">
        <v>582</v>
      </c>
      <c r="C191" s="2" t="s">
        <v>583</v>
      </c>
      <c r="D191" s="2"/>
      <c r="E191" s="2" t="s">
        <v>33</v>
      </c>
      <c r="F191" s="3" t="n">
        <v>0.000986</v>
      </c>
      <c r="G191" s="3" t="n">
        <f aca="false">SUM($F$2:F191)</f>
        <v>0.500851</v>
      </c>
      <c r="H191" s="4"/>
      <c r="I191" s="5"/>
      <c r="J191" s="4"/>
      <c r="K191" s="5"/>
      <c r="L191" s="6"/>
      <c r="M191" s="5" t="str">
        <f aca="false">IF(AND(N(K191)&gt;0,N(L191)&gt;0),K191/L191,"")</f>
        <v/>
      </c>
      <c r="N191" s="2" t="s">
        <v>34</v>
      </c>
    </row>
    <row r="192" customFormat="false" ht="15" hidden="false" customHeight="false" outlineLevel="0" collapsed="false">
      <c r="A192" s="2" t="n">
        <v>191</v>
      </c>
      <c r="B192" s="2" t="s">
        <v>584</v>
      </c>
      <c r="C192" s="2" t="s">
        <v>585</v>
      </c>
      <c r="D192" s="2"/>
      <c r="E192" s="2" t="s">
        <v>33</v>
      </c>
      <c r="F192" s="3" t="n">
        <v>0.000976</v>
      </c>
      <c r="G192" s="3" t="n">
        <f aca="false">SUM($F$2:F192)</f>
        <v>0.501827</v>
      </c>
      <c r="H192" s="4"/>
      <c r="I192" s="5"/>
      <c r="J192" s="4"/>
      <c r="K192" s="5"/>
      <c r="L192" s="6"/>
      <c r="M192" s="5" t="str">
        <f aca="false">IF(AND(N(K192)&gt;0,N(L192)&gt;0),K192/L192,"")</f>
        <v/>
      </c>
      <c r="N192" s="2" t="s">
        <v>34</v>
      </c>
    </row>
    <row r="193" customFormat="false" ht="15" hidden="false" customHeight="false" outlineLevel="0" collapsed="false">
      <c r="A193" s="2" t="n">
        <v>192</v>
      </c>
      <c r="B193" s="2" t="s">
        <v>284</v>
      </c>
      <c r="C193" s="2" t="s">
        <v>586</v>
      </c>
      <c r="D193" s="2" t="s">
        <v>63</v>
      </c>
      <c r="E193" s="2" t="s">
        <v>29</v>
      </c>
      <c r="F193" s="3" t="n">
        <v>0.000972</v>
      </c>
      <c r="G193" s="3" t="n">
        <f aca="false">SUM($F$2:F193)</f>
        <v>0.502799</v>
      </c>
      <c r="H193" s="4"/>
      <c r="I193" s="5" t="n">
        <v>20.1788</v>
      </c>
      <c r="J193" s="4" t="n">
        <v>3.02</v>
      </c>
      <c r="K193" s="5"/>
      <c r="L193" s="6" t="n">
        <v>1.4283</v>
      </c>
      <c r="M193" s="5" t="str">
        <f aca="false">IF(AND(N(K193)&gt;0,N(L193)&gt;0),K193/L193,"")</f>
        <v/>
      </c>
      <c r="N193" s="2" t="s">
        <v>587</v>
      </c>
    </row>
    <row r="194" customFormat="false" ht="15" hidden="false" customHeight="false" outlineLevel="0" collapsed="false">
      <c r="A194" s="2" t="n">
        <v>193</v>
      </c>
      <c r="B194" s="2" t="s">
        <v>588</v>
      </c>
      <c r="C194" s="2" t="s">
        <v>589</v>
      </c>
      <c r="D194" s="2" t="s">
        <v>16</v>
      </c>
      <c r="E194" s="2" t="s">
        <v>17</v>
      </c>
      <c r="F194" s="3" t="n">
        <v>0.000971</v>
      </c>
      <c r="G194" s="3" t="n">
        <f aca="false">SUM($F$2:F194)</f>
        <v>0.50377</v>
      </c>
      <c r="H194" s="4"/>
      <c r="I194" s="5" t="n">
        <v>74.1722</v>
      </c>
      <c r="J194" s="4" t="n">
        <v>15.1</v>
      </c>
      <c r="K194" s="5"/>
      <c r="L194" s="6" t="n">
        <v>12.3287</v>
      </c>
      <c r="M194" s="5" t="str">
        <f aca="false">IF(AND(N(K194)&gt;0,N(L194)&gt;0),K194/L194,"")</f>
        <v/>
      </c>
      <c r="N194" s="2" t="s">
        <v>590</v>
      </c>
    </row>
    <row r="195" customFormat="false" ht="15" hidden="false" customHeight="false" outlineLevel="0" collapsed="false">
      <c r="A195" s="2" t="n">
        <v>194</v>
      </c>
      <c r="B195" s="2" t="s">
        <v>591</v>
      </c>
      <c r="C195" s="2" t="s">
        <v>592</v>
      </c>
      <c r="D195" s="2" t="s">
        <v>16</v>
      </c>
      <c r="E195" s="2" t="s">
        <v>52</v>
      </c>
      <c r="F195" s="3" t="n">
        <v>0.00097</v>
      </c>
      <c r="G195" s="3" t="n">
        <f aca="false">SUM($F$2:F195)</f>
        <v>0.50474</v>
      </c>
      <c r="H195" s="4"/>
      <c r="I195" s="5" t="n">
        <v>22.7788</v>
      </c>
      <c r="J195" s="4" t="n">
        <v>174.68</v>
      </c>
      <c r="K195" s="5"/>
      <c r="L195" s="6" t="n">
        <v>1.9481</v>
      </c>
      <c r="M195" s="5" t="str">
        <f aca="false">IF(AND(N(K195)&gt;0,N(L195)&gt;0),K195/L195,"")</f>
        <v/>
      </c>
      <c r="N195" s="2" t="s">
        <v>593</v>
      </c>
    </row>
    <row r="196" customFormat="false" ht="15" hidden="false" customHeight="false" outlineLevel="0" collapsed="false">
      <c r="A196" s="2" t="n">
        <v>195</v>
      </c>
      <c r="B196" s="2" t="s">
        <v>594</v>
      </c>
      <c r="C196" s="2" t="s">
        <v>595</v>
      </c>
      <c r="D196" s="2" t="s">
        <v>42</v>
      </c>
      <c r="E196" s="2" t="s">
        <v>52</v>
      </c>
      <c r="F196" s="3" t="n">
        <v>0.000967</v>
      </c>
      <c r="G196" s="3" t="n">
        <f aca="false">SUM($F$2:F196)</f>
        <v>0.505707</v>
      </c>
      <c r="H196" s="4"/>
      <c r="I196" s="5" t="n">
        <v>22.0337</v>
      </c>
      <c r="J196" s="4" t="n">
        <v>11.26</v>
      </c>
      <c r="K196" s="5"/>
      <c r="L196" s="6" t="n">
        <v>1.6495</v>
      </c>
      <c r="M196" s="5" t="str">
        <f aca="false">IF(AND(N(K196)&gt;0,N(L196)&gt;0),K196/L196,"")</f>
        <v/>
      </c>
      <c r="N196" s="2" t="s">
        <v>596</v>
      </c>
    </row>
    <row r="197" customFormat="false" ht="15" hidden="false" customHeight="false" outlineLevel="0" collapsed="false">
      <c r="A197" s="2" t="n">
        <v>196</v>
      </c>
      <c r="B197" s="2" t="s">
        <v>597</v>
      </c>
      <c r="C197" s="2" t="s">
        <v>598</v>
      </c>
      <c r="D197" s="2" t="s">
        <v>47</v>
      </c>
      <c r="E197" s="2" t="s">
        <v>167</v>
      </c>
      <c r="F197" s="3" t="n">
        <v>0.00096</v>
      </c>
      <c r="G197" s="3" t="n">
        <f aca="false">SUM($F$2:F197)</f>
        <v>0.506667</v>
      </c>
      <c r="H197" s="4"/>
      <c r="I197" s="5" t="n">
        <v>13.0358</v>
      </c>
      <c r="J197" s="4" t="n">
        <v>29.02</v>
      </c>
      <c r="K197" s="5"/>
      <c r="L197" s="6" t="n">
        <v>5.2806</v>
      </c>
      <c r="M197" s="5" t="str">
        <f aca="false">IF(AND(N(K197)&gt;0,N(L197)&gt;0),K197/L197,"")</f>
        <v/>
      </c>
      <c r="N197" s="2" t="s">
        <v>599</v>
      </c>
    </row>
    <row r="198" customFormat="false" ht="15" hidden="false" customHeight="false" outlineLevel="0" collapsed="false">
      <c r="A198" s="2" t="n">
        <v>197</v>
      </c>
      <c r="B198" s="2" t="s">
        <v>600</v>
      </c>
      <c r="C198" s="2" t="s">
        <v>601</v>
      </c>
      <c r="D198" s="2" t="s">
        <v>16</v>
      </c>
      <c r="E198" s="2" t="s">
        <v>29</v>
      </c>
      <c r="F198" s="3" t="n">
        <v>0.00096</v>
      </c>
      <c r="G198" s="3" t="n">
        <f aca="false">SUM($F$2:F198)</f>
        <v>0.507627</v>
      </c>
      <c r="H198" s="4"/>
      <c r="I198" s="5" t="n">
        <v>38.6386</v>
      </c>
      <c r="J198" s="4" t="n">
        <v>21.89</v>
      </c>
      <c r="K198" s="5"/>
      <c r="L198" s="6" t="n">
        <v>12.2739</v>
      </c>
      <c r="M198" s="5" t="str">
        <f aca="false">IF(AND(N(K198)&gt;0,N(L198)&gt;0),K198/L198,"")</f>
        <v/>
      </c>
      <c r="N198" s="2" t="s">
        <v>602</v>
      </c>
    </row>
    <row r="199" customFormat="false" ht="15" hidden="false" customHeight="false" outlineLevel="0" collapsed="false">
      <c r="A199" s="2" t="n">
        <v>198</v>
      </c>
      <c r="B199" s="2" t="s">
        <v>603</v>
      </c>
      <c r="C199" s="2" t="s">
        <v>604</v>
      </c>
      <c r="D199" s="2" t="s">
        <v>101</v>
      </c>
      <c r="E199" s="2" t="s">
        <v>82</v>
      </c>
      <c r="F199" s="3" t="n">
        <v>0.000956</v>
      </c>
      <c r="G199" s="3" t="n">
        <f aca="false">SUM($F$2:F199)</f>
        <v>0.508583</v>
      </c>
      <c r="H199" s="4"/>
      <c r="I199" s="5" t="n">
        <v>14.0756</v>
      </c>
      <c r="J199" s="4" t="n">
        <v>2.25</v>
      </c>
      <c r="K199" s="5"/>
      <c r="L199" s="6" t="n">
        <v>4.3503</v>
      </c>
      <c r="M199" s="5" t="str">
        <f aca="false">IF(AND(N(K199)&gt;0,N(L199)&gt;0),K199/L199,"")</f>
        <v/>
      </c>
      <c r="N199" s="2" t="s">
        <v>605</v>
      </c>
    </row>
    <row r="200" customFormat="false" ht="15" hidden="false" customHeight="false" outlineLevel="0" collapsed="false">
      <c r="A200" s="2" t="n">
        <v>199</v>
      </c>
      <c r="B200" s="2" t="s">
        <v>606</v>
      </c>
      <c r="C200" s="2" t="s">
        <v>607</v>
      </c>
      <c r="D200" s="2" t="s">
        <v>67</v>
      </c>
      <c r="E200" s="2" t="s">
        <v>52</v>
      </c>
      <c r="F200" s="3" t="n">
        <v>0.000955</v>
      </c>
      <c r="G200" s="3" t="n">
        <f aca="false">SUM($F$2:F200)</f>
        <v>0.509538</v>
      </c>
      <c r="H200" s="4"/>
      <c r="I200" s="5"/>
      <c r="J200" s="4" t="n">
        <v>-36.99</v>
      </c>
      <c r="K200" s="5"/>
      <c r="L200" s="6" t="n">
        <v>0.292</v>
      </c>
      <c r="M200" s="5" t="str">
        <f aca="false">IF(AND(N(K200)&gt;0,N(L200)&gt;0),K200/L200,"")</f>
        <v/>
      </c>
      <c r="N200" s="2" t="s">
        <v>608</v>
      </c>
    </row>
    <row r="201" customFormat="false" ht="15" hidden="false" customHeight="false" outlineLevel="0" collapsed="false">
      <c r="A201" s="2" t="n">
        <v>200</v>
      </c>
      <c r="B201" s="2" t="s">
        <v>609</v>
      </c>
      <c r="C201" s="2" t="s">
        <v>610</v>
      </c>
      <c r="D201" s="2" t="s">
        <v>16</v>
      </c>
      <c r="E201" s="2" t="s">
        <v>48</v>
      </c>
      <c r="F201" s="3" t="n">
        <v>0.000948</v>
      </c>
      <c r="G201" s="3" t="n">
        <f aca="false">SUM($F$2:F201)</f>
        <v>0.510486</v>
      </c>
      <c r="H201" s="4"/>
      <c r="I201" s="5" t="n">
        <v>35.811</v>
      </c>
      <c r="J201" s="4" t="n">
        <v>13.49</v>
      </c>
      <c r="K201" s="5"/>
      <c r="L201" s="6" t="n">
        <v>3.9067</v>
      </c>
      <c r="M201" s="5" t="str">
        <f aca="false">IF(AND(N(K201)&gt;0,N(L201)&gt;0),K201/L201,"")</f>
        <v/>
      </c>
      <c r="N201" s="2" t="s">
        <v>611</v>
      </c>
    </row>
    <row r="202" customFormat="false" ht="15" hidden="false" customHeight="false" outlineLevel="0" collapsed="false">
      <c r="A202" s="2" t="n">
        <v>201</v>
      </c>
      <c r="B202" s="2" t="s">
        <v>612</v>
      </c>
      <c r="C202" s="2" t="s">
        <v>613</v>
      </c>
      <c r="D202" s="2" t="s">
        <v>101</v>
      </c>
      <c r="E202" s="2" t="s">
        <v>614</v>
      </c>
      <c r="F202" s="3" t="n">
        <v>0.000939</v>
      </c>
      <c r="G202" s="3" t="n">
        <f aca="false">SUM($F$2:F202)</f>
        <v>0.511425</v>
      </c>
      <c r="H202" s="4"/>
      <c r="I202" s="5" t="n">
        <v>11.3051</v>
      </c>
      <c r="J202" s="4" t="n">
        <v>34.71</v>
      </c>
      <c r="K202" s="5"/>
      <c r="L202" s="6" t="n">
        <v>8.186</v>
      </c>
      <c r="M202" s="5" t="str">
        <f aca="false">IF(AND(N(K202)&gt;0,N(L202)&gt;0),K202/L202,"")</f>
        <v/>
      </c>
      <c r="N202" s="2" t="s">
        <v>615</v>
      </c>
    </row>
    <row r="203" customFormat="false" ht="15" hidden="false" customHeight="false" outlineLevel="0" collapsed="false">
      <c r="A203" s="2" t="n">
        <v>202</v>
      </c>
      <c r="B203" s="2" t="s">
        <v>616</v>
      </c>
      <c r="C203" s="2" t="s">
        <v>617</v>
      </c>
      <c r="D203" s="2" t="s">
        <v>74</v>
      </c>
      <c r="E203" s="2" t="s">
        <v>29</v>
      </c>
      <c r="F203" s="3" t="n">
        <v>0.000938</v>
      </c>
      <c r="G203" s="3" t="n">
        <f aca="false">SUM($F$2:F203)</f>
        <v>0.512363</v>
      </c>
      <c r="H203" s="4"/>
      <c r="I203" s="5" t="n">
        <v>28.4105</v>
      </c>
      <c r="J203" s="4" t="n">
        <v>4.97</v>
      </c>
      <c r="K203" s="5"/>
      <c r="L203" s="6" t="n">
        <v>3.662</v>
      </c>
      <c r="M203" s="5" t="str">
        <f aca="false">IF(AND(N(K203)&gt;0,N(L203)&gt;0),K203/L203,"")</f>
        <v/>
      </c>
      <c r="N203" s="2" t="s">
        <v>618</v>
      </c>
    </row>
    <row r="204" customFormat="false" ht="15" hidden="false" customHeight="false" outlineLevel="0" collapsed="false">
      <c r="A204" s="2" t="n">
        <v>203</v>
      </c>
      <c r="B204" s="2" t="s">
        <v>619</v>
      </c>
      <c r="C204" s="2" t="s">
        <v>620</v>
      </c>
      <c r="D204" s="2" t="s">
        <v>47</v>
      </c>
      <c r="E204" s="2" t="s">
        <v>48</v>
      </c>
      <c r="F204" s="3" t="n">
        <v>0.000938</v>
      </c>
      <c r="G204" s="3" t="n">
        <f aca="false">SUM($F$2:F204)</f>
        <v>0.513301</v>
      </c>
      <c r="H204" s="4"/>
      <c r="I204" s="5" t="n">
        <v>23.4557</v>
      </c>
      <c r="J204" s="4" t="n">
        <v>4.06</v>
      </c>
      <c r="K204" s="5"/>
      <c r="L204" s="6" t="n">
        <v>1.4832</v>
      </c>
      <c r="M204" s="5" t="str">
        <f aca="false">IF(AND(N(K204)&gt;0,N(L204)&gt;0),K204/L204,"")</f>
        <v/>
      </c>
      <c r="N204" s="2" t="s">
        <v>621</v>
      </c>
    </row>
    <row r="205" customFormat="false" ht="15" hidden="false" customHeight="false" outlineLevel="0" collapsed="false">
      <c r="A205" s="2" t="n">
        <v>204</v>
      </c>
      <c r="B205" s="2" t="s">
        <v>622</v>
      </c>
      <c r="C205" s="2" t="s">
        <v>623</v>
      </c>
      <c r="D205" s="2" t="s">
        <v>101</v>
      </c>
      <c r="E205" s="2" t="s">
        <v>48</v>
      </c>
      <c r="F205" s="3" t="n">
        <v>0.000933</v>
      </c>
      <c r="G205" s="3" t="n">
        <f aca="false">SUM($F$2:F205)</f>
        <v>0.514234</v>
      </c>
      <c r="H205" s="4"/>
      <c r="I205" s="5" t="n">
        <v>12.3194</v>
      </c>
      <c r="J205" s="4" t="n">
        <v>3.6</v>
      </c>
      <c r="K205" s="5"/>
      <c r="L205" s="6" t="n">
        <v>1.5186</v>
      </c>
      <c r="M205" s="5" t="str">
        <f aca="false">IF(AND(N(K205)&gt;0,N(L205)&gt;0),K205/L205,"")</f>
        <v/>
      </c>
      <c r="N205" s="2" t="s">
        <v>624</v>
      </c>
    </row>
    <row r="206" customFormat="false" ht="15" hidden="false" customHeight="false" outlineLevel="0" collapsed="false">
      <c r="A206" s="2" t="n">
        <v>205</v>
      </c>
      <c r="B206" s="2" t="s">
        <v>625</v>
      </c>
      <c r="C206" s="2" t="s">
        <v>626</v>
      </c>
      <c r="D206" s="2" t="s">
        <v>146</v>
      </c>
      <c r="E206" s="2" t="s">
        <v>29</v>
      </c>
      <c r="F206" s="3" t="n">
        <v>0.000931</v>
      </c>
      <c r="G206" s="3" t="n">
        <f aca="false">SUM($F$2:F206)</f>
        <v>0.515165</v>
      </c>
      <c r="H206" s="4"/>
      <c r="I206" s="5" t="n">
        <v>13.5194</v>
      </c>
      <c r="J206" s="4" t="n">
        <v>1.29</v>
      </c>
      <c r="K206" s="5"/>
      <c r="L206" s="6" t="n">
        <v>0.6058</v>
      </c>
      <c r="M206" s="5" t="str">
        <f aca="false">IF(AND(N(K206)&gt;0,N(L206)&gt;0),K206/L206,"")</f>
        <v/>
      </c>
      <c r="N206" s="2" t="s">
        <v>627</v>
      </c>
    </row>
    <row r="207" customFormat="false" ht="15" hidden="false" customHeight="false" outlineLevel="0" collapsed="false">
      <c r="A207" s="2" t="n">
        <v>206</v>
      </c>
      <c r="B207" s="2" t="s">
        <v>628</v>
      </c>
      <c r="C207" s="2" t="s">
        <v>629</v>
      </c>
      <c r="D207" s="2" t="s">
        <v>47</v>
      </c>
      <c r="E207" s="2" t="s">
        <v>296</v>
      </c>
      <c r="F207" s="3" t="n">
        <v>0.00093</v>
      </c>
      <c r="G207" s="3" t="n">
        <f aca="false">SUM($F$2:F207)</f>
        <v>0.516095</v>
      </c>
      <c r="H207" s="4" t="n">
        <v>8.45</v>
      </c>
      <c r="I207" s="5"/>
      <c r="J207" s="4"/>
      <c r="K207" s="5" t="n">
        <v>93.1348</v>
      </c>
      <c r="L207" s="6"/>
      <c r="M207" s="5" t="str">
        <f aca="false">IF(AND(N(K207)&gt;0,N(L207)&gt;0),K207/L207,"")</f>
        <v/>
      </c>
      <c r="N207" s="2" t="s">
        <v>630</v>
      </c>
    </row>
    <row r="208" customFormat="false" ht="15" hidden="false" customHeight="false" outlineLevel="0" collapsed="false">
      <c r="A208" s="2" t="n">
        <v>207</v>
      </c>
      <c r="B208" s="2" t="s">
        <v>631</v>
      </c>
      <c r="C208" s="2" t="s">
        <v>632</v>
      </c>
      <c r="D208" s="2" t="s">
        <v>63</v>
      </c>
      <c r="E208" s="2" t="s">
        <v>48</v>
      </c>
      <c r="F208" s="3" t="n">
        <v>0.00093</v>
      </c>
      <c r="G208" s="3" t="n">
        <f aca="false">SUM($F$2:F208)</f>
        <v>0.517025</v>
      </c>
      <c r="H208" s="4"/>
      <c r="I208" s="5" t="n">
        <v>35.8835</v>
      </c>
      <c r="J208" s="4" t="n">
        <v>4.98</v>
      </c>
      <c r="K208" s="5"/>
      <c r="L208" s="6" t="n">
        <v>6.0833</v>
      </c>
      <c r="M208" s="5" t="str">
        <f aca="false">IF(AND(N(K208)&gt;0,N(L208)&gt;0),K208/L208,"")</f>
        <v/>
      </c>
      <c r="N208" s="2" t="s">
        <v>633</v>
      </c>
    </row>
    <row r="209" customFormat="false" ht="15" hidden="false" customHeight="false" outlineLevel="0" collapsed="false">
      <c r="A209" s="2" t="n">
        <v>208</v>
      </c>
      <c r="B209" s="2" t="s">
        <v>634</v>
      </c>
      <c r="C209" s="2" t="s">
        <v>635</v>
      </c>
      <c r="D209" s="2" t="s">
        <v>67</v>
      </c>
      <c r="E209" s="2" t="s">
        <v>43</v>
      </c>
      <c r="F209" s="3" t="n">
        <v>0.000929</v>
      </c>
      <c r="G209" s="3" t="n">
        <f aca="false">SUM($F$2:F209)</f>
        <v>0.517954</v>
      </c>
      <c r="H209" s="4"/>
      <c r="I209" s="5"/>
      <c r="J209" s="4" t="n">
        <v>-7.43</v>
      </c>
      <c r="K209" s="5"/>
      <c r="L209" s="6" t="n">
        <v>1.0693</v>
      </c>
      <c r="M209" s="5" t="str">
        <f aca="false">IF(AND(N(K209)&gt;0,N(L209)&gt;0),K209/L209,"")</f>
        <v/>
      </c>
      <c r="N209" s="2" t="s">
        <v>636</v>
      </c>
    </row>
    <row r="210" customFormat="false" ht="15" hidden="false" customHeight="false" outlineLevel="0" collapsed="false">
      <c r="A210" s="2" t="n">
        <v>209</v>
      </c>
      <c r="B210" s="2" t="s">
        <v>637</v>
      </c>
      <c r="C210" s="2" t="s">
        <v>638</v>
      </c>
      <c r="D210" s="2"/>
      <c r="E210" s="2" t="s">
        <v>33</v>
      </c>
      <c r="F210" s="3" t="n">
        <v>0.000917</v>
      </c>
      <c r="G210" s="3" t="n">
        <f aca="false">SUM($F$2:F210)</f>
        <v>0.518871</v>
      </c>
      <c r="H210" s="4"/>
      <c r="I210" s="5"/>
      <c r="J210" s="4"/>
      <c r="K210" s="5"/>
      <c r="L210" s="6"/>
      <c r="M210" s="5" t="str">
        <f aca="false">IF(AND(N(K210)&gt;0,N(L210)&gt;0),K210/L210,"")</f>
        <v/>
      </c>
      <c r="N210" s="2" t="s">
        <v>34</v>
      </c>
    </row>
    <row r="211" customFormat="false" ht="15" hidden="false" customHeight="false" outlineLevel="0" collapsed="false">
      <c r="A211" s="2" t="n">
        <v>210</v>
      </c>
      <c r="B211" s="2" t="s">
        <v>639</v>
      </c>
      <c r="C211" s="2" t="s">
        <v>640</v>
      </c>
      <c r="D211" s="2" t="s">
        <v>47</v>
      </c>
      <c r="E211" s="2" t="s">
        <v>43</v>
      </c>
      <c r="F211" s="3" t="n">
        <v>0.000917</v>
      </c>
      <c r="G211" s="3" t="n">
        <f aca="false">SUM($F$2:F211)</f>
        <v>0.519788</v>
      </c>
      <c r="H211" s="4"/>
      <c r="I211" s="5" t="n">
        <v>5.5225</v>
      </c>
      <c r="J211" s="4" t="n">
        <v>9.76</v>
      </c>
      <c r="K211" s="5"/>
      <c r="L211" s="6" t="n">
        <v>0.9899</v>
      </c>
      <c r="M211" s="5" t="str">
        <f aca="false">IF(AND(N(K211)&gt;0,N(L211)&gt;0),K211/L211,"")</f>
        <v/>
      </c>
      <c r="N211" s="2" t="s">
        <v>641</v>
      </c>
    </row>
    <row r="212" customFormat="false" ht="15" hidden="false" customHeight="false" outlineLevel="0" collapsed="false">
      <c r="A212" s="2" t="n">
        <v>211</v>
      </c>
      <c r="B212" s="2" t="s">
        <v>642</v>
      </c>
      <c r="C212" s="2" t="s">
        <v>643</v>
      </c>
      <c r="D212" s="2" t="s">
        <v>67</v>
      </c>
      <c r="E212" s="2" t="s">
        <v>52</v>
      </c>
      <c r="F212" s="3" t="n">
        <v>0.000915</v>
      </c>
      <c r="G212" s="3" t="n">
        <f aca="false">SUM($F$2:F212)</f>
        <v>0.520703</v>
      </c>
      <c r="H212" s="4"/>
      <c r="I212" s="5" t="n">
        <v>17.5748</v>
      </c>
      <c r="J212" s="4" t="n">
        <v>118.38</v>
      </c>
      <c r="K212" s="5"/>
      <c r="L212" s="6" t="n">
        <v>1.2264</v>
      </c>
      <c r="M212" s="5" t="str">
        <f aca="false">IF(AND(N(K212)&gt;0,N(L212)&gt;0),K212/L212,"")</f>
        <v/>
      </c>
      <c r="N212" s="2" t="s">
        <v>644</v>
      </c>
    </row>
    <row r="213" customFormat="false" ht="15" hidden="false" customHeight="false" outlineLevel="0" collapsed="false">
      <c r="A213" s="2" t="n">
        <v>212</v>
      </c>
      <c r="B213" s="2" t="s">
        <v>645</v>
      </c>
      <c r="C213" s="2" t="s">
        <v>646</v>
      </c>
      <c r="D213" s="2" t="s">
        <v>42</v>
      </c>
      <c r="E213" s="2" t="s">
        <v>43</v>
      </c>
      <c r="F213" s="3" t="n">
        <v>0.000913</v>
      </c>
      <c r="G213" s="3" t="n">
        <f aca="false">SUM($F$2:F213)</f>
        <v>0.521616</v>
      </c>
      <c r="H213" s="4"/>
      <c r="I213" s="5" t="n">
        <v>15.6949</v>
      </c>
      <c r="J213" s="4" t="n">
        <v>11.8</v>
      </c>
      <c r="K213" s="5"/>
      <c r="L213" s="6" t="n">
        <v>5.0845</v>
      </c>
      <c r="M213" s="5" t="str">
        <f aca="false">IF(AND(N(K213)&gt;0,N(L213)&gt;0),K213/L213,"")</f>
        <v/>
      </c>
      <c r="N213" s="2" t="s">
        <v>647</v>
      </c>
    </row>
    <row r="214" customFormat="false" ht="15" hidden="false" customHeight="false" outlineLevel="0" collapsed="false">
      <c r="A214" s="2" t="n">
        <v>213</v>
      </c>
      <c r="B214" s="2" t="s">
        <v>648</v>
      </c>
      <c r="C214" s="2" t="s">
        <v>649</v>
      </c>
      <c r="D214" s="2" t="s">
        <v>81</v>
      </c>
      <c r="E214" s="2" t="s">
        <v>38</v>
      </c>
      <c r="F214" s="3" t="n">
        <v>0.00091</v>
      </c>
      <c r="G214" s="3" t="n">
        <f aca="false">SUM($F$2:F214)</f>
        <v>0.522526</v>
      </c>
      <c r="H214" s="4"/>
      <c r="I214" s="5" t="n">
        <v>97.8857</v>
      </c>
      <c r="J214" s="4" t="n">
        <v>0.7</v>
      </c>
      <c r="K214" s="5"/>
      <c r="L214" s="6" t="n">
        <v>2.4021</v>
      </c>
      <c r="M214" s="5" t="str">
        <f aca="false">IF(AND(N(K214)&gt;0,N(L214)&gt;0),K214/L214,"")</f>
        <v/>
      </c>
      <c r="N214" s="2" t="s">
        <v>650</v>
      </c>
    </row>
    <row r="215" customFormat="false" ht="15" hidden="false" customHeight="false" outlineLevel="0" collapsed="false">
      <c r="A215" s="2" t="n">
        <v>214</v>
      </c>
      <c r="B215" s="2" t="s">
        <v>651</v>
      </c>
      <c r="C215" s="2" t="s">
        <v>652</v>
      </c>
      <c r="D215" s="2" t="s">
        <v>74</v>
      </c>
      <c r="E215" s="2" t="s">
        <v>29</v>
      </c>
      <c r="F215" s="3" t="n">
        <v>0.00091</v>
      </c>
      <c r="G215" s="3" t="n">
        <f aca="false">SUM($F$2:F215)</f>
        <v>0.523436</v>
      </c>
      <c r="H215" s="4"/>
      <c r="I215" s="5" t="n">
        <v>26.3589</v>
      </c>
      <c r="J215" s="4" t="n">
        <v>4.82</v>
      </c>
      <c r="K215" s="5"/>
      <c r="L215" s="6" t="n">
        <v>1.7495</v>
      </c>
      <c r="M215" s="5" t="str">
        <f aca="false">IF(AND(N(K215)&gt;0,N(L215)&gt;0),K215/L215,"")</f>
        <v/>
      </c>
      <c r="N215" s="2" t="s">
        <v>653</v>
      </c>
    </row>
    <row r="216" customFormat="false" ht="15" hidden="false" customHeight="false" outlineLevel="0" collapsed="false">
      <c r="A216" s="2" t="n">
        <v>215</v>
      </c>
      <c r="B216" s="2" t="s">
        <v>654</v>
      </c>
      <c r="C216" s="2" t="s">
        <v>655</v>
      </c>
      <c r="D216" s="2" t="s">
        <v>16</v>
      </c>
      <c r="E216" s="2" t="s">
        <v>52</v>
      </c>
      <c r="F216" s="3" t="n">
        <v>0.000909</v>
      </c>
      <c r="G216" s="3" t="n">
        <f aca="false">SUM($F$2:F216)</f>
        <v>0.524345</v>
      </c>
      <c r="H216" s="4"/>
      <c r="I216" s="5" t="n">
        <v>23.6963</v>
      </c>
      <c r="J216" s="4" t="n">
        <v>203.07</v>
      </c>
      <c r="K216" s="5"/>
      <c r="L216" s="6" t="n">
        <v>1.7311</v>
      </c>
      <c r="M216" s="5" t="str">
        <f aca="false">IF(AND(N(K216)&gt;0,N(L216)&gt;0),K216/L216,"")</f>
        <v/>
      </c>
      <c r="N216" s="2" t="s">
        <v>656</v>
      </c>
    </row>
    <row r="217" customFormat="false" ht="15" hidden="false" customHeight="false" outlineLevel="0" collapsed="false">
      <c r="A217" s="2" t="n">
        <v>216</v>
      </c>
      <c r="B217" s="2" t="s">
        <v>657</v>
      </c>
      <c r="C217" s="2" t="s">
        <v>658</v>
      </c>
      <c r="D217" s="2" t="s">
        <v>81</v>
      </c>
      <c r="E217" s="2" t="s">
        <v>17</v>
      </c>
      <c r="F217" s="3" t="n">
        <v>0.000908</v>
      </c>
      <c r="G217" s="3" t="n">
        <f aca="false">SUM($F$2:F217)</f>
        <v>0.525253</v>
      </c>
      <c r="H217" s="4"/>
      <c r="I217" s="5" t="n">
        <v>37.3387</v>
      </c>
      <c r="J217" s="4" t="n">
        <v>6.2</v>
      </c>
      <c r="K217" s="5"/>
      <c r="L217" s="6" t="n">
        <v>6.5364</v>
      </c>
      <c r="M217" s="5" t="str">
        <f aca="false">IF(AND(N(K217)&gt;0,N(L217)&gt;0),K217/L217,"")</f>
        <v/>
      </c>
      <c r="N217" s="2" t="s">
        <v>659</v>
      </c>
    </row>
    <row r="218" customFormat="false" ht="15" hidden="false" customHeight="false" outlineLevel="0" collapsed="false">
      <c r="A218" s="2" t="n">
        <v>217</v>
      </c>
      <c r="B218" s="2" t="s">
        <v>660</v>
      </c>
      <c r="C218" s="2" t="s">
        <v>661</v>
      </c>
      <c r="D218" s="2" t="s">
        <v>47</v>
      </c>
      <c r="E218" s="2" t="s">
        <v>334</v>
      </c>
      <c r="F218" s="3" t="n">
        <v>0.000907</v>
      </c>
      <c r="G218" s="3" t="n">
        <f aca="false">SUM($F$2:F218)</f>
        <v>0.52616</v>
      </c>
      <c r="H218" s="4"/>
      <c r="I218" s="5" t="n">
        <v>15.0383</v>
      </c>
      <c r="J218" s="4" t="n">
        <v>15.68</v>
      </c>
      <c r="K218" s="5"/>
      <c r="L218" s="6" t="n">
        <v>6.1528</v>
      </c>
      <c r="M218" s="5" t="str">
        <f aca="false">IF(AND(N(K218)&gt;0,N(L218)&gt;0),K218/L218,"")</f>
        <v/>
      </c>
      <c r="N218" s="2" t="s">
        <v>662</v>
      </c>
    </row>
    <row r="219" customFormat="false" ht="15" hidden="false" customHeight="false" outlineLevel="0" collapsed="false">
      <c r="A219" s="2" t="n">
        <v>218</v>
      </c>
      <c r="B219" s="2" t="s">
        <v>663</v>
      </c>
      <c r="C219" s="2" t="s">
        <v>664</v>
      </c>
      <c r="D219" s="2" t="s">
        <v>101</v>
      </c>
      <c r="E219" s="2" t="s">
        <v>29</v>
      </c>
      <c r="F219" s="3" t="n">
        <v>0.000906</v>
      </c>
      <c r="G219" s="3" t="n">
        <f aca="false">SUM($F$2:F219)</f>
        <v>0.527066</v>
      </c>
      <c r="H219" s="4"/>
      <c r="I219" s="5" t="n">
        <v>9.3896</v>
      </c>
      <c r="J219" s="4" t="n">
        <v>3.08</v>
      </c>
      <c r="K219" s="5"/>
      <c r="L219" s="6" t="n">
        <v>0.5678</v>
      </c>
      <c r="M219" s="5" t="str">
        <f aca="false">IF(AND(N(K219)&gt;0,N(L219)&gt;0),K219/L219,"")</f>
        <v/>
      </c>
      <c r="N219" s="2" t="s">
        <v>665</v>
      </c>
    </row>
    <row r="220" customFormat="false" ht="15" hidden="false" customHeight="false" outlineLevel="0" collapsed="false">
      <c r="A220" s="2" t="n">
        <v>219</v>
      </c>
      <c r="B220" s="2" t="s">
        <v>666</v>
      </c>
      <c r="C220" s="2" t="s">
        <v>667</v>
      </c>
      <c r="D220" s="2" t="s">
        <v>74</v>
      </c>
      <c r="E220" s="2" t="s">
        <v>52</v>
      </c>
      <c r="F220" s="3" t="n">
        <v>0.000905</v>
      </c>
      <c r="G220" s="3" t="n">
        <f aca="false">SUM($F$2:F220)</f>
        <v>0.527971</v>
      </c>
      <c r="H220" s="4"/>
      <c r="I220" s="5" t="n">
        <v>32.7861</v>
      </c>
      <c r="J220" s="4" t="n">
        <v>178.49</v>
      </c>
      <c r="K220" s="5"/>
      <c r="L220" s="6" t="n">
        <v>6.0926</v>
      </c>
      <c r="M220" s="5" t="str">
        <f aca="false">IF(AND(N(K220)&gt;0,N(L220)&gt;0),K220/L220,"")</f>
        <v/>
      </c>
      <c r="N220" s="2" t="s">
        <v>668</v>
      </c>
    </row>
    <row r="221" customFormat="false" ht="15" hidden="false" customHeight="false" outlineLevel="0" collapsed="false">
      <c r="A221" s="2" t="n">
        <v>220</v>
      </c>
      <c r="B221" s="2" t="s">
        <v>669</v>
      </c>
      <c r="C221" s="2" t="s">
        <v>670</v>
      </c>
      <c r="D221" s="2"/>
      <c r="E221" s="2" t="s">
        <v>33</v>
      </c>
      <c r="F221" s="3" t="n">
        <v>0.000902</v>
      </c>
      <c r="G221" s="3" t="n">
        <f aca="false">SUM($F$2:F221)</f>
        <v>0.528873</v>
      </c>
      <c r="H221" s="4"/>
      <c r="I221" s="5"/>
      <c r="J221" s="4"/>
      <c r="K221" s="5"/>
      <c r="L221" s="6"/>
      <c r="M221" s="5" t="str">
        <f aca="false">IF(AND(N(K221)&gt;0,N(L221)&gt;0),K221/L221,"")</f>
        <v/>
      </c>
      <c r="N221" s="2" t="s">
        <v>34</v>
      </c>
    </row>
    <row r="222" customFormat="false" ht="15" hidden="false" customHeight="false" outlineLevel="0" collapsed="false">
      <c r="A222" s="2" t="n">
        <v>221</v>
      </c>
      <c r="B222" s="2" t="s">
        <v>671</v>
      </c>
      <c r="C222" s="2" t="s">
        <v>672</v>
      </c>
      <c r="D222" s="2" t="s">
        <v>16</v>
      </c>
      <c r="E222" s="2" t="s">
        <v>52</v>
      </c>
      <c r="F222" s="3" t="n">
        <v>0.000902</v>
      </c>
      <c r="G222" s="3" t="n">
        <f aca="false">SUM($F$2:F222)</f>
        <v>0.529775</v>
      </c>
      <c r="H222" s="4"/>
      <c r="I222" s="5" t="n">
        <v>17.7617</v>
      </c>
      <c r="J222" s="4" t="n">
        <v>186.3</v>
      </c>
      <c r="K222" s="5"/>
      <c r="L222" s="6" t="n">
        <v>4.0704</v>
      </c>
      <c r="M222" s="5" t="str">
        <f aca="false">IF(AND(N(K222)&gt;0,N(L222)&gt;0),K222/L222,"")</f>
        <v/>
      </c>
      <c r="N222" s="2" t="s">
        <v>673</v>
      </c>
    </row>
    <row r="223" customFormat="false" ht="15" hidden="false" customHeight="false" outlineLevel="0" collapsed="false">
      <c r="A223" s="2" t="n">
        <v>222</v>
      </c>
      <c r="B223" s="2" t="s">
        <v>674</v>
      </c>
      <c r="C223" s="2" t="s">
        <v>675</v>
      </c>
      <c r="D223" s="2" t="s">
        <v>81</v>
      </c>
      <c r="E223" s="2" t="s">
        <v>48</v>
      </c>
      <c r="F223" s="3" t="n">
        <v>0.000895</v>
      </c>
      <c r="G223" s="3" t="n">
        <f aca="false">SUM($F$2:F223)</f>
        <v>0.53067</v>
      </c>
      <c r="H223" s="4"/>
      <c r="I223" s="5" t="n">
        <v>15.0997</v>
      </c>
      <c r="J223" s="4" t="n">
        <v>6.92</v>
      </c>
      <c r="K223" s="5"/>
      <c r="L223" s="6" t="n">
        <v>1.8273</v>
      </c>
      <c r="M223" s="5" t="str">
        <f aca="false">IF(AND(N(K223)&gt;0,N(L223)&gt;0),K223/L223,"")</f>
        <v/>
      </c>
      <c r="N223" s="2" t="s">
        <v>676</v>
      </c>
    </row>
    <row r="224" customFormat="false" ht="15" hidden="false" customHeight="false" outlineLevel="0" collapsed="false">
      <c r="A224" s="2" t="n">
        <v>223</v>
      </c>
      <c r="B224" s="2" t="s">
        <v>677</v>
      </c>
      <c r="C224" s="2" t="s">
        <v>678</v>
      </c>
      <c r="D224" s="2"/>
      <c r="E224" s="2" t="s">
        <v>679</v>
      </c>
      <c r="F224" s="3" t="n">
        <v>0.000891</v>
      </c>
      <c r="G224" s="3" t="n">
        <f aca="false">SUM($F$2:F224)</f>
        <v>0.531561</v>
      </c>
      <c r="H224" s="4"/>
      <c r="I224" s="5"/>
      <c r="J224" s="4"/>
      <c r="K224" s="5"/>
      <c r="L224" s="6"/>
      <c r="M224" s="5" t="str">
        <f aca="false">IF(AND(N(K224)&gt;0,N(L224)&gt;0),K224/L224,"")</f>
        <v/>
      </c>
      <c r="N224" s="2" t="s">
        <v>34</v>
      </c>
    </row>
    <row r="225" customFormat="false" ht="15" hidden="false" customHeight="false" outlineLevel="0" collapsed="false">
      <c r="A225" s="2" t="n">
        <v>224</v>
      </c>
      <c r="B225" s="2" t="s">
        <v>680</v>
      </c>
      <c r="C225" s="2" t="s">
        <v>681</v>
      </c>
      <c r="D225" s="2" t="s">
        <v>16</v>
      </c>
      <c r="E225" s="2" t="s">
        <v>17</v>
      </c>
      <c r="F225" s="3" t="n">
        <v>0.000873</v>
      </c>
      <c r="G225" s="3" t="n">
        <f aca="false">SUM($F$2:F225)</f>
        <v>0.532434</v>
      </c>
      <c r="H225" s="4"/>
      <c r="I225" s="5" t="n">
        <v>76.3671</v>
      </c>
      <c r="J225" s="4" t="n">
        <v>63.64</v>
      </c>
      <c r="K225" s="5"/>
      <c r="L225" s="6" t="n">
        <v>13.353</v>
      </c>
      <c r="M225" s="5" t="str">
        <f aca="false">IF(AND(N(K225)&gt;0,N(L225)&gt;0),K225/L225,"")</f>
        <v/>
      </c>
      <c r="N225" s="2" t="s">
        <v>682</v>
      </c>
    </row>
    <row r="226" customFormat="false" ht="15" hidden="false" customHeight="false" outlineLevel="0" collapsed="false">
      <c r="A226" s="2" t="n">
        <v>225</v>
      </c>
      <c r="B226" s="2" t="s">
        <v>683</v>
      </c>
      <c r="C226" s="2" t="s">
        <v>684</v>
      </c>
      <c r="D226" s="2" t="s">
        <v>67</v>
      </c>
      <c r="E226" s="2" t="s">
        <v>21</v>
      </c>
      <c r="F226" s="3" t="n">
        <v>0.000873</v>
      </c>
      <c r="G226" s="3" t="n">
        <f aca="false">SUM($F$2:F226)</f>
        <v>0.533307</v>
      </c>
      <c r="H226" s="4" t="n">
        <v>102.65</v>
      </c>
      <c r="I226" s="5" t="n">
        <v>39.6332</v>
      </c>
      <c r="J226" s="4" t="n">
        <v>2.59</v>
      </c>
      <c r="K226" s="5" t="n">
        <v>62.8715</v>
      </c>
      <c r="L226" s="6" t="n">
        <v>2.2678</v>
      </c>
      <c r="M226" s="5" t="n">
        <f aca="false">IF(AND(N(K226)&gt;0,N(L226)&gt;0),K226/L226,"")</f>
        <v>27.7235646882441</v>
      </c>
      <c r="N226" s="2" t="s">
        <v>685</v>
      </c>
    </row>
    <row r="227" customFormat="false" ht="15" hidden="false" customHeight="false" outlineLevel="0" collapsed="false">
      <c r="A227" s="2" t="n">
        <v>226</v>
      </c>
      <c r="B227" s="2" t="s">
        <v>686</v>
      </c>
      <c r="C227" s="2" t="s">
        <v>687</v>
      </c>
      <c r="D227" s="2" t="s">
        <v>47</v>
      </c>
      <c r="E227" s="2" t="s">
        <v>17</v>
      </c>
      <c r="F227" s="3" t="n">
        <v>0.000871</v>
      </c>
      <c r="G227" s="3" t="n">
        <f aca="false">SUM($F$2:F227)</f>
        <v>0.534178</v>
      </c>
      <c r="H227" s="4"/>
      <c r="I227" s="5" t="n">
        <v>15.5125</v>
      </c>
      <c r="J227" s="4" t="n">
        <v>7.22</v>
      </c>
      <c r="K227" s="5"/>
      <c r="L227" s="6" t="n">
        <v>1.7202</v>
      </c>
      <c r="M227" s="5" t="str">
        <f aca="false">IF(AND(N(K227)&gt;0,N(L227)&gt;0),K227/L227,"")</f>
        <v/>
      </c>
      <c r="N227" s="2" t="s">
        <v>688</v>
      </c>
    </row>
    <row r="228" customFormat="false" ht="15" hidden="false" customHeight="false" outlineLevel="0" collapsed="false">
      <c r="A228" s="2" t="n">
        <v>227</v>
      </c>
      <c r="B228" s="2" t="s">
        <v>689</v>
      </c>
      <c r="C228" s="2" t="s">
        <v>690</v>
      </c>
      <c r="D228" s="2" t="s">
        <v>74</v>
      </c>
      <c r="E228" s="2" t="s">
        <v>48</v>
      </c>
      <c r="F228" s="3" t="n">
        <v>0.00087</v>
      </c>
      <c r="G228" s="3" t="n">
        <f aca="false">SUM($F$2:F228)</f>
        <v>0.535048</v>
      </c>
      <c r="H228" s="4"/>
      <c r="I228" s="5" t="n">
        <v>37.7803</v>
      </c>
      <c r="J228" s="4" t="n">
        <v>5.78</v>
      </c>
      <c r="K228" s="5"/>
      <c r="L228" s="6" t="n">
        <v>5.6263</v>
      </c>
      <c r="M228" s="5" t="str">
        <f aca="false">IF(AND(N(K228)&gt;0,N(L228)&gt;0),K228/L228,"")</f>
        <v/>
      </c>
      <c r="N228" s="2" t="s">
        <v>691</v>
      </c>
    </row>
    <row r="229" customFormat="false" ht="15" hidden="false" customHeight="false" outlineLevel="0" collapsed="false">
      <c r="A229" s="2" t="n">
        <v>228</v>
      </c>
      <c r="B229" s="2" t="s">
        <v>692</v>
      </c>
      <c r="C229" s="2" t="s">
        <v>693</v>
      </c>
      <c r="D229" s="2" t="s">
        <v>47</v>
      </c>
      <c r="E229" s="2" t="s">
        <v>25</v>
      </c>
      <c r="F229" s="3" t="n">
        <v>0.000868</v>
      </c>
      <c r="G229" s="3" t="n">
        <f aca="false">SUM($F$2:F229)</f>
        <v>0.535916</v>
      </c>
      <c r="H229" s="4"/>
      <c r="I229" s="5"/>
      <c r="J229" s="4"/>
      <c r="K229" s="5"/>
      <c r="L229" s="6" t="n">
        <v>2.5923</v>
      </c>
      <c r="M229" s="5" t="str">
        <f aca="false">IF(AND(N(K229)&gt;0,N(L229)&gt;0),K229/L229,"")</f>
        <v/>
      </c>
      <c r="N229" s="2" t="s">
        <v>694</v>
      </c>
    </row>
    <row r="230" customFormat="false" ht="15" hidden="false" customHeight="false" outlineLevel="0" collapsed="false">
      <c r="A230" s="2" t="n">
        <v>229</v>
      </c>
      <c r="B230" s="2" t="s">
        <v>695</v>
      </c>
      <c r="C230" s="2" t="s">
        <v>696</v>
      </c>
      <c r="D230" s="2" t="s">
        <v>74</v>
      </c>
      <c r="E230" s="2" t="s">
        <v>29</v>
      </c>
      <c r="F230" s="3" t="n">
        <v>0.000864</v>
      </c>
      <c r="G230" s="3" t="n">
        <f aca="false">SUM($F$2:F230)</f>
        <v>0.53678</v>
      </c>
      <c r="H230" s="4"/>
      <c r="I230" s="5" t="n">
        <v>13.2319</v>
      </c>
      <c r="J230" s="4" t="n">
        <v>5.39</v>
      </c>
      <c r="K230" s="5"/>
      <c r="L230" s="6" t="n">
        <v>0.754</v>
      </c>
      <c r="M230" s="5" t="str">
        <f aca="false">IF(AND(N(K230)&gt;0,N(L230)&gt;0),K230/L230,"")</f>
        <v/>
      </c>
      <c r="N230" s="2" t="s">
        <v>697</v>
      </c>
    </row>
    <row r="231" customFormat="false" ht="15" hidden="false" customHeight="false" outlineLevel="0" collapsed="false">
      <c r="A231" s="2" t="n">
        <v>230</v>
      </c>
      <c r="B231" s="2" t="s">
        <v>698</v>
      </c>
      <c r="C231" s="2" t="s">
        <v>699</v>
      </c>
      <c r="D231" s="2"/>
      <c r="E231" s="2" t="s">
        <v>700</v>
      </c>
      <c r="F231" s="3" t="n">
        <v>0.000862</v>
      </c>
      <c r="G231" s="3" t="n">
        <f aca="false">SUM($F$2:F231)</f>
        <v>0.537642</v>
      </c>
      <c r="H231" s="4"/>
      <c r="I231" s="5"/>
      <c r="J231" s="4"/>
      <c r="K231" s="5"/>
      <c r="L231" s="6"/>
      <c r="M231" s="5" t="str">
        <f aca="false">IF(AND(N(K231)&gt;0,N(L231)&gt;0),K231/L231,"")</f>
        <v/>
      </c>
      <c r="N231" s="2" t="s">
        <v>34</v>
      </c>
    </row>
    <row r="232" customFormat="false" ht="15" hidden="false" customHeight="false" outlineLevel="0" collapsed="false">
      <c r="A232" s="2" t="n">
        <v>231</v>
      </c>
      <c r="B232" s="2" t="s">
        <v>701</v>
      </c>
      <c r="C232" s="2" t="s">
        <v>702</v>
      </c>
      <c r="D232" s="2" t="s">
        <v>37</v>
      </c>
      <c r="E232" s="2" t="s">
        <v>38</v>
      </c>
      <c r="F232" s="3" t="n">
        <v>0.000861</v>
      </c>
      <c r="G232" s="3" t="n">
        <f aca="false">SUM($F$2:F232)</f>
        <v>0.538503</v>
      </c>
      <c r="H232" s="4"/>
      <c r="I232" s="5" t="n">
        <v>57.6423</v>
      </c>
      <c r="J232" s="4" t="n">
        <v>1.23</v>
      </c>
      <c r="K232" s="5"/>
      <c r="L232" s="6" t="n">
        <v>2.6274</v>
      </c>
      <c r="M232" s="5" t="str">
        <f aca="false">IF(AND(N(K232)&gt;0,N(L232)&gt;0),K232/L232,"")</f>
        <v/>
      </c>
      <c r="N232" s="2" t="s">
        <v>703</v>
      </c>
    </row>
    <row r="233" customFormat="false" ht="15" hidden="false" customHeight="false" outlineLevel="0" collapsed="false">
      <c r="A233" s="2" t="n">
        <v>232</v>
      </c>
      <c r="B233" s="2" t="s">
        <v>704</v>
      </c>
      <c r="C233" s="2" t="s">
        <v>705</v>
      </c>
      <c r="D233" s="2" t="s">
        <v>81</v>
      </c>
      <c r="E233" s="2" t="s">
        <v>296</v>
      </c>
      <c r="F233" s="3" t="n">
        <v>0.000856</v>
      </c>
      <c r="G233" s="3" t="n">
        <f aca="false">SUM($F$2:F233)</f>
        <v>0.539359</v>
      </c>
      <c r="H233" s="4" t="n">
        <v>14.15</v>
      </c>
      <c r="I233" s="5"/>
      <c r="J233" s="4"/>
      <c r="K233" s="5" t="n">
        <v>60.219</v>
      </c>
      <c r="L233" s="6"/>
      <c r="M233" s="5" t="str">
        <f aca="false">IF(AND(N(K233)&gt;0,N(L233)&gt;0),K233/L233,"")</f>
        <v/>
      </c>
      <c r="N233" s="2" t="s">
        <v>706</v>
      </c>
    </row>
    <row r="234" customFormat="false" ht="15" hidden="false" customHeight="false" outlineLevel="0" collapsed="false">
      <c r="A234" s="2" t="n">
        <v>233</v>
      </c>
      <c r="B234" s="2" t="s">
        <v>707</v>
      </c>
      <c r="C234" s="2" t="s">
        <v>708</v>
      </c>
      <c r="D234" s="2" t="s">
        <v>47</v>
      </c>
      <c r="E234" s="2" t="s">
        <v>29</v>
      </c>
      <c r="F234" s="3" t="n">
        <v>0.000853</v>
      </c>
      <c r="G234" s="3" t="n">
        <f aca="false">SUM($F$2:F234)</f>
        <v>0.540212</v>
      </c>
      <c r="H234" s="4"/>
      <c r="I234" s="5" t="n">
        <v>14.9003</v>
      </c>
      <c r="J234" s="4" t="n">
        <v>9.03</v>
      </c>
      <c r="K234" s="5"/>
      <c r="L234" s="6" t="n">
        <v>4.2529</v>
      </c>
      <c r="M234" s="5" t="str">
        <f aca="false">IF(AND(N(K234)&gt;0,N(L234)&gt;0),K234/L234,"")</f>
        <v/>
      </c>
      <c r="N234" s="2" t="s">
        <v>709</v>
      </c>
    </row>
    <row r="235" customFormat="false" ht="15" hidden="false" customHeight="false" outlineLevel="0" collapsed="false">
      <c r="A235" s="2" t="n">
        <v>234</v>
      </c>
      <c r="B235" s="2" t="s">
        <v>710</v>
      </c>
      <c r="C235" s="2" t="s">
        <v>711</v>
      </c>
      <c r="D235" s="2" t="s">
        <v>16</v>
      </c>
      <c r="E235" s="2" t="s">
        <v>48</v>
      </c>
      <c r="F235" s="3" t="n">
        <v>0.00085</v>
      </c>
      <c r="G235" s="3" t="n">
        <f aca="false">SUM($F$2:F235)</f>
        <v>0.541062</v>
      </c>
      <c r="H235" s="4"/>
      <c r="I235" s="5" t="n">
        <v>43.8617</v>
      </c>
      <c r="J235" s="4" t="n">
        <v>63.54</v>
      </c>
      <c r="K235" s="5"/>
      <c r="L235" s="6" t="n">
        <v>4.6721</v>
      </c>
      <c r="M235" s="5" t="str">
        <f aca="false">IF(AND(N(K235)&gt;0,N(L235)&gt;0),K235/L235,"")</f>
        <v/>
      </c>
      <c r="N235" s="2" t="s">
        <v>712</v>
      </c>
    </row>
    <row r="236" customFormat="false" ht="15" hidden="false" customHeight="false" outlineLevel="0" collapsed="false">
      <c r="A236" s="2" t="n">
        <v>235</v>
      </c>
      <c r="B236" s="2" t="s">
        <v>713</v>
      </c>
      <c r="C236" s="2" t="s">
        <v>714</v>
      </c>
      <c r="D236" s="2" t="s">
        <v>74</v>
      </c>
      <c r="E236" s="2" t="s">
        <v>52</v>
      </c>
      <c r="F236" s="3" t="n">
        <v>0.00085</v>
      </c>
      <c r="G236" s="3" t="n">
        <f aca="false">SUM($F$2:F236)</f>
        <v>0.541912</v>
      </c>
      <c r="H236" s="4"/>
      <c r="I236" s="5" t="n">
        <v>22.0751</v>
      </c>
      <c r="J236" s="4" t="n">
        <v>939.52</v>
      </c>
      <c r="K236" s="5"/>
      <c r="L236" s="6" t="n">
        <v>1.1042</v>
      </c>
      <c r="M236" s="5" t="str">
        <f aca="false">IF(AND(N(K236)&gt;0,N(L236)&gt;0),K236/L236,"")</f>
        <v/>
      </c>
      <c r="N236" s="2" t="s">
        <v>715</v>
      </c>
    </row>
    <row r="237" customFormat="false" ht="15" hidden="false" customHeight="false" outlineLevel="0" collapsed="false">
      <c r="A237" s="2" t="n">
        <v>236</v>
      </c>
      <c r="B237" s="2" t="s">
        <v>716</v>
      </c>
      <c r="C237" s="2" t="s">
        <v>717</v>
      </c>
      <c r="D237" s="2"/>
      <c r="E237" s="2" t="s">
        <v>33</v>
      </c>
      <c r="F237" s="3" t="n">
        <v>0.000849</v>
      </c>
      <c r="G237" s="3" t="n">
        <f aca="false">SUM($F$2:F237)</f>
        <v>0.542761</v>
      </c>
      <c r="H237" s="4"/>
      <c r="I237" s="5"/>
      <c r="J237" s="4"/>
      <c r="K237" s="5"/>
      <c r="L237" s="6"/>
      <c r="M237" s="5" t="str">
        <f aca="false">IF(AND(N(K237)&gt;0,N(L237)&gt;0),K237/L237,"")</f>
        <v/>
      </c>
      <c r="N237" s="2" t="s">
        <v>34</v>
      </c>
    </row>
    <row r="238" customFormat="false" ht="15" hidden="false" customHeight="false" outlineLevel="0" collapsed="false">
      <c r="A238" s="2" t="n">
        <v>237</v>
      </c>
      <c r="B238" s="2" t="s">
        <v>718</v>
      </c>
      <c r="C238" s="2" t="s">
        <v>719</v>
      </c>
      <c r="D238" s="2" t="s">
        <v>16</v>
      </c>
      <c r="E238" s="2" t="s">
        <v>52</v>
      </c>
      <c r="F238" s="3" t="n">
        <v>0.000845</v>
      </c>
      <c r="G238" s="3" t="n">
        <f aca="false">SUM($F$2:F238)</f>
        <v>0.543606</v>
      </c>
      <c r="H238" s="4"/>
      <c r="I238" s="5" t="n">
        <v>27.624</v>
      </c>
      <c r="J238" s="4" t="n">
        <v>102.99</v>
      </c>
      <c r="K238" s="5"/>
      <c r="L238" s="6" t="n">
        <v>1.9927</v>
      </c>
      <c r="M238" s="5" t="str">
        <f aca="false">IF(AND(N(K238)&gt;0,N(L238)&gt;0),K238/L238,"")</f>
        <v/>
      </c>
      <c r="N238" s="2" t="s">
        <v>720</v>
      </c>
    </row>
    <row r="239" customFormat="false" ht="15" hidden="false" customHeight="false" outlineLevel="0" collapsed="false">
      <c r="A239" s="2" t="n">
        <v>238</v>
      </c>
      <c r="B239" s="2" t="s">
        <v>721</v>
      </c>
      <c r="C239" s="2" t="s">
        <v>722</v>
      </c>
      <c r="D239" s="2" t="s">
        <v>47</v>
      </c>
      <c r="E239" s="2" t="s">
        <v>52</v>
      </c>
      <c r="F239" s="3" t="n">
        <v>0.000844</v>
      </c>
      <c r="G239" s="3" t="n">
        <f aca="false">SUM($F$2:F239)</f>
        <v>0.54445</v>
      </c>
      <c r="H239" s="4"/>
      <c r="I239" s="5" t="n">
        <v>22.1724</v>
      </c>
      <c r="J239" s="4" t="n">
        <v>147.21</v>
      </c>
      <c r="K239" s="5"/>
      <c r="L239" s="6" t="n">
        <v>5.9761</v>
      </c>
      <c r="M239" s="5" t="str">
        <f aca="false">IF(AND(N(K239)&gt;0,N(L239)&gt;0),K239/L239,"")</f>
        <v/>
      </c>
      <c r="N239" s="2" t="s">
        <v>723</v>
      </c>
    </row>
    <row r="240" customFormat="false" ht="15" hidden="false" customHeight="false" outlineLevel="0" collapsed="false">
      <c r="A240" s="2" t="n">
        <v>239</v>
      </c>
      <c r="B240" s="2" t="s">
        <v>724</v>
      </c>
      <c r="C240" s="2" t="s">
        <v>725</v>
      </c>
      <c r="D240" s="2" t="s">
        <v>67</v>
      </c>
      <c r="E240" s="2" t="s">
        <v>29</v>
      </c>
      <c r="F240" s="3" t="n">
        <v>0.000842</v>
      </c>
      <c r="G240" s="3" t="n">
        <f aca="false">SUM($F$2:F240)</f>
        <v>0.545292</v>
      </c>
      <c r="H240" s="4"/>
      <c r="I240" s="5" t="n">
        <v>8.2206</v>
      </c>
      <c r="J240" s="4" t="n">
        <v>5.28</v>
      </c>
      <c r="K240" s="5"/>
      <c r="L240" s="6" t="n">
        <v>0.3209</v>
      </c>
      <c r="M240" s="5" t="str">
        <f aca="false">IF(AND(N(K240)&gt;0,N(L240)&gt;0),K240/L240,"")</f>
        <v/>
      </c>
      <c r="N240" s="2" t="s">
        <v>726</v>
      </c>
    </row>
    <row r="241" customFormat="false" ht="15" hidden="false" customHeight="false" outlineLevel="0" collapsed="false">
      <c r="A241" s="2" t="n">
        <v>240</v>
      </c>
      <c r="B241" s="2" t="s">
        <v>727</v>
      </c>
      <c r="C241" s="2" t="s">
        <v>728</v>
      </c>
      <c r="D241" s="2" t="s">
        <v>81</v>
      </c>
      <c r="E241" s="2" t="s">
        <v>38</v>
      </c>
      <c r="F241" s="3" t="n">
        <v>0.000839</v>
      </c>
      <c r="G241" s="3" t="n">
        <f aca="false">SUM($F$2:F241)</f>
        <v>0.546131</v>
      </c>
      <c r="H241" s="4"/>
      <c r="I241" s="5" t="n">
        <v>29.4204</v>
      </c>
      <c r="J241" s="4" t="n">
        <v>6.47</v>
      </c>
      <c r="K241" s="5"/>
      <c r="L241" s="6" t="n">
        <v>2.7477</v>
      </c>
      <c r="M241" s="5" t="str">
        <f aca="false">IF(AND(N(K241)&gt;0,N(L241)&gt;0),K241/L241,"")</f>
        <v/>
      </c>
      <c r="N241" s="2" t="s">
        <v>729</v>
      </c>
    </row>
    <row r="242" customFormat="false" ht="15" hidden="false" customHeight="false" outlineLevel="0" collapsed="false">
      <c r="A242" s="2" t="n">
        <v>241</v>
      </c>
      <c r="B242" s="2" t="s">
        <v>730</v>
      </c>
      <c r="C242" s="2" t="s">
        <v>731</v>
      </c>
      <c r="D242" s="2" t="s">
        <v>16</v>
      </c>
      <c r="E242" s="2" t="s">
        <v>29</v>
      </c>
      <c r="F242" s="3" t="n">
        <v>0.000834</v>
      </c>
      <c r="G242" s="3" t="n">
        <f aca="false">SUM($F$2:F242)</f>
        <v>0.546965</v>
      </c>
      <c r="H242" s="4"/>
      <c r="I242" s="5"/>
      <c r="J242" s="4" t="n">
        <v>-0.05</v>
      </c>
      <c r="K242" s="5"/>
      <c r="L242" s="6" t="n">
        <v>3.0818</v>
      </c>
      <c r="M242" s="5" t="str">
        <f aca="false">IF(AND(N(K242)&gt;0,N(L242)&gt;0),K242/L242,"")</f>
        <v/>
      </c>
      <c r="N242" s="2" t="s">
        <v>732</v>
      </c>
    </row>
    <row r="243" customFormat="false" ht="15" hidden="false" customHeight="false" outlineLevel="0" collapsed="false">
      <c r="A243" s="2" t="n">
        <v>242</v>
      </c>
      <c r="B243" s="2" t="s">
        <v>733</v>
      </c>
      <c r="C243" s="2" t="s">
        <v>734</v>
      </c>
      <c r="D243" s="2" t="s">
        <v>735</v>
      </c>
      <c r="E243" s="2" t="s">
        <v>82</v>
      </c>
      <c r="F243" s="3" t="n">
        <v>0.000828</v>
      </c>
      <c r="G243" s="3" t="n">
        <f aca="false">SUM($F$2:F243)</f>
        <v>0.547793</v>
      </c>
      <c r="H243" s="4"/>
      <c r="I243" s="5" t="n">
        <v>19.5489</v>
      </c>
      <c r="J243" s="4" t="n">
        <v>1.33</v>
      </c>
      <c r="K243" s="5"/>
      <c r="L243" s="6" t="n">
        <v>13.1582</v>
      </c>
      <c r="M243" s="5" t="str">
        <f aca="false">IF(AND(N(K243)&gt;0,N(L243)&gt;0),K243/L243,"")</f>
        <v/>
      </c>
      <c r="N243" s="2" t="s">
        <v>736</v>
      </c>
    </row>
    <row r="244" customFormat="false" ht="15" hidden="false" customHeight="false" outlineLevel="0" collapsed="false">
      <c r="A244" s="2" t="n">
        <v>243</v>
      </c>
      <c r="B244" s="2" t="s">
        <v>737</v>
      </c>
      <c r="C244" s="2" t="s">
        <v>738</v>
      </c>
      <c r="D244" s="2" t="s">
        <v>37</v>
      </c>
      <c r="E244" s="2" t="s">
        <v>29</v>
      </c>
      <c r="F244" s="3" t="n">
        <v>0.000827</v>
      </c>
      <c r="G244" s="3" t="n">
        <f aca="false">SUM($F$2:F244)</f>
        <v>0.54862</v>
      </c>
      <c r="H244" s="4"/>
      <c r="I244" s="5" t="n">
        <v>18.5689</v>
      </c>
      <c r="J244" s="4" t="n">
        <v>11.32</v>
      </c>
      <c r="K244" s="5"/>
      <c r="L244" s="6" t="n">
        <v>4.7017</v>
      </c>
      <c r="M244" s="5" t="str">
        <f aca="false">IF(AND(N(K244)&gt;0,N(L244)&gt;0),K244/L244,"")</f>
        <v/>
      </c>
      <c r="N244" s="2" t="s">
        <v>739</v>
      </c>
    </row>
    <row r="245" customFormat="false" ht="15" hidden="false" customHeight="false" outlineLevel="0" collapsed="false">
      <c r="A245" s="2" t="n">
        <v>244</v>
      </c>
      <c r="B245" s="2" t="s">
        <v>740</v>
      </c>
      <c r="C245" s="2" t="s">
        <v>741</v>
      </c>
      <c r="D245" s="2" t="s">
        <v>81</v>
      </c>
      <c r="E245" s="2" t="s">
        <v>29</v>
      </c>
      <c r="F245" s="3" t="n">
        <v>0.000826</v>
      </c>
      <c r="G245" s="3" t="n">
        <f aca="false">SUM($F$2:F245)</f>
        <v>0.549446</v>
      </c>
      <c r="H245" s="4"/>
      <c r="I245" s="5" t="n">
        <v>30.9855</v>
      </c>
      <c r="J245" s="4" t="n">
        <v>2.07</v>
      </c>
      <c r="K245" s="5"/>
      <c r="L245" s="6" t="n">
        <v>0.7679</v>
      </c>
      <c r="M245" s="5" t="str">
        <f aca="false">IF(AND(N(K245)&gt;0,N(L245)&gt;0),K245/L245,"")</f>
        <v/>
      </c>
      <c r="N245" s="2" t="s">
        <v>742</v>
      </c>
    </row>
    <row r="246" customFormat="false" ht="15" hidden="false" customHeight="false" outlineLevel="0" collapsed="false">
      <c r="A246" s="2" t="n">
        <v>245</v>
      </c>
      <c r="B246" s="2" t="s">
        <v>743</v>
      </c>
      <c r="C246" s="2" t="s">
        <v>744</v>
      </c>
      <c r="D246" s="2" t="s">
        <v>16</v>
      </c>
      <c r="E246" s="2" t="s">
        <v>296</v>
      </c>
      <c r="F246" s="3" t="n">
        <v>0.000823</v>
      </c>
      <c r="G246" s="3" t="n">
        <f aca="false">SUM($F$2:F246)</f>
        <v>0.550269</v>
      </c>
      <c r="H246" s="4" t="n">
        <v>10.89</v>
      </c>
      <c r="I246" s="5" t="n">
        <v>13.4444</v>
      </c>
      <c r="J246" s="4" t="n">
        <v>0.81</v>
      </c>
      <c r="K246" s="5" t="n">
        <v>44.1082</v>
      </c>
      <c r="L246" s="6" t="n">
        <v>2.1729</v>
      </c>
      <c r="M246" s="5" t="n">
        <f aca="false">IF(AND(N(K246)&gt;0,N(L246)&gt;0),K246/L246,"")</f>
        <v>20.2992314418519</v>
      </c>
      <c r="N246" s="2" t="s">
        <v>745</v>
      </c>
    </row>
    <row r="247" customFormat="false" ht="15" hidden="false" customHeight="false" outlineLevel="0" collapsed="false">
      <c r="A247" s="2" t="n">
        <v>246</v>
      </c>
      <c r="B247" s="2" t="s">
        <v>746</v>
      </c>
      <c r="C247" s="2" t="s">
        <v>747</v>
      </c>
      <c r="D247" s="2"/>
      <c r="E247" s="2" t="s">
        <v>679</v>
      </c>
      <c r="F247" s="3" t="n">
        <v>0.000808</v>
      </c>
      <c r="G247" s="3" t="n">
        <f aca="false">SUM($F$2:F247)</f>
        <v>0.551077</v>
      </c>
      <c r="H247" s="4"/>
      <c r="I247" s="5"/>
      <c r="J247" s="4"/>
      <c r="K247" s="5"/>
      <c r="L247" s="6"/>
      <c r="M247" s="5" t="str">
        <f aca="false">IF(AND(N(K247)&gt;0,N(L247)&gt;0),K247/L247,"")</f>
        <v/>
      </c>
      <c r="N247" s="2" t="s">
        <v>34</v>
      </c>
    </row>
    <row r="248" customFormat="false" ht="15" hidden="false" customHeight="false" outlineLevel="0" collapsed="false">
      <c r="A248" s="2" t="n">
        <v>247</v>
      </c>
      <c r="B248" s="2" t="s">
        <v>748</v>
      </c>
      <c r="C248" s="2" t="s">
        <v>749</v>
      </c>
      <c r="D248" s="2"/>
      <c r="E248" s="2" t="s">
        <v>38</v>
      </c>
      <c r="F248" s="3" t="n">
        <v>0.000807</v>
      </c>
      <c r="G248" s="3" t="n">
        <f aca="false">SUM($F$2:F248)</f>
        <v>0.551884</v>
      </c>
      <c r="H248" s="4"/>
      <c r="I248" s="5"/>
      <c r="J248" s="4"/>
      <c r="K248" s="5"/>
      <c r="L248" s="6"/>
      <c r="M248" s="5" t="str">
        <f aca="false">IF(AND(N(K248)&gt;0,N(L248)&gt;0),K248/L248,"")</f>
        <v/>
      </c>
      <c r="N248" s="2" t="s">
        <v>34</v>
      </c>
    </row>
    <row r="249" customFormat="false" ht="15" hidden="false" customHeight="false" outlineLevel="0" collapsed="false">
      <c r="A249" s="2" t="n">
        <v>248</v>
      </c>
      <c r="B249" s="2" t="s">
        <v>750</v>
      </c>
      <c r="C249" s="2" t="s">
        <v>751</v>
      </c>
      <c r="D249" s="2" t="s">
        <v>47</v>
      </c>
      <c r="E249" s="2" t="s">
        <v>17</v>
      </c>
      <c r="F249" s="3" t="n">
        <v>0.000805</v>
      </c>
      <c r="G249" s="3" t="n">
        <f aca="false">SUM($F$2:F249)</f>
        <v>0.552689</v>
      </c>
      <c r="H249" s="4"/>
      <c r="I249" s="5" t="n">
        <v>23.5233</v>
      </c>
      <c r="J249" s="4" t="n">
        <v>1.93</v>
      </c>
      <c r="K249" s="5"/>
      <c r="L249" s="6" t="n">
        <v>7.4239</v>
      </c>
      <c r="M249" s="5" t="str">
        <f aca="false">IF(AND(N(K249)&gt;0,N(L249)&gt;0),K249/L249,"")</f>
        <v/>
      </c>
      <c r="N249" s="2" t="s">
        <v>752</v>
      </c>
    </row>
    <row r="250" customFormat="false" ht="15" hidden="false" customHeight="false" outlineLevel="0" collapsed="false">
      <c r="A250" s="2" t="n">
        <v>249</v>
      </c>
      <c r="B250" s="2" t="s">
        <v>753</v>
      </c>
      <c r="C250" s="2" t="s">
        <v>20</v>
      </c>
      <c r="D250" s="2" t="s">
        <v>16</v>
      </c>
      <c r="E250" s="2" t="s">
        <v>25</v>
      </c>
      <c r="F250" s="3" t="n">
        <v>0.000801</v>
      </c>
      <c r="G250" s="3" t="n">
        <f aca="false">SUM($F$2:F250)</f>
        <v>0.55349</v>
      </c>
      <c r="H250" s="4"/>
      <c r="I250" s="5"/>
      <c r="J250" s="4"/>
      <c r="K250" s="5"/>
      <c r="L250" s="6" t="n">
        <v>3.7415</v>
      </c>
      <c r="M250" s="5" t="str">
        <f aca="false">IF(AND(N(K250)&gt;0,N(L250)&gt;0),K250/L250,"")</f>
        <v/>
      </c>
      <c r="N250" s="2" t="s">
        <v>754</v>
      </c>
    </row>
    <row r="251" customFormat="false" ht="15" hidden="false" customHeight="false" outlineLevel="0" collapsed="false">
      <c r="A251" s="2" t="n">
        <v>250</v>
      </c>
      <c r="B251" s="2" t="s">
        <v>755</v>
      </c>
      <c r="C251" s="2" t="s">
        <v>756</v>
      </c>
      <c r="D251" s="2" t="s">
        <v>37</v>
      </c>
      <c r="E251" s="2" t="s">
        <v>52</v>
      </c>
      <c r="F251" s="3" t="n">
        <v>0.000799</v>
      </c>
      <c r="G251" s="3" t="n">
        <f aca="false">SUM($F$2:F251)</f>
        <v>0.554289</v>
      </c>
      <c r="H251" s="4"/>
      <c r="I251" s="5" t="n">
        <v>21.0528</v>
      </c>
      <c r="J251" s="4" t="n">
        <v>140.29</v>
      </c>
      <c r="K251" s="5"/>
      <c r="L251" s="6" t="n">
        <v>2.4174</v>
      </c>
      <c r="M251" s="5" t="str">
        <f aca="false">IF(AND(N(K251)&gt;0,N(L251)&gt;0),K251/L251,"")</f>
        <v/>
      </c>
      <c r="N251" s="2" t="s">
        <v>757</v>
      </c>
    </row>
    <row r="252" customFormat="false" ht="15" hidden="false" customHeight="false" outlineLevel="0" collapsed="false">
      <c r="A252" s="2" t="n">
        <v>251</v>
      </c>
      <c r="B252" s="2" t="s">
        <v>758</v>
      </c>
      <c r="C252" s="2" t="s">
        <v>759</v>
      </c>
      <c r="D252" s="2"/>
      <c r="E252" s="2" t="s">
        <v>334</v>
      </c>
      <c r="F252" s="3" t="n">
        <v>0.000798</v>
      </c>
      <c r="G252" s="3" t="n">
        <f aca="false">SUM($F$2:F252)</f>
        <v>0.555087</v>
      </c>
      <c r="H252" s="4"/>
      <c r="I252" s="5"/>
      <c r="J252" s="4"/>
      <c r="K252" s="5"/>
      <c r="L252" s="6"/>
      <c r="M252" s="5" t="str">
        <f aca="false">IF(AND(N(K252)&gt;0,N(L252)&gt;0),K252/L252,"")</f>
        <v/>
      </c>
      <c r="N252" s="2" t="s">
        <v>34</v>
      </c>
    </row>
    <row r="253" customFormat="false" ht="15" hidden="false" customHeight="false" outlineLevel="0" collapsed="false">
      <c r="A253" s="2" t="n">
        <v>252</v>
      </c>
      <c r="B253" s="2" t="s">
        <v>760</v>
      </c>
      <c r="C253" s="2" t="s">
        <v>761</v>
      </c>
      <c r="D253" s="2" t="s">
        <v>74</v>
      </c>
      <c r="E253" s="2" t="s">
        <v>167</v>
      </c>
      <c r="F253" s="3" t="n">
        <v>0.000796</v>
      </c>
      <c r="G253" s="3" t="n">
        <f aca="false">SUM($F$2:F253)</f>
        <v>0.555883</v>
      </c>
      <c r="H253" s="4"/>
      <c r="I253" s="5" t="n">
        <v>40.3194</v>
      </c>
      <c r="J253" s="4" t="n">
        <v>30.06</v>
      </c>
      <c r="K253" s="5"/>
      <c r="L253" s="6" t="n">
        <v>0.9953</v>
      </c>
      <c r="M253" s="5" t="str">
        <f aca="false">IF(AND(N(K253)&gt;0,N(L253)&gt;0),K253/L253,"")</f>
        <v/>
      </c>
      <c r="N253" s="2" t="s">
        <v>762</v>
      </c>
    </row>
    <row r="254" customFormat="false" ht="15" hidden="false" customHeight="false" outlineLevel="0" collapsed="false">
      <c r="A254" s="2" t="n">
        <v>253</v>
      </c>
      <c r="B254" s="2" t="s">
        <v>763</v>
      </c>
      <c r="C254" s="2" t="s">
        <v>764</v>
      </c>
      <c r="D254" s="2"/>
      <c r="E254" s="2" t="s">
        <v>765</v>
      </c>
      <c r="F254" s="3" t="n">
        <v>0.000795</v>
      </c>
      <c r="G254" s="3" t="n">
        <f aca="false">SUM($F$2:F254)</f>
        <v>0.556678</v>
      </c>
      <c r="H254" s="4"/>
      <c r="I254" s="5"/>
      <c r="J254" s="4"/>
      <c r="K254" s="5"/>
      <c r="L254" s="6"/>
      <c r="M254" s="5" t="str">
        <f aca="false">IF(AND(N(K254)&gt;0,N(L254)&gt;0),K254/L254,"")</f>
        <v/>
      </c>
      <c r="N254" s="2" t="s">
        <v>34</v>
      </c>
    </row>
    <row r="255" customFormat="false" ht="15" hidden="false" customHeight="false" outlineLevel="0" collapsed="false">
      <c r="A255" s="2" t="n">
        <v>254</v>
      </c>
      <c r="B255" s="2" t="s">
        <v>766</v>
      </c>
      <c r="C255" s="2" t="s">
        <v>767</v>
      </c>
      <c r="D255" s="2" t="s">
        <v>37</v>
      </c>
      <c r="E255" s="2" t="s">
        <v>38</v>
      </c>
      <c r="F255" s="3" t="n">
        <v>0.000789</v>
      </c>
      <c r="G255" s="3" t="n">
        <f aca="false">SUM($F$2:F255)</f>
        <v>0.557467</v>
      </c>
      <c r="H255" s="4"/>
      <c r="I255" s="5" t="n">
        <v>54.9333</v>
      </c>
      <c r="J255" s="4" t="n">
        <v>3</v>
      </c>
      <c r="K255" s="5"/>
      <c r="L255" s="6" t="n">
        <v>6.4882</v>
      </c>
      <c r="M255" s="5" t="str">
        <f aca="false">IF(AND(N(K255)&gt;0,N(L255)&gt;0),K255/L255,"")</f>
        <v/>
      </c>
      <c r="N255" s="2" t="s">
        <v>768</v>
      </c>
    </row>
    <row r="256" customFormat="false" ht="15" hidden="false" customHeight="false" outlineLevel="0" collapsed="false">
      <c r="A256" s="2" t="n">
        <v>255</v>
      </c>
      <c r="B256" s="2" t="s">
        <v>769</v>
      </c>
      <c r="C256" s="2" t="s">
        <v>770</v>
      </c>
      <c r="D256" s="2" t="s">
        <v>16</v>
      </c>
      <c r="E256" s="2" t="s">
        <v>52</v>
      </c>
      <c r="F256" s="3" t="n">
        <v>0.000787</v>
      </c>
      <c r="G256" s="3" t="n">
        <f aca="false">SUM($F$2:F256)</f>
        <v>0.558254</v>
      </c>
      <c r="H256" s="4"/>
      <c r="I256" s="5" t="n">
        <v>11.3896</v>
      </c>
      <c r="J256" s="4" t="n">
        <v>395.36</v>
      </c>
      <c r="K256" s="5"/>
      <c r="L256" s="6" t="n">
        <v>0.7996</v>
      </c>
      <c r="M256" s="5" t="str">
        <f aca="false">IF(AND(N(K256)&gt;0,N(L256)&gt;0),K256/L256,"")</f>
        <v/>
      </c>
      <c r="N256" s="2" t="s">
        <v>771</v>
      </c>
    </row>
    <row r="257" customFormat="false" ht="15" hidden="false" customHeight="false" outlineLevel="0" collapsed="false">
      <c r="A257" s="2" t="n">
        <v>256</v>
      </c>
      <c r="B257" s="2" t="s">
        <v>772</v>
      </c>
      <c r="C257" s="2" t="s">
        <v>773</v>
      </c>
      <c r="D257" s="2"/>
      <c r="E257" s="2" t="s">
        <v>765</v>
      </c>
      <c r="F257" s="3" t="n">
        <v>0.000784</v>
      </c>
      <c r="G257" s="3" t="n">
        <f aca="false">SUM($F$2:F257)</f>
        <v>0.559038</v>
      </c>
      <c r="H257" s="4"/>
      <c r="I257" s="5"/>
      <c r="J257" s="4"/>
      <c r="K257" s="5"/>
      <c r="L257" s="6"/>
      <c r="M257" s="5" t="str">
        <f aca="false">IF(AND(N(K257)&gt;0,N(L257)&gt;0),K257/L257,"")</f>
        <v/>
      </c>
      <c r="N257" s="2" t="s">
        <v>34</v>
      </c>
    </row>
    <row r="258" customFormat="false" ht="15" hidden="false" customHeight="false" outlineLevel="0" collapsed="false">
      <c r="A258" s="2" t="n">
        <v>257</v>
      </c>
      <c r="B258" s="2" t="s">
        <v>774</v>
      </c>
      <c r="C258" s="2" t="s">
        <v>775</v>
      </c>
      <c r="D258" s="2"/>
      <c r="E258" s="2" t="s">
        <v>334</v>
      </c>
      <c r="F258" s="3" t="n">
        <v>0.000782</v>
      </c>
      <c r="G258" s="3" t="n">
        <f aca="false">SUM($F$2:F258)</f>
        <v>0.55982</v>
      </c>
      <c r="H258" s="4"/>
      <c r="I258" s="5"/>
      <c r="J258" s="4"/>
      <c r="K258" s="5"/>
      <c r="L258" s="6"/>
      <c r="M258" s="5" t="str">
        <f aca="false">IF(AND(N(K258)&gt;0,N(L258)&gt;0),K258/L258,"")</f>
        <v/>
      </c>
      <c r="N258" s="2" t="s">
        <v>34</v>
      </c>
    </row>
    <row r="259" customFormat="false" ht="15" hidden="false" customHeight="false" outlineLevel="0" collapsed="false">
      <c r="A259" s="2" t="n">
        <v>258</v>
      </c>
      <c r="B259" s="2" t="s">
        <v>776</v>
      </c>
      <c r="C259" s="2" t="s">
        <v>777</v>
      </c>
      <c r="D259" s="2" t="s">
        <v>47</v>
      </c>
      <c r="E259" s="2" t="s">
        <v>52</v>
      </c>
      <c r="F259" s="3" t="n">
        <v>0.000781</v>
      </c>
      <c r="G259" s="3" t="n">
        <f aca="false">SUM($F$2:F259)</f>
        <v>0.560601</v>
      </c>
      <c r="H259" s="4"/>
      <c r="I259" s="5" t="n">
        <v>21.5516</v>
      </c>
      <c r="J259" s="4" t="n">
        <v>113.75</v>
      </c>
      <c r="K259" s="5"/>
      <c r="L259" s="6" t="n">
        <v>4.697</v>
      </c>
      <c r="M259" s="5" t="str">
        <f aca="false">IF(AND(N(K259)&gt;0,N(L259)&gt;0),K259/L259,"")</f>
        <v/>
      </c>
      <c r="N259" s="2" t="s">
        <v>778</v>
      </c>
    </row>
    <row r="260" customFormat="false" ht="15" hidden="false" customHeight="false" outlineLevel="0" collapsed="false">
      <c r="A260" s="2" t="n">
        <v>259</v>
      </c>
      <c r="B260" s="2" t="s">
        <v>779</v>
      </c>
      <c r="C260" s="2" t="s">
        <v>780</v>
      </c>
      <c r="D260" s="2"/>
      <c r="E260" s="2" t="s">
        <v>296</v>
      </c>
      <c r="F260" s="3" t="n">
        <v>0.000777</v>
      </c>
      <c r="G260" s="3" t="n">
        <f aca="false">SUM($F$2:F260)</f>
        <v>0.561378</v>
      </c>
      <c r="H260" s="4"/>
      <c r="I260" s="5"/>
      <c r="J260" s="4"/>
      <c r="K260" s="5"/>
      <c r="L260" s="6"/>
      <c r="M260" s="5" t="str">
        <f aca="false">IF(AND(N(K260)&gt;0,N(L260)&gt;0),K260/L260,"")</f>
        <v/>
      </c>
      <c r="N260" s="2" t="s">
        <v>34</v>
      </c>
    </row>
    <row r="261" customFormat="false" ht="15" hidden="false" customHeight="false" outlineLevel="0" collapsed="false">
      <c r="A261" s="2" t="n">
        <v>260</v>
      </c>
      <c r="B261" s="2" t="s">
        <v>781</v>
      </c>
      <c r="C261" s="2" t="s">
        <v>782</v>
      </c>
      <c r="D261" s="2" t="s">
        <v>67</v>
      </c>
      <c r="E261" s="2" t="s">
        <v>25</v>
      </c>
      <c r="F261" s="3" t="n">
        <v>0.000774</v>
      </c>
      <c r="G261" s="3" t="n">
        <f aca="false">SUM($F$2:F261)</f>
        <v>0.562152</v>
      </c>
      <c r="H261" s="4"/>
      <c r="I261" s="5"/>
      <c r="J261" s="4"/>
      <c r="K261" s="5"/>
      <c r="L261" s="6" t="n">
        <v>0.5002</v>
      </c>
      <c r="M261" s="5" t="str">
        <f aca="false">IF(AND(N(K261)&gt;0,N(L261)&gt;0),K261/L261,"")</f>
        <v/>
      </c>
      <c r="N261" s="2" t="s">
        <v>783</v>
      </c>
    </row>
    <row r="262" customFormat="false" ht="15" hidden="false" customHeight="false" outlineLevel="0" collapsed="false">
      <c r="A262" s="2" t="n">
        <v>261</v>
      </c>
      <c r="B262" s="2" t="s">
        <v>784</v>
      </c>
      <c r="C262" s="2" t="s">
        <v>785</v>
      </c>
      <c r="D262" s="2" t="s">
        <v>16</v>
      </c>
      <c r="E262" s="2" t="s">
        <v>43</v>
      </c>
      <c r="F262" s="3" t="n">
        <v>0.00077</v>
      </c>
      <c r="G262" s="3" t="n">
        <f aca="false">SUM($F$2:F262)</f>
        <v>0.562922</v>
      </c>
      <c r="H262" s="4"/>
      <c r="I262" s="5" t="n">
        <v>35.3269</v>
      </c>
      <c r="J262" s="4" t="n">
        <v>1.04</v>
      </c>
      <c r="K262" s="5"/>
      <c r="L262" s="6" t="n">
        <v>4.9979</v>
      </c>
      <c r="M262" s="5" t="str">
        <f aca="false">IF(AND(N(K262)&gt;0,N(L262)&gt;0),K262/L262,"")</f>
        <v/>
      </c>
      <c r="N262" s="2" t="s">
        <v>786</v>
      </c>
    </row>
    <row r="263" customFormat="false" ht="15" hidden="false" customHeight="false" outlineLevel="0" collapsed="false">
      <c r="A263" s="2" t="n">
        <v>262</v>
      </c>
      <c r="B263" s="2" t="s">
        <v>787</v>
      </c>
      <c r="C263" s="2" t="s">
        <v>788</v>
      </c>
      <c r="D263" s="2"/>
      <c r="E263" s="2" t="s">
        <v>48</v>
      </c>
      <c r="F263" s="3" t="n">
        <v>0.000766</v>
      </c>
      <c r="G263" s="3" t="n">
        <f aca="false">SUM($F$2:F263)</f>
        <v>0.563688</v>
      </c>
      <c r="H263" s="4"/>
      <c r="I263" s="5"/>
      <c r="J263" s="4"/>
      <c r="K263" s="5"/>
      <c r="L263" s="6"/>
      <c r="M263" s="5" t="str">
        <f aca="false">IF(AND(N(K263)&gt;0,N(L263)&gt;0),K263/L263,"")</f>
        <v/>
      </c>
      <c r="N263" s="2" t="s">
        <v>34</v>
      </c>
    </row>
    <row r="264" customFormat="false" ht="15" hidden="false" customHeight="false" outlineLevel="0" collapsed="false">
      <c r="A264" s="2" t="n">
        <v>263</v>
      </c>
      <c r="B264" s="2" t="s">
        <v>789</v>
      </c>
      <c r="C264" s="2" t="s">
        <v>790</v>
      </c>
      <c r="D264" s="2"/>
      <c r="E264" s="2" t="s">
        <v>33</v>
      </c>
      <c r="F264" s="3" t="n">
        <v>0.00076</v>
      </c>
      <c r="G264" s="3" t="n">
        <f aca="false">SUM($F$2:F264)</f>
        <v>0.564448</v>
      </c>
      <c r="H264" s="4"/>
      <c r="I264" s="5"/>
      <c r="J264" s="4"/>
      <c r="K264" s="5"/>
      <c r="L264" s="6"/>
      <c r="M264" s="5" t="str">
        <f aca="false">IF(AND(N(K264)&gt;0,N(L264)&gt;0),K264/L264,"")</f>
        <v/>
      </c>
      <c r="N264" s="2" t="s">
        <v>34</v>
      </c>
    </row>
    <row r="265" customFormat="false" ht="15" hidden="false" customHeight="false" outlineLevel="0" collapsed="false">
      <c r="A265" s="2" t="n">
        <v>264</v>
      </c>
      <c r="B265" s="2" t="s">
        <v>791</v>
      </c>
      <c r="C265" s="2" t="s">
        <v>792</v>
      </c>
      <c r="D265" s="2" t="s">
        <v>74</v>
      </c>
      <c r="E265" s="2" t="s">
        <v>167</v>
      </c>
      <c r="F265" s="3" t="n">
        <v>0.000753</v>
      </c>
      <c r="G265" s="3" t="n">
        <f aca="false">SUM($F$2:F265)</f>
        <v>0.565201</v>
      </c>
      <c r="H265" s="4"/>
      <c r="I265" s="5" t="n">
        <v>25.8516</v>
      </c>
      <c r="J265" s="4" t="n">
        <v>8.22</v>
      </c>
      <c r="K265" s="5"/>
      <c r="L265" s="6" t="n">
        <v>10.2311</v>
      </c>
      <c r="M265" s="5" t="str">
        <f aca="false">IF(AND(N(K265)&gt;0,N(L265)&gt;0),K265/L265,"")</f>
        <v/>
      </c>
      <c r="N265" s="2" t="s">
        <v>793</v>
      </c>
    </row>
    <row r="266" customFormat="false" ht="15" hidden="false" customHeight="false" outlineLevel="0" collapsed="false">
      <c r="A266" s="2" t="n">
        <v>265</v>
      </c>
      <c r="B266" s="2" t="s">
        <v>794</v>
      </c>
      <c r="C266" s="2" t="s">
        <v>795</v>
      </c>
      <c r="D266" s="2" t="s">
        <v>16</v>
      </c>
      <c r="E266" s="2" t="s">
        <v>52</v>
      </c>
      <c r="F266" s="3" t="n">
        <v>0.000748</v>
      </c>
      <c r="G266" s="3" t="n">
        <f aca="false">SUM($F$2:F266)</f>
        <v>0.565949</v>
      </c>
      <c r="H266" s="4"/>
      <c r="I266" s="5" t="n">
        <v>90.907</v>
      </c>
      <c r="J266" s="4" t="n">
        <v>215.11</v>
      </c>
      <c r="K266" s="5"/>
      <c r="L266" s="6" t="n">
        <v>12.4375</v>
      </c>
      <c r="M266" s="5" t="str">
        <f aca="false">IF(AND(N(K266)&gt;0,N(L266)&gt;0),K266/L266,"")</f>
        <v/>
      </c>
      <c r="N266" s="2" t="s">
        <v>796</v>
      </c>
    </row>
    <row r="267" customFormat="false" ht="15" hidden="false" customHeight="false" outlineLevel="0" collapsed="false">
      <c r="A267" s="2" t="n">
        <v>266</v>
      </c>
      <c r="B267" s="2" t="s">
        <v>797</v>
      </c>
      <c r="C267" s="2" t="s">
        <v>798</v>
      </c>
      <c r="D267" s="2" t="s">
        <v>67</v>
      </c>
      <c r="E267" s="2" t="s">
        <v>43</v>
      </c>
      <c r="F267" s="3" t="n">
        <v>0.000741</v>
      </c>
      <c r="G267" s="3" t="n">
        <f aca="false">SUM($F$2:F267)</f>
        <v>0.56669</v>
      </c>
      <c r="H267" s="4"/>
      <c r="I267" s="5" t="n">
        <v>18.0508</v>
      </c>
      <c r="J267" s="4" t="n">
        <v>5.9</v>
      </c>
      <c r="K267" s="5"/>
      <c r="L267" s="6" t="n">
        <v>0.2215</v>
      </c>
      <c r="M267" s="5" t="str">
        <f aca="false">IF(AND(N(K267)&gt;0,N(L267)&gt;0),K267/L267,"")</f>
        <v/>
      </c>
      <c r="N267" s="2" t="s">
        <v>799</v>
      </c>
    </row>
    <row r="268" customFormat="false" ht="15" hidden="false" customHeight="false" outlineLevel="0" collapsed="false">
      <c r="A268" s="2" t="n">
        <v>267</v>
      </c>
      <c r="B268" s="2" t="s">
        <v>800</v>
      </c>
      <c r="C268" s="2" t="s">
        <v>801</v>
      </c>
      <c r="D268" s="2" t="s">
        <v>81</v>
      </c>
      <c r="E268" s="2" t="s">
        <v>38</v>
      </c>
      <c r="F268" s="3" t="n">
        <v>0.000737</v>
      </c>
      <c r="G268" s="3" t="n">
        <f aca="false">SUM($F$2:F268)</f>
        <v>0.567427</v>
      </c>
      <c r="H268" s="4"/>
      <c r="I268" s="5" t="n">
        <v>33.4957</v>
      </c>
      <c r="J268" s="4" t="n">
        <v>102.67</v>
      </c>
      <c r="K268" s="5"/>
      <c r="L268" s="6" t="n">
        <v>4.286</v>
      </c>
      <c r="M268" s="5" t="str">
        <f aca="false">IF(AND(N(K268)&gt;0,N(L268)&gt;0),K268/L268,"")</f>
        <v/>
      </c>
      <c r="N268" s="2" t="s">
        <v>802</v>
      </c>
    </row>
    <row r="269" customFormat="false" ht="15" hidden="false" customHeight="false" outlineLevel="0" collapsed="false">
      <c r="A269" s="2" t="n">
        <v>268</v>
      </c>
      <c r="B269" s="2" t="s">
        <v>803</v>
      </c>
      <c r="C269" s="2" t="s">
        <v>804</v>
      </c>
      <c r="D269" s="2" t="s">
        <v>37</v>
      </c>
      <c r="E269" s="2" t="s">
        <v>38</v>
      </c>
      <c r="F269" s="3" t="n">
        <v>0.000733</v>
      </c>
      <c r="G269" s="3" t="n">
        <f aca="false">SUM($F$2:F269)</f>
        <v>0.56816</v>
      </c>
      <c r="H269" s="4"/>
      <c r="I269" s="5" t="n">
        <v>49.6852</v>
      </c>
      <c r="J269" s="4" t="n">
        <v>1.08</v>
      </c>
      <c r="K269" s="5"/>
      <c r="L269" s="6" t="n">
        <v>2.3883</v>
      </c>
      <c r="M269" s="5" t="str">
        <f aca="false">IF(AND(N(K269)&gt;0,N(L269)&gt;0),K269/L269,"")</f>
        <v/>
      </c>
      <c r="N269" s="2" t="s">
        <v>805</v>
      </c>
    </row>
    <row r="270" customFormat="false" ht="15" hidden="false" customHeight="false" outlineLevel="0" collapsed="false">
      <c r="A270" s="2" t="n">
        <v>269</v>
      </c>
      <c r="B270" s="2" t="s">
        <v>806</v>
      </c>
      <c r="C270" s="2" t="s">
        <v>807</v>
      </c>
      <c r="D270" s="2" t="s">
        <v>42</v>
      </c>
      <c r="E270" s="2" t="s">
        <v>52</v>
      </c>
      <c r="F270" s="3" t="n">
        <v>0.000732</v>
      </c>
      <c r="G270" s="3" t="n">
        <f aca="false">SUM($F$2:F270)</f>
        <v>0.568892</v>
      </c>
      <c r="H270" s="4"/>
      <c r="I270" s="5" t="n">
        <v>14.0603</v>
      </c>
      <c r="J270" s="4" t="n">
        <v>12.61</v>
      </c>
      <c r="K270" s="5"/>
      <c r="L270" s="6" t="n">
        <v>0.973</v>
      </c>
      <c r="M270" s="5" t="str">
        <f aca="false">IF(AND(N(K270)&gt;0,N(L270)&gt;0),K270/L270,"")</f>
        <v/>
      </c>
      <c r="N270" s="2" t="s">
        <v>808</v>
      </c>
    </row>
    <row r="271" customFormat="false" ht="15" hidden="false" customHeight="false" outlineLevel="0" collapsed="false">
      <c r="A271" s="2" t="n">
        <v>270</v>
      </c>
      <c r="B271" s="2" t="s">
        <v>809</v>
      </c>
      <c r="C271" s="2" t="s">
        <v>810</v>
      </c>
      <c r="D271" s="2" t="s">
        <v>47</v>
      </c>
      <c r="E271" s="2" t="s">
        <v>811</v>
      </c>
      <c r="F271" s="3" t="n">
        <v>0.000728</v>
      </c>
      <c r="G271" s="3" t="n">
        <f aca="false">SUM($F$2:F271)</f>
        <v>0.56962</v>
      </c>
      <c r="H271" s="4"/>
      <c r="I271" s="5" t="n">
        <v>10.6771</v>
      </c>
      <c r="J271" s="4" t="n">
        <v>4329.81</v>
      </c>
      <c r="K271" s="5"/>
      <c r="L271" s="6" t="n">
        <v>3.9398</v>
      </c>
      <c r="M271" s="5" t="str">
        <f aca="false">IF(AND(N(K271)&gt;0,N(L271)&gt;0),K271/L271,"")</f>
        <v/>
      </c>
      <c r="N271" s="2" t="s">
        <v>812</v>
      </c>
    </row>
    <row r="272" customFormat="false" ht="15" hidden="false" customHeight="false" outlineLevel="0" collapsed="false">
      <c r="A272" s="2" t="n">
        <v>271</v>
      </c>
      <c r="B272" s="2" t="s">
        <v>813</v>
      </c>
      <c r="C272" s="2" t="s">
        <v>814</v>
      </c>
      <c r="D272" s="2" t="s">
        <v>47</v>
      </c>
      <c r="E272" s="2" t="s">
        <v>289</v>
      </c>
      <c r="F272" s="3" t="n">
        <v>0.000727</v>
      </c>
      <c r="G272" s="3" t="n">
        <f aca="false">SUM($F$2:F272)</f>
        <v>0.570347</v>
      </c>
      <c r="H272" s="4"/>
      <c r="I272" s="5" t="n">
        <v>13.9842</v>
      </c>
      <c r="J272" s="4" t="n">
        <v>88.85</v>
      </c>
      <c r="K272" s="5"/>
      <c r="L272" s="6" t="n">
        <v>5.0187</v>
      </c>
      <c r="M272" s="5" t="str">
        <f aca="false">IF(AND(N(K272)&gt;0,N(L272)&gt;0),K272/L272,"")</f>
        <v/>
      </c>
      <c r="N272" s="2" t="s">
        <v>815</v>
      </c>
    </row>
    <row r="273" customFormat="false" ht="15" hidden="false" customHeight="false" outlineLevel="0" collapsed="false">
      <c r="A273" s="2" t="n">
        <v>272</v>
      </c>
      <c r="B273" s="2" t="s">
        <v>816</v>
      </c>
      <c r="C273" s="2" t="s">
        <v>817</v>
      </c>
      <c r="D273" s="2" t="s">
        <v>101</v>
      </c>
      <c r="E273" s="2" t="s">
        <v>296</v>
      </c>
      <c r="F273" s="3" t="n">
        <v>0.000721</v>
      </c>
      <c r="G273" s="3" t="n">
        <f aca="false">SUM($F$2:F273)</f>
        <v>0.571068</v>
      </c>
      <c r="H273" s="4" t="n">
        <v>20.63</v>
      </c>
      <c r="I273" s="5"/>
      <c r="J273" s="4"/>
      <c r="K273" s="5" t="n">
        <v>132.9473</v>
      </c>
      <c r="L273" s="6"/>
      <c r="M273" s="5" t="str">
        <f aca="false">IF(AND(N(K273)&gt;0,N(L273)&gt;0),K273/L273,"")</f>
        <v/>
      </c>
      <c r="N273" s="2" t="s">
        <v>818</v>
      </c>
    </row>
    <row r="274" customFormat="false" ht="15" hidden="false" customHeight="false" outlineLevel="0" collapsed="false">
      <c r="A274" s="2" t="n">
        <v>273</v>
      </c>
      <c r="B274" s="2" t="s">
        <v>819</v>
      </c>
      <c r="C274" s="2" t="s">
        <v>820</v>
      </c>
      <c r="D274" s="2"/>
      <c r="E274" s="2" t="s">
        <v>33</v>
      </c>
      <c r="F274" s="3" t="n">
        <v>0.000721</v>
      </c>
      <c r="G274" s="3" t="n">
        <f aca="false">SUM($F$2:F274)</f>
        <v>0.571789</v>
      </c>
      <c r="H274" s="4"/>
      <c r="I274" s="5"/>
      <c r="J274" s="4"/>
      <c r="K274" s="5"/>
      <c r="L274" s="6"/>
      <c r="M274" s="5" t="str">
        <f aca="false">IF(AND(N(K274)&gt;0,N(L274)&gt;0),K274/L274,"")</f>
        <v/>
      </c>
      <c r="N274" s="2" t="s">
        <v>34</v>
      </c>
    </row>
    <row r="275" customFormat="false" ht="15" hidden="false" customHeight="false" outlineLevel="0" collapsed="false">
      <c r="A275" s="2" t="n">
        <v>274</v>
      </c>
      <c r="B275" s="2" t="s">
        <v>821</v>
      </c>
      <c r="C275" s="2" t="s">
        <v>822</v>
      </c>
      <c r="D275" s="2" t="s">
        <v>67</v>
      </c>
      <c r="E275" s="2" t="s">
        <v>43</v>
      </c>
      <c r="F275" s="3" t="n">
        <v>0.00072</v>
      </c>
      <c r="G275" s="3" t="n">
        <f aca="false">SUM($F$2:F275)</f>
        <v>0.572509</v>
      </c>
      <c r="H275" s="4"/>
      <c r="I275" s="5" t="n">
        <v>21.6933</v>
      </c>
      <c r="J275" s="4" t="n">
        <v>3.75</v>
      </c>
      <c r="K275" s="5"/>
      <c r="L275" s="6" t="n">
        <v>0.9539</v>
      </c>
      <c r="M275" s="5" t="str">
        <f aca="false">IF(AND(N(K275)&gt;0,N(L275)&gt;0),K275/L275,"")</f>
        <v/>
      </c>
      <c r="N275" s="2" t="s">
        <v>823</v>
      </c>
    </row>
    <row r="276" customFormat="false" ht="15" hidden="false" customHeight="false" outlineLevel="0" collapsed="false">
      <c r="A276" s="2" t="n">
        <v>275</v>
      </c>
      <c r="B276" s="2" t="s">
        <v>824</v>
      </c>
      <c r="C276" s="2" t="s">
        <v>825</v>
      </c>
      <c r="D276" s="2"/>
      <c r="E276" s="2" t="s">
        <v>826</v>
      </c>
      <c r="F276" s="3" t="n">
        <v>0.000718</v>
      </c>
      <c r="G276" s="3" t="n">
        <f aca="false">SUM($F$2:F276)</f>
        <v>0.573227</v>
      </c>
      <c r="H276" s="4"/>
      <c r="I276" s="5"/>
      <c r="J276" s="4"/>
      <c r="K276" s="5"/>
      <c r="L276" s="6"/>
      <c r="M276" s="5" t="str">
        <f aca="false">IF(AND(N(K276)&gt;0,N(L276)&gt;0),K276/L276,"")</f>
        <v/>
      </c>
      <c r="N276" s="2" t="s">
        <v>34</v>
      </c>
    </row>
    <row r="277" customFormat="false" ht="15" hidden="false" customHeight="false" outlineLevel="0" collapsed="false">
      <c r="A277" s="2" t="n">
        <v>276</v>
      </c>
      <c r="B277" s="2" t="s">
        <v>827</v>
      </c>
      <c r="C277" s="2" t="s">
        <v>828</v>
      </c>
      <c r="D277" s="2" t="s">
        <v>63</v>
      </c>
      <c r="E277" s="2" t="s">
        <v>48</v>
      </c>
      <c r="F277" s="3" t="n">
        <v>0.000717</v>
      </c>
      <c r="G277" s="3" t="n">
        <f aca="false">SUM($F$2:F277)</f>
        <v>0.573944</v>
      </c>
      <c r="H277" s="4"/>
      <c r="I277" s="5" t="n">
        <v>27.5841</v>
      </c>
      <c r="J277" s="4" t="n">
        <v>2.26</v>
      </c>
      <c r="K277" s="5"/>
      <c r="L277" s="6" t="n">
        <v>1.1071</v>
      </c>
      <c r="M277" s="5" t="str">
        <f aca="false">IF(AND(N(K277)&gt;0,N(L277)&gt;0),K277/L277,"")</f>
        <v/>
      </c>
      <c r="N277" s="2" t="s">
        <v>829</v>
      </c>
    </row>
    <row r="278" customFormat="false" ht="15" hidden="false" customHeight="false" outlineLevel="0" collapsed="false">
      <c r="A278" s="2" t="n">
        <v>277</v>
      </c>
      <c r="B278" s="2" t="s">
        <v>830</v>
      </c>
      <c r="C278" s="2" t="s">
        <v>831</v>
      </c>
      <c r="D278" s="2" t="s">
        <v>16</v>
      </c>
      <c r="E278" s="2" t="s">
        <v>29</v>
      </c>
      <c r="F278" s="3" t="n">
        <v>0.000717</v>
      </c>
      <c r="G278" s="3" t="n">
        <f aca="false">SUM($F$2:F278)</f>
        <v>0.574661</v>
      </c>
      <c r="H278" s="4"/>
      <c r="I278" s="5" t="n">
        <v>25.7103</v>
      </c>
      <c r="J278" s="4" t="n">
        <v>35.55</v>
      </c>
      <c r="K278" s="5"/>
      <c r="L278" s="6" t="n">
        <v>11.1639</v>
      </c>
      <c r="M278" s="5" t="str">
        <f aca="false">IF(AND(N(K278)&gt;0,N(L278)&gt;0),K278/L278,"")</f>
        <v/>
      </c>
      <c r="N278" s="2" t="s">
        <v>832</v>
      </c>
    </row>
    <row r="279" customFormat="false" ht="15" hidden="false" customHeight="false" outlineLevel="0" collapsed="false">
      <c r="A279" s="2" t="n">
        <v>278</v>
      </c>
      <c r="B279" s="2" t="s">
        <v>833</v>
      </c>
      <c r="C279" s="2" t="s">
        <v>834</v>
      </c>
      <c r="D279" s="2" t="s">
        <v>81</v>
      </c>
      <c r="E279" s="2" t="s">
        <v>48</v>
      </c>
      <c r="F279" s="3" t="n">
        <v>0.000717</v>
      </c>
      <c r="G279" s="3" t="n">
        <f aca="false">SUM($F$2:F279)</f>
        <v>0.575378</v>
      </c>
      <c r="H279" s="4"/>
      <c r="I279" s="5" t="n">
        <v>10.6168</v>
      </c>
      <c r="J279" s="4" t="n">
        <v>3.68</v>
      </c>
      <c r="K279" s="5"/>
      <c r="L279" s="6" t="n">
        <v>5.4713</v>
      </c>
      <c r="M279" s="5" t="str">
        <f aca="false">IF(AND(N(K279)&gt;0,N(L279)&gt;0),K279/L279,"")</f>
        <v/>
      </c>
      <c r="N279" s="2" t="s">
        <v>835</v>
      </c>
    </row>
    <row r="280" customFormat="false" ht="15" hidden="false" customHeight="false" outlineLevel="0" collapsed="false">
      <c r="A280" s="2" t="n">
        <v>279</v>
      </c>
      <c r="B280" s="2" t="s">
        <v>836</v>
      </c>
      <c r="C280" s="2" t="s">
        <v>837</v>
      </c>
      <c r="D280" s="2"/>
      <c r="E280" s="2" t="s">
        <v>334</v>
      </c>
      <c r="F280" s="3" t="n">
        <v>0.000716</v>
      </c>
      <c r="G280" s="3" t="n">
        <f aca="false">SUM($F$2:F280)</f>
        <v>0.576094</v>
      </c>
      <c r="H280" s="4"/>
      <c r="I280" s="5"/>
      <c r="J280" s="4"/>
      <c r="K280" s="5"/>
      <c r="L280" s="6"/>
      <c r="M280" s="5" t="str">
        <f aca="false">IF(AND(N(K280)&gt;0,N(L280)&gt;0),K280/L280,"")</f>
        <v/>
      </c>
      <c r="N280" s="2" t="s">
        <v>34</v>
      </c>
    </row>
    <row r="281" customFormat="false" ht="15" hidden="false" customHeight="false" outlineLevel="0" collapsed="false">
      <c r="A281" s="2" t="n">
        <v>280</v>
      </c>
      <c r="B281" s="2" t="s">
        <v>838</v>
      </c>
      <c r="C281" s="2" t="s">
        <v>839</v>
      </c>
      <c r="D281" s="2" t="s">
        <v>47</v>
      </c>
      <c r="E281" s="2" t="s">
        <v>48</v>
      </c>
      <c r="F281" s="3" t="n">
        <v>0.000715</v>
      </c>
      <c r="G281" s="3" t="n">
        <f aca="false">SUM($F$2:F281)</f>
        <v>0.576809</v>
      </c>
      <c r="H281" s="4"/>
      <c r="I281" s="5" t="n">
        <v>7.8757</v>
      </c>
      <c r="J281" s="4" t="n">
        <v>285.11</v>
      </c>
      <c r="K281" s="5"/>
      <c r="L281" s="6" t="n">
        <v>1.2104</v>
      </c>
      <c r="M281" s="5" t="str">
        <f aca="false">IF(AND(N(K281)&gt;0,N(L281)&gt;0),K281/L281,"")</f>
        <v/>
      </c>
      <c r="N281" s="2" t="s">
        <v>840</v>
      </c>
    </row>
    <row r="282" customFormat="false" ht="15" hidden="false" customHeight="false" outlineLevel="0" collapsed="false">
      <c r="A282" s="2" t="n">
        <v>281</v>
      </c>
      <c r="B282" s="2" t="s">
        <v>841</v>
      </c>
      <c r="C282" s="2" t="s">
        <v>842</v>
      </c>
      <c r="D282" s="2" t="s">
        <v>63</v>
      </c>
      <c r="E282" s="2" t="s">
        <v>82</v>
      </c>
      <c r="F282" s="3" t="n">
        <v>0.000714</v>
      </c>
      <c r="G282" s="3" t="n">
        <f aca="false">SUM($F$2:F282)</f>
        <v>0.577523</v>
      </c>
      <c r="H282" s="4"/>
      <c r="I282" s="5" t="n">
        <v>40.7849</v>
      </c>
      <c r="J282" s="4" t="n">
        <v>0.93</v>
      </c>
      <c r="K282" s="5"/>
      <c r="L282" s="6"/>
      <c r="M282" s="5" t="str">
        <f aca="false">IF(AND(N(K282)&gt;0,N(L282)&gt;0),K282/L282,"")</f>
        <v/>
      </c>
      <c r="N282" s="2" t="s">
        <v>843</v>
      </c>
    </row>
    <row r="283" customFormat="false" ht="15" hidden="false" customHeight="false" outlineLevel="0" collapsed="false">
      <c r="A283" s="2" t="n">
        <v>282</v>
      </c>
      <c r="B283" s="2" t="s">
        <v>844</v>
      </c>
      <c r="C283" s="2" t="s">
        <v>845</v>
      </c>
      <c r="D283" s="2" t="s">
        <v>67</v>
      </c>
      <c r="E283" s="2" t="s">
        <v>82</v>
      </c>
      <c r="F283" s="3" t="n">
        <v>0.000714</v>
      </c>
      <c r="G283" s="3" t="n">
        <f aca="false">SUM($F$2:F283)</f>
        <v>0.578237</v>
      </c>
      <c r="H283" s="4"/>
      <c r="I283" s="5" t="n">
        <v>26.0126</v>
      </c>
      <c r="J283" s="4" t="n">
        <v>2.38</v>
      </c>
      <c r="K283" s="5"/>
      <c r="L283" s="6" t="n">
        <v>5.8483</v>
      </c>
      <c r="M283" s="5" t="str">
        <f aca="false">IF(AND(N(K283)&gt;0,N(L283)&gt;0),K283/L283,"")</f>
        <v/>
      </c>
      <c r="N283" s="2" t="s">
        <v>846</v>
      </c>
    </row>
    <row r="284" customFormat="false" ht="15" hidden="false" customHeight="false" outlineLevel="0" collapsed="false">
      <c r="A284" s="2" t="n">
        <v>283</v>
      </c>
      <c r="B284" s="2" t="s">
        <v>847</v>
      </c>
      <c r="C284" s="2" t="s">
        <v>848</v>
      </c>
      <c r="D284" s="2" t="s">
        <v>74</v>
      </c>
      <c r="E284" s="2" t="s">
        <v>52</v>
      </c>
      <c r="F284" s="3" t="n">
        <v>0.000714</v>
      </c>
      <c r="G284" s="3" t="n">
        <f aca="false">SUM($F$2:F284)</f>
        <v>0.578951</v>
      </c>
      <c r="H284" s="4"/>
      <c r="I284" s="5" t="n">
        <v>21.2767</v>
      </c>
      <c r="J284" s="4" t="n">
        <v>350.76</v>
      </c>
      <c r="K284" s="5"/>
      <c r="L284" s="6" t="n">
        <v>0.5581</v>
      </c>
      <c r="M284" s="5" t="str">
        <f aca="false">IF(AND(N(K284)&gt;0,N(L284)&gt;0),K284/L284,"")</f>
        <v/>
      </c>
      <c r="N284" s="2" t="s">
        <v>849</v>
      </c>
    </row>
    <row r="285" customFormat="false" ht="15" hidden="false" customHeight="false" outlineLevel="0" collapsed="false">
      <c r="A285" s="2" t="n">
        <v>284</v>
      </c>
      <c r="B285" s="2" t="s">
        <v>850</v>
      </c>
      <c r="C285" s="2" t="s">
        <v>851</v>
      </c>
      <c r="D285" s="2" t="s">
        <v>63</v>
      </c>
      <c r="E285" s="2" t="s">
        <v>29</v>
      </c>
      <c r="F285" s="3" t="n">
        <v>0.000714</v>
      </c>
      <c r="G285" s="3" t="n">
        <f aca="false">SUM($F$2:F285)</f>
        <v>0.579665</v>
      </c>
      <c r="H285" s="4"/>
      <c r="I285" s="5" t="n">
        <v>12.8367</v>
      </c>
      <c r="J285" s="4" t="n">
        <v>2.51</v>
      </c>
      <c r="K285" s="5"/>
      <c r="L285" s="6" t="n">
        <v>0.3079</v>
      </c>
      <c r="M285" s="5" t="str">
        <f aca="false">IF(AND(N(K285)&gt;0,N(L285)&gt;0),K285/L285,"")</f>
        <v/>
      </c>
      <c r="N285" s="2" t="s">
        <v>852</v>
      </c>
    </row>
    <row r="286" customFormat="false" ht="15" hidden="false" customHeight="false" outlineLevel="0" collapsed="false">
      <c r="A286" s="2" t="n">
        <v>285</v>
      </c>
      <c r="B286" s="2" t="s">
        <v>853</v>
      </c>
      <c r="C286" s="2" t="s">
        <v>854</v>
      </c>
      <c r="D286" s="2"/>
      <c r="E286" s="2" t="s">
        <v>289</v>
      </c>
      <c r="F286" s="3" t="n">
        <v>0.00071</v>
      </c>
      <c r="G286" s="3" t="n">
        <f aca="false">SUM($F$2:F286)</f>
        <v>0.580375</v>
      </c>
      <c r="H286" s="4"/>
      <c r="I286" s="5"/>
      <c r="J286" s="4"/>
      <c r="K286" s="5"/>
      <c r="L286" s="6"/>
      <c r="M286" s="5" t="str">
        <f aca="false">IF(AND(N(K286)&gt;0,N(L286)&gt;0),K286/L286,"")</f>
        <v/>
      </c>
      <c r="N286" s="2" t="s">
        <v>34</v>
      </c>
    </row>
    <row r="287" customFormat="false" ht="15" hidden="false" customHeight="false" outlineLevel="0" collapsed="false">
      <c r="A287" s="2" t="n">
        <v>286</v>
      </c>
      <c r="B287" s="2" t="s">
        <v>855</v>
      </c>
      <c r="C287" s="2" t="s">
        <v>856</v>
      </c>
      <c r="D287" s="2" t="s">
        <v>47</v>
      </c>
      <c r="E287" s="2" t="s">
        <v>17</v>
      </c>
      <c r="F287" s="3" t="n">
        <v>0.000707</v>
      </c>
      <c r="G287" s="3" t="n">
        <f aca="false">SUM($F$2:F287)</f>
        <v>0.581082</v>
      </c>
      <c r="H287" s="4"/>
      <c r="I287" s="5" t="n">
        <v>22.6984</v>
      </c>
      <c r="J287" s="4" t="n">
        <v>1.89</v>
      </c>
      <c r="K287" s="5"/>
      <c r="L287" s="6" t="n">
        <v>6.661</v>
      </c>
      <c r="M287" s="5" t="str">
        <f aca="false">IF(AND(N(K287)&gt;0,N(L287)&gt;0),K287/L287,"")</f>
        <v/>
      </c>
      <c r="N287" s="2" t="s">
        <v>857</v>
      </c>
    </row>
    <row r="288" customFormat="false" ht="15" hidden="false" customHeight="false" outlineLevel="0" collapsed="false">
      <c r="A288" s="2" t="n">
        <v>287</v>
      </c>
      <c r="B288" s="2" t="s">
        <v>858</v>
      </c>
      <c r="C288" s="2" t="s">
        <v>859</v>
      </c>
      <c r="D288" s="2" t="s">
        <v>47</v>
      </c>
      <c r="E288" s="2" t="s">
        <v>860</v>
      </c>
      <c r="F288" s="3" t="n">
        <v>0.000704</v>
      </c>
      <c r="G288" s="3" t="n">
        <f aca="false">SUM($F$2:F288)</f>
        <v>0.581786</v>
      </c>
      <c r="H288" s="4"/>
      <c r="I288" s="5" t="n">
        <v>14.2396</v>
      </c>
      <c r="J288" s="4" t="n">
        <v>8.68</v>
      </c>
      <c r="K288" s="5"/>
      <c r="L288" s="6" t="n">
        <v>5.3024</v>
      </c>
      <c r="M288" s="5" t="str">
        <f aca="false">IF(AND(N(K288)&gt;0,N(L288)&gt;0),K288/L288,"")</f>
        <v/>
      </c>
      <c r="N288" s="2" t="s">
        <v>861</v>
      </c>
    </row>
    <row r="289" customFormat="false" ht="15" hidden="false" customHeight="false" outlineLevel="0" collapsed="false">
      <c r="A289" s="2" t="n">
        <v>288</v>
      </c>
      <c r="B289" s="2" t="s">
        <v>862</v>
      </c>
      <c r="C289" s="2" t="s">
        <v>863</v>
      </c>
      <c r="D289" s="2" t="s">
        <v>47</v>
      </c>
      <c r="E289" s="2" t="s">
        <v>52</v>
      </c>
      <c r="F289" s="3" t="n">
        <v>0.000703</v>
      </c>
      <c r="G289" s="3" t="n">
        <f aca="false">SUM($F$2:F289)</f>
        <v>0.582489</v>
      </c>
      <c r="H289" s="4"/>
      <c r="I289" s="5" t="n">
        <v>13.3866</v>
      </c>
      <c r="J289" s="4" t="n">
        <v>132.11</v>
      </c>
      <c r="K289" s="5"/>
      <c r="L289" s="6" t="n">
        <v>2.8132</v>
      </c>
      <c r="M289" s="5" t="str">
        <f aca="false">IF(AND(N(K289)&gt;0,N(L289)&gt;0),K289/L289,"")</f>
        <v/>
      </c>
      <c r="N289" s="2" t="s">
        <v>864</v>
      </c>
    </row>
    <row r="290" customFormat="false" ht="15" hidden="false" customHeight="false" outlineLevel="0" collapsed="false">
      <c r="A290" s="2" t="n">
        <v>289</v>
      </c>
      <c r="B290" s="2" t="s">
        <v>865</v>
      </c>
      <c r="C290" s="2" t="s">
        <v>866</v>
      </c>
      <c r="D290" s="2" t="s">
        <v>47</v>
      </c>
      <c r="E290" s="2" t="s">
        <v>52</v>
      </c>
      <c r="F290" s="3" t="n">
        <v>0.000702</v>
      </c>
      <c r="G290" s="3" t="n">
        <f aca="false">SUM($F$2:F290)</f>
        <v>0.583191</v>
      </c>
      <c r="H290" s="4"/>
      <c r="I290" s="5" t="n">
        <v>19.5688</v>
      </c>
      <c r="J290" s="4" t="n">
        <v>129.16</v>
      </c>
      <c r="K290" s="5"/>
      <c r="L290" s="6" t="n">
        <v>0.6023</v>
      </c>
      <c r="M290" s="5" t="str">
        <f aca="false">IF(AND(N(K290)&gt;0,N(L290)&gt;0),K290/L290,"")</f>
        <v/>
      </c>
      <c r="N290" s="2" t="s">
        <v>867</v>
      </c>
    </row>
    <row r="291" customFormat="false" ht="15" hidden="false" customHeight="false" outlineLevel="0" collapsed="false">
      <c r="A291" s="2" t="n">
        <v>290</v>
      </c>
      <c r="B291" s="2" t="s">
        <v>868</v>
      </c>
      <c r="C291" s="2" t="s">
        <v>869</v>
      </c>
      <c r="D291" s="2" t="s">
        <v>47</v>
      </c>
      <c r="E291" s="2" t="s">
        <v>48</v>
      </c>
      <c r="F291" s="3" t="n">
        <v>0.000702</v>
      </c>
      <c r="G291" s="3" t="n">
        <f aca="false">SUM($F$2:F291)</f>
        <v>0.583893</v>
      </c>
      <c r="H291" s="4"/>
      <c r="I291" s="5" t="n">
        <v>14.2603</v>
      </c>
      <c r="J291" s="4" t="n">
        <v>17.98</v>
      </c>
      <c r="K291" s="5"/>
      <c r="L291" s="6" t="n">
        <v>1.7007</v>
      </c>
      <c r="M291" s="5" t="str">
        <f aca="false">IF(AND(N(K291)&gt;0,N(L291)&gt;0),K291/L291,"")</f>
        <v/>
      </c>
      <c r="N291" s="2" t="s">
        <v>870</v>
      </c>
    </row>
    <row r="292" customFormat="false" ht="15" hidden="false" customHeight="false" outlineLevel="0" collapsed="false">
      <c r="A292" s="2" t="n">
        <v>291</v>
      </c>
      <c r="B292" s="2" t="s">
        <v>871</v>
      </c>
      <c r="C292" s="2" t="s">
        <v>872</v>
      </c>
      <c r="D292" s="2" t="s">
        <v>74</v>
      </c>
      <c r="E292" s="2" t="s">
        <v>52</v>
      </c>
      <c r="F292" s="3" t="n">
        <v>0.000702</v>
      </c>
      <c r="G292" s="3" t="n">
        <f aca="false">SUM($F$2:F292)</f>
        <v>0.584595</v>
      </c>
      <c r="H292" s="4"/>
      <c r="I292" s="5" t="n">
        <v>35.4622</v>
      </c>
      <c r="J292" s="4" t="n">
        <v>102.56</v>
      </c>
      <c r="K292" s="5"/>
      <c r="L292" s="6" t="n">
        <v>2.1942</v>
      </c>
      <c r="M292" s="5" t="str">
        <f aca="false">IF(AND(N(K292)&gt;0,N(L292)&gt;0),K292/L292,"")</f>
        <v/>
      </c>
      <c r="N292" s="2" t="s">
        <v>873</v>
      </c>
    </row>
    <row r="293" customFormat="false" ht="15" hidden="false" customHeight="false" outlineLevel="0" collapsed="false">
      <c r="A293" s="2" t="n">
        <v>292</v>
      </c>
      <c r="B293" s="2" t="s">
        <v>874</v>
      </c>
      <c r="C293" s="2" t="s">
        <v>875</v>
      </c>
      <c r="D293" s="2" t="s">
        <v>81</v>
      </c>
      <c r="E293" s="2" t="s">
        <v>43</v>
      </c>
      <c r="F293" s="3" t="n">
        <v>0.000697</v>
      </c>
      <c r="G293" s="3" t="n">
        <f aca="false">SUM($F$2:F293)</f>
        <v>0.585292</v>
      </c>
      <c r="H293" s="4"/>
      <c r="I293" s="5" t="n">
        <v>11.6907</v>
      </c>
      <c r="J293" s="4" t="n">
        <v>2.91</v>
      </c>
      <c r="K293" s="5"/>
      <c r="L293" s="6" t="n">
        <v>2.4088</v>
      </c>
      <c r="M293" s="5" t="str">
        <f aca="false">IF(AND(N(K293)&gt;0,N(L293)&gt;0),K293/L293,"")</f>
        <v/>
      </c>
      <c r="N293" s="2" t="s">
        <v>876</v>
      </c>
    </row>
    <row r="294" customFormat="false" ht="15" hidden="false" customHeight="false" outlineLevel="0" collapsed="false">
      <c r="A294" s="2" t="n">
        <v>293</v>
      </c>
      <c r="B294" s="2" t="s">
        <v>877</v>
      </c>
      <c r="C294" s="2" t="s">
        <v>878</v>
      </c>
      <c r="D294" s="2" t="s">
        <v>37</v>
      </c>
      <c r="E294" s="2" t="s">
        <v>52</v>
      </c>
      <c r="F294" s="3" t="n">
        <v>0.000697</v>
      </c>
      <c r="G294" s="3" t="n">
        <f aca="false">SUM($F$2:F294)</f>
        <v>0.585989</v>
      </c>
      <c r="H294" s="4"/>
      <c r="I294" s="5" t="n">
        <v>14.684</v>
      </c>
      <c r="J294" s="4" t="n">
        <v>162.32</v>
      </c>
      <c r="K294" s="5"/>
      <c r="L294" s="6" t="n">
        <v>1.8791</v>
      </c>
      <c r="M294" s="5" t="str">
        <f aca="false">IF(AND(N(K294)&gt;0,N(L294)&gt;0),K294/L294,"")</f>
        <v/>
      </c>
      <c r="N294" s="2" t="s">
        <v>879</v>
      </c>
    </row>
    <row r="295" customFormat="false" ht="15" hidden="false" customHeight="false" outlineLevel="0" collapsed="false">
      <c r="A295" s="2" t="n">
        <v>294</v>
      </c>
      <c r="B295" s="2" t="s">
        <v>880</v>
      </c>
      <c r="C295" s="2" t="s">
        <v>881</v>
      </c>
      <c r="D295" s="2" t="s">
        <v>47</v>
      </c>
      <c r="E295" s="2" t="s">
        <v>52</v>
      </c>
      <c r="F295" s="3" t="n">
        <v>0.000693</v>
      </c>
      <c r="G295" s="3" t="n">
        <f aca="false">SUM($F$2:F295)</f>
        <v>0.586682</v>
      </c>
      <c r="H295" s="4"/>
      <c r="I295" s="5" t="n">
        <v>11.8622</v>
      </c>
      <c r="J295" s="4" t="n">
        <v>133.28</v>
      </c>
      <c r="K295" s="5"/>
      <c r="L295" s="6" t="n">
        <v>1.9822</v>
      </c>
      <c r="M295" s="5" t="str">
        <f aca="false">IF(AND(N(K295)&gt;0,N(L295)&gt;0),K295/L295,"")</f>
        <v/>
      </c>
      <c r="N295" s="2" t="s">
        <v>882</v>
      </c>
    </row>
    <row r="296" customFormat="false" ht="15" hidden="false" customHeight="false" outlineLevel="0" collapsed="false">
      <c r="A296" s="2" t="n">
        <v>295</v>
      </c>
      <c r="B296" s="2" t="s">
        <v>883</v>
      </c>
      <c r="C296" s="2" t="s">
        <v>884</v>
      </c>
      <c r="D296" s="2" t="s">
        <v>16</v>
      </c>
      <c r="E296" s="2" t="s">
        <v>52</v>
      </c>
      <c r="F296" s="3" t="n">
        <v>0.000692</v>
      </c>
      <c r="G296" s="3" t="n">
        <f aca="false">SUM($F$2:F296)</f>
        <v>0.587374</v>
      </c>
      <c r="H296" s="4"/>
      <c r="I296" s="5" t="n">
        <v>42.0167</v>
      </c>
      <c r="J296" s="4" t="n">
        <v>1247.6</v>
      </c>
      <c r="K296" s="5"/>
      <c r="L296" s="6" t="n">
        <v>12.3262</v>
      </c>
      <c r="M296" s="5" t="str">
        <f aca="false">IF(AND(N(K296)&gt;0,N(L296)&gt;0),K296/L296,"")</f>
        <v/>
      </c>
      <c r="N296" s="2" t="s">
        <v>885</v>
      </c>
    </row>
    <row r="297" customFormat="false" ht="15" hidden="false" customHeight="false" outlineLevel="0" collapsed="false">
      <c r="A297" s="2" t="n">
        <v>296</v>
      </c>
      <c r="B297" s="2" t="s">
        <v>886</v>
      </c>
      <c r="C297" s="2" t="s">
        <v>887</v>
      </c>
      <c r="D297" s="2" t="s">
        <v>63</v>
      </c>
      <c r="E297" s="2" t="s">
        <v>52</v>
      </c>
      <c r="F297" s="3" t="n">
        <v>0.00069</v>
      </c>
      <c r="G297" s="3" t="n">
        <f aca="false">SUM($F$2:F297)</f>
        <v>0.588064</v>
      </c>
      <c r="H297" s="4"/>
      <c r="I297" s="5" t="n">
        <v>17.0062</v>
      </c>
      <c r="J297" s="4" t="n">
        <v>118.78</v>
      </c>
      <c r="K297" s="5"/>
      <c r="L297" s="6" t="n">
        <v>0.536</v>
      </c>
      <c r="M297" s="5" t="str">
        <f aca="false">IF(AND(N(K297)&gt;0,N(L297)&gt;0),K297/L297,"")</f>
        <v/>
      </c>
      <c r="N297" s="2" t="s">
        <v>888</v>
      </c>
    </row>
    <row r="298" customFormat="false" ht="15" hidden="false" customHeight="false" outlineLevel="0" collapsed="false">
      <c r="A298" s="2" t="n">
        <v>297</v>
      </c>
      <c r="B298" s="2" t="s">
        <v>889</v>
      </c>
      <c r="C298" s="2" t="s">
        <v>890</v>
      </c>
      <c r="D298" s="2" t="s">
        <v>42</v>
      </c>
      <c r="E298" s="2" t="s">
        <v>29</v>
      </c>
      <c r="F298" s="3" t="n">
        <v>0.000685</v>
      </c>
      <c r="G298" s="3" t="n">
        <f aca="false">SUM($F$2:F298)</f>
        <v>0.588749</v>
      </c>
      <c r="H298" s="4"/>
      <c r="I298" s="5" t="n">
        <v>9.9088</v>
      </c>
      <c r="J298" s="4" t="n">
        <v>1.48</v>
      </c>
      <c r="K298" s="5"/>
      <c r="L298" s="6" t="n">
        <v>0.9394</v>
      </c>
      <c r="M298" s="5" t="str">
        <f aca="false">IF(AND(N(K298)&gt;0,N(L298)&gt;0),K298/L298,"")</f>
        <v/>
      </c>
      <c r="N298" s="2" t="s">
        <v>891</v>
      </c>
    </row>
    <row r="299" customFormat="false" ht="15" hidden="false" customHeight="false" outlineLevel="0" collapsed="false">
      <c r="A299" s="2" t="n">
        <v>298</v>
      </c>
      <c r="B299" s="2" t="s">
        <v>892</v>
      </c>
      <c r="C299" s="2" t="s">
        <v>893</v>
      </c>
      <c r="D299" s="2" t="s">
        <v>101</v>
      </c>
      <c r="E299" s="2" t="s">
        <v>48</v>
      </c>
      <c r="F299" s="3" t="n">
        <v>0.000685</v>
      </c>
      <c r="G299" s="3" t="n">
        <f aca="false">SUM($F$2:F299)</f>
        <v>0.589434</v>
      </c>
      <c r="H299" s="4"/>
      <c r="I299" s="5" t="n">
        <v>20.7453</v>
      </c>
      <c r="J299" s="4" t="n">
        <v>8.56</v>
      </c>
      <c r="K299" s="5"/>
      <c r="L299" s="6" t="n">
        <v>1.6629</v>
      </c>
      <c r="M299" s="5" t="str">
        <f aca="false">IF(AND(N(K299)&gt;0,N(L299)&gt;0),K299/L299,"")</f>
        <v/>
      </c>
      <c r="N299" s="2" t="s">
        <v>894</v>
      </c>
    </row>
    <row r="300" customFormat="false" ht="15" hidden="false" customHeight="false" outlineLevel="0" collapsed="false">
      <c r="A300" s="2" t="n">
        <v>299</v>
      </c>
      <c r="B300" s="2" t="s">
        <v>895</v>
      </c>
      <c r="C300" s="2" t="s">
        <v>896</v>
      </c>
      <c r="D300" s="2" t="s">
        <v>37</v>
      </c>
      <c r="E300" s="2" t="s">
        <v>52</v>
      </c>
      <c r="F300" s="3" t="n">
        <v>0.000672</v>
      </c>
      <c r="G300" s="3" t="n">
        <f aca="false">SUM($F$2:F300)</f>
        <v>0.590106</v>
      </c>
      <c r="H300" s="4"/>
      <c r="I300" s="5" t="n">
        <v>23.529</v>
      </c>
      <c r="J300" s="4" t="n">
        <v>286.71</v>
      </c>
      <c r="K300" s="5"/>
      <c r="L300" s="6" t="n">
        <v>8.267</v>
      </c>
      <c r="M300" s="5" t="str">
        <f aca="false">IF(AND(N(K300)&gt;0,N(L300)&gt;0),K300/L300,"")</f>
        <v/>
      </c>
      <c r="N300" s="2" t="s">
        <v>897</v>
      </c>
    </row>
    <row r="301" customFormat="false" ht="15" hidden="false" customHeight="false" outlineLevel="0" collapsed="false">
      <c r="A301" s="2" t="n">
        <v>300</v>
      </c>
      <c r="B301" s="2" t="s">
        <v>898</v>
      </c>
      <c r="C301" s="2" t="s">
        <v>899</v>
      </c>
      <c r="D301" s="2" t="s">
        <v>47</v>
      </c>
      <c r="E301" s="2" t="s">
        <v>614</v>
      </c>
      <c r="F301" s="3" t="n">
        <v>0.000671</v>
      </c>
      <c r="G301" s="3" t="n">
        <f aca="false">SUM($F$2:F301)</f>
        <v>0.590777</v>
      </c>
      <c r="H301" s="4"/>
      <c r="I301" s="5" t="n">
        <v>11.6001</v>
      </c>
      <c r="J301" s="4" t="n">
        <v>27.56</v>
      </c>
      <c r="K301" s="5"/>
      <c r="L301" s="6" t="n">
        <v>5.1938</v>
      </c>
      <c r="M301" s="5" t="str">
        <f aca="false">IF(AND(N(K301)&gt;0,N(L301)&gt;0),K301/L301,"")</f>
        <v/>
      </c>
      <c r="N301" s="2" t="s">
        <v>900</v>
      </c>
    </row>
    <row r="302" customFormat="false" ht="15" hidden="false" customHeight="false" outlineLevel="0" collapsed="false">
      <c r="A302" s="2" t="n">
        <v>301</v>
      </c>
      <c r="B302" s="2" t="s">
        <v>901</v>
      </c>
      <c r="C302" s="2" t="s">
        <v>902</v>
      </c>
      <c r="D302" s="2" t="s">
        <v>47</v>
      </c>
      <c r="E302" s="2" t="s">
        <v>17</v>
      </c>
      <c r="F302" s="3" t="n">
        <v>0.000667</v>
      </c>
      <c r="G302" s="3" t="n">
        <f aca="false">SUM($F$2:F302)</f>
        <v>0.591444</v>
      </c>
      <c r="H302" s="4"/>
      <c r="I302" s="5" t="n">
        <v>22.5862</v>
      </c>
      <c r="J302" s="4" t="n">
        <v>1.74</v>
      </c>
      <c r="K302" s="5"/>
      <c r="L302" s="6" t="n">
        <v>1.9103</v>
      </c>
      <c r="M302" s="5" t="str">
        <f aca="false">IF(AND(N(K302)&gt;0,N(L302)&gt;0),K302/L302,"")</f>
        <v/>
      </c>
      <c r="N302" s="2" t="s">
        <v>903</v>
      </c>
    </row>
    <row r="303" customFormat="false" ht="15" hidden="false" customHeight="false" outlineLevel="0" collapsed="false">
      <c r="A303" s="2" t="n">
        <v>302</v>
      </c>
      <c r="B303" s="2" t="s">
        <v>904</v>
      </c>
      <c r="C303" s="2" t="s">
        <v>905</v>
      </c>
      <c r="D303" s="2" t="s">
        <v>74</v>
      </c>
      <c r="E303" s="2" t="s">
        <v>52</v>
      </c>
      <c r="F303" s="3" t="n">
        <v>0.000667</v>
      </c>
      <c r="G303" s="3" t="n">
        <f aca="false">SUM($F$2:F303)</f>
        <v>0.592111</v>
      </c>
      <c r="H303" s="4"/>
      <c r="I303" s="5" t="n">
        <v>14.4925</v>
      </c>
      <c r="J303" s="4" t="n">
        <v>229.36</v>
      </c>
      <c r="K303" s="5"/>
      <c r="L303" s="6" t="n">
        <v>1.1577</v>
      </c>
      <c r="M303" s="5" t="str">
        <f aca="false">IF(AND(N(K303)&gt;0,N(L303)&gt;0),K303/L303,"")</f>
        <v/>
      </c>
      <c r="N303" s="2" t="s">
        <v>906</v>
      </c>
    </row>
    <row r="304" customFormat="false" ht="15" hidden="false" customHeight="false" outlineLevel="0" collapsed="false">
      <c r="A304" s="2" t="n">
        <v>303</v>
      </c>
      <c r="B304" s="2" t="s">
        <v>907</v>
      </c>
      <c r="C304" s="2" t="s">
        <v>908</v>
      </c>
      <c r="D304" s="2" t="s">
        <v>101</v>
      </c>
      <c r="E304" s="2" t="s">
        <v>539</v>
      </c>
      <c r="F304" s="3" t="n">
        <v>0.000666</v>
      </c>
      <c r="G304" s="3" t="n">
        <f aca="false">SUM($F$2:F304)</f>
        <v>0.592777</v>
      </c>
      <c r="H304" s="4"/>
      <c r="I304" s="5" t="n">
        <v>15.1953</v>
      </c>
      <c r="J304" s="4" t="n">
        <v>1.69</v>
      </c>
      <c r="K304" s="5"/>
      <c r="L304" s="6" t="n">
        <v>3.4068</v>
      </c>
      <c r="M304" s="5" t="str">
        <f aca="false">IF(AND(N(K304)&gt;0,N(L304)&gt;0),K304/L304,"")</f>
        <v/>
      </c>
      <c r="N304" s="2" t="s">
        <v>909</v>
      </c>
    </row>
    <row r="305" customFormat="false" ht="15" hidden="false" customHeight="false" outlineLevel="0" collapsed="false">
      <c r="A305" s="2" t="n">
        <v>304</v>
      </c>
      <c r="B305" s="2" t="s">
        <v>910</v>
      </c>
      <c r="C305" s="2" t="s">
        <v>911</v>
      </c>
      <c r="D305" s="2" t="s">
        <v>47</v>
      </c>
      <c r="E305" s="2" t="s">
        <v>29</v>
      </c>
      <c r="F305" s="3" t="n">
        <v>0.000663</v>
      </c>
      <c r="G305" s="3" t="n">
        <f aca="false">SUM($F$2:F305)</f>
        <v>0.59344</v>
      </c>
      <c r="H305" s="4"/>
      <c r="I305" s="5" t="n">
        <v>12.0206</v>
      </c>
      <c r="J305" s="4" t="n">
        <v>0.97</v>
      </c>
      <c r="K305" s="5"/>
      <c r="L305" s="6" t="n">
        <v>5.5709</v>
      </c>
      <c r="M305" s="5" t="str">
        <f aca="false">IF(AND(N(K305)&gt;0,N(L305)&gt;0),K305/L305,"")</f>
        <v/>
      </c>
      <c r="N305" s="2" t="s">
        <v>912</v>
      </c>
    </row>
    <row r="306" customFormat="false" ht="15" hidden="false" customHeight="false" outlineLevel="0" collapsed="false">
      <c r="A306" s="2" t="n">
        <v>305</v>
      </c>
      <c r="B306" s="2" t="s">
        <v>913</v>
      </c>
      <c r="C306" s="2" t="s">
        <v>914</v>
      </c>
      <c r="D306" s="2" t="s">
        <v>47</v>
      </c>
      <c r="E306" s="2" t="s">
        <v>43</v>
      </c>
      <c r="F306" s="3" t="n">
        <v>0.000663</v>
      </c>
      <c r="G306" s="3" t="n">
        <f aca="false">SUM($F$2:F306)</f>
        <v>0.594103</v>
      </c>
      <c r="H306" s="4"/>
      <c r="I306" s="5" t="n">
        <v>2.8947</v>
      </c>
      <c r="J306" s="4" t="n">
        <v>10.26</v>
      </c>
      <c r="K306" s="5"/>
      <c r="L306" s="6" t="n">
        <v>1.8372</v>
      </c>
      <c r="M306" s="5" t="str">
        <f aca="false">IF(AND(N(K306)&gt;0,N(L306)&gt;0),K306/L306,"")</f>
        <v/>
      </c>
      <c r="N306" s="2" t="s">
        <v>915</v>
      </c>
    </row>
    <row r="307" customFormat="false" ht="15" hidden="false" customHeight="false" outlineLevel="0" collapsed="false">
      <c r="A307" s="2" t="n">
        <v>306</v>
      </c>
      <c r="B307" s="2" t="s">
        <v>916</v>
      </c>
      <c r="C307" s="2" t="s">
        <v>917</v>
      </c>
      <c r="D307" s="2"/>
      <c r="E307" s="2" t="s">
        <v>33</v>
      </c>
      <c r="F307" s="3" t="n">
        <v>0.000662</v>
      </c>
      <c r="G307" s="3" t="n">
        <f aca="false">SUM($F$2:F307)</f>
        <v>0.594765</v>
      </c>
      <c r="H307" s="4"/>
      <c r="I307" s="5"/>
      <c r="J307" s="4"/>
      <c r="K307" s="5"/>
      <c r="L307" s="6"/>
      <c r="M307" s="5" t="str">
        <f aca="false">IF(AND(N(K307)&gt;0,N(L307)&gt;0),K307/L307,"")</f>
        <v/>
      </c>
      <c r="N307" s="2" t="s">
        <v>34</v>
      </c>
    </row>
    <row r="308" customFormat="false" ht="15" hidden="false" customHeight="false" outlineLevel="0" collapsed="false">
      <c r="A308" s="2" t="n">
        <v>307</v>
      </c>
      <c r="B308" s="2" t="s">
        <v>918</v>
      </c>
      <c r="C308" s="2" t="s">
        <v>919</v>
      </c>
      <c r="D308" s="2" t="s">
        <v>47</v>
      </c>
      <c r="E308" s="2" t="s">
        <v>52</v>
      </c>
      <c r="F308" s="3" t="n">
        <v>0.000661</v>
      </c>
      <c r="G308" s="3" t="n">
        <f aca="false">SUM($F$2:F308)</f>
        <v>0.595426</v>
      </c>
      <c r="H308" s="4"/>
      <c r="I308" s="5" t="n">
        <v>14.8591</v>
      </c>
      <c r="J308" s="4" t="n">
        <v>124.2</v>
      </c>
      <c r="K308" s="5"/>
      <c r="L308" s="6" t="n">
        <v>2.6745</v>
      </c>
      <c r="M308" s="5" t="str">
        <f aca="false">IF(AND(N(K308)&gt;0,N(L308)&gt;0),K308/L308,"")</f>
        <v/>
      </c>
      <c r="N308" s="2" t="s">
        <v>920</v>
      </c>
    </row>
    <row r="309" customFormat="false" ht="15" hidden="false" customHeight="false" outlineLevel="0" collapsed="false">
      <c r="A309" s="2" t="n">
        <v>308</v>
      </c>
      <c r="B309" s="2" t="s">
        <v>921</v>
      </c>
      <c r="C309" s="2" t="s">
        <v>922</v>
      </c>
      <c r="D309" s="2" t="s">
        <v>74</v>
      </c>
      <c r="E309" s="2" t="s">
        <v>82</v>
      </c>
      <c r="F309" s="3" t="n">
        <v>0.000657</v>
      </c>
      <c r="G309" s="3" t="n">
        <f aca="false">SUM($F$2:F309)</f>
        <v>0.596083</v>
      </c>
      <c r="H309" s="4"/>
      <c r="I309" s="5" t="n">
        <v>110.0833</v>
      </c>
      <c r="J309" s="4" t="n">
        <v>0.12</v>
      </c>
      <c r="K309" s="5"/>
      <c r="L309" s="6" t="n">
        <v>10.5834</v>
      </c>
      <c r="M309" s="5" t="str">
        <f aca="false">IF(AND(N(K309)&gt;0,N(L309)&gt;0),K309/L309,"")</f>
        <v/>
      </c>
      <c r="N309" s="2" t="s">
        <v>923</v>
      </c>
    </row>
    <row r="310" customFormat="false" ht="15" hidden="false" customHeight="false" outlineLevel="0" collapsed="false">
      <c r="A310" s="2" t="n">
        <v>309</v>
      </c>
      <c r="B310" s="2" t="s">
        <v>924</v>
      </c>
      <c r="C310" s="2" t="s">
        <v>925</v>
      </c>
      <c r="D310" s="2" t="s">
        <v>735</v>
      </c>
      <c r="E310" s="2" t="s">
        <v>52</v>
      </c>
      <c r="F310" s="3" t="n">
        <v>0.000654</v>
      </c>
      <c r="G310" s="3" t="n">
        <f aca="false">SUM($F$2:F310)</f>
        <v>0.596737</v>
      </c>
      <c r="H310" s="4"/>
      <c r="I310" s="5" t="n">
        <v>19.8811</v>
      </c>
      <c r="J310" s="4" t="n">
        <v>181.73</v>
      </c>
      <c r="K310" s="5"/>
      <c r="L310" s="6" t="n">
        <v>2.2943</v>
      </c>
      <c r="M310" s="5" t="str">
        <f aca="false">IF(AND(N(K310)&gt;0,N(L310)&gt;0),K310/L310,"")</f>
        <v/>
      </c>
      <c r="N310" s="2" t="s">
        <v>926</v>
      </c>
    </row>
    <row r="311" customFormat="false" ht="15" hidden="false" customHeight="false" outlineLevel="0" collapsed="false">
      <c r="A311" s="2" t="n">
        <v>310</v>
      </c>
      <c r="B311" s="2" t="s">
        <v>927</v>
      </c>
      <c r="C311" s="2" t="s">
        <v>928</v>
      </c>
      <c r="D311" s="2" t="s">
        <v>47</v>
      </c>
      <c r="E311" s="2" t="s">
        <v>29</v>
      </c>
      <c r="F311" s="3" t="n">
        <v>0.000651</v>
      </c>
      <c r="G311" s="3" t="n">
        <f aca="false">SUM($F$2:F311)</f>
        <v>0.597388</v>
      </c>
      <c r="H311" s="4"/>
      <c r="I311" s="5" t="n">
        <v>12.7638</v>
      </c>
      <c r="J311" s="4" t="n">
        <v>1.27</v>
      </c>
      <c r="K311" s="5"/>
      <c r="L311" s="6" t="n">
        <v>4.5755</v>
      </c>
      <c r="M311" s="5" t="str">
        <f aca="false">IF(AND(N(K311)&gt;0,N(L311)&gt;0),K311/L311,"")</f>
        <v/>
      </c>
      <c r="N311" s="2" t="s">
        <v>929</v>
      </c>
    </row>
    <row r="312" customFormat="false" ht="15" hidden="false" customHeight="false" outlineLevel="0" collapsed="false">
      <c r="A312" s="2" t="n">
        <v>311</v>
      </c>
      <c r="B312" s="2" t="s">
        <v>930</v>
      </c>
      <c r="C312" s="2" t="s">
        <v>931</v>
      </c>
      <c r="D312" s="2"/>
      <c r="E312" s="2" t="s">
        <v>33</v>
      </c>
      <c r="F312" s="3" t="n">
        <v>0.000649</v>
      </c>
      <c r="G312" s="3" t="n">
        <f aca="false">SUM($F$2:F312)</f>
        <v>0.598037</v>
      </c>
      <c r="H312" s="4"/>
      <c r="I312" s="5"/>
      <c r="J312" s="4"/>
      <c r="K312" s="5"/>
      <c r="L312" s="6"/>
      <c r="M312" s="5" t="str">
        <f aca="false">IF(AND(N(K312)&gt;0,N(L312)&gt;0),K312/L312,"")</f>
        <v/>
      </c>
      <c r="N312" s="2" t="s">
        <v>34</v>
      </c>
    </row>
    <row r="313" customFormat="false" ht="15" hidden="false" customHeight="false" outlineLevel="0" collapsed="false">
      <c r="A313" s="2" t="n">
        <v>312</v>
      </c>
      <c r="B313" s="2" t="s">
        <v>932</v>
      </c>
      <c r="C313" s="2" t="s">
        <v>933</v>
      </c>
      <c r="D313" s="2" t="s">
        <v>47</v>
      </c>
      <c r="E313" s="2" t="s">
        <v>29</v>
      </c>
      <c r="F313" s="3" t="n">
        <v>0.000641</v>
      </c>
      <c r="G313" s="3" t="n">
        <f aca="false">SUM($F$2:F313)</f>
        <v>0.598678</v>
      </c>
      <c r="H313" s="4"/>
      <c r="I313" s="5" t="n">
        <v>9.9667</v>
      </c>
      <c r="J313" s="4" t="n">
        <v>1.2</v>
      </c>
      <c r="K313" s="5"/>
      <c r="L313" s="6" t="n">
        <v>6.4672</v>
      </c>
      <c r="M313" s="5" t="str">
        <f aca="false">IF(AND(N(K313)&gt;0,N(L313)&gt;0),K313/L313,"")</f>
        <v/>
      </c>
      <c r="N313" s="2" t="s">
        <v>934</v>
      </c>
    </row>
    <row r="314" customFormat="false" ht="15" hidden="false" customHeight="false" outlineLevel="0" collapsed="false">
      <c r="A314" s="2" t="n">
        <v>313</v>
      </c>
      <c r="B314" s="2" t="s">
        <v>935</v>
      </c>
      <c r="C314" s="2" t="s">
        <v>936</v>
      </c>
      <c r="D314" s="2" t="s">
        <v>47</v>
      </c>
      <c r="E314" s="2" t="s">
        <v>29</v>
      </c>
      <c r="F314" s="3" t="n">
        <v>0.000637</v>
      </c>
      <c r="G314" s="3" t="n">
        <f aca="false">SUM($F$2:F314)</f>
        <v>0.599315</v>
      </c>
      <c r="H314" s="4"/>
      <c r="I314" s="5" t="n">
        <v>9.1114</v>
      </c>
      <c r="J314" s="4" t="n">
        <v>2.02</v>
      </c>
      <c r="K314" s="5"/>
      <c r="L314" s="6" t="n">
        <v>2.1453</v>
      </c>
      <c r="M314" s="5" t="str">
        <f aca="false">IF(AND(N(K314)&gt;0,N(L314)&gt;0),K314/L314,"")</f>
        <v/>
      </c>
      <c r="N314" s="2" t="s">
        <v>937</v>
      </c>
    </row>
    <row r="315" customFormat="false" ht="15" hidden="false" customHeight="false" outlineLevel="0" collapsed="false">
      <c r="A315" s="2" t="n">
        <v>314</v>
      </c>
      <c r="B315" s="2" t="s">
        <v>938</v>
      </c>
      <c r="C315" s="2" t="s">
        <v>939</v>
      </c>
      <c r="D315" s="2" t="s">
        <v>101</v>
      </c>
      <c r="E315" s="2" t="s">
        <v>52</v>
      </c>
      <c r="F315" s="3" t="n">
        <v>0.000635</v>
      </c>
      <c r="G315" s="3" t="n">
        <f aca="false">SUM($F$2:F315)</f>
        <v>0.59995</v>
      </c>
      <c r="H315" s="4"/>
      <c r="I315" s="5" t="n">
        <v>14.9037</v>
      </c>
      <c r="J315" s="4" t="n">
        <v>96.05</v>
      </c>
      <c r="K315" s="5"/>
      <c r="L315" s="6" t="n">
        <v>0.3091</v>
      </c>
      <c r="M315" s="5" t="str">
        <f aca="false">IF(AND(N(K315)&gt;0,N(L315)&gt;0),K315/L315,"")</f>
        <v/>
      </c>
      <c r="N315" s="2" t="s">
        <v>940</v>
      </c>
    </row>
    <row r="316" customFormat="false" ht="15" hidden="false" customHeight="false" outlineLevel="0" collapsed="false">
      <c r="A316" s="2" t="n">
        <v>315</v>
      </c>
      <c r="B316" s="2" t="s">
        <v>941</v>
      </c>
      <c r="C316" s="2" t="s">
        <v>942</v>
      </c>
      <c r="D316" s="2" t="s">
        <v>67</v>
      </c>
      <c r="E316" s="2" t="s">
        <v>21</v>
      </c>
      <c r="F316" s="3" t="n">
        <v>0.000634</v>
      </c>
      <c r="G316" s="3" t="n">
        <f aca="false">SUM($F$2:F316)</f>
        <v>0.600584</v>
      </c>
      <c r="H316" s="4" t="n">
        <v>154.6</v>
      </c>
      <c r="I316" s="5" t="n">
        <v>32.8936</v>
      </c>
      <c r="J316" s="4" t="n">
        <v>4.7</v>
      </c>
      <c r="K316" s="5" t="n">
        <v>22.6073</v>
      </c>
      <c r="L316" s="6" t="n">
        <v>4.2423</v>
      </c>
      <c r="M316" s="5" t="n">
        <f aca="false">IF(AND(N(K316)&gt;0,N(L316)&gt;0),K316/L316,"")</f>
        <v>5.32901963557504</v>
      </c>
      <c r="N316" s="2" t="s">
        <v>943</v>
      </c>
    </row>
    <row r="317" customFormat="false" ht="15" hidden="false" customHeight="false" outlineLevel="0" collapsed="false">
      <c r="A317" s="2" t="n">
        <v>316</v>
      </c>
      <c r="B317" s="2" t="s">
        <v>944</v>
      </c>
      <c r="C317" s="2" t="s">
        <v>945</v>
      </c>
      <c r="D317" s="2" t="s">
        <v>74</v>
      </c>
      <c r="E317" s="2" t="s">
        <v>29</v>
      </c>
      <c r="F317" s="3" t="n">
        <v>0.000628</v>
      </c>
      <c r="G317" s="3" t="n">
        <f aca="false">SUM($F$2:F317)</f>
        <v>0.601212</v>
      </c>
      <c r="H317" s="4"/>
      <c r="I317" s="5" t="n">
        <v>18.4709</v>
      </c>
      <c r="J317" s="4" t="n">
        <v>1.72</v>
      </c>
      <c r="K317" s="5"/>
      <c r="L317" s="6" t="n">
        <v>0.5293</v>
      </c>
      <c r="M317" s="5" t="str">
        <f aca="false">IF(AND(N(K317)&gt;0,N(L317)&gt;0),K317/L317,"")</f>
        <v/>
      </c>
      <c r="N317" s="2" t="s">
        <v>946</v>
      </c>
    </row>
    <row r="318" customFormat="false" ht="15" hidden="false" customHeight="false" outlineLevel="0" collapsed="false">
      <c r="A318" s="2" t="n">
        <v>317</v>
      </c>
      <c r="B318" s="2" t="s">
        <v>947</v>
      </c>
      <c r="C318" s="2" t="s">
        <v>948</v>
      </c>
      <c r="D318" s="2" t="s">
        <v>47</v>
      </c>
      <c r="E318" s="2" t="s">
        <v>539</v>
      </c>
      <c r="F318" s="3" t="n">
        <v>0.000627</v>
      </c>
      <c r="G318" s="3" t="n">
        <f aca="false">SUM($F$2:F318)</f>
        <v>0.601839</v>
      </c>
      <c r="H318" s="4"/>
      <c r="I318" s="5" t="n">
        <v>9.5895</v>
      </c>
      <c r="J318" s="4" t="n">
        <v>4.19</v>
      </c>
      <c r="K318" s="5"/>
      <c r="L318" s="6" t="n">
        <v>6.0444</v>
      </c>
      <c r="M318" s="5" t="str">
        <f aca="false">IF(AND(N(K318)&gt;0,N(L318)&gt;0),K318/L318,"")</f>
        <v/>
      </c>
      <c r="N318" s="2" t="s">
        <v>949</v>
      </c>
    </row>
    <row r="319" customFormat="false" ht="15" hidden="false" customHeight="false" outlineLevel="0" collapsed="false">
      <c r="A319" s="2" t="n">
        <v>318</v>
      </c>
      <c r="B319" s="2" t="s">
        <v>950</v>
      </c>
      <c r="C319" s="2" t="s">
        <v>951</v>
      </c>
      <c r="D319" s="2" t="s">
        <v>47</v>
      </c>
      <c r="E319" s="2" t="s">
        <v>29</v>
      </c>
      <c r="F319" s="3" t="n">
        <v>0.000626</v>
      </c>
      <c r="G319" s="3" t="n">
        <f aca="false">SUM($F$2:F319)</f>
        <v>0.602465</v>
      </c>
      <c r="H319" s="4"/>
      <c r="I319" s="5" t="n">
        <v>15.7662</v>
      </c>
      <c r="J319" s="4" t="n">
        <v>2.78</v>
      </c>
      <c r="K319" s="5"/>
      <c r="L319" s="6" t="n">
        <v>3.9564</v>
      </c>
      <c r="M319" s="5" t="str">
        <f aca="false">IF(AND(N(K319)&gt;0,N(L319)&gt;0),K319/L319,"")</f>
        <v/>
      </c>
      <c r="N319" s="2" t="s">
        <v>952</v>
      </c>
    </row>
    <row r="320" customFormat="false" ht="15" hidden="false" customHeight="false" outlineLevel="0" collapsed="false">
      <c r="A320" s="2" t="n">
        <v>319</v>
      </c>
      <c r="B320" s="2" t="s">
        <v>953</v>
      </c>
      <c r="C320" s="2" t="s">
        <v>954</v>
      </c>
      <c r="D320" s="2" t="s">
        <v>74</v>
      </c>
      <c r="E320" s="2" t="s">
        <v>296</v>
      </c>
      <c r="F320" s="3" t="n">
        <v>0.000623</v>
      </c>
      <c r="G320" s="3" t="n">
        <f aca="false">SUM($F$2:F320)</f>
        <v>0.603088</v>
      </c>
      <c r="H320" s="4" t="n">
        <v>22.2</v>
      </c>
      <c r="I320" s="5"/>
      <c r="J320" s="4"/>
      <c r="K320" s="5" t="n">
        <v>30.5442</v>
      </c>
      <c r="L320" s="6"/>
      <c r="M320" s="5" t="str">
        <f aca="false">IF(AND(N(K320)&gt;0,N(L320)&gt;0),K320/L320,"")</f>
        <v/>
      </c>
      <c r="N320" s="2" t="s">
        <v>955</v>
      </c>
    </row>
    <row r="321" customFormat="false" ht="15" hidden="false" customHeight="false" outlineLevel="0" collapsed="false">
      <c r="A321" s="2" t="n">
        <v>320</v>
      </c>
      <c r="B321" s="2" t="s">
        <v>956</v>
      </c>
      <c r="C321" s="2" t="s">
        <v>957</v>
      </c>
      <c r="D321" s="2" t="s">
        <v>67</v>
      </c>
      <c r="E321" s="2" t="s">
        <v>52</v>
      </c>
      <c r="F321" s="3" t="n">
        <v>0.000623</v>
      </c>
      <c r="G321" s="3" t="n">
        <f aca="false">SUM($F$2:F321)</f>
        <v>0.603711</v>
      </c>
      <c r="H321" s="4"/>
      <c r="I321" s="5" t="n">
        <v>18.9033</v>
      </c>
      <c r="J321" s="4" t="n">
        <v>197.32</v>
      </c>
      <c r="K321" s="5"/>
      <c r="L321" s="6" t="n">
        <v>0.9935</v>
      </c>
      <c r="M321" s="5" t="str">
        <f aca="false">IF(AND(N(K321)&gt;0,N(L321)&gt;0),K321/L321,"")</f>
        <v/>
      </c>
      <c r="N321" s="2" t="s">
        <v>958</v>
      </c>
    </row>
    <row r="322" customFormat="false" ht="15" hidden="false" customHeight="false" outlineLevel="0" collapsed="false">
      <c r="A322" s="2" t="n">
        <v>321</v>
      </c>
      <c r="B322" s="2" t="s">
        <v>959</v>
      </c>
      <c r="C322" s="2" t="s">
        <v>960</v>
      </c>
      <c r="D322" s="2" t="s">
        <v>16</v>
      </c>
      <c r="E322" s="2" t="s">
        <v>17</v>
      </c>
      <c r="F322" s="3" t="n">
        <v>0.000621</v>
      </c>
      <c r="G322" s="3" t="n">
        <f aca="false">SUM($F$2:F322)</f>
        <v>0.604332</v>
      </c>
      <c r="H322" s="4"/>
      <c r="I322" s="5" t="n">
        <v>15.1127</v>
      </c>
      <c r="J322" s="4" t="n">
        <v>22.63</v>
      </c>
      <c r="K322" s="5"/>
      <c r="L322" s="6" t="n">
        <v>0.4705</v>
      </c>
      <c r="M322" s="5" t="str">
        <f aca="false">IF(AND(N(K322)&gt;0,N(L322)&gt;0),K322/L322,"")</f>
        <v/>
      </c>
      <c r="N322" s="2" t="s">
        <v>961</v>
      </c>
    </row>
    <row r="323" customFormat="false" ht="15" hidden="false" customHeight="false" outlineLevel="0" collapsed="false">
      <c r="A323" s="2" t="n">
        <v>322</v>
      </c>
      <c r="B323" s="2" t="s">
        <v>962</v>
      </c>
      <c r="C323" s="2" t="s">
        <v>963</v>
      </c>
      <c r="D323" s="2" t="s">
        <v>16</v>
      </c>
      <c r="E323" s="2" t="s">
        <v>29</v>
      </c>
      <c r="F323" s="3" t="n">
        <v>0.00062</v>
      </c>
      <c r="G323" s="3" t="n">
        <f aca="false">SUM($F$2:F323)</f>
        <v>0.604952</v>
      </c>
      <c r="H323" s="4"/>
      <c r="I323" s="5" t="n">
        <v>18.6205</v>
      </c>
      <c r="J323" s="4" t="n">
        <v>3.03</v>
      </c>
      <c r="K323" s="5"/>
      <c r="L323" s="6" t="n">
        <v>3.5947</v>
      </c>
      <c r="M323" s="5" t="str">
        <f aca="false">IF(AND(N(K323)&gt;0,N(L323)&gt;0),K323/L323,"")</f>
        <v/>
      </c>
      <c r="N323" s="2" t="s">
        <v>964</v>
      </c>
    </row>
    <row r="324" customFormat="false" ht="15" hidden="false" customHeight="false" outlineLevel="0" collapsed="false">
      <c r="A324" s="2" t="n">
        <v>323</v>
      </c>
      <c r="B324" s="2" t="s">
        <v>965</v>
      </c>
      <c r="C324" s="2" t="s">
        <v>966</v>
      </c>
      <c r="D324" s="2" t="s">
        <v>63</v>
      </c>
      <c r="E324" s="2" t="s">
        <v>52</v>
      </c>
      <c r="F324" s="3" t="n">
        <v>0.000619</v>
      </c>
      <c r="G324" s="3" t="n">
        <f aca="false">SUM($F$2:F324)</f>
        <v>0.605571</v>
      </c>
      <c r="H324" s="4"/>
      <c r="I324" s="5" t="n">
        <v>35.4617</v>
      </c>
      <c r="J324" s="4" t="n">
        <v>138.29</v>
      </c>
      <c r="K324" s="5"/>
      <c r="L324" s="6" t="n">
        <v>2.8633</v>
      </c>
      <c r="M324" s="5" t="str">
        <f aca="false">IF(AND(N(K324)&gt;0,N(L324)&gt;0),K324/L324,"")</f>
        <v/>
      </c>
      <c r="N324" s="2" t="s">
        <v>967</v>
      </c>
    </row>
    <row r="325" customFormat="false" ht="15" hidden="false" customHeight="false" outlineLevel="0" collapsed="false">
      <c r="A325" s="2" t="n">
        <v>324</v>
      </c>
      <c r="B325" s="2" t="s">
        <v>968</v>
      </c>
      <c r="C325" s="2" t="s">
        <v>969</v>
      </c>
      <c r="D325" s="2"/>
      <c r="E325" s="2" t="s">
        <v>29</v>
      </c>
      <c r="F325" s="3" t="n">
        <v>0.000619</v>
      </c>
      <c r="G325" s="3" t="n">
        <f aca="false">SUM($F$2:F325)</f>
        <v>0.60619</v>
      </c>
      <c r="H325" s="4"/>
      <c r="I325" s="5"/>
      <c r="J325" s="4"/>
      <c r="K325" s="5"/>
      <c r="L325" s="6"/>
      <c r="M325" s="5" t="str">
        <f aca="false">IF(AND(N(K325)&gt;0,N(L325)&gt;0),K325/L325,"")</f>
        <v/>
      </c>
      <c r="N325" s="2" t="s">
        <v>34</v>
      </c>
    </row>
    <row r="326" customFormat="false" ht="15" hidden="false" customHeight="false" outlineLevel="0" collapsed="false">
      <c r="A326" s="2" t="n">
        <v>325</v>
      </c>
      <c r="B326" s="2" t="s">
        <v>970</v>
      </c>
      <c r="C326" s="2" t="s">
        <v>971</v>
      </c>
      <c r="D326" s="2"/>
      <c r="E326" s="2" t="s">
        <v>29</v>
      </c>
      <c r="F326" s="3" t="n">
        <v>0.000618</v>
      </c>
      <c r="G326" s="3" t="n">
        <f aca="false">SUM($F$2:F326)</f>
        <v>0.606808</v>
      </c>
      <c r="H326" s="4"/>
      <c r="I326" s="5"/>
      <c r="J326" s="4"/>
      <c r="K326" s="5"/>
      <c r="L326" s="6"/>
      <c r="M326" s="5" t="str">
        <f aca="false">IF(AND(N(K326)&gt;0,N(L326)&gt;0),K326/L326,"")</f>
        <v/>
      </c>
      <c r="N326" s="2" t="s">
        <v>34</v>
      </c>
    </row>
    <row r="327" customFormat="false" ht="15" hidden="false" customHeight="false" outlineLevel="0" collapsed="false">
      <c r="A327" s="2" t="n">
        <v>326</v>
      </c>
      <c r="B327" s="2" t="s">
        <v>972</v>
      </c>
      <c r="C327" s="2" t="s">
        <v>973</v>
      </c>
      <c r="D327" s="2"/>
      <c r="E327" s="2" t="s">
        <v>29</v>
      </c>
      <c r="F327" s="3" t="n">
        <v>0.000615</v>
      </c>
      <c r="G327" s="3" t="n">
        <f aca="false">SUM($F$2:F327)</f>
        <v>0.607423</v>
      </c>
      <c r="H327" s="4"/>
      <c r="I327" s="5"/>
      <c r="J327" s="4"/>
      <c r="K327" s="5"/>
      <c r="L327" s="6"/>
      <c r="M327" s="5" t="str">
        <f aca="false">IF(AND(N(K327)&gt;0,N(L327)&gt;0),K327/L327,"")</f>
        <v/>
      </c>
      <c r="N327" s="2" t="s">
        <v>34</v>
      </c>
    </row>
    <row r="328" customFormat="false" ht="15" hidden="false" customHeight="false" outlineLevel="0" collapsed="false">
      <c r="A328" s="2" t="n">
        <v>327</v>
      </c>
      <c r="B328" s="2" t="s">
        <v>974</v>
      </c>
      <c r="C328" s="2" t="s">
        <v>975</v>
      </c>
      <c r="D328" s="2"/>
      <c r="E328" s="2" t="s">
        <v>296</v>
      </c>
      <c r="F328" s="3" t="n">
        <v>0.000613</v>
      </c>
      <c r="G328" s="3" t="n">
        <f aca="false">SUM($F$2:F328)</f>
        <v>0.608036</v>
      </c>
      <c r="H328" s="4"/>
      <c r="I328" s="5"/>
      <c r="J328" s="4"/>
      <c r="K328" s="5"/>
      <c r="L328" s="6"/>
      <c r="M328" s="5" t="str">
        <f aca="false">IF(AND(N(K328)&gt;0,N(L328)&gt;0),K328/L328,"")</f>
        <v/>
      </c>
      <c r="N328" s="2" t="s">
        <v>34</v>
      </c>
    </row>
    <row r="329" customFormat="false" ht="15" hidden="false" customHeight="false" outlineLevel="0" collapsed="false">
      <c r="A329" s="2" t="n">
        <v>328</v>
      </c>
      <c r="B329" s="2" t="s">
        <v>976</v>
      </c>
      <c r="C329" s="2" t="s">
        <v>977</v>
      </c>
      <c r="D329" s="2"/>
      <c r="E329" s="2" t="s">
        <v>334</v>
      </c>
      <c r="F329" s="3" t="n">
        <v>0.000612</v>
      </c>
      <c r="G329" s="3" t="n">
        <f aca="false">SUM($F$2:F329)</f>
        <v>0.608648</v>
      </c>
      <c r="H329" s="4"/>
      <c r="I329" s="5"/>
      <c r="J329" s="4"/>
      <c r="K329" s="5"/>
      <c r="L329" s="6"/>
      <c r="M329" s="5" t="str">
        <f aca="false">IF(AND(N(K329)&gt;0,N(L329)&gt;0),K329/L329,"")</f>
        <v/>
      </c>
      <c r="N329" s="2" t="s">
        <v>34</v>
      </c>
    </row>
    <row r="330" customFormat="false" ht="15" hidden="false" customHeight="false" outlineLevel="0" collapsed="false">
      <c r="A330" s="2" t="n">
        <v>329</v>
      </c>
      <c r="B330" s="2" t="s">
        <v>978</v>
      </c>
      <c r="C330" s="2" t="s">
        <v>979</v>
      </c>
      <c r="D330" s="2"/>
      <c r="E330" s="2" t="s">
        <v>17</v>
      </c>
      <c r="F330" s="3" t="n">
        <v>0.000611</v>
      </c>
      <c r="G330" s="3" t="n">
        <f aca="false">SUM($F$2:F330)</f>
        <v>0.609259</v>
      </c>
      <c r="H330" s="4"/>
      <c r="I330" s="5"/>
      <c r="J330" s="4"/>
      <c r="K330" s="5"/>
      <c r="L330" s="6"/>
      <c r="M330" s="5" t="str">
        <f aca="false">IF(AND(N(K330)&gt;0,N(L330)&gt;0),K330/L330,"")</f>
        <v/>
      </c>
      <c r="N330" s="2" t="s">
        <v>34</v>
      </c>
    </row>
    <row r="331" customFormat="false" ht="15" hidden="false" customHeight="false" outlineLevel="0" collapsed="false">
      <c r="A331" s="2" t="n">
        <v>330</v>
      </c>
      <c r="B331" s="2" t="s">
        <v>980</v>
      </c>
      <c r="C331" s="2" t="s">
        <v>981</v>
      </c>
      <c r="D331" s="2"/>
      <c r="E331" s="2" t="s">
        <v>29</v>
      </c>
      <c r="F331" s="3" t="n">
        <v>0.000611</v>
      </c>
      <c r="G331" s="3" t="n">
        <f aca="false">SUM($F$2:F331)</f>
        <v>0.60987</v>
      </c>
      <c r="H331" s="4"/>
      <c r="I331" s="5"/>
      <c r="J331" s="4"/>
      <c r="K331" s="5"/>
      <c r="L331" s="6"/>
      <c r="M331" s="5" t="str">
        <f aca="false">IF(AND(N(K331)&gt;0,N(L331)&gt;0),K331/L331,"")</f>
        <v/>
      </c>
      <c r="N331" s="2" t="s">
        <v>34</v>
      </c>
    </row>
    <row r="332" customFormat="false" ht="15" hidden="false" customHeight="false" outlineLevel="0" collapsed="false">
      <c r="A332" s="2" t="n">
        <v>331</v>
      </c>
      <c r="B332" s="2" t="s">
        <v>982</v>
      </c>
      <c r="C332" s="2" t="s">
        <v>983</v>
      </c>
      <c r="D332" s="2"/>
      <c r="E332" s="2" t="s">
        <v>17</v>
      </c>
      <c r="F332" s="3" t="n">
        <v>0.000609</v>
      </c>
      <c r="G332" s="3" t="n">
        <f aca="false">SUM($F$2:F332)</f>
        <v>0.610479</v>
      </c>
      <c r="H332" s="4"/>
      <c r="I332" s="5"/>
      <c r="J332" s="4"/>
      <c r="K332" s="5"/>
      <c r="L332" s="6"/>
      <c r="M332" s="5" t="str">
        <f aca="false">IF(AND(N(K332)&gt;0,N(L332)&gt;0),K332/L332,"")</f>
        <v/>
      </c>
      <c r="N332" s="2" t="s">
        <v>34</v>
      </c>
    </row>
    <row r="333" customFormat="false" ht="15" hidden="false" customHeight="false" outlineLevel="0" collapsed="false">
      <c r="A333" s="2" t="n">
        <v>332</v>
      </c>
      <c r="B333" s="2" t="s">
        <v>984</v>
      </c>
      <c r="C333" s="2" t="s">
        <v>985</v>
      </c>
      <c r="D333" s="2"/>
      <c r="E333" s="2" t="s">
        <v>52</v>
      </c>
      <c r="F333" s="3" t="n">
        <v>0.000603</v>
      </c>
      <c r="G333" s="3" t="n">
        <f aca="false">SUM($F$2:F333)</f>
        <v>0.611082</v>
      </c>
      <c r="H333" s="4"/>
      <c r="I333" s="5"/>
      <c r="J333" s="4"/>
      <c r="K333" s="5"/>
      <c r="L333" s="6"/>
      <c r="M333" s="5" t="str">
        <f aca="false">IF(AND(N(K333)&gt;0,N(L333)&gt;0),K333/L333,"")</f>
        <v/>
      </c>
      <c r="N333" s="2" t="s">
        <v>34</v>
      </c>
    </row>
    <row r="334" customFormat="false" ht="15" hidden="false" customHeight="false" outlineLevel="0" collapsed="false">
      <c r="A334" s="2" t="n">
        <v>333</v>
      </c>
      <c r="B334" s="2" t="s">
        <v>986</v>
      </c>
      <c r="C334" s="2" t="s">
        <v>987</v>
      </c>
      <c r="D334" s="2"/>
      <c r="E334" s="2" t="s">
        <v>17</v>
      </c>
      <c r="F334" s="3" t="n">
        <v>0.000601</v>
      </c>
      <c r="G334" s="3" t="n">
        <f aca="false">SUM($F$2:F334)</f>
        <v>0.611683</v>
      </c>
      <c r="H334" s="4"/>
      <c r="I334" s="5"/>
      <c r="J334" s="4"/>
      <c r="K334" s="5"/>
      <c r="L334" s="6"/>
      <c r="M334" s="5" t="str">
        <f aca="false">IF(AND(N(K334)&gt;0,N(L334)&gt;0),K334/L334,"")</f>
        <v/>
      </c>
      <c r="N334" s="2" t="s">
        <v>34</v>
      </c>
    </row>
    <row r="335" customFormat="false" ht="15" hidden="false" customHeight="false" outlineLevel="0" collapsed="false">
      <c r="A335" s="2" t="n">
        <v>334</v>
      </c>
      <c r="B335" s="2" t="s">
        <v>988</v>
      </c>
      <c r="C335" s="2" t="s">
        <v>989</v>
      </c>
      <c r="D335" s="2"/>
      <c r="E335" s="2" t="s">
        <v>52</v>
      </c>
      <c r="F335" s="3" t="n">
        <v>0.000601</v>
      </c>
      <c r="G335" s="3" t="n">
        <f aca="false">SUM($F$2:F335)</f>
        <v>0.612284</v>
      </c>
      <c r="H335" s="4"/>
      <c r="I335" s="5"/>
      <c r="J335" s="4"/>
      <c r="K335" s="5"/>
      <c r="L335" s="6"/>
      <c r="M335" s="5" t="str">
        <f aca="false">IF(AND(N(K335)&gt;0,N(L335)&gt;0),K335/L335,"")</f>
        <v/>
      </c>
      <c r="N335" s="2" t="s">
        <v>34</v>
      </c>
    </row>
    <row r="336" customFormat="false" ht="15" hidden="false" customHeight="false" outlineLevel="0" collapsed="false">
      <c r="A336" s="2" t="n">
        <v>335</v>
      </c>
      <c r="B336" s="2" t="s">
        <v>990</v>
      </c>
      <c r="C336" s="2" t="s">
        <v>991</v>
      </c>
      <c r="D336" s="2"/>
      <c r="E336" s="2" t="s">
        <v>29</v>
      </c>
      <c r="F336" s="3" t="n">
        <v>0.000601</v>
      </c>
      <c r="G336" s="3" t="n">
        <f aca="false">SUM($F$2:F336)</f>
        <v>0.612885</v>
      </c>
      <c r="H336" s="4"/>
      <c r="I336" s="5"/>
      <c r="J336" s="4"/>
      <c r="K336" s="5"/>
      <c r="L336" s="6"/>
      <c r="M336" s="5" t="str">
        <f aca="false">IF(AND(N(K336)&gt;0,N(L336)&gt;0),K336/L336,"")</f>
        <v/>
      </c>
      <c r="N336" s="2" t="s">
        <v>34</v>
      </c>
    </row>
    <row r="337" customFormat="false" ht="15" hidden="false" customHeight="false" outlineLevel="0" collapsed="false">
      <c r="A337" s="2" t="n">
        <v>336</v>
      </c>
      <c r="B337" s="2" t="s">
        <v>992</v>
      </c>
      <c r="C337" s="2" t="s">
        <v>993</v>
      </c>
      <c r="D337" s="2"/>
      <c r="E337" s="2" t="s">
        <v>52</v>
      </c>
      <c r="F337" s="3" t="n">
        <v>0.0006</v>
      </c>
      <c r="G337" s="3" t="n">
        <f aca="false">SUM($F$2:F337)</f>
        <v>0.613485</v>
      </c>
      <c r="H337" s="4"/>
      <c r="I337" s="5"/>
      <c r="J337" s="4"/>
      <c r="K337" s="5"/>
      <c r="L337" s="6"/>
      <c r="M337" s="5" t="str">
        <f aca="false">IF(AND(N(K337)&gt;0,N(L337)&gt;0),K337/L337,"")</f>
        <v/>
      </c>
      <c r="N337" s="2" t="s">
        <v>34</v>
      </c>
    </row>
    <row r="338" customFormat="false" ht="15" hidden="false" customHeight="false" outlineLevel="0" collapsed="false">
      <c r="A338" s="2" t="n">
        <v>337</v>
      </c>
      <c r="B338" s="2" t="s">
        <v>994</v>
      </c>
      <c r="C338" s="2" t="s">
        <v>995</v>
      </c>
      <c r="D338" s="2"/>
      <c r="E338" s="2" t="s">
        <v>289</v>
      </c>
      <c r="F338" s="3" t="n">
        <v>0.000594</v>
      </c>
      <c r="G338" s="3" t="n">
        <f aca="false">SUM($F$2:F338)</f>
        <v>0.614079</v>
      </c>
      <c r="H338" s="4"/>
      <c r="I338" s="5"/>
      <c r="J338" s="4"/>
      <c r="K338" s="5"/>
      <c r="L338" s="6"/>
      <c r="M338" s="5" t="str">
        <f aca="false">IF(AND(N(K338)&gt;0,N(L338)&gt;0),K338/L338,"")</f>
        <v/>
      </c>
      <c r="N338" s="2" t="s">
        <v>34</v>
      </c>
    </row>
    <row r="339" customFormat="false" ht="15" hidden="false" customHeight="false" outlineLevel="0" collapsed="false">
      <c r="A339" s="2" t="n">
        <v>338</v>
      </c>
      <c r="B339" s="2" t="s">
        <v>301</v>
      </c>
      <c r="C339" s="2" t="s">
        <v>996</v>
      </c>
      <c r="D339" s="2"/>
      <c r="E339" s="2" t="s">
        <v>33</v>
      </c>
      <c r="F339" s="3" t="n">
        <v>0.000594</v>
      </c>
      <c r="G339" s="3" t="n">
        <f aca="false">SUM($F$2:F339)</f>
        <v>0.614673</v>
      </c>
      <c r="H339" s="4"/>
      <c r="I339" s="5"/>
      <c r="J339" s="4"/>
      <c r="K339" s="5"/>
      <c r="L339" s="6"/>
      <c r="M339" s="5" t="str">
        <f aca="false">IF(AND(N(K339)&gt;0,N(L339)&gt;0),K339/L339,"")</f>
        <v/>
      </c>
      <c r="N339" s="2" t="s">
        <v>34</v>
      </c>
    </row>
    <row r="340" customFormat="false" ht="15" hidden="false" customHeight="false" outlineLevel="0" collapsed="false">
      <c r="A340" s="2" t="n">
        <v>339</v>
      </c>
      <c r="B340" s="2" t="s">
        <v>997</v>
      </c>
      <c r="C340" s="2" t="s">
        <v>998</v>
      </c>
      <c r="D340" s="2"/>
      <c r="E340" s="2" t="s">
        <v>52</v>
      </c>
      <c r="F340" s="3" t="n">
        <v>0.000592</v>
      </c>
      <c r="G340" s="3" t="n">
        <f aca="false">SUM($F$2:F340)</f>
        <v>0.615265</v>
      </c>
      <c r="H340" s="4"/>
      <c r="I340" s="5"/>
      <c r="J340" s="4"/>
      <c r="K340" s="5"/>
      <c r="L340" s="6"/>
      <c r="M340" s="5" t="str">
        <f aca="false">IF(AND(N(K340)&gt;0,N(L340)&gt;0),K340/L340,"")</f>
        <v/>
      </c>
      <c r="N340" s="2" t="s">
        <v>34</v>
      </c>
    </row>
    <row r="341" customFormat="false" ht="15" hidden="false" customHeight="false" outlineLevel="0" collapsed="false">
      <c r="A341" s="2" t="n">
        <v>340</v>
      </c>
      <c r="B341" s="2" t="s">
        <v>999</v>
      </c>
      <c r="C341" s="2" t="s">
        <v>1000</v>
      </c>
      <c r="D341" s="2"/>
      <c r="E341" s="2" t="s">
        <v>29</v>
      </c>
      <c r="F341" s="3" t="n">
        <v>0.000591</v>
      </c>
      <c r="G341" s="3" t="n">
        <f aca="false">SUM($F$2:F341)</f>
        <v>0.615856</v>
      </c>
      <c r="H341" s="4"/>
      <c r="I341" s="5"/>
      <c r="J341" s="4"/>
      <c r="K341" s="5"/>
      <c r="L341" s="6"/>
      <c r="M341" s="5" t="str">
        <f aca="false">IF(AND(N(K341)&gt;0,N(L341)&gt;0),K341/L341,"")</f>
        <v/>
      </c>
      <c r="N341" s="2" t="s">
        <v>34</v>
      </c>
    </row>
    <row r="342" customFormat="false" ht="15" hidden="false" customHeight="false" outlineLevel="0" collapsed="false">
      <c r="A342" s="2" t="n">
        <v>341</v>
      </c>
      <c r="B342" s="2" t="s">
        <v>1001</v>
      </c>
      <c r="C342" s="2" t="s">
        <v>1002</v>
      </c>
      <c r="D342" s="2"/>
      <c r="E342" s="2" t="s">
        <v>48</v>
      </c>
      <c r="F342" s="3" t="n">
        <v>0.000591</v>
      </c>
      <c r="G342" s="3" t="n">
        <f aca="false">SUM($F$2:F342)</f>
        <v>0.616447</v>
      </c>
      <c r="H342" s="4"/>
      <c r="I342" s="5"/>
      <c r="J342" s="4"/>
      <c r="K342" s="5"/>
      <c r="L342" s="6"/>
      <c r="M342" s="5" t="str">
        <f aca="false">IF(AND(N(K342)&gt;0,N(L342)&gt;0),K342/L342,"")</f>
        <v/>
      </c>
      <c r="N342" s="2" t="s">
        <v>34</v>
      </c>
    </row>
    <row r="343" customFormat="false" ht="15" hidden="false" customHeight="false" outlineLevel="0" collapsed="false">
      <c r="A343" s="2" t="n">
        <v>342</v>
      </c>
      <c r="B343" s="2" t="s">
        <v>1003</v>
      </c>
      <c r="C343" s="2" t="s">
        <v>1004</v>
      </c>
      <c r="D343" s="2"/>
      <c r="E343" s="2" t="s">
        <v>29</v>
      </c>
      <c r="F343" s="3" t="n">
        <v>0.00059</v>
      </c>
      <c r="G343" s="3" t="n">
        <f aca="false">SUM($F$2:F343)</f>
        <v>0.617037</v>
      </c>
      <c r="H343" s="4"/>
      <c r="I343" s="5"/>
      <c r="J343" s="4"/>
      <c r="K343" s="5"/>
      <c r="L343" s="6"/>
      <c r="M343" s="5" t="str">
        <f aca="false">IF(AND(N(K343)&gt;0,N(L343)&gt;0),K343/L343,"")</f>
        <v/>
      </c>
      <c r="N343" s="2" t="s">
        <v>34</v>
      </c>
    </row>
    <row r="344" customFormat="false" ht="15" hidden="false" customHeight="false" outlineLevel="0" collapsed="false">
      <c r="A344" s="2" t="n">
        <v>343</v>
      </c>
      <c r="B344" s="2" t="s">
        <v>1005</v>
      </c>
      <c r="C344" s="2" t="s">
        <v>1006</v>
      </c>
      <c r="D344" s="2"/>
      <c r="E344" s="2" t="s">
        <v>700</v>
      </c>
      <c r="F344" s="3" t="n">
        <v>0.000586</v>
      </c>
      <c r="G344" s="3" t="n">
        <f aca="false">SUM($F$2:F344)</f>
        <v>0.617623</v>
      </c>
      <c r="H344" s="4"/>
      <c r="I344" s="5"/>
      <c r="J344" s="4"/>
      <c r="K344" s="5"/>
      <c r="L344" s="6"/>
      <c r="M344" s="5" t="str">
        <f aca="false">IF(AND(N(K344)&gt;0,N(L344)&gt;0),K344/L344,"")</f>
        <v/>
      </c>
      <c r="N344" s="2" t="s">
        <v>34</v>
      </c>
    </row>
    <row r="345" customFormat="false" ht="15" hidden="false" customHeight="false" outlineLevel="0" collapsed="false">
      <c r="A345" s="2" t="n">
        <v>344</v>
      </c>
      <c r="B345" s="2" t="s">
        <v>1007</v>
      </c>
      <c r="C345" s="2" t="s">
        <v>1008</v>
      </c>
      <c r="D345" s="2"/>
      <c r="E345" s="2" t="s">
        <v>765</v>
      </c>
      <c r="F345" s="3" t="n">
        <v>0.000584</v>
      </c>
      <c r="G345" s="3" t="n">
        <f aca="false">SUM($F$2:F345)</f>
        <v>0.618207</v>
      </c>
      <c r="H345" s="4"/>
      <c r="I345" s="5"/>
      <c r="J345" s="4"/>
      <c r="K345" s="5"/>
      <c r="L345" s="6"/>
      <c r="M345" s="5" t="str">
        <f aca="false">IF(AND(N(K345)&gt;0,N(L345)&gt;0),K345/L345,"")</f>
        <v/>
      </c>
      <c r="N345" s="2" t="s">
        <v>34</v>
      </c>
    </row>
    <row r="346" customFormat="false" ht="15" hidden="false" customHeight="false" outlineLevel="0" collapsed="false">
      <c r="A346" s="2" t="n">
        <v>345</v>
      </c>
      <c r="B346" s="2" t="s">
        <v>1009</v>
      </c>
      <c r="C346" s="2" t="s">
        <v>1010</v>
      </c>
      <c r="D346" s="2"/>
      <c r="E346" s="2" t="s">
        <v>25</v>
      </c>
      <c r="F346" s="3" t="n">
        <v>0.000583</v>
      </c>
      <c r="G346" s="3" t="n">
        <f aca="false">SUM($F$2:F346)</f>
        <v>0.61879</v>
      </c>
      <c r="H346" s="4"/>
      <c r="I346" s="5"/>
      <c r="J346" s="4"/>
      <c r="K346" s="5"/>
      <c r="L346" s="6"/>
      <c r="M346" s="5" t="str">
        <f aca="false">IF(AND(N(K346)&gt;0,N(L346)&gt;0),K346/L346,"")</f>
        <v/>
      </c>
      <c r="N346" s="2" t="s">
        <v>34</v>
      </c>
    </row>
    <row r="347" customFormat="false" ht="15" hidden="false" customHeight="false" outlineLevel="0" collapsed="false">
      <c r="A347" s="2" t="n">
        <v>346</v>
      </c>
      <c r="B347" s="2" t="s">
        <v>1011</v>
      </c>
      <c r="C347" s="2" t="s">
        <v>1012</v>
      </c>
      <c r="D347" s="2"/>
      <c r="E347" s="2" t="s">
        <v>48</v>
      </c>
      <c r="F347" s="3" t="n">
        <v>0.000582</v>
      </c>
      <c r="G347" s="3" t="n">
        <f aca="false">SUM($F$2:F347)</f>
        <v>0.619372</v>
      </c>
      <c r="H347" s="4"/>
      <c r="I347" s="5"/>
      <c r="J347" s="4"/>
      <c r="K347" s="5"/>
      <c r="L347" s="6"/>
      <c r="M347" s="5" t="str">
        <f aca="false">IF(AND(N(K347)&gt;0,N(L347)&gt;0),K347/L347,"")</f>
        <v/>
      </c>
      <c r="N347" s="2" t="s">
        <v>34</v>
      </c>
    </row>
    <row r="348" customFormat="false" ht="15" hidden="false" customHeight="false" outlineLevel="0" collapsed="false">
      <c r="A348" s="2" t="n">
        <v>347</v>
      </c>
      <c r="B348" s="2" t="s">
        <v>1013</v>
      </c>
      <c r="C348" s="2" t="s">
        <v>1014</v>
      </c>
      <c r="D348" s="2"/>
      <c r="E348" s="2" t="s">
        <v>29</v>
      </c>
      <c r="F348" s="3" t="n">
        <v>0.000581</v>
      </c>
      <c r="G348" s="3" t="n">
        <f aca="false">SUM($F$2:F348)</f>
        <v>0.619953</v>
      </c>
      <c r="H348" s="4"/>
      <c r="I348" s="5"/>
      <c r="J348" s="4"/>
      <c r="K348" s="5"/>
      <c r="L348" s="6"/>
      <c r="M348" s="5" t="str">
        <f aca="false">IF(AND(N(K348)&gt;0,N(L348)&gt;0),K348/L348,"")</f>
        <v/>
      </c>
      <c r="N348" s="2" t="s">
        <v>34</v>
      </c>
    </row>
    <row r="349" customFormat="false" ht="15" hidden="false" customHeight="false" outlineLevel="0" collapsed="false">
      <c r="A349" s="2" t="n">
        <v>348</v>
      </c>
      <c r="B349" s="2" t="s">
        <v>1015</v>
      </c>
      <c r="C349" s="2" t="s">
        <v>1016</v>
      </c>
      <c r="D349" s="2"/>
      <c r="E349" s="2" t="s">
        <v>82</v>
      </c>
      <c r="F349" s="3" t="n">
        <v>0.000574</v>
      </c>
      <c r="G349" s="3" t="n">
        <f aca="false">SUM($F$2:F349)</f>
        <v>0.620527</v>
      </c>
      <c r="H349" s="4"/>
      <c r="I349" s="5"/>
      <c r="J349" s="4"/>
      <c r="K349" s="5"/>
      <c r="L349" s="6"/>
      <c r="M349" s="5" t="str">
        <f aca="false">IF(AND(N(K349)&gt;0,N(L349)&gt;0),K349/L349,"")</f>
        <v/>
      </c>
      <c r="N349" s="2" t="s">
        <v>34</v>
      </c>
    </row>
    <row r="350" customFormat="false" ht="15" hidden="false" customHeight="false" outlineLevel="0" collapsed="false">
      <c r="A350" s="2" t="n">
        <v>349</v>
      </c>
      <c r="B350" s="2" t="s">
        <v>1017</v>
      </c>
      <c r="C350" s="2" t="s">
        <v>1018</v>
      </c>
      <c r="D350" s="2"/>
      <c r="E350" s="2" t="s">
        <v>1019</v>
      </c>
      <c r="F350" s="3" t="n">
        <v>0.000571</v>
      </c>
      <c r="G350" s="3" t="n">
        <f aca="false">SUM($F$2:F350)</f>
        <v>0.621098</v>
      </c>
      <c r="H350" s="4"/>
      <c r="I350" s="5"/>
      <c r="J350" s="4"/>
      <c r="K350" s="5"/>
      <c r="L350" s="6"/>
      <c r="M350" s="5" t="str">
        <f aca="false">IF(AND(N(K350)&gt;0,N(L350)&gt;0),K350/L350,"")</f>
        <v/>
      </c>
      <c r="N350" s="2" t="s">
        <v>34</v>
      </c>
    </row>
    <row r="351" customFormat="false" ht="15" hidden="false" customHeight="false" outlineLevel="0" collapsed="false">
      <c r="A351" s="2" t="n">
        <v>350</v>
      </c>
      <c r="B351" s="2" t="s">
        <v>1020</v>
      </c>
      <c r="C351" s="2" t="s">
        <v>1021</v>
      </c>
      <c r="D351" s="2"/>
      <c r="E351" s="2" t="s">
        <v>296</v>
      </c>
      <c r="F351" s="3" t="n">
        <v>0.00057</v>
      </c>
      <c r="G351" s="3" t="n">
        <f aca="false">SUM($F$2:F351)</f>
        <v>0.621668</v>
      </c>
      <c r="H351" s="4"/>
      <c r="I351" s="5"/>
      <c r="J351" s="4"/>
      <c r="K351" s="5"/>
      <c r="L351" s="6"/>
      <c r="M351" s="5" t="str">
        <f aca="false">IF(AND(N(K351)&gt;0,N(L351)&gt;0),K351/L351,"")</f>
        <v/>
      </c>
      <c r="N351" s="2" t="s">
        <v>34</v>
      </c>
    </row>
    <row r="352" customFormat="false" ht="15" hidden="false" customHeight="false" outlineLevel="0" collapsed="false">
      <c r="A352" s="2" t="n">
        <v>351</v>
      </c>
      <c r="B352" s="2" t="s">
        <v>1022</v>
      </c>
      <c r="C352" s="2" t="s">
        <v>1023</v>
      </c>
      <c r="D352" s="2"/>
      <c r="E352" s="2" t="s">
        <v>289</v>
      </c>
      <c r="F352" s="3" t="n">
        <v>0.000568</v>
      </c>
      <c r="G352" s="3" t="n">
        <f aca="false">SUM($F$2:F352)</f>
        <v>0.622236</v>
      </c>
      <c r="H352" s="4"/>
      <c r="I352" s="5"/>
      <c r="J352" s="4"/>
      <c r="K352" s="5"/>
      <c r="L352" s="6"/>
      <c r="M352" s="5" t="str">
        <f aca="false">IF(AND(N(K352)&gt;0,N(L352)&gt;0),K352/L352,"")</f>
        <v/>
      </c>
      <c r="N352" s="2" t="s">
        <v>34</v>
      </c>
    </row>
    <row r="353" customFormat="false" ht="15" hidden="false" customHeight="false" outlineLevel="0" collapsed="false">
      <c r="A353" s="2" t="n">
        <v>352</v>
      </c>
      <c r="B353" s="2" t="s">
        <v>1024</v>
      </c>
      <c r="C353" s="2" t="s">
        <v>1025</v>
      </c>
      <c r="D353" s="2"/>
      <c r="E353" s="2" t="s">
        <v>43</v>
      </c>
      <c r="F353" s="3" t="n">
        <v>0.000568</v>
      </c>
      <c r="G353" s="3" t="n">
        <f aca="false">SUM($F$2:F353)</f>
        <v>0.622804</v>
      </c>
      <c r="H353" s="4"/>
      <c r="I353" s="5"/>
      <c r="J353" s="4"/>
      <c r="K353" s="5"/>
      <c r="L353" s="6"/>
      <c r="M353" s="5" t="str">
        <f aca="false">IF(AND(N(K353)&gt;0,N(L353)&gt;0),K353/L353,"")</f>
        <v/>
      </c>
      <c r="N353" s="2" t="s">
        <v>34</v>
      </c>
    </row>
    <row r="354" customFormat="false" ht="15" hidden="false" customHeight="false" outlineLevel="0" collapsed="false">
      <c r="A354" s="2" t="n">
        <v>353</v>
      </c>
      <c r="B354" s="2" t="s">
        <v>1026</v>
      </c>
      <c r="C354" s="2" t="s">
        <v>1027</v>
      </c>
      <c r="D354" s="2"/>
      <c r="E354" s="2" t="s">
        <v>21</v>
      </c>
      <c r="F354" s="3" t="n">
        <v>0.000568</v>
      </c>
      <c r="G354" s="3" t="n">
        <f aca="false">SUM($F$2:F354)</f>
        <v>0.623372</v>
      </c>
      <c r="H354" s="4"/>
      <c r="I354" s="5"/>
      <c r="J354" s="4"/>
      <c r="K354" s="5"/>
      <c r="L354" s="6"/>
      <c r="M354" s="5" t="str">
        <f aca="false">IF(AND(N(K354)&gt;0,N(L354)&gt;0),K354/L354,"")</f>
        <v/>
      </c>
      <c r="N354" s="2" t="s">
        <v>34</v>
      </c>
    </row>
    <row r="355" customFormat="false" ht="15" hidden="false" customHeight="false" outlineLevel="0" collapsed="false">
      <c r="A355" s="2" t="n">
        <v>354</v>
      </c>
      <c r="B355" s="2" t="s">
        <v>1028</v>
      </c>
      <c r="C355" s="2" t="s">
        <v>1029</v>
      </c>
      <c r="D355" s="2"/>
      <c r="E355" s="2" t="s">
        <v>29</v>
      </c>
      <c r="F355" s="3" t="n">
        <v>0.000567</v>
      </c>
      <c r="G355" s="3" t="n">
        <f aca="false">SUM($F$2:F355)</f>
        <v>0.623939</v>
      </c>
      <c r="H355" s="4"/>
      <c r="I355" s="5"/>
      <c r="J355" s="4"/>
      <c r="K355" s="5"/>
      <c r="L355" s="6"/>
      <c r="M355" s="5" t="str">
        <f aca="false">IF(AND(N(K355)&gt;0,N(L355)&gt;0),K355/L355,"")</f>
        <v/>
      </c>
      <c r="N355" s="2" t="s">
        <v>34</v>
      </c>
    </row>
    <row r="356" customFormat="false" ht="15" hidden="false" customHeight="false" outlineLevel="0" collapsed="false">
      <c r="A356" s="2" t="n">
        <v>355</v>
      </c>
      <c r="B356" s="2" t="s">
        <v>1030</v>
      </c>
      <c r="C356" s="2" t="s">
        <v>1031</v>
      </c>
      <c r="D356" s="2"/>
      <c r="E356" s="2" t="s">
        <v>25</v>
      </c>
      <c r="F356" s="3" t="n">
        <v>0.000567</v>
      </c>
      <c r="G356" s="3" t="n">
        <f aca="false">SUM($F$2:F356)</f>
        <v>0.624506</v>
      </c>
      <c r="H356" s="4"/>
      <c r="I356" s="5"/>
      <c r="J356" s="4"/>
      <c r="K356" s="5"/>
      <c r="L356" s="6"/>
      <c r="M356" s="5" t="str">
        <f aca="false">IF(AND(N(K356)&gt;0,N(L356)&gt;0),K356/L356,"")</f>
        <v/>
      </c>
      <c r="N356" s="2" t="s">
        <v>34</v>
      </c>
    </row>
    <row r="357" customFormat="false" ht="15" hidden="false" customHeight="false" outlineLevel="0" collapsed="false">
      <c r="A357" s="2" t="n">
        <v>356</v>
      </c>
      <c r="B357" s="2" t="s">
        <v>1032</v>
      </c>
      <c r="C357" s="2" t="s">
        <v>1033</v>
      </c>
      <c r="D357" s="2"/>
      <c r="E357" s="2" t="s">
        <v>52</v>
      </c>
      <c r="F357" s="3" t="n">
        <v>0.000563</v>
      </c>
      <c r="G357" s="3" t="n">
        <f aca="false">SUM($F$2:F357)</f>
        <v>0.625069</v>
      </c>
      <c r="H357" s="4"/>
      <c r="I357" s="5"/>
      <c r="J357" s="4"/>
      <c r="K357" s="5"/>
      <c r="L357" s="6"/>
      <c r="M357" s="5" t="str">
        <f aca="false">IF(AND(N(K357)&gt;0,N(L357)&gt;0),K357/L357,"")</f>
        <v/>
      </c>
      <c r="N357" s="2" t="s">
        <v>34</v>
      </c>
    </row>
    <row r="358" customFormat="false" ht="15" hidden="false" customHeight="false" outlineLevel="0" collapsed="false">
      <c r="A358" s="2" t="n">
        <v>357</v>
      </c>
      <c r="B358" s="2" t="s">
        <v>1034</v>
      </c>
      <c r="C358" s="2" t="s">
        <v>1035</v>
      </c>
      <c r="D358" s="2"/>
      <c r="E358" s="2" t="s">
        <v>38</v>
      </c>
      <c r="F358" s="3" t="n">
        <v>0.000562</v>
      </c>
      <c r="G358" s="3" t="n">
        <f aca="false">SUM($F$2:F358)</f>
        <v>0.625631</v>
      </c>
      <c r="H358" s="4"/>
      <c r="I358" s="5"/>
      <c r="J358" s="4"/>
      <c r="K358" s="5"/>
      <c r="L358" s="6"/>
      <c r="M358" s="5" t="str">
        <f aca="false">IF(AND(N(K358)&gt;0,N(L358)&gt;0),K358/L358,"")</f>
        <v/>
      </c>
      <c r="N358" s="2" t="s">
        <v>34</v>
      </c>
    </row>
    <row r="359" customFormat="false" ht="15" hidden="false" customHeight="false" outlineLevel="0" collapsed="false">
      <c r="A359" s="2" t="n">
        <v>358</v>
      </c>
      <c r="B359" s="2" t="s">
        <v>1036</v>
      </c>
      <c r="C359" s="2" t="s">
        <v>1037</v>
      </c>
      <c r="D359" s="2"/>
      <c r="E359" s="2" t="s">
        <v>29</v>
      </c>
      <c r="F359" s="3" t="n">
        <v>0.000559</v>
      </c>
      <c r="G359" s="3" t="n">
        <f aca="false">SUM($F$2:F359)</f>
        <v>0.62619</v>
      </c>
      <c r="H359" s="4"/>
      <c r="I359" s="5"/>
      <c r="J359" s="4"/>
      <c r="K359" s="5"/>
      <c r="L359" s="6"/>
      <c r="M359" s="5" t="str">
        <f aca="false">IF(AND(N(K359)&gt;0,N(L359)&gt;0),K359/L359,"")</f>
        <v/>
      </c>
      <c r="N359" s="2" t="s">
        <v>34</v>
      </c>
    </row>
    <row r="360" customFormat="false" ht="15" hidden="false" customHeight="false" outlineLevel="0" collapsed="false">
      <c r="A360" s="2" t="n">
        <v>359</v>
      </c>
      <c r="B360" s="2" t="s">
        <v>1038</v>
      </c>
      <c r="C360" s="2" t="s">
        <v>1039</v>
      </c>
      <c r="D360" s="2"/>
      <c r="E360" s="2" t="s">
        <v>52</v>
      </c>
      <c r="F360" s="3" t="n">
        <v>0.000554</v>
      </c>
      <c r="G360" s="3" t="n">
        <f aca="false">SUM($F$2:F360)</f>
        <v>0.626744</v>
      </c>
      <c r="H360" s="4"/>
      <c r="I360" s="5"/>
      <c r="J360" s="4"/>
      <c r="K360" s="5"/>
      <c r="L360" s="6"/>
      <c r="M360" s="5" t="str">
        <f aca="false">IF(AND(N(K360)&gt;0,N(L360)&gt;0),K360/L360,"")</f>
        <v/>
      </c>
      <c r="N360" s="2" t="s">
        <v>34</v>
      </c>
    </row>
    <row r="361" customFormat="false" ht="15" hidden="false" customHeight="false" outlineLevel="0" collapsed="false">
      <c r="A361" s="2" t="n">
        <v>360</v>
      </c>
      <c r="B361" s="2" t="s">
        <v>1040</v>
      </c>
      <c r="C361" s="2" t="s">
        <v>1041</v>
      </c>
      <c r="D361" s="2"/>
      <c r="E361" s="2" t="s">
        <v>29</v>
      </c>
      <c r="F361" s="3" t="n">
        <v>0.000554</v>
      </c>
      <c r="G361" s="3" t="n">
        <f aca="false">SUM($F$2:F361)</f>
        <v>0.627298</v>
      </c>
      <c r="H361" s="4"/>
      <c r="I361" s="5"/>
      <c r="J361" s="4"/>
      <c r="K361" s="5"/>
      <c r="L361" s="6"/>
      <c r="M361" s="5" t="str">
        <f aca="false">IF(AND(N(K361)&gt;0,N(L361)&gt;0),K361/L361,"")</f>
        <v/>
      </c>
      <c r="N361" s="2" t="s">
        <v>34</v>
      </c>
    </row>
    <row r="362" customFormat="false" ht="15" hidden="false" customHeight="false" outlineLevel="0" collapsed="false">
      <c r="A362" s="2" t="n">
        <v>361</v>
      </c>
      <c r="B362" s="2" t="s">
        <v>1042</v>
      </c>
      <c r="C362" s="2" t="s">
        <v>1043</v>
      </c>
      <c r="D362" s="2"/>
      <c r="E362" s="2" t="s">
        <v>17</v>
      </c>
      <c r="F362" s="3" t="n">
        <v>0.000554</v>
      </c>
      <c r="G362" s="3" t="n">
        <f aca="false">SUM($F$2:F362)</f>
        <v>0.627852</v>
      </c>
      <c r="H362" s="4"/>
      <c r="I362" s="5"/>
      <c r="J362" s="4"/>
      <c r="K362" s="5"/>
      <c r="L362" s="6"/>
      <c r="M362" s="5" t="str">
        <f aca="false">IF(AND(N(K362)&gt;0,N(L362)&gt;0),K362/L362,"")</f>
        <v/>
      </c>
      <c r="N362" s="2" t="s">
        <v>34</v>
      </c>
    </row>
    <row r="363" customFormat="false" ht="15" hidden="false" customHeight="false" outlineLevel="0" collapsed="false">
      <c r="A363" s="2" t="n">
        <v>362</v>
      </c>
      <c r="B363" s="2" t="s">
        <v>1044</v>
      </c>
      <c r="C363" s="2" t="s">
        <v>1045</v>
      </c>
      <c r="D363" s="2"/>
      <c r="E363" s="2" t="s">
        <v>38</v>
      </c>
      <c r="F363" s="3" t="n">
        <v>0.000553</v>
      </c>
      <c r="G363" s="3" t="n">
        <f aca="false">SUM($F$2:F363)</f>
        <v>0.628405</v>
      </c>
      <c r="H363" s="4"/>
      <c r="I363" s="5"/>
      <c r="J363" s="4"/>
      <c r="K363" s="5"/>
      <c r="L363" s="6"/>
      <c r="M363" s="5" t="str">
        <f aca="false">IF(AND(N(K363)&gt;0,N(L363)&gt;0),K363/L363,"")</f>
        <v/>
      </c>
      <c r="N363" s="2" t="s">
        <v>34</v>
      </c>
    </row>
    <row r="364" customFormat="false" ht="15" hidden="false" customHeight="false" outlineLevel="0" collapsed="false">
      <c r="A364" s="2" t="n">
        <v>363</v>
      </c>
      <c r="B364" s="2" t="s">
        <v>1046</v>
      </c>
      <c r="C364" s="2" t="s">
        <v>1047</v>
      </c>
      <c r="D364" s="2"/>
      <c r="E364" s="2" t="s">
        <v>52</v>
      </c>
      <c r="F364" s="3" t="n">
        <v>0.000552</v>
      </c>
      <c r="G364" s="3" t="n">
        <f aca="false">SUM($F$2:F364)</f>
        <v>0.628957</v>
      </c>
      <c r="H364" s="4"/>
      <c r="I364" s="5"/>
      <c r="J364" s="4"/>
      <c r="K364" s="5"/>
      <c r="L364" s="6"/>
      <c r="M364" s="5" t="str">
        <f aca="false">IF(AND(N(K364)&gt;0,N(L364)&gt;0),K364/L364,"")</f>
        <v/>
      </c>
      <c r="N364" s="2" t="s">
        <v>34</v>
      </c>
    </row>
    <row r="365" customFormat="false" ht="15" hidden="false" customHeight="false" outlineLevel="0" collapsed="false">
      <c r="A365" s="2" t="n">
        <v>364</v>
      </c>
      <c r="B365" s="2" t="s">
        <v>1048</v>
      </c>
      <c r="C365" s="2" t="s">
        <v>1049</v>
      </c>
      <c r="D365" s="2"/>
      <c r="E365" s="2" t="s">
        <v>1050</v>
      </c>
      <c r="F365" s="3" t="n">
        <v>0.000546</v>
      </c>
      <c r="G365" s="3" t="n">
        <f aca="false">SUM($F$2:F365)</f>
        <v>0.629503</v>
      </c>
      <c r="H365" s="4"/>
      <c r="I365" s="5"/>
      <c r="J365" s="4"/>
      <c r="K365" s="5"/>
      <c r="L365" s="6"/>
      <c r="M365" s="5" t="str">
        <f aca="false">IF(AND(N(K365)&gt;0,N(L365)&gt;0),K365/L365,"")</f>
        <v/>
      </c>
      <c r="N365" s="2" t="s">
        <v>34</v>
      </c>
    </row>
    <row r="366" customFormat="false" ht="15" hidden="false" customHeight="false" outlineLevel="0" collapsed="false">
      <c r="A366" s="2" t="n">
        <v>365</v>
      </c>
      <c r="B366" s="2" t="s">
        <v>1051</v>
      </c>
      <c r="C366" s="2" t="s">
        <v>1052</v>
      </c>
      <c r="D366" s="2"/>
      <c r="E366" s="2" t="s">
        <v>52</v>
      </c>
      <c r="F366" s="3" t="n">
        <v>0.000543</v>
      </c>
      <c r="G366" s="3" t="n">
        <f aca="false">SUM($F$2:F366)</f>
        <v>0.630046</v>
      </c>
      <c r="H366" s="4"/>
      <c r="I366" s="5"/>
      <c r="J366" s="4"/>
      <c r="K366" s="5"/>
      <c r="L366" s="6"/>
      <c r="M366" s="5" t="str">
        <f aca="false">IF(AND(N(K366)&gt;0,N(L366)&gt;0),K366/L366,"")</f>
        <v/>
      </c>
      <c r="N366" s="2" t="s">
        <v>34</v>
      </c>
    </row>
    <row r="367" customFormat="false" ht="15" hidden="false" customHeight="false" outlineLevel="0" collapsed="false">
      <c r="A367" s="2" t="n">
        <v>366</v>
      </c>
      <c r="B367" s="2" t="s">
        <v>1053</v>
      </c>
      <c r="C367" s="2" t="s">
        <v>1054</v>
      </c>
      <c r="D367" s="2"/>
      <c r="E367" s="2" t="s">
        <v>334</v>
      </c>
      <c r="F367" s="3" t="n">
        <v>0.00054</v>
      </c>
      <c r="G367" s="3" t="n">
        <f aca="false">SUM($F$2:F367)</f>
        <v>0.630586</v>
      </c>
      <c r="H367" s="4"/>
      <c r="I367" s="5"/>
      <c r="J367" s="4"/>
      <c r="K367" s="5"/>
      <c r="L367" s="6"/>
      <c r="M367" s="5" t="str">
        <f aca="false">IF(AND(N(K367)&gt;0,N(L367)&gt;0),K367/L367,"")</f>
        <v/>
      </c>
      <c r="N367" s="2" t="s">
        <v>34</v>
      </c>
    </row>
    <row r="368" customFormat="false" ht="15" hidden="false" customHeight="false" outlineLevel="0" collapsed="false">
      <c r="A368" s="2" t="n">
        <v>367</v>
      </c>
      <c r="B368" s="2" t="s">
        <v>1055</v>
      </c>
      <c r="C368" s="2" t="s">
        <v>1056</v>
      </c>
      <c r="D368" s="2"/>
      <c r="E368" s="2" t="s">
        <v>25</v>
      </c>
      <c r="F368" s="3" t="n">
        <v>0.000536</v>
      </c>
      <c r="G368" s="3" t="n">
        <f aca="false">SUM($F$2:F368)</f>
        <v>0.631122</v>
      </c>
      <c r="H368" s="4"/>
      <c r="I368" s="5"/>
      <c r="J368" s="4"/>
      <c r="K368" s="5"/>
      <c r="L368" s="6"/>
      <c r="M368" s="5" t="str">
        <f aca="false">IF(AND(N(K368)&gt;0,N(L368)&gt;0),K368/L368,"")</f>
        <v/>
      </c>
      <c r="N368" s="2" t="s">
        <v>34</v>
      </c>
    </row>
    <row r="369" customFormat="false" ht="15" hidden="false" customHeight="false" outlineLevel="0" collapsed="false">
      <c r="A369" s="2" t="n">
        <v>368</v>
      </c>
      <c r="B369" s="2" t="s">
        <v>1057</v>
      </c>
      <c r="C369" s="2" t="s">
        <v>1058</v>
      </c>
      <c r="D369" s="2"/>
      <c r="E369" s="2" t="s">
        <v>43</v>
      </c>
      <c r="F369" s="3" t="n">
        <v>0.000536</v>
      </c>
      <c r="G369" s="3" t="n">
        <f aca="false">SUM($F$2:F369)</f>
        <v>0.631658</v>
      </c>
      <c r="H369" s="4"/>
      <c r="I369" s="5"/>
      <c r="J369" s="4"/>
      <c r="K369" s="5"/>
      <c r="L369" s="6"/>
      <c r="M369" s="5" t="str">
        <f aca="false">IF(AND(N(K369)&gt;0,N(L369)&gt;0),K369/L369,"")</f>
        <v/>
      </c>
      <c r="N369" s="2" t="s">
        <v>34</v>
      </c>
    </row>
    <row r="370" customFormat="false" ht="15" hidden="false" customHeight="false" outlineLevel="0" collapsed="false">
      <c r="A370" s="2" t="n">
        <v>369</v>
      </c>
      <c r="B370" s="2" t="s">
        <v>1059</v>
      </c>
      <c r="C370" s="2" t="s">
        <v>1060</v>
      </c>
      <c r="D370" s="2"/>
      <c r="E370" s="2" t="s">
        <v>679</v>
      </c>
      <c r="F370" s="3" t="n">
        <v>0.000535</v>
      </c>
      <c r="G370" s="3" t="n">
        <f aca="false">SUM($F$2:F370)</f>
        <v>0.632193</v>
      </c>
      <c r="H370" s="4"/>
      <c r="I370" s="5"/>
      <c r="J370" s="4"/>
      <c r="K370" s="5"/>
      <c r="L370" s="6"/>
      <c r="M370" s="5" t="str">
        <f aca="false">IF(AND(N(K370)&gt;0,N(L370)&gt;0),K370/L370,"")</f>
        <v/>
      </c>
      <c r="N370" s="2" t="s">
        <v>34</v>
      </c>
    </row>
    <row r="371" customFormat="false" ht="15" hidden="false" customHeight="false" outlineLevel="0" collapsed="false">
      <c r="A371" s="2" t="n">
        <v>370</v>
      </c>
      <c r="B371" s="2" t="s">
        <v>1061</v>
      </c>
      <c r="C371" s="2" t="s">
        <v>1062</v>
      </c>
      <c r="D371" s="2"/>
      <c r="E371" s="2" t="s">
        <v>29</v>
      </c>
      <c r="F371" s="3" t="n">
        <v>0.000535</v>
      </c>
      <c r="G371" s="3" t="n">
        <f aca="false">SUM($F$2:F371)</f>
        <v>0.632728</v>
      </c>
      <c r="H371" s="4"/>
      <c r="I371" s="5"/>
      <c r="J371" s="4"/>
      <c r="K371" s="5"/>
      <c r="L371" s="6"/>
      <c r="M371" s="5" t="str">
        <f aca="false">IF(AND(N(K371)&gt;0,N(L371)&gt;0),K371/L371,"")</f>
        <v/>
      </c>
      <c r="N371" s="2" t="s">
        <v>34</v>
      </c>
    </row>
    <row r="372" customFormat="false" ht="15" hidden="false" customHeight="false" outlineLevel="0" collapsed="false">
      <c r="A372" s="2" t="n">
        <v>371</v>
      </c>
      <c r="B372" s="2" t="s">
        <v>1063</v>
      </c>
      <c r="C372" s="2" t="s">
        <v>1064</v>
      </c>
      <c r="D372" s="2"/>
      <c r="E372" s="2" t="s">
        <v>43</v>
      </c>
      <c r="F372" s="3" t="n">
        <v>0.000534</v>
      </c>
      <c r="G372" s="3" t="n">
        <f aca="false">SUM($F$2:F372)</f>
        <v>0.633262</v>
      </c>
      <c r="H372" s="4"/>
      <c r="I372" s="5"/>
      <c r="J372" s="4"/>
      <c r="K372" s="5"/>
      <c r="L372" s="6"/>
      <c r="M372" s="5" t="str">
        <f aca="false">IF(AND(N(K372)&gt;0,N(L372)&gt;0),K372/L372,"")</f>
        <v/>
      </c>
      <c r="N372" s="2" t="s">
        <v>34</v>
      </c>
    </row>
    <row r="373" customFormat="false" ht="15" hidden="false" customHeight="false" outlineLevel="0" collapsed="false">
      <c r="A373" s="2" t="n">
        <v>372</v>
      </c>
      <c r="B373" s="2" t="s">
        <v>1065</v>
      </c>
      <c r="C373" s="2" t="s">
        <v>1066</v>
      </c>
      <c r="D373" s="2"/>
      <c r="E373" s="2" t="s">
        <v>167</v>
      </c>
      <c r="F373" s="3" t="n">
        <v>0.000529</v>
      </c>
      <c r="G373" s="3" t="n">
        <f aca="false">SUM($F$2:F373)</f>
        <v>0.633791</v>
      </c>
      <c r="H373" s="4"/>
      <c r="I373" s="5"/>
      <c r="J373" s="4"/>
      <c r="K373" s="5"/>
      <c r="L373" s="6"/>
      <c r="M373" s="5" t="str">
        <f aca="false">IF(AND(N(K373)&gt;0,N(L373)&gt;0),K373/L373,"")</f>
        <v/>
      </c>
      <c r="N373" s="2" t="s">
        <v>34</v>
      </c>
    </row>
    <row r="374" customFormat="false" ht="15" hidden="false" customHeight="false" outlineLevel="0" collapsed="false">
      <c r="A374" s="2" t="n">
        <v>373</v>
      </c>
      <c r="B374" s="2" t="s">
        <v>1067</v>
      </c>
      <c r="C374" s="2" t="s">
        <v>1068</v>
      </c>
      <c r="D374" s="2"/>
      <c r="E374" s="2" t="s">
        <v>173</v>
      </c>
      <c r="F374" s="3" t="n">
        <v>0.000525</v>
      </c>
      <c r="G374" s="3" t="n">
        <f aca="false">SUM($F$2:F374)</f>
        <v>0.634316</v>
      </c>
      <c r="H374" s="4"/>
      <c r="I374" s="5"/>
      <c r="J374" s="4"/>
      <c r="K374" s="5"/>
      <c r="L374" s="6"/>
      <c r="M374" s="5" t="str">
        <f aca="false">IF(AND(N(K374)&gt;0,N(L374)&gt;0),K374/L374,"")</f>
        <v/>
      </c>
      <c r="N374" s="2" t="s">
        <v>34</v>
      </c>
    </row>
    <row r="375" customFormat="false" ht="15" hidden="false" customHeight="false" outlineLevel="0" collapsed="false">
      <c r="A375" s="2" t="n">
        <v>374</v>
      </c>
      <c r="B375" s="2" t="s">
        <v>1069</v>
      </c>
      <c r="C375" s="2" t="s">
        <v>1070</v>
      </c>
      <c r="D375" s="2"/>
      <c r="E375" s="2" t="s">
        <v>289</v>
      </c>
      <c r="F375" s="3" t="n">
        <v>0.000525</v>
      </c>
      <c r="G375" s="3" t="n">
        <f aca="false">SUM($F$2:F375)</f>
        <v>0.634841</v>
      </c>
      <c r="H375" s="4"/>
      <c r="I375" s="5"/>
      <c r="J375" s="4"/>
      <c r="K375" s="5"/>
      <c r="L375" s="6"/>
      <c r="M375" s="5" t="str">
        <f aca="false">IF(AND(N(K375)&gt;0,N(L375)&gt;0),K375/L375,"")</f>
        <v/>
      </c>
      <c r="N375" s="2" t="s">
        <v>34</v>
      </c>
    </row>
    <row r="376" customFormat="false" ht="15" hidden="false" customHeight="false" outlineLevel="0" collapsed="false">
      <c r="A376" s="2" t="n">
        <v>375</v>
      </c>
      <c r="B376" s="2" t="s">
        <v>1071</v>
      </c>
      <c r="C376" s="2" t="s">
        <v>1072</v>
      </c>
      <c r="D376" s="2"/>
      <c r="E376" s="2" t="s">
        <v>43</v>
      </c>
      <c r="F376" s="3" t="n">
        <v>0.000524</v>
      </c>
      <c r="G376" s="3" t="n">
        <f aca="false">SUM($F$2:F376)</f>
        <v>0.635365</v>
      </c>
      <c r="H376" s="4"/>
      <c r="I376" s="5"/>
      <c r="J376" s="4"/>
      <c r="K376" s="5"/>
      <c r="L376" s="6"/>
      <c r="M376" s="5" t="str">
        <f aca="false">IF(AND(N(K376)&gt;0,N(L376)&gt;0),K376/L376,"")</f>
        <v/>
      </c>
      <c r="N376" s="2" t="s">
        <v>34</v>
      </c>
    </row>
    <row r="377" customFormat="false" ht="15" hidden="false" customHeight="false" outlineLevel="0" collapsed="false">
      <c r="A377" s="2" t="n">
        <v>376</v>
      </c>
      <c r="B377" s="2" t="s">
        <v>1073</v>
      </c>
      <c r="C377" s="2" t="s">
        <v>1074</v>
      </c>
      <c r="D377" s="2"/>
      <c r="E377" s="2" t="s">
        <v>52</v>
      </c>
      <c r="F377" s="3" t="n">
        <v>0.000523</v>
      </c>
      <c r="G377" s="3" t="n">
        <f aca="false">SUM($F$2:F377)</f>
        <v>0.635888</v>
      </c>
      <c r="H377" s="4"/>
      <c r="I377" s="5"/>
      <c r="J377" s="4"/>
      <c r="K377" s="5"/>
      <c r="L377" s="6"/>
      <c r="M377" s="5" t="str">
        <f aca="false">IF(AND(N(K377)&gt;0,N(L377)&gt;0),K377/L377,"")</f>
        <v/>
      </c>
      <c r="N377" s="2" t="s">
        <v>34</v>
      </c>
    </row>
    <row r="378" customFormat="false" ht="15" hidden="false" customHeight="false" outlineLevel="0" collapsed="false">
      <c r="A378" s="2" t="n">
        <v>377</v>
      </c>
      <c r="B378" s="2" t="s">
        <v>1075</v>
      </c>
      <c r="C378" s="2" t="s">
        <v>1076</v>
      </c>
      <c r="D378" s="2"/>
      <c r="E378" s="2" t="s">
        <v>199</v>
      </c>
      <c r="F378" s="3" t="n">
        <v>0.000521</v>
      </c>
      <c r="G378" s="3" t="n">
        <f aca="false">SUM($F$2:F378)</f>
        <v>0.636409</v>
      </c>
      <c r="H378" s="4"/>
      <c r="I378" s="5"/>
      <c r="J378" s="4"/>
      <c r="K378" s="5"/>
      <c r="L378" s="6"/>
      <c r="M378" s="5" t="str">
        <f aca="false">IF(AND(N(K378)&gt;0,N(L378)&gt;0),K378/L378,"")</f>
        <v/>
      </c>
      <c r="N378" s="2" t="s">
        <v>34</v>
      </c>
    </row>
    <row r="379" customFormat="false" ht="15" hidden="false" customHeight="false" outlineLevel="0" collapsed="false">
      <c r="A379" s="2" t="n">
        <v>378</v>
      </c>
      <c r="B379" s="2" t="s">
        <v>1077</v>
      </c>
      <c r="C379" s="2" t="s">
        <v>1078</v>
      </c>
      <c r="D379" s="2"/>
      <c r="E379" s="2" t="s">
        <v>296</v>
      </c>
      <c r="F379" s="3" t="n">
        <v>0.000519</v>
      </c>
      <c r="G379" s="3" t="n">
        <f aca="false">SUM($F$2:F379)</f>
        <v>0.636928</v>
      </c>
      <c r="H379" s="4"/>
      <c r="I379" s="5"/>
      <c r="J379" s="4"/>
      <c r="K379" s="5"/>
      <c r="L379" s="6"/>
      <c r="M379" s="5" t="str">
        <f aca="false">IF(AND(N(K379)&gt;0,N(L379)&gt;0),K379/L379,"")</f>
        <v/>
      </c>
      <c r="N379" s="2" t="s">
        <v>34</v>
      </c>
    </row>
    <row r="380" customFormat="false" ht="15" hidden="false" customHeight="false" outlineLevel="0" collapsed="false">
      <c r="A380" s="2" t="n">
        <v>379</v>
      </c>
      <c r="B380" s="2" t="s">
        <v>1079</v>
      </c>
      <c r="C380" s="2" t="s">
        <v>1080</v>
      </c>
      <c r="D380" s="2"/>
      <c r="E380" s="2" t="s">
        <v>29</v>
      </c>
      <c r="F380" s="3" t="n">
        <v>0.000518</v>
      </c>
      <c r="G380" s="3" t="n">
        <f aca="false">SUM($F$2:F380)</f>
        <v>0.637446</v>
      </c>
      <c r="H380" s="4"/>
      <c r="I380" s="5"/>
      <c r="J380" s="4"/>
      <c r="K380" s="5"/>
      <c r="L380" s="6"/>
      <c r="M380" s="5" t="str">
        <f aca="false">IF(AND(N(K380)&gt;0,N(L380)&gt;0),K380/L380,"")</f>
        <v/>
      </c>
      <c r="N380" s="2" t="s">
        <v>34</v>
      </c>
    </row>
    <row r="381" customFormat="false" ht="15" hidden="false" customHeight="false" outlineLevel="0" collapsed="false">
      <c r="A381" s="2" t="n">
        <v>380</v>
      </c>
      <c r="B381" s="2" t="s">
        <v>1081</v>
      </c>
      <c r="C381" s="2" t="s">
        <v>1082</v>
      </c>
      <c r="D381" s="2"/>
      <c r="E381" s="2" t="s">
        <v>52</v>
      </c>
      <c r="F381" s="3" t="n">
        <v>0.000516</v>
      </c>
      <c r="G381" s="3" t="n">
        <f aca="false">SUM($F$2:F381)</f>
        <v>0.637962</v>
      </c>
      <c r="H381" s="4"/>
      <c r="I381" s="5"/>
      <c r="J381" s="4"/>
      <c r="K381" s="5"/>
      <c r="L381" s="6"/>
      <c r="M381" s="5" t="str">
        <f aca="false">IF(AND(N(K381)&gt;0,N(L381)&gt;0),K381/L381,"")</f>
        <v/>
      </c>
      <c r="N381" s="2" t="s">
        <v>34</v>
      </c>
    </row>
    <row r="382" customFormat="false" ht="15" hidden="false" customHeight="false" outlineLevel="0" collapsed="false">
      <c r="A382" s="2" t="n">
        <v>381</v>
      </c>
      <c r="B382" s="2" t="s">
        <v>1083</v>
      </c>
      <c r="C382" s="2" t="s">
        <v>1084</v>
      </c>
      <c r="D382" s="2"/>
      <c r="E382" s="2" t="s">
        <v>29</v>
      </c>
      <c r="F382" s="3" t="n">
        <v>0.000516</v>
      </c>
      <c r="G382" s="3" t="n">
        <f aca="false">SUM($F$2:F382)</f>
        <v>0.638478</v>
      </c>
      <c r="H382" s="4"/>
      <c r="I382" s="5"/>
      <c r="J382" s="4"/>
      <c r="K382" s="5"/>
      <c r="L382" s="6"/>
      <c r="M382" s="5" t="str">
        <f aca="false">IF(AND(N(K382)&gt;0,N(L382)&gt;0),K382/L382,"")</f>
        <v/>
      </c>
      <c r="N382" s="2" t="s">
        <v>34</v>
      </c>
    </row>
    <row r="383" customFormat="false" ht="15" hidden="false" customHeight="false" outlineLevel="0" collapsed="false">
      <c r="A383" s="2" t="n">
        <v>382</v>
      </c>
      <c r="B383" s="2" t="s">
        <v>1085</v>
      </c>
      <c r="C383" s="2" t="s">
        <v>1086</v>
      </c>
      <c r="D383" s="2"/>
      <c r="E383" s="2" t="s">
        <v>860</v>
      </c>
      <c r="F383" s="3" t="n">
        <v>0.000516</v>
      </c>
      <c r="G383" s="3" t="n">
        <f aca="false">SUM($F$2:F383)</f>
        <v>0.638994</v>
      </c>
      <c r="H383" s="4"/>
      <c r="I383" s="5"/>
      <c r="J383" s="4"/>
      <c r="K383" s="5"/>
      <c r="L383" s="6"/>
      <c r="M383" s="5" t="str">
        <f aca="false">IF(AND(N(K383)&gt;0,N(L383)&gt;0),K383/L383,"")</f>
        <v/>
      </c>
      <c r="N383" s="2" t="s">
        <v>34</v>
      </c>
    </row>
    <row r="384" customFormat="false" ht="15" hidden="false" customHeight="false" outlineLevel="0" collapsed="false">
      <c r="A384" s="2" t="n">
        <v>383</v>
      </c>
      <c r="B384" s="2" t="s">
        <v>1087</v>
      </c>
      <c r="C384" s="2" t="s">
        <v>1088</v>
      </c>
      <c r="D384" s="2"/>
      <c r="E384" s="2" t="s">
        <v>43</v>
      </c>
      <c r="F384" s="3" t="n">
        <v>0.000516</v>
      </c>
      <c r="G384" s="3" t="n">
        <f aca="false">SUM($F$2:F384)</f>
        <v>0.63951</v>
      </c>
      <c r="H384" s="4"/>
      <c r="I384" s="5"/>
      <c r="J384" s="4"/>
      <c r="K384" s="5"/>
      <c r="L384" s="6"/>
      <c r="M384" s="5" t="str">
        <f aca="false">IF(AND(N(K384)&gt;0,N(L384)&gt;0),K384/L384,"")</f>
        <v/>
      </c>
      <c r="N384" s="2" t="s">
        <v>34</v>
      </c>
    </row>
    <row r="385" customFormat="false" ht="15" hidden="false" customHeight="false" outlineLevel="0" collapsed="false">
      <c r="A385" s="2" t="n">
        <v>384</v>
      </c>
      <c r="B385" s="2" t="s">
        <v>1089</v>
      </c>
      <c r="C385" s="2" t="s">
        <v>1090</v>
      </c>
      <c r="D385" s="2"/>
      <c r="E385" s="2" t="s">
        <v>334</v>
      </c>
      <c r="F385" s="3" t="n">
        <v>0.000514</v>
      </c>
      <c r="G385" s="3" t="n">
        <f aca="false">SUM($F$2:F385)</f>
        <v>0.640024</v>
      </c>
      <c r="H385" s="4"/>
      <c r="I385" s="5"/>
      <c r="J385" s="4"/>
      <c r="K385" s="5"/>
      <c r="L385" s="6"/>
      <c r="M385" s="5" t="str">
        <f aca="false">IF(AND(N(K385)&gt;0,N(L385)&gt;0),K385/L385,"")</f>
        <v/>
      </c>
      <c r="N385" s="2" t="s">
        <v>34</v>
      </c>
    </row>
    <row r="386" customFormat="false" ht="15" hidden="false" customHeight="false" outlineLevel="0" collapsed="false">
      <c r="A386" s="2" t="n">
        <v>385</v>
      </c>
      <c r="B386" s="2" t="s">
        <v>1091</v>
      </c>
      <c r="C386" s="2" t="s">
        <v>1092</v>
      </c>
      <c r="D386" s="2"/>
      <c r="E386" s="2" t="s">
        <v>25</v>
      </c>
      <c r="F386" s="3" t="n">
        <v>0.000511</v>
      </c>
      <c r="G386" s="3" t="n">
        <f aca="false">SUM($F$2:F386)</f>
        <v>0.640535</v>
      </c>
      <c r="H386" s="4"/>
      <c r="I386" s="5"/>
      <c r="J386" s="4"/>
      <c r="K386" s="5"/>
      <c r="L386" s="6"/>
      <c r="M386" s="5" t="str">
        <f aca="false">IF(AND(N(K386)&gt;0,N(L386)&gt;0),K386/L386,"")</f>
        <v/>
      </c>
      <c r="N386" s="2" t="s">
        <v>34</v>
      </c>
    </row>
    <row r="387" customFormat="false" ht="15" hidden="false" customHeight="false" outlineLevel="0" collapsed="false">
      <c r="A387" s="2" t="n">
        <v>386</v>
      </c>
      <c r="B387" s="2" t="s">
        <v>1093</v>
      </c>
      <c r="C387" s="2" t="s">
        <v>1094</v>
      </c>
      <c r="D387" s="2"/>
      <c r="E387" s="2" t="s">
        <v>33</v>
      </c>
      <c r="F387" s="3" t="n">
        <v>0.000511</v>
      </c>
      <c r="G387" s="3" t="n">
        <f aca="false">SUM($F$2:F387)</f>
        <v>0.641046</v>
      </c>
      <c r="H387" s="4"/>
      <c r="I387" s="5"/>
      <c r="J387" s="4"/>
      <c r="K387" s="5"/>
      <c r="L387" s="6"/>
      <c r="M387" s="5" t="str">
        <f aca="false">IF(AND(N(K387)&gt;0,N(L387)&gt;0),K387/L387,"")</f>
        <v/>
      </c>
      <c r="N387" s="2" t="s">
        <v>34</v>
      </c>
    </row>
    <row r="388" customFormat="false" ht="15" hidden="false" customHeight="false" outlineLevel="0" collapsed="false">
      <c r="A388" s="2" t="n">
        <v>387</v>
      </c>
      <c r="B388" s="2" t="s">
        <v>1095</v>
      </c>
      <c r="C388" s="2" t="s">
        <v>1096</v>
      </c>
      <c r="D388" s="2"/>
      <c r="E388" s="2" t="s">
        <v>52</v>
      </c>
      <c r="F388" s="3" t="n">
        <v>0.00051</v>
      </c>
      <c r="G388" s="3" t="n">
        <f aca="false">SUM($F$2:F388)</f>
        <v>0.641556</v>
      </c>
      <c r="H388" s="4"/>
      <c r="I388" s="5"/>
      <c r="J388" s="4"/>
      <c r="K388" s="5"/>
      <c r="L388" s="6"/>
      <c r="M388" s="5" t="str">
        <f aca="false">IF(AND(N(K388)&gt;0,N(L388)&gt;0),K388/L388,"")</f>
        <v/>
      </c>
      <c r="N388" s="2" t="s">
        <v>34</v>
      </c>
    </row>
    <row r="389" customFormat="false" ht="15" hidden="false" customHeight="false" outlineLevel="0" collapsed="false">
      <c r="A389" s="2" t="n">
        <v>388</v>
      </c>
      <c r="B389" s="2" t="s">
        <v>1097</v>
      </c>
      <c r="C389" s="2" t="s">
        <v>1098</v>
      </c>
      <c r="D389" s="2"/>
      <c r="E389" s="2" t="s">
        <v>25</v>
      </c>
      <c r="F389" s="3" t="n">
        <v>0.000509</v>
      </c>
      <c r="G389" s="3" t="n">
        <f aca="false">SUM($F$2:F389)</f>
        <v>0.642065</v>
      </c>
      <c r="H389" s="4"/>
      <c r="I389" s="5"/>
      <c r="J389" s="4"/>
      <c r="K389" s="5"/>
      <c r="L389" s="6"/>
      <c r="M389" s="5" t="str">
        <f aca="false">IF(AND(N(K389)&gt;0,N(L389)&gt;0),K389/L389,"")</f>
        <v/>
      </c>
      <c r="N389" s="2" t="s">
        <v>34</v>
      </c>
    </row>
    <row r="390" customFormat="false" ht="15" hidden="false" customHeight="false" outlineLevel="0" collapsed="false">
      <c r="A390" s="2" t="n">
        <v>389</v>
      </c>
      <c r="B390" s="2" t="s">
        <v>1099</v>
      </c>
      <c r="C390" s="2" t="s">
        <v>1100</v>
      </c>
      <c r="D390" s="2"/>
      <c r="E390" s="2" t="s">
        <v>17</v>
      </c>
      <c r="F390" s="3" t="n">
        <v>0.000509</v>
      </c>
      <c r="G390" s="3" t="n">
        <f aca="false">SUM($F$2:F390)</f>
        <v>0.642574</v>
      </c>
      <c r="H390" s="4"/>
      <c r="I390" s="5"/>
      <c r="J390" s="4"/>
      <c r="K390" s="5"/>
      <c r="L390" s="6"/>
      <c r="M390" s="5" t="str">
        <f aca="false">IF(AND(N(K390)&gt;0,N(L390)&gt;0),K390/L390,"")</f>
        <v/>
      </c>
      <c r="N390" s="2" t="s">
        <v>34</v>
      </c>
    </row>
    <row r="391" customFormat="false" ht="15" hidden="false" customHeight="false" outlineLevel="0" collapsed="false">
      <c r="A391" s="2" t="n">
        <v>390</v>
      </c>
      <c r="B391" s="2" t="s">
        <v>1101</v>
      </c>
      <c r="C391" s="2" t="s">
        <v>1102</v>
      </c>
      <c r="D391" s="2"/>
      <c r="E391" s="2" t="s">
        <v>82</v>
      </c>
      <c r="F391" s="3" t="n">
        <v>0.000506</v>
      </c>
      <c r="G391" s="3" t="n">
        <f aca="false">SUM($F$2:F391)</f>
        <v>0.64308</v>
      </c>
      <c r="H391" s="4"/>
      <c r="I391" s="5"/>
      <c r="J391" s="4"/>
      <c r="K391" s="5"/>
      <c r="L391" s="6"/>
      <c r="M391" s="5" t="str">
        <f aca="false">IF(AND(N(K391)&gt;0,N(L391)&gt;0),K391/L391,"")</f>
        <v/>
      </c>
      <c r="N391" s="2" t="s">
        <v>34</v>
      </c>
    </row>
    <row r="392" customFormat="false" ht="15" hidden="false" customHeight="false" outlineLevel="0" collapsed="false">
      <c r="A392" s="2" t="n">
        <v>391</v>
      </c>
      <c r="B392" s="2" t="s">
        <v>1103</v>
      </c>
      <c r="C392" s="2" t="s">
        <v>1104</v>
      </c>
      <c r="D392" s="2"/>
      <c r="E392" s="2" t="s">
        <v>21</v>
      </c>
      <c r="F392" s="3" t="n">
        <v>0.000505</v>
      </c>
      <c r="G392" s="3" t="n">
        <f aca="false">SUM($F$2:F392)</f>
        <v>0.643585</v>
      </c>
      <c r="H392" s="4"/>
      <c r="I392" s="5"/>
      <c r="J392" s="4"/>
      <c r="K392" s="5"/>
      <c r="L392" s="6"/>
      <c r="M392" s="5" t="str">
        <f aca="false">IF(AND(N(K392)&gt;0,N(L392)&gt;0),K392/L392,"")</f>
        <v/>
      </c>
      <c r="N392" s="2" t="s">
        <v>34</v>
      </c>
    </row>
    <row r="393" customFormat="false" ht="15" hidden="false" customHeight="false" outlineLevel="0" collapsed="false">
      <c r="A393" s="2" t="n">
        <v>392</v>
      </c>
      <c r="B393" s="2" t="s">
        <v>1105</v>
      </c>
      <c r="C393" s="2" t="s">
        <v>1106</v>
      </c>
      <c r="D393" s="2"/>
      <c r="E393" s="2" t="s">
        <v>48</v>
      </c>
      <c r="F393" s="3" t="n">
        <v>0.000505</v>
      </c>
      <c r="G393" s="3" t="n">
        <f aca="false">SUM($F$2:F393)</f>
        <v>0.64409</v>
      </c>
      <c r="H393" s="4"/>
      <c r="I393" s="5"/>
      <c r="J393" s="4"/>
      <c r="K393" s="5"/>
      <c r="L393" s="6"/>
      <c r="M393" s="5" t="str">
        <f aca="false">IF(AND(N(K393)&gt;0,N(L393)&gt;0),K393/L393,"")</f>
        <v/>
      </c>
      <c r="N393" s="2" t="s">
        <v>34</v>
      </c>
    </row>
    <row r="394" customFormat="false" ht="15" hidden="false" customHeight="false" outlineLevel="0" collapsed="false">
      <c r="A394" s="2" t="n">
        <v>393</v>
      </c>
      <c r="B394" s="2" t="s">
        <v>1107</v>
      </c>
      <c r="C394" s="2" t="s">
        <v>1108</v>
      </c>
      <c r="D394" s="2"/>
      <c r="E394" s="2" t="s">
        <v>52</v>
      </c>
      <c r="F394" s="3" t="n">
        <v>0.000505</v>
      </c>
      <c r="G394" s="3" t="n">
        <f aca="false">SUM($F$2:F394)</f>
        <v>0.644595</v>
      </c>
      <c r="H394" s="4"/>
      <c r="I394" s="5"/>
      <c r="J394" s="4"/>
      <c r="K394" s="5"/>
      <c r="L394" s="6"/>
      <c r="M394" s="5" t="str">
        <f aca="false">IF(AND(N(K394)&gt;0,N(L394)&gt;0),K394/L394,"")</f>
        <v/>
      </c>
      <c r="N394" s="2" t="s">
        <v>34</v>
      </c>
    </row>
    <row r="395" customFormat="false" ht="15" hidden="false" customHeight="false" outlineLevel="0" collapsed="false">
      <c r="A395" s="2" t="n">
        <v>394</v>
      </c>
      <c r="B395" s="2" t="s">
        <v>1109</v>
      </c>
      <c r="C395" s="2" t="s">
        <v>1110</v>
      </c>
      <c r="D395" s="2"/>
      <c r="E395" s="2" t="s">
        <v>29</v>
      </c>
      <c r="F395" s="3" t="n">
        <v>0.000505</v>
      </c>
      <c r="G395" s="3" t="n">
        <f aca="false">SUM($F$2:F395)</f>
        <v>0.6451</v>
      </c>
      <c r="H395" s="4"/>
      <c r="I395" s="5"/>
      <c r="J395" s="4"/>
      <c r="K395" s="5"/>
      <c r="L395" s="6"/>
      <c r="M395" s="5" t="str">
        <f aca="false">IF(AND(N(K395)&gt;0,N(L395)&gt;0),K395/L395,"")</f>
        <v/>
      </c>
      <c r="N395" s="2" t="s">
        <v>34</v>
      </c>
    </row>
    <row r="396" customFormat="false" ht="15" hidden="false" customHeight="false" outlineLevel="0" collapsed="false">
      <c r="A396" s="2" t="n">
        <v>395</v>
      </c>
      <c r="B396" s="2" t="s">
        <v>1111</v>
      </c>
      <c r="C396" s="2" t="s">
        <v>1112</v>
      </c>
      <c r="D396" s="2"/>
      <c r="E396" s="2" t="s">
        <v>82</v>
      </c>
      <c r="F396" s="3" t="n">
        <v>0.000503</v>
      </c>
      <c r="G396" s="3" t="n">
        <f aca="false">SUM($F$2:F396)</f>
        <v>0.645603</v>
      </c>
      <c r="H396" s="4"/>
      <c r="I396" s="5"/>
      <c r="J396" s="4"/>
      <c r="K396" s="5"/>
      <c r="L396" s="6"/>
      <c r="M396" s="5" t="str">
        <f aca="false">IF(AND(N(K396)&gt;0,N(L396)&gt;0),K396/L396,"")</f>
        <v/>
      </c>
      <c r="N396" s="2" t="s">
        <v>34</v>
      </c>
    </row>
    <row r="397" customFormat="false" ht="15" hidden="false" customHeight="false" outlineLevel="0" collapsed="false">
      <c r="A397" s="2" t="n">
        <v>396</v>
      </c>
      <c r="B397" s="2" t="s">
        <v>1113</v>
      </c>
      <c r="C397" s="2" t="s">
        <v>1114</v>
      </c>
      <c r="D397" s="2"/>
      <c r="E397" s="2" t="s">
        <v>765</v>
      </c>
      <c r="F397" s="3" t="n">
        <v>0.000503</v>
      </c>
      <c r="G397" s="3" t="n">
        <f aca="false">SUM($F$2:F397)</f>
        <v>0.646106</v>
      </c>
      <c r="H397" s="4"/>
      <c r="I397" s="5"/>
      <c r="J397" s="4"/>
      <c r="K397" s="5"/>
      <c r="L397" s="6"/>
      <c r="M397" s="5" t="str">
        <f aca="false">IF(AND(N(K397)&gt;0,N(L397)&gt;0),K397/L397,"")</f>
        <v/>
      </c>
      <c r="N397" s="2" t="s">
        <v>34</v>
      </c>
    </row>
    <row r="398" customFormat="false" ht="15" hidden="false" customHeight="false" outlineLevel="0" collapsed="false">
      <c r="A398" s="2" t="n">
        <v>397</v>
      </c>
      <c r="B398" s="2" t="s">
        <v>1115</v>
      </c>
      <c r="C398" s="2" t="s">
        <v>1116</v>
      </c>
      <c r="D398" s="2"/>
      <c r="E398" s="2" t="s">
        <v>52</v>
      </c>
      <c r="F398" s="3" t="n">
        <v>0.000502</v>
      </c>
      <c r="G398" s="3" t="n">
        <f aca="false">SUM($F$2:F398)</f>
        <v>0.646608</v>
      </c>
      <c r="H398" s="4"/>
      <c r="I398" s="5"/>
      <c r="J398" s="4"/>
      <c r="K398" s="5"/>
      <c r="L398" s="6"/>
      <c r="M398" s="5" t="str">
        <f aca="false">IF(AND(N(K398)&gt;0,N(L398)&gt;0),K398/L398,"")</f>
        <v/>
      </c>
      <c r="N398" s="2" t="s">
        <v>34</v>
      </c>
    </row>
    <row r="399" customFormat="false" ht="15" hidden="false" customHeight="false" outlineLevel="0" collapsed="false">
      <c r="A399" s="2" t="n">
        <v>398</v>
      </c>
      <c r="B399" s="2" t="s">
        <v>1117</v>
      </c>
      <c r="C399" s="2" t="s">
        <v>1118</v>
      </c>
      <c r="D399" s="2"/>
      <c r="E399" s="2" t="s">
        <v>52</v>
      </c>
      <c r="F399" s="3" t="n">
        <v>0.000502</v>
      </c>
      <c r="G399" s="3" t="n">
        <f aca="false">SUM($F$2:F399)</f>
        <v>0.64711</v>
      </c>
      <c r="H399" s="4"/>
      <c r="I399" s="5"/>
      <c r="J399" s="4"/>
      <c r="K399" s="5"/>
      <c r="L399" s="6"/>
      <c r="M399" s="5" t="str">
        <f aca="false">IF(AND(N(K399)&gt;0,N(L399)&gt;0),K399/L399,"")</f>
        <v/>
      </c>
      <c r="N399" s="2" t="s">
        <v>34</v>
      </c>
    </row>
    <row r="400" customFormat="false" ht="15" hidden="false" customHeight="false" outlineLevel="0" collapsed="false">
      <c r="A400" s="2" t="n">
        <v>399</v>
      </c>
      <c r="B400" s="2" t="s">
        <v>1119</v>
      </c>
      <c r="C400" s="2" t="s">
        <v>1120</v>
      </c>
      <c r="D400" s="2"/>
      <c r="E400" s="2" t="s">
        <v>33</v>
      </c>
      <c r="F400" s="3" t="n">
        <v>0.000502</v>
      </c>
      <c r="G400" s="3" t="n">
        <f aca="false">SUM($F$2:F400)</f>
        <v>0.647612</v>
      </c>
      <c r="H400" s="4"/>
      <c r="I400" s="5"/>
      <c r="J400" s="4"/>
      <c r="K400" s="5"/>
      <c r="L400" s="6"/>
      <c r="M400" s="5" t="str">
        <f aca="false">IF(AND(N(K400)&gt;0,N(L400)&gt;0),K400/L400,"")</f>
        <v/>
      </c>
      <c r="N400" s="2" t="s">
        <v>34</v>
      </c>
    </row>
    <row r="401" customFormat="false" ht="15" hidden="false" customHeight="false" outlineLevel="0" collapsed="false">
      <c r="A401" s="2" t="n">
        <v>400</v>
      </c>
      <c r="B401" s="2" t="s">
        <v>1121</v>
      </c>
      <c r="C401" s="2" t="s">
        <v>1122</v>
      </c>
      <c r="D401" s="2"/>
      <c r="E401" s="2" t="s">
        <v>17</v>
      </c>
      <c r="F401" s="3" t="n">
        <v>0.000501</v>
      </c>
      <c r="G401" s="3" t="n">
        <f aca="false">SUM($F$2:F401)</f>
        <v>0.648113</v>
      </c>
      <c r="H401" s="4"/>
      <c r="I401" s="5"/>
      <c r="J401" s="4"/>
      <c r="K401" s="5"/>
      <c r="L401" s="6"/>
      <c r="M401" s="5" t="str">
        <f aca="false">IF(AND(N(K401)&gt;0,N(L401)&gt;0),K401/L401,"")</f>
        <v/>
      </c>
      <c r="N401" s="2" t="s">
        <v>34</v>
      </c>
    </row>
    <row r="402" customFormat="false" ht="15" hidden="false" customHeight="false" outlineLevel="0" collapsed="false">
      <c r="A402" s="2" t="n">
        <v>401</v>
      </c>
      <c r="B402" s="2" t="s">
        <v>1123</v>
      </c>
      <c r="C402" s="2" t="s">
        <v>1124</v>
      </c>
      <c r="D402" s="2"/>
      <c r="E402" s="2" t="s">
        <v>700</v>
      </c>
      <c r="F402" s="3" t="n">
        <v>0.000499</v>
      </c>
      <c r="G402" s="3" t="n">
        <f aca="false">SUM($F$2:F402)</f>
        <v>0.648612</v>
      </c>
      <c r="H402" s="4"/>
      <c r="I402" s="5"/>
      <c r="J402" s="4"/>
      <c r="K402" s="5"/>
      <c r="L402" s="6"/>
      <c r="M402" s="5" t="str">
        <f aca="false">IF(AND(N(K402)&gt;0,N(L402)&gt;0),K402/L402,"")</f>
        <v/>
      </c>
      <c r="N402" s="2" t="s">
        <v>34</v>
      </c>
    </row>
    <row r="403" customFormat="false" ht="15" hidden="false" customHeight="false" outlineLevel="0" collapsed="false">
      <c r="A403" s="2" t="n">
        <v>402</v>
      </c>
      <c r="B403" s="2" t="s">
        <v>1125</v>
      </c>
      <c r="C403" s="2" t="s">
        <v>1126</v>
      </c>
      <c r="D403" s="2"/>
      <c r="E403" s="2" t="s">
        <v>167</v>
      </c>
      <c r="F403" s="3" t="n">
        <v>0.000495</v>
      </c>
      <c r="G403" s="3" t="n">
        <f aca="false">SUM($F$2:F403)</f>
        <v>0.649107</v>
      </c>
      <c r="H403" s="4"/>
      <c r="I403" s="5"/>
      <c r="J403" s="4"/>
      <c r="K403" s="5"/>
      <c r="L403" s="6"/>
      <c r="M403" s="5" t="str">
        <f aca="false">IF(AND(N(K403)&gt;0,N(L403)&gt;0),K403/L403,"")</f>
        <v/>
      </c>
      <c r="N403" s="2" t="s">
        <v>34</v>
      </c>
    </row>
    <row r="404" customFormat="false" ht="15" hidden="false" customHeight="false" outlineLevel="0" collapsed="false">
      <c r="A404" s="2" t="n">
        <v>403</v>
      </c>
      <c r="B404" s="2" t="s">
        <v>1127</v>
      </c>
      <c r="C404" s="2" t="s">
        <v>1128</v>
      </c>
      <c r="D404" s="2"/>
      <c r="E404" s="2" t="s">
        <v>52</v>
      </c>
      <c r="F404" s="3" t="n">
        <v>0.000494</v>
      </c>
      <c r="G404" s="3" t="n">
        <f aca="false">SUM($F$2:F404)</f>
        <v>0.649601</v>
      </c>
      <c r="H404" s="4"/>
      <c r="I404" s="5"/>
      <c r="J404" s="4"/>
      <c r="K404" s="5"/>
      <c r="L404" s="6"/>
      <c r="M404" s="5" t="str">
        <f aca="false">IF(AND(N(K404)&gt;0,N(L404)&gt;0),K404/L404,"")</f>
        <v/>
      </c>
      <c r="N404" s="2" t="s">
        <v>34</v>
      </c>
    </row>
    <row r="405" customFormat="false" ht="15" hidden="false" customHeight="false" outlineLevel="0" collapsed="false">
      <c r="A405" s="2" t="n">
        <v>404</v>
      </c>
      <c r="B405" s="2" t="s">
        <v>1129</v>
      </c>
      <c r="C405" s="2" t="s">
        <v>1130</v>
      </c>
      <c r="D405" s="2"/>
      <c r="E405" s="2" t="s">
        <v>52</v>
      </c>
      <c r="F405" s="3" t="n">
        <v>0.000494</v>
      </c>
      <c r="G405" s="3" t="n">
        <f aca="false">SUM($F$2:F405)</f>
        <v>0.650095</v>
      </c>
      <c r="H405" s="4"/>
      <c r="I405" s="5"/>
      <c r="J405" s="4"/>
      <c r="K405" s="5"/>
      <c r="L405" s="6"/>
      <c r="M405" s="5" t="str">
        <f aca="false">IF(AND(N(K405)&gt;0,N(L405)&gt;0),K405/L405,"")</f>
        <v/>
      </c>
      <c r="N405" s="2" t="s">
        <v>34</v>
      </c>
    </row>
    <row r="406" customFormat="false" ht="15" hidden="false" customHeight="false" outlineLevel="0" collapsed="false">
      <c r="A406" s="2" t="n">
        <v>405</v>
      </c>
      <c r="B406" s="2" t="s">
        <v>1131</v>
      </c>
      <c r="C406" s="2" t="s">
        <v>1132</v>
      </c>
      <c r="D406" s="2"/>
      <c r="E406" s="2" t="s">
        <v>29</v>
      </c>
      <c r="F406" s="3" t="n">
        <v>0.000493</v>
      </c>
      <c r="G406" s="3" t="n">
        <f aca="false">SUM($F$2:F406)</f>
        <v>0.650588</v>
      </c>
      <c r="H406" s="4"/>
      <c r="I406" s="5"/>
      <c r="J406" s="4"/>
      <c r="K406" s="5"/>
      <c r="L406" s="6"/>
      <c r="M406" s="5" t="str">
        <f aca="false">IF(AND(N(K406)&gt;0,N(L406)&gt;0),K406/L406,"")</f>
        <v/>
      </c>
      <c r="N406" s="2" t="s">
        <v>34</v>
      </c>
    </row>
    <row r="407" customFormat="false" ht="15" hidden="false" customHeight="false" outlineLevel="0" collapsed="false">
      <c r="A407" s="2" t="n">
        <v>406</v>
      </c>
      <c r="B407" s="2" t="s">
        <v>1133</v>
      </c>
      <c r="C407" s="2" t="s">
        <v>1134</v>
      </c>
      <c r="D407" s="2"/>
      <c r="E407" s="2" t="s">
        <v>17</v>
      </c>
      <c r="F407" s="3" t="n">
        <v>0.000491</v>
      </c>
      <c r="G407" s="3" t="n">
        <f aca="false">SUM($F$2:F407)</f>
        <v>0.651079</v>
      </c>
      <c r="H407" s="4"/>
      <c r="I407" s="5"/>
      <c r="J407" s="4"/>
      <c r="K407" s="5"/>
      <c r="L407" s="6"/>
      <c r="M407" s="5" t="str">
        <f aca="false">IF(AND(N(K407)&gt;0,N(L407)&gt;0),K407/L407,"")</f>
        <v/>
      </c>
      <c r="N407" s="2" t="s">
        <v>34</v>
      </c>
    </row>
    <row r="408" customFormat="false" ht="15" hidden="false" customHeight="false" outlineLevel="0" collapsed="false">
      <c r="A408" s="2" t="n">
        <v>407</v>
      </c>
      <c r="B408" s="2" t="s">
        <v>1135</v>
      </c>
      <c r="C408" s="2" t="s">
        <v>1136</v>
      </c>
      <c r="D408" s="2"/>
      <c r="E408" s="2" t="s">
        <v>167</v>
      </c>
      <c r="F408" s="3" t="n">
        <v>0.000491</v>
      </c>
      <c r="G408" s="3" t="n">
        <f aca="false">SUM($F$2:F408)</f>
        <v>0.65157</v>
      </c>
      <c r="H408" s="4"/>
      <c r="I408" s="5"/>
      <c r="J408" s="4"/>
      <c r="K408" s="5"/>
      <c r="L408" s="6"/>
      <c r="M408" s="5" t="str">
        <f aca="false">IF(AND(N(K408)&gt;0,N(L408)&gt;0),K408/L408,"")</f>
        <v/>
      </c>
      <c r="N408" s="2" t="s">
        <v>34</v>
      </c>
    </row>
    <row r="409" customFormat="false" ht="15" hidden="false" customHeight="false" outlineLevel="0" collapsed="false">
      <c r="A409" s="2" t="n">
        <v>408</v>
      </c>
      <c r="B409" s="2" t="s">
        <v>1137</v>
      </c>
      <c r="C409" s="2" t="s">
        <v>1138</v>
      </c>
      <c r="D409" s="2"/>
      <c r="E409" s="2" t="s">
        <v>17</v>
      </c>
      <c r="F409" s="3" t="n">
        <v>0.00049</v>
      </c>
      <c r="G409" s="3" t="n">
        <f aca="false">SUM($F$2:F409)</f>
        <v>0.65206</v>
      </c>
      <c r="H409" s="4"/>
      <c r="I409" s="5"/>
      <c r="J409" s="4"/>
      <c r="K409" s="5"/>
      <c r="L409" s="6"/>
      <c r="M409" s="5" t="str">
        <f aca="false">IF(AND(N(K409)&gt;0,N(L409)&gt;0),K409/L409,"")</f>
        <v/>
      </c>
      <c r="N409" s="2" t="s">
        <v>34</v>
      </c>
    </row>
    <row r="410" customFormat="false" ht="15" hidden="false" customHeight="false" outlineLevel="0" collapsed="false">
      <c r="A410" s="2" t="n">
        <v>409</v>
      </c>
      <c r="B410" s="2" t="s">
        <v>1139</v>
      </c>
      <c r="C410" s="2" t="s">
        <v>1140</v>
      </c>
      <c r="D410" s="2"/>
      <c r="E410" s="2" t="s">
        <v>43</v>
      </c>
      <c r="F410" s="3" t="n">
        <v>0.00049</v>
      </c>
      <c r="G410" s="3" t="n">
        <f aca="false">SUM($F$2:F410)</f>
        <v>0.65255</v>
      </c>
      <c r="H410" s="4"/>
      <c r="I410" s="5"/>
      <c r="J410" s="4"/>
      <c r="K410" s="5"/>
      <c r="L410" s="6"/>
      <c r="M410" s="5" t="str">
        <f aca="false">IF(AND(N(K410)&gt;0,N(L410)&gt;0),K410/L410,"")</f>
        <v/>
      </c>
      <c r="N410" s="2" t="s">
        <v>34</v>
      </c>
    </row>
    <row r="411" customFormat="false" ht="15" hidden="false" customHeight="false" outlineLevel="0" collapsed="false">
      <c r="A411" s="2" t="n">
        <v>410</v>
      </c>
      <c r="B411" s="2" t="s">
        <v>1141</v>
      </c>
      <c r="C411" s="2" t="s">
        <v>1142</v>
      </c>
      <c r="D411" s="2"/>
      <c r="E411" s="2" t="s">
        <v>43</v>
      </c>
      <c r="F411" s="3" t="n">
        <v>0.000489</v>
      </c>
      <c r="G411" s="3" t="n">
        <f aca="false">SUM($F$2:F411)</f>
        <v>0.653039</v>
      </c>
      <c r="H411" s="4"/>
      <c r="I411" s="5"/>
      <c r="J411" s="4"/>
      <c r="K411" s="5"/>
      <c r="L411" s="6"/>
      <c r="M411" s="5" t="str">
        <f aca="false">IF(AND(N(K411)&gt;0,N(L411)&gt;0),K411/L411,"")</f>
        <v/>
      </c>
      <c r="N411" s="2" t="s">
        <v>34</v>
      </c>
    </row>
    <row r="412" customFormat="false" ht="15" hidden="false" customHeight="false" outlineLevel="0" collapsed="false">
      <c r="A412" s="2" t="n">
        <v>411</v>
      </c>
      <c r="B412" s="2" t="s">
        <v>1143</v>
      </c>
      <c r="C412" s="2" t="s">
        <v>1144</v>
      </c>
      <c r="D412" s="2"/>
      <c r="E412" s="2" t="s">
        <v>25</v>
      </c>
      <c r="F412" s="3" t="n">
        <v>0.000487</v>
      </c>
      <c r="G412" s="3" t="n">
        <f aca="false">SUM($F$2:F412)</f>
        <v>0.653526</v>
      </c>
      <c r="H412" s="4"/>
      <c r="I412" s="5"/>
      <c r="J412" s="4"/>
      <c r="K412" s="5"/>
      <c r="L412" s="6"/>
      <c r="M412" s="5" t="str">
        <f aca="false">IF(AND(N(K412)&gt;0,N(L412)&gt;0),K412/L412,"")</f>
        <v/>
      </c>
      <c r="N412" s="2" t="s">
        <v>34</v>
      </c>
    </row>
    <row r="413" customFormat="false" ht="15" hidden="false" customHeight="false" outlineLevel="0" collapsed="false">
      <c r="A413" s="2" t="n">
        <v>412</v>
      </c>
      <c r="B413" s="2" t="s">
        <v>1145</v>
      </c>
      <c r="C413" s="2" t="s">
        <v>1146</v>
      </c>
      <c r="D413" s="2"/>
      <c r="E413" s="2" t="s">
        <v>25</v>
      </c>
      <c r="F413" s="3" t="n">
        <v>0.000486</v>
      </c>
      <c r="G413" s="3" t="n">
        <f aca="false">SUM($F$2:F413)</f>
        <v>0.654012</v>
      </c>
      <c r="H413" s="4"/>
      <c r="I413" s="5"/>
      <c r="J413" s="4"/>
      <c r="K413" s="5"/>
      <c r="L413" s="6"/>
      <c r="M413" s="5" t="str">
        <f aca="false">IF(AND(N(K413)&gt;0,N(L413)&gt;0),K413/L413,"")</f>
        <v/>
      </c>
      <c r="N413" s="2" t="s">
        <v>34</v>
      </c>
    </row>
    <row r="414" customFormat="false" ht="15" hidden="false" customHeight="false" outlineLevel="0" collapsed="false">
      <c r="A414" s="2" t="n">
        <v>413</v>
      </c>
      <c r="B414" s="2" t="s">
        <v>1147</v>
      </c>
      <c r="C414" s="2" t="s">
        <v>1148</v>
      </c>
      <c r="D414" s="2"/>
      <c r="E414" s="2" t="s">
        <v>29</v>
      </c>
      <c r="F414" s="3" t="n">
        <v>0.000485</v>
      </c>
      <c r="G414" s="3" t="n">
        <f aca="false">SUM($F$2:F414)</f>
        <v>0.654497</v>
      </c>
      <c r="H414" s="4"/>
      <c r="I414" s="5"/>
      <c r="J414" s="4"/>
      <c r="K414" s="5"/>
      <c r="L414" s="6"/>
      <c r="M414" s="5" t="str">
        <f aca="false">IF(AND(N(K414)&gt;0,N(L414)&gt;0),K414/L414,"")</f>
        <v/>
      </c>
      <c r="N414" s="2" t="s">
        <v>34</v>
      </c>
    </row>
    <row r="415" customFormat="false" ht="15" hidden="false" customHeight="false" outlineLevel="0" collapsed="false">
      <c r="A415" s="2" t="n">
        <v>414</v>
      </c>
      <c r="B415" s="2" t="s">
        <v>1149</v>
      </c>
      <c r="C415" s="2" t="s">
        <v>1150</v>
      </c>
      <c r="D415" s="2"/>
      <c r="E415" s="2" t="s">
        <v>43</v>
      </c>
      <c r="F415" s="3" t="n">
        <v>0.000485</v>
      </c>
      <c r="G415" s="3" t="n">
        <f aca="false">SUM($F$2:F415)</f>
        <v>0.654982</v>
      </c>
      <c r="H415" s="4"/>
      <c r="I415" s="5"/>
      <c r="J415" s="4"/>
      <c r="K415" s="5"/>
      <c r="L415" s="6"/>
      <c r="M415" s="5" t="str">
        <f aca="false">IF(AND(N(K415)&gt;0,N(L415)&gt;0),K415/L415,"")</f>
        <v/>
      </c>
      <c r="N415" s="2" t="s">
        <v>34</v>
      </c>
    </row>
    <row r="416" customFormat="false" ht="15" hidden="false" customHeight="false" outlineLevel="0" collapsed="false">
      <c r="A416" s="2" t="n">
        <v>415</v>
      </c>
      <c r="B416" s="2" t="s">
        <v>1151</v>
      </c>
      <c r="C416" s="2" t="s">
        <v>1152</v>
      </c>
      <c r="D416" s="2"/>
      <c r="E416" s="2" t="s">
        <v>52</v>
      </c>
      <c r="F416" s="3" t="n">
        <v>0.000484</v>
      </c>
      <c r="G416" s="3" t="n">
        <f aca="false">SUM($F$2:F416)</f>
        <v>0.655466</v>
      </c>
      <c r="H416" s="4"/>
      <c r="I416" s="5"/>
      <c r="J416" s="4"/>
      <c r="K416" s="5"/>
      <c r="L416" s="6"/>
      <c r="M416" s="5" t="str">
        <f aca="false">IF(AND(N(K416)&gt;0,N(L416)&gt;0),K416/L416,"")</f>
        <v/>
      </c>
      <c r="N416" s="2" t="s">
        <v>34</v>
      </c>
    </row>
    <row r="417" customFormat="false" ht="15" hidden="false" customHeight="false" outlineLevel="0" collapsed="false">
      <c r="A417" s="2" t="n">
        <v>416</v>
      </c>
      <c r="B417" s="2" t="s">
        <v>1153</v>
      </c>
      <c r="C417" s="2" t="s">
        <v>1154</v>
      </c>
      <c r="D417" s="2"/>
      <c r="E417" s="2" t="s">
        <v>29</v>
      </c>
      <c r="F417" s="3" t="n">
        <v>0.000481</v>
      </c>
      <c r="G417" s="3" t="n">
        <f aca="false">SUM($F$2:F417)</f>
        <v>0.655947</v>
      </c>
      <c r="H417" s="4"/>
      <c r="I417" s="5"/>
      <c r="J417" s="4"/>
      <c r="K417" s="5"/>
      <c r="L417" s="6"/>
      <c r="M417" s="5" t="str">
        <f aca="false">IF(AND(N(K417)&gt;0,N(L417)&gt;0),K417/L417,"")</f>
        <v/>
      </c>
      <c r="N417" s="2" t="s">
        <v>34</v>
      </c>
    </row>
    <row r="418" customFormat="false" ht="15" hidden="false" customHeight="false" outlineLevel="0" collapsed="false">
      <c r="A418" s="2" t="n">
        <v>417</v>
      </c>
      <c r="B418" s="2" t="s">
        <v>1155</v>
      </c>
      <c r="C418" s="2" t="s">
        <v>1156</v>
      </c>
      <c r="D418" s="2"/>
      <c r="E418" s="2" t="s">
        <v>199</v>
      </c>
      <c r="F418" s="3" t="n">
        <v>0.000481</v>
      </c>
      <c r="G418" s="3" t="n">
        <f aca="false">SUM($F$2:F418)</f>
        <v>0.656428</v>
      </c>
      <c r="H418" s="4"/>
      <c r="I418" s="5"/>
      <c r="J418" s="4"/>
      <c r="K418" s="5"/>
      <c r="L418" s="6"/>
      <c r="M418" s="5" t="str">
        <f aca="false">IF(AND(N(K418)&gt;0,N(L418)&gt;0),K418/L418,"")</f>
        <v/>
      </c>
      <c r="N418" s="2" t="s">
        <v>34</v>
      </c>
    </row>
    <row r="419" customFormat="false" ht="15" hidden="false" customHeight="false" outlineLevel="0" collapsed="false">
      <c r="A419" s="2" t="n">
        <v>418</v>
      </c>
      <c r="B419" s="2" t="s">
        <v>1157</v>
      </c>
      <c r="C419" s="2" t="s">
        <v>1158</v>
      </c>
      <c r="D419" s="2"/>
      <c r="E419" s="2" t="s">
        <v>17</v>
      </c>
      <c r="F419" s="3" t="n">
        <v>0.000478</v>
      </c>
      <c r="G419" s="3" t="n">
        <f aca="false">SUM($F$2:F419)</f>
        <v>0.656906</v>
      </c>
      <c r="H419" s="4"/>
      <c r="I419" s="5"/>
      <c r="J419" s="4"/>
      <c r="K419" s="5"/>
      <c r="L419" s="6"/>
      <c r="M419" s="5" t="str">
        <f aca="false">IF(AND(N(K419)&gt;0,N(L419)&gt;0),K419/L419,"")</f>
        <v/>
      </c>
      <c r="N419" s="2" t="s">
        <v>34</v>
      </c>
    </row>
    <row r="420" customFormat="false" ht="15" hidden="false" customHeight="false" outlineLevel="0" collapsed="false">
      <c r="A420" s="2" t="n">
        <v>419</v>
      </c>
      <c r="B420" s="2" t="s">
        <v>1159</v>
      </c>
      <c r="C420" s="2" t="s">
        <v>1160</v>
      </c>
      <c r="D420" s="2"/>
      <c r="E420" s="2" t="s">
        <v>17</v>
      </c>
      <c r="F420" s="3" t="n">
        <v>0.000477</v>
      </c>
      <c r="G420" s="3" t="n">
        <f aca="false">SUM($F$2:F420)</f>
        <v>0.657383</v>
      </c>
      <c r="H420" s="4"/>
      <c r="I420" s="5"/>
      <c r="J420" s="4"/>
      <c r="K420" s="5"/>
      <c r="L420" s="6"/>
      <c r="M420" s="5" t="str">
        <f aca="false">IF(AND(N(K420)&gt;0,N(L420)&gt;0),K420/L420,"")</f>
        <v/>
      </c>
      <c r="N420" s="2" t="s">
        <v>34</v>
      </c>
    </row>
    <row r="421" customFormat="false" ht="15" hidden="false" customHeight="false" outlineLevel="0" collapsed="false">
      <c r="A421" s="2" t="n">
        <v>420</v>
      </c>
      <c r="B421" s="2" t="s">
        <v>1161</v>
      </c>
      <c r="C421" s="2" t="s">
        <v>1162</v>
      </c>
      <c r="D421" s="2"/>
      <c r="E421" s="2" t="s">
        <v>25</v>
      </c>
      <c r="F421" s="3" t="n">
        <v>0.000475</v>
      </c>
      <c r="G421" s="3" t="n">
        <f aca="false">SUM($F$2:F421)</f>
        <v>0.657858</v>
      </c>
      <c r="H421" s="4"/>
      <c r="I421" s="5"/>
      <c r="J421" s="4"/>
      <c r="K421" s="5"/>
      <c r="L421" s="6"/>
      <c r="M421" s="5" t="str">
        <f aca="false">IF(AND(N(K421)&gt;0,N(L421)&gt;0),K421/L421,"")</f>
        <v/>
      </c>
      <c r="N421" s="2" t="s">
        <v>34</v>
      </c>
    </row>
    <row r="422" customFormat="false" ht="15" hidden="false" customHeight="false" outlineLevel="0" collapsed="false">
      <c r="A422" s="2" t="n">
        <v>421</v>
      </c>
      <c r="B422" s="2" t="s">
        <v>1163</v>
      </c>
      <c r="C422" s="2" t="s">
        <v>1164</v>
      </c>
      <c r="D422" s="2"/>
      <c r="E422" s="2" t="s">
        <v>29</v>
      </c>
      <c r="F422" s="3" t="n">
        <v>0.000475</v>
      </c>
      <c r="G422" s="3" t="n">
        <f aca="false">SUM($F$2:F422)</f>
        <v>0.658333</v>
      </c>
      <c r="H422" s="4"/>
      <c r="I422" s="5"/>
      <c r="J422" s="4"/>
      <c r="K422" s="5"/>
      <c r="L422" s="6"/>
      <c r="M422" s="5" t="str">
        <f aca="false">IF(AND(N(K422)&gt;0,N(L422)&gt;0),K422/L422,"")</f>
        <v/>
      </c>
      <c r="N422" s="2" t="s">
        <v>34</v>
      </c>
    </row>
    <row r="423" customFormat="false" ht="15" hidden="false" customHeight="false" outlineLevel="0" collapsed="false">
      <c r="A423" s="2" t="n">
        <v>422</v>
      </c>
      <c r="B423" s="2" t="s">
        <v>1165</v>
      </c>
      <c r="C423" s="2" t="s">
        <v>1166</v>
      </c>
      <c r="D423" s="2"/>
      <c r="E423" s="2" t="s">
        <v>700</v>
      </c>
      <c r="F423" s="3" t="n">
        <v>0.000471</v>
      </c>
      <c r="G423" s="3" t="n">
        <f aca="false">SUM($F$2:F423)</f>
        <v>0.658804</v>
      </c>
      <c r="H423" s="4"/>
      <c r="I423" s="5"/>
      <c r="J423" s="4"/>
      <c r="K423" s="5"/>
      <c r="L423" s="6"/>
      <c r="M423" s="5" t="str">
        <f aca="false">IF(AND(N(K423)&gt;0,N(L423)&gt;0),K423/L423,"")</f>
        <v/>
      </c>
      <c r="N423" s="2" t="s">
        <v>34</v>
      </c>
    </row>
    <row r="424" customFormat="false" ht="15" hidden="false" customHeight="false" outlineLevel="0" collapsed="false">
      <c r="A424" s="2" t="n">
        <v>423</v>
      </c>
      <c r="B424" s="2" t="s">
        <v>1167</v>
      </c>
      <c r="C424" s="2" t="s">
        <v>1168</v>
      </c>
      <c r="D424" s="2"/>
      <c r="E424" s="2" t="s">
        <v>29</v>
      </c>
      <c r="F424" s="3" t="n">
        <v>0.00047</v>
      </c>
      <c r="G424" s="3" t="n">
        <f aca="false">SUM($F$2:F424)</f>
        <v>0.659274</v>
      </c>
      <c r="H424" s="4"/>
      <c r="I424" s="5"/>
      <c r="J424" s="4"/>
      <c r="K424" s="5"/>
      <c r="L424" s="6"/>
      <c r="M424" s="5" t="str">
        <f aca="false">IF(AND(N(K424)&gt;0,N(L424)&gt;0),K424/L424,"")</f>
        <v/>
      </c>
      <c r="N424" s="2" t="s">
        <v>34</v>
      </c>
    </row>
    <row r="425" customFormat="false" ht="15" hidden="false" customHeight="false" outlineLevel="0" collapsed="false">
      <c r="A425" s="2" t="n">
        <v>424</v>
      </c>
      <c r="B425" s="2" t="s">
        <v>1169</v>
      </c>
      <c r="C425" s="2" t="s">
        <v>1170</v>
      </c>
      <c r="D425" s="2"/>
      <c r="E425" s="2" t="s">
        <v>52</v>
      </c>
      <c r="F425" s="3" t="n">
        <v>0.00047</v>
      </c>
      <c r="G425" s="3" t="n">
        <f aca="false">SUM($F$2:F425)</f>
        <v>0.659744</v>
      </c>
      <c r="H425" s="4"/>
      <c r="I425" s="5"/>
      <c r="J425" s="4"/>
      <c r="K425" s="5"/>
      <c r="L425" s="6"/>
      <c r="M425" s="5" t="str">
        <f aca="false">IF(AND(N(K425)&gt;0,N(L425)&gt;0),K425/L425,"")</f>
        <v/>
      </c>
      <c r="N425" s="2" t="s">
        <v>34</v>
      </c>
    </row>
    <row r="426" customFormat="false" ht="15" hidden="false" customHeight="false" outlineLevel="0" collapsed="false">
      <c r="A426" s="2" t="n">
        <v>425</v>
      </c>
      <c r="B426" s="2" t="s">
        <v>1171</v>
      </c>
      <c r="C426" s="2" t="s">
        <v>1172</v>
      </c>
      <c r="D426" s="2"/>
      <c r="E426" s="2" t="s">
        <v>29</v>
      </c>
      <c r="F426" s="3" t="n">
        <v>0.000469</v>
      </c>
      <c r="G426" s="3" t="n">
        <f aca="false">SUM($F$2:F426)</f>
        <v>0.660213</v>
      </c>
      <c r="H426" s="4"/>
      <c r="I426" s="5"/>
      <c r="J426" s="4"/>
      <c r="K426" s="5"/>
      <c r="L426" s="6"/>
      <c r="M426" s="5" t="str">
        <f aca="false">IF(AND(N(K426)&gt;0,N(L426)&gt;0),K426/L426,"")</f>
        <v/>
      </c>
      <c r="N426" s="2" t="s">
        <v>34</v>
      </c>
    </row>
    <row r="427" customFormat="false" ht="15" hidden="false" customHeight="false" outlineLevel="0" collapsed="false">
      <c r="A427" s="2" t="n">
        <v>426</v>
      </c>
      <c r="B427" s="2" t="s">
        <v>1173</v>
      </c>
      <c r="C427" s="2" t="s">
        <v>1174</v>
      </c>
      <c r="D427" s="2"/>
      <c r="E427" s="2" t="s">
        <v>38</v>
      </c>
      <c r="F427" s="3" t="n">
        <v>0.000469</v>
      </c>
      <c r="G427" s="3" t="n">
        <f aca="false">SUM($F$2:F427)</f>
        <v>0.660682</v>
      </c>
      <c r="H427" s="4"/>
      <c r="I427" s="5"/>
      <c r="J427" s="4"/>
      <c r="K427" s="5"/>
      <c r="L427" s="6"/>
      <c r="M427" s="5" t="str">
        <f aca="false">IF(AND(N(K427)&gt;0,N(L427)&gt;0),K427/L427,"")</f>
        <v/>
      </c>
      <c r="N427" s="2" t="s">
        <v>34</v>
      </c>
    </row>
    <row r="428" customFormat="false" ht="15" hidden="false" customHeight="false" outlineLevel="0" collapsed="false">
      <c r="A428" s="2" t="n">
        <v>427</v>
      </c>
      <c r="B428" s="2" t="s">
        <v>1175</v>
      </c>
      <c r="C428" s="2" t="s">
        <v>1176</v>
      </c>
      <c r="D428" s="2"/>
      <c r="E428" s="2" t="s">
        <v>17</v>
      </c>
      <c r="F428" s="3" t="n">
        <v>0.000467</v>
      </c>
      <c r="G428" s="3" t="n">
        <f aca="false">SUM($F$2:F428)</f>
        <v>0.661149</v>
      </c>
      <c r="H428" s="4"/>
      <c r="I428" s="5"/>
      <c r="J428" s="4"/>
      <c r="K428" s="5"/>
      <c r="L428" s="6"/>
      <c r="M428" s="5" t="str">
        <f aca="false">IF(AND(N(K428)&gt;0,N(L428)&gt;0),K428/L428,"")</f>
        <v/>
      </c>
      <c r="N428" s="2" t="s">
        <v>34</v>
      </c>
    </row>
    <row r="429" customFormat="false" ht="15" hidden="false" customHeight="false" outlineLevel="0" collapsed="false">
      <c r="A429" s="2" t="n">
        <v>428</v>
      </c>
      <c r="B429" s="2" t="s">
        <v>1177</v>
      </c>
      <c r="C429" s="2" t="s">
        <v>1178</v>
      </c>
      <c r="D429" s="2"/>
      <c r="E429" s="2" t="s">
        <v>48</v>
      </c>
      <c r="F429" s="3" t="n">
        <v>0.000466</v>
      </c>
      <c r="G429" s="3" t="n">
        <f aca="false">SUM($F$2:F429)</f>
        <v>0.661615</v>
      </c>
      <c r="H429" s="4"/>
      <c r="I429" s="5"/>
      <c r="J429" s="4"/>
      <c r="K429" s="5"/>
      <c r="L429" s="6"/>
      <c r="M429" s="5" t="str">
        <f aca="false">IF(AND(N(K429)&gt;0,N(L429)&gt;0),K429/L429,"")</f>
        <v/>
      </c>
      <c r="N429" s="2" t="s">
        <v>34</v>
      </c>
    </row>
    <row r="430" customFormat="false" ht="15" hidden="false" customHeight="false" outlineLevel="0" collapsed="false">
      <c r="A430" s="2" t="n">
        <v>429</v>
      </c>
      <c r="B430" s="2" t="s">
        <v>1179</v>
      </c>
      <c r="C430" s="2" t="s">
        <v>1180</v>
      </c>
      <c r="D430" s="2"/>
      <c r="E430" s="2" t="s">
        <v>289</v>
      </c>
      <c r="F430" s="3" t="n">
        <v>0.000465</v>
      </c>
      <c r="G430" s="3" t="n">
        <f aca="false">SUM($F$2:F430)</f>
        <v>0.66208</v>
      </c>
      <c r="H430" s="4"/>
      <c r="I430" s="5"/>
      <c r="J430" s="4"/>
      <c r="K430" s="5"/>
      <c r="L430" s="6"/>
      <c r="M430" s="5" t="str">
        <f aca="false">IF(AND(N(K430)&gt;0,N(L430)&gt;0),K430/L430,"")</f>
        <v/>
      </c>
      <c r="N430" s="2" t="s">
        <v>34</v>
      </c>
    </row>
    <row r="431" customFormat="false" ht="15" hidden="false" customHeight="false" outlineLevel="0" collapsed="false">
      <c r="A431" s="2" t="n">
        <v>430</v>
      </c>
      <c r="B431" s="2" t="s">
        <v>1181</v>
      </c>
      <c r="C431" s="2" t="s">
        <v>1182</v>
      </c>
      <c r="D431" s="2"/>
      <c r="E431" s="2" t="s">
        <v>199</v>
      </c>
      <c r="F431" s="3" t="n">
        <v>0.000464</v>
      </c>
      <c r="G431" s="3" t="n">
        <f aca="false">SUM($F$2:F431)</f>
        <v>0.662544</v>
      </c>
      <c r="H431" s="4"/>
      <c r="I431" s="5"/>
      <c r="J431" s="4"/>
      <c r="K431" s="5"/>
      <c r="L431" s="6"/>
      <c r="M431" s="5" t="str">
        <f aca="false">IF(AND(N(K431)&gt;0,N(L431)&gt;0),K431/L431,"")</f>
        <v/>
      </c>
      <c r="N431" s="2" t="s">
        <v>34</v>
      </c>
    </row>
    <row r="432" customFormat="false" ht="15" hidden="false" customHeight="false" outlineLevel="0" collapsed="false">
      <c r="A432" s="2" t="n">
        <v>431</v>
      </c>
      <c r="B432" s="2" t="s">
        <v>1183</v>
      </c>
      <c r="C432" s="2" t="s">
        <v>1184</v>
      </c>
      <c r="D432" s="2"/>
      <c r="E432" s="2" t="s">
        <v>289</v>
      </c>
      <c r="F432" s="3" t="n">
        <v>0.000464</v>
      </c>
      <c r="G432" s="3" t="n">
        <f aca="false">SUM($F$2:F432)</f>
        <v>0.663008</v>
      </c>
      <c r="H432" s="4"/>
      <c r="I432" s="5"/>
      <c r="J432" s="4"/>
      <c r="K432" s="5"/>
      <c r="L432" s="6"/>
      <c r="M432" s="5" t="str">
        <f aca="false">IF(AND(N(K432)&gt;0,N(L432)&gt;0),K432/L432,"")</f>
        <v/>
      </c>
      <c r="N432" s="2" t="s">
        <v>34</v>
      </c>
    </row>
    <row r="433" customFormat="false" ht="15" hidden="false" customHeight="false" outlineLevel="0" collapsed="false">
      <c r="A433" s="2" t="n">
        <v>432</v>
      </c>
      <c r="B433" s="2" t="s">
        <v>1185</v>
      </c>
      <c r="C433" s="2" t="s">
        <v>1186</v>
      </c>
      <c r="D433" s="2"/>
      <c r="E433" s="2" t="s">
        <v>29</v>
      </c>
      <c r="F433" s="3" t="n">
        <v>0.000464</v>
      </c>
      <c r="G433" s="3" t="n">
        <f aca="false">SUM($F$2:F433)</f>
        <v>0.663472</v>
      </c>
      <c r="H433" s="4"/>
      <c r="I433" s="5"/>
      <c r="J433" s="4"/>
      <c r="K433" s="5"/>
      <c r="L433" s="6"/>
      <c r="M433" s="5" t="str">
        <f aca="false">IF(AND(N(K433)&gt;0,N(L433)&gt;0),K433/L433,"")</f>
        <v/>
      </c>
      <c r="N433" s="2" t="s">
        <v>34</v>
      </c>
    </row>
    <row r="434" customFormat="false" ht="15" hidden="false" customHeight="false" outlineLevel="0" collapsed="false">
      <c r="A434" s="2" t="n">
        <v>433</v>
      </c>
      <c r="B434" s="2" t="s">
        <v>1187</v>
      </c>
      <c r="C434" s="2" t="s">
        <v>1188</v>
      </c>
      <c r="D434" s="2"/>
      <c r="E434" s="2" t="s">
        <v>199</v>
      </c>
      <c r="F434" s="3" t="n">
        <v>0.000463</v>
      </c>
      <c r="G434" s="3" t="n">
        <f aca="false">SUM($F$2:F434)</f>
        <v>0.663935</v>
      </c>
      <c r="H434" s="4"/>
      <c r="I434" s="5"/>
      <c r="J434" s="4"/>
      <c r="K434" s="5"/>
      <c r="L434" s="6"/>
      <c r="M434" s="5" t="str">
        <f aca="false">IF(AND(N(K434)&gt;0,N(L434)&gt;0),K434/L434,"")</f>
        <v/>
      </c>
      <c r="N434" s="2" t="s">
        <v>34</v>
      </c>
    </row>
    <row r="435" customFormat="false" ht="15" hidden="false" customHeight="false" outlineLevel="0" collapsed="false">
      <c r="A435" s="2" t="n">
        <v>434</v>
      </c>
      <c r="B435" s="2" t="s">
        <v>1189</v>
      </c>
      <c r="C435" s="2" t="s">
        <v>1190</v>
      </c>
      <c r="D435" s="2"/>
      <c r="E435" s="2" t="s">
        <v>52</v>
      </c>
      <c r="F435" s="3" t="n">
        <v>0.000463</v>
      </c>
      <c r="G435" s="3" t="n">
        <f aca="false">SUM($F$2:F435)</f>
        <v>0.664398</v>
      </c>
      <c r="H435" s="4"/>
      <c r="I435" s="5"/>
      <c r="J435" s="4"/>
      <c r="K435" s="5"/>
      <c r="L435" s="6"/>
      <c r="M435" s="5" t="str">
        <f aca="false">IF(AND(N(K435)&gt;0,N(L435)&gt;0),K435/L435,"")</f>
        <v/>
      </c>
      <c r="N435" s="2" t="s">
        <v>34</v>
      </c>
    </row>
    <row r="436" customFormat="false" ht="15" hidden="false" customHeight="false" outlineLevel="0" collapsed="false">
      <c r="A436" s="2" t="n">
        <v>435</v>
      </c>
      <c r="B436" s="2" t="s">
        <v>1191</v>
      </c>
      <c r="C436" s="2" t="s">
        <v>1192</v>
      </c>
      <c r="D436" s="2"/>
      <c r="E436" s="2" t="s">
        <v>48</v>
      </c>
      <c r="F436" s="3" t="n">
        <v>0.00046</v>
      </c>
      <c r="G436" s="3" t="n">
        <f aca="false">SUM($F$2:F436)</f>
        <v>0.664858</v>
      </c>
      <c r="H436" s="4"/>
      <c r="I436" s="5"/>
      <c r="J436" s="4"/>
      <c r="K436" s="5"/>
      <c r="L436" s="6"/>
      <c r="M436" s="5" t="str">
        <f aca="false">IF(AND(N(K436)&gt;0,N(L436)&gt;0),K436/L436,"")</f>
        <v/>
      </c>
      <c r="N436" s="2" t="s">
        <v>34</v>
      </c>
    </row>
    <row r="437" customFormat="false" ht="15" hidden="false" customHeight="false" outlineLevel="0" collapsed="false">
      <c r="A437" s="2" t="n">
        <v>436</v>
      </c>
      <c r="B437" s="2" t="s">
        <v>1193</v>
      </c>
      <c r="C437" s="2" t="s">
        <v>1194</v>
      </c>
      <c r="D437" s="2"/>
      <c r="E437" s="2" t="s">
        <v>29</v>
      </c>
      <c r="F437" s="3" t="n">
        <v>0.000459</v>
      </c>
      <c r="G437" s="3" t="n">
        <f aca="false">SUM($F$2:F437)</f>
        <v>0.665317</v>
      </c>
      <c r="H437" s="4"/>
      <c r="I437" s="5"/>
      <c r="J437" s="4"/>
      <c r="K437" s="5"/>
      <c r="L437" s="6"/>
      <c r="M437" s="5" t="str">
        <f aca="false">IF(AND(N(K437)&gt;0,N(L437)&gt;0),K437/L437,"")</f>
        <v/>
      </c>
      <c r="N437" s="2" t="s">
        <v>34</v>
      </c>
    </row>
    <row r="438" customFormat="false" ht="15" hidden="false" customHeight="false" outlineLevel="0" collapsed="false">
      <c r="A438" s="2" t="n">
        <v>437</v>
      </c>
      <c r="B438" s="2" t="s">
        <v>1195</v>
      </c>
      <c r="C438" s="2" t="s">
        <v>1196</v>
      </c>
      <c r="D438" s="2"/>
      <c r="E438" s="2" t="s">
        <v>29</v>
      </c>
      <c r="F438" s="3" t="n">
        <v>0.000457</v>
      </c>
      <c r="G438" s="3" t="n">
        <f aca="false">SUM($F$2:F438)</f>
        <v>0.665774</v>
      </c>
      <c r="H438" s="4"/>
      <c r="I438" s="5"/>
      <c r="J438" s="4"/>
      <c r="K438" s="5"/>
      <c r="L438" s="6"/>
      <c r="M438" s="5" t="str">
        <f aca="false">IF(AND(N(K438)&gt;0,N(L438)&gt;0),K438/L438,"")</f>
        <v/>
      </c>
      <c r="N438" s="2" t="s">
        <v>34</v>
      </c>
    </row>
    <row r="439" customFormat="false" ht="15" hidden="false" customHeight="false" outlineLevel="0" collapsed="false">
      <c r="A439" s="2" t="n">
        <v>438</v>
      </c>
      <c r="B439" s="2" t="s">
        <v>1197</v>
      </c>
      <c r="C439" s="2" t="s">
        <v>1198</v>
      </c>
      <c r="D439" s="2"/>
      <c r="E439" s="2" t="s">
        <v>25</v>
      </c>
      <c r="F439" s="3" t="n">
        <v>0.000457</v>
      </c>
      <c r="G439" s="3" t="n">
        <f aca="false">SUM($F$2:F439)</f>
        <v>0.666231</v>
      </c>
      <c r="H439" s="4"/>
      <c r="I439" s="5"/>
      <c r="J439" s="4"/>
      <c r="K439" s="5"/>
      <c r="L439" s="6"/>
      <c r="M439" s="5" t="str">
        <f aca="false">IF(AND(N(K439)&gt;0,N(L439)&gt;0),K439/L439,"")</f>
        <v/>
      </c>
      <c r="N439" s="2" t="s">
        <v>34</v>
      </c>
    </row>
    <row r="440" customFormat="false" ht="15" hidden="false" customHeight="false" outlineLevel="0" collapsed="false">
      <c r="A440" s="2" t="n">
        <v>439</v>
      </c>
      <c r="B440" s="2" t="s">
        <v>1199</v>
      </c>
      <c r="C440" s="2" t="s">
        <v>1200</v>
      </c>
      <c r="D440" s="2"/>
      <c r="E440" s="2" t="s">
        <v>29</v>
      </c>
      <c r="F440" s="3" t="n">
        <v>0.000457</v>
      </c>
      <c r="G440" s="3" t="n">
        <f aca="false">SUM($F$2:F440)</f>
        <v>0.666688</v>
      </c>
      <c r="H440" s="4"/>
      <c r="I440" s="5"/>
      <c r="J440" s="4"/>
      <c r="K440" s="5"/>
      <c r="L440" s="6"/>
      <c r="M440" s="5" t="str">
        <f aca="false">IF(AND(N(K440)&gt;0,N(L440)&gt;0),K440/L440,"")</f>
        <v/>
      </c>
      <c r="N440" s="2" t="s">
        <v>34</v>
      </c>
    </row>
    <row r="441" customFormat="false" ht="15" hidden="false" customHeight="false" outlineLevel="0" collapsed="false">
      <c r="A441" s="2" t="n">
        <v>440</v>
      </c>
      <c r="B441" s="2" t="s">
        <v>1201</v>
      </c>
      <c r="C441" s="2" t="s">
        <v>1202</v>
      </c>
      <c r="D441" s="2"/>
      <c r="E441" s="2" t="s">
        <v>38</v>
      </c>
      <c r="F441" s="3" t="n">
        <v>0.000457</v>
      </c>
      <c r="G441" s="3" t="n">
        <f aca="false">SUM($F$2:F441)</f>
        <v>0.667145</v>
      </c>
      <c r="H441" s="4"/>
      <c r="I441" s="5"/>
      <c r="J441" s="4"/>
      <c r="K441" s="5"/>
      <c r="L441" s="6"/>
      <c r="M441" s="5" t="str">
        <f aca="false">IF(AND(N(K441)&gt;0,N(L441)&gt;0),K441/L441,"")</f>
        <v/>
      </c>
      <c r="N441" s="2" t="s">
        <v>34</v>
      </c>
    </row>
    <row r="442" customFormat="false" ht="15" hidden="false" customHeight="false" outlineLevel="0" collapsed="false">
      <c r="A442" s="2" t="n">
        <v>441</v>
      </c>
      <c r="B442" s="2" t="s">
        <v>1203</v>
      </c>
      <c r="C442" s="2" t="s">
        <v>1204</v>
      </c>
      <c r="D442" s="2"/>
      <c r="E442" s="2" t="s">
        <v>38</v>
      </c>
      <c r="F442" s="3" t="n">
        <v>0.000455</v>
      </c>
      <c r="G442" s="3" t="n">
        <f aca="false">SUM($F$2:F442)</f>
        <v>0.6676</v>
      </c>
      <c r="H442" s="4"/>
      <c r="I442" s="5"/>
      <c r="J442" s="4"/>
      <c r="K442" s="5"/>
      <c r="L442" s="6"/>
      <c r="M442" s="5" t="str">
        <f aca="false">IF(AND(N(K442)&gt;0,N(L442)&gt;0),K442/L442,"")</f>
        <v/>
      </c>
      <c r="N442" s="2" t="s">
        <v>34</v>
      </c>
    </row>
    <row r="443" customFormat="false" ht="15" hidden="false" customHeight="false" outlineLevel="0" collapsed="false">
      <c r="A443" s="2" t="n">
        <v>442</v>
      </c>
      <c r="B443" s="2" t="s">
        <v>1205</v>
      </c>
      <c r="C443" s="2" t="s">
        <v>1206</v>
      </c>
      <c r="D443" s="2"/>
      <c r="E443" s="2" t="s">
        <v>29</v>
      </c>
      <c r="F443" s="3" t="n">
        <v>0.000455</v>
      </c>
      <c r="G443" s="3" t="n">
        <f aca="false">SUM($F$2:F443)</f>
        <v>0.668055</v>
      </c>
      <c r="H443" s="4"/>
      <c r="I443" s="5"/>
      <c r="J443" s="4"/>
      <c r="K443" s="5"/>
      <c r="L443" s="6"/>
      <c r="M443" s="5" t="str">
        <f aca="false">IF(AND(N(K443)&gt;0,N(L443)&gt;0),K443/L443,"")</f>
        <v/>
      </c>
      <c r="N443" s="2" t="s">
        <v>34</v>
      </c>
    </row>
    <row r="444" customFormat="false" ht="15" hidden="false" customHeight="false" outlineLevel="0" collapsed="false">
      <c r="A444" s="2" t="n">
        <v>443</v>
      </c>
      <c r="B444" s="2" t="s">
        <v>1207</v>
      </c>
      <c r="C444" s="2" t="s">
        <v>1208</v>
      </c>
      <c r="D444" s="2"/>
      <c r="E444" s="2" t="s">
        <v>29</v>
      </c>
      <c r="F444" s="3" t="n">
        <v>0.000454</v>
      </c>
      <c r="G444" s="3" t="n">
        <f aca="false">SUM($F$2:F444)</f>
        <v>0.668509</v>
      </c>
      <c r="H444" s="4"/>
      <c r="I444" s="5"/>
      <c r="J444" s="4"/>
      <c r="K444" s="5"/>
      <c r="L444" s="6"/>
      <c r="M444" s="5" t="str">
        <f aca="false">IF(AND(N(K444)&gt;0,N(L444)&gt;0),K444/L444,"")</f>
        <v/>
      </c>
      <c r="N444" s="2" t="s">
        <v>34</v>
      </c>
    </row>
    <row r="445" customFormat="false" ht="15" hidden="false" customHeight="false" outlineLevel="0" collapsed="false">
      <c r="A445" s="2" t="n">
        <v>444</v>
      </c>
      <c r="B445" s="2" t="s">
        <v>1209</v>
      </c>
      <c r="C445" s="2" t="s">
        <v>1210</v>
      </c>
      <c r="D445" s="2"/>
      <c r="E445" s="2" t="s">
        <v>289</v>
      </c>
      <c r="F445" s="3" t="n">
        <v>0.000453</v>
      </c>
      <c r="G445" s="3" t="n">
        <f aca="false">SUM($F$2:F445)</f>
        <v>0.668962</v>
      </c>
      <c r="H445" s="4"/>
      <c r="I445" s="5"/>
      <c r="J445" s="4"/>
      <c r="K445" s="5"/>
      <c r="L445" s="6"/>
      <c r="M445" s="5" t="str">
        <f aca="false">IF(AND(N(K445)&gt;0,N(L445)&gt;0),K445/L445,"")</f>
        <v/>
      </c>
      <c r="N445" s="2" t="s">
        <v>34</v>
      </c>
    </row>
    <row r="446" customFormat="false" ht="15" hidden="false" customHeight="false" outlineLevel="0" collapsed="false">
      <c r="A446" s="2" t="n">
        <v>445</v>
      </c>
      <c r="B446" s="2" t="s">
        <v>1211</v>
      </c>
      <c r="C446" s="2" t="s">
        <v>1212</v>
      </c>
      <c r="D446" s="2"/>
      <c r="E446" s="2" t="s">
        <v>679</v>
      </c>
      <c r="F446" s="3" t="n">
        <v>0.000451</v>
      </c>
      <c r="G446" s="3" t="n">
        <f aca="false">SUM($F$2:F446)</f>
        <v>0.669413</v>
      </c>
      <c r="H446" s="4"/>
      <c r="I446" s="5"/>
      <c r="J446" s="4"/>
      <c r="K446" s="5"/>
      <c r="L446" s="6"/>
      <c r="M446" s="5" t="str">
        <f aca="false">IF(AND(N(K446)&gt;0,N(L446)&gt;0),K446/L446,"")</f>
        <v/>
      </c>
      <c r="N446" s="2" t="s">
        <v>34</v>
      </c>
    </row>
    <row r="447" customFormat="false" ht="15" hidden="false" customHeight="false" outlineLevel="0" collapsed="false">
      <c r="A447" s="2" t="n">
        <v>446</v>
      </c>
      <c r="B447" s="2" t="s">
        <v>1213</v>
      </c>
      <c r="C447" s="2" t="s">
        <v>1214</v>
      </c>
      <c r="D447" s="2"/>
      <c r="E447" s="2" t="s">
        <v>1215</v>
      </c>
      <c r="F447" s="3" t="n">
        <v>0.00045</v>
      </c>
      <c r="G447" s="3" t="n">
        <f aca="false">SUM($F$2:F447)</f>
        <v>0.669863</v>
      </c>
      <c r="H447" s="4"/>
      <c r="I447" s="5"/>
      <c r="J447" s="4"/>
      <c r="K447" s="5"/>
      <c r="L447" s="6"/>
      <c r="M447" s="5" t="str">
        <f aca="false">IF(AND(N(K447)&gt;0,N(L447)&gt;0),K447/L447,"")</f>
        <v/>
      </c>
      <c r="N447" s="2" t="s">
        <v>34</v>
      </c>
    </row>
    <row r="448" customFormat="false" ht="15" hidden="false" customHeight="false" outlineLevel="0" collapsed="false">
      <c r="A448" s="2" t="n">
        <v>447</v>
      </c>
      <c r="B448" s="2" t="s">
        <v>1216</v>
      </c>
      <c r="C448" s="2" t="s">
        <v>1217</v>
      </c>
      <c r="D448" s="2"/>
      <c r="E448" s="2" t="s">
        <v>52</v>
      </c>
      <c r="F448" s="3" t="n">
        <v>0.00045</v>
      </c>
      <c r="G448" s="3" t="n">
        <f aca="false">SUM($F$2:F448)</f>
        <v>0.670313</v>
      </c>
      <c r="H448" s="4"/>
      <c r="I448" s="5"/>
      <c r="J448" s="4"/>
      <c r="K448" s="5"/>
      <c r="L448" s="6"/>
      <c r="M448" s="5" t="str">
        <f aca="false">IF(AND(N(K448)&gt;0,N(L448)&gt;0),K448/L448,"")</f>
        <v/>
      </c>
      <c r="N448" s="2" t="s">
        <v>34</v>
      </c>
    </row>
    <row r="449" customFormat="false" ht="15" hidden="false" customHeight="false" outlineLevel="0" collapsed="false">
      <c r="A449" s="2" t="n">
        <v>448</v>
      </c>
      <c r="B449" s="2" t="s">
        <v>1218</v>
      </c>
      <c r="C449" s="2" t="s">
        <v>1219</v>
      </c>
      <c r="D449" s="2"/>
      <c r="E449" s="2" t="s">
        <v>25</v>
      </c>
      <c r="F449" s="3" t="n">
        <v>0.00045</v>
      </c>
      <c r="G449" s="3" t="n">
        <f aca="false">SUM($F$2:F449)</f>
        <v>0.670763</v>
      </c>
      <c r="H449" s="4"/>
      <c r="I449" s="5"/>
      <c r="J449" s="4"/>
      <c r="K449" s="5"/>
      <c r="L449" s="6"/>
      <c r="M449" s="5" t="str">
        <f aca="false">IF(AND(N(K449)&gt;0,N(L449)&gt;0),K449/L449,"")</f>
        <v/>
      </c>
      <c r="N449" s="2" t="s">
        <v>34</v>
      </c>
    </row>
    <row r="450" customFormat="false" ht="15" hidden="false" customHeight="false" outlineLevel="0" collapsed="false">
      <c r="A450" s="2" t="n">
        <v>449</v>
      </c>
      <c r="B450" s="2" t="s">
        <v>1220</v>
      </c>
      <c r="C450" s="2" t="s">
        <v>1221</v>
      </c>
      <c r="D450" s="2"/>
      <c r="E450" s="2" t="s">
        <v>82</v>
      </c>
      <c r="F450" s="3" t="n">
        <v>0.000448</v>
      </c>
      <c r="G450" s="3" t="n">
        <f aca="false">SUM($F$2:F450)</f>
        <v>0.671211</v>
      </c>
      <c r="H450" s="4"/>
      <c r="I450" s="5"/>
      <c r="J450" s="4"/>
      <c r="K450" s="5"/>
      <c r="L450" s="6"/>
      <c r="M450" s="5" t="str">
        <f aca="false">IF(AND(N(K450)&gt;0,N(L450)&gt;0),K450/L450,"")</f>
        <v/>
      </c>
      <c r="N450" s="2" t="s">
        <v>34</v>
      </c>
    </row>
    <row r="451" customFormat="false" ht="15" hidden="false" customHeight="false" outlineLevel="0" collapsed="false">
      <c r="A451" s="2" t="n">
        <v>450</v>
      </c>
      <c r="B451" s="2" t="s">
        <v>1222</v>
      </c>
      <c r="C451" s="2" t="s">
        <v>1223</v>
      </c>
      <c r="D451" s="2"/>
      <c r="E451" s="2" t="s">
        <v>38</v>
      </c>
      <c r="F451" s="3" t="n">
        <v>0.000448</v>
      </c>
      <c r="G451" s="3" t="n">
        <f aca="false">SUM($F$2:F451)</f>
        <v>0.671659</v>
      </c>
      <c r="H451" s="4"/>
      <c r="I451" s="5"/>
      <c r="J451" s="4"/>
      <c r="K451" s="5"/>
      <c r="L451" s="6"/>
      <c r="M451" s="5" t="str">
        <f aca="false">IF(AND(N(K451)&gt;0,N(L451)&gt;0),K451/L451,"")</f>
        <v/>
      </c>
      <c r="N451" s="2" t="s">
        <v>34</v>
      </c>
    </row>
    <row r="452" customFormat="false" ht="15" hidden="false" customHeight="false" outlineLevel="0" collapsed="false">
      <c r="A452" s="2" t="n">
        <v>451</v>
      </c>
      <c r="B452" s="2" t="s">
        <v>1224</v>
      </c>
      <c r="C452" s="2" t="s">
        <v>1225</v>
      </c>
      <c r="D452" s="2"/>
      <c r="E452" s="2" t="s">
        <v>21</v>
      </c>
      <c r="F452" s="3" t="n">
        <v>0.000447</v>
      </c>
      <c r="G452" s="3" t="n">
        <f aca="false">SUM($F$2:F452)</f>
        <v>0.672106</v>
      </c>
      <c r="H452" s="4"/>
      <c r="I452" s="5"/>
      <c r="J452" s="4"/>
      <c r="K452" s="5"/>
      <c r="L452" s="6"/>
      <c r="M452" s="5" t="str">
        <f aca="false">IF(AND(N(K452)&gt;0,N(L452)&gt;0),K452/L452,"")</f>
        <v/>
      </c>
      <c r="N452" s="2" t="s">
        <v>1226</v>
      </c>
    </row>
    <row r="453" customFormat="false" ht="15" hidden="false" customHeight="false" outlineLevel="0" collapsed="false">
      <c r="A453" s="2" t="n">
        <v>452</v>
      </c>
      <c r="B453" s="2" t="s">
        <v>1227</v>
      </c>
      <c r="C453" s="2" t="s">
        <v>1228</v>
      </c>
      <c r="D453" s="2"/>
      <c r="E453" s="2" t="s">
        <v>43</v>
      </c>
      <c r="F453" s="3" t="n">
        <v>0.000447</v>
      </c>
      <c r="G453" s="3" t="n">
        <f aca="false">SUM($F$2:F453)</f>
        <v>0.672553</v>
      </c>
      <c r="H453" s="4"/>
      <c r="I453" s="5"/>
      <c r="J453" s="4"/>
      <c r="K453" s="5"/>
      <c r="L453" s="6"/>
      <c r="M453" s="5" t="str">
        <f aca="false">IF(AND(N(K453)&gt;0,N(L453)&gt;0),K453/L453,"")</f>
        <v/>
      </c>
      <c r="N453" s="2" t="s">
        <v>1226</v>
      </c>
    </row>
    <row r="454" customFormat="false" ht="15" hidden="false" customHeight="false" outlineLevel="0" collapsed="false">
      <c r="A454" s="2" t="n">
        <v>453</v>
      </c>
      <c r="B454" s="2" t="s">
        <v>1229</v>
      </c>
      <c r="C454" s="2" t="s">
        <v>1230</v>
      </c>
      <c r="D454" s="2"/>
      <c r="E454" s="2" t="s">
        <v>82</v>
      </c>
      <c r="F454" s="3" t="n">
        <v>0.000446</v>
      </c>
      <c r="G454" s="3" t="n">
        <f aca="false">SUM($F$2:F454)</f>
        <v>0.672999</v>
      </c>
      <c r="H454" s="4"/>
      <c r="I454" s="5"/>
      <c r="J454" s="4"/>
      <c r="K454" s="5"/>
      <c r="L454" s="6"/>
      <c r="M454" s="5" t="str">
        <f aca="false">IF(AND(N(K454)&gt;0,N(L454)&gt;0),K454/L454,"")</f>
        <v/>
      </c>
      <c r="N454" s="2" t="s">
        <v>1226</v>
      </c>
    </row>
    <row r="455" customFormat="false" ht="15" hidden="false" customHeight="false" outlineLevel="0" collapsed="false">
      <c r="A455" s="2" t="n">
        <v>454</v>
      </c>
      <c r="B455" s="2" t="s">
        <v>1231</v>
      </c>
      <c r="C455" s="2" t="s">
        <v>1232</v>
      </c>
      <c r="D455" s="2"/>
      <c r="E455" s="2" t="s">
        <v>29</v>
      </c>
      <c r="F455" s="3" t="n">
        <v>0.000446</v>
      </c>
      <c r="G455" s="3" t="n">
        <f aca="false">SUM($F$2:F455)</f>
        <v>0.673445</v>
      </c>
      <c r="H455" s="4"/>
      <c r="I455" s="5"/>
      <c r="J455" s="4"/>
      <c r="K455" s="5"/>
      <c r="L455" s="6"/>
      <c r="M455" s="5" t="str">
        <f aca="false">IF(AND(N(K455)&gt;0,N(L455)&gt;0),K455/L455,"")</f>
        <v/>
      </c>
      <c r="N455" s="2" t="s">
        <v>1226</v>
      </c>
    </row>
    <row r="456" customFormat="false" ht="15" hidden="false" customHeight="false" outlineLevel="0" collapsed="false">
      <c r="A456" s="2" t="n">
        <v>455</v>
      </c>
      <c r="B456" s="2" t="s">
        <v>1233</v>
      </c>
      <c r="C456" s="2" t="s">
        <v>1234</v>
      </c>
      <c r="D456" s="2"/>
      <c r="E456" s="2" t="s">
        <v>33</v>
      </c>
      <c r="F456" s="3" t="n">
        <v>0.000446</v>
      </c>
      <c r="G456" s="3" t="n">
        <f aca="false">SUM($F$2:F456)</f>
        <v>0.673891</v>
      </c>
      <c r="H456" s="4"/>
      <c r="I456" s="5"/>
      <c r="J456" s="4"/>
      <c r="K456" s="5"/>
      <c r="L456" s="6"/>
      <c r="M456" s="5" t="str">
        <f aca="false">IF(AND(N(K456)&gt;0,N(L456)&gt;0),K456/L456,"")</f>
        <v/>
      </c>
      <c r="N456" s="2" t="s">
        <v>1226</v>
      </c>
    </row>
    <row r="457" customFormat="false" ht="15" hidden="false" customHeight="false" outlineLevel="0" collapsed="false">
      <c r="A457" s="2" t="n">
        <v>456</v>
      </c>
      <c r="B457" s="2" t="s">
        <v>1235</v>
      </c>
      <c r="C457" s="2" t="s">
        <v>1236</v>
      </c>
      <c r="D457" s="2"/>
      <c r="E457" s="2" t="s">
        <v>48</v>
      </c>
      <c r="F457" s="3" t="n">
        <v>0.000445</v>
      </c>
      <c r="G457" s="3" t="n">
        <f aca="false">SUM($F$2:F457)</f>
        <v>0.674336</v>
      </c>
      <c r="H457" s="4"/>
      <c r="I457" s="5"/>
      <c r="J457" s="4"/>
      <c r="K457" s="5"/>
      <c r="L457" s="6"/>
      <c r="M457" s="5" t="str">
        <f aca="false">IF(AND(N(K457)&gt;0,N(L457)&gt;0),K457/L457,"")</f>
        <v/>
      </c>
      <c r="N457" s="2" t="s">
        <v>1226</v>
      </c>
    </row>
    <row r="458" customFormat="false" ht="15" hidden="false" customHeight="false" outlineLevel="0" collapsed="false">
      <c r="A458" s="2" t="n">
        <v>457</v>
      </c>
      <c r="B458" s="2" t="s">
        <v>1237</v>
      </c>
      <c r="C458" s="2" t="s">
        <v>1238</v>
      </c>
      <c r="D458" s="2"/>
      <c r="E458" s="2" t="s">
        <v>82</v>
      </c>
      <c r="F458" s="3" t="n">
        <v>0.000444</v>
      </c>
      <c r="G458" s="3" t="n">
        <f aca="false">SUM($F$2:F458)</f>
        <v>0.67478</v>
      </c>
      <c r="H458" s="4"/>
      <c r="I458" s="5"/>
      <c r="J458" s="4"/>
      <c r="K458" s="5"/>
      <c r="L458" s="6"/>
      <c r="M458" s="5" t="str">
        <f aca="false">IF(AND(N(K458)&gt;0,N(L458)&gt;0),K458/L458,"")</f>
        <v/>
      </c>
      <c r="N458" s="2" t="s">
        <v>1226</v>
      </c>
    </row>
    <row r="459" customFormat="false" ht="15" hidden="false" customHeight="false" outlineLevel="0" collapsed="false">
      <c r="A459" s="2" t="n">
        <v>458</v>
      </c>
      <c r="B459" s="2" t="s">
        <v>1239</v>
      </c>
      <c r="C459" s="2" t="s">
        <v>1240</v>
      </c>
      <c r="D459" s="2"/>
      <c r="E459" s="2" t="s">
        <v>765</v>
      </c>
      <c r="F459" s="3" t="n">
        <v>0.000443</v>
      </c>
      <c r="G459" s="3" t="n">
        <f aca="false">SUM($F$2:F459)</f>
        <v>0.675223</v>
      </c>
      <c r="H459" s="4"/>
      <c r="I459" s="5"/>
      <c r="J459" s="4"/>
      <c r="K459" s="5"/>
      <c r="L459" s="6"/>
      <c r="M459" s="5" t="str">
        <f aca="false">IF(AND(N(K459)&gt;0,N(L459)&gt;0),K459/L459,"")</f>
        <v/>
      </c>
      <c r="N459" s="2" t="s">
        <v>1226</v>
      </c>
    </row>
    <row r="460" customFormat="false" ht="15" hidden="false" customHeight="false" outlineLevel="0" collapsed="false">
      <c r="A460" s="2" t="n">
        <v>459</v>
      </c>
      <c r="B460" s="2" t="s">
        <v>1241</v>
      </c>
      <c r="C460" s="2" t="s">
        <v>1242</v>
      </c>
      <c r="D460" s="2"/>
      <c r="E460" s="2" t="s">
        <v>25</v>
      </c>
      <c r="F460" s="3" t="n">
        <v>0.000439</v>
      </c>
      <c r="G460" s="3" t="n">
        <f aca="false">SUM($F$2:F460)</f>
        <v>0.675662</v>
      </c>
      <c r="H460" s="4"/>
      <c r="I460" s="5"/>
      <c r="J460" s="4"/>
      <c r="K460" s="5"/>
      <c r="L460" s="6"/>
      <c r="M460" s="5" t="str">
        <f aca="false">IF(AND(N(K460)&gt;0,N(L460)&gt;0),K460/L460,"")</f>
        <v/>
      </c>
      <c r="N460" s="2" t="s">
        <v>1226</v>
      </c>
    </row>
    <row r="461" customFormat="false" ht="15" hidden="false" customHeight="false" outlineLevel="0" collapsed="false">
      <c r="A461" s="2" t="n">
        <v>460</v>
      </c>
      <c r="B461" s="2" t="s">
        <v>1243</v>
      </c>
      <c r="C461" s="2" t="s">
        <v>1244</v>
      </c>
      <c r="D461" s="2"/>
      <c r="E461" s="2" t="s">
        <v>1245</v>
      </c>
      <c r="F461" s="3" t="n">
        <v>0.000439</v>
      </c>
      <c r="G461" s="3" t="n">
        <f aca="false">SUM($F$2:F461)</f>
        <v>0.676101</v>
      </c>
      <c r="H461" s="4"/>
      <c r="I461" s="5"/>
      <c r="J461" s="4"/>
      <c r="K461" s="5"/>
      <c r="L461" s="6"/>
      <c r="M461" s="5" t="str">
        <f aca="false">IF(AND(N(K461)&gt;0,N(L461)&gt;0),K461/L461,"")</f>
        <v/>
      </c>
      <c r="N461" s="2" t="s">
        <v>1226</v>
      </c>
    </row>
    <row r="462" customFormat="false" ht="15" hidden="false" customHeight="false" outlineLevel="0" collapsed="false">
      <c r="A462" s="2" t="n">
        <v>461</v>
      </c>
      <c r="B462" s="2" t="s">
        <v>1246</v>
      </c>
      <c r="C462" s="2" t="s">
        <v>1247</v>
      </c>
      <c r="D462" s="2"/>
      <c r="E462" s="2" t="s">
        <v>48</v>
      </c>
      <c r="F462" s="3" t="n">
        <v>0.000439</v>
      </c>
      <c r="G462" s="3" t="n">
        <f aca="false">SUM($F$2:F462)</f>
        <v>0.67654</v>
      </c>
      <c r="H462" s="4"/>
      <c r="I462" s="5"/>
      <c r="J462" s="4"/>
      <c r="K462" s="5"/>
      <c r="L462" s="6"/>
      <c r="M462" s="5" t="str">
        <f aca="false">IF(AND(N(K462)&gt;0,N(L462)&gt;0),K462/L462,"")</f>
        <v/>
      </c>
      <c r="N462" s="2" t="s">
        <v>1226</v>
      </c>
    </row>
    <row r="463" customFormat="false" ht="15" hidden="false" customHeight="false" outlineLevel="0" collapsed="false">
      <c r="A463" s="2" t="n">
        <v>462</v>
      </c>
      <c r="B463" s="2" t="s">
        <v>821</v>
      </c>
      <c r="C463" s="2" t="s">
        <v>1248</v>
      </c>
      <c r="D463" s="2"/>
      <c r="E463" s="2" t="s">
        <v>539</v>
      </c>
      <c r="F463" s="3" t="n">
        <v>0.000437</v>
      </c>
      <c r="G463" s="3" t="n">
        <f aca="false">SUM($F$2:F463)</f>
        <v>0.676977</v>
      </c>
      <c r="H463" s="4"/>
      <c r="I463" s="5"/>
      <c r="J463" s="4"/>
      <c r="K463" s="5"/>
      <c r="L463" s="6"/>
      <c r="M463" s="5" t="str">
        <f aca="false">IF(AND(N(K463)&gt;0,N(L463)&gt;0),K463/L463,"")</f>
        <v/>
      </c>
      <c r="N463" s="2" t="s">
        <v>1226</v>
      </c>
    </row>
    <row r="464" customFormat="false" ht="15" hidden="false" customHeight="false" outlineLevel="0" collapsed="false">
      <c r="A464" s="2" t="n">
        <v>463</v>
      </c>
      <c r="B464" s="2" t="s">
        <v>1249</v>
      </c>
      <c r="C464" s="2" t="s">
        <v>1250</v>
      </c>
      <c r="D464" s="2"/>
      <c r="E464" s="2" t="s">
        <v>52</v>
      </c>
      <c r="F464" s="3" t="n">
        <v>0.000435</v>
      </c>
      <c r="G464" s="3" t="n">
        <f aca="false">SUM($F$2:F464)</f>
        <v>0.677412</v>
      </c>
      <c r="H464" s="4"/>
      <c r="I464" s="5"/>
      <c r="J464" s="4"/>
      <c r="K464" s="5"/>
      <c r="L464" s="6"/>
      <c r="M464" s="5" t="str">
        <f aca="false">IF(AND(N(K464)&gt;0,N(L464)&gt;0),K464/L464,"")</f>
        <v/>
      </c>
      <c r="N464" s="2" t="s">
        <v>1226</v>
      </c>
    </row>
    <row r="465" customFormat="false" ht="15" hidden="false" customHeight="false" outlineLevel="0" collapsed="false">
      <c r="A465" s="2" t="n">
        <v>464</v>
      </c>
      <c r="B465" s="2" t="s">
        <v>1251</v>
      </c>
      <c r="C465" s="2" t="s">
        <v>1252</v>
      </c>
      <c r="D465" s="2"/>
      <c r="E465" s="2" t="s">
        <v>860</v>
      </c>
      <c r="F465" s="3" t="n">
        <v>0.000433</v>
      </c>
      <c r="G465" s="3" t="n">
        <f aca="false">SUM($F$2:F465)</f>
        <v>0.677845</v>
      </c>
      <c r="H465" s="4"/>
      <c r="I465" s="5"/>
      <c r="J465" s="4"/>
      <c r="K465" s="5"/>
      <c r="L465" s="6"/>
      <c r="M465" s="5" t="str">
        <f aca="false">IF(AND(N(K465)&gt;0,N(L465)&gt;0),K465/L465,"")</f>
        <v/>
      </c>
      <c r="N465" s="2" t="s">
        <v>1226</v>
      </c>
    </row>
    <row r="466" customFormat="false" ht="15" hidden="false" customHeight="false" outlineLevel="0" collapsed="false">
      <c r="A466" s="2" t="n">
        <v>465</v>
      </c>
      <c r="B466" s="2" t="s">
        <v>1253</v>
      </c>
      <c r="C466" s="2" t="s">
        <v>670</v>
      </c>
      <c r="D466" s="2"/>
      <c r="E466" s="2" t="s">
        <v>29</v>
      </c>
      <c r="F466" s="3" t="n">
        <v>0.000431</v>
      </c>
      <c r="G466" s="3" t="n">
        <f aca="false">SUM($F$2:F466)</f>
        <v>0.678276</v>
      </c>
      <c r="H466" s="4"/>
      <c r="I466" s="5"/>
      <c r="J466" s="4"/>
      <c r="K466" s="5"/>
      <c r="L466" s="6"/>
      <c r="M466" s="5" t="str">
        <f aca="false">IF(AND(N(K466)&gt;0,N(L466)&gt;0),K466/L466,"")</f>
        <v/>
      </c>
      <c r="N466" s="2" t="s">
        <v>1226</v>
      </c>
    </row>
    <row r="467" customFormat="false" ht="15" hidden="false" customHeight="false" outlineLevel="0" collapsed="false">
      <c r="A467" s="2" t="n">
        <v>466</v>
      </c>
      <c r="B467" s="2" t="s">
        <v>1254</v>
      </c>
      <c r="C467" s="2" t="s">
        <v>1255</v>
      </c>
      <c r="D467" s="2"/>
      <c r="E467" s="2" t="s">
        <v>52</v>
      </c>
      <c r="F467" s="3" t="n">
        <v>0.00043</v>
      </c>
      <c r="G467" s="3" t="n">
        <f aca="false">SUM($F$2:F467)</f>
        <v>0.678706</v>
      </c>
      <c r="H467" s="4"/>
      <c r="I467" s="5"/>
      <c r="J467" s="4"/>
      <c r="K467" s="5"/>
      <c r="L467" s="6"/>
      <c r="M467" s="5" t="str">
        <f aca="false">IF(AND(N(K467)&gt;0,N(L467)&gt;0),K467/L467,"")</f>
        <v/>
      </c>
      <c r="N467" s="2" t="s">
        <v>1226</v>
      </c>
    </row>
    <row r="468" customFormat="false" ht="15" hidden="false" customHeight="false" outlineLevel="0" collapsed="false">
      <c r="A468" s="2" t="n">
        <v>467</v>
      </c>
      <c r="B468" s="2" t="s">
        <v>1256</v>
      </c>
      <c r="C468" s="2" t="s">
        <v>1257</v>
      </c>
      <c r="D468" s="2"/>
      <c r="E468" s="2" t="s">
        <v>334</v>
      </c>
      <c r="F468" s="3" t="n">
        <v>0.000428</v>
      </c>
      <c r="G468" s="3" t="n">
        <f aca="false">SUM($F$2:F468)</f>
        <v>0.679134</v>
      </c>
      <c r="H468" s="4"/>
      <c r="I468" s="5"/>
      <c r="J468" s="4"/>
      <c r="K468" s="5"/>
      <c r="L468" s="6"/>
      <c r="M468" s="5" t="str">
        <f aca="false">IF(AND(N(K468)&gt;0,N(L468)&gt;0),K468/L468,"")</f>
        <v/>
      </c>
      <c r="N468" s="2" t="s">
        <v>1226</v>
      </c>
    </row>
    <row r="469" customFormat="false" ht="15" hidden="false" customHeight="false" outlineLevel="0" collapsed="false">
      <c r="A469" s="2" t="n">
        <v>468</v>
      </c>
      <c r="B469" s="2" t="s">
        <v>1258</v>
      </c>
      <c r="C469" s="2" t="s">
        <v>1259</v>
      </c>
      <c r="D469" s="2"/>
      <c r="E469" s="2" t="s">
        <v>296</v>
      </c>
      <c r="F469" s="3" t="n">
        <v>0.000428</v>
      </c>
      <c r="G469" s="3" t="n">
        <f aca="false">SUM($F$2:F469)</f>
        <v>0.679562</v>
      </c>
      <c r="H469" s="4"/>
      <c r="I469" s="5"/>
      <c r="J469" s="4"/>
      <c r="K469" s="5"/>
      <c r="L469" s="6"/>
      <c r="M469" s="5" t="str">
        <f aca="false">IF(AND(N(K469)&gt;0,N(L469)&gt;0),K469/L469,"")</f>
        <v/>
      </c>
      <c r="N469" s="2" t="s">
        <v>1226</v>
      </c>
    </row>
    <row r="470" customFormat="false" ht="15" hidden="false" customHeight="false" outlineLevel="0" collapsed="false">
      <c r="A470" s="2" t="n">
        <v>469</v>
      </c>
      <c r="B470" s="2" t="s">
        <v>1260</v>
      </c>
      <c r="C470" s="2" t="s">
        <v>1261</v>
      </c>
      <c r="D470" s="2"/>
      <c r="E470" s="2" t="s">
        <v>29</v>
      </c>
      <c r="F470" s="3" t="n">
        <v>0.000428</v>
      </c>
      <c r="G470" s="3" t="n">
        <f aca="false">SUM($F$2:F470)</f>
        <v>0.67999</v>
      </c>
      <c r="H470" s="4"/>
      <c r="I470" s="5"/>
      <c r="J470" s="4"/>
      <c r="K470" s="5"/>
      <c r="L470" s="6"/>
      <c r="M470" s="5" t="str">
        <f aca="false">IF(AND(N(K470)&gt;0,N(L470)&gt;0),K470/L470,"")</f>
        <v/>
      </c>
      <c r="N470" s="2" t="s">
        <v>1226</v>
      </c>
    </row>
    <row r="471" customFormat="false" ht="15" hidden="false" customHeight="false" outlineLevel="0" collapsed="false">
      <c r="A471" s="2" t="n">
        <v>470</v>
      </c>
      <c r="B471" s="2" t="s">
        <v>1262</v>
      </c>
      <c r="C471" s="2" t="s">
        <v>1263</v>
      </c>
      <c r="D471" s="2"/>
      <c r="E471" s="2" t="s">
        <v>17</v>
      </c>
      <c r="F471" s="3" t="n">
        <v>0.000426</v>
      </c>
      <c r="G471" s="3" t="n">
        <f aca="false">SUM($F$2:F471)</f>
        <v>0.680416</v>
      </c>
      <c r="H471" s="4"/>
      <c r="I471" s="5"/>
      <c r="J471" s="4"/>
      <c r="K471" s="5"/>
      <c r="L471" s="6"/>
      <c r="M471" s="5" t="str">
        <f aca="false">IF(AND(N(K471)&gt;0,N(L471)&gt;0),K471/L471,"")</f>
        <v/>
      </c>
      <c r="N471" s="2" t="s">
        <v>1226</v>
      </c>
    </row>
    <row r="472" customFormat="false" ht="15" hidden="false" customHeight="false" outlineLevel="0" collapsed="false">
      <c r="A472" s="2" t="n">
        <v>471</v>
      </c>
      <c r="B472" s="2" t="s">
        <v>1264</v>
      </c>
      <c r="C472" s="2" t="s">
        <v>1265</v>
      </c>
      <c r="D472" s="2"/>
      <c r="E472" s="2" t="s">
        <v>52</v>
      </c>
      <c r="F472" s="3" t="n">
        <v>0.000425</v>
      </c>
      <c r="G472" s="3" t="n">
        <f aca="false">SUM($F$2:F472)</f>
        <v>0.680841</v>
      </c>
      <c r="H472" s="4"/>
      <c r="I472" s="5"/>
      <c r="J472" s="4"/>
      <c r="K472" s="5"/>
      <c r="L472" s="6"/>
      <c r="M472" s="5" t="str">
        <f aca="false">IF(AND(N(K472)&gt;0,N(L472)&gt;0),K472/L472,"")</f>
        <v/>
      </c>
      <c r="N472" s="2" t="s">
        <v>1226</v>
      </c>
    </row>
    <row r="473" customFormat="false" ht="15" hidden="false" customHeight="false" outlineLevel="0" collapsed="false">
      <c r="A473" s="2" t="n">
        <v>472</v>
      </c>
      <c r="B473" s="2" t="s">
        <v>1266</v>
      </c>
      <c r="C473" s="2" t="s">
        <v>1267</v>
      </c>
      <c r="D473" s="2"/>
      <c r="E473" s="2" t="s">
        <v>48</v>
      </c>
      <c r="F473" s="3" t="n">
        <v>0.000425</v>
      </c>
      <c r="G473" s="3" t="n">
        <f aca="false">SUM($F$2:F473)</f>
        <v>0.681266</v>
      </c>
      <c r="H473" s="4"/>
      <c r="I473" s="5"/>
      <c r="J473" s="4"/>
      <c r="K473" s="5"/>
      <c r="L473" s="6"/>
      <c r="M473" s="5" t="str">
        <f aca="false">IF(AND(N(K473)&gt;0,N(L473)&gt;0),K473/L473,"")</f>
        <v/>
      </c>
      <c r="N473" s="2" t="s">
        <v>1226</v>
      </c>
    </row>
    <row r="474" customFormat="false" ht="15" hidden="false" customHeight="false" outlineLevel="0" collapsed="false">
      <c r="A474" s="2" t="n">
        <v>473</v>
      </c>
      <c r="B474" s="2" t="s">
        <v>1268</v>
      </c>
      <c r="C474" s="2" t="s">
        <v>1269</v>
      </c>
      <c r="D474" s="2"/>
      <c r="E474" s="2" t="s">
        <v>48</v>
      </c>
      <c r="F474" s="3" t="n">
        <v>0.000423</v>
      </c>
      <c r="G474" s="3" t="n">
        <f aca="false">SUM($F$2:F474)</f>
        <v>0.681689</v>
      </c>
      <c r="H474" s="4"/>
      <c r="I474" s="5"/>
      <c r="J474" s="4"/>
      <c r="K474" s="5"/>
      <c r="L474" s="6"/>
      <c r="M474" s="5" t="str">
        <f aca="false">IF(AND(N(K474)&gt;0,N(L474)&gt;0),K474/L474,"")</f>
        <v/>
      </c>
      <c r="N474" s="2" t="s">
        <v>1226</v>
      </c>
    </row>
    <row r="475" customFormat="false" ht="15" hidden="false" customHeight="false" outlineLevel="0" collapsed="false">
      <c r="A475" s="2" t="n">
        <v>474</v>
      </c>
      <c r="B475" s="2" t="s">
        <v>1270</v>
      </c>
      <c r="C475" s="2" t="s">
        <v>1271</v>
      </c>
      <c r="D475" s="2"/>
      <c r="E475" s="2" t="s">
        <v>199</v>
      </c>
      <c r="F475" s="3" t="n">
        <v>0.000421</v>
      </c>
      <c r="G475" s="3" t="n">
        <f aca="false">SUM($F$2:F475)</f>
        <v>0.68211</v>
      </c>
      <c r="H475" s="4"/>
      <c r="I475" s="5"/>
      <c r="J475" s="4"/>
      <c r="K475" s="5"/>
      <c r="L475" s="6"/>
      <c r="M475" s="5" t="str">
        <f aca="false">IF(AND(N(K475)&gt;0,N(L475)&gt;0),K475/L475,"")</f>
        <v/>
      </c>
      <c r="N475" s="2" t="s">
        <v>1226</v>
      </c>
    </row>
    <row r="476" customFormat="false" ht="15" hidden="false" customHeight="false" outlineLevel="0" collapsed="false">
      <c r="A476" s="2" t="n">
        <v>475</v>
      </c>
      <c r="B476" s="2" t="s">
        <v>1272</v>
      </c>
      <c r="C476" s="2" t="s">
        <v>1273</v>
      </c>
      <c r="D476" s="2"/>
      <c r="E476" s="2" t="s">
        <v>52</v>
      </c>
      <c r="F476" s="3" t="n">
        <v>0.000421</v>
      </c>
      <c r="G476" s="3" t="n">
        <f aca="false">SUM($F$2:F476)</f>
        <v>0.682531</v>
      </c>
      <c r="H476" s="4"/>
      <c r="I476" s="5"/>
      <c r="J476" s="4"/>
      <c r="K476" s="5"/>
      <c r="L476" s="6"/>
      <c r="M476" s="5" t="str">
        <f aca="false">IF(AND(N(K476)&gt;0,N(L476)&gt;0),K476/L476,"")</f>
        <v/>
      </c>
      <c r="N476" s="2" t="s">
        <v>1226</v>
      </c>
    </row>
    <row r="477" customFormat="false" ht="15" hidden="false" customHeight="false" outlineLevel="0" collapsed="false">
      <c r="A477" s="2" t="n">
        <v>476</v>
      </c>
      <c r="B477" s="2" t="s">
        <v>1274</v>
      </c>
      <c r="C477" s="2" t="s">
        <v>1275</v>
      </c>
      <c r="D477" s="2"/>
      <c r="E477" s="2" t="s">
        <v>29</v>
      </c>
      <c r="F477" s="3" t="n">
        <v>0.000421</v>
      </c>
      <c r="G477" s="3" t="n">
        <f aca="false">SUM($F$2:F477)</f>
        <v>0.682952</v>
      </c>
      <c r="H477" s="4"/>
      <c r="I477" s="5"/>
      <c r="J477" s="4"/>
      <c r="K477" s="5"/>
      <c r="L477" s="6"/>
      <c r="M477" s="5" t="str">
        <f aca="false">IF(AND(N(K477)&gt;0,N(L477)&gt;0),K477/L477,"")</f>
        <v/>
      </c>
      <c r="N477" s="2" t="s">
        <v>1226</v>
      </c>
    </row>
    <row r="478" customFormat="false" ht="15" hidden="false" customHeight="false" outlineLevel="0" collapsed="false">
      <c r="A478" s="2" t="n">
        <v>477</v>
      </c>
      <c r="B478" s="2" t="s">
        <v>1276</v>
      </c>
      <c r="C478" s="2" t="s">
        <v>1277</v>
      </c>
      <c r="D478" s="2"/>
      <c r="E478" s="2" t="s">
        <v>38</v>
      </c>
      <c r="F478" s="3" t="n">
        <v>0.00042</v>
      </c>
      <c r="G478" s="3" t="n">
        <f aca="false">SUM($F$2:F478)</f>
        <v>0.683372</v>
      </c>
      <c r="H478" s="4"/>
      <c r="I478" s="5"/>
      <c r="J478" s="4"/>
      <c r="K478" s="5"/>
      <c r="L478" s="6"/>
      <c r="M478" s="5" t="str">
        <f aca="false">IF(AND(N(K478)&gt;0,N(L478)&gt;0),K478/L478,"")</f>
        <v/>
      </c>
      <c r="N478" s="2" t="s">
        <v>1226</v>
      </c>
    </row>
    <row r="479" customFormat="false" ht="15" hidden="false" customHeight="false" outlineLevel="0" collapsed="false">
      <c r="A479" s="2" t="n">
        <v>478</v>
      </c>
      <c r="B479" s="2" t="s">
        <v>1278</v>
      </c>
      <c r="C479" s="2" t="s">
        <v>1279</v>
      </c>
      <c r="D479" s="2"/>
      <c r="E479" s="2" t="s">
        <v>52</v>
      </c>
      <c r="F479" s="3" t="n">
        <v>0.000419</v>
      </c>
      <c r="G479" s="3" t="n">
        <f aca="false">SUM($F$2:F479)</f>
        <v>0.683791</v>
      </c>
      <c r="H479" s="4"/>
      <c r="I479" s="5"/>
      <c r="J479" s="4"/>
      <c r="K479" s="5"/>
      <c r="L479" s="6"/>
      <c r="M479" s="5" t="str">
        <f aca="false">IF(AND(N(K479)&gt;0,N(L479)&gt;0),K479/L479,"")</f>
        <v/>
      </c>
      <c r="N479" s="2" t="s">
        <v>1226</v>
      </c>
    </row>
    <row r="480" customFormat="false" ht="15" hidden="false" customHeight="false" outlineLevel="0" collapsed="false">
      <c r="A480" s="2" t="n">
        <v>479</v>
      </c>
      <c r="B480" s="2" t="s">
        <v>1280</v>
      </c>
      <c r="C480" s="2" t="s">
        <v>1281</v>
      </c>
      <c r="D480" s="2"/>
      <c r="E480" s="2" t="s">
        <v>29</v>
      </c>
      <c r="F480" s="3" t="n">
        <v>0.000419</v>
      </c>
      <c r="G480" s="3" t="n">
        <f aca="false">SUM($F$2:F480)</f>
        <v>0.68421</v>
      </c>
      <c r="H480" s="4"/>
      <c r="I480" s="5"/>
      <c r="J480" s="4"/>
      <c r="K480" s="5"/>
      <c r="L480" s="6"/>
      <c r="M480" s="5" t="str">
        <f aca="false">IF(AND(N(K480)&gt;0,N(L480)&gt;0),K480/L480,"")</f>
        <v/>
      </c>
      <c r="N480" s="2" t="s">
        <v>1226</v>
      </c>
    </row>
    <row r="481" customFormat="false" ht="15" hidden="false" customHeight="false" outlineLevel="0" collapsed="false">
      <c r="A481" s="2" t="n">
        <v>480</v>
      </c>
      <c r="B481" s="2" t="s">
        <v>1282</v>
      </c>
      <c r="C481" s="2" t="s">
        <v>1283</v>
      </c>
      <c r="D481" s="2"/>
      <c r="E481" s="2" t="s">
        <v>1284</v>
      </c>
      <c r="F481" s="3" t="n">
        <v>0.000419</v>
      </c>
      <c r="G481" s="3" t="n">
        <f aca="false">SUM($F$2:F481)</f>
        <v>0.684629</v>
      </c>
      <c r="H481" s="4"/>
      <c r="I481" s="5"/>
      <c r="J481" s="4"/>
      <c r="K481" s="5"/>
      <c r="L481" s="6"/>
      <c r="M481" s="5" t="str">
        <f aca="false">IF(AND(N(K481)&gt;0,N(L481)&gt;0),K481/L481,"")</f>
        <v/>
      </c>
      <c r="N481" s="2" t="s">
        <v>1226</v>
      </c>
    </row>
    <row r="482" customFormat="false" ht="15" hidden="false" customHeight="false" outlineLevel="0" collapsed="false">
      <c r="A482" s="2" t="n">
        <v>481</v>
      </c>
      <c r="B482" s="2" t="s">
        <v>1285</v>
      </c>
      <c r="C482" s="2" t="s">
        <v>1286</v>
      </c>
      <c r="D482" s="2"/>
      <c r="E482" s="2" t="s">
        <v>1050</v>
      </c>
      <c r="F482" s="3" t="n">
        <v>0.000418</v>
      </c>
      <c r="G482" s="3" t="n">
        <f aca="false">SUM($F$2:F482)</f>
        <v>0.685047</v>
      </c>
      <c r="H482" s="4"/>
      <c r="I482" s="5"/>
      <c r="J482" s="4"/>
      <c r="K482" s="5"/>
      <c r="L482" s="6"/>
      <c r="M482" s="5" t="str">
        <f aca="false">IF(AND(N(K482)&gt;0,N(L482)&gt;0),K482/L482,"")</f>
        <v/>
      </c>
      <c r="N482" s="2" t="s">
        <v>1226</v>
      </c>
    </row>
    <row r="483" customFormat="false" ht="15" hidden="false" customHeight="false" outlineLevel="0" collapsed="false">
      <c r="A483" s="2" t="n">
        <v>482</v>
      </c>
      <c r="B483" s="2" t="s">
        <v>1287</v>
      </c>
      <c r="C483" s="2" t="s">
        <v>1288</v>
      </c>
      <c r="D483" s="2"/>
      <c r="E483" s="2" t="s">
        <v>539</v>
      </c>
      <c r="F483" s="3" t="n">
        <v>0.000417</v>
      </c>
      <c r="G483" s="3" t="n">
        <f aca="false">SUM($F$2:F483)</f>
        <v>0.685464</v>
      </c>
      <c r="H483" s="4"/>
      <c r="I483" s="5"/>
      <c r="J483" s="4"/>
      <c r="K483" s="5"/>
      <c r="L483" s="6"/>
      <c r="M483" s="5" t="str">
        <f aca="false">IF(AND(N(K483)&gt;0,N(L483)&gt;0),K483/L483,"")</f>
        <v/>
      </c>
      <c r="N483" s="2" t="s">
        <v>1226</v>
      </c>
    </row>
    <row r="484" customFormat="false" ht="15" hidden="false" customHeight="false" outlineLevel="0" collapsed="false">
      <c r="A484" s="2" t="n">
        <v>483</v>
      </c>
      <c r="B484" s="2" t="s">
        <v>1289</v>
      </c>
      <c r="C484" s="2" t="s">
        <v>1290</v>
      </c>
      <c r="D484" s="2"/>
      <c r="E484" s="2" t="s">
        <v>289</v>
      </c>
      <c r="F484" s="3" t="n">
        <v>0.000416</v>
      </c>
      <c r="G484" s="3" t="n">
        <f aca="false">SUM($F$2:F484)</f>
        <v>0.68588</v>
      </c>
      <c r="H484" s="4"/>
      <c r="I484" s="5"/>
      <c r="J484" s="4"/>
      <c r="K484" s="5"/>
      <c r="L484" s="6"/>
      <c r="M484" s="5" t="str">
        <f aca="false">IF(AND(N(K484)&gt;0,N(L484)&gt;0),K484/L484,"")</f>
        <v/>
      </c>
      <c r="N484" s="2" t="s">
        <v>1226</v>
      </c>
    </row>
    <row r="485" customFormat="false" ht="15" hidden="false" customHeight="false" outlineLevel="0" collapsed="false">
      <c r="A485" s="2" t="n">
        <v>484</v>
      </c>
      <c r="B485" s="2" t="s">
        <v>1291</v>
      </c>
      <c r="C485" s="2" t="s">
        <v>1292</v>
      </c>
      <c r="D485" s="2"/>
      <c r="E485" s="2" t="s">
        <v>52</v>
      </c>
      <c r="F485" s="3" t="n">
        <v>0.000416</v>
      </c>
      <c r="G485" s="3" t="n">
        <f aca="false">SUM($F$2:F485)</f>
        <v>0.686296</v>
      </c>
      <c r="H485" s="4"/>
      <c r="I485" s="5"/>
      <c r="J485" s="4"/>
      <c r="K485" s="5"/>
      <c r="L485" s="6"/>
      <c r="M485" s="5" t="str">
        <f aca="false">IF(AND(N(K485)&gt;0,N(L485)&gt;0),K485/L485,"")</f>
        <v/>
      </c>
      <c r="N485" s="2" t="s">
        <v>1226</v>
      </c>
    </row>
    <row r="486" customFormat="false" ht="15" hidden="false" customHeight="false" outlineLevel="0" collapsed="false">
      <c r="A486" s="2" t="n">
        <v>485</v>
      </c>
      <c r="B486" s="2" t="s">
        <v>1293</v>
      </c>
      <c r="C486" s="2" t="s">
        <v>1294</v>
      </c>
      <c r="D486" s="2"/>
      <c r="E486" s="2" t="s">
        <v>1295</v>
      </c>
      <c r="F486" s="3" t="n">
        <v>0.000416</v>
      </c>
      <c r="G486" s="3" t="n">
        <f aca="false">SUM($F$2:F486)</f>
        <v>0.686712</v>
      </c>
      <c r="H486" s="4"/>
      <c r="I486" s="5"/>
      <c r="J486" s="4"/>
      <c r="K486" s="5"/>
      <c r="L486" s="6"/>
      <c r="M486" s="5" t="str">
        <f aca="false">IF(AND(N(K486)&gt;0,N(L486)&gt;0),K486/L486,"")</f>
        <v/>
      </c>
      <c r="N486" s="2" t="s">
        <v>1226</v>
      </c>
    </row>
    <row r="487" customFormat="false" ht="15" hidden="false" customHeight="false" outlineLevel="0" collapsed="false">
      <c r="A487" s="2" t="n">
        <v>486</v>
      </c>
      <c r="B487" s="2" t="s">
        <v>1296</v>
      </c>
      <c r="C487" s="2" t="s">
        <v>1297</v>
      </c>
      <c r="D487" s="2"/>
      <c r="E487" s="2" t="s">
        <v>52</v>
      </c>
      <c r="F487" s="3" t="n">
        <v>0.000413</v>
      </c>
      <c r="G487" s="3" t="n">
        <f aca="false">SUM($F$2:F487)</f>
        <v>0.687125</v>
      </c>
      <c r="H487" s="4"/>
      <c r="I487" s="5"/>
      <c r="J487" s="4"/>
      <c r="K487" s="5"/>
      <c r="L487" s="6"/>
      <c r="M487" s="5" t="str">
        <f aca="false">IF(AND(N(K487)&gt;0,N(L487)&gt;0),K487/L487,"")</f>
        <v/>
      </c>
      <c r="N487" s="2" t="s">
        <v>1226</v>
      </c>
    </row>
    <row r="488" customFormat="false" ht="15" hidden="false" customHeight="false" outlineLevel="0" collapsed="false">
      <c r="A488" s="2" t="n">
        <v>487</v>
      </c>
      <c r="B488" s="2" t="s">
        <v>1298</v>
      </c>
      <c r="C488" s="2" t="s">
        <v>1299</v>
      </c>
      <c r="D488" s="2"/>
      <c r="E488" s="2" t="s">
        <v>52</v>
      </c>
      <c r="F488" s="3" t="n">
        <v>0.000412</v>
      </c>
      <c r="G488" s="3" t="n">
        <f aca="false">SUM($F$2:F488)</f>
        <v>0.687537</v>
      </c>
      <c r="H488" s="4"/>
      <c r="I488" s="5"/>
      <c r="J488" s="4"/>
      <c r="K488" s="5"/>
      <c r="L488" s="6"/>
      <c r="M488" s="5" t="str">
        <f aca="false">IF(AND(N(K488)&gt;0,N(L488)&gt;0),K488/L488,"")</f>
        <v/>
      </c>
      <c r="N488" s="2" t="s">
        <v>1226</v>
      </c>
    </row>
    <row r="489" customFormat="false" ht="15" hidden="false" customHeight="false" outlineLevel="0" collapsed="false">
      <c r="A489" s="2" t="n">
        <v>488</v>
      </c>
      <c r="B489" s="2" t="s">
        <v>1300</v>
      </c>
      <c r="C489" s="2" t="s">
        <v>1301</v>
      </c>
      <c r="D489" s="2"/>
      <c r="E489" s="2" t="s">
        <v>29</v>
      </c>
      <c r="F489" s="3" t="n">
        <v>0.000412</v>
      </c>
      <c r="G489" s="3" t="n">
        <f aca="false">SUM($F$2:F489)</f>
        <v>0.687949</v>
      </c>
      <c r="H489" s="4"/>
      <c r="I489" s="5"/>
      <c r="J489" s="4"/>
      <c r="K489" s="5"/>
      <c r="L489" s="6"/>
      <c r="M489" s="5" t="str">
        <f aca="false">IF(AND(N(K489)&gt;0,N(L489)&gt;0),K489/L489,"")</f>
        <v/>
      </c>
      <c r="N489" s="2" t="s">
        <v>1226</v>
      </c>
    </row>
    <row r="490" customFormat="false" ht="15" hidden="false" customHeight="false" outlineLevel="0" collapsed="false">
      <c r="A490" s="2" t="n">
        <v>489</v>
      </c>
      <c r="B490" s="2" t="s">
        <v>1302</v>
      </c>
      <c r="C490" s="2" t="s">
        <v>1303</v>
      </c>
      <c r="D490" s="2"/>
      <c r="E490" s="2" t="s">
        <v>765</v>
      </c>
      <c r="F490" s="3" t="n">
        <v>0.000411</v>
      </c>
      <c r="G490" s="3" t="n">
        <f aca="false">SUM($F$2:F490)</f>
        <v>0.68836</v>
      </c>
      <c r="H490" s="4"/>
      <c r="I490" s="5"/>
      <c r="J490" s="4"/>
      <c r="K490" s="5"/>
      <c r="L490" s="6"/>
      <c r="M490" s="5" t="str">
        <f aca="false">IF(AND(N(K490)&gt;0,N(L490)&gt;0),K490/L490,"")</f>
        <v/>
      </c>
      <c r="N490" s="2" t="s">
        <v>1226</v>
      </c>
    </row>
    <row r="491" customFormat="false" ht="15" hidden="false" customHeight="false" outlineLevel="0" collapsed="false">
      <c r="A491" s="2" t="n">
        <v>490</v>
      </c>
      <c r="B491" s="2" t="s">
        <v>1304</v>
      </c>
      <c r="C491" s="2" t="s">
        <v>1305</v>
      </c>
      <c r="D491" s="2"/>
      <c r="E491" s="2" t="s">
        <v>29</v>
      </c>
      <c r="F491" s="3" t="n">
        <v>0.00041</v>
      </c>
      <c r="G491" s="3" t="n">
        <f aca="false">SUM($F$2:F491)</f>
        <v>0.68877</v>
      </c>
      <c r="H491" s="4"/>
      <c r="I491" s="5"/>
      <c r="J491" s="4"/>
      <c r="K491" s="5"/>
      <c r="L491" s="6"/>
      <c r="M491" s="5" t="str">
        <f aca="false">IF(AND(N(K491)&gt;0,N(L491)&gt;0),K491/L491,"")</f>
        <v/>
      </c>
      <c r="N491" s="2" t="s">
        <v>1226</v>
      </c>
    </row>
    <row r="492" customFormat="false" ht="15" hidden="false" customHeight="false" outlineLevel="0" collapsed="false">
      <c r="A492" s="2" t="n">
        <v>491</v>
      </c>
      <c r="B492" s="2" t="s">
        <v>1306</v>
      </c>
      <c r="C492" s="2" t="s">
        <v>1307</v>
      </c>
      <c r="D492" s="2"/>
      <c r="E492" s="2" t="s">
        <v>82</v>
      </c>
      <c r="F492" s="3" t="n">
        <v>0.00041</v>
      </c>
      <c r="G492" s="3" t="n">
        <f aca="false">SUM($F$2:F492)</f>
        <v>0.68918</v>
      </c>
      <c r="H492" s="4"/>
      <c r="I492" s="5"/>
      <c r="J492" s="4"/>
      <c r="K492" s="5"/>
      <c r="L492" s="6"/>
      <c r="M492" s="5" t="str">
        <f aca="false">IF(AND(N(K492)&gt;0,N(L492)&gt;0),K492/L492,"")</f>
        <v/>
      </c>
      <c r="N492" s="2" t="s">
        <v>1226</v>
      </c>
    </row>
    <row r="493" customFormat="false" ht="15" hidden="false" customHeight="false" outlineLevel="0" collapsed="false">
      <c r="A493" s="2" t="n">
        <v>492</v>
      </c>
      <c r="B493" s="2" t="s">
        <v>1308</v>
      </c>
      <c r="C493" s="2" t="s">
        <v>1309</v>
      </c>
      <c r="D493" s="2"/>
      <c r="E493" s="2" t="s">
        <v>296</v>
      </c>
      <c r="F493" s="3" t="n">
        <v>0.000407</v>
      </c>
      <c r="G493" s="3" t="n">
        <f aca="false">SUM($F$2:F493)</f>
        <v>0.689587</v>
      </c>
      <c r="H493" s="4"/>
      <c r="I493" s="5"/>
      <c r="J493" s="4"/>
      <c r="K493" s="5"/>
      <c r="L493" s="6"/>
      <c r="M493" s="5" t="str">
        <f aca="false">IF(AND(N(K493)&gt;0,N(L493)&gt;0),K493/L493,"")</f>
        <v/>
      </c>
      <c r="N493" s="2" t="s">
        <v>1226</v>
      </c>
    </row>
    <row r="494" customFormat="false" ht="15" hidden="false" customHeight="false" outlineLevel="0" collapsed="false">
      <c r="A494" s="2" t="n">
        <v>493</v>
      </c>
      <c r="B494" s="2" t="s">
        <v>1310</v>
      </c>
      <c r="C494" s="2" t="s">
        <v>1311</v>
      </c>
      <c r="D494" s="2"/>
      <c r="E494" s="2" t="s">
        <v>52</v>
      </c>
      <c r="F494" s="3" t="n">
        <v>0.000404</v>
      </c>
      <c r="G494" s="3" t="n">
        <f aca="false">SUM($F$2:F494)</f>
        <v>0.689991</v>
      </c>
      <c r="H494" s="4"/>
      <c r="I494" s="5"/>
      <c r="J494" s="4"/>
      <c r="K494" s="5"/>
      <c r="L494" s="6"/>
      <c r="M494" s="5" t="str">
        <f aca="false">IF(AND(N(K494)&gt;0,N(L494)&gt;0),K494/L494,"")</f>
        <v/>
      </c>
      <c r="N494" s="2" t="s">
        <v>1226</v>
      </c>
    </row>
    <row r="495" customFormat="false" ht="15" hidden="false" customHeight="false" outlineLevel="0" collapsed="false">
      <c r="A495" s="2" t="n">
        <v>494</v>
      </c>
      <c r="B495" s="2" t="s">
        <v>1312</v>
      </c>
      <c r="C495" s="2" t="s">
        <v>1313</v>
      </c>
      <c r="D495" s="2"/>
      <c r="E495" s="2" t="s">
        <v>289</v>
      </c>
      <c r="F495" s="3" t="n">
        <v>0.000399</v>
      </c>
      <c r="G495" s="3" t="n">
        <f aca="false">SUM($F$2:F495)</f>
        <v>0.69039</v>
      </c>
      <c r="H495" s="4"/>
      <c r="I495" s="5"/>
      <c r="J495" s="4"/>
      <c r="K495" s="5"/>
      <c r="L495" s="6"/>
      <c r="M495" s="5" t="str">
        <f aca="false">IF(AND(N(K495)&gt;0,N(L495)&gt;0),K495/L495,"")</f>
        <v/>
      </c>
      <c r="N495" s="2" t="s">
        <v>1226</v>
      </c>
    </row>
    <row r="496" customFormat="false" ht="15" hidden="false" customHeight="false" outlineLevel="0" collapsed="false">
      <c r="A496" s="2" t="n">
        <v>495</v>
      </c>
      <c r="B496" s="2" t="s">
        <v>1314</v>
      </c>
      <c r="C496" s="2" t="s">
        <v>1315</v>
      </c>
      <c r="D496" s="2"/>
      <c r="E496" s="2" t="s">
        <v>29</v>
      </c>
      <c r="F496" s="3" t="n">
        <v>0.000398</v>
      </c>
      <c r="G496" s="3" t="n">
        <f aca="false">SUM($F$2:F496)</f>
        <v>0.690788</v>
      </c>
      <c r="H496" s="4"/>
      <c r="I496" s="5"/>
      <c r="J496" s="4"/>
      <c r="K496" s="5"/>
      <c r="L496" s="6"/>
      <c r="M496" s="5" t="str">
        <f aca="false">IF(AND(N(K496)&gt;0,N(L496)&gt;0),K496/L496,"")</f>
        <v/>
      </c>
      <c r="N496" s="2" t="s">
        <v>1226</v>
      </c>
    </row>
    <row r="497" customFormat="false" ht="15" hidden="false" customHeight="false" outlineLevel="0" collapsed="false">
      <c r="A497" s="2" t="n">
        <v>496</v>
      </c>
      <c r="B497" s="2" t="s">
        <v>1316</v>
      </c>
      <c r="C497" s="2" t="s">
        <v>1317</v>
      </c>
      <c r="D497" s="2"/>
      <c r="E497" s="2" t="s">
        <v>33</v>
      </c>
      <c r="F497" s="3" t="n">
        <v>0.000398</v>
      </c>
      <c r="G497" s="3" t="n">
        <f aca="false">SUM($F$2:F497)</f>
        <v>0.691186</v>
      </c>
      <c r="H497" s="4"/>
      <c r="I497" s="5"/>
      <c r="J497" s="4"/>
      <c r="K497" s="5"/>
      <c r="L497" s="6"/>
      <c r="M497" s="5" t="str">
        <f aca="false">IF(AND(N(K497)&gt;0,N(L497)&gt;0),K497/L497,"")</f>
        <v/>
      </c>
      <c r="N497" s="2" t="s">
        <v>1226</v>
      </c>
    </row>
    <row r="498" customFormat="false" ht="15" hidden="false" customHeight="false" outlineLevel="0" collapsed="false">
      <c r="A498" s="2" t="n">
        <v>497</v>
      </c>
      <c r="B498" s="2" t="s">
        <v>1318</v>
      </c>
      <c r="C498" s="2" t="s">
        <v>1319</v>
      </c>
      <c r="D498" s="2"/>
      <c r="E498" s="2" t="s">
        <v>860</v>
      </c>
      <c r="F498" s="3" t="n">
        <v>0.000398</v>
      </c>
      <c r="G498" s="3" t="n">
        <f aca="false">SUM($F$2:F498)</f>
        <v>0.691584</v>
      </c>
      <c r="H498" s="4"/>
      <c r="I498" s="5"/>
      <c r="J498" s="4"/>
      <c r="K498" s="5"/>
      <c r="L498" s="6"/>
      <c r="M498" s="5" t="str">
        <f aca="false">IF(AND(N(K498)&gt;0,N(L498)&gt;0),K498/L498,"")</f>
        <v/>
      </c>
      <c r="N498" s="2" t="s">
        <v>1226</v>
      </c>
    </row>
    <row r="499" customFormat="false" ht="15" hidden="false" customHeight="false" outlineLevel="0" collapsed="false">
      <c r="A499" s="2" t="n">
        <v>498</v>
      </c>
      <c r="B499" s="2" t="s">
        <v>1320</v>
      </c>
      <c r="C499" s="2" t="s">
        <v>1321</v>
      </c>
      <c r="D499" s="2"/>
      <c r="E499" s="2" t="s">
        <v>52</v>
      </c>
      <c r="F499" s="3" t="n">
        <v>0.000396</v>
      </c>
      <c r="G499" s="3" t="n">
        <f aca="false">SUM($F$2:F499)</f>
        <v>0.69198</v>
      </c>
      <c r="H499" s="4"/>
      <c r="I499" s="5"/>
      <c r="J499" s="4"/>
      <c r="K499" s="5"/>
      <c r="L499" s="6"/>
      <c r="M499" s="5" t="str">
        <f aca="false">IF(AND(N(K499)&gt;0,N(L499)&gt;0),K499/L499,"")</f>
        <v/>
      </c>
      <c r="N499" s="2" t="s">
        <v>1226</v>
      </c>
    </row>
    <row r="500" customFormat="false" ht="15" hidden="false" customHeight="false" outlineLevel="0" collapsed="false">
      <c r="A500" s="2" t="n">
        <v>499</v>
      </c>
      <c r="B500" s="2" t="s">
        <v>1322</v>
      </c>
      <c r="C500" s="2" t="s">
        <v>1323</v>
      </c>
      <c r="D500" s="2"/>
      <c r="E500" s="2" t="s">
        <v>33</v>
      </c>
      <c r="F500" s="3" t="n">
        <v>0.000396</v>
      </c>
      <c r="G500" s="3" t="n">
        <f aca="false">SUM($F$2:F500)</f>
        <v>0.692376</v>
      </c>
      <c r="H500" s="4"/>
      <c r="I500" s="5"/>
      <c r="J500" s="4"/>
      <c r="K500" s="5"/>
      <c r="L500" s="6"/>
      <c r="M500" s="5" t="str">
        <f aca="false">IF(AND(N(K500)&gt;0,N(L500)&gt;0),K500/L500,"")</f>
        <v/>
      </c>
      <c r="N500" s="2" t="s">
        <v>1226</v>
      </c>
    </row>
    <row r="501" customFormat="false" ht="15" hidden="false" customHeight="false" outlineLevel="0" collapsed="false">
      <c r="A501" s="2" t="n">
        <v>500</v>
      </c>
      <c r="B501" s="2" t="s">
        <v>1324</v>
      </c>
      <c r="C501" s="2" t="s">
        <v>1325</v>
      </c>
      <c r="D501" s="2"/>
      <c r="E501" s="2" t="s">
        <v>52</v>
      </c>
      <c r="F501" s="3" t="n">
        <v>0.000395</v>
      </c>
      <c r="G501" s="3" t="n">
        <f aca="false">SUM($F$2:F501)</f>
        <v>0.692771</v>
      </c>
      <c r="H501" s="4"/>
      <c r="I501" s="5"/>
      <c r="J501" s="4"/>
      <c r="K501" s="5"/>
      <c r="L501" s="6"/>
      <c r="M501" s="5" t="str">
        <f aca="false">IF(AND(N(K501)&gt;0,N(L501)&gt;0),K501/L501,"")</f>
        <v/>
      </c>
      <c r="N501" s="2" t="s">
        <v>1226</v>
      </c>
    </row>
    <row r="502" customFormat="false" ht="15" hidden="false" customHeight="false" outlineLevel="0" collapsed="false">
      <c r="A502" s="2" t="n">
        <v>501</v>
      </c>
      <c r="B502" s="2" t="s">
        <v>1326</v>
      </c>
      <c r="C502" s="2" t="s">
        <v>1327</v>
      </c>
      <c r="D502" s="2"/>
      <c r="E502" s="2" t="s">
        <v>82</v>
      </c>
      <c r="F502" s="3" t="n">
        <v>0.000395</v>
      </c>
      <c r="G502" s="3" t="n">
        <f aca="false">SUM($F$2:F502)</f>
        <v>0.693166</v>
      </c>
      <c r="H502" s="4"/>
      <c r="I502" s="5"/>
      <c r="J502" s="4"/>
      <c r="K502" s="5"/>
      <c r="L502" s="6"/>
      <c r="M502" s="5" t="str">
        <f aca="false">IF(AND(N(K502)&gt;0,N(L502)&gt;0),K502/L502,"")</f>
        <v/>
      </c>
      <c r="N502" s="2" t="s">
        <v>1226</v>
      </c>
    </row>
    <row r="503" customFormat="false" ht="15" hidden="false" customHeight="false" outlineLevel="0" collapsed="false">
      <c r="A503" s="2" t="n">
        <v>502</v>
      </c>
      <c r="B503" s="2" t="s">
        <v>1328</v>
      </c>
      <c r="C503" s="2" t="s">
        <v>1329</v>
      </c>
      <c r="D503" s="2"/>
      <c r="E503" s="2" t="s">
        <v>17</v>
      </c>
      <c r="F503" s="3" t="n">
        <v>0.000394</v>
      </c>
      <c r="G503" s="3" t="n">
        <f aca="false">SUM($F$2:F503)</f>
        <v>0.69356</v>
      </c>
      <c r="H503" s="4"/>
      <c r="I503" s="5"/>
      <c r="J503" s="4"/>
      <c r="K503" s="5"/>
      <c r="L503" s="6"/>
      <c r="M503" s="5" t="str">
        <f aca="false">IF(AND(N(K503)&gt;0,N(L503)&gt;0),K503/L503,"")</f>
        <v/>
      </c>
      <c r="N503" s="2" t="s">
        <v>1226</v>
      </c>
    </row>
    <row r="504" customFormat="false" ht="15" hidden="false" customHeight="false" outlineLevel="0" collapsed="false">
      <c r="A504" s="2" t="n">
        <v>503</v>
      </c>
      <c r="B504" s="2" t="s">
        <v>1330</v>
      </c>
      <c r="C504" s="2" t="s">
        <v>1331</v>
      </c>
      <c r="D504" s="2"/>
      <c r="E504" s="2" t="s">
        <v>614</v>
      </c>
      <c r="F504" s="3" t="n">
        <v>0.000394</v>
      </c>
      <c r="G504" s="3" t="n">
        <f aca="false">SUM($F$2:F504)</f>
        <v>0.693954</v>
      </c>
      <c r="H504" s="4"/>
      <c r="I504" s="5"/>
      <c r="J504" s="4"/>
      <c r="K504" s="5"/>
      <c r="L504" s="6"/>
      <c r="M504" s="5" t="str">
        <f aca="false">IF(AND(N(K504)&gt;0,N(L504)&gt;0),K504/L504,"")</f>
        <v/>
      </c>
      <c r="N504" s="2" t="s">
        <v>1226</v>
      </c>
    </row>
    <row r="505" customFormat="false" ht="15" hidden="false" customHeight="false" outlineLevel="0" collapsed="false">
      <c r="A505" s="2" t="n">
        <v>504</v>
      </c>
      <c r="B505" s="2" t="s">
        <v>1332</v>
      </c>
      <c r="C505" s="2" t="s">
        <v>1333</v>
      </c>
      <c r="D505" s="2"/>
      <c r="E505" s="2" t="s">
        <v>1334</v>
      </c>
      <c r="F505" s="3" t="n">
        <v>0.000393</v>
      </c>
      <c r="G505" s="3" t="n">
        <f aca="false">SUM($F$2:F505)</f>
        <v>0.694347</v>
      </c>
      <c r="H505" s="4"/>
      <c r="I505" s="5"/>
      <c r="J505" s="4"/>
      <c r="K505" s="5"/>
      <c r="L505" s="6"/>
      <c r="M505" s="5" t="str">
        <f aca="false">IF(AND(N(K505)&gt;0,N(L505)&gt;0),K505/L505,"")</f>
        <v/>
      </c>
      <c r="N505" s="2" t="s">
        <v>1226</v>
      </c>
    </row>
    <row r="506" customFormat="false" ht="15" hidden="false" customHeight="false" outlineLevel="0" collapsed="false">
      <c r="A506" s="2" t="n">
        <v>505</v>
      </c>
      <c r="B506" s="2" t="s">
        <v>1335</v>
      </c>
      <c r="C506" s="2" t="s">
        <v>1336</v>
      </c>
      <c r="D506" s="2"/>
      <c r="E506" s="2" t="s">
        <v>29</v>
      </c>
      <c r="F506" s="3" t="n">
        <v>0.000392</v>
      </c>
      <c r="G506" s="3" t="n">
        <f aca="false">SUM($F$2:F506)</f>
        <v>0.694739</v>
      </c>
      <c r="H506" s="4"/>
      <c r="I506" s="5"/>
      <c r="J506" s="4"/>
      <c r="K506" s="5"/>
      <c r="L506" s="6"/>
      <c r="M506" s="5" t="str">
        <f aca="false">IF(AND(N(K506)&gt;0,N(L506)&gt;0),K506/L506,"")</f>
        <v/>
      </c>
      <c r="N506" s="2" t="s">
        <v>1226</v>
      </c>
    </row>
    <row r="507" customFormat="false" ht="15" hidden="false" customHeight="false" outlineLevel="0" collapsed="false">
      <c r="A507" s="2" t="n">
        <v>506</v>
      </c>
      <c r="B507" s="2" t="s">
        <v>1337</v>
      </c>
      <c r="C507" s="2" t="s">
        <v>1338</v>
      </c>
      <c r="D507" s="2"/>
      <c r="E507" s="2" t="s">
        <v>33</v>
      </c>
      <c r="F507" s="3" t="n">
        <v>0.000392</v>
      </c>
      <c r="G507" s="3" t="n">
        <f aca="false">SUM($F$2:F507)</f>
        <v>0.695131</v>
      </c>
      <c r="H507" s="4"/>
      <c r="I507" s="5"/>
      <c r="J507" s="4"/>
      <c r="K507" s="5"/>
      <c r="L507" s="6"/>
      <c r="M507" s="5" t="str">
        <f aca="false">IF(AND(N(K507)&gt;0,N(L507)&gt;0),K507/L507,"")</f>
        <v/>
      </c>
      <c r="N507" s="2" t="s">
        <v>1226</v>
      </c>
    </row>
    <row r="508" customFormat="false" ht="15" hidden="false" customHeight="false" outlineLevel="0" collapsed="false">
      <c r="A508" s="2" t="n">
        <v>507</v>
      </c>
      <c r="B508" s="2" t="s">
        <v>1339</v>
      </c>
      <c r="C508" s="2" t="s">
        <v>1340</v>
      </c>
      <c r="D508" s="2"/>
      <c r="E508" s="2" t="s">
        <v>82</v>
      </c>
      <c r="F508" s="3" t="n">
        <v>0.000391</v>
      </c>
      <c r="G508" s="3" t="n">
        <f aca="false">SUM($F$2:F508)</f>
        <v>0.695522</v>
      </c>
      <c r="H508" s="4"/>
      <c r="I508" s="5"/>
      <c r="J508" s="4"/>
      <c r="K508" s="5"/>
      <c r="L508" s="6"/>
      <c r="M508" s="5" t="str">
        <f aca="false">IF(AND(N(K508)&gt;0,N(L508)&gt;0),K508/L508,"")</f>
        <v/>
      </c>
      <c r="N508" s="2" t="s">
        <v>1226</v>
      </c>
    </row>
    <row r="509" customFormat="false" ht="15" hidden="false" customHeight="false" outlineLevel="0" collapsed="false">
      <c r="A509" s="2" t="n">
        <v>508</v>
      </c>
      <c r="B509" s="2" t="s">
        <v>1341</v>
      </c>
      <c r="C509" s="2" t="s">
        <v>1342</v>
      </c>
      <c r="D509" s="2"/>
      <c r="E509" s="2" t="s">
        <v>29</v>
      </c>
      <c r="F509" s="3" t="n">
        <v>0.000391</v>
      </c>
      <c r="G509" s="3" t="n">
        <f aca="false">SUM($F$2:F509)</f>
        <v>0.695913</v>
      </c>
      <c r="H509" s="4"/>
      <c r="I509" s="5"/>
      <c r="J509" s="4"/>
      <c r="K509" s="5"/>
      <c r="L509" s="6"/>
      <c r="M509" s="5" t="str">
        <f aca="false">IF(AND(N(K509)&gt;0,N(L509)&gt;0),K509/L509,"")</f>
        <v/>
      </c>
      <c r="N509" s="2" t="s">
        <v>1226</v>
      </c>
    </row>
    <row r="510" customFormat="false" ht="15" hidden="false" customHeight="false" outlineLevel="0" collapsed="false">
      <c r="A510" s="2" t="n">
        <v>509</v>
      </c>
      <c r="B510" s="2" t="s">
        <v>1343</v>
      </c>
      <c r="C510" s="2" t="s">
        <v>1344</v>
      </c>
      <c r="D510" s="2"/>
      <c r="E510" s="2" t="s">
        <v>1345</v>
      </c>
      <c r="F510" s="3" t="n">
        <v>0.000388</v>
      </c>
      <c r="G510" s="3" t="n">
        <f aca="false">SUM($F$2:F510)</f>
        <v>0.696301</v>
      </c>
      <c r="H510" s="4"/>
      <c r="I510" s="5"/>
      <c r="J510" s="4"/>
      <c r="K510" s="5"/>
      <c r="L510" s="6"/>
      <c r="M510" s="5" t="str">
        <f aca="false">IF(AND(N(K510)&gt;0,N(L510)&gt;0),K510/L510,"")</f>
        <v/>
      </c>
      <c r="N510" s="2" t="s">
        <v>1226</v>
      </c>
    </row>
    <row r="511" customFormat="false" ht="15" hidden="false" customHeight="false" outlineLevel="0" collapsed="false">
      <c r="A511" s="2" t="n">
        <v>510</v>
      </c>
      <c r="B511" s="2" t="s">
        <v>1346</v>
      </c>
      <c r="C511" s="2" t="s">
        <v>1347</v>
      </c>
      <c r="D511" s="2"/>
      <c r="E511" s="2" t="s">
        <v>82</v>
      </c>
      <c r="F511" s="3" t="n">
        <v>0.000388</v>
      </c>
      <c r="G511" s="3" t="n">
        <f aca="false">SUM($F$2:F511)</f>
        <v>0.696689</v>
      </c>
      <c r="H511" s="4"/>
      <c r="I511" s="5"/>
      <c r="J511" s="4"/>
      <c r="K511" s="5"/>
      <c r="L511" s="6"/>
      <c r="M511" s="5" t="str">
        <f aca="false">IF(AND(N(K511)&gt;0,N(L511)&gt;0),K511/L511,"")</f>
        <v/>
      </c>
      <c r="N511" s="2" t="s">
        <v>1226</v>
      </c>
    </row>
    <row r="512" customFormat="false" ht="15" hidden="false" customHeight="false" outlineLevel="0" collapsed="false">
      <c r="A512" s="2" t="n">
        <v>511</v>
      </c>
      <c r="B512" s="2" t="s">
        <v>1348</v>
      </c>
      <c r="C512" s="2" t="s">
        <v>1349</v>
      </c>
      <c r="D512" s="2"/>
      <c r="E512" s="2" t="s">
        <v>334</v>
      </c>
      <c r="F512" s="3" t="n">
        <v>0.000387</v>
      </c>
      <c r="G512" s="3" t="n">
        <f aca="false">SUM($F$2:F512)</f>
        <v>0.697076</v>
      </c>
      <c r="H512" s="4"/>
      <c r="I512" s="5"/>
      <c r="J512" s="4"/>
      <c r="K512" s="5"/>
      <c r="L512" s="6"/>
      <c r="M512" s="5" t="str">
        <f aca="false">IF(AND(N(K512)&gt;0,N(L512)&gt;0),K512/L512,"")</f>
        <v/>
      </c>
      <c r="N512" s="2" t="s">
        <v>1226</v>
      </c>
    </row>
    <row r="513" customFormat="false" ht="15" hidden="false" customHeight="false" outlineLevel="0" collapsed="false">
      <c r="A513" s="2" t="n">
        <v>512</v>
      </c>
      <c r="B513" s="2" t="s">
        <v>1350</v>
      </c>
      <c r="C513" s="2" t="s">
        <v>1351</v>
      </c>
      <c r="D513" s="2"/>
      <c r="E513" s="2" t="s">
        <v>1245</v>
      </c>
      <c r="F513" s="3" t="n">
        <v>0.000386</v>
      </c>
      <c r="G513" s="3" t="n">
        <f aca="false">SUM($F$2:F513)</f>
        <v>0.697462</v>
      </c>
      <c r="H513" s="4"/>
      <c r="I513" s="5"/>
      <c r="J513" s="4"/>
      <c r="K513" s="5"/>
      <c r="L513" s="6"/>
      <c r="M513" s="5" t="str">
        <f aca="false">IF(AND(N(K513)&gt;0,N(L513)&gt;0),K513/L513,"")</f>
        <v/>
      </c>
      <c r="N513" s="2" t="s">
        <v>1226</v>
      </c>
    </row>
    <row r="514" customFormat="false" ht="15" hidden="false" customHeight="false" outlineLevel="0" collapsed="false">
      <c r="A514" s="2" t="n">
        <v>513</v>
      </c>
      <c r="B514" s="2" t="s">
        <v>1352</v>
      </c>
      <c r="C514" s="2" t="s">
        <v>1353</v>
      </c>
      <c r="D514" s="2"/>
      <c r="E514" s="2" t="s">
        <v>765</v>
      </c>
      <c r="F514" s="3" t="n">
        <v>0.000386</v>
      </c>
      <c r="G514" s="3" t="n">
        <f aca="false">SUM($F$2:F514)</f>
        <v>0.697848</v>
      </c>
      <c r="H514" s="4"/>
      <c r="I514" s="5"/>
      <c r="J514" s="4"/>
      <c r="K514" s="5"/>
      <c r="L514" s="6"/>
      <c r="M514" s="5" t="str">
        <f aca="false">IF(AND(N(K514)&gt;0,N(L514)&gt;0),K514/L514,"")</f>
        <v/>
      </c>
      <c r="N514" s="2" t="s">
        <v>1226</v>
      </c>
    </row>
    <row r="515" customFormat="false" ht="15" hidden="false" customHeight="false" outlineLevel="0" collapsed="false">
      <c r="A515" s="2" t="n">
        <v>514</v>
      </c>
      <c r="B515" s="2" t="s">
        <v>1354</v>
      </c>
      <c r="C515" s="2" t="s">
        <v>1355</v>
      </c>
      <c r="D515" s="2"/>
      <c r="E515" s="2" t="s">
        <v>1050</v>
      </c>
      <c r="F515" s="3" t="n">
        <v>0.000386</v>
      </c>
      <c r="G515" s="3" t="n">
        <f aca="false">SUM($F$2:F515)</f>
        <v>0.698234</v>
      </c>
      <c r="H515" s="4"/>
      <c r="I515" s="5"/>
      <c r="J515" s="4"/>
      <c r="K515" s="5"/>
      <c r="L515" s="6"/>
      <c r="M515" s="5" t="str">
        <f aca="false">IF(AND(N(K515)&gt;0,N(L515)&gt;0),K515/L515,"")</f>
        <v/>
      </c>
      <c r="N515" s="2" t="s">
        <v>1226</v>
      </c>
    </row>
    <row r="516" customFormat="false" ht="15" hidden="false" customHeight="false" outlineLevel="0" collapsed="false">
      <c r="A516" s="2" t="n">
        <v>515</v>
      </c>
      <c r="B516" s="2" t="s">
        <v>1356</v>
      </c>
      <c r="C516" s="2" t="s">
        <v>1357</v>
      </c>
      <c r="D516" s="2"/>
      <c r="E516" s="2" t="s">
        <v>21</v>
      </c>
      <c r="F516" s="3" t="n">
        <v>0.000383</v>
      </c>
      <c r="G516" s="3" t="n">
        <f aca="false">SUM($F$2:F516)</f>
        <v>0.698617</v>
      </c>
      <c r="H516" s="4"/>
      <c r="I516" s="5"/>
      <c r="J516" s="4"/>
      <c r="K516" s="5"/>
      <c r="L516" s="6"/>
      <c r="M516" s="5" t="str">
        <f aca="false">IF(AND(N(K516)&gt;0,N(L516)&gt;0),K516/L516,"")</f>
        <v/>
      </c>
      <c r="N516" s="2" t="s">
        <v>1226</v>
      </c>
    </row>
    <row r="517" customFormat="false" ht="15" hidden="false" customHeight="false" outlineLevel="0" collapsed="false">
      <c r="A517" s="2" t="n">
        <v>516</v>
      </c>
      <c r="B517" s="2" t="s">
        <v>1358</v>
      </c>
      <c r="C517" s="2" t="s">
        <v>1359</v>
      </c>
      <c r="D517" s="2"/>
      <c r="E517" s="2" t="s">
        <v>52</v>
      </c>
      <c r="F517" s="3" t="n">
        <v>0.000381</v>
      </c>
      <c r="G517" s="3" t="n">
        <f aca="false">SUM($F$2:F517)</f>
        <v>0.698998</v>
      </c>
      <c r="H517" s="4"/>
      <c r="I517" s="5"/>
      <c r="J517" s="4"/>
      <c r="K517" s="5"/>
      <c r="L517" s="6"/>
      <c r="M517" s="5" t="str">
        <f aca="false">IF(AND(N(K517)&gt;0,N(L517)&gt;0),K517/L517,"")</f>
        <v/>
      </c>
      <c r="N517" s="2" t="s">
        <v>1226</v>
      </c>
    </row>
    <row r="518" customFormat="false" ht="15" hidden="false" customHeight="false" outlineLevel="0" collapsed="false">
      <c r="A518" s="2" t="n">
        <v>517</v>
      </c>
      <c r="B518" s="2" t="s">
        <v>1360</v>
      </c>
      <c r="C518" s="2" t="s">
        <v>1361</v>
      </c>
      <c r="D518" s="2"/>
      <c r="E518" s="2" t="s">
        <v>38</v>
      </c>
      <c r="F518" s="3" t="n">
        <v>0.00038</v>
      </c>
      <c r="G518" s="3" t="n">
        <f aca="false">SUM($F$2:F518)</f>
        <v>0.699378</v>
      </c>
      <c r="H518" s="4"/>
      <c r="I518" s="5"/>
      <c r="J518" s="4"/>
      <c r="K518" s="5"/>
      <c r="L518" s="6"/>
      <c r="M518" s="5" t="str">
        <f aca="false">IF(AND(N(K518)&gt;0,N(L518)&gt;0),K518/L518,"")</f>
        <v/>
      </c>
      <c r="N518" s="2" t="s">
        <v>1226</v>
      </c>
    </row>
    <row r="519" customFormat="false" ht="15" hidden="false" customHeight="false" outlineLevel="0" collapsed="false">
      <c r="A519" s="2" t="n">
        <v>518</v>
      </c>
      <c r="B519" s="2" t="s">
        <v>1362</v>
      </c>
      <c r="C519" s="2" t="s">
        <v>1363</v>
      </c>
      <c r="D519" s="2"/>
      <c r="E519" s="2" t="s">
        <v>48</v>
      </c>
      <c r="F519" s="3" t="n">
        <v>0.000379</v>
      </c>
      <c r="G519" s="3" t="n">
        <f aca="false">SUM($F$2:F519)</f>
        <v>0.699757</v>
      </c>
      <c r="H519" s="4"/>
      <c r="I519" s="5"/>
      <c r="J519" s="4"/>
      <c r="K519" s="5"/>
      <c r="L519" s="6"/>
      <c r="M519" s="5" t="str">
        <f aca="false">IF(AND(N(K519)&gt;0,N(L519)&gt;0),K519/L519,"")</f>
        <v/>
      </c>
      <c r="N519" s="2" t="s">
        <v>1226</v>
      </c>
    </row>
    <row r="520" customFormat="false" ht="15" hidden="false" customHeight="false" outlineLevel="0" collapsed="false">
      <c r="A520" s="2" t="n">
        <v>519</v>
      </c>
      <c r="B520" s="2" t="s">
        <v>1364</v>
      </c>
      <c r="C520" s="2" t="s">
        <v>1365</v>
      </c>
      <c r="D520" s="2"/>
      <c r="E520" s="2" t="s">
        <v>17</v>
      </c>
      <c r="F520" s="3" t="n">
        <v>0.000376</v>
      </c>
      <c r="G520" s="3" t="n">
        <f aca="false">SUM($F$2:F520)</f>
        <v>0.700133</v>
      </c>
      <c r="H520" s="4"/>
      <c r="I520" s="5"/>
      <c r="J520" s="4"/>
      <c r="K520" s="5"/>
      <c r="L520" s="6"/>
      <c r="M520" s="5" t="str">
        <f aca="false">IF(AND(N(K520)&gt;0,N(L520)&gt;0),K520/L520,"")</f>
        <v/>
      </c>
      <c r="N520" s="2" t="s">
        <v>1226</v>
      </c>
    </row>
    <row r="521" customFormat="false" ht="15" hidden="false" customHeight="false" outlineLevel="0" collapsed="false">
      <c r="A521" s="2" t="n">
        <v>520</v>
      </c>
      <c r="B521" s="2" t="s">
        <v>1366</v>
      </c>
      <c r="C521" s="2" t="s">
        <v>1367</v>
      </c>
      <c r="D521" s="2"/>
      <c r="E521" s="2" t="s">
        <v>29</v>
      </c>
      <c r="F521" s="3" t="n">
        <v>0.000376</v>
      </c>
      <c r="G521" s="3" t="n">
        <f aca="false">SUM($F$2:F521)</f>
        <v>0.700509</v>
      </c>
      <c r="H521" s="4"/>
      <c r="I521" s="5"/>
      <c r="J521" s="4"/>
      <c r="K521" s="5"/>
      <c r="L521" s="6"/>
      <c r="M521" s="5" t="str">
        <f aca="false">IF(AND(N(K521)&gt;0,N(L521)&gt;0),K521/L521,"")</f>
        <v/>
      </c>
      <c r="N521" s="2" t="s">
        <v>1226</v>
      </c>
    </row>
    <row r="522" customFormat="false" ht="15" hidden="false" customHeight="false" outlineLevel="0" collapsed="false">
      <c r="A522" s="2" t="n">
        <v>521</v>
      </c>
      <c r="B522" s="2" t="s">
        <v>1368</v>
      </c>
      <c r="C522" s="2" t="s">
        <v>1369</v>
      </c>
      <c r="D522" s="2"/>
      <c r="E522" s="2" t="s">
        <v>29</v>
      </c>
      <c r="F522" s="3" t="n">
        <v>0.000375</v>
      </c>
      <c r="G522" s="3" t="n">
        <f aca="false">SUM($F$2:F522)</f>
        <v>0.700884</v>
      </c>
      <c r="H522" s="4"/>
      <c r="I522" s="5"/>
      <c r="J522" s="4"/>
      <c r="K522" s="5"/>
      <c r="L522" s="6"/>
      <c r="M522" s="5" t="str">
        <f aca="false">IF(AND(N(K522)&gt;0,N(L522)&gt;0),K522/L522,"")</f>
        <v/>
      </c>
      <c r="N522" s="2" t="s">
        <v>1226</v>
      </c>
    </row>
    <row r="523" customFormat="false" ht="15" hidden="false" customHeight="false" outlineLevel="0" collapsed="false">
      <c r="A523" s="2" t="n">
        <v>522</v>
      </c>
      <c r="B523" s="2" t="s">
        <v>1370</v>
      </c>
      <c r="C523" s="2" t="s">
        <v>1371</v>
      </c>
      <c r="D523" s="2"/>
      <c r="E523" s="2" t="s">
        <v>43</v>
      </c>
      <c r="F523" s="3" t="n">
        <v>0.000375</v>
      </c>
      <c r="G523" s="3" t="n">
        <f aca="false">SUM($F$2:F523)</f>
        <v>0.701259</v>
      </c>
      <c r="H523" s="4"/>
      <c r="I523" s="5"/>
      <c r="J523" s="4"/>
      <c r="K523" s="5"/>
      <c r="L523" s="6"/>
      <c r="M523" s="5" t="str">
        <f aca="false">IF(AND(N(K523)&gt;0,N(L523)&gt;0),K523/L523,"")</f>
        <v/>
      </c>
      <c r="N523" s="2" t="s">
        <v>1226</v>
      </c>
    </row>
    <row r="524" customFormat="false" ht="15" hidden="false" customHeight="false" outlineLevel="0" collapsed="false">
      <c r="A524" s="2" t="n">
        <v>523</v>
      </c>
      <c r="B524" s="2" t="s">
        <v>1372</v>
      </c>
      <c r="C524" s="2" t="s">
        <v>1373</v>
      </c>
      <c r="D524" s="2"/>
      <c r="E524" s="2" t="s">
        <v>29</v>
      </c>
      <c r="F524" s="3" t="n">
        <v>0.000375</v>
      </c>
      <c r="G524" s="3" t="n">
        <f aca="false">SUM($F$2:F524)</f>
        <v>0.701634</v>
      </c>
      <c r="H524" s="4"/>
      <c r="I524" s="5"/>
      <c r="J524" s="4"/>
      <c r="K524" s="5"/>
      <c r="L524" s="6"/>
      <c r="M524" s="5" t="str">
        <f aca="false">IF(AND(N(K524)&gt;0,N(L524)&gt;0),K524/L524,"")</f>
        <v/>
      </c>
      <c r="N524" s="2" t="s">
        <v>1226</v>
      </c>
    </row>
    <row r="525" customFormat="false" ht="15" hidden="false" customHeight="false" outlineLevel="0" collapsed="false">
      <c r="A525" s="2" t="n">
        <v>524</v>
      </c>
      <c r="B525" s="2" t="s">
        <v>1374</v>
      </c>
      <c r="C525" s="2" t="s">
        <v>1375</v>
      </c>
      <c r="D525" s="2"/>
      <c r="E525" s="2" t="s">
        <v>1245</v>
      </c>
      <c r="F525" s="3" t="n">
        <v>0.000375</v>
      </c>
      <c r="G525" s="3" t="n">
        <f aca="false">SUM($F$2:F525)</f>
        <v>0.702009</v>
      </c>
      <c r="H525" s="4"/>
      <c r="I525" s="5"/>
      <c r="J525" s="4"/>
      <c r="K525" s="5"/>
      <c r="L525" s="6"/>
      <c r="M525" s="5" t="str">
        <f aca="false">IF(AND(N(K525)&gt;0,N(L525)&gt;0),K525/L525,"")</f>
        <v/>
      </c>
      <c r="N525" s="2" t="s">
        <v>1226</v>
      </c>
    </row>
    <row r="526" customFormat="false" ht="15" hidden="false" customHeight="false" outlineLevel="0" collapsed="false">
      <c r="A526" s="2" t="n">
        <v>525</v>
      </c>
      <c r="B526" s="2" t="s">
        <v>1376</v>
      </c>
      <c r="C526" s="2" t="s">
        <v>1377</v>
      </c>
      <c r="D526" s="2"/>
      <c r="E526" s="2" t="s">
        <v>33</v>
      </c>
      <c r="F526" s="3" t="n">
        <v>0.000373</v>
      </c>
      <c r="G526" s="3" t="n">
        <f aca="false">SUM($F$2:F526)</f>
        <v>0.702382</v>
      </c>
      <c r="H526" s="4"/>
      <c r="I526" s="5"/>
      <c r="J526" s="4"/>
      <c r="K526" s="5"/>
      <c r="L526" s="6"/>
      <c r="M526" s="5" t="str">
        <f aca="false">IF(AND(N(K526)&gt;0,N(L526)&gt;0),K526/L526,"")</f>
        <v/>
      </c>
      <c r="N526" s="2" t="s">
        <v>1226</v>
      </c>
    </row>
    <row r="527" customFormat="false" ht="15" hidden="false" customHeight="false" outlineLevel="0" collapsed="false">
      <c r="A527" s="2" t="n">
        <v>526</v>
      </c>
      <c r="B527" s="2" t="s">
        <v>1378</v>
      </c>
      <c r="C527" s="2" t="s">
        <v>1379</v>
      </c>
      <c r="D527" s="2"/>
      <c r="E527" s="2" t="s">
        <v>29</v>
      </c>
      <c r="F527" s="3" t="n">
        <v>0.000371</v>
      </c>
      <c r="G527" s="3" t="n">
        <f aca="false">SUM($F$2:F527)</f>
        <v>0.702753</v>
      </c>
      <c r="H527" s="4"/>
      <c r="I527" s="5"/>
      <c r="J527" s="4"/>
      <c r="K527" s="5"/>
      <c r="L527" s="6"/>
      <c r="M527" s="5" t="str">
        <f aca="false">IF(AND(N(K527)&gt;0,N(L527)&gt;0),K527/L527,"")</f>
        <v/>
      </c>
      <c r="N527" s="2" t="s">
        <v>1226</v>
      </c>
    </row>
    <row r="528" customFormat="false" ht="15" hidden="false" customHeight="false" outlineLevel="0" collapsed="false">
      <c r="A528" s="2" t="n">
        <v>527</v>
      </c>
      <c r="B528" s="2" t="s">
        <v>1380</v>
      </c>
      <c r="C528" s="2" t="s">
        <v>1381</v>
      </c>
      <c r="D528" s="2"/>
      <c r="E528" s="2" t="s">
        <v>52</v>
      </c>
      <c r="F528" s="3" t="n">
        <v>0.000371</v>
      </c>
      <c r="G528" s="3" t="n">
        <f aca="false">SUM($F$2:F528)</f>
        <v>0.703124</v>
      </c>
      <c r="H528" s="4"/>
      <c r="I528" s="5"/>
      <c r="J528" s="4"/>
      <c r="K528" s="5"/>
      <c r="L528" s="6"/>
      <c r="M528" s="5" t="str">
        <f aca="false">IF(AND(N(K528)&gt;0,N(L528)&gt;0),K528/L528,"")</f>
        <v/>
      </c>
      <c r="N528" s="2" t="s">
        <v>1226</v>
      </c>
    </row>
    <row r="529" customFormat="false" ht="15" hidden="false" customHeight="false" outlineLevel="0" collapsed="false">
      <c r="A529" s="2" t="n">
        <v>528</v>
      </c>
      <c r="B529" s="2" t="s">
        <v>1382</v>
      </c>
      <c r="C529" s="2" t="s">
        <v>1383</v>
      </c>
      <c r="D529" s="2"/>
      <c r="E529" s="2" t="s">
        <v>48</v>
      </c>
      <c r="F529" s="3" t="n">
        <v>0.00037</v>
      </c>
      <c r="G529" s="3" t="n">
        <f aca="false">SUM($F$2:F529)</f>
        <v>0.703494</v>
      </c>
      <c r="H529" s="4"/>
      <c r="I529" s="5"/>
      <c r="J529" s="4"/>
      <c r="K529" s="5"/>
      <c r="L529" s="6"/>
      <c r="M529" s="5" t="str">
        <f aca="false">IF(AND(N(K529)&gt;0,N(L529)&gt;0),K529/L529,"")</f>
        <v/>
      </c>
      <c r="N529" s="2" t="s">
        <v>1226</v>
      </c>
    </row>
    <row r="530" customFormat="false" ht="15" hidden="false" customHeight="false" outlineLevel="0" collapsed="false">
      <c r="A530" s="2" t="n">
        <v>529</v>
      </c>
      <c r="B530" s="2" t="s">
        <v>1384</v>
      </c>
      <c r="C530" s="2" t="s">
        <v>1385</v>
      </c>
      <c r="D530" s="2"/>
      <c r="E530" s="2" t="s">
        <v>1050</v>
      </c>
      <c r="F530" s="3" t="n">
        <v>0.00037</v>
      </c>
      <c r="G530" s="3" t="n">
        <f aca="false">SUM($F$2:F530)</f>
        <v>0.703864</v>
      </c>
      <c r="H530" s="4"/>
      <c r="I530" s="5"/>
      <c r="J530" s="4"/>
      <c r="K530" s="5"/>
      <c r="L530" s="6"/>
      <c r="M530" s="5" t="str">
        <f aca="false">IF(AND(N(K530)&gt;0,N(L530)&gt;0),K530/L530,"")</f>
        <v/>
      </c>
      <c r="N530" s="2" t="s">
        <v>1226</v>
      </c>
    </row>
    <row r="531" customFormat="false" ht="15" hidden="false" customHeight="false" outlineLevel="0" collapsed="false">
      <c r="A531" s="2" t="n">
        <v>530</v>
      </c>
      <c r="B531" s="2" t="s">
        <v>1386</v>
      </c>
      <c r="C531" s="2" t="s">
        <v>1387</v>
      </c>
      <c r="D531" s="2"/>
      <c r="E531" s="2" t="s">
        <v>334</v>
      </c>
      <c r="F531" s="3" t="n">
        <v>0.000369</v>
      </c>
      <c r="G531" s="3" t="n">
        <f aca="false">SUM($F$2:F531)</f>
        <v>0.704233</v>
      </c>
      <c r="H531" s="4"/>
      <c r="I531" s="5"/>
      <c r="J531" s="4"/>
      <c r="K531" s="5"/>
      <c r="L531" s="6"/>
      <c r="M531" s="5" t="str">
        <f aca="false">IF(AND(N(K531)&gt;0,N(L531)&gt;0),K531/L531,"")</f>
        <v/>
      </c>
      <c r="N531" s="2" t="s">
        <v>1226</v>
      </c>
    </row>
    <row r="532" customFormat="false" ht="15" hidden="false" customHeight="false" outlineLevel="0" collapsed="false">
      <c r="A532" s="2" t="n">
        <v>531</v>
      </c>
      <c r="B532" s="2" t="s">
        <v>1388</v>
      </c>
      <c r="C532" s="2" t="s">
        <v>1389</v>
      </c>
      <c r="D532" s="2"/>
      <c r="E532" s="2" t="s">
        <v>52</v>
      </c>
      <c r="F532" s="3" t="n">
        <v>0.000368</v>
      </c>
      <c r="G532" s="3" t="n">
        <f aca="false">SUM($F$2:F532)</f>
        <v>0.704601</v>
      </c>
      <c r="H532" s="4"/>
      <c r="I532" s="5"/>
      <c r="J532" s="4"/>
      <c r="K532" s="5"/>
      <c r="L532" s="6"/>
      <c r="M532" s="5" t="str">
        <f aca="false">IF(AND(N(K532)&gt;0,N(L532)&gt;0),K532/L532,"")</f>
        <v/>
      </c>
      <c r="N532" s="2" t="s">
        <v>1226</v>
      </c>
    </row>
    <row r="533" customFormat="false" ht="15" hidden="false" customHeight="false" outlineLevel="0" collapsed="false">
      <c r="A533" s="2" t="n">
        <v>532</v>
      </c>
      <c r="B533" s="2" t="s">
        <v>1390</v>
      </c>
      <c r="C533" s="2" t="s">
        <v>1391</v>
      </c>
      <c r="D533" s="2"/>
      <c r="E533" s="2" t="s">
        <v>21</v>
      </c>
      <c r="F533" s="3" t="n">
        <v>0.000368</v>
      </c>
      <c r="G533" s="3" t="n">
        <f aca="false">SUM($F$2:F533)</f>
        <v>0.704969</v>
      </c>
      <c r="H533" s="4"/>
      <c r="I533" s="5"/>
      <c r="J533" s="4"/>
      <c r="K533" s="5"/>
      <c r="L533" s="6"/>
      <c r="M533" s="5" t="str">
        <f aca="false">IF(AND(N(K533)&gt;0,N(L533)&gt;0),K533/L533,"")</f>
        <v/>
      </c>
      <c r="N533" s="2" t="s">
        <v>1226</v>
      </c>
    </row>
    <row r="534" customFormat="false" ht="15" hidden="false" customHeight="false" outlineLevel="0" collapsed="false">
      <c r="A534" s="2" t="n">
        <v>533</v>
      </c>
      <c r="B534" s="2" t="s">
        <v>1392</v>
      </c>
      <c r="C534" s="2" t="s">
        <v>1393</v>
      </c>
      <c r="D534" s="2"/>
      <c r="E534" s="2" t="s">
        <v>1245</v>
      </c>
      <c r="F534" s="3" t="n">
        <v>0.000367</v>
      </c>
      <c r="G534" s="3" t="n">
        <f aca="false">SUM($F$2:F534)</f>
        <v>0.705336</v>
      </c>
      <c r="H534" s="4"/>
      <c r="I534" s="5"/>
      <c r="J534" s="4"/>
      <c r="K534" s="5"/>
      <c r="L534" s="6"/>
      <c r="M534" s="5" t="str">
        <f aca="false">IF(AND(N(K534)&gt;0,N(L534)&gt;0),K534/L534,"")</f>
        <v/>
      </c>
      <c r="N534" s="2" t="s">
        <v>1226</v>
      </c>
    </row>
    <row r="535" customFormat="false" ht="15" hidden="false" customHeight="false" outlineLevel="0" collapsed="false">
      <c r="A535" s="2" t="n">
        <v>534</v>
      </c>
      <c r="B535" s="2" t="s">
        <v>1394</v>
      </c>
      <c r="C535" s="2" t="s">
        <v>1395</v>
      </c>
      <c r="D535" s="2"/>
      <c r="E535" s="2" t="s">
        <v>700</v>
      </c>
      <c r="F535" s="3" t="n">
        <v>0.000366</v>
      </c>
      <c r="G535" s="3" t="n">
        <f aca="false">SUM($F$2:F535)</f>
        <v>0.705702</v>
      </c>
      <c r="H535" s="4"/>
      <c r="I535" s="5"/>
      <c r="J535" s="4"/>
      <c r="K535" s="5"/>
      <c r="L535" s="6"/>
      <c r="M535" s="5" t="str">
        <f aca="false">IF(AND(N(K535)&gt;0,N(L535)&gt;0),K535/L535,"")</f>
        <v/>
      </c>
      <c r="N535" s="2" t="s">
        <v>1226</v>
      </c>
    </row>
    <row r="536" customFormat="false" ht="15" hidden="false" customHeight="false" outlineLevel="0" collapsed="false">
      <c r="A536" s="2" t="n">
        <v>535</v>
      </c>
      <c r="B536" s="2" t="s">
        <v>1396</v>
      </c>
      <c r="C536" s="2" t="s">
        <v>1397</v>
      </c>
      <c r="D536" s="2"/>
      <c r="E536" s="2" t="s">
        <v>334</v>
      </c>
      <c r="F536" s="3" t="n">
        <v>0.000366</v>
      </c>
      <c r="G536" s="3" t="n">
        <f aca="false">SUM($F$2:F536)</f>
        <v>0.706068</v>
      </c>
      <c r="H536" s="4"/>
      <c r="I536" s="5"/>
      <c r="J536" s="4"/>
      <c r="K536" s="5"/>
      <c r="L536" s="6"/>
      <c r="M536" s="5" t="str">
        <f aca="false">IF(AND(N(K536)&gt;0,N(L536)&gt;0),K536/L536,"")</f>
        <v/>
      </c>
      <c r="N536" s="2" t="s">
        <v>1226</v>
      </c>
    </row>
    <row r="537" customFormat="false" ht="15" hidden="false" customHeight="false" outlineLevel="0" collapsed="false">
      <c r="A537" s="2" t="n">
        <v>536</v>
      </c>
      <c r="B537" s="2" t="s">
        <v>1398</v>
      </c>
      <c r="C537" s="2" t="s">
        <v>1399</v>
      </c>
      <c r="D537" s="2"/>
      <c r="E537" s="2" t="s">
        <v>17</v>
      </c>
      <c r="F537" s="3" t="n">
        <v>0.000365</v>
      </c>
      <c r="G537" s="3" t="n">
        <f aca="false">SUM($F$2:F537)</f>
        <v>0.706433</v>
      </c>
      <c r="H537" s="4"/>
      <c r="I537" s="5"/>
      <c r="J537" s="4"/>
      <c r="K537" s="5"/>
      <c r="L537" s="6"/>
      <c r="M537" s="5" t="str">
        <f aca="false">IF(AND(N(K537)&gt;0,N(L537)&gt;0),K537/L537,"")</f>
        <v/>
      </c>
      <c r="N537" s="2" t="s">
        <v>1226</v>
      </c>
    </row>
    <row r="538" customFormat="false" ht="15" hidden="false" customHeight="false" outlineLevel="0" collapsed="false">
      <c r="A538" s="2" t="n">
        <v>537</v>
      </c>
      <c r="B538" s="2" t="s">
        <v>1400</v>
      </c>
      <c r="C538" s="2" t="s">
        <v>1401</v>
      </c>
      <c r="D538" s="2"/>
      <c r="E538" s="2" t="s">
        <v>21</v>
      </c>
      <c r="F538" s="3" t="n">
        <v>0.000364</v>
      </c>
      <c r="G538" s="3" t="n">
        <f aca="false">SUM($F$2:F538)</f>
        <v>0.706797</v>
      </c>
      <c r="H538" s="4"/>
      <c r="I538" s="5"/>
      <c r="J538" s="4"/>
      <c r="K538" s="5"/>
      <c r="L538" s="6"/>
      <c r="M538" s="5" t="str">
        <f aca="false">IF(AND(N(K538)&gt;0,N(L538)&gt;0),K538/L538,"")</f>
        <v/>
      </c>
      <c r="N538" s="2" t="s">
        <v>1226</v>
      </c>
    </row>
    <row r="539" customFormat="false" ht="15" hidden="false" customHeight="false" outlineLevel="0" collapsed="false">
      <c r="A539" s="2" t="n">
        <v>538</v>
      </c>
      <c r="B539" s="2" t="s">
        <v>1402</v>
      </c>
      <c r="C539" s="2" t="s">
        <v>1403</v>
      </c>
      <c r="D539" s="2"/>
      <c r="E539" s="2" t="s">
        <v>33</v>
      </c>
      <c r="F539" s="3" t="n">
        <v>0.000363</v>
      </c>
      <c r="G539" s="3" t="n">
        <f aca="false">SUM($F$2:F539)</f>
        <v>0.70716</v>
      </c>
      <c r="H539" s="4"/>
      <c r="I539" s="5"/>
      <c r="J539" s="4"/>
      <c r="K539" s="5"/>
      <c r="L539" s="6"/>
      <c r="M539" s="5" t="str">
        <f aca="false">IF(AND(N(K539)&gt;0,N(L539)&gt;0),K539/L539,"")</f>
        <v/>
      </c>
      <c r="N539" s="2" t="s">
        <v>1226</v>
      </c>
    </row>
    <row r="540" customFormat="false" ht="15" hidden="false" customHeight="false" outlineLevel="0" collapsed="false">
      <c r="A540" s="2" t="n">
        <v>539</v>
      </c>
      <c r="B540" s="2" t="s">
        <v>1404</v>
      </c>
      <c r="C540" s="2" t="s">
        <v>1405</v>
      </c>
      <c r="D540" s="2"/>
      <c r="E540" s="2" t="s">
        <v>52</v>
      </c>
      <c r="F540" s="3" t="n">
        <v>0.000363</v>
      </c>
      <c r="G540" s="3" t="n">
        <f aca="false">SUM($F$2:F540)</f>
        <v>0.707523</v>
      </c>
      <c r="H540" s="4"/>
      <c r="I540" s="5"/>
      <c r="J540" s="4"/>
      <c r="K540" s="5"/>
      <c r="L540" s="6"/>
      <c r="M540" s="5" t="str">
        <f aca="false">IF(AND(N(K540)&gt;0,N(L540)&gt;0),K540/L540,"")</f>
        <v/>
      </c>
      <c r="N540" s="2" t="s">
        <v>1226</v>
      </c>
    </row>
    <row r="541" customFormat="false" ht="15" hidden="false" customHeight="false" outlineLevel="0" collapsed="false">
      <c r="A541" s="2" t="n">
        <v>540</v>
      </c>
      <c r="B541" s="2" t="s">
        <v>1406</v>
      </c>
      <c r="C541" s="2" t="s">
        <v>1407</v>
      </c>
      <c r="D541" s="2"/>
      <c r="E541" s="2" t="s">
        <v>1019</v>
      </c>
      <c r="F541" s="3" t="n">
        <v>0.000363</v>
      </c>
      <c r="G541" s="3" t="n">
        <f aca="false">SUM($F$2:F541)</f>
        <v>0.707886</v>
      </c>
      <c r="H541" s="4"/>
      <c r="I541" s="5"/>
      <c r="J541" s="4"/>
      <c r="K541" s="5"/>
      <c r="L541" s="6"/>
      <c r="M541" s="5" t="str">
        <f aca="false">IF(AND(N(K541)&gt;0,N(L541)&gt;0),K541/L541,"")</f>
        <v/>
      </c>
      <c r="N541" s="2" t="s">
        <v>1226</v>
      </c>
    </row>
    <row r="542" customFormat="false" ht="15" hidden="false" customHeight="false" outlineLevel="0" collapsed="false">
      <c r="A542" s="2" t="n">
        <v>541</v>
      </c>
      <c r="B542" s="2" t="s">
        <v>1408</v>
      </c>
      <c r="C542" s="2" t="s">
        <v>1409</v>
      </c>
      <c r="D542" s="2"/>
      <c r="E542" s="2" t="s">
        <v>48</v>
      </c>
      <c r="F542" s="3" t="n">
        <v>0.000363</v>
      </c>
      <c r="G542" s="3" t="n">
        <f aca="false">SUM($F$2:F542)</f>
        <v>0.708249</v>
      </c>
      <c r="H542" s="4"/>
      <c r="I542" s="5"/>
      <c r="J542" s="4"/>
      <c r="K542" s="5"/>
      <c r="L542" s="6"/>
      <c r="M542" s="5" t="str">
        <f aca="false">IF(AND(N(K542)&gt;0,N(L542)&gt;0),K542/L542,"")</f>
        <v/>
      </c>
      <c r="N542" s="2" t="s">
        <v>1226</v>
      </c>
    </row>
    <row r="543" customFormat="false" ht="15" hidden="false" customHeight="false" outlineLevel="0" collapsed="false">
      <c r="A543" s="2" t="n">
        <v>542</v>
      </c>
      <c r="B543" s="2" t="s">
        <v>1410</v>
      </c>
      <c r="C543" s="2" t="s">
        <v>1411</v>
      </c>
      <c r="D543" s="2"/>
      <c r="E543" s="2" t="s">
        <v>334</v>
      </c>
      <c r="F543" s="3" t="n">
        <v>0.000362</v>
      </c>
      <c r="G543" s="3" t="n">
        <f aca="false">SUM($F$2:F543)</f>
        <v>0.708611</v>
      </c>
      <c r="H543" s="4"/>
      <c r="I543" s="5"/>
      <c r="J543" s="4"/>
      <c r="K543" s="5"/>
      <c r="L543" s="6"/>
      <c r="M543" s="5" t="str">
        <f aca="false">IF(AND(N(K543)&gt;0,N(L543)&gt;0),K543/L543,"")</f>
        <v/>
      </c>
      <c r="N543" s="2" t="s">
        <v>1226</v>
      </c>
    </row>
    <row r="544" customFormat="false" ht="15" hidden="false" customHeight="false" outlineLevel="0" collapsed="false">
      <c r="A544" s="2" t="n">
        <v>543</v>
      </c>
      <c r="B544" s="2" t="s">
        <v>1412</v>
      </c>
      <c r="C544" s="2" t="s">
        <v>1413</v>
      </c>
      <c r="D544" s="2"/>
      <c r="E544" s="2" t="s">
        <v>25</v>
      </c>
      <c r="F544" s="3" t="n">
        <v>0.000362</v>
      </c>
      <c r="G544" s="3" t="n">
        <f aca="false">SUM($F$2:F544)</f>
        <v>0.708973</v>
      </c>
      <c r="H544" s="4"/>
      <c r="I544" s="5"/>
      <c r="J544" s="4"/>
      <c r="K544" s="5"/>
      <c r="L544" s="6"/>
      <c r="M544" s="5" t="str">
        <f aca="false">IF(AND(N(K544)&gt;0,N(L544)&gt;0),K544/L544,"")</f>
        <v/>
      </c>
      <c r="N544" s="2" t="s">
        <v>1226</v>
      </c>
    </row>
    <row r="545" customFormat="false" ht="15" hidden="false" customHeight="false" outlineLevel="0" collapsed="false">
      <c r="A545" s="2" t="n">
        <v>544</v>
      </c>
      <c r="B545" s="2" t="s">
        <v>1414</v>
      </c>
      <c r="C545" s="2" t="s">
        <v>1415</v>
      </c>
      <c r="D545" s="2"/>
      <c r="E545" s="2" t="s">
        <v>29</v>
      </c>
      <c r="F545" s="3" t="n">
        <v>0.000361</v>
      </c>
      <c r="G545" s="3" t="n">
        <f aca="false">SUM($F$2:F545)</f>
        <v>0.709334</v>
      </c>
      <c r="H545" s="4"/>
      <c r="I545" s="5"/>
      <c r="J545" s="4"/>
      <c r="K545" s="5"/>
      <c r="L545" s="6"/>
      <c r="M545" s="5" t="str">
        <f aca="false">IF(AND(N(K545)&gt;0,N(L545)&gt;0),K545/L545,"")</f>
        <v/>
      </c>
      <c r="N545" s="2" t="s">
        <v>1226</v>
      </c>
    </row>
    <row r="546" customFormat="false" ht="15" hidden="false" customHeight="false" outlineLevel="0" collapsed="false">
      <c r="A546" s="2" t="n">
        <v>545</v>
      </c>
      <c r="B546" s="2" t="s">
        <v>1416</v>
      </c>
      <c r="C546" s="2" t="s">
        <v>1417</v>
      </c>
      <c r="D546" s="2"/>
      <c r="E546" s="2" t="s">
        <v>296</v>
      </c>
      <c r="F546" s="3" t="n">
        <v>0.000361</v>
      </c>
      <c r="G546" s="3" t="n">
        <f aca="false">SUM($F$2:F546)</f>
        <v>0.709695</v>
      </c>
      <c r="H546" s="4"/>
      <c r="I546" s="5"/>
      <c r="J546" s="4"/>
      <c r="K546" s="5"/>
      <c r="L546" s="6"/>
      <c r="M546" s="5" t="str">
        <f aca="false">IF(AND(N(K546)&gt;0,N(L546)&gt;0),K546/L546,"")</f>
        <v/>
      </c>
      <c r="N546" s="2" t="s">
        <v>1226</v>
      </c>
    </row>
    <row r="547" customFormat="false" ht="15" hidden="false" customHeight="false" outlineLevel="0" collapsed="false">
      <c r="A547" s="2" t="n">
        <v>546</v>
      </c>
      <c r="B547" s="2" t="s">
        <v>1418</v>
      </c>
      <c r="C547" s="2" t="s">
        <v>1419</v>
      </c>
      <c r="D547" s="2"/>
      <c r="E547" s="2" t="s">
        <v>29</v>
      </c>
      <c r="F547" s="3" t="n">
        <v>0.00036</v>
      </c>
      <c r="G547" s="3" t="n">
        <f aca="false">SUM($F$2:F547)</f>
        <v>0.710055</v>
      </c>
      <c r="H547" s="4"/>
      <c r="I547" s="5"/>
      <c r="J547" s="4"/>
      <c r="K547" s="5"/>
      <c r="L547" s="6"/>
      <c r="M547" s="5" t="str">
        <f aca="false">IF(AND(N(K547)&gt;0,N(L547)&gt;0),K547/L547,"")</f>
        <v/>
      </c>
      <c r="N547" s="2" t="s">
        <v>1226</v>
      </c>
    </row>
    <row r="548" customFormat="false" ht="15" hidden="false" customHeight="false" outlineLevel="0" collapsed="false">
      <c r="A548" s="2" t="n">
        <v>547</v>
      </c>
      <c r="B548" s="2" t="s">
        <v>1420</v>
      </c>
      <c r="C548" s="2" t="s">
        <v>1421</v>
      </c>
      <c r="D548" s="2"/>
      <c r="E548" s="2" t="s">
        <v>29</v>
      </c>
      <c r="F548" s="3" t="n">
        <v>0.00036</v>
      </c>
      <c r="G548" s="3" t="n">
        <f aca="false">SUM($F$2:F548)</f>
        <v>0.710415</v>
      </c>
      <c r="H548" s="4"/>
      <c r="I548" s="5"/>
      <c r="J548" s="4"/>
      <c r="K548" s="5"/>
      <c r="L548" s="6"/>
      <c r="M548" s="5" t="str">
        <f aca="false">IF(AND(N(K548)&gt;0,N(L548)&gt;0),K548/L548,"")</f>
        <v/>
      </c>
      <c r="N548" s="2" t="s">
        <v>1226</v>
      </c>
    </row>
    <row r="549" customFormat="false" ht="15" hidden="false" customHeight="false" outlineLevel="0" collapsed="false">
      <c r="A549" s="2" t="n">
        <v>548</v>
      </c>
      <c r="B549" s="2" t="s">
        <v>1422</v>
      </c>
      <c r="C549" s="2" t="s">
        <v>1423</v>
      </c>
      <c r="D549" s="2"/>
      <c r="E549" s="2" t="s">
        <v>29</v>
      </c>
      <c r="F549" s="3" t="n">
        <v>0.00036</v>
      </c>
      <c r="G549" s="3" t="n">
        <f aca="false">SUM($F$2:F549)</f>
        <v>0.710775</v>
      </c>
      <c r="H549" s="4"/>
      <c r="I549" s="5"/>
      <c r="J549" s="4"/>
      <c r="K549" s="5"/>
      <c r="L549" s="6"/>
      <c r="M549" s="5" t="str">
        <f aca="false">IF(AND(N(K549)&gt;0,N(L549)&gt;0),K549/L549,"")</f>
        <v/>
      </c>
      <c r="N549" s="2" t="s">
        <v>1226</v>
      </c>
    </row>
    <row r="550" customFormat="false" ht="15" hidden="false" customHeight="false" outlineLevel="0" collapsed="false">
      <c r="A550" s="2" t="n">
        <v>549</v>
      </c>
      <c r="B550" s="2" t="s">
        <v>1424</v>
      </c>
      <c r="C550" s="2" t="s">
        <v>1425</v>
      </c>
      <c r="D550" s="2"/>
      <c r="E550" s="2" t="s">
        <v>29</v>
      </c>
      <c r="F550" s="3" t="n">
        <v>0.00036</v>
      </c>
      <c r="G550" s="3" t="n">
        <f aca="false">SUM($F$2:F550)</f>
        <v>0.711135</v>
      </c>
      <c r="H550" s="4"/>
      <c r="I550" s="5"/>
      <c r="J550" s="4"/>
      <c r="K550" s="5"/>
      <c r="L550" s="6"/>
      <c r="M550" s="5" t="str">
        <f aca="false">IF(AND(N(K550)&gt;0,N(L550)&gt;0),K550/L550,"")</f>
        <v/>
      </c>
      <c r="N550" s="2" t="s">
        <v>1226</v>
      </c>
    </row>
    <row r="551" customFormat="false" ht="15" hidden="false" customHeight="false" outlineLevel="0" collapsed="false">
      <c r="A551" s="2" t="n">
        <v>550</v>
      </c>
      <c r="B551" s="2" t="s">
        <v>1426</v>
      </c>
      <c r="C551" s="2" t="s">
        <v>1427</v>
      </c>
      <c r="D551" s="2"/>
      <c r="E551" s="2" t="s">
        <v>17</v>
      </c>
      <c r="F551" s="3" t="n">
        <v>0.000358</v>
      </c>
      <c r="G551" s="3" t="n">
        <f aca="false">SUM($F$2:F551)</f>
        <v>0.711493</v>
      </c>
      <c r="H551" s="4"/>
      <c r="I551" s="5"/>
      <c r="J551" s="4"/>
      <c r="K551" s="5"/>
      <c r="L551" s="6"/>
      <c r="M551" s="5" t="str">
        <f aca="false">IF(AND(N(K551)&gt;0,N(L551)&gt;0),K551/L551,"")</f>
        <v/>
      </c>
      <c r="N551" s="2" t="s">
        <v>1226</v>
      </c>
    </row>
    <row r="552" customFormat="false" ht="15" hidden="false" customHeight="false" outlineLevel="0" collapsed="false">
      <c r="A552" s="2" t="n">
        <v>551</v>
      </c>
      <c r="B552" s="2" t="s">
        <v>1428</v>
      </c>
      <c r="C552" s="2" t="s">
        <v>1429</v>
      </c>
      <c r="D552" s="2"/>
      <c r="E552" s="2" t="s">
        <v>1430</v>
      </c>
      <c r="F552" s="3" t="n">
        <v>0.000357</v>
      </c>
      <c r="G552" s="3" t="n">
        <f aca="false">SUM($F$2:F552)</f>
        <v>0.71185</v>
      </c>
      <c r="H552" s="4"/>
      <c r="I552" s="5"/>
      <c r="J552" s="4"/>
      <c r="K552" s="5"/>
      <c r="L552" s="6"/>
      <c r="M552" s="5" t="str">
        <f aca="false">IF(AND(N(K552)&gt;0,N(L552)&gt;0),K552/L552,"")</f>
        <v/>
      </c>
      <c r="N552" s="2" t="s">
        <v>1226</v>
      </c>
    </row>
    <row r="553" customFormat="false" ht="15" hidden="false" customHeight="false" outlineLevel="0" collapsed="false">
      <c r="A553" s="2" t="n">
        <v>552</v>
      </c>
      <c r="B553" s="2" t="s">
        <v>1431</v>
      </c>
      <c r="C553" s="2" t="s">
        <v>1432</v>
      </c>
      <c r="D553" s="2"/>
      <c r="E553" s="2" t="s">
        <v>1050</v>
      </c>
      <c r="F553" s="3" t="n">
        <v>0.000357</v>
      </c>
      <c r="G553" s="3" t="n">
        <f aca="false">SUM($F$2:F553)</f>
        <v>0.712207</v>
      </c>
      <c r="H553" s="4"/>
      <c r="I553" s="5"/>
      <c r="J553" s="4"/>
      <c r="K553" s="5"/>
      <c r="L553" s="6"/>
      <c r="M553" s="5" t="str">
        <f aca="false">IF(AND(N(K553)&gt;0,N(L553)&gt;0),K553/L553,"")</f>
        <v/>
      </c>
      <c r="N553" s="2" t="s">
        <v>1226</v>
      </c>
    </row>
    <row r="554" customFormat="false" ht="15" hidden="false" customHeight="false" outlineLevel="0" collapsed="false">
      <c r="A554" s="2" t="n">
        <v>553</v>
      </c>
      <c r="B554" s="2" t="s">
        <v>1433</v>
      </c>
      <c r="C554" s="2" t="s">
        <v>1434</v>
      </c>
      <c r="D554" s="2"/>
      <c r="E554" s="2" t="s">
        <v>82</v>
      </c>
      <c r="F554" s="3" t="n">
        <v>0.000357</v>
      </c>
      <c r="G554" s="3" t="n">
        <f aca="false">SUM($F$2:F554)</f>
        <v>0.712564</v>
      </c>
      <c r="H554" s="4"/>
      <c r="I554" s="5"/>
      <c r="J554" s="4"/>
      <c r="K554" s="5"/>
      <c r="L554" s="6"/>
      <c r="M554" s="5" t="str">
        <f aca="false">IF(AND(N(K554)&gt;0,N(L554)&gt;0),K554/L554,"")</f>
        <v/>
      </c>
      <c r="N554" s="2" t="s">
        <v>1226</v>
      </c>
    </row>
    <row r="555" customFormat="false" ht="15" hidden="false" customHeight="false" outlineLevel="0" collapsed="false">
      <c r="A555" s="2" t="n">
        <v>554</v>
      </c>
      <c r="B555" s="2" t="s">
        <v>1435</v>
      </c>
      <c r="C555" s="2" t="s">
        <v>1436</v>
      </c>
      <c r="D555" s="2"/>
      <c r="E555" s="2" t="s">
        <v>38</v>
      </c>
      <c r="F555" s="3" t="n">
        <v>0.000357</v>
      </c>
      <c r="G555" s="3" t="n">
        <f aca="false">SUM($F$2:F555)</f>
        <v>0.712921</v>
      </c>
      <c r="H555" s="4"/>
      <c r="I555" s="5"/>
      <c r="J555" s="4"/>
      <c r="K555" s="5"/>
      <c r="L555" s="6"/>
      <c r="M555" s="5" t="str">
        <f aca="false">IF(AND(N(K555)&gt;0,N(L555)&gt;0),K555/L555,"")</f>
        <v/>
      </c>
      <c r="N555" s="2" t="s">
        <v>1226</v>
      </c>
    </row>
    <row r="556" customFormat="false" ht="15" hidden="false" customHeight="false" outlineLevel="0" collapsed="false">
      <c r="A556" s="2" t="n">
        <v>555</v>
      </c>
      <c r="B556" s="2" t="s">
        <v>1437</v>
      </c>
      <c r="C556" s="2" t="s">
        <v>1438</v>
      </c>
      <c r="D556" s="2"/>
      <c r="E556" s="2" t="s">
        <v>25</v>
      </c>
      <c r="F556" s="3" t="n">
        <v>0.000356</v>
      </c>
      <c r="G556" s="3" t="n">
        <f aca="false">SUM($F$2:F556)</f>
        <v>0.713277</v>
      </c>
      <c r="H556" s="4"/>
      <c r="I556" s="5"/>
      <c r="J556" s="4"/>
      <c r="K556" s="5"/>
      <c r="L556" s="6"/>
      <c r="M556" s="5" t="str">
        <f aca="false">IF(AND(N(K556)&gt;0,N(L556)&gt;0),K556/L556,"")</f>
        <v/>
      </c>
      <c r="N556" s="2" t="s">
        <v>1226</v>
      </c>
    </row>
    <row r="557" customFormat="false" ht="15" hidden="false" customHeight="false" outlineLevel="0" collapsed="false">
      <c r="A557" s="2" t="n">
        <v>556</v>
      </c>
      <c r="B557" s="2" t="s">
        <v>1439</v>
      </c>
      <c r="C557" s="2" t="s">
        <v>1440</v>
      </c>
      <c r="D557" s="2"/>
      <c r="E557" s="2" t="s">
        <v>29</v>
      </c>
      <c r="F557" s="3" t="n">
        <v>0.000356</v>
      </c>
      <c r="G557" s="3" t="n">
        <f aca="false">SUM($F$2:F557)</f>
        <v>0.713633</v>
      </c>
      <c r="H557" s="4"/>
      <c r="I557" s="5"/>
      <c r="J557" s="4"/>
      <c r="K557" s="5"/>
      <c r="L557" s="6"/>
      <c r="M557" s="5" t="str">
        <f aca="false">IF(AND(N(K557)&gt;0,N(L557)&gt;0),K557/L557,"")</f>
        <v/>
      </c>
      <c r="N557" s="2" t="s">
        <v>1226</v>
      </c>
    </row>
    <row r="558" customFormat="false" ht="15" hidden="false" customHeight="false" outlineLevel="0" collapsed="false">
      <c r="A558" s="2" t="n">
        <v>557</v>
      </c>
      <c r="B558" s="2" t="s">
        <v>1441</v>
      </c>
      <c r="C558" s="2" t="s">
        <v>1442</v>
      </c>
      <c r="D558" s="2"/>
      <c r="E558" s="2" t="s">
        <v>52</v>
      </c>
      <c r="F558" s="3" t="n">
        <v>0.000356</v>
      </c>
      <c r="G558" s="3" t="n">
        <f aca="false">SUM($F$2:F558)</f>
        <v>0.713989</v>
      </c>
      <c r="H558" s="4"/>
      <c r="I558" s="5"/>
      <c r="J558" s="4"/>
      <c r="K558" s="5"/>
      <c r="L558" s="6"/>
      <c r="M558" s="5" t="str">
        <f aca="false">IF(AND(N(K558)&gt;0,N(L558)&gt;0),K558/L558,"")</f>
        <v/>
      </c>
      <c r="N558" s="2" t="s">
        <v>1226</v>
      </c>
    </row>
    <row r="559" customFormat="false" ht="15" hidden="false" customHeight="false" outlineLevel="0" collapsed="false">
      <c r="A559" s="2" t="n">
        <v>558</v>
      </c>
      <c r="B559" s="2" t="s">
        <v>1443</v>
      </c>
      <c r="C559" s="2" t="s">
        <v>1444</v>
      </c>
      <c r="D559" s="2"/>
      <c r="E559" s="2" t="s">
        <v>17</v>
      </c>
      <c r="F559" s="3" t="n">
        <v>0.000354</v>
      </c>
      <c r="G559" s="3" t="n">
        <f aca="false">SUM($F$2:F559)</f>
        <v>0.714343</v>
      </c>
      <c r="H559" s="4"/>
      <c r="I559" s="5"/>
      <c r="J559" s="4"/>
      <c r="K559" s="5"/>
      <c r="L559" s="6"/>
      <c r="M559" s="5" t="str">
        <f aca="false">IF(AND(N(K559)&gt;0,N(L559)&gt;0),K559/L559,"")</f>
        <v/>
      </c>
      <c r="N559" s="2" t="s">
        <v>1226</v>
      </c>
    </row>
    <row r="560" customFormat="false" ht="15" hidden="false" customHeight="false" outlineLevel="0" collapsed="false">
      <c r="A560" s="2" t="n">
        <v>559</v>
      </c>
      <c r="B560" s="2" t="s">
        <v>1445</v>
      </c>
      <c r="C560" s="2" t="s">
        <v>1446</v>
      </c>
      <c r="D560" s="2"/>
      <c r="E560" s="2" t="s">
        <v>167</v>
      </c>
      <c r="F560" s="3" t="n">
        <v>0.000353</v>
      </c>
      <c r="G560" s="3" t="n">
        <f aca="false">SUM($F$2:F560)</f>
        <v>0.714696</v>
      </c>
      <c r="H560" s="4"/>
      <c r="I560" s="5"/>
      <c r="J560" s="4"/>
      <c r="K560" s="5"/>
      <c r="L560" s="6"/>
      <c r="M560" s="5" t="str">
        <f aca="false">IF(AND(N(K560)&gt;0,N(L560)&gt;0),K560/L560,"")</f>
        <v/>
      </c>
      <c r="N560" s="2" t="s">
        <v>1226</v>
      </c>
    </row>
    <row r="561" customFormat="false" ht="15" hidden="false" customHeight="false" outlineLevel="0" collapsed="false">
      <c r="A561" s="2" t="n">
        <v>560</v>
      </c>
      <c r="B561" s="2" t="s">
        <v>1447</v>
      </c>
      <c r="C561" s="2" t="s">
        <v>1448</v>
      </c>
      <c r="D561" s="2"/>
      <c r="E561" s="2" t="s">
        <v>25</v>
      </c>
      <c r="F561" s="3" t="n">
        <v>0.000353</v>
      </c>
      <c r="G561" s="3" t="n">
        <f aca="false">SUM($F$2:F561)</f>
        <v>0.715049</v>
      </c>
      <c r="H561" s="4"/>
      <c r="I561" s="5"/>
      <c r="J561" s="4"/>
      <c r="K561" s="5"/>
      <c r="L561" s="6"/>
      <c r="M561" s="5" t="str">
        <f aca="false">IF(AND(N(K561)&gt;0,N(L561)&gt;0),K561/L561,"")</f>
        <v/>
      </c>
      <c r="N561" s="2" t="s">
        <v>1226</v>
      </c>
    </row>
    <row r="562" customFormat="false" ht="15" hidden="false" customHeight="false" outlineLevel="0" collapsed="false">
      <c r="A562" s="2" t="n">
        <v>561</v>
      </c>
      <c r="B562" s="2" t="s">
        <v>1449</v>
      </c>
      <c r="C562" s="2" t="s">
        <v>1450</v>
      </c>
      <c r="D562" s="2"/>
      <c r="E562" s="2" t="s">
        <v>21</v>
      </c>
      <c r="F562" s="3" t="n">
        <v>0.000352</v>
      </c>
      <c r="G562" s="3" t="n">
        <f aca="false">SUM($F$2:F562)</f>
        <v>0.715401</v>
      </c>
      <c r="H562" s="4"/>
      <c r="I562" s="5"/>
      <c r="J562" s="4"/>
      <c r="K562" s="5"/>
      <c r="L562" s="6"/>
      <c r="M562" s="5" t="str">
        <f aca="false">IF(AND(N(K562)&gt;0,N(L562)&gt;0),K562/L562,"")</f>
        <v/>
      </c>
      <c r="N562" s="2" t="s">
        <v>1226</v>
      </c>
    </row>
    <row r="563" customFormat="false" ht="15" hidden="false" customHeight="false" outlineLevel="0" collapsed="false">
      <c r="A563" s="2" t="n">
        <v>562</v>
      </c>
      <c r="B563" s="2" t="s">
        <v>1451</v>
      </c>
      <c r="C563" s="2" t="s">
        <v>1452</v>
      </c>
      <c r="D563" s="2"/>
      <c r="E563" s="2" t="s">
        <v>17</v>
      </c>
      <c r="F563" s="3" t="n">
        <v>0.000352</v>
      </c>
      <c r="G563" s="3" t="n">
        <f aca="false">SUM($F$2:F563)</f>
        <v>0.715753</v>
      </c>
      <c r="H563" s="4"/>
      <c r="I563" s="5"/>
      <c r="J563" s="4"/>
      <c r="K563" s="5"/>
      <c r="L563" s="6"/>
      <c r="M563" s="5" t="str">
        <f aca="false">IF(AND(N(K563)&gt;0,N(L563)&gt;0),K563/L563,"")</f>
        <v/>
      </c>
      <c r="N563" s="2" t="s">
        <v>1226</v>
      </c>
    </row>
    <row r="564" customFormat="false" ht="15" hidden="false" customHeight="false" outlineLevel="0" collapsed="false">
      <c r="A564" s="2" t="n">
        <v>563</v>
      </c>
      <c r="B564" s="2" t="s">
        <v>1453</v>
      </c>
      <c r="C564" s="2" t="s">
        <v>1454</v>
      </c>
      <c r="D564" s="2"/>
      <c r="E564" s="2" t="s">
        <v>48</v>
      </c>
      <c r="F564" s="3" t="n">
        <v>0.00035</v>
      </c>
      <c r="G564" s="3" t="n">
        <f aca="false">SUM($F$2:F564)</f>
        <v>0.716103</v>
      </c>
      <c r="H564" s="4"/>
      <c r="I564" s="5"/>
      <c r="J564" s="4"/>
      <c r="K564" s="5"/>
      <c r="L564" s="6"/>
      <c r="M564" s="5" t="str">
        <f aca="false">IF(AND(N(K564)&gt;0,N(L564)&gt;0),K564/L564,"")</f>
        <v/>
      </c>
      <c r="N564" s="2" t="s">
        <v>1226</v>
      </c>
    </row>
    <row r="565" customFormat="false" ht="15" hidden="false" customHeight="false" outlineLevel="0" collapsed="false">
      <c r="A565" s="2" t="n">
        <v>564</v>
      </c>
      <c r="B565" s="2" t="s">
        <v>1455</v>
      </c>
      <c r="C565" s="2" t="s">
        <v>1456</v>
      </c>
      <c r="D565" s="2"/>
      <c r="E565" s="2" t="s">
        <v>29</v>
      </c>
      <c r="F565" s="3" t="n">
        <v>0.00035</v>
      </c>
      <c r="G565" s="3" t="n">
        <f aca="false">SUM($F$2:F565)</f>
        <v>0.716453</v>
      </c>
      <c r="H565" s="4"/>
      <c r="I565" s="5"/>
      <c r="J565" s="4"/>
      <c r="K565" s="5"/>
      <c r="L565" s="6"/>
      <c r="M565" s="5" t="str">
        <f aca="false">IF(AND(N(K565)&gt;0,N(L565)&gt;0),K565/L565,"")</f>
        <v/>
      </c>
      <c r="N565" s="2" t="s">
        <v>1226</v>
      </c>
    </row>
    <row r="566" customFormat="false" ht="15" hidden="false" customHeight="false" outlineLevel="0" collapsed="false">
      <c r="A566" s="2" t="n">
        <v>565</v>
      </c>
      <c r="B566" s="2" t="s">
        <v>1457</v>
      </c>
      <c r="C566" s="2" t="s">
        <v>1458</v>
      </c>
      <c r="D566" s="2"/>
      <c r="E566" s="2" t="s">
        <v>29</v>
      </c>
      <c r="F566" s="3" t="n">
        <v>0.000349</v>
      </c>
      <c r="G566" s="3" t="n">
        <f aca="false">SUM($F$2:F566)</f>
        <v>0.716802</v>
      </c>
      <c r="H566" s="4"/>
      <c r="I566" s="5"/>
      <c r="J566" s="4"/>
      <c r="K566" s="5"/>
      <c r="L566" s="6"/>
      <c r="M566" s="5" t="str">
        <f aca="false">IF(AND(N(K566)&gt;0,N(L566)&gt;0),K566/L566,"")</f>
        <v/>
      </c>
      <c r="N566" s="2" t="s">
        <v>1226</v>
      </c>
    </row>
    <row r="567" customFormat="false" ht="15" hidden="false" customHeight="false" outlineLevel="0" collapsed="false">
      <c r="A567" s="2" t="n">
        <v>566</v>
      </c>
      <c r="B567" s="2" t="s">
        <v>1459</v>
      </c>
      <c r="C567" s="2" t="s">
        <v>1460</v>
      </c>
      <c r="D567" s="2"/>
      <c r="E567" s="2" t="s">
        <v>289</v>
      </c>
      <c r="F567" s="3" t="n">
        <v>0.000349</v>
      </c>
      <c r="G567" s="3" t="n">
        <f aca="false">SUM($F$2:F567)</f>
        <v>0.717151</v>
      </c>
      <c r="H567" s="4"/>
      <c r="I567" s="5"/>
      <c r="J567" s="4"/>
      <c r="K567" s="5"/>
      <c r="L567" s="6"/>
      <c r="M567" s="5" t="str">
        <f aca="false">IF(AND(N(K567)&gt;0,N(L567)&gt;0),K567/L567,"")</f>
        <v/>
      </c>
      <c r="N567" s="2" t="s">
        <v>1226</v>
      </c>
    </row>
    <row r="568" customFormat="false" ht="15" hidden="false" customHeight="false" outlineLevel="0" collapsed="false">
      <c r="A568" s="2" t="n">
        <v>567</v>
      </c>
      <c r="B568" s="2" t="s">
        <v>1461</v>
      </c>
      <c r="C568" s="2" t="s">
        <v>1462</v>
      </c>
      <c r="D568" s="2"/>
      <c r="E568" s="2" t="s">
        <v>52</v>
      </c>
      <c r="F568" s="3" t="n">
        <v>0.000349</v>
      </c>
      <c r="G568" s="3" t="n">
        <f aca="false">SUM($F$2:F568)</f>
        <v>0.7175</v>
      </c>
      <c r="H568" s="4"/>
      <c r="I568" s="5"/>
      <c r="J568" s="4"/>
      <c r="K568" s="5"/>
      <c r="L568" s="6"/>
      <c r="M568" s="5" t="str">
        <f aca="false">IF(AND(N(K568)&gt;0,N(L568)&gt;0),K568/L568,"")</f>
        <v/>
      </c>
      <c r="N568" s="2" t="s">
        <v>1226</v>
      </c>
    </row>
    <row r="569" customFormat="false" ht="15" hidden="false" customHeight="false" outlineLevel="0" collapsed="false">
      <c r="A569" s="2" t="n">
        <v>568</v>
      </c>
      <c r="B569" s="2" t="s">
        <v>1463</v>
      </c>
      <c r="C569" s="2" t="s">
        <v>1464</v>
      </c>
      <c r="D569" s="2"/>
      <c r="E569" s="2" t="s">
        <v>52</v>
      </c>
      <c r="F569" s="3" t="n">
        <v>0.000348</v>
      </c>
      <c r="G569" s="3" t="n">
        <f aca="false">SUM($F$2:F569)</f>
        <v>0.717848</v>
      </c>
      <c r="H569" s="4"/>
      <c r="I569" s="5"/>
      <c r="J569" s="4"/>
      <c r="K569" s="5"/>
      <c r="L569" s="6"/>
      <c r="M569" s="5" t="str">
        <f aca="false">IF(AND(N(K569)&gt;0,N(L569)&gt;0),K569/L569,"")</f>
        <v/>
      </c>
      <c r="N569" s="2" t="s">
        <v>1226</v>
      </c>
    </row>
    <row r="570" customFormat="false" ht="15" hidden="false" customHeight="false" outlineLevel="0" collapsed="false">
      <c r="A570" s="2" t="n">
        <v>569</v>
      </c>
      <c r="B570" s="2" t="s">
        <v>1465</v>
      </c>
      <c r="C570" s="2" t="s">
        <v>1466</v>
      </c>
      <c r="D570" s="2"/>
      <c r="E570" s="2" t="s">
        <v>48</v>
      </c>
      <c r="F570" s="3" t="n">
        <v>0.000347</v>
      </c>
      <c r="G570" s="3" t="n">
        <f aca="false">SUM($F$2:F570)</f>
        <v>0.718195</v>
      </c>
      <c r="H570" s="4"/>
      <c r="I570" s="5"/>
      <c r="J570" s="4"/>
      <c r="K570" s="5"/>
      <c r="L570" s="6"/>
      <c r="M570" s="5" t="str">
        <f aca="false">IF(AND(N(K570)&gt;0,N(L570)&gt;0),K570/L570,"")</f>
        <v/>
      </c>
      <c r="N570" s="2" t="s">
        <v>1226</v>
      </c>
    </row>
    <row r="571" customFormat="false" ht="15" hidden="false" customHeight="false" outlineLevel="0" collapsed="false">
      <c r="A571" s="2" t="n">
        <v>570</v>
      </c>
      <c r="B571" s="2" t="s">
        <v>1467</v>
      </c>
      <c r="C571" s="2" t="s">
        <v>1468</v>
      </c>
      <c r="D571" s="2"/>
      <c r="E571" s="2" t="s">
        <v>82</v>
      </c>
      <c r="F571" s="3" t="n">
        <v>0.000347</v>
      </c>
      <c r="G571" s="3" t="n">
        <f aca="false">SUM($F$2:F571)</f>
        <v>0.718542</v>
      </c>
      <c r="H571" s="4"/>
      <c r="I571" s="5"/>
      <c r="J571" s="4"/>
      <c r="K571" s="5"/>
      <c r="L571" s="6"/>
      <c r="M571" s="5" t="str">
        <f aca="false">IF(AND(N(K571)&gt;0,N(L571)&gt;0),K571/L571,"")</f>
        <v/>
      </c>
      <c r="N571" s="2" t="s">
        <v>1226</v>
      </c>
    </row>
    <row r="572" customFormat="false" ht="15" hidden="false" customHeight="false" outlineLevel="0" collapsed="false">
      <c r="A572" s="2" t="n">
        <v>571</v>
      </c>
      <c r="B572" s="2" t="s">
        <v>1469</v>
      </c>
      <c r="C572" s="2" t="s">
        <v>1470</v>
      </c>
      <c r="D572" s="2"/>
      <c r="E572" s="2" t="s">
        <v>334</v>
      </c>
      <c r="F572" s="3" t="n">
        <v>0.000346</v>
      </c>
      <c r="G572" s="3" t="n">
        <f aca="false">SUM($F$2:F572)</f>
        <v>0.718888</v>
      </c>
      <c r="H572" s="4"/>
      <c r="I572" s="5"/>
      <c r="J572" s="4"/>
      <c r="K572" s="5"/>
      <c r="L572" s="6"/>
      <c r="M572" s="5" t="str">
        <f aca="false">IF(AND(N(K572)&gt;0,N(L572)&gt;0),K572/L572,"")</f>
        <v/>
      </c>
      <c r="N572" s="2" t="s">
        <v>1226</v>
      </c>
    </row>
    <row r="573" customFormat="false" ht="15" hidden="false" customHeight="false" outlineLevel="0" collapsed="false">
      <c r="A573" s="2" t="n">
        <v>572</v>
      </c>
      <c r="B573" s="2" t="s">
        <v>1471</v>
      </c>
      <c r="C573" s="2" t="s">
        <v>1472</v>
      </c>
      <c r="D573" s="2"/>
      <c r="E573" s="2" t="s">
        <v>29</v>
      </c>
      <c r="F573" s="3" t="n">
        <v>0.000345</v>
      </c>
      <c r="G573" s="3" t="n">
        <f aca="false">SUM($F$2:F573)</f>
        <v>0.719233</v>
      </c>
      <c r="H573" s="4"/>
      <c r="I573" s="5"/>
      <c r="J573" s="4"/>
      <c r="K573" s="5"/>
      <c r="L573" s="6"/>
      <c r="M573" s="5" t="str">
        <f aca="false">IF(AND(N(K573)&gt;0,N(L573)&gt;0),K573/L573,"")</f>
        <v/>
      </c>
      <c r="N573" s="2" t="s">
        <v>1226</v>
      </c>
    </row>
    <row r="574" customFormat="false" ht="15" hidden="false" customHeight="false" outlineLevel="0" collapsed="false">
      <c r="A574" s="2" t="n">
        <v>573</v>
      </c>
      <c r="B574" s="2" t="s">
        <v>1473</v>
      </c>
      <c r="C574" s="2" t="s">
        <v>1474</v>
      </c>
      <c r="D574" s="2"/>
      <c r="E574" s="2" t="s">
        <v>17</v>
      </c>
      <c r="F574" s="3" t="n">
        <v>0.000343</v>
      </c>
      <c r="G574" s="3" t="n">
        <f aca="false">SUM($F$2:F574)</f>
        <v>0.719576</v>
      </c>
      <c r="H574" s="4"/>
      <c r="I574" s="5"/>
      <c r="J574" s="4"/>
      <c r="K574" s="5"/>
      <c r="L574" s="6"/>
      <c r="M574" s="5" t="str">
        <f aca="false">IF(AND(N(K574)&gt;0,N(L574)&gt;0),K574/L574,"")</f>
        <v/>
      </c>
      <c r="N574" s="2" t="s">
        <v>1226</v>
      </c>
    </row>
    <row r="575" customFormat="false" ht="15" hidden="false" customHeight="false" outlineLevel="0" collapsed="false">
      <c r="A575" s="2" t="n">
        <v>574</v>
      </c>
      <c r="B575" s="2" t="s">
        <v>1475</v>
      </c>
      <c r="C575" s="2" t="s">
        <v>1476</v>
      </c>
      <c r="D575" s="2"/>
      <c r="E575" s="2" t="s">
        <v>52</v>
      </c>
      <c r="F575" s="3" t="n">
        <v>0.000342</v>
      </c>
      <c r="G575" s="3" t="n">
        <f aca="false">SUM($F$2:F575)</f>
        <v>0.719918</v>
      </c>
      <c r="H575" s="4"/>
      <c r="I575" s="5"/>
      <c r="J575" s="4"/>
      <c r="K575" s="5"/>
      <c r="L575" s="6"/>
      <c r="M575" s="5" t="str">
        <f aca="false">IF(AND(N(K575)&gt;0,N(L575)&gt;0),K575/L575,"")</f>
        <v/>
      </c>
      <c r="N575" s="2" t="s">
        <v>1226</v>
      </c>
    </row>
    <row r="576" customFormat="false" ht="15" hidden="false" customHeight="false" outlineLevel="0" collapsed="false">
      <c r="A576" s="2" t="n">
        <v>575</v>
      </c>
      <c r="B576" s="2" t="s">
        <v>1477</v>
      </c>
      <c r="C576" s="2" t="s">
        <v>1478</v>
      </c>
      <c r="D576" s="2"/>
      <c r="E576" s="2" t="s">
        <v>52</v>
      </c>
      <c r="F576" s="3" t="n">
        <v>0.000341</v>
      </c>
      <c r="G576" s="3" t="n">
        <f aca="false">SUM($F$2:F576)</f>
        <v>0.720259</v>
      </c>
      <c r="H576" s="4"/>
      <c r="I576" s="5"/>
      <c r="J576" s="4"/>
      <c r="K576" s="5"/>
      <c r="L576" s="6"/>
      <c r="M576" s="5" t="str">
        <f aca="false">IF(AND(N(K576)&gt;0,N(L576)&gt;0),K576/L576,"")</f>
        <v/>
      </c>
      <c r="N576" s="2" t="s">
        <v>1226</v>
      </c>
    </row>
    <row r="577" customFormat="false" ht="15" hidden="false" customHeight="false" outlineLevel="0" collapsed="false">
      <c r="A577" s="2" t="n">
        <v>576</v>
      </c>
      <c r="B577" s="2" t="s">
        <v>1479</v>
      </c>
      <c r="C577" s="2" t="s">
        <v>1480</v>
      </c>
      <c r="D577" s="2"/>
      <c r="E577" s="2" t="s">
        <v>38</v>
      </c>
      <c r="F577" s="3" t="n">
        <v>0.000341</v>
      </c>
      <c r="G577" s="3" t="n">
        <f aca="false">SUM($F$2:F577)</f>
        <v>0.7206</v>
      </c>
      <c r="H577" s="4"/>
      <c r="I577" s="5"/>
      <c r="J577" s="4"/>
      <c r="K577" s="5"/>
      <c r="L577" s="6"/>
      <c r="M577" s="5" t="str">
        <f aca="false">IF(AND(N(K577)&gt;0,N(L577)&gt;0),K577/L577,"")</f>
        <v/>
      </c>
      <c r="N577" s="2" t="s">
        <v>1226</v>
      </c>
    </row>
    <row r="578" customFormat="false" ht="15" hidden="false" customHeight="false" outlineLevel="0" collapsed="false">
      <c r="A578" s="2" t="n">
        <v>577</v>
      </c>
      <c r="B578" s="2" t="s">
        <v>1481</v>
      </c>
      <c r="C578" s="2" t="s">
        <v>1482</v>
      </c>
      <c r="D578" s="2"/>
      <c r="E578" s="2" t="s">
        <v>29</v>
      </c>
      <c r="F578" s="3" t="n">
        <v>0.000341</v>
      </c>
      <c r="G578" s="3" t="n">
        <f aca="false">SUM($F$2:F578)</f>
        <v>0.720941</v>
      </c>
      <c r="H578" s="4"/>
      <c r="I578" s="5"/>
      <c r="J578" s="4"/>
      <c r="K578" s="5"/>
      <c r="L578" s="6"/>
      <c r="M578" s="5" t="str">
        <f aca="false">IF(AND(N(K578)&gt;0,N(L578)&gt;0),K578/L578,"")</f>
        <v/>
      </c>
      <c r="N578" s="2" t="s">
        <v>1226</v>
      </c>
    </row>
    <row r="579" customFormat="false" ht="15" hidden="false" customHeight="false" outlineLevel="0" collapsed="false">
      <c r="A579" s="2" t="n">
        <v>578</v>
      </c>
      <c r="B579" s="2" t="s">
        <v>1483</v>
      </c>
      <c r="C579" s="2" t="s">
        <v>1484</v>
      </c>
      <c r="D579" s="2"/>
      <c r="E579" s="2" t="s">
        <v>52</v>
      </c>
      <c r="F579" s="3" t="n">
        <v>0.000341</v>
      </c>
      <c r="G579" s="3" t="n">
        <f aca="false">SUM($F$2:F579)</f>
        <v>0.721282</v>
      </c>
      <c r="H579" s="4"/>
      <c r="I579" s="5"/>
      <c r="J579" s="4"/>
      <c r="K579" s="5"/>
      <c r="L579" s="6"/>
      <c r="M579" s="5" t="str">
        <f aca="false">IF(AND(N(K579)&gt;0,N(L579)&gt;0),K579/L579,"")</f>
        <v/>
      </c>
      <c r="N579" s="2" t="s">
        <v>1226</v>
      </c>
    </row>
    <row r="580" customFormat="false" ht="15" hidden="false" customHeight="false" outlineLevel="0" collapsed="false">
      <c r="A580" s="2" t="n">
        <v>579</v>
      </c>
      <c r="B580" s="2" t="s">
        <v>1485</v>
      </c>
      <c r="C580" s="2" t="s">
        <v>1486</v>
      </c>
      <c r="D580" s="2"/>
      <c r="E580" s="2" t="s">
        <v>17</v>
      </c>
      <c r="F580" s="3" t="n">
        <v>0.00034</v>
      </c>
      <c r="G580" s="3" t="n">
        <f aca="false">SUM($F$2:F580)</f>
        <v>0.721622</v>
      </c>
      <c r="H580" s="4"/>
      <c r="I580" s="5"/>
      <c r="J580" s="4"/>
      <c r="K580" s="5"/>
      <c r="L580" s="6"/>
      <c r="M580" s="5" t="str">
        <f aca="false">IF(AND(N(K580)&gt;0,N(L580)&gt;0),K580/L580,"")</f>
        <v/>
      </c>
      <c r="N580" s="2" t="s">
        <v>1226</v>
      </c>
    </row>
    <row r="581" customFormat="false" ht="15" hidden="false" customHeight="false" outlineLevel="0" collapsed="false">
      <c r="A581" s="2" t="n">
        <v>580</v>
      </c>
      <c r="B581" s="2" t="s">
        <v>1487</v>
      </c>
      <c r="C581" s="2" t="s">
        <v>1488</v>
      </c>
      <c r="D581" s="2"/>
      <c r="E581" s="2" t="s">
        <v>29</v>
      </c>
      <c r="F581" s="3" t="n">
        <v>0.00034</v>
      </c>
      <c r="G581" s="3" t="n">
        <f aca="false">SUM($F$2:F581)</f>
        <v>0.721962</v>
      </c>
      <c r="H581" s="4"/>
      <c r="I581" s="5"/>
      <c r="J581" s="4"/>
      <c r="K581" s="5"/>
      <c r="L581" s="6"/>
      <c r="M581" s="5" t="str">
        <f aca="false">IF(AND(N(K581)&gt;0,N(L581)&gt;0),K581/L581,"")</f>
        <v/>
      </c>
      <c r="N581" s="2" t="s">
        <v>1226</v>
      </c>
    </row>
    <row r="582" customFormat="false" ht="15" hidden="false" customHeight="false" outlineLevel="0" collapsed="false">
      <c r="A582" s="2" t="n">
        <v>581</v>
      </c>
      <c r="B582" s="2" t="s">
        <v>1489</v>
      </c>
      <c r="C582" s="2" t="s">
        <v>1490</v>
      </c>
      <c r="D582" s="2"/>
      <c r="E582" s="2" t="s">
        <v>334</v>
      </c>
      <c r="F582" s="3" t="n">
        <v>0.000338</v>
      </c>
      <c r="G582" s="3" t="n">
        <f aca="false">SUM($F$2:F582)</f>
        <v>0.7223</v>
      </c>
      <c r="H582" s="4"/>
      <c r="I582" s="5"/>
      <c r="J582" s="4"/>
      <c r="K582" s="5"/>
      <c r="L582" s="6"/>
      <c r="M582" s="5" t="str">
        <f aca="false">IF(AND(N(K582)&gt;0,N(L582)&gt;0),K582/L582,"")</f>
        <v/>
      </c>
      <c r="N582" s="2" t="s">
        <v>1226</v>
      </c>
    </row>
    <row r="583" customFormat="false" ht="15" hidden="false" customHeight="false" outlineLevel="0" collapsed="false">
      <c r="A583" s="2" t="n">
        <v>582</v>
      </c>
      <c r="B583" s="2" t="s">
        <v>1491</v>
      </c>
      <c r="C583" s="2" t="s">
        <v>1492</v>
      </c>
      <c r="D583" s="2"/>
      <c r="E583" s="2" t="s">
        <v>29</v>
      </c>
      <c r="F583" s="3" t="n">
        <v>0.000337</v>
      </c>
      <c r="G583" s="3" t="n">
        <f aca="false">SUM($F$2:F583)</f>
        <v>0.722637</v>
      </c>
      <c r="H583" s="4"/>
      <c r="I583" s="5"/>
      <c r="J583" s="4"/>
      <c r="K583" s="5"/>
      <c r="L583" s="6"/>
      <c r="M583" s="5" t="str">
        <f aca="false">IF(AND(N(K583)&gt;0,N(L583)&gt;0),K583/L583,"")</f>
        <v/>
      </c>
      <c r="N583" s="2" t="s">
        <v>1226</v>
      </c>
    </row>
    <row r="584" customFormat="false" ht="15" hidden="false" customHeight="false" outlineLevel="0" collapsed="false">
      <c r="A584" s="2" t="n">
        <v>583</v>
      </c>
      <c r="B584" s="2" t="s">
        <v>1493</v>
      </c>
      <c r="C584" s="2" t="s">
        <v>1494</v>
      </c>
      <c r="D584" s="2"/>
      <c r="E584" s="2" t="s">
        <v>48</v>
      </c>
      <c r="F584" s="3" t="n">
        <v>0.000337</v>
      </c>
      <c r="G584" s="3" t="n">
        <f aca="false">SUM($F$2:F584)</f>
        <v>0.722974</v>
      </c>
      <c r="H584" s="4"/>
      <c r="I584" s="5"/>
      <c r="J584" s="4"/>
      <c r="K584" s="5"/>
      <c r="L584" s="6"/>
      <c r="M584" s="5" t="str">
        <f aca="false">IF(AND(N(K584)&gt;0,N(L584)&gt;0),K584/L584,"")</f>
        <v/>
      </c>
      <c r="N584" s="2" t="s">
        <v>1226</v>
      </c>
    </row>
    <row r="585" customFormat="false" ht="15" hidden="false" customHeight="false" outlineLevel="0" collapsed="false">
      <c r="A585" s="2" t="n">
        <v>584</v>
      </c>
      <c r="B585" s="2" t="s">
        <v>1495</v>
      </c>
      <c r="C585" s="2" t="s">
        <v>1496</v>
      </c>
      <c r="D585" s="2"/>
      <c r="E585" s="2" t="s">
        <v>48</v>
      </c>
      <c r="F585" s="3" t="n">
        <v>0.000337</v>
      </c>
      <c r="G585" s="3" t="n">
        <f aca="false">SUM($F$2:F585)</f>
        <v>0.723311</v>
      </c>
      <c r="H585" s="4"/>
      <c r="I585" s="5"/>
      <c r="J585" s="4"/>
      <c r="K585" s="5"/>
      <c r="L585" s="6"/>
      <c r="M585" s="5" t="str">
        <f aca="false">IF(AND(N(K585)&gt;0,N(L585)&gt;0),K585/L585,"")</f>
        <v/>
      </c>
      <c r="N585" s="2" t="s">
        <v>1226</v>
      </c>
    </row>
    <row r="586" customFormat="false" ht="15" hidden="false" customHeight="false" outlineLevel="0" collapsed="false">
      <c r="A586" s="2" t="n">
        <v>585</v>
      </c>
      <c r="B586" s="2" t="s">
        <v>1497</v>
      </c>
      <c r="C586" s="2" t="s">
        <v>1498</v>
      </c>
      <c r="D586" s="2"/>
      <c r="E586" s="2" t="s">
        <v>43</v>
      </c>
      <c r="F586" s="3" t="n">
        <v>0.000336</v>
      </c>
      <c r="G586" s="3" t="n">
        <f aca="false">SUM($F$2:F586)</f>
        <v>0.723647</v>
      </c>
      <c r="H586" s="4"/>
      <c r="I586" s="5"/>
      <c r="J586" s="4"/>
      <c r="K586" s="5"/>
      <c r="L586" s="6"/>
      <c r="M586" s="5" t="str">
        <f aca="false">IF(AND(N(K586)&gt;0,N(L586)&gt;0),K586/L586,"")</f>
        <v/>
      </c>
      <c r="N586" s="2" t="s">
        <v>1226</v>
      </c>
    </row>
    <row r="587" customFormat="false" ht="15" hidden="false" customHeight="false" outlineLevel="0" collapsed="false">
      <c r="A587" s="2" t="n">
        <v>586</v>
      </c>
      <c r="B587" s="2" t="s">
        <v>1499</v>
      </c>
      <c r="C587" s="2" t="s">
        <v>1500</v>
      </c>
      <c r="D587" s="2"/>
      <c r="E587" s="2" t="s">
        <v>167</v>
      </c>
      <c r="F587" s="3" t="n">
        <v>0.000336</v>
      </c>
      <c r="G587" s="3" t="n">
        <f aca="false">SUM($F$2:F587)</f>
        <v>0.723983</v>
      </c>
      <c r="H587" s="4"/>
      <c r="I587" s="5"/>
      <c r="J587" s="4"/>
      <c r="K587" s="5"/>
      <c r="L587" s="6"/>
      <c r="M587" s="5" t="str">
        <f aca="false">IF(AND(N(K587)&gt;0,N(L587)&gt;0),K587/L587,"")</f>
        <v/>
      </c>
      <c r="N587" s="2" t="s">
        <v>1226</v>
      </c>
    </row>
    <row r="588" customFormat="false" ht="15" hidden="false" customHeight="false" outlineLevel="0" collapsed="false">
      <c r="A588" s="2" t="n">
        <v>587</v>
      </c>
      <c r="B588" s="2" t="s">
        <v>1501</v>
      </c>
      <c r="C588" s="2" t="s">
        <v>1502</v>
      </c>
      <c r="D588" s="2"/>
      <c r="E588" s="2" t="s">
        <v>826</v>
      </c>
      <c r="F588" s="3" t="n">
        <v>0.000334</v>
      </c>
      <c r="G588" s="3" t="n">
        <f aca="false">SUM($F$2:F588)</f>
        <v>0.724317</v>
      </c>
      <c r="H588" s="4"/>
      <c r="I588" s="5"/>
      <c r="J588" s="4"/>
      <c r="K588" s="5"/>
      <c r="L588" s="6"/>
      <c r="M588" s="5" t="str">
        <f aca="false">IF(AND(N(K588)&gt;0,N(L588)&gt;0),K588/L588,"")</f>
        <v/>
      </c>
      <c r="N588" s="2" t="s">
        <v>1226</v>
      </c>
    </row>
    <row r="589" customFormat="false" ht="15" hidden="false" customHeight="false" outlineLevel="0" collapsed="false">
      <c r="A589" s="2" t="n">
        <v>588</v>
      </c>
      <c r="B589" s="2" t="s">
        <v>1503</v>
      </c>
      <c r="C589" s="2" t="s">
        <v>1504</v>
      </c>
      <c r="D589" s="2"/>
      <c r="E589" s="2" t="s">
        <v>199</v>
      </c>
      <c r="F589" s="3" t="n">
        <v>0.000334</v>
      </c>
      <c r="G589" s="3" t="n">
        <f aca="false">SUM($F$2:F589)</f>
        <v>0.724651</v>
      </c>
      <c r="H589" s="4"/>
      <c r="I589" s="5"/>
      <c r="J589" s="4"/>
      <c r="K589" s="5"/>
      <c r="L589" s="6"/>
      <c r="M589" s="5" t="str">
        <f aca="false">IF(AND(N(K589)&gt;0,N(L589)&gt;0),K589/L589,"")</f>
        <v/>
      </c>
      <c r="N589" s="2" t="s">
        <v>1226</v>
      </c>
    </row>
    <row r="590" customFormat="false" ht="15" hidden="false" customHeight="false" outlineLevel="0" collapsed="false">
      <c r="A590" s="2" t="n">
        <v>589</v>
      </c>
      <c r="B590" s="2" t="s">
        <v>1505</v>
      </c>
      <c r="C590" s="2" t="s">
        <v>1506</v>
      </c>
      <c r="D590" s="2"/>
      <c r="E590" s="2" t="s">
        <v>1295</v>
      </c>
      <c r="F590" s="3" t="n">
        <v>0.000333</v>
      </c>
      <c r="G590" s="3" t="n">
        <f aca="false">SUM($F$2:F590)</f>
        <v>0.724984</v>
      </c>
      <c r="H590" s="4"/>
      <c r="I590" s="5"/>
      <c r="J590" s="4"/>
      <c r="K590" s="5"/>
      <c r="L590" s="6"/>
      <c r="M590" s="5" t="str">
        <f aca="false">IF(AND(N(K590)&gt;0,N(L590)&gt;0),K590/L590,"")</f>
        <v/>
      </c>
      <c r="N590" s="2" t="s">
        <v>1226</v>
      </c>
    </row>
    <row r="591" customFormat="false" ht="15" hidden="false" customHeight="false" outlineLevel="0" collapsed="false">
      <c r="A591" s="2" t="n">
        <v>590</v>
      </c>
      <c r="B591" s="2" t="s">
        <v>1507</v>
      </c>
      <c r="C591" s="2" t="s">
        <v>1508</v>
      </c>
      <c r="D591" s="2"/>
      <c r="E591" s="2" t="s">
        <v>52</v>
      </c>
      <c r="F591" s="3" t="n">
        <v>0.000333</v>
      </c>
      <c r="G591" s="3" t="n">
        <f aca="false">SUM($F$2:F591)</f>
        <v>0.725317</v>
      </c>
      <c r="H591" s="4"/>
      <c r="I591" s="5"/>
      <c r="J591" s="4"/>
      <c r="K591" s="5"/>
      <c r="L591" s="6"/>
      <c r="M591" s="5" t="str">
        <f aca="false">IF(AND(N(K591)&gt;0,N(L591)&gt;0),K591/L591,"")</f>
        <v/>
      </c>
      <c r="N591" s="2" t="s">
        <v>1226</v>
      </c>
    </row>
    <row r="592" customFormat="false" ht="15" hidden="false" customHeight="false" outlineLevel="0" collapsed="false">
      <c r="A592" s="2" t="n">
        <v>591</v>
      </c>
      <c r="B592" s="2" t="s">
        <v>1509</v>
      </c>
      <c r="C592" s="2" t="s">
        <v>1510</v>
      </c>
      <c r="D592" s="2"/>
      <c r="E592" s="2" t="s">
        <v>334</v>
      </c>
      <c r="F592" s="3" t="n">
        <v>0.000333</v>
      </c>
      <c r="G592" s="3" t="n">
        <f aca="false">SUM($F$2:F592)</f>
        <v>0.72565</v>
      </c>
      <c r="H592" s="4"/>
      <c r="I592" s="5"/>
      <c r="J592" s="4"/>
      <c r="K592" s="5"/>
      <c r="L592" s="6"/>
      <c r="M592" s="5" t="str">
        <f aca="false">IF(AND(N(K592)&gt;0,N(L592)&gt;0),K592/L592,"")</f>
        <v/>
      </c>
      <c r="N592" s="2" t="s">
        <v>1226</v>
      </c>
    </row>
    <row r="593" customFormat="false" ht="15" hidden="false" customHeight="false" outlineLevel="0" collapsed="false">
      <c r="A593" s="2" t="n">
        <v>592</v>
      </c>
      <c r="B593" s="2" t="s">
        <v>1511</v>
      </c>
      <c r="C593" s="2" t="s">
        <v>1512</v>
      </c>
      <c r="D593" s="2"/>
      <c r="E593" s="2" t="s">
        <v>52</v>
      </c>
      <c r="F593" s="3" t="n">
        <v>0.000331</v>
      </c>
      <c r="G593" s="3" t="n">
        <f aca="false">SUM($F$2:F593)</f>
        <v>0.725981</v>
      </c>
      <c r="H593" s="4"/>
      <c r="I593" s="5"/>
      <c r="J593" s="4"/>
      <c r="K593" s="5"/>
      <c r="L593" s="6"/>
      <c r="M593" s="5" t="str">
        <f aca="false">IF(AND(N(K593)&gt;0,N(L593)&gt;0),K593/L593,"")</f>
        <v/>
      </c>
      <c r="N593" s="2" t="s">
        <v>1226</v>
      </c>
    </row>
    <row r="594" customFormat="false" ht="15" hidden="false" customHeight="false" outlineLevel="0" collapsed="false">
      <c r="A594" s="2" t="n">
        <v>593</v>
      </c>
      <c r="B594" s="2" t="s">
        <v>1513</v>
      </c>
      <c r="C594" s="2" t="s">
        <v>1514</v>
      </c>
      <c r="D594" s="2"/>
      <c r="E594" s="2" t="s">
        <v>29</v>
      </c>
      <c r="F594" s="3" t="n">
        <v>0.000331</v>
      </c>
      <c r="G594" s="3" t="n">
        <f aca="false">SUM($F$2:F594)</f>
        <v>0.726312</v>
      </c>
      <c r="H594" s="4"/>
      <c r="I594" s="5"/>
      <c r="J594" s="4"/>
      <c r="K594" s="5"/>
      <c r="L594" s="6"/>
      <c r="M594" s="5" t="str">
        <f aca="false">IF(AND(N(K594)&gt;0,N(L594)&gt;0),K594/L594,"")</f>
        <v/>
      </c>
      <c r="N594" s="2" t="s">
        <v>1226</v>
      </c>
    </row>
    <row r="595" customFormat="false" ht="15" hidden="false" customHeight="false" outlineLevel="0" collapsed="false">
      <c r="A595" s="2" t="n">
        <v>594</v>
      </c>
      <c r="B595" s="2" t="s">
        <v>1515</v>
      </c>
      <c r="C595" s="2" t="s">
        <v>1516</v>
      </c>
      <c r="D595" s="2"/>
      <c r="E595" s="2" t="s">
        <v>29</v>
      </c>
      <c r="F595" s="3" t="n">
        <v>0.00033</v>
      </c>
      <c r="G595" s="3" t="n">
        <f aca="false">SUM($F$2:F595)</f>
        <v>0.726642</v>
      </c>
      <c r="H595" s="4"/>
      <c r="I595" s="5"/>
      <c r="J595" s="4"/>
      <c r="K595" s="5"/>
      <c r="L595" s="6"/>
      <c r="M595" s="5" t="str">
        <f aca="false">IF(AND(N(K595)&gt;0,N(L595)&gt;0),K595/L595,"")</f>
        <v/>
      </c>
      <c r="N595" s="2" t="s">
        <v>1226</v>
      </c>
    </row>
    <row r="596" customFormat="false" ht="15" hidden="false" customHeight="false" outlineLevel="0" collapsed="false">
      <c r="A596" s="2" t="n">
        <v>595</v>
      </c>
      <c r="B596" s="2" t="s">
        <v>1517</v>
      </c>
      <c r="C596" s="2" t="s">
        <v>1518</v>
      </c>
      <c r="D596" s="2"/>
      <c r="E596" s="2" t="s">
        <v>52</v>
      </c>
      <c r="F596" s="3" t="n">
        <v>0.000329</v>
      </c>
      <c r="G596" s="3" t="n">
        <f aca="false">SUM($F$2:F596)</f>
        <v>0.726971</v>
      </c>
      <c r="H596" s="4"/>
      <c r="I596" s="5"/>
      <c r="J596" s="4"/>
      <c r="K596" s="5"/>
      <c r="L596" s="6"/>
      <c r="M596" s="5" t="str">
        <f aca="false">IF(AND(N(K596)&gt;0,N(L596)&gt;0),K596/L596,"")</f>
        <v/>
      </c>
      <c r="N596" s="2" t="s">
        <v>1226</v>
      </c>
    </row>
    <row r="597" customFormat="false" ht="15" hidden="false" customHeight="false" outlineLevel="0" collapsed="false">
      <c r="A597" s="2" t="n">
        <v>596</v>
      </c>
      <c r="B597" s="2" t="s">
        <v>1519</v>
      </c>
      <c r="C597" s="2" t="s">
        <v>1520</v>
      </c>
      <c r="D597" s="2"/>
      <c r="E597" s="2" t="s">
        <v>52</v>
      </c>
      <c r="F597" s="3" t="n">
        <v>0.000328</v>
      </c>
      <c r="G597" s="3" t="n">
        <f aca="false">SUM($F$2:F597)</f>
        <v>0.727299</v>
      </c>
      <c r="H597" s="4"/>
      <c r="I597" s="5"/>
      <c r="J597" s="4"/>
      <c r="K597" s="5"/>
      <c r="L597" s="6"/>
      <c r="M597" s="5" t="str">
        <f aca="false">IF(AND(N(K597)&gt;0,N(L597)&gt;0),K597/L597,"")</f>
        <v/>
      </c>
      <c r="N597" s="2" t="s">
        <v>1226</v>
      </c>
    </row>
    <row r="598" customFormat="false" ht="15" hidden="false" customHeight="false" outlineLevel="0" collapsed="false">
      <c r="A598" s="2" t="n">
        <v>597</v>
      </c>
      <c r="B598" s="2" t="s">
        <v>1521</v>
      </c>
      <c r="C598" s="2" t="s">
        <v>1522</v>
      </c>
      <c r="D598" s="2"/>
      <c r="E598" s="2" t="s">
        <v>25</v>
      </c>
      <c r="F598" s="3" t="n">
        <v>0.000328</v>
      </c>
      <c r="G598" s="3" t="n">
        <f aca="false">SUM($F$2:F598)</f>
        <v>0.727627</v>
      </c>
      <c r="H598" s="4"/>
      <c r="I598" s="5"/>
      <c r="J598" s="4"/>
      <c r="K598" s="5"/>
      <c r="L598" s="6"/>
      <c r="M598" s="5" t="str">
        <f aca="false">IF(AND(N(K598)&gt;0,N(L598)&gt;0),K598/L598,"")</f>
        <v/>
      </c>
      <c r="N598" s="2" t="s">
        <v>1226</v>
      </c>
    </row>
    <row r="599" customFormat="false" ht="15" hidden="false" customHeight="false" outlineLevel="0" collapsed="false">
      <c r="A599" s="2" t="n">
        <v>598</v>
      </c>
      <c r="B599" s="2" t="s">
        <v>1523</v>
      </c>
      <c r="C599" s="2" t="s">
        <v>1524</v>
      </c>
      <c r="D599" s="2"/>
      <c r="E599" s="2" t="s">
        <v>29</v>
      </c>
      <c r="F599" s="3" t="n">
        <v>0.000328</v>
      </c>
      <c r="G599" s="3" t="n">
        <f aca="false">SUM($F$2:F599)</f>
        <v>0.727955</v>
      </c>
      <c r="H599" s="4"/>
      <c r="I599" s="5"/>
      <c r="J599" s="4"/>
      <c r="K599" s="5"/>
      <c r="L599" s="6"/>
      <c r="M599" s="5" t="str">
        <f aca="false">IF(AND(N(K599)&gt;0,N(L599)&gt;0),K599/L599,"")</f>
        <v/>
      </c>
      <c r="N599" s="2" t="s">
        <v>1226</v>
      </c>
    </row>
    <row r="600" customFormat="false" ht="15" hidden="false" customHeight="false" outlineLevel="0" collapsed="false">
      <c r="A600" s="2" t="n">
        <v>599</v>
      </c>
      <c r="B600" s="2" t="s">
        <v>1525</v>
      </c>
      <c r="C600" s="2" t="s">
        <v>1526</v>
      </c>
      <c r="D600" s="2"/>
      <c r="E600" s="2" t="s">
        <v>33</v>
      </c>
      <c r="F600" s="3" t="n">
        <v>0.000327</v>
      </c>
      <c r="G600" s="3" t="n">
        <f aca="false">SUM($F$2:F600)</f>
        <v>0.728282</v>
      </c>
      <c r="H600" s="4"/>
      <c r="I600" s="5"/>
      <c r="J600" s="4"/>
      <c r="K600" s="5"/>
      <c r="L600" s="6"/>
      <c r="M600" s="5" t="str">
        <f aca="false">IF(AND(N(K600)&gt;0,N(L600)&gt;0),K600/L600,"")</f>
        <v/>
      </c>
      <c r="N600" s="2" t="s">
        <v>1226</v>
      </c>
    </row>
    <row r="601" customFormat="false" ht="15" hidden="false" customHeight="false" outlineLevel="0" collapsed="false">
      <c r="A601" s="2" t="n">
        <v>600</v>
      </c>
      <c r="B601" s="2" t="s">
        <v>1527</v>
      </c>
      <c r="C601" s="2" t="s">
        <v>1528</v>
      </c>
      <c r="D601" s="2"/>
      <c r="E601" s="2" t="s">
        <v>82</v>
      </c>
      <c r="F601" s="3" t="n">
        <v>0.000326</v>
      </c>
      <c r="G601" s="3" t="n">
        <f aca="false">SUM($F$2:F601)</f>
        <v>0.728608</v>
      </c>
      <c r="H601" s="4"/>
      <c r="I601" s="5"/>
      <c r="J601" s="4"/>
      <c r="K601" s="5"/>
      <c r="L601" s="6"/>
      <c r="M601" s="5" t="str">
        <f aca="false">IF(AND(N(K601)&gt;0,N(L601)&gt;0),K601/L601,"")</f>
        <v/>
      </c>
      <c r="N601" s="2" t="s">
        <v>1226</v>
      </c>
    </row>
    <row r="602" customFormat="false" ht="15" hidden="false" customHeight="false" outlineLevel="0" collapsed="false">
      <c r="A602" s="2" t="n">
        <v>601</v>
      </c>
      <c r="B602" s="2" t="s">
        <v>1529</v>
      </c>
      <c r="C602" s="2" t="s">
        <v>1530</v>
      </c>
      <c r="D602" s="2"/>
      <c r="E602" s="2" t="s">
        <v>1245</v>
      </c>
      <c r="F602" s="3" t="n">
        <v>0.000326</v>
      </c>
      <c r="G602" s="3" t="n">
        <f aca="false">SUM($F$2:F602)</f>
        <v>0.728934</v>
      </c>
      <c r="H602" s="4"/>
      <c r="I602" s="5"/>
      <c r="J602" s="4"/>
      <c r="K602" s="5"/>
      <c r="L602" s="6"/>
      <c r="M602" s="5" t="str">
        <f aca="false">IF(AND(N(K602)&gt;0,N(L602)&gt;0),K602/L602,"")</f>
        <v/>
      </c>
      <c r="N602" s="2" t="s">
        <v>1226</v>
      </c>
    </row>
    <row r="603" customFormat="false" ht="15" hidden="false" customHeight="false" outlineLevel="0" collapsed="false">
      <c r="A603" s="2" t="n">
        <v>602</v>
      </c>
      <c r="B603" s="2" t="s">
        <v>1531</v>
      </c>
      <c r="C603" s="2" t="s">
        <v>1532</v>
      </c>
      <c r="D603" s="2"/>
      <c r="E603" s="2" t="s">
        <v>289</v>
      </c>
      <c r="F603" s="3" t="n">
        <v>0.000325</v>
      </c>
      <c r="G603" s="3" t="n">
        <f aca="false">SUM($F$2:F603)</f>
        <v>0.729259</v>
      </c>
      <c r="H603" s="4"/>
      <c r="I603" s="5"/>
      <c r="J603" s="4"/>
      <c r="K603" s="5"/>
      <c r="L603" s="6"/>
      <c r="M603" s="5" t="str">
        <f aca="false">IF(AND(N(K603)&gt;0,N(L603)&gt;0),K603/L603,"")</f>
        <v/>
      </c>
      <c r="N603" s="2" t="s">
        <v>1226</v>
      </c>
    </row>
    <row r="604" customFormat="false" ht="15" hidden="false" customHeight="false" outlineLevel="0" collapsed="false">
      <c r="A604" s="2" t="n">
        <v>603</v>
      </c>
      <c r="B604" s="2" t="s">
        <v>1533</v>
      </c>
      <c r="C604" s="2" t="s">
        <v>1534</v>
      </c>
      <c r="D604" s="2"/>
      <c r="E604" s="2" t="s">
        <v>29</v>
      </c>
      <c r="F604" s="3" t="n">
        <v>0.000325</v>
      </c>
      <c r="G604" s="3" t="n">
        <f aca="false">SUM($F$2:F604)</f>
        <v>0.729584</v>
      </c>
      <c r="H604" s="4"/>
      <c r="I604" s="5"/>
      <c r="J604" s="4"/>
      <c r="K604" s="5"/>
      <c r="L604" s="6"/>
      <c r="M604" s="5" t="str">
        <f aca="false">IF(AND(N(K604)&gt;0,N(L604)&gt;0),K604/L604,"")</f>
        <v/>
      </c>
      <c r="N604" s="2" t="s">
        <v>1226</v>
      </c>
    </row>
    <row r="605" customFormat="false" ht="15" hidden="false" customHeight="false" outlineLevel="0" collapsed="false">
      <c r="A605" s="2" t="n">
        <v>604</v>
      </c>
      <c r="B605" s="2" t="s">
        <v>1535</v>
      </c>
      <c r="C605" s="2" t="s">
        <v>1536</v>
      </c>
      <c r="D605" s="2"/>
      <c r="E605" s="2" t="s">
        <v>38</v>
      </c>
      <c r="F605" s="3" t="n">
        <v>0.000325</v>
      </c>
      <c r="G605" s="3" t="n">
        <f aca="false">SUM($F$2:F605)</f>
        <v>0.729909</v>
      </c>
      <c r="H605" s="4"/>
      <c r="I605" s="5"/>
      <c r="J605" s="4"/>
      <c r="K605" s="5"/>
      <c r="L605" s="6"/>
      <c r="M605" s="5" t="str">
        <f aca="false">IF(AND(N(K605)&gt;0,N(L605)&gt;0),K605/L605,"")</f>
        <v/>
      </c>
      <c r="N605" s="2" t="s">
        <v>1226</v>
      </c>
    </row>
    <row r="606" customFormat="false" ht="15" hidden="false" customHeight="false" outlineLevel="0" collapsed="false">
      <c r="A606" s="2" t="n">
        <v>605</v>
      </c>
      <c r="B606" s="2" t="s">
        <v>1537</v>
      </c>
      <c r="C606" s="2" t="s">
        <v>1538</v>
      </c>
      <c r="D606" s="2"/>
      <c r="E606" s="2" t="s">
        <v>29</v>
      </c>
      <c r="F606" s="3" t="n">
        <v>0.000324</v>
      </c>
      <c r="G606" s="3" t="n">
        <f aca="false">SUM($F$2:F606)</f>
        <v>0.730233</v>
      </c>
      <c r="H606" s="4"/>
      <c r="I606" s="5"/>
      <c r="J606" s="4"/>
      <c r="K606" s="5"/>
      <c r="L606" s="6"/>
      <c r="M606" s="5" t="str">
        <f aca="false">IF(AND(N(K606)&gt;0,N(L606)&gt;0),K606/L606,"")</f>
        <v/>
      </c>
      <c r="N606" s="2" t="s">
        <v>1226</v>
      </c>
    </row>
    <row r="607" customFormat="false" ht="15" hidden="false" customHeight="false" outlineLevel="0" collapsed="false">
      <c r="A607" s="2" t="n">
        <v>606</v>
      </c>
      <c r="B607" s="2" t="s">
        <v>1539</v>
      </c>
      <c r="C607" s="2" t="s">
        <v>1540</v>
      </c>
      <c r="D607" s="2"/>
      <c r="E607" s="2" t="s">
        <v>82</v>
      </c>
      <c r="F607" s="3" t="n">
        <v>0.000324</v>
      </c>
      <c r="G607" s="3" t="n">
        <f aca="false">SUM($F$2:F607)</f>
        <v>0.730557</v>
      </c>
      <c r="H607" s="4"/>
      <c r="I607" s="5"/>
      <c r="J607" s="4"/>
      <c r="K607" s="5"/>
      <c r="L607" s="6"/>
      <c r="M607" s="5" t="str">
        <f aca="false">IF(AND(N(K607)&gt;0,N(L607)&gt;0),K607/L607,"")</f>
        <v/>
      </c>
      <c r="N607" s="2" t="s">
        <v>1226</v>
      </c>
    </row>
    <row r="608" customFormat="false" ht="15" hidden="false" customHeight="false" outlineLevel="0" collapsed="false">
      <c r="A608" s="2" t="n">
        <v>607</v>
      </c>
      <c r="B608" s="2" t="s">
        <v>1541</v>
      </c>
      <c r="C608" s="2" t="s">
        <v>1542</v>
      </c>
      <c r="D608" s="2"/>
      <c r="E608" s="2" t="s">
        <v>52</v>
      </c>
      <c r="F608" s="3" t="n">
        <v>0.000324</v>
      </c>
      <c r="G608" s="3" t="n">
        <f aca="false">SUM($F$2:F608)</f>
        <v>0.730881</v>
      </c>
      <c r="H608" s="4"/>
      <c r="I608" s="5"/>
      <c r="J608" s="4"/>
      <c r="K608" s="5"/>
      <c r="L608" s="6"/>
      <c r="M608" s="5" t="str">
        <f aca="false">IF(AND(N(K608)&gt;0,N(L608)&gt;0),K608/L608,"")</f>
        <v/>
      </c>
      <c r="N608" s="2" t="s">
        <v>1226</v>
      </c>
    </row>
    <row r="609" customFormat="false" ht="15" hidden="false" customHeight="false" outlineLevel="0" collapsed="false">
      <c r="A609" s="2" t="n">
        <v>608</v>
      </c>
      <c r="B609" s="2" t="s">
        <v>1543</v>
      </c>
      <c r="C609" s="2" t="s">
        <v>1544</v>
      </c>
      <c r="D609" s="2"/>
      <c r="E609" s="2" t="s">
        <v>334</v>
      </c>
      <c r="F609" s="3" t="n">
        <v>0.000324</v>
      </c>
      <c r="G609" s="3" t="n">
        <f aca="false">SUM($F$2:F609)</f>
        <v>0.731205</v>
      </c>
      <c r="H609" s="4"/>
      <c r="I609" s="5"/>
      <c r="J609" s="4"/>
      <c r="K609" s="5"/>
      <c r="L609" s="6"/>
      <c r="M609" s="5" t="str">
        <f aca="false">IF(AND(N(K609)&gt;0,N(L609)&gt;0),K609/L609,"")</f>
        <v/>
      </c>
      <c r="N609" s="2" t="s">
        <v>1226</v>
      </c>
    </row>
    <row r="610" customFormat="false" ht="15" hidden="false" customHeight="false" outlineLevel="0" collapsed="false">
      <c r="A610" s="2" t="n">
        <v>609</v>
      </c>
      <c r="B610" s="2" t="s">
        <v>1545</v>
      </c>
      <c r="C610" s="2" t="s">
        <v>1546</v>
      </c>
      <c r="D610" s="2"/>
      <c r="E610" s="2" t="s">
        <v>289</v>
      </c>
      <c r="F610" s="3" t="n">
        <v>0.000323</v>
      </c>
      <c r="G610" s="3" t="n">
        <f aca="false">SUM($F$2:F610)</f>
        <v>0.731528</v>
      </c>
      <c r="H610" s="4"/>
      <c r="I610" s="5"/>
      <c r="J610" s="4"/>
      <c r="K610" s="5"/>
      <c r="L610" s="6"/>
      <c r="M610" s="5" t="str">
        <f aca="false">IF(AND(N(K610)&gt;0,N(L610)&gt;0),K610/L610,"")</f>
        <v/>
      </c>
      <c r="N610" s="2" t="s">
        <v>1226</v>
      </c>
    </row>
    <row r="611" customFormat="false" ht="15" hidden="false" customHeight="false" outlineLevel="0" collapsed="false">
      <c r="A611" s="2" t="n">
        <v>610</v>
      </c>
      <c r="B611" s="2" t="s">
        <v>1547</v>
      </c>
      <c r="C611" s="2" t="s">
        <v>1548</v>
      </c>
      <c r="D611" s="2"/>
      <c r="E611" s="2" t="s">
        <v>289</v>
      </c>
      <c r="F611" s="3" t="n">
        <v>0.000323</v>
      </c>
      <c r="G611" s="3" t="n">
        <f aca="false">SUM($F$2:F611)</f>
        <v>0.731851</v>
      </c>
      <c r="H611" s="4"/>
      <c r="I611" s="5"/>
      <c r="J611" s="4"/>
      <c r="K611" s="5"/>
      <c r="L611" s="6"/>
      <c r="M611" s="5" t="str">
        <f aca="false">IF(AND(N(K611)&gt;0,N(L611)&gt;0),K611/L611,"")</f>
        <v/>
      </c>
      <c r="N611" s="2" t="s">
        <v>1226</v>
      </c>
    </row>
    <row r="612" customFormat="false" ht="15" hidden="false" customHeight="false" outlineLevel="0" collapsed="false">
      <c r="A612" s="2" t="n">
        <v>611</v>
      </c>
      <c r="B612" s="2" t="s">
        <v>1549</v>
      </c>
      <c r="C612" s="2" t="s">
        <v>1550</v>
      </c>
      <c r="D612" s="2"/>
      <c r="E612" s="2" t="s">
        <v>52</v>
      </c>
      <c r="F612" s="3" t="n">
        <v>0.000323</v>
      </c>
      <c r="G612" s="3" t="n">
        <f aca="false">SUM($F$2:F612)</f>
        <v>0.732174</v>
      </c>
      <c r="H612" s="4"/>
      <c r="I612" s="5"/>
      <c r="J612" s="4"/>
      <c r="K612" s="5"/>
      <c r="L612" s="6"/>
      <c r="M612" s="5" t="str">
        <f aca="false">IF(AND(N(K612)&gt;0,N(L612)&gt;0),K612/L612,"")</f>
        <v/>
      </c>
      <c r="N612" s="2" t="s">
        <v>1226</v>
      </c>
    </row>
    <row r="613" customFormat="false" ht="15" hidden="false" customHeight="false" outlineLevel="0" collapsed="false">
      <c r="A613" s="2" t="n">
        <v>612</v>
      </c>
      <c r="B613" s="2" t="s">
        <v>1551</v>
      </c>
      <c r="C613" s="2" t="s">
        <v>1552</v>
      </c>
      <c r="D613" s="2"/>
      <c r="E613" s="2" t="s">
        <v>29</v>
      </c>
      <c r="F613" s="3" t="n">
        <v>0.000323</v>
      </c>
      <c r="G613" s="3" t="n">
        <f aca="false">SUM($F$2:F613)</f>
        <v>0.732497</v>
      </c>
      <c r="H613" s="4"/>
      <c r="I613" s="5"/>
      <c r="J613" s="4"/>
      <c r="K613" s="5"/>
      <c r="L613" s="6"/>
      <c r="M613" s="5" t="str">
        <f aca="false">IF(AND(N(K613)&gt;0,N(L613)&gt;0),K613/L613,"")</f>
        <v/>
      </c>
      <c r="N613" s="2" t="s">
        <v>1226</v>
      </c>
    </row>
    <row r="614" customFormat="false" ht="15" hidden="false" customHeight="false" outlineLevel="0" collapsed="false">
      <c r="A614" s="2" t="n">
        <v>613</v>
      </c>
      <c r="B614" s="2" t="s">
        <v>1553</v>
      </c>
      <c r="C614" s="2" t="s">
        <v>1554</v>
      </c>
      <c r="D614" s="2"/>
      <c r="E614" s="2" t="s">
        <v>29</v>
      </c>
      <c r="F614" s="3" t="n">
        <v>0.000321</v>
      </c>
      <c r="G614" s="3" t="n">
        <f aca="false">SUM($F$2:F614)</f>
        <v>0.732818</v>
      </c>
      <c r="H614" s="4"/>
      <c r="I614" s="5"/>
      <c r="J614" s="4"/>
      <c r="K614" s="5"/>
      <c r="L614" s="6"/>
      <c r="M614" s="5" t="str">
        <f aca="false">IF(AND(N(K614)&gt;0,N(L614)&gt;0),K614/L614,"")</f>
        <v/>
      </c>
      <c r="N614" s="2" t="s">
        <v>1226</v>
      </c>
    </row>
    <row r="615" customFormat="false" ht="15" hidden="false" customHeight="false" outlineLevel="0" collapsed="false">
      <c r="A615" s="2" t="n">
        <v>614</v>
      </c>
      <c r="B615" s="2" t="s">
        <v>1555</v>
      </c>
      <c r="C615" s="2" t="s">
        <v>1556</v>
      </c>
      <c r="D615" s="2"/>
      <c r="E615" s="2" t="s">
        <v>48</v>
      </c>
      <c r="F615" s="3" t="n">
        <v>0.000321</v>
      </c>
      <c r="G615" s="3" t="n">
        <f aca="false">SUM($F$2:F615)</f>
        <v>0.733139</v>
      </c>
      <c r="H615" s="4"/>
      <c r="I615" s="5"/>
      <c r="J615" s="4"/>
      <c r="K615" s="5"/>
      <c r="L615" s="6"/>
      <c r="M615" s="5" t="str">
        <f aca="false">IF(AND(N(K615)&gt;0,N(L615)&gt;0),K615/L615,"")</f>
        <v/>
      </c>
      <c r="N615" s="2" t="s">
        <v>1226</v>
      </c>
    </row>
    <row r="616" customFormat="false" ht="15" hidden="false" customHeight="false" outlineLevel="0" collapsed="false">
      <c r="A616" s="2" t="n">
        <v>615</v>
      </c>
      <c r="B616" s="2" t="s">
        <v>1557</v>
      </c>
      <c r="C616" s="2" t="s">
        <v>1558</v>
      </c>
      <c r="D616" s="2"/>
      <c r="E616" s="2" t="s">
        <v>826</v>
      </c>
      <c r="F616" s="3" t="n">
        <v>0.00032</v>
      </c>
      <c r="G616" s="3" t="n">
        <f aca="false">SUM($F$2:F616)</f>
        <v>0.733459</v>
      </c>
      <c r="H616" s="4"/>
      <c r="I616" s="5"/>
      <c r="J616" s="4"/>
      <c r="K616" s="5"/>
      <c r="L616" s="6"/>
      <c r="M616" s="5" t="str">
        <f aca="false">IF(AND(N(K616)&gt;0,N(L616)&gt;0),K616/L616,"")</f>
        <v/>
      </c>
      <c r="N616" s="2" t="s">
        <v>1226</v>
      </c>
    </row>
    <row r="617" customFormat="false" ht="15" hidden="false" customHeight="false" outlineLevel="0" collapsed="false">
      <c r="A617" s="2" t="n">
        <v>616</v>
      </c>
      <c r="B617" s="2" t="s">
        <v>1559</v>
      </c>
      <c r="C617" s="2" t="s">
        <v>1560</v>
      </c>
      <c r="D617" s="2"/>
      <c r="E617" s="2" t="s">
        <v>289</v>
      </c>
      <c r="F617" s="3" t="n">
        <v>0.000319</v>
      </c>
      <c r="G617" s="3" t="n">
        <f aca="false">SUM($F$2:F617)</f>
        <v>0.733778</v>
      </c>
      <c r="H617" s="4"/>
      <c r="I617" s="5"/>
      <c r="J617" s="4"/>
      <c r="K617" s="5"/>
      <c r="L617" s="6"/>
      <c r="M617" s="5" t="str">
        <f aca="false">IF(AND(N(K617)&gt;0,N(L617)&gt;0),K617/L617,"")</f>
        <v/>
      </c>
      <c r="N617" s="2" t="s">
        <v>1226</v>
      </c>
    </row>
    <row r="618" customFormat="false" ht="15" hidden="false" customHeight="false" outlineLevel="0" collapsed="false">
      <c r="A618" s="2" t="n">
        <v>617</v>
      </c>
      <c r="B618" s="2" t="s">
        <v>1561</v>
      </c>
      <c r="C618" s="2" t="s">
        <v>1562</v>
      </c>
      <c r="D618" s="2"/>
      <c r="E618" s="2" t="s">
        <v>43</v>
      </c>
      <c r="F618" s="3" t="n">
        <v>0.000317</v>
      </c>
      <c r="G618" s="3" t="n">
        <f aca="false">SUM($F$2:F618)</f>
        <v>0.734095</v>
      </c>
      <c r="H618" s="4"/>
      <c r="I618" s="5"/>
      <c r="J618" s="4"/>
      <c r="K618" s="5"/>
      <c r="L618" s="6"/>
      <c r="M618" s="5" t="str">
        <f aca="false">IF(AND(N(K618)&gt;0,N(L618)&gt;0),K618/L618,"")</f>
        <v/>
      </c>
      <c r="N618" s="2" t="s">
        <v>1226</v>
      </c>
    </row>
    <row r="619" customFormat="false" ht="15" hidden="false" customHeight="false" outlineLevel="0" collapsed="false">
      <c r="A619" s="2" t="n">
        <v>618</v>
      </c>
      <c r="B619" s="2" t="s">
        <v>1563</v>
      </c>
      <c r="C619" s="2" t="s">
        <v>1564</v>
      </c>
      <c r="D619" s="2"/>
      <c r="E619" s="2" t="s">
        <v>48</v>
      </c>
      <c r="F619" s="3" t="n">
        <v>0.000316</v>
      </c>
      <c r="G619" s="3" t="n">
        <f aca="false">SUM($F$2:F619)</f>
        <v>0.734411</v>
      </c>
      <c r="H619" s="4"/>
      <c r="I619" s="5"/>
      <c r="J619" s="4"/>
      <c r="K619" s="5"/>
      <c r="L619" s="6"/>
      <c r="M619" s="5" t="str">
        <f aca="false">IF(AND(N(K619)&gt;0,N(L619)&gt;0),K619/L619,"")</f>
        <v/>
      </c>
      <c r="N619" s="2" t="s">
        <v>1226</v>
      </c>
    </row>
    <row r="620" customFormat="false" ht="15" hidden="false" customHeight="false" outlineLevel="0" collapsed="false">
      <c r="A620" s="2" t="n">
        <v>619</v>
      </c>
      <c r="B620" s="2" t="s">
        <v>1565</v>
      </c>
      <c r="C620" s="2" t="s">
        <v>1566</v>
      </c>
      <c r="D620" s="2"/>
      <c r="E620" s="2" t="s">
        <v>289</v>
      </c>
      <c r="F620" s="3" t="n">
        <v>0.000316</v>
      </c>
      <c r="G620" s="3" t="n">
        <f aca="false">SUM($F$2:F620)</f>
        <v>0.734727</v>
      </c>
      <c r="H620" s="4"/>
      <c r="I620" s="5"/>
      <c r="J620" s="4"/>
      <c r="K620" s="5"/>
      <c r="L620" s="6"/>
      <c r="M620" s="5" t="str">
        <f aca="false">IF(AND(N(K620)&gt;0,N(L620)&gt;0),K620/L620,"")</f>
        <v/>
      </c>
      <c r="N620" s="2" t="s">
        <v>1226</v>
      </c>
    </row>
    <row r="621" customFormat="false" ht="15" hidden="false" customHeight="false" outlineLevel="0" collapsed="false">
      <c r="A621" s="2" t="n">
        <v>620</v>
      </c>
      <c r="B621" s="2" t="s">
        <v>1567</v>
      </c>
      <c r="C621" s="2" t="s">
        <v>1568</v>
      </c>
      <c r="D621" s="2"/>
      <c r="E621" s="2" t="s">
        <v>614</v>
      </c>
      <c r="F621" s="3" t="n">
        <v>0.000316</v>
      </c>
      <c r="G621" s="3" t="n">
        <f aca="false">SUM($F$2:F621)</f>
        <v>0.735043</v>
      </c>
      <c r="H621" s="4"/>
      <c r="I621" s="5"/>
      <c r="J621" s="4"/>
      <c r="K621" s="5"/>
      <c r="L621" s="6"/>
      <c r="M621" s="5" t="str">
        <f aca="false">IF(AND(N(K621)&gt;0,N(L621)&gt;0),K621/L621,"")</f>
        <v/>
      </c>
      <c r="N621" s="2" t="s">
        <v>1226</v>
      </c>
    </row>
    <row r="622" customFormat="false" ht="15" hidden="false" customHeight="false" outlineLevel="0" collapsed="false">
      <c r="A622" s="2" t="n">
        <v>621</v>
      </c>
      <c r="B622" s="2" t="s">
        <v>1569</v>
      </c>
      <c r="C622" s="2" t="s">
        <v>1570</v>
      </c>
      <c r="D622" s="2"/>
      <c r="E622" s="2" t="s">
        <v>25</v>
      </c>
      <c r="F622" s="3" t="n">
        <v>0.000315</v>
      </c>
      <c r="G622" s="3" t="n">
        <f aca="false">SUM($F$2:F622)</f>
        <v>0.735358</v>
      </c>
      <c r="H622" s="4"/>
      <c r="I622" s="5"/>
      <c r="J622" s="4"/>
      <c r="K622" s="5"/>
      <c r="L622" s="6"/>
      <c r="M622" s="5" t="str">
        <f aca="false">IF(AND(N(K622)&gt;0,N(L622)&gt;0),K622/L622,"")</f>
        <v/>
      </c>
      <c r="N622" s="2" t="s">
        <v>1226</v>
      </c>
    </row>
    <row r="623" customFormat="false" ht="15" hidden="false" customHeight="false" outlineLevel="0" collapsed="false">
      <c r="A623" s="2" t="n">
        <v>622</v>
      </c>
      <c r="B623" s="2" t="s">
        <v>1571</v>
      </c>
      <c r="C623" s="2" t="s">
        <v>1572</v>
      </c>
      <c r="D623" s="2"/>
      <c r="E623" s="2" t="s">
        <v>17</v>
      </c>
      <c r="F623" s="3" t="n">
        <v>0.000315</v>
      </c>
      <c r="G623" s="3" t="n">
        <f aca="false">SUM($F$2:F623)</f>
        <v>0.735673</v>
      </c>
      <c r="H623" s="4"/>
      <c r="I623" s="5"/>
      <c r="J623" s="4"/>
      <c r="K623" s="5"/>
      <c r="L623" s="6"/>
      <c r="M623" s="5" t="str">
        <f aca="false">IF(AND(N(K623)&gt;0,N(L623)&gt;0),K623/L623,"")</f>
        <v/>
      </c>
      <c r="N623" s="2" t="s">
        <v>1226</v>
      </c>
    </row>
    <row r="624" customFormat="false" ht="15" hidden="false" customHeight="false" outlineLevel="0" collapsed="false">
      <c r="A624" s="2" t="n">
        <v>623</v>
      </c>
      <c r="B624" s="2" t="s">
        <v>1573</v>
      </c>
      <c r="C624" s="2" t="s">
        <v>1574</v>
      </c>
      <c r="D624" s="2"/>
      <c r="E624" s="2" t="s">
        <v>48</v>
      </c>
      <c r="F624" s="3" t="n">
        <v>0.000313</v>
      </c>
      <c r="G624" s="3" t="n">
        <f aca="false">SUM($F$2:F624)</f>
        <v>0.735986</v>
      </c>
      <c r="H624" s="4"/>
      <c r="I624" s="5"/>
      <c r="J624" s="4"/>
      <c r="K624" s="5"/>
      <c r="L624" s="6"/>
      <c r="M624" s="5" t="str">
        <f aca="false">IF(AND(N(K624)&gt;0,N(L624)&gt;0),K624/L624,"")</f>
        <v/>
      </c>
      <c r="N624" s="2" t="s">
        <v>1226</v>
      </c>
    </row>
    <row r="625" customFormat="false" ht="15" hidden="false" customHeight="false" outlineLevel="0" collapsed="false">
      <c r="A625" s="2" t="n">
        <v>624</v>
      </c>
      <c r="B625" s="2" t="s">
        <v>1575</v>
      </c>
      <c r="C625" s="2" t="s">
        <v>1576</v>
      </c>
      <c r="D625" s="2"/>
      <c r="E625" s="2" t="s">
        <v>38</v>
      </c>
      <c r="F625" s="3" t="n">
        <v>0.000313</v>
      </c>
      <c r="G625" s="3" t="n">
        <f aca="false">SUM($F$2:F625)</f>
        <v>0.736299</v>
      </c>
      <c r="H625" s="4"/>
      <c r="I625" s="5"/>
      <c r="J625" s="4"/>
      <c r="K625" s="5"/>
      <c r="L625" s="6"/>
      <c r="M625" s="5" t="str">
        <f aca="false">IF(AND(N(K625)&gt;0,N(L625)&gt;0),K625/L625,"")</f>
        <v/>
      </c>
      <c r="N625" s="2" t="s">
        <v>1226</v>
      </c>
    </row>
    <row r="626" customFormat="false" ht="15" hidden="false" customHeight="false" outlineLevel="0" collapsed="false">
      <c r="A626" s="2" t="n">
        <v>625</v>
      </c>
      <c r="B626" s="2" t="s">
        <v>1339</v>
      </c>
      <c r="C626" s="2" t="s">
        <v>1577</v>
      </c>
      <c r="D626" s="2"/>
      <c r="E626" s="2" t="s">
        <v>48</v>
      </c>
      <c r="F626" s="3" t="n">
        <v>0.000313</v>
      </c>
      <c r="G626" s="3" t="n">
        <f aca="false">SUM($F$2:F626)</f>
        <v>0.736612</v>
      </c>
      <c r="H626" s="4"/>
      <c r="I626" s="5"/>
      <c r="J626" s="4"/>
      <c r="K626" s="5"/>
      <c r="L626" s="6"/>
      <c r="M626" s="5" t="str">
        <f aca="false">IF(AND(N(K626)&gt;0,N(L626)&gt;0),K626/L626,"")</f>
        <v/>
      </c>
      <c r="N626" s="2" t="s">
        <v>1226</v>
      </c>
    </row>
    <row r="627" customFormat="false" ht="15" hidden="false" customHeight="false" outlineLevel="0" collapsed="false">
      <c r="A627" s="2" t="n">
        <v>626</v>
      </c>
      <c r="B627" s="2" t="s">
        <v>1578</v>
      </c>
      <c r="C627" s="2" t="s">
        <v>1579</v>
      </c>
      <c r="D627" s="2"/>
      <c r="E627" s="2" t="s">
        <v>48</v>
      </c>
      <c r="F627" s="3" t="n">
        <v>0.000313</v>
      </c>
      <c r="G627" s="3" t="n">
        <f aca="false">SUM($F$2:F627)</f>
        <v>0.736925</v>
      </c>
      <c r="H627" s="4"/>
      <c r="I627" s="5"/>
      <c r="J627" s="4"/>
      <c r="K627" s="5"/>
      <c r="L627" s="6"/>
      <c r="M627" s="5" t="str">
        <f aca="false">IF(AND(N(K627)&gt;0,N(L627)&gt;0),K627/L627,"")</f>
        <v/>
      </c>
      <c r="N627" s="2" t="s">
        <v>1226</v>
      </c>
    </row>
    <row r="628" customFormat="false" ht="15" hidden="false" customHeight="false" outlineLevel="0" collapsed="false">
      <c r="A628" s="2" t="n">
        <v>627</v>
      </c>
      <c r="B628" s="2" t="s">
        <v>1580</v>
      </c>
      <c r="C628" s="2" t="s">
        <v>1581</v>
      </c>
      <c r="D628" s="2"/>
      <c r="E628" s="2" t="s">
        <v>82</v>
      </c>
      <c r="F628" s="3" t="n">
        <v>0.000313</v>
      </c>
      <c r="G628" s="3" t="n">
        <f aca="false">SUM($F$2:F628)</f>
        <v>0.737238</v>
      </c>
      <c r="H628" s="4"/>
      <c r="I628" s="5"/>
      <c r="J628" s="4"/>
      <c r="K628" s="5"/>
      <c r="L628" s="6"/>
      <c r="M628" s="5" t="str">
        <f aca="false">IF(AND(N(K628)&gt;0,N(L628)&gt;0),K628/L628,"")</f>
        <v/>
      </c>
      <c r="N628" s="2" t="s">
        <v>1226</v>
      </c>
    </row>
    <row r="629" customFormat="false" ht="15" hidden="false" customHeight="false" outlineLevel="0" collapsed="false">
      <c r="A629" s="2" t="n">
        <v>628</v>
      </c>
      <c r="B629" s="2" t="s">
        <v>1582</v>
      </c>
      <c r="C629" s="2" t="s">
        <v>1583</v>
      </c>
      <c r="D629" s="2"/>
      <c r="E629" s="2" t="s">
        <v>614</v>
      </c>
      <c r="F629" s="3" t="n">
        <v>0.000313</v>
      </c>
      <c r="G629" s="3" t="n">
        <f aca="false">SUM($F$2:F629)</f>
        <v>0.737551</v>
      </c>
      <c r="H629" s="4"/>
      <c r="I629" s="5"/>
      <c r="J629" s="4"/>
      <c r="K629" s="5"/>
      <c r="L629" s="6"/>
      <c r="M629" s="5" t="str">
        <f aca="false">IF(AND(N(K629)&gt;0,N(L629)&gt;0),K629/L629,"")</f>
        <v/>
      </c>
      <c r="N629" s="2" t="s">
        <v>1226</v>
      </c>
    </row>
    <row r="630" customFormat="false" ht="15" hidden="false" customHeight="false" outlineLevel="0" collapsed="false">
      <c r="A630" s="2" t="n">
        <v>629</v>
      </c>
      <c r="B630" s="2" t="s">
        <v>1584</v>
      </c>
      <c r="C630" s="2" t="s">
        <v>1585</v>
      </c>
      <c r="D630" s="2"/>
      <c r="E630" s="2" t="s">
        <v>173</v>
      </c>
      <c r="F630" s="3" t="n">
        <v>0.000312</v>
      </c>
      <c r="G630" s="3" t="n">
        <f aca="false">SUM($F$2:F630)</f>
        <v>0.737863</v>
      </c>
      <c r="H630" s="4"/>
      <c r="I630" s="5"/>
      <c r="J630" s="4"/>
      <c r="K630" s="5"/>
      <c r="L630" s="6"/>
      <c r="M630" s="5" t="str">
        <f aca="false">IF(AND(N(K630)&gt;0,N(L630)&gt;0),K630/L630,"")</f>
        <v/>
      </c>
      <c r="N630" s="2" t="s">
        <v>1226</v>
      </c>
    </row>
    <row r="631" customFormat="false" ht="15" hidden="false" customHeight="false" outlineLevel="0" collapsed="false">
      <c r="A631" s="2" t="n">
        <v>630</v>
      </c>
      <c r="B631" s="2" t="s">
        <v>1586</v>
      </c>
      <c r="C631" s="2" t="s">
        <v>1587</v>
      </c>
      <c r="D631" s="2"/>
      <c r="E631" s="2" t="s">
        <v>1588</v>
      </c>
      <c r="F631" s="3" t="n">
        <v>0.000312</v>
      </c>
      <c r="G631" s="3" t="n">
        <f aca="false">SUM($F$2:F631)</f>
        <v>0.738175</v>
      </c>
      <c r="H631" s="4"/>
      <c r="I631" s="5"/>
      <c r="J631" s="4"/>
      <c r="K631" s="5"/>
      <c r="L631" s="6"/>
      <c r="M631" s="5" t="str">
        <f aca="false">IF(AND(N(K631)&gt;0,N(L631)&gt;0),K631/L631,"")</f>
        <v/>
      </c>
      <c r="N631" s="2" t="s">
        <v>1226</v>
      </c>
    </row>
    <row r="632" customFormat="false" ht="15" hidden="false" customHeight="false" outlineLevel="0" collapsed="false">
      <c r="A632" s="2" t="n">
        <v>631</v>
      </c>
      <c r="B632" s="2" t="s">
        <v>1589</v>
      </c>
      <c r="C632" s="2" t="s">
        <v>1590</v>
      </c>
      <c r="D632" s="2"/>
      <c r="E632" s="2" t="s">
        <v>29</v>
      </c>
      <c r="F632" s="3" t="n">
        <v>0.000311</v>
      </c>
      <c r="G632" s="3" t="n">
        <f aca="false">SUM($F$2:F632)</f>
        <v>0.738486</v>
      </c>
      <c r="H632" s="4"/>
      <c r="I632" s="5"/>
      <c r="J632" s="4"/>
      <c r="K632" s="5"/>
      <c r="L632" s="6"/>
      <c r="M632" s="5" t="str">
        <f aca="false">IF(AND(N(K632)&gt;0,N(L632)&gt;0),K632/L632,"")</f>
        <v/>
      </c>
      <c r="N632" s="2" t="s">
        <v>1226</v>
      </c>
    </row>
    <row r="633" customFormat="false" ht="15" hidden="false" customHeight="false" outlineLevel="0" collapsed="false">
      <c r="A633" s="2" t="n">
        <v>632</v>
      </c>
      <c r="B633" s="2" t="s">
        <v>1591</v>
      </c>
      <c r="C633" s="2" t="s">
        <v>1592</v>
      </c>
      <c r="D633" s="2"/>
      <c r="E633" s="2" t="s">
        <v>33</v>
      </c>
      <c r="F633" s="3" t="n">
        <v>0.000311</v>
      </c>
      <c r="G633" s="3" t="n">
        <f aca="false">SUM($F$2:F633)</f>
        <v>0.738797</v>
      </c>
      <c r="H633" s="4"/>
      <c r="I633" s="5"/>
      <c r="J633" s="4"/>
      <c r="K633" s="5"/>
      <c r="L633" s="6"/>
      <c r="M633" s="5" t="str">
        <f aca="false">IF(AND(N(K633)&gt;0,N(L633)&gt;0),K633/L633,"")</f>
        <v/>
      </c>
      <c r="N633" s="2" t="s">
        <v>1226</v>
      </c>
    </row>
    <row r="634" customFormat="false" ht="15" hidden="false" customHeight="false" outlineLevel="0" collapsed="false">
      <c r="A634" s="2" t="n">
        <v>633</v>
      </c>
      <c r="B634" s="2" t="s">
        <v>1593</v>
      </c>
      <c r="C634" s="2" t="s">
        <v>1594</v>
      </c>
      <c r="D634" s="2"/>
      <c r="E634" s="2" t="s">
        <v>52</v>
      </c>
      <c r="F634" s="3" t="n">
        <v>0.000311</v>
      </c>
      <c r="G634" s="3" t="n">
        <f aca="false">SUM($F$2:F634)</f>
        <v>0.739108</v>
      </c>
      <c r="H634" s="4"/>
      <c r="I634" s="5"/>
      <c r="J634" s="4"/>
      <c r="K634" s="5"/>
      <c r="L634" s="6"/>
      <c r="M634" s="5" t="str">
        <f aca="false">IF(AND(N(K634)&gt;0,N(L634)&gt;0),K634/L634,"")</f>
        <v/>
      </c>
      <c r="N634" s="2" t="s">
        <v>1226</v>
      </c>
    </row>
    <row r="635" customFormat="false" ht="15" hidden="false" customHeight="false" outlineLevel="0" collapsed="false">
      <c r="A635" s="2" t="n">
        <v>634</v>
      </c>
      <c r="B635" s="2" t="s">
        <v>1595</v>
      </c>
      <c r="C635" s="2" t="s">
        <v>1596</v>
      </c>
      <c r="D635" s="2"/>
      <c r="E635" s="2" t="s">
        <v>1345</v>
      </c>
      <c r="F635" s="3" t="n">
        <v>0.00031</v>
      </c>
      <c r="G635" s="3" t="n">
        <f aca="false">SUM($F$2:F635)</f>
        <v>0.739418</v>
      </c>
      <c r="H635" s="4"/>
      <c r="I635" s="5"/>
      <c r="J635" s="4"/>
      <c r="K635" s="5"/>
      <c r="L635" s="6"/>
      <c r="M635" s="5" t="str">
        <f aca="false">IF(AND(N(K635)&gt;0,N(L635)&gt;0),K635/L635,"")</f>
        <v/>
      </c>
      <c r="N635" s="2" t="s">
        <v>1226</v>
      </c>
    </row>
    <row r="636" customFormat="false" ht="15" hidden="false" customHeight="false" outlineLevel="0" collapsed="false">
      <c r="A636" s="2" t="n">
        <v>635</v>
      </c>
      <c r="B636" s="2" t="s">
        <v>1339</v>
      </c>
      <c r="C636" s="2" t="s">
        <v>1597</v>
      </c>
      <c r="D636" s="2"/>
      <c r="E636" s="2" t="s">
        <v>33</v>
      </c>
      <c r="F636" s="3" t="n">
        <v>0.000309</v>
      </c>
      <c r="G636" s="3" t="n">
        <f aca="false">SUM($F$2:F636)</f>
        <v>0.739727</v>
      </c>
      <c r="H636" s="4"/>
      <c r="I636" s="5"/>
      <c r="J636" s="4"/>
      <c r="K636" s="5"/>
      <c r="L636" s="6"/>
      <c r="M636" s="5" t="str">
        <f aca="false">IF(AND(N(K636)&gt;0,N(L636)&gt;0),K636/L636,"")</f>
        <v/>
      </c>
      <c r="N636" s="2" t="s">
        <v>1226</v>
      </c>
    </row>
    <row r="637" customFormat="false" ht="15" hidden="false" customHeight="false" outlineLevel="0" collapsed="false">
      <c r="A637" s="2" t="n">
        <v>636</v>
      </c>
      <c r="B637" s="2" t="s">
        <v>301</v>
      </c>
      <c r="C637" s="2" t="s">
        <v>1598</v>
      </c>
      <c r="D637" s="2"/>
      <c r="E637" s="2" t="s">
        <v>1599</v>
      </c>
      <c r="F637" s="3" t="n">
        <v>0.000308</v>
      </c>
      <c r="G637" s="3" t="n">
        <f aca="false">SUM($F$2:F637)</f>
        <v>0.740035</v>
      </c>
      <c r="H637" s="4"/>
      <c r="I637" s="5"/>
      <c r="J637" s="4"/>
      <c r="K637" s="5"/>
      <c r="L637" s="6"/>
      <c r="M637" s="5" t="str">
        <f aca="false">IF(AND(N(K637)&gt;0,N(L637)&gt;0),K637/L637,"")</f>
        <v/>
      </c>
      <c r="N637" s="2" t="s">
        <v>34</v>
      </c>
    </row>
    <row r="638" customFormat="false" ht="15" hidden="false" customHeight="false" outlineLevel="0" collapsed="false">
      <c r="A638" s="2" t="n">
        <v>637</v>
      </c>
      <c r="B638" s="2" t="s">
        <v>1600</v>
      </c>
      <c r="C638" s="2" t="s">
        <v>1601</v>
      </c>
      <c r="D638" s="2"/>
      <c r="E638" s="2" t="s">
        <v>1284</v>
      </c>
      <c r="F638" s="3" t="n">
        <v>0.000308</v>
      </c>
      <c r="G638" s="3" t="n">
        <f aca="false">SUM($F$2:F638)</f>
        <v>0.740343</v>
      </c>
      <c r="H638" s="4"/>
      <c r="I638" s="5"/>
      <c r="J638" s="4"/>
      <c r="K638" s="5"/>
      <c r="L638" s="6"/>
      <c r="M638" s="5" t="str">
        <f aca="false">IF(AND(N(K638)&gt;0,N(L638)&gt;0),K638/L638,"")</f>
        <v/>
      </c>
      <c r="N638" s="2" t="s">
        <v>1226</v>
      </c>
    </row>
    <row r="639" customFormat="false" ht="15" hidden="false" customHeight="false" outlineLevel="0" collapsed="false">
      <c r="A639" s="2" t="n">
        <v>638</v>
      </c>
      <c r="B639" s="2" t="s">
        <v>1602</v>
      </c>
      <c r="C639" s="2" t="s">
        <v>1603</v>
      </c>
      <c r="D639" s="2"/>
      <c r="E639" s="2" t="s">
        <v>33</v>
      </c>
      <c r="F639" s="3" t="n">
        <v>0.000308</v>
      </c>
      <c r="G639" s="3" t="n">
        <f aca="false">SUM($F$2:F639)</f>
        <v>0.740651</v>
      </c>
      <c r="H639" s="4"/>
      <c r="I639" s="5"/>
      <c r="J639" s="4"/>
      <c r="K639" s="5"/>
      <c r="L639" s="6"/>
      <c r="M639" s="5" t="str">
        <f aca="false">IF(AND(N(K639)&gt;0,N(L639)&gt;0),K639/L639,"")</f>
        <v/>
      </c>
      <c r="N639" s="2" t="s">
        <v>1226</v>
      </c>
    </row>
    <row r="640" customFormat="false" ht="15" hidden="false" customHeight="false" outlineLevel="0" collapsed="false">
      <c r="A640" s="2" t="n">
        <v>639</v>
      </c>
      <c r="B640" s="2" t="s">
        <v>1604</v>
      </c>
      <c r="C640" s="2" t="s">
        <v>1605</v>
      </c>
      <c r="D640" s="2"/>
      <c r="E640" s="2" t="s">
        <v>173</v>
      </c>
      <c r="F640" s="3" t="n">
        <v>0.000306</v>
      </c>
      <c r="G640" s="3" t="n">
        <f aca="false">SUM($F$2:F640)</f>
        <v>0.740957</v>
      </c>
      <c r="H640" s="4"/>
      <c r="I640" s="5"/>
      <c r="J640" s="4"/>
      <c r="K640" s="5"/>
      <c r="L640" s="6"/>
      <c r="M640" s="5" t="str">
        <f aca="false">IF(AND(N(K640)&gt;0,N(L640)&gt;0),K640/L640,"")</f>
        <v/>
      </c>
      <c r="N640" s="2" t="s">
        <v>1226</v>
      </c>
    </row>
    <row r="641" customFormat="false" ht="15" hidden="false" customHeight="false" outlineLevel="0" collapsed="false">
      <c r="A641" s="2" t="n">
        <v>640</v>
      </c>
      <c r="B641" s="2" t="s">
        <v>1606</v>
      </c>
      <c r="C641" s="2" t="s">
        <v>1607</v>
      </c>
      <c r="D641" s="2"/>
      <c r="E641" s="2" t="s">
        <v>29</v>
      </c>
      <c r="F641" s="3" t="n">
        <v>0.000306</v>
      </c>
      <c r="G641" s="3" t="n">
        <f aca="false">SUM($F$2:F641)</f>
        <v>0.741263</v>
      </c>
      <c r="H641" s="4"/>
      <c r="I641" s="5"/>
      <c r="J641" s="4"/>
      <c r="K641" s="5"/>
      <c r="L641" s="6"/>
      <c r="M641" s="5" t="str">
        <f aca="false">IF(AND(N(K641)&gt;0,N(L641)&gt;0),K641/L641,"")</f>
        <v/>
      </c>
      <c r="N641" s="2" t="s">
        <v>1226</v>
      </c>
    </row>
    <row r="642" customFormat="false" ht="15" hidden="false" customHeight="false" outlineLevel="0" collapsed="false">
      <c r="A642" s="2" t="n">
        <v>641</v>
      </c>
      <c r="B642" s="2" t="s">
        <v>1608</v>
      </c>
      <c r="C642" s="2" t="s">
        <v>1609</v>
      </c>
      <c r="D642" s="2"/>
      <c r="E642" s="2" t="s">
        <v>52</v>
      </c>
      <c r="F642" s="3" t="n">
        <v>0.000305</v>
      </c>
      <c r="G642" s="3" t="n">
        <f aca="false">SUM($F$2:F642)</f>
        <v>0.741568</v>
      </c>
      <c r="H642" s="4"/>
      <c r="I642" s="5"/>
      <c r="J642" s="4"/>
      <c r="K642" s="5"/>
      <c r="L642" s="6"/>
      <c r="M642" s="5" t="str">
        <f aca="false">IF(AND(N(K642)&gt;0,N(L642)&gt;0),K642/L642,"")</f>
        <v/>
      </c>
      <c r="N642" s="2" t="s">
        <v>1226</v>
      </c>
    </row>
    <row r="643" customFormat="false" ht="15" hidden="false" customHeight="false" outlineLevel="0" collapsed="false">
      <c r="A643" s="2" t="n">
        <v>642</v>
      </c>
      <c r="B643" s="2" t="s">
        <v>1610</v>
      </c>
      <c r="C643" s="2" t="s">
        <v>1611</v>
      </c>
      <c r="D643" s="2"/>
      <c r="E643" s="2" t="s">
        <v>52</v>
      </c>
      <c r="F643" s="3" t="n">
        <v>0.000305</v>
      </c>
      <c r="G643" s="3" t="n">
        <f aca="false">SUM($F$2:F643)</f>
        <v>0.741873</v>
      </c>
      <c r="H643" s="4"/>
      <c r="I643" s="5"/>
      <c r="J643" s="4"/>
      <c r="K643" s="5"/>
      <c r="L643" s="6"/>
      <c r="M643" s="5" t="str">
        <f aca="false">IF(AND(N(K643)&gt;0,N(L643)&gt;0),K643/L643,"")</f>
        <v/>
      </c>
      <c r="N643" s="2" t="s">
        <v>1226</v>
      </c>
    </row>
    <row r="644" customFormat="false" ht="15" hidden="false" customHeight="false" outlineLevel="0" collapsed="false">
      <c r="A644" s="2" t="n">
        <v>643</v>
      </c>
      <c r="B644" s="2" t="s">
        <v>1612</v>
      </c>
      <c r="C644" s="2" t="s">
        <v>1613</v>
      </c>
      <c r="D644" s="2"/>
      <c r="E644" s="2" t="s">
        <v>29</v>
      </c>
      <c r="F644" s="3" t="n">
        <v>0.000304</v>
      </c>
      <c r="G644" s="3" t="n">
        <f aca="false">SUM($F$2:F644)</f>
        <v>0.742177</v>
      </c>
      <c r="H644" s="4"/>
      <c r="I644" s="5"/>
      <c r="J644" s="4"/>
      <c r="K644" s="5"/>
      <c r="L644" s="6"/>
      <c r="M644" s="5" t="str">
        <f aca="false">IF(AND(N(K644)&gt;0,N(L644)&gt;0),K644/L644,"")</f>
        <v/>
      </c>
      <c r="N644" s="2" t="s">
        <v>1226</v>
      </c>
    </row>
    <row r="645" customFormat="false" ht="15" hidden="false" customHeight="false" outlineLevel="0" collapsed="false">
      <c r="A645" s="2" t="n">
        <v>644</v>
      </c>
      <c r="B645" s="2" t="s">
        <v>1551</v>
      </c>
      <c r="C645" s="2" t="s">
        <v>1614</v>
      </c>
      <c r="D645" s="2"/>
      <c r="E645" s="2" t="s">
        <v>29</v>
      </c>
      <c r="F645" s="3" t="n">
        <v>0.000304</v>
      </c>
      <c r="G645" s="3" t="n">
        <f aca="false">SUM($F$2:F645)</f>
        <v>0.742481</v>
      </c>
      <c r="H645" s="4"/>
      <c r="I645" s="5"/>
      <c r="J645" s="4"/>
      <c r="K645" s="5"/>
      <c r="L645" s="6"/>
      <c r="M645" s="5" t="str">
        <f aca="false">IF(AND(N(K645)&gt;0,N(L645)&gt;0),K645/L645,"")</f>
        <v/>
      </c>
      <c r="N645" s="2" t="s">
        <v>1226</v>
      </c>
    </row>
    <row r="646" customFormat="false" ht="15" hidden="false" customHeight="false" outlineLevel="0" collapsed="false">
      <c r="A646" s="2" t="n">
        <v>645</v>
      </c>
      <c r="B646" s="2" t="s">
        <v>1615</v>
      </c>
      <c r="C646" s="2" t="s">
        <v>1616</v>
      </c>
      <c r="D646" s="2"/>
      <c r="E646" s="2" t="s">
        <v>289</v>
      </c>
      <c r="F646" s="3" t="n">
        <v>0.000304</v>
      </c>
      <c r="G646" s="3" t="n">
        <f aca="false">SUM($F$2:F646)</f>
        <v>0.742785</v>
      </c>
      <c r="H646" s="4"/>
      <c r="I646" s="5"/>
      <c r="J646" s="4"/>
      <c r="K646" s="5"/>
      <c r="L646" s="6"/>
      <c r="M646" s="5" t="str">
        <f aca="false">IF(AND(N(K646)&gt;0,N(L646)&gt;0),K646/L646,"")</f>
        <v/>
      </c>
      <c r="N646" s="2" t="s">
        <v>1226</v>
      </c>
    </row>
    <row r="647" customFormat="false" ht="15" hidden="false" customHeight="false" outlineLevel="0" collapsed="false">
      <c r="A647" s="2" t="n">
        <v>646</v>
      </c>
      <c r="B647" s="2" t="s">
        <v>1617</v>
      </c>
      <c r="C647" s="2" t="s">
        <v>1618</v>
      </c>
      <c r="D647" s="2"/>
      <c r="E647" s="2" t="s">
        <v>52</v>
      </c>
      <c r="F647" s="3" t="n">
        <v>0.000304</v>
      </c>
      <c r="G647" s="3" t="n">
        <f aca="false">SUM($F$2:F647)</f>
        <v>0.743089</v>
      </c>
      <c r="H647" s="4"/>
      <c r="I647" s="5"/>
      <c r="J647" s="4"/>
      <c r="K647" s="5"/>
      <c r="L647" s="6"/>
      <c r="M647" s="5" t="str">
        <f aca="false">IF(AND(N(K647)&gt;0,N(L647)&gt;0),K647/L647,"")</f>
        <v/>
      </c>
      <c r="N647" s="2" t="s">
        <v>1226</v>
      </c>
    </row>
    <row r="648" customFormat="false" ht="15" hidden="false" customHeight="false" outlineLevel="0" collapsed="false">
      <c r="A648" s="2" t="n">
        <v>647</v>
      </c>
      <c r="B648" s="2" t="s">
        <v>1619</v>
      </c>
      <c r="C648" s="2" t="s">
        <v>1620</v>
      </c>
      <c r="D648" s="2"/>
      <c r="E648" s="2" t="s">
        <v>679</v>
      </c>
      <c r="F648" s="3" t="n">
        <v>0.000303</v>
      </c>
      <c r="G648" s="3" t="n">
        <f aca="false">SUM($F$2:F648)</f>
        <v>0.743392</v>
      </c>
      <c r="H648" s="4"/>
      <c r="I648" s="5"/>
      <c r="J648" s="4"/>
      <c r="K648" s="5"/>
      <c r="L648" s="6"/>
      <c r="M648" s="5" t="str">
        <f aca="false">IF(AND(N(K648)&gt;0,N(L648)&gt;0),K648/L648,"")</f>
        <v/>
      </c>
      <c r="N648" s="2" t="s">
        <v>1226</v>
      </c>
    </row>
    <row r="649" customFormat="false" ht="15" hidden="false" customHeight="false" outlineLevel="0" collapsed="false">
      <c r="A649" s="2" t="n">
        <v>648</v>
      </c>
      <c r="B649" s="2" t="s">
        <v>1621</v>
      </c>
      <c r="C649" s="2" t="s">
        <v>1622</v>
      </c>
      <c r="D649" s="2"/>
      <c r="E649" s="2" t="s">
        <v>52</v>
      </c>
      <c r="F649" s="3" t="n">
        <v>0.000303</v>
      </c>
      <c r="G649" s="3" t="n">
        <f aca="false">SUM($F$2:F649)</f>
        <v>0.743695</v>
      </c>
      <c r="H649" s="4"/>
      <c r="I649" s="5"/>
      <c r="J649" s="4"/>
      <c r="K649" s="5"/>
      <c r="L649" s="6"/>
      <c r="M649" s="5" t="str">
        <f aca="false">IF(AND(N(K649)&gt;0,N(L649)&gt;0),K649/L649,"")</f>
        <v/>
      </c>
      <c r="N649" s="2" t="s">
        <v>1226</v>
      </c>
    </row>
    <row r="650" customFormat="false" ht="15" hidden="false" customHeight="false" outlineLevel="0" collapsed="false">
      <c r="A650" s="2" t="n">
        <v>649</v>
      </c>
      <c r="B650" s="2" t="s">
        <v>1623</v>
      </c>
      <c r="C650" s="2" t="s">
        <v>1624</v>
      </c>
      <c r="D650" s="2"/>
      <c r="E650" s="2" t="s">
        <v>25</v>
      </c>
      <c r="F650" s="3" t="n">
        <v>0.0003</v>
      </c>
      <c r="G650" s="3" t="n">
        <f aca="false">SUM($F$2:F650)</f>
        <v>0.743995</v>
      </c>
      <c r="H650" s="4"/>
      <c r="I650" s="5"/>
      <c r="J650" s="4"/>
      <c r="K650" s="5"/>
      <c r="L650" s="6"/>
      <c r="M650" s="5" t="str">
        <f aca="false">IF(AND(N(K650)&gt;0,N(L650)&gt;0),K650/L650,"")</f>
        <v/>
      </c>
      <c r="N650" s="2" t="s">
        <v>1226</v>
      </c>
    </row>
    <row r="651" customFormat="false" ht="15" hidden="false" customHeight="false" outlineLevel="0" collapsed="false">
      <c r="A651" s="2" t="n">
        <v>650</v>
      </c>
      <c r="B651" s="2" t="s">
        <v>1625</v>
      </c>
      <c r="C651" s="2" t="s">
        <v>1626</v>
      </c>
      <c r="D651" s="2"/>
      <c r="E651" s="2" t="s">
        <v>33</v>
      </c>
      <c r="F651" s="3" t="n">
        <v>0.0003</v>
      </c>
      <c r="G651" s="3" t="n">
        <f aca="false">SUM($F$2:F651)</f>
        <v>0.744295</v>
      </c>
      <c r="H651" s="4"/>
      <c r="I651" s="5"/>
      <c r="J651" s="4"/>
      <c r="K651" s="5"/>
      <c r="L651" s="6"/>
      <c r="M651" s="5" t="str">
        <f aca="false">IF(AND(N(K651)&gt;0,N(L651)&gt;0),K651/L651,"")</f>
        <v/>
      </c>
      <c r="N651" s="2" t="s">
        <v>1226</v>
      </c>
    </row>
    <row r="652" customFormat="false" ht="15" hidden="false" customHeight="false" outlineLevel="0" collapsed="false">
      <c r="A652" s="2" t="n">
        <v>651</v>
      </c>
      <c r="B652" s="2" t="s">
        <v>1627</v>
      </c>
      <c r="C652" s="2" t="s">
        <v>1628</v>
      </c>
      <c r="D652" s="2"/>
      <c r="E652" s="2" t="s">
        <v>289</v>
      </c>
      <c r="F652" s="3" t="n">
        <v>0.000298</v>
      </c>
      <c r="G652" s="3" t="n">
        <f aca="false">SUM($F$2:F652)</f>
        <v>0.744593</v>
      </c>
      <c r="H652" s="4"/>
      <c r="I652" s="5"/>
      <c r="J652" s="4"/>
      <c r="K652" s="5"/>
      <c r="L652" s="6"/>
      <c r="M652" s="5" t="str">
        <f aca="false">IF(AND(N(K652)&gt;0,N(L652)&gt;0),K652/L652,"")</f>
        <v/>
      </c>
      <c r="N652" s="2" t="s">
        <v>1226</v>
      </c>
    </row>
    <row r="653" customFormat="false" ht="15" hidden="false" customHeight="false" outlineLevel="0" collapsed="false">
      <c r="A653" s="2" t="n">
        <v>652</v>
      </c>
      <c r="B653" s="2" t="s">
        <v>1629</v>
      </c>
      <c r="C653" s="2" t="s">
        <v>1630</v>
      </c>
      <c r="D653" s="2"/>
      <c r="E653" s="2" t="s">
        <v>17</v>
      </c>
      <c r="F653" s="3" t="n">
        <v>0.000298</v>
      </c>
      <c r="G653" s="3" t="n">
        <f aca="false">SUM($F$2:F653)</f>
        <v>0.744891</v>
      </c>
      <c r="H653" s="4"/>
      <c r="I653" s="5"/>
      <c r="J653" s="4"/>
      <c r="K653" s="5"/>
      <c r="L653" s="6"/>
      <c r="M653" s="5" t="str">
        <f aca="false">IF(AND(N(K653)&gt;0,N(L653)&gt;0),K653/L653,"")</f>
        <v/>
      </c>
      <c r="N653" s="2" t="s">
        <v>1226</v>
      </c>
    </row>
    <row r="654" customFormat="false" ht="15" hidden="false" customHeight="false" outlineLevel="0" collapsed="false">
      <c r="A654" s="2" t="n">
        <v>653</v>
      </c>
      <c r="B654" s="2" t="s">
        <v>1631</v>
      </c>
      <c r="C654" s="2" t="s">
        <v>1632</v>
      </c>
      <c r="D654" s="2"/>
      <c r="E654" s="2" t="s">
        <v>33</v>
      </c>
      <c r="F654" s="3" t="n">
        <v>0.000297</v>
      </c>
      <c r="G654" s="3" t="n">
        <f aca="false">SUM($F$2:F654)</f>
        <v>0.745188</v>
      </c>
      <c r="H654" s="4"/>
      <c r="I654" s="5"/>
      <c r="J654" s="4"/>
      <c r="K654" s="5"/>
      <c r="L654" s="6"/>
      <c r="M654" s="5" t="str">
        <f aca="false">IF(AND(N(K654)&gt;0,N(L654)&gt;0),K654/L654,"")</f>
        <v/>
      </c>
      <c r="N654" s="2" t="s">
        <v>1226</v>
      </c>
    </row>
    <row r="655" customFormat="false" ht="15" hidden="false" customHeight="false" outlineLevel="0" collapsed="false">
      <c r="A655" s="2" t="n">
        <v>654</v>
      </c>
      <c r="B655" s="2" t="s">
        <v>1633</v>
      </c>
      <c r="C655" s="2" t="s">
        <v>1634</v>
      </c>
      <c r="D655" s="2"/>
      <c r="E655" s="2" t="s">
        <v>21</v>
      </c>
      <c r="F655" s="3" t="n">
        <v>0.000297</v>
      </c>
      <c r="G655" s="3" t="n">
        <f aca="false">SUM($F$2:F655)</f>
        <v>0.745485</v>
      </c>
      <c r="H655" s="4"/>
      <c r="I655" s="5"/>
      <c r="J655" s="4"/>
      <c r="K655" s="5"/>
      <c r="L655" s="6"/>
      <c r="M655" s="5" t="str">
        <f aca="false">IF(AND(N(K655)&gt;0,N(L655)&gt;0),K655/L655,"")</f>
        <v/>
      </c>
      <c r="N655" s="2" t="s">
        <v>1226</v>
      </c>
    </row>
    <row r="656" customFormat="false" ht="15" hidden="false" customHeight="false" outlineLevel="0" collapsed="false">
      <c r="A656" s="2" t="n">
        <v>655</v>
      </c>
      <c r="B656" s="2" t="s">
        <v>1635</v>
      </c>
      <c r="C656" s="2" t="s">
        <v>1636</v>
      </c>
      <c r="D656" s="2"/>
      <c r="E656" s="2" t="s">
        <v>289</v>
      </c>
      <c r="F656" s="3" t="n">
        <v>0.000297</v>
      </c>
      <c r="G656" s="3" t="n">
        <f aca="false">SUM($F$2:F656)</f>
        <v>0.745782</v>
      </c>
      <c r="H656" s="4"/>
      <c r="I656" s="5"/>
      <c r="J656" s="4"/>
      <c r="K656" s="5"/>
      <c r="L656" s="6"/>
      <c r="M656" s="5" t="str">
        <f aca="false">IF(AND(N(K656)&gt;0,N(L656)&gt;0),K656/L656,"")</f>
        <v/>
      </c>
      <c r="N656" s="2" t="s">
        <v>1226</v>
      </c>
    </row>
    <row r="657" customFormat="false" ht="15" hidden="false" customHeight="false" outlineLevel="0" collapsed="false">
      <c r="A657" s="2" t="n">
        <v>656</v>
      </c>
      <c r="B657" s="2" t="s">
        <v>1637</v>
      </c>
      <c r="C657" s="2" t="s">
        <v>1638</v>
      </c>
      <c r="D657" s="2"/>
      <c r="E657" s="2" t="s">
        <v>52</v>
      </c>
      <c r="F657" s="3" t="n">
        <v>0.000296</v>
      </c>
      <c r="G657" s="3" t="n">
        <f aca="false">SUM($F$2:F657)</f>
        <v>0.746078</v>
      </c>
      <c r="H657" s="4"/>
      <c r="I657" s="5"/>
      <c r="J657" s="4"/>
      <c r="K657" s="5"/>
      <c r="L657" s="6"/>
      <c r="M657" s="5" t="str">
        <f aca="false">IF(AND(N(K657)&gt;0,N(L657)&gt;0),K657/L657,"")</f>
        <v/>
      </c>
      <c r="N657" s="2" t="s">
        <v>1226</v>
      </c>
    </row>
    <row r="658" customFormat="false" ht="15" hidden="false" customHeight="false" outlineLevel="0" collapsed="false">
      <c r="A658" s="2" t="n">
        <v>657</v>
      </c>
      <c r="B658" s="2" t="s">
        <v>1639</v>
      </c>
      <c r="C658" s="2" t="s">
        <v>1640</v>
      </c>
      <c r="D658" s="2"/>
      <c r="E658" s="2" t="s">
        <v>679</v>
      </c>
      <c r="F658" s="3" t="n">
        <v>0.000295</v>
      </c>
      <c r="G658" s="3" t="n">
        <f aca="false">SUM($F$2:F658)</f>
        <v>0.746373</v>
      </c>
      <c r="H658" s="4"/>
      <c r="I658" s="5"/>
      <c r="J658" s="4"/>
      <c r="K658" s="5"/>
      <c r="L658" s="6"/>
      <c r="M658" s="5" t="str">
        <f aca="false">IF(AND(N(K658)&gt;0,N(L658)&gt;0),K658/L658,"")</f>
        <v/>
      </c>
      <c r="N658" s="2" t="s">
        <v>1226</v>
      </c>
    </row>
    <row r="659" customFormat="false" ht="15" hidden="false" customHeight="false" outlineLevel="0" collapsed="false">
      <c r="A659" s="2" t="n">
        <v>658</v>
      </c>
      <c r="B659" s="2" t="s">
        <v>1641</v>
      </c>
      <c r="C659" s="2" t="s">
        <v>1642</v>
      </c>
      <c r="D659" s="2"/>
      <c r="E659" s="2" t="s">
        <v>17</v>
      </c>
      <c r="F659" s="3" t="n">
        <v>0.000295</v>
      </c>
      <c r="G659" s="3" t="n">
        <f aca="false">SUM($F$2:F659)</f>
        <v>0.746668</v>
      </c>
      <c r="H659" s="4"/>
      <c r="I659" s="5"/>
      <c r="J659" s="4"/>
      <c r="K659" s="5"/>
      <c r="L659" s="6"/>
      <c r="M659" s="5" t="str">
        <f aca="false">IF(AND(N(K659)&gt;0,N(L659)&gt;0),K659/L659,"")</f>
        <v/>
      </c>
      <c r="N659" s="2" t="s">
        <v>1226</v>
      </c>
    </row>
    <row r="660" customFormat="false" ht="15" hidden="false" customHeight="false" outlineLevel="0" collapsed="false">
      <c r="A660" s="2" t="n">
        <v>659</v>
      </c>
      <c r="B660" s="2" t="s">
        <v>1643</v>
      </c>
      <c r="C660" s="2" t="s">
        <v>1644</v>
      </c>
      <c r="D660" s="2"/>
      <c r="E660" s="2" t="s">
        <v>167</v>
      </c>
      <c r="F660" s="3" t="n">
        <v>0.000294</v>
      </c>
      <c r="G660" s="3" t="n">
        <f aca="false">SUM($F$2:F660)</f>
        <v>0.746962</v>
      </c>
      <c r="H660" s="4"/>
      <c r="I660" s="5"/>
      <c r="J660" s="4"/>
      <c r="K660" s="5"/>
      <c r="L660" s="6"/>
      <c r="M660" s="5" t="str">
        <f aca="false">IF(AND(N(K660)&gt;0,N(L660)&gt;0),K660/L660,"")</f>
        <v/>
      </c>
      <c r="N660" s="2" t="s">
        <v>1226</v>
      </c>
    </row>
    <row r="661" customFormat="false" ht="15" hidden="false" customHeight="false" outlineLevel="0" collapsed="false">
      <c r="A661" s="2" t="n">
        <v>660</v>
      </c>
      <c r="B661" s="2" t="s">
        <v>1645</v>
      </c>
      <c r="C661" s="2" t="s">
        <v>1646</v>
      </c>
      <c r="D661" s="2"/>
      <c r="E661" s="2" t="s">
        <v>199</v>
      </c>
      <c r="F661" s="3" t="n">
        <v>0.000294</v>
      </c>
      <c r="G661" s="3" t="n">
        <f aca="false">SUM($F$2:F661)</f>
        <v>0.747256</v>
      </c>
      <c r="H661" s="4"/>
      <c r="I661" s="5"/>
      <c r="J661" s="4"/>
      <c r="K661" s="5"/>
      <c r="L661" s="6"/>
      <c r="M661" s="5" t="str">
        <f aca="false">IF(AND(N(K661)&gt;0,N(L661)&gt;0),K661/L661,"")</f>
        <v/>
      </c>
      <c r="N661" s="2" t="s">
        <v>1226</v>
      </c>
    </row>
    <row r="662" customFormat="false" ht="15" hidden="false" customHeight="false" outlineLevel="0" collapsed="false">
      <c r="A662" s="2" t="n">
        <v>661</v>
      </c>
      <c r="B662" s="2" t="s">
        <v>1647</v>
      </c>
      <c r="C662" s="2" t="s">
        <v>1648</v>
      </c>
      <c r="D662" s="2"/>
      <c r="E662" s="2" t="s">
        <v>167</v>
      </c>
      <c r="F662" s="3" t="n">
        <v>0.000293</v>
      </c>
      <c r="G662" s="3" t="n">
        <f aca="false">SUM($F$2:F662)</f>
        <v>0.747549</v>
      </c>
      <c r="H662" s="4"/>
      <c r="I662" s="5"/>
      <c r="J662" s="4"/>
      <c r="K662" s="5"/>
      <c r="L662" s="6"/>
      <c r="M662" s="5" t="str">
        <f aca="false">IF(AND(N(K662)&gt;0,N(L662)&gt;0),K662/L662,"")</f>
        <v/>
      </c>
      <c r="N662" s="2" t="s">
        <v>1226</v>
      </c>
    </row>
    <row r="663" customFormat="false" ht="15" hidden="false" customHeight="false" outlineLevel="0" collapsed="false">
      <c r="A663" s="2" t="n">
        <v>662</v>
      </c>
      <c r="B663" s="2" t="s">
        <v>1649</v>
      </c>
      <c r="C663" s="2" t="s">
        <v>1650</v>
      </c>
      <c r="D663" s="2"/>
      <c r="E663" s="2" t="s">
        <v>82</v>
      </c>
      <c r="F663" s="3" t="n">
        <v>0.000293</v>
      </c>
      <c r="G663" s="3" t="n">
        <f aca="false">SUM($F$2:F663)</f>
        <v>0.747842</v>
      </c>
      <c r="H663" s="4"/>
      <c r="I663" s="5"/>
      <c r="J663" s="4"/>
      <c r="K663" s="5"/>
      <c r="L663" s="6"/>
      <c r="M663" s="5" t="str">
        <f aca="false">IF(AND(N(K663)&gt;0,N(L663)&gt;0),K663/L663,"")</f>
        <v/>
      </c>
      <c r="N663" s="2" t="s">
        <v>1226</v>
      </c>
    </row>
    <row r="664" customFormat="false" ht="15" hidden="false" customHeight="false" outlineLevel="0" collapsed="false">
      <c r="A664" s="2" t="n">
        <v>663</v>
      </c>
      <c r="B664" s="2" t="s">
        <v>1651</v>
      </c>
      <c r="C664" s="2" t="s">
        <v>1652</v>
      </c>
      <c r="D664" s="2"/>
      <c r="E664" s="2" t="s">
        <v>52</v>
      </c>
      <c r="F664" s="3" t="n">
        <v>0.000292</v>
      </c>
      <c r="G664" s="3" t="n">
        <f aca="false">SUM($F$2:F664)</f>
        <v>0.748134</v>
      </c>
      <c r="H664" s="4"/>
      <c r="I664" s="5"/>
      <c r="J664" s="4"/>
      <c r="K664" s="5"/>
      <c r="L664" s="6"/>
      <c r="M664" s="5" t="str">
        <f aca="false">IF(AND(N(K664)&gt;0,N(L664)&gt;0),K664/L664,"")</f>
        <v/>
      </c>
      <c r="N664" s="2" t="s">
        <v>1226</v>
      </c>
    </row>
    <row r="665" customFormat="false" ht="15" hidden="false" customHeight="false" outlineLevel="0" collapsed="false">
      <c r="A665" s="2" t="n">
        <v>664</v>
      </c>
      <c r="B665" s="2" t="s">
        <v>1653</v>
      </c>
      <c r="C665" s="2" t="s">
        <v>1654</v>
      </c>
      <c r="D665" s="2"/>
      <c r="E665" s="2" t="s">
        <v>43</v>
      </c>
      <c r="F665" s="3" t="n">
        <v>0.000292</v>
      </c>
      <c r="G665" s="3" t="n">
        <f aca="false">SUM($F$2:F665)</f>
        <v>0.748426</v>
      </c>
      <c r="H665" s="4"/>
      <c r="I665" s="5"/>
      <c r="J665" s="4"/>
      <c r="K665" s="5"/>
      <c r="L665" s="6"/>
      <c r="M665" s="5" t="str">
        <f aca="false">IF(AND(N(K665)&gt;0,N(L665)&gt;0),K665/L665,"")</f>
        <v/>
      </c>
      <c r="N665" s="2" t="s">
        <v>1226</v>
      </c>
    </row>
    <row r="666" customFormat="false" ht="15" hidden="false" customHeight="false" outlineLevel="0" collapsed="false">
      <c r="A666" s="2" t="n">
        <v>665</v>
      </c>
      <c r="B666" s="2" t="s">
        <v>1655</v>
      </c>
      <c r="C666" s="2" t="s">
        <v>1656</v>
      </c>
      <c r="D666" s="2"/>
      <c r="E666" s="2" t="s">
        <v>17</v>
      </c>
      <c r="F666" s="3" t="n">
        <v>0.000292</v>
      </c>
      <c r="G666" s="3" t="n">
        <f aca="false">SUM($F$2:F666)</f>
        <v>0.748718</v>
      </c>
      <c r="H666" s="4"/>
      <c r="I666" s="5"/>
      <c r="J666" s="4"/>
      <c r="K666" s="5"/>
      <c r="L666" s="6"/>
      <c r="M666" s="5" t="str">
        <f aca="false">IF(AND(N(K666)&gt;0,N(L666)&gt;0),K666/L666,"")</f>
        <v/>
      </c>
      <c r="N666" s="2" t="s">
        <v>1226</v>
      </c>
    </row>
    <row r="667" customFormat="false" ht="15" hidden="false" customHeight="false" outlineLevel="0" collapsed="false">
      <c r="A667" s="2" t="n">
        <v>666</v>
      </c>
      <c r="B667" s="2" t="s">
        <v>1657</v>
      </c>
      <c r="C667" s="2" t="s">
        <v>1658</v>
      </c>
      <c r="D667" s="2"/>
      <c r="E667" s="2" t="s">
        <v>1245</v>
      </c>
      <c r="F667" s="3" t="n">
        <v>0.000289</v>
      </c>
      <c r="G667" s="3" t="n">
        <f aca="false">SUM($F$2:F667)</f>
        <v>0.749007</v>
      </c>
      <c r="H667" s="4"/>
      <c r="I667" s="5"/>
      <c r="J667" s="4"/>
      <c r="K667" s="5"/>
      <c r="L667" s="6"/>
      <c r="M667" s="5" t="str">
        <f aca="false">IF(AND(N(K667)&gt;0,N(L667)&gt;0),K667/L667,"")</f>
        <v/>
      </c>
      <c r="N667" s="2" t="s">
        <v>1226</v>
      </c>
    </row>
    <row r="668" customFormat="false" ht="15" hidden="false" customHeight="false" outlineLevel="0" collapsed="false">
      <c r="A668" s="2" t="n">
        <v>667</v>
      </c>
      <c r="B668" s="2" t="s">
        <v>1659</v>
      </c>
      <c r="C668" s="2" t="s">
        <v>1660</v>
      </c>
      <c r="D668" s="2"/>
      <c r="E668" s="2" t="s">
        <v>17</v>
      </c>
      <c r="F668" s="3" t="n">
        <v>0.000289</v>
      </c>
      <c r="G668" s="3" t="n">
        <f aca="false">SUM($F$2:F668)</f>
        <v>0.749296</v>
      </c>
      <c r="H668" s="4"/>
      <c r="I668" s="5"/>
      <c r="J668" s="4"/>
      <c r="K668" s="5"/>
      <c r="L668" s="6"/>
      <c r="M668" s="5" t="str">
        <f aca="false">IF(AND(N(K668)&gt;0,N(L668)&gt;0),K668/L668,"")</f>
        <v/>
      </c>
      <c r="N668" s="2" t="s">
        <v>1226</v>
      </c>
    </row>
    <row r="669" customFormat="false" ht="15" hidden="false" customHeight="false" outlineLevel="0" collapsed="false">
      <c r="A669" s="2" t="n">
        <v>668</v>
      </c>
      <c r="B669" s="2" t="s">
        <v>1661</v>
      </c>
      <c r="C669" s="2" t="s">
        <v>1662</v>
      </c>
      <c r="D669" s="2"/>
      <c r="E669" s="2" t="s">
        <v>52</v>
      </c>
      <c r="F669" s="3" t="n">
        <v>0.000289</v>
      </c>
      <c r="G669" s="3" t="n">
        <f aca="false">SUM($F$2:F669)</f>
        <v>0.749585</v>
      </c>
      <c r="H669" s="4"/>
      <c r="I669" s="5"/>
      <c r="J669" s="4"/>
      <c r="K669" s="5"/>
      <c r="L669" s="6"/>
      <c r="M669" s="5" t="str">
        <f aca="false">IF(AND(N(K669)&gt;0,N(L669)&gt;0),K669/L669,"")</f>
        <v/>
      </c>
      <c r="N669" s="2" t="s">
        <v>1226</v>
      </c>
    </row>
    <row r="670" customFormat="false" ht="15" hidden="false" customHeight="false" outlineLevel="0" collapsed="false">
      <c r="A670" s="2" t="n">
        <v>669</v>
      </c>
      <c r="B670" s="2" t="s">
        <v>1663</v>
      </c>
      <c r="C670" s="2" t="s">
        <v>1664</v>
      </c>
      <c r="D670" s="2"/>
      <c r="E670" s="2" t="s">
        <v>29</v>
      </c>
      <c r="F670" s="3" t="n">
        <v>0.000289</v>
      </c>
      <c r="G670" s="3" t="n">
        <f aca="false">SUM($F$2:F670)</f>
        <v>0.749874</v>
      </c>
      <c r="H670" s="4"/>
      <c r="I670" s="5"/>
      <c r="J670" s="4"/>
      <c r="K670" s="5"/>
      <c r="L670" s="6"/>
      <c r="M670" s="5" t="str">
        <f aca="false">IF(AND(N(K670)&gt;0,N(L670)&gt;0),K670/L670,"")</f>
        <v/>
      </c>
      <c r="N670" s="2" t="s">
        <v>1226</v>
      </c>
    </row>
    <row r="671" customFormat="false" ht="15" hidden="false" customHeight="false" outlineLevel="0" collapsed="false">
      <c r="A671" s="2" t="n">
        <v>670</v>
      </c>
      <c r="B671" s="2" t="s">
        <v>1665</v>
      </c>
      <c r="C671" s="2" t="s">
        <v>1666</v>
      </c>
      <c r="D671" s="2"/>
      <c r="E671" s="2" t="s">
        <v>33</v>
      </c>
      <c r="F671" s="3" t="n">
        <v>0.000288</v>
      </c>
      <c r="G671" s="3" t="n">
        <f aca="false">SUM($F$2:F671)</f>
        <v>0.750162</v>
      </c>
      <c r="H671" s="4"/>
      <c r="I671" s="5"/>
      <c r="J671" s="4"/>
      <c r="K671" s="5"/>
      <c r="L671" s="6"/>
      <c r="M671" s="5" t="str">
        <f aca="false">IF(AND(N(K671)&gt;0,N(L671)&gt;0),K671/L671,"")</f>
        <v/>
      </c>
      <c r="N671" s="2" t="s">
        <v>1226</v>
      </c>
    </row>
    <row r="672" customFormat="false" ht="15" hidden="false" customHeight="false" outlineLevel="0" collapsed="false">
      <c r="A672" s="2" t="n">
        <v>671</v>
      </c>
      <c r="B672" s="2" t="s">
        <v>1667</v>
      </c>
      <c r="C672" s="2" t="s">
        <v>1668</v>
      </c>
      <c r="D672" s="2"/>
      <c r="E672" s="2" t="s">
        <v>48</v>
      </c>
      <c r="F672" s="3" t="n">
        <v>0.000288</v>
      </c>
      <c r="G672" s="3" t="n">
        <f aca="false">SUM($F$2:F672)</f>
        <v>0.75045</v>
      </c>
      <c r="H672" s="4"/>
      <c r="I672" s="5"/>
      <c r="J672" s="4"/>
      <c r="K672" s="5"/>
      <c r="L672" s="6"/>
      <c r="M672" s="5" t="str">
        <f aca="false">IF(AND(N(K672)&gt;0,N(L672)&gt;0),K672/L672,"")</f>
        <v/>
      </c>
      <c r="N672" s="2" t="s">
        <v>1226</v>
      </c>
    </row>
    <row r="673" customFormat="false" ht="15" hidden="false" customHeight="false" outlineLevel="0" collapsed="false">
      <c r="A673" s="2" t="n">
        <v>672</v>
      </c>
      <c r="B673" s="2" t="s">
        <v>1669</v>
      </c>
      <c r="C673" s="2" t="s">
        <v>1670</v>
      </c>
      <c r="D673" s="2"/>
      <c r="E673" s="2" t="s">
        <v>52</v>
      </c>
      <c r="F673" s="3" t="n">
        <v>0.000287</v>
      </c>
      <c r="G673" s="3" t="n">
        <f aca="false">SUM($F$2:F673)</f>
        <v>0.750737</v>
      </c>
      <c r="H673" s="4"/>
      <c r="I673" s="5"/>
      <c r="J673" s="4"/>
      <c r="K673" s="5"/>
      <c r="L673" s="6"/>
      <c r="M673" s="5" t="str">
        <f aca="false">IF(AND(N(K673)&gt;0,N(L673)&gt;0),K673/L673,"")</f>
        <v/>
      </c>
      <c r="N673" s="2" t="s">
        <v>1226</v>
      </c>
    </row>
    <row r="674" customFormat="false" ht="15" hidden="false" customHeight="false" outlineLevel="0" collapsed="false">
      <c r="A674" s="2" t="n">
        <v>673</v>
      </c>
      <c r="B674" s="2" t="s">
        <v>1671</v>
      </c>
      <c r="C674" s="2" t="s">
        <v>1672</v>
      </c>
      <c r="D674" s="2"/>
      <c r="E674" s="2" t="s">
        <v>33</v>
      </c>
      <c r="F674" s="3" t="n">
        <v>0.000287</v>
      </c>
      <c r="G674" s="3" t="n">
        <f aca="false">SUM($F$2:F674)</f>
        <v>0.751024</v>
      </c>
      <c r="H674" s="4"/>
      <c r="I674" s="5"/>
      <c r="J674" s="4"/>
      <c r="K674" s="5"/>
      <c r="L674" s="6"/>
      <c r="M674" s="5" t="str">
        <f aca="false">IF(AND(N(K674)&gt;0,N(L674)&gt;0),K674/L674,"")</f>
        <v/>
      </c>
      <c r="N674" s="2" t="s">
        <v>1226</v>
      </c>
    </row>
    <row r="675" customFormat="false" ht="15" hidden="false" customHeight="false" outlineLevel="0" collapsed="false">
      <c r="A675" s="2" t="n">
        <v>674</v>
      </c>
      <c r="B675" s="2" t="s">
        <v>1673</v>
      </c>
      <c r="C675" s="2" t="s">
        <v>1674</v>
      </c>
      <c r="D675" s="2"/>
      <c r="E675" s="2" t="s">
        <v>52</v>
      </c>
      <c r="F675" s="3" t="n">
        <v>0.000287</v>
      </c>
      <c r="G675" s="3" t="n">
        <f aca="false">SUM($F$2:F675)</f>
        <v>0.751311</v>
      </c>
      <c r="H675" s="4"/>
      <c r="I675" s="5"/>
      <c r="J675" s="4"/>
      <c r="K675" s="5"/>
      <c r="L675" s="6"/>
      <c r="M675" s="5" t="str">
        <f aca="false">IF(AND(N(K675)&gt;0,N(L675)&gt;0),K675/L675,"")</f>
        <v/>
      </c>
      <c r="N675" s="2" t="s">
        <v>1226</v>
      </c>
    </row>
    <row r="676" customFormat="false" ht="15" hidden="false" customHeight="false" outlineLevel="0" collapsed="false">
      <c r="A676" s="2" t="n">
        <v>675</v>
      </c>
      <c r="B676" s="2" t="s">
        <v>1675</v>
      </c>
      <c r="C676" s="2" t="s">
        <v>1676</v>
      </c>
      <c r="D676" s="2"/>
      <c r="E676" s="2" t="s">
        <v>33</v>
      </c>
      <c r="F676" s="3" t="n">
        <v>0.000286</v>
      </c>
      <c r="G676" s="3" t="n">
        <f aca="false">SUM($F$2:F676)</f>
        <v>0.751597</v>
      </c>
      <c r="H676" s="4"/>
      <c r="I676" s="5"/>
      <c r="J676" s="4"/>
      <c r="K676" s="5"/>
      <c r="L676" s="6"/>
      <c r="M676" s="5" t="str">
        <f aca="false">IF(AND(N(K676)&gt;0,N(L676)&gt;0),K676/L676,"")</f>
        <v/>
      </c>
      <c r="N676" s="2" t="s">
        <v>1226</v>
      </c>
    </row>
    <row r="677" customFormat="false" ht="15" hidden="false" customHeight="false" outlineLevel="0" collapsed="false">
      <c r="A677" s="2" t="n">
        <v>676</v>
      </c>
      <c r="B677" s="2" t="s">
        <v>1677</v>
      </c>
      <c r="C677" s="2" t="s">
        <v>1678</v>
      </c>
      <c r="D677" s="2"/>
      <c r="E677" s="2" t="s">
        <v>29</v>
      </c>
      <c r="F677" s="3" t="n">
        <v>0.000285</v>
      </c>
      <c r="G677" s="3" t="n">
        <f aca="false">SUM($F$2:F677)</f>
        <v>0.751882</v>
      </c>
      <c r="H677" s="4"/>
      <c r="I677" s="5"/>
      <c r="J677" s="4"/>
      <c r="K677" s="5"/>
      <c r="L677" s="6"/>
      <c r="M677" s="5" t="str">
        <f aca="false">IF(AND(N(K677)&gt;0,N(L677)&gt;0),K677/L677,"")</f>
        <v/>
      </c>
      <c r="N677" s="2" t="s">
        <v>1226</v>
      </c>
    </row>
    <row r="678" customFormat="false" ht="15" hidden="false" customHeight="false" outlineLevel="0" collapsed="false">
      <c r="A678" s="2" t="n">
        <v>677</v>
      </c>
      <c r="B678" s="2" t="s">
        <v>1679</v>
      </c>
      <c r="C678" s="2" t="s">
        <v>1680</v>
      </c>
      <c r="D678" s="2"/>
      <c r="E678" s="2" t="s">
        <v>29</v>
      </c>
      <c r="F678" s="3" t="n">
        <v>0.000284</v>
      </c>
      <c r="G678" s="3" t="n">
        <f aca="false">SUM($F$2:F678)</f>
        <v>0.752166</v>
      </c>
      <c r="H678" s="4"/>
      <c r="I678" s="5"/>
      <c r="J678" s="4"/>
      <c r="K678" s="5"/>
      <c r="L678" s="6"/>
      <c r="M678" s="5" t="str">
        <f aca="false">IF(AND(N(K678)&gt;0,N(L678)&gt;0),K678/L678,"")</f>
        <v/>
      </c>
      <c r="N678" s="2" t="s">
        <v>1226</v>
      </c>
    </row>
    <row r="679" customFormat="false" ht="15" hidden="false" customHeight="false" outlineLevel="0" collapsed="false">
      <c r="A679" s="2" t="n">
        <v>678</v>
      </c>
      <c r="B679" s="2" t="s">
        <v>1681</v>
      </c>
      <c r="C679" s="2" t="s">
        <v>1682</v>
      </c>
      <c r="D679" s="2"/>
      <c r="E679" s="2" t="s">
        <v>21</v>
      </c>
      <c r="F679" s="3" t="n">
        <v>0.000283</v>
      </c>
      <c r="G679" s="3" t="n">
        <f aca="false">SUM($F$2:F679)</f>
        <v>0.752449</v>
      </c>
      <c r="H679" s="4"/>
      <c r="I679" s="5"/>
      <c r="J679" s="4"/>
      <c r="K679" s="5"/>
      <c r="L679" s="6"/>
      <c r="M679" s="5" t="str">
        <f aca="false">IF(AND(N(K679)&gt;0,N(L679)&gt;0),K679/L679,"")</f>
        <v/>
      </c>
      <c r="N679" s="2" t="s">
        <v>1226</v>
      </c>
    </row>
    <row r="680" customFormat="false" ht="15" hidden="false" customHeight="false" outlineLevel="0" collapsed="false">
      <c r="A680" s="2" t="n">
        <v>679</v>
      </c>
      <c r="B680" s="2" t="s">
        <v>1683</v>
      </c>
      <c r="C680" s="2" t="s">
        <v>1684</v>
      </c>
      <c r="D680" s="2"/>
      <c r="E680" s="2" t="s">
        <v>29</v>
      </c>
      <c r="F680" s="3" t="n">
        <v>0.000282</v>
      </c>
      <c r="G680" s="3" t="n">
        <f aca="false">SUM($F$2:F680)</f>
        <v>0.752731</v>
      </c>
      <c r="H680" s="4"/>
      <c r="I680" s="5"/>
      <c r="J680" s="4"/>
      <c r="K680" s="5"/>
      <c r="L680" s="6"/>
      <c r="M680" s="5" t="str">
        <f aca="false">IF(AND(N(K680)&gt;0,N(L680)&gt;0),K680/L680,"")</f>
        <v/>
      </c>
      <c r="N680" s="2" t="s">
        <v>1226</v>
      </c>
    </row>
    <row r="681" customFormat="false" ht="15" hidden="false" customHeight="false" outlineLevel="0" collapsed="false">
      <c r="A681" s="2" t="n">
        <v>680</v>
      </c>
      <c r="B681" s="2" t="s">
        <v>1685</v>
      </c>
      <c r="C681" s="2" t="s">
        <v>1686</v>
      </c>
      <c r="D681" s="2"/>
      <c r="E681" s="2" t="s">
        <v>1295</v>
      </c>
      <c r="F681" s="3" t="n">
        <v>0.000282</v>
      </c>
      <c r="G681" s="3" t="n">
        <f aca="false">SUM($F$2:F681)</f>
        <v>0.753013</v>
      </c>
      <c r="H681" s="4"/>
      <c r="I681" s="5"/>
      <c r="J681" s="4"/>
      <c r="K681" s="5"/>
      <c r="L681" s="6"/>
      <c r="M681" s="5" t="str">
        <f aca="false">IF(AND(N(K681)&gt;0,N(L681)&gt;0),K681/L681,"")</f>
        <v/>
      </c>
      <c r="N681" s="2" t="s">
        <v>1226</v>
      </c>
    </row>
    <row r="682" customFormat="false" ht="15" hidden="false" customHeight="false" outlineLevel="0" collapsed="false">
      <c r="A682" s="2" t="n">
        <v>681</v>
      </c>
      <c r="B682" s="2" t="s">
        <v>1687</v>
      </c>
      <c r="C682" s="2" t="s">
        <v>1688</v>
      </c>
      <c r="D682" s="2"/>
      <c r="E682" s="2" t="s">
        <v>48</v>
      </c>
      <c r="F682" s="3" t="n">
        <v>0.000282</v>
      </c>
      <c r="G682" s="3" t="n">
        <f aca="false">SUM($F$2:F682)</f>
        <v>0.753295</v>
      </c>
      <c r="H682" s="4"/>
      <c r="I682" s="5"/>
      <c r="J682" s="4"/>
      <c r="K682" s="5"/>
      <c r="L682" s="6"/>
      <c r="M682" s="5" t="str">
        <f aca="false">IF(AND(N(K682)&gt;0,N(L682)&gt;0),K682/L682,"")</f>
        <v/>
      </c>
      <c r="N682" s="2" t="s">
        <v>1226</v>
      </c>
    </row>
    <row r="683" customFormat="false" ht="15" hidden="false" customHeight="false" outlineLevel="0" collapsed="false">
      <c r="A683" s="2" t="n">
        <v>682</v>
      </c>
      <c r="B683" s="2" t="s">
        <v>1689</v>
      </c>
      <c r="C683" s="2" t="s">
        <v>1690</v>
      </c>
      <c r="D683" s="2"/>
      <c r="E683" s="2" t="s">
        <v>52</v>
      </c>
      <c r="F683" s="3" t="n">
        <v>0.000282</v>
      </c>
      <c r="G683" s="3" t="n">
        <f aca="false">SUM($F$2:F683)</f>
        <v>0.753577</v>
      </c>
      <c r="H683" s="4"/>
      <c r="I683" s="5"/>
      <c r="J683" s="4"/>
      <c r="K683" s="5"/>
      <c r="L683" s="6"/>
      <c r="M683" s="5" t="str">
        <f aca="false">IF(AND(N(K683)&gt;0,N(L683)&gt;0),K683/L683,"")</f>
        <v/>
      </c>
      <c r="N683" s="2" t="s">
        <v>1226</v>
      </c>
    </row>
    <row r="684" customFormat="false" ht="15" hidden="false" customHeight="false" outlineLevel="0" collapsed="false">
      <c r="A684" s="2" t="n">
        <v>683</v>
      </c>
      <c r="B684" s="2" t="s">
        <v>1691</v>
      </c>
      <c r="C684" s="2" t="s">
        <v>1692</v>
      </c>
      <c r="D684" s="2"/>
      <c r="E684" s="2" t="s">
        <v>1245</v>
      </c>
      <c r="F684" s="3" t="n">
        <v>0.000281</v>
      </c>
      <c r="G684" s="3" t="n">
        <f aca="false">SUM($F$2:F684)</f>
        <v>0.753858</v>
      </c>
      <c r="H684" s="4"/>
      <c r="I684" s="5"/>
      <c r="J684" s="4"/>
      <c r="K684" s="5"/>
      <c r="L684" s="6"/>
      <c r="M684" s="5" t="str">
        <f aca="false">IF(AND(N(K684)&gt;0,N(L684)&gt;0),K684/L684,"")</f>
        <v/>
      </c>
      <c r="N684" s="2" t="s">
        <v>1226</v>
      </c>
    </row>
    <row r="685" customFormat="false" ht="15" hidden="false" customHeight="false" outlineLevel="0" collapsed="false">
      <c r="A685" s="2" t="n">
        <v>684</v>
      </c>
      <c r="B685" s="2" t="s">
        <v>1693</v>
      </c>
      <c r="C685" s="2" t="s">
        <v>1694</v>
      </c>
      <c r="D685" s="2"/>
      <c r="E685" s="2" t="s">
        <v>199</v>
      </c>
      <c r="F685" s="3" t="n">
        <v>0.000281</v>
      </c>
      <c r="G685" s="3" t="n">
        <f aca="false">SUM($F$2:F685)</f>
        <v>0.754139</v>
      </c>
      <c r="H685" s="4"/>
      <c r="I685" s="5"/>
      <c r="J685" s="4"/>
      <c r="K685" s="5"/>
      <c r="L685" s="6"/>
      <c r="M685" s="5" t="str">
        <f aca="false">IF(AND(N(K685)&gt;0,N(L685)&gt;0),K685/L685,"")</f>
        <v/>
      </c>
      <c r="N685" s="2" t="s">
        <v>1226</v>
      </c>
    </row>
    <row r="686" customFormat="false" ht="15" hidden="false" customHeight="false" outlineLevel="0" collapsed="false">
      <c r="A686" s="2" t="n">
        <v>685</v>
      </c>
      <c r="B686" s="2" t="s">
        <v>1653</v>
      </c>
      <c r="C686" s="2" t="s">
        <v>1695</v>
      </c>
      <c r="D686" s="2"/>
      <c r="E686" s="2" t="s">
        <v>52</v>
      </c>
      <c r="F686" s="3" t="n">
        <v>0.000281</v>
      </c>
      <c r="G686" s="3" t="n">
        <f aca="false">SUM($F$2:F686)</f>
        <v>0.75442</v>
      </c>
      <c r="H686" s="4"/>
      <c r="I686" s="5"/>
      <c r="J686" s="4"/>
      <c r="K686" s="5"/>
      <c r="L686" s="6"/>
      <c r="M686" s="5" t="str">
        <f aca="false">IF(AND(N(K686)&gt;0,N(L686)&gt;0),K686/L686,"")</f>
        <v/>
      </c>
      <c r="N686" s="2" t="s">
        <v>1226</v>
      </c>
    </row>
    <row r="687" customFormat="false" ht="15" hidden="false" customHeight="false" outlineLevel="0" collapsed="false">
      <c r="A687" s="2" t="n">
        <v>686</v>
      </c>
      <c r="B687" s="2" t="s">
        <v>1696</v>
      </c>
      <c r="C687" s="2" t="s">
        <v>1697</v>
      </c>
      <c r="D687" s="2"/>
      <c r="E687" s="2" t="s">
        <v>52</v>
      </c>
      <c r="F687" s="3" t="n">
        <v>0.00028</v>
      </c>
      <c r="G687" s="3" t="n">
        <f aca="false">SUM($F$2:F687)</f>
        <v>0.7547</v>
      </c>
      <c r="H687" s="4"/>
      <c r="I687" s="5"/>
      <c r="J687" s="4"/>
      <c r="K687" s="5"/>
      <c r="L687" s="6"/>
      <c r="M687" s="5" t="str">
        <f aca="false">IF(AND(N(K687)&gt;0,N(L687)&gt;0),K687/L687,"")</f>
        <v/>
      </c>
      <c r="N687" s="2" t="s">
        <v>1226</v>
      </c>
    </row>
    <row r="688" customFormat="false" ht="15" hidden="false" customHeight="false" outlineLevel="0" collapsed="false">
      <c r="A688" s="2" t="n">
        <v>687</v>
      </c>
      <c r="B688" s="2" t="s">
        <v>1698</v>
      </c>
      <c r="C688" s="2" t="s">
        <v>1699</v>
      </c>
      <c r="D688" s="2"/>
      <c r="E688" s="2" t="s">
        <v>52</v>
      </c>
      <c r="F688" s="3" t="n">
        <v>0.000279</v>
      </c>
      <c r="G688" s="3" t="n">
        <f aca="false">SUM($F$2:F688)</f>
        <v>0.754979</v>
      </c>
      <c r="H688" s="4"/>
      <c r="I688" s="5"/>
      <c r="J688" s="4"/>
      <c r="K688" s="5"/>
      <c r="L688" s="6"/>
      <c r="M688" s="5" t="str">
        <f aca="false">IF(AND(N(K688)&gt;0,N(L688)&gt;0),K688/L688,"")</f>
        <v/>
      </c>
      <c r="N688" s="2" t="s">
        <v>1226</v>
      </c>
    </row>
    <row r="689" customFormat="false" ht="15" hidden="false" customHeight="false" outlineLevel="0" collapsed="false">
      <c r="A689" s="2" t="n">
        <v>688</v>
      </c>
      <c r="B689" s="2" t="s">
        <v>1700</v>
      </c>
      <c r="C689" s="2" t="s">
        <v>1701</v>
      </c>
      <c r="D689" s="2"/>
      <c r="E689" s="2" t="s">
        <v>17</v>
      </c>
      <c r="F689" s="3" t="n">
        <v>0.000279</v>
      </c>
      <c r="G689" s="3" t="n">
        <f aca="false">SUM($F$2:F689)</f>
        <v>0.755258</v>
      </c>
      <c r="H689" s="4"/>
      <c r="I689" s="5"/>
      <c r="J689" s="4"/>
      <c r="K689" s="5"/>
      <c r="L689" s="6"/>
      <c r="M689" s="5" t="str">
        <f aca="false">IF(AND(N(K689)&gt;0,N(L689)&gt;0),K689/L689,"")</f>
        <v/>
      </c>
      <c r="N689" s="2" t="s">
        <v>1226</v>
      </c>
    </row>
    <row r="690" customFormat="false" ht="15" hidden="false" customHeight="false" outlineLevel="0" collapsed="false">
      <c r="A690" s="2" t="n">
        <v>689</v>
      </c>
      <c r="B690" s="2" t="s">
        <v>1702</v>
      </c>
      <c r="C690" s="2" t="s">
        <v>1703</v>
      </c>
      <c r="D690" s="2"/>
      <c r="E690" s="2" t="s">
        <v>679</v>
      </c>
      <c r="F690" s="3" t="n">
        <v>0.000279</v>
      </c>
      <c r="G690" s="3" t="n">
        <f aca="false">SUM($F$2:F690)</f>
        <v>0.755537</v>
      </c>
      <c r="H690" s="4"/>
      <c r="I690" s="5"/>
      <c r="J690" s="4"/>
      <c r="K690" s="5"/>
      <c r="L690" s="6"/>
      <c r="M690" s="5" t="str">
        <f aca="false">IF(AND(N(K690)&gt;0,N(L690)&gt;0),K690/L690,"")</f>
        <v/>
      </c>
      <c r="N690" s="2" t="s">
        <v>1226</v>
      </c>
    </row>
    <row r="691" customFormat="false" ht="15" hidden="false" customHeight="false" outlineLevel="0" collapsed="false">
      <c r="A691" s="2" t="n">
        <v>690</v>
      </c>
      <c r="B691" s="2" t="s">
        <v>1704</v>
      </c>
      <c r="C691" s="2" t="s">
        <v>1705</v>
      </c>
      <c r="D691" s="2"/>
      <c r="E691" s="2" t="s">
        <v>289</v>
      </c>
      <c r="F691" s="3" t="n">
        <v>0.000278</v>
      </c>
      <c r="G691" s="3" t="n">
        <f aca="false">SUM($F$2:F691)</f>
        <v>0.755815</v>
      </c>
      <c r="H691" s="4"/>
      <c r="I691" s="5"/>
      <c r="J691" s="4"/>
      <c r="K691" s="5"/>
      <c r="L691" s="6"/>
      <c r="M691" s="5" t="str">
        <f aca="false">IF(AND(N(K691)&gt;0,N(L691)&gt;0),K691/L691,"")</f>
        <v/>
      </c>
      <c r="N691" s="2" t="s">
        <v>1226</v>
      </c>
    </row>
    <row r="692" customFormat="false" ht="15" hidden="false" customHeight="false" outlineLevel="0" collapsed="false">
      <c r="A692" s="2" t="n">
        <v>691</v>
      </c>
      <c r="B692" s="2" t="s">
        <v>1706</v>
      </c>
      <c r="C692" s="2" t="s">
        <v>1707</v>
      </c>
      <c r="D692" s="2"/>
      <c r="E692" s="2" t="s">
        <v>1050</v>
      </c>
      <c r="F692" s="3" t="n">
        <v>0.000278</v>
      </c>
      <c r="G692" s="3" t="n">
        <f aca="false">SUM($F$2:F692)</f>
        <v>0.756093</v>
      </c>
      <c r="H692" s="4"/>
      <c r="I692" s="5"/>
      <c r="J692" s="4"/>
      <c r="K692" s="5"/>
      <c r="L692" s="6"/>
      <c r="M692" s="5" t="str">
        <f aca="false">IF(AND(N(K692)&gt;0,N(L692)&gt;0),K692/L692,"")</f>
        <v/>
      </c>
      <c r="N692" s="2" t="s">
        <v>1226</v>
      </c>
    </row>
    <row r="693" customFormat="false" ht="15" hidden="false" customHeight="false" outlineLevel="0" collapsed="false">
      <c r="A693" s="2" t="n">
        <v>692</v>
      </c>
      <c r="B693" s="2" t="s">
        <v>1708</v>
      </c>
      <c r="C693" s="2" t="s">
        <v>1709</v>
      </c>
      <c r="D693" s="2"/>
      <c r="E693" s="2" t="s">
        <v>1588</v>
      </c>
      <c r="F693" s="3" t="n">
        <v>0.000278</v>
      </c>
      <c r="G693" s="3" t="n">
        <f aca="false">SUM($F$2:F693)</f>
        <v>0.756371</v>
      </c>
      <c r="H693" s="4"/>
      <c r="I693" s="5"/>
      <c r="J693" s="4"/>
      <c r="K693" s="5"/>
      <c r="L693" s="6"/>
      <c r="M693" s="5" t="str">
        <f aca="false">IF(AND(N(K693)&gt;0,N(L693)&gt;0),K693/L693,"")</f>
        <v/>
      </c>
      <c r="N693" s="2" t="s">
        <v>1226</v>
      </c>
    </row>
    <row r="694" customFormat="false" ht="15" hidden="false" customHeight="false" outlineLevel="0" collapsed="false">
      <c r="A694" s="2" t="n">
        <v>693</v>
      </c>
      <c r="B694" s="2" t="s">
        <v>1710</v>
      </c>
      <c r="C694" s="2" t="s">
        <v>1711</v>
      </c>
      <c r="D694" s="2"/>
      <c r="E694" s="2" t="s">
        <v>48</v>
      </c>
      <c r="F694" s="3" t="n">
        <v>0.000276</v>
      </c>
      <c r="G694" s="3" t="n">
        <f aca="false">SUM($F$2:F694)</f>
        <v>0.756647</v>
      </c>
      <c r="H694" s="4"/>
      <c r="I694" s="5"/>
      <c r="J694" s="4"/>
      <c r="K694" s="5"/>
      <c r="L694" s="6"/>
      <c r="M694" s="5" t="str">
        <f aca="false">IF(AND(N(K694)&gt;0,N(L694)&gt;0),K694/L694,"")</f>
        <v/>
      </c>
      <c r="N694" s="2" t="s">
        <v>1226</v>
      </c>
    </row>
    <row r="695" customFormat="false" ht="15" hidden="false" customHeight="false" outlineLevel="0" collapsed="false">
      <c r="A695" s="2" t="n">
        <v>694</v>
      </c>
      <c r="B695" s="2" t="s">
        <v>1712</v>
      </c>
      <c r="C695" s="2" t="s">
        <v>1713</v>
      </c>
      <c r="D695" s="2"/>
      <c r="E695" s="2" t="s">
        <v>48</v>
      </c>
      <c r="F695" s="3" t="n">
        <v>0.000276</v>
      </c>
      <c r="G695" s="3" t="n">
        <f aca="false">SUM($F$2:F695)</f>
        <v>0.756923</v>
      </c>
      <c r="H695" s="4"/>
      <c r="I695" s="5"/>
      <c r="J695" s="4"/>
      <c r="K695" s="5"/>
      <c r="L695" s="6"/>
      <c r="M695" s="5" t="str">
        <f aca="false">IF(AND(N(K695)&gt;0,N(L695)&gt;0),K695/L695,"")</f>
        <v/>
      </c>
      <c r="N695" s="2" t="s">
        <v>1226</v>
      </c>
    </row>
    <row r="696" customFormat="false" ht="15" hidden="false" customHeight="false" outlineLevel="0" collapsed="false">
      <c r="A696" s="2" t="n">
        <v>695</v>
      </c>
      <c r="B696" s="2" t="s">
        <v>1714</v>
      </c>
      <c r="C696" s="2" t="s">
        <v>1715</v>
      </c>
      <c r="D696" s="2"/>
      <c r="E696" s="2" t="s">
        <v>17</v>
      </c>
      <c r="F696" s="3" t="n">
        <v>0.000275</v>
      </c>
      <c r="G696" s="3" t="n">
        <f aca="false">SUM($F$2:F696)</f>
        <v>0.757198</v>
      </c>
      <c r="H696" s="4"/>
      <c r="I696" s="5"/>
      <c r="J696" s="4"/>
      <c r="K696" s="5"/>
      <c r="L696" s="6"/>
      <c r="M696" s="5" t="str">
        <f aca="false">IF(AND(N(K696)&gt;0,N(L696)&gt;0),K696/L696,"")</f>
        <v/>
      </c>
      <c r="N696" s="2" t="s">
        <v>1226</v>
      </c>
    </row>
    <row r="697" customFormat="false" ht="15" hidden="false" customHeight="false" outlineLevel="0" collapsed="false">
      <c r="A697" s="2" t="n">
        <v>696</v>
      </c>
      <c r="B697" s="2" t="s">
        <v>1716</v>
      </c>
      <c r="C697" s="2" t="s">
        <v>1717</v>
      </c>
      <c r="D697" s="2"/>
      <c r="E697" s="2" t="s">
        <v>334</v>
      </c>
      <c r="F697" s="3" t="n">
        <v>0.000274</v>
      </c>
      <c r="G697" s="3" t="n">
        <f aca="false">SUM($F$2:F697)</f>
        <v>0.757472</v>
      </c>
      <c r="H697" s="4"/>
      <c r="I697" s="5"/>
      <c r="J697" s="4"/>
      <c r="K697" s="5"/>
      <c r="L697" s="6"/>
      <c r="M697" s="5" t="str">
        <f aca="false">IF(AND(N(K697)&gt;0,N(L697)&gt;0),K697/L697,"")</f>
        <v/>
      </c>
      <c r="N697" s="2" t="s">
        <v>1226</v>
      </c>
    </row>
    <row r="698" customFormat="false" ht="15" hidden="false" customHeight="false" outlineLevel="0" collapsed="false">
      <c r="A698" s="2" t="n">
        <v>697</v>
      </c>
      <c r="B698" s="2" t="s">
        <v>1718</v>
      </c>
      <c r="C698" s="2" t="s">
        <v>1719</v>
      </c>
      <c r="D698" s="2"/>
      <c r="E698" s="2" t="s">
        <v>33</v>
      </c>
      <c r="F698" s="3" t="n">
        <v>0.000273</v>
      </c>
      <c r="G698" s="3" t="n">
        <f aca="false">SUM($F$2:F698)</f>
        <v>0.757745</v>
      </c>
      <c r="H698" s="4"/>
      <c r="I698" s="5"/>
      <c r="J698" s="4"/>
      <c r="K698" s="5"/>
      <c r="L698" s="6"/>
      <c r="M698" s="5" t="str">
        <f aca="false">IF(AND(N(K698)&gt;0,N(L698)&gt;0),K698/L698,"")</f>
        <v/>
      </c>
      <c r="N698" s="2" t="s">
        <v>1226</v>
      </c>
    </row>
    <row r="699" customFormat="false" ht="15" hidden="false" customHeight="false" outlineLevel="0" collapsed="false">
      <c r="A699" s="2" t="n">
        <v>698</v>
      </c>
      <c r="B699" s="2" t="s">
        <v>1720</v>
      </c>
      <c r="C699" s="2" t="s">
        <v>1721</v>
      </c>
      <c r="D699" s="2"/>
      <c r="E699" s="2" t="s">
        <v>25</v>
      </c>
      <c r="F699" s="3" t="n">
        <v>0.000272</v>
      </c>
      <c r="G699" s="3" t="n">
        <f aca="false">SUM($F$2:F699)</f>
        <v>0.758017</v>
      </c>
      <c r="H699" s="4"/>
      <c r="I699" s="5"/>
      <c r="J699" s="4"/>
      <c r="K699" s="5"/>
      <c r="L699" s="6"/>
      <c r="M699" s="5" t="str">
        <f aca="false">IF(AND(N(K699)&gt;0,N(L699)&gt;0),K699/L699,"")</f>
        <v/>
      </c>
      <c r="N699" s="2" t="s">
        <v>1226</v>
      </c>
    </row>
    <row r="700" customFormat="false" ht="15" hidden="false" customHeight="false" outlineLevel="0" collapsed="false">
      <c r="A700" s="2" t="n">
        <v>699</v>
      </c>
      <c r="B700" s="2" t="s">
        <v>1722</v>
      </c>
      <c r="C700" s="2" t="s">
        <v>1723</v>
      </c>
      <c r="D700" s="2"/>
      <c r="E700" s="2" t="s">
        <v>52</v>
      </c>
      <c r="F700" s="3" t="n">
        <v>0.000272</v>
      </c>
      <c r="G700" s="3" t="n">
        <f aca="false">SUM($F$2:F700)</f>
        <v>0.758289</v>
      </c>
      <c r="H700" s="4"/>
      <c r="I700" s="5"/>
      <c r="J700" s="4"/>
      <c r="K700" s="5"/>
      <c r="L700" s="6"/>
      <c r="M700" s="5" t="str">
        <f aca="false">IF(AND(N(K700)&gt;0,N(L700)&gt;0),K700/L700,"")</f>
        <v/>
      </c>
      <c r="N700" s="2" t="s">
        <v>1226</v>
      </c>
    </row>
    <row r="701" customFormat="false" ht="15" hidden="false" customHeight="false" outlineLevel="0" collapsed="false">
      <c r="A701" s="2" t="n">
        <v>700</v>
      </c>
      <c r="B701" s="2" t="s">
        <v>1724</v>
      </c>
      <c r="C701" s="2" t="s">
        <v>1725</v>
      </c>
      <c r="D701" s="2"/>
      <c r="E701" s="2" t="s">
        <v>860</v>
      </c>
      <c r="F701" s="3" t="n">
        <v>0.000271</v>
      </c>
      <c r="G701" s="3" t="n">
        <f aca="false">SUM($F$2:F701)</f>
        <v>0.75856</v>
      </c>
      <c r="H701" s="4"/>
      <c r="I701" s="5"/>
      <c r="J701" s="4"/>
      <c r="K701" s="5"/>
      <c r="L701" s="6"/>
      <c r="M701" s="5" t="str">
        <f aca="false">IF(AND(N(K701)&gt;0,N(L701)&gt;0),K701/L701,"")</f>
        <v/>
      </c>
      <c r="N701" s="2" t="s">
        <v>1226</v>
      </c>
    </row>
    <row r="702" customFormat="false" ht="15" hidden="false" customHeight="false" outlineLevel="0" collapsed="false">
      <c r="A702" s="2" t="n">
        <v>701</v>
      </c>
      <c r="B702" s="2" t="s">
        <v>1726</v>
      </c>
      <c r="C702" s="2" t="s">
        <v>1727</v>
      </c>
      <c r="D702" s="2"/>
      <c r="E702" s="2" t="s">
        <v>296</v>
      </c>
      <c r="F702" s="3" t="n">
        <v>0.000271</v>
      </c>
      <c r="G702" s="3" t="n">
        <f aca="false">SUM($F$2:F702)</f>
        <v>0.758831</v>
      </c>
      <c r="H702" s="4"/>
      <c r="I702" s="5"/>
      <c r="J702" s="4"/>
      <c r="K702" s="5"/>
      <c r="L702" s="6"/>
      <c r="M702" s="5" t="str">
        <f aca="false">IF(AND(N(K702)&gt;0,N(L702)&gt;0),K702/L702,"")</f>
        <v/>
      </c>
      <c r="N702" s="2" t="s">
        <v>1226</v>
      </c>
    </row>
    <row r="703" customFormat="false" ht="15" hidden="false" customHeight="false" outlineLevel="0" collapsed="false">
      <c r="A703" s="2" t="n">
        <v>702</v>
      </c>
      <c r="B703" s="2" t="s">
        <v>1728</v>
      </c>
      <c r="C703" s="2" t="s">
        <v>1729</v>
      </c>
      <c r="D703" s="2"/>
      <c r="E703" s="2" t="s">
        <v>29</v>
      </c>
      <c r="F703" s="3" t="n">
        <v>0.00027</v>
      </c>
      <c r="G703" s="3" t="n">
        <f aca="false">SUM($F$2:F703)</f>
        <v>0.759101</v>
      </c>
      <c r="H703" s="4"/>
      <c r="I703" s="5"/>
      <c r="J703" s="4"/>
      <c r="K703" s="5"/>
      <c r="L703" s="6"/>
      <c r="M703" s="5" t="str">
        <f aca="false">IF(AND(N(K703)&gt;0,N(L703)&gt;0),K703/L703,"")</f>
        <v/>
      </c>
      <c r="N703" s="2" t="s">
        <v>1226</v>
      </c>
    </row>
    <row r="704" customFormat="false" ht="15" hidden="false" customHeight="false" outlineLevel="0" collapsed="false">
      <c r="A704" s="2" t="n">
        <v>703</v>
      </c>
      <c r="B704" s="2" t="s">
        <v>1730</v>
      </c>
      <c r="C704" s="2" t="s">
        <v>1731</v>
      </c>
      <c r="D704" s="2"/>
      <c r="E704" s="2" t="s">
        <v>52</v>
      </c>
      <c r="F704" s="3" t="n">
        <v>0.00027</v>
      </c>
      <c r="G704" s="3" t="n">
        <f aca="false">SUM($F$2:F704)</f>
        <v>0.759371</v>
      </c>
      <c r="H704" s="4"/>
      <c r="I704" s="5"/>
      <c r="J704" s="4"/>
      <c r="K704" s="5"/>
      <c r="L704" s="6"/>
      <c r="M704" s="5" t="str">
        <f aca="false">IF(AND(N(K704)&gt;0,N(L704)&gt;0),K704/L704,"")</f>
        <v/>
      </c>
      <c r="N704" s="2" t="s">
        <v>1226</v>
      </c>
    </row>
    <row r="705" customFormat="false" ht="15" hidden="false" customHeight="false" outlineLevel="0" collapsed="false">
      <c r="A705" s="2" t="n">
        <v>704</v>
      </c>
      <c r="B705" s="2" t="s">
        <v>1732</v>
      </c>
      <c r="C705" s="2" t="s">
        <v>1733</v>
      </c>
      <c r="D705" s="2"/>
      <c r="E705" s="2" t="s">
        <v>29</v>
      </c>
      <c r="F705" s="3" t="n">
        <v>0.000269</v>
      </c>
      <c r="G705" s="3" t="n">
        <f aca="false">SUM($F$2:F705)</f>
        <v>0.75964</v>
      </c>
      <c r="H705" s="4"/>
      <c r="I705" s="5"/>
      <c r="J705" s="4"/>
      <c r="K705" s="5"/>
      <c r="L705" s="6"/>
      <c r="M705" s="5" t="str">
        <f aca="false">IF(AND(N(K705)&gt;0,N(L705)&gt;0),K705/L705,"")</f>
        <v/>
      </c>
      <c r="N705" s="2" t="s">
        <v>1226</v>
      </c>
    </row>
    <row r="706" customFormat="false" ht="15" hidden="false" customHeight="false" outlineLevel="0" collapsed="false">
      <c r="A706" s="2" t="n">
        <v>705</v>
      </c>
      <c r="B706" s="2" t="s">
        <v>1734</v>
      </c>
      <c r="C706" s="2" t="s">
        <v>1735</v>
      </c>
      <c r="D706" s="2"/>
      <c r="E706" s="2" t="s">
        <v>33</v>
      </c>
      <c r="F706" s="3" t="n">
        <v>0.000265</v>
      </c>
      <c r="G706" s="3" t="n">
        <f aca="false">SUM($F$2:F706)</f>
        <v>0.759905</v>
      </c>
      <c r="H706" s="4"/>
      <c r="I706" s="5"/>
      <c r="J706" s="4"/>
      <c r="K706" s="5"/>
      <c r="L706" s="6"/>
      <c r="M706" s="5" t="str">
        <f aca="false">IF(AND(N(K706)&gt;0,N(L706)&gt;0),K706/L706,"")</f>
        <v/>
      </c>
      <c r="N706" s="2" t="s">
        <v>1226</v>
      </c>
    </row>
    <row r="707" customFormat="false" ht="15" hidden="false" customHeight="false" outlineLevel="0" collapsed="false">
      <c r="A707" s="2" t="n">
        <v>706</v>
      </c>
      <c r="B707" s="2" t="s">
        <v>1736</v>
      </c>
      <c r="C707" s="2" t="s">
        <v>1737</v>
      </c>
      <c r="D707" s="2"/>
      <c r="E707" s="2" t="s">
        <v>33</v>
      </c>
      <c r="F707" s="3" t="n">
        <v>0.000265</v>
      </c>
      <c r="G707" s="3" t="n">
        <f aca="false">SUM($F$2:F707)</f>
        <v>0.76017</v>
      </c>
      <c r="H707" s="4"/>
      <c r="I707" s="5"/>
      <c r="J707" s="4"/>
      <c r="K707" s="5"/>
      <c r="L707" s="6"/>
      <c r="M707" s="5" t="str">
        <f aca="false">IF(AND(N(K707)&gt;0,N(L707)&gt;0),K707/L707,"")</f>
        <v/>
      </c>
      <c r="N707" s="2" t="s">
        <v>1226</v>
      </c>
    </row>
    <row r="708" customFormat="false" ht="15" hidden="false" customHeight="false" outlineLevel="0" collapsed="false">
      <c r="A708" s="2" t="n">
        <v>707</v>
      </c>
      <c r="B708" s="2" t="s">
        <v>1738</v>
      </c>
      <c r="C708" s="2" t="s">
        <v>1739</v>
      </c>
      <c r="D708" s="2"/>
      <c r="E708" s="2" t="s">
        <v>52</v>
      </c>
      <c r="F708" s="3" t="n">
        <v>0.000264</v>
      </c>
      <c r="G708" s="3" t="n">
        <f aca="false">SUM($F$2:F708)</f>
        <v>0.760434</v>
      </c>
      <c r="H708" s="4"/>
      <c r="I708" s="5"/>
      <c r="J708" s="4"/>
      <c r="K708" s="5"/>
      <c r="L708" s="6"/>
      <c r="M708" s="5" t="str">
        <f aca="false">IF(AND(N(K708)&gt;0,N(L708)&gt;0),K708/L708,"")</f>
        <v/>
      </c>
      <c r="N708" s="2" t="s">
        <v>1226</v>
      </c>
    </row>
    <row r="709" customFormat="false" ht="15" hidden="false" customHeight="false" outlineLevel="0" collapsed="false">
      <c r="A709" s="2" t="n">
        <v>708</v>
      </c>
      <c r="B709" s="2" t="s">
        <v>1740</v>
      </c>
      <c r="C709" s="2" t="s">
        <v>1741</v>
      </c>
      <c r="D709" s="2"/>
      <c r="E709" s="2" t="s">
        <v>52</v>
      </c>
      <c r="F709" s="3" t="n">
        <v>0.000264</v>
      </c>
      <c r="G709" s="3" t="n">
        <f aca="false">SUM($F$2:F709)</f>
        <v>0.760698</v>
      </c>
      <c r="H709" s="4"/>
      <c r="I709" s="5"/>
      <c r="J709" s="4"/>
      <c r="K709" s="5"/>
      <c r="L709" s="6"/>
      <c r="M709" s="5" t="str">
        <f aca="false">IF(AND(N(K709)&gt;0,N(L709)&gt;0),K709/L709,"")</f>
        <v/>
      </c>
      <c r="N709" s="2" t="s">
        <v>1226</v>
      </c>
    </row>
    <row r="710" customFormat="false" ht="15" hidden="false" customHeight="false" outlineLevel="0" collapsed="false">
      <c r="A710" s="2" t="n">
        <v>709</v>
      </c>
      <c r="B710" s="2" t="s">
        <v>1742</v>
      </c>
      <c r="C710" s="2" t="s">
        <v>1743</v>
      </c>
      <c r="D710" s="2"/>
      <c r="E710" s="2" t="s">
        <v>334</v>
      </c>
      <c r="F710" s="3" t="n">
        <v>0.000263</v>
      </c>
      <c r="G710" s="3" t="n">
        <f aca="false">SUM($F$2:F710)</f>
        <v>0.760961</v>
      </c>
      <c r="H710" s="4"/>
      <c r="I710" s="5"/>
      <c r="J710" s="4"/>
      <c r="K710" s="5"/>
      <c r="L710" s="6"/>
      <c r="M710" s="5" t="str">
        <f aca="false">IF(AND(N(K710)&gt;0,N(L710)&gt;0),K710/L710,"")</f>
        <v/>
      </c>
      <c r="N710" s="2" t="s">
        <v>1226</v>
      </c>
    </row>
    <row r="711" customFormat="false" ht="15" hidden="false" customHeight="false" outlineLevel="0" collapsed="false">
      <c r="A711" s="2" t="n">
        <v>710</v>
      </c>
      <c r="B711" s="2" t="s">
        <v>1744</v>
      </c>
      <c r="C711" s="2" t="s">
        <v>1745</v>
      </c>
      <c r="D711" s="2"/>
      <c r="E711" s="2" t="s">
        <v>811</v>
      </c>
      <c r="F711" s="3" t="n">
        <v>0.000263</v>
      </c>
      <c r="G711" s="3" t="n">
        <f aca="false">SUM($F$2:F711)</f>
        <v>0.761224</v>
      </c>
      <c r="H711" s="4"/>
      <c r="I711" s="5"/>
      <c r="J711" s="4"/>
      <c r="K711" s="5"/>
      <c r="L711" s="6"/>
      <c r="M711" s="5" t="str">
        <f aca="false">IF(AND(N(K711)&gt;0,N(L711)&gt;0),K711/L711,"")</f>
        <v/>
      </c>
      <c r="N711" s="2" t="s">
        <v>1226</v>
      </c>
    </row>
    <row r="712" customFormat="false" ht="15" hidden="false" customHeight="false" outlineLevel="0" collapsed="false">
      <c r="A712" s="2" t="n">
        <v>711</v>
      </c>
      <c r="B712" s="2" t="s">
        <v>1746</v>
      </c>
      <c r="C712" s="2" t="s">
        <v>1747</v>
      </c>
      <c r="D712" s="2"/>
      <c r="E712" s="2" t="s">
        <v>21</v>
      </c>
      <c r="F712" s="3" t="n">
        <v>0.000263</v>
      </c>
      <c r="G712" s="3" t="n">
        <f aca="false">SUM($F$2:F712)</f>
        <v>0.761487</v>
      </c>
      <c r="H712" s="4"/>
      <c r="I712" s="5"/>
      <c r="J712" s="4"/>
      <c r="K712" s="5"/>
      <c r="L712" s="6"/>
      <c r="M712" s="5" t="str">
        <f aca="false">IF(AND(N(K712)&gt;0,N(L712)&gt;0),K712/L712,"")</f>
        <v/>
      </c>
      <c r="N712" s="2" t="s">
        <v>1226</v>
      </c>
    </row>
    <row r="713" customFormat="false" ht="15" hidden="false" customHeight="false" outlineLevel="0" collapsed="false">
      <c r="A713" s="2" t="n">
        <v>712</v>
      </c>
      <c r="B713" s="2" t="s">
        <v>1748</v>
      </c>
      <c r="C713" s="2" t="s">
        <v>1749</v>
      </c>
      <c r="D713" s="2"/>
      <c r="E713" s="2" t="s">
        <v>48</v>
      </c>
      <c r="F713" s="3" t="n">
        <v>0.000262</v>
      </c>
      <c r="G713" s="3" t="n">
        <f aca="false">SUM($F$2:F713)</f>
        <v>0.761749</v>
      </c>
      <c r="H713" s="4"/>
      <c r="I713" s="5"/>
      <c r="J713" s="4"/>
      <c r="K713" s="5"/>
      <c r="L713" s="6"/>
      <c r="M713" s="5" t="str">
        <f aca="false">IF(AND(N(K713)&gt;0,N(L713)&gt;0),K713/L713,"")</f>
        <v/>
      </c>
      <c r="N713" s="2" t="s">
        <v>1226</v>
      </c>
    </row>
    <row r="714" customFormat="false" ht="15" hidden="false" customHeight="false" outlineLevel="0" collapsed="false">
      <c r="A714" s="2" t="n">
        <v>713</v>
      </c>
      <c r="B714" s="2" t="s">
        <v>1750</v>
      </c>
      <c r="C714" s="2" t="s">
        <v>1751</v>
      </c>
      <c r="D714" s="2"/>
      <c r="E714" s="2" t="s">
        <v>614</v>
      </c>
      <c r="F714" s="3" t="n">
        <v>0.000261</v>
      </c>
      <c r="G714" s="3" t="n">
        <f aca="false">SUM($F$2:F714)</f>
        <v>0.76201</v>
      </c>
      <c r="H714" s="4"/>
      <c r="I714" s="5"/>
      <c r="J714" s="4"/>
      <c r="K714" s="5"/>
      <c r="L714" s="6"/>
      <c r="M714" s="5" t="str">
        <f aca="false">IF(AND(N(K714)&gt;0,N(L714)&gt;0),K714/L714,"")</f>
        <v/>
      </c>
      <c r="N714" s="2" t="s">
        <v>1226</v>
      </c>
    </row>
    <row r="715" customFormat="false" ht="15" hidden="false" customHeight="false" outlineLevel="0" collapsed="false">
      <c r="A715" s="2" t="n">
        <v>714</v>
      </c>
      <c r="B715" s="2" t="s">
        <v>1752</v>
      </c>
      <c r="C715" s="2" t="s">
        <v>1753</v>
      </c>
      <c r="D715" s="2"/>
      <c r="E715" s="2" t="s">
        <v>48</v>
      </c>
      <c r="F715" s="3" t="n">
        <v>0.000261</v>
      </c>
      <c r="G715" s="3" t="n">
        <f aca="false">SUM($F$2:F715)</f>
        <v>0.762271</v>
      </c>
      <c r="H715" s="4"/>
      <c r="I715" s="5"/>
      <c r="J715" s="4"/>
      <c r="K715" s="5"/>
      <c r="L715" s="6"/>
      <c r="M715" s="5" t="str">
        <f aca="false">IF(AND(N(K715)&gt;0,N(L715)&gt;0),K715/L715,"")</f>
        <v/>
      </c>
      <c r="N715" s="2" t="s">
        <v>1226</v>
      </c>
    </row>
    <row r="716" customFormat="false" ht="15" hidden="false" customHeight="false" outlineLevel="0" collapsed="false">
      <c r="A716" s="2" t="n">
        <v>715</v>
      </c>
      <c r="B716" s="2" t="s">
        <v>1754</v>
      </c>
      <c r="C716" s="2" t="s">
        <v>1755</v>
      </c>
      <c r="D716" s="2"/>
      <c r="E716" s="2" t="s">
        <v>29</v>
      </c>
      <c r="F716" s="3" t="n">
        <v>0.00026</v>
      </c>
      <c r="G716" s="3" t="n">
        <f aca="false">SUM($F$2:F716)</f>
        <v>0.762531</v>
      </c>
      <c r="H716" s="4"/>
      <c r="I716" s="5"/>
      <c r="J716" s="4"/>
      <c r="K716" s="5"/>
      <c r="L716" s="6"/>
      <c r="M716" s="5" t="str">
        <f aca="false">IF(AND(N(K716)&gt;0,N(L716)&gt;0),K716/L716,"")</f>
        <v/>
      </c>
      <c r="N716" s="2" t="s">
        <v>1226</v>
      </c>
    </row>
    <row r="717" customFormat="false" ht="15" hidden="false" customHeight="false" outlineLevel="0" collapsed="false">
      <c r="A717" s="2" t="n">
        <v>716</v>
      </c>
      <c r="B717" s="2" t="s">
        <v>1756</v>
      </c>
      <c r="C717" s="2" t="s">
        <v>1757</v>
      </c>
      <c r="D717" s="2"/>
      <c r="E717" s="2" t="s">
        <v>33</v>
      </c>
      <c r="F717" s="3" t="n">
        <v>0.00026</v>
      </c>
      <c r="G717" s="3" t="n">
        <f aca="false">SUM($F$2:F717)</f>
        <v>0.762791</v>
      </c>
      <c r="H717" s="4"/>
      <c r="I717" s="5"/>
      <c r="J717" s="4"/>
      <c r="K717" s="5"/>
      <c r="L717" s="6"/>
      <c r="M717" s="5" t="str">
        <f aca="false">IF(AND(N(K717)&gt;0,N(L717)&gt;0),K717/L717,"")</f>
        <v/>
      </c>
      <c r="N717" s="2" t="s">
        <v>1226</v>
      </c>
    </row>
    <row r="718" customFormat="false" ht="15" hidden="false" customHeight="false" outlineLevel="0" collapsed="false">
      <c r="A718" s="2" t="n">
        <v>717</v>
      </c>
      <c r="B718" s="2" t="s">
        <v>1758</v>
      </c>
      <c r="C718" s="2" t="s">
        <v>1759</v>
      </c>
      <c r="D718" s="2"/>
      <c r="E718" s="2" t="s">
        <v>614</v>
      </c>
      <c r="F718" s="3" t="n">
        <v>0.000259</v>
      </c>
      <c r="G718" s="3" t="n">
        <f aca="false">SUM($F$2:F718)</f>
        <v>0.76305</v>
      </c>
      <c r="H718" s="4"/>
      <c r="I718" s="5"/>
      <c r="J718" s="4"/>
      <c r="K718" s="5"/>
      <c r="L718" s="6"/>
      <c r="M718" s="5" t="str">
        <f aca="false">IF(AND(N(K718)&gt;0,N(L718)&gt;0),K718/L718,"")</f>
        <v/>
      </c>
      <c r="N718" s="2" t="s">
        <v>1226</v>
      </c>
    </row>
    <row r="719" customFormat="false" ht="15" hidden="false" customHeight="false" outlineLevel="0" collapsed="false">
      <c r="A719" s="2" t="n">
        <v>718</v>
      </c>
      <c r="B719" s="2" t="s">
        <v>1760</v>
      </c>
      <c r="C719" s="2" t="s">
        <v>1761</v>
      </c>
      <c r="D719" s="2"/>
      <c r="E719" s="2" t="s">
        <v>25</v>
      </c>
      <c r="F719" s="3" t="n">
        <v>0.000259</v>
      </c>
      <c r="G719" s="3" t="n">
        <f aca="false">SUM($F$2:F719)</f>
        <v>0.763309</v>
      </c>
      <c r="H719" s="4"/>
      <c r="I719" s="5"/>
      <c r="J719" s="4"/>
      <c r="K719" s="5"/>
      <c r="L719" s="6"/>
      <c r="M719" s="5" t="str">
        <f aca="false">IF(AND(N(K719)&gt;0,N(L719)&gt;0),K719/L719,"")</f>
        <v/>
      </c>
      <c r="N719" s="2" t="s">
        <v>1226</v>
      </c>
    </row>
    <row r="720" customFormat="false" ht="15" hidden="false" customHeight="false" outlineLevel="0" collapsed="false">
      <c r="A720" s="2" t="n">
        <v>719</v>
      </c>
      <c r="B720" s="2" t="s">
        <v>1762</v>
      </c>
      <c r="C720" s="2" t="s">
        <v>1763</v>
      </c>
      <c r="D720" s="2"/>
      <c r="E720" s="2" t="s">
        <v>43</v>
      </c>
      <c r="F720" s="3" t="n">
        <v>0.000258</v>
      </c>
      <c r="G720" s="3" t="n">
        <f aca="false">SUM($F$2:F720)</f>
        <v>0.763567</v>
      </c>
      <c r="H720" s="4"/>
      <c r="I720" s="5"/>
      <c r="J720" s="4"/>
      <c r="K720" s="5"/>
      <c r="L720" s="6"/>
      <c r="M720" s="5" t="str">
        <f aca="false">IF(AND(N(K720)&gt;0,N(L720)&gt;0),K720/L720,"")</f>
        <v/>
      </c>
      <c r="N720" s="2" t="s">
        <v>1226</v>
      </c>
    </row>
    <row r="721" customFormat="false" ht="15" hidden="false" customHeight="false" outlineLevel="0" collapsed="false">
      <c r="A721" s="2" t="n">
        <v>720</v>
      </c>
      <c r="B721" s="2" t="s">
        <v>1764</v>
      </c>
      <c r="C721" s="2" t="s">
        <v>1765</v>
      </c>
      <c r="D721" s="2"/>
      <c r="E721" s="2" t="s">
        <v>289</v>
      </c>
      <c r="F721" s="3" t="n">
        <v>0.000258</v>
      </c>
      <c r="G721" s="3" t="n">
        <f aca="false">SUM($F$2:F721)</f>
        <v>0.763825</v>
      </c>
      <c r="H721" s="4"/>
      <c r="I721" s="5"/>
      <c r="J721" s="4"/>
      <c r="K721" s="5"/>
      <c r="L721" s="6"/>
      <c r="M721" s="5" t="str">
        <f aca="false">IF(AND(N(K721)&gt;0,N(L721)&gt;0),K721/L721,"")</f>
        <v/>
      </c>
      <c r="N721" s="2" t="s">
        <v>1226</v>
      </c>
    </row>
    <row r="722" customFormat="false" ht="15" hidden="false" customHeight="false" outlineLevel="0" collapsed="false">
      <c r="A722" s="2" t="n">
        <v>721</v>
      </c>
      <c r="B722" s="2" t="s">
        <v>1766</v>
      </c>
      <c r="C722" s="2" t="s">
        <v>1767</v>
      </c>
      <c r="D722" s="2"/>
      <c r="E722" s="2" t="s">
        <v>614</v>
      </c>
      <c r="F722" s="3" t="n">
        <v>0.000258</v>
      </c>
      <c r="G722" s="3" t="n">
        <f aca="false">SUM($F$2:F722)</f>
        <v>0.764083</v>
      </c>
      <c r="H722" s="4"/>
      <c r="I722" s="5"/>
      <c r="J722" s="4"/>
      <c r="K722" s="5"/>
      <c r="L722" s="6"/>
      <c r="M722" s="5" t="str">
        <f aca="false">IF(AND(N(K722)&gt;0,N(L722)&gt;0),K722/L722,"")</f>
        <v/>
      </c>
      <c r="N722" s="2" t="s">
        <v>1226</v>
      </c>
    </row>
    <row r="723" customFormat="false" ht="15" hidden="false" customHeight="false" outlineLevel="0" collapsed="false">
      <c r="A723" s="2" t="n">
        <v>722</v>
      </c>
      <c r="B723" s="2" t="s">
        <v>1768</v>
      </c>
      <c r="C723" s="2" t="s">
        <v>1769</v>
      </c>
      <c r="D723" s="2"/>
      <c r="E723" s="2" t="s">
        <v>82</v>
      </c>
      <c r="F723" s="3" t="n">
        <v>0.000258</v>
      </c>
      <c r="G723" s="3" t="n">
        <f aca="false">SUM($F$2:F723)</f>
        <v>0.764341</v>
      </c>
      <c r="H723" s="4"/>
      <c r="I723" s="5"/>
      <c r="J723" s="4"/>
      <c r="K723" s="5"/>
      <c r="L723" s="6"/>
      <c r="M723" s="5" t="str">
        <f aca="false">IF(AND(N(K723)&gt;0,N(L723)&gt;0),K723/L723,"")</f>
        <v/>
      </c>
      <c r="N723" s="2" t="s">
        <v>1226</v>
      </c>
    </row>
    <row r="724" customFormat="false" ht="15" hidden="false" customHeight="false" outlineLevel="0" collapsed="false">
      <c r="A724" s="2" t="n">
        <v>723</v>
      </c>
      <c r="B724" s="2" t="s">
        <v>1770</v>
      </c>
      <c r="C724" s="2" t="s">
        <v>1771</v>
      </c>
      <c r="D724" s="2"/>
      <c r="E724" s="2" t="s">
        <v>1284</v>
      </c>
      <c r="F724" s="3" t="n">
        <v>0.000258</v>
      </c>
      <c r="G724" s="3" t="n">
        <f aca="false">SUM($F$2:F724)</f>
        <v>0.764599</v>
      </c>
      <c r="H724" s="4"/>
      <c r="I724" s="5"/>
      <c r="J724" s="4"/>
      <c r="K724" s="5"/>
      <c r="L724" s="6"/>
      <c r="M724" s="5" t="str">
        <f aca="false">IF(AND(N(K724)&gt;0,N(L724)&gt;0),K724/L724,"")</f>
        <v/>
      </c>
      <c r="N724" s="2" t="s">
        <v>1226</v>
      </c>
    </row>
    <row r="725" customFormat="false" ht="15" hidden="false" customHeight="false" outlineLevel="0" collapsed="false">
      <c r="A725" s="2" t="n">
        <v>724</v>
      </c>
      <c r="B725" s="2" t="s">
        <v>1772</v>
      </c>
      <c r="C725" s="2" t="s">
        <v>1773</v>
      </c>
      <c r="D725" s="2"/>
      <c r="E725" s="2" t="s">
        <v>52</v>
      </c>
      <c r="F725" s="3" t="n">
        <v>0.000258</v>
      </c>
      <c r="G725" s="3" t="n">
        <f aca="false">SUM($F$2:F725)</f>
        <v>0.764857</v>
      </c>
      <c r="H725" s="4"/>
      <c r="I725" s="5"/>
      <c r="J725" s="4"/>
      <c r="K725" s="5"/>
      <c r="L725" s="6"/>
      <c r="M725" s="5" t="str">
        <f aca="false">IF(AND(N(K725)&gt;0,N(L725)&gt;0),K725/L725,"")</f>
        <v/>
      </c>
      <c r="N725" s="2" t="s">
        <v>1226</v>
      </c>
    </row>
    <row r="726" customFormat="false" ht="15" hidden="false" customHeight="false" outlineLevel="0" collapsed="false">
      <c r="A726" s="2" t="n">
        <v>725</v>
      </c>
      <c r="B726" s="2" t="s">
        <v>1774</v>
      </c>
      <c r="C726" s="2" t="s">
        <v>1775</v>
      </c>
      <c r="D726" s="2"/>
      <c r="E726" s="2" t="s">
        <v>700</v>
      </c>
      <c r="F726" s="3" t="n">
        <v>0.000258</v>
      </c>
      <c r="G726" s="3" t="n">
        <f aca="false">SUM($F$2:F726)</f>
        <v>0.765115</v>
      </c>
      <c r="H726" s="4"/>
      <c r="I726" s="5"/>
      <c r="J726" s="4"/>
      <c r="K726" s="5"/>
      <c r="L726" s="6"/>
      <c r="M726" s="5" t="str">
        <f aca="false">IF(AND(N(K726)&gt;0,N(L726)&gt;0),K726/L726,"")</f>
        <v/>
      </c>
      <c r="N726" s="2" t="s">
        <v>1226</v>
      </c>
    </row>
    <row r="727" customFormat="false" ht="15" hidden="false" customHeight="false" outlineLevel="0" collapsed="false">
      <c r="A727" s="2" t="n">
        <v>726</v>
      </c>
      <c r="B727" s="2" t="s">
        <v>1776</v>
      </c>
      <c r="C727" s="2" t="s">
        <v>1777</v>
      </c>
      <c r="D727" s="2"/>
      <c r="E727" s="2" t="s">
        <v>48</v>
      </c>
      <c r="F727" s="3" t="n">
        <v>0.000257</v>
      </c>
      <c r="G727" s="3" t="n">
        <f aca="false">SUM($F$2:F727)</f>
        <v>0.765372</v>
      </c>
      <c r="H727" s="4"/>
      <c r="I727" s="5"/>
      <c r="J727" s="4"/>
      <c r="K727" s="5"/>
      <c r="L727" s="6"/>
      <c r="M727" s="5" t="str">
        <f aca="false">IF(AND(N(K727)&gt;0,N(L727)&gt;0),K727/L727,"")</f>
        <v/>
      </c>
      <c r="N727" s="2" t="s">
        <v>1226</v>
      </c>
    </row>
    <row r="728" customFormat="false" ht="15" hidden="false" customHeight="false" outlineLevel="0" collapsed="false">
      <c r="A728" s="2" t="n">
        <v>727</v>
      </c>
      <c r="B728" s="2" t="s">
        <v>1778</v>
      </c>
      <c r="C728" s="2" t="s">
        <v>1779</v>
      </c>
      <c r="D728" s="2"/>
      <c r="E728" s="2" t="s">
        <v>38</v>
      </c>
      <c r="F728" s="3" t="n">
        <v>0.000257</v>
      </c>
      <c r="G728" s="3" t="n">
        <f aca="false">SUM($F$2:F728)</f>
        <v>0.765629</v>
      </c>
      <c r="H728" s="4"/>
      <c r="I728" s="5"/>
      <c r="J728" s="4"/>
      <c r="K728" s="5"/>
      <c r="L728" s="6"/>
      <c r="M728" s="5" t="str">
        <f aca="false">IF(AND(N(K728)&gt;0,N(L728)&gt;0),K728/L728,"")</f>
        <v/>
      </c>
      <c r="N728" s="2" t="s">
        <v>1226</v>
      </c>
    </row>
    <row r="729" customFormat="false" ht="15" hidden="false" customHeight="false" outlineLevel="0" collapsed="false">
      <c r="A729" s="2" t="n">
        <v>728</v>
      </c>
      <c r="B729" s="2" t="s">
        <v>1780</v>
      </c>
      <c r="C729" s="2" t="s">
        <v>1781</v>
      </c>
      <c r="D729" s="2"/>
      <c r="E729" s="2" t="s">
        <v>25</v>
      </c>
      <c r="F729" s="3" t="n">
        <v>0.000256</v>
      </c>
      <c r="G729" s="3" t="n">
        <f aca="false">SUM($F$2:F729)</f>
        <v>0.765885</v>
      </c>
      <c r="H729" s="4"/>
      <c r="I729" s="5"/>
      <c r="J729" s="4"/>
      <c r="K729" s="5"/>
      <c r="L729" s="6"/>
      <c r="M729" s="5" t="str">
        <f aca="false">IF(AND(N(K729)&gt;0,N(L729)&gt;0),K729/L729,"")</f>
        <v/>
      </c>
      <c r="N729" s="2" t="s">
        <v>1226</v>
      </c>
    </row>
    <row r="730" customFormat="false" ht="15" hidden="false" customHeight="false" outlineLevel="0" collapsed="false">
      <c r="A730" s="2" t="n">
        <v>729</v>
      </c>
      <c r="B730" s="2" t="s">
        <v>1782</v>
      </c>
      <c r="C730" s="2" t="s">
        <v>1783</v>
      </c>
      <c r="D730" s="2"/>
      <c r="E730" s="2" t="s">
        <v>82</v>
      </c>
      <c r="F730" s="3" t="n">
        <v>0.000256</v>
      </c>
      <c r="G730" s="3" t="n">
        <f aca="false">SUM($F$2:F730)</f>
        <v>0.766141</v>
      </c>
      <c r="H730" s="4"/>
      <c r="I730" s="5"/>
      <c r="J730" s="4"/>
      <c r="K730" s="5"/>
      <c r="L730" s="6"/>
      <c r="M730" s="5" t="str">
        <f aca="false">IF(AND(N(K730)&gt;0,N(L730)&gt;0),K730/L730,"")</f>
        <v/>
      </c>
      <c r="N730" s="2" t="s">
        <v>1226</v>
      </c>
    </row>
    <row r="731" customFormat="false" ht="15" hidden="false" customHeight="false" outlineLevel="0" collapsed="false">
      <c r="A731" s="2" t="n">
        <v>730</v>
      </c>
      <c r="B731" s="2" t="s">
        <v>1784</v>
      </c>
      <c r="C731" s="2" t="s">
        <v>1785</v>
      </c>
      <c r="D731" s="2"/>
      <c r="E731" s="2" t="s">
        <v>289</v>
      </c>
      <c r="F731" s="3" t="n">
        <v>0.000254</v>
      </c>
      <c r="G731" s="3" t="n">
        <f aca="false">SUM($F$2:F731)</f>
        <v>0.766395</v>
      </c>
      <c r="H731" s="4"/>
      <c r="I731" s="5"/>
      <c r="J731" s="4"/>
      <c r="K731" s="5"/>
      <c r="L731" s="6"/>
      <c r="M731" s="5" t="str">
        <f aca="false">IF(AND(N(K731)&gt;0,N(L731)&gt;0),K731/L731,"")</f>
        <v/>
      </c>
      <c r="N731" s="2" t="s">
        <v>1226</v>
      </c>
    </row>
    <row r="732" customFormat="false" ht="15" hidden="false" customHeight="false" outlineLevel="0" collapsed="false">
      <c r="A732" s="2" t="n">
        <v>731</v>
      </c>
      <c r="B732" s="2" t="s">
        <v>1786</v>
      </c>
      <c r="C732" s="2" t="s">
        <v>1787</v>
      </c>
      <c r="D732" s="2"/>
      <c r="E732" s="2" t="s">
        <v>29</v>
      </c>
      <c r="F732" s="3" t="n">
        <v>0.000254</v>
      </c>
      <c r="G732" s="3" t="n">
        <f aca="false">SUM($F$2:F732)</f>
        <v>0.766649</v>
      </c>
      <c r="H732" s="4"/>
      <c r="I732" s="5"/>
      <c r="J732" s="4"/>
      <c r="K732" s="5"/>
      <c r="L732" s="6"/>
      <c r="M732" s="5" t="str">
        <f aca="false">IF(AND(N(K732)&gt;0,N(L732)&gt;0),K732/L732,"")</f>
        <v/>
      </c>
      <c r="N732" s="2" t="s">
        <v>1226</v>
      </c>
    </row>
    <row r="733" customFormat="false" ht="15" hidden="false" customHeight="false" outlineLevel="0" collapsed="false">
      <c r="A733" s="2" t="n">
        <v>732</v>
      </c>
      <c r="B733" s="2" t="s">
        <v>1788</v>
      </c>
      <c r="C733" s="2" t="s">
        <v>1789</v>
      </c>
      <c r="D733" s="2"/>
      <c r="E733" s="2" t="s">
        <v>33</v>
      </c>
      <c r="F733" s="3" t="n">
        <v>0.000254</v>
      </c>
      <c r="G733" s="3" t="n">
        <f aca="false">SUM($F$2:F733)</f>
        <v>0.766903</v>
      </c>
      <c r="H733" s="4"/>
      <c r="I733" s="5"/>
      <c r="J733" s="4"/>
      <c r="K733" s="5"/>
      <c r="L733" s="6"/>
      <c r="M733" s="5" t="str">
        <f aca="false">IF(AND(N(K733)&gt;0,N(L733)&gt;0),K733/L733,"")</f>
        <v/>
      </c>
      <c r="N733" s="2" t="s">
        <v>1226</v>
      </c>
    </row>
    <row r="734" customFormat="false" ht="15" hidden="false" customHeight="false" outlineLevel="0" collapsed="false">
      <c r="A734" s="2" t="n">
        <v>733</v>
      </c>
      <c r="B734" s="2" t="s">
        <v>1790</v>
      </c>
      <c r="C734" s="2" t="s">
        <v>1791</v>
      </c>
      <c r="D734" s="2"/>
      <c r="E734" s="2" t="s">
        <v>52</v>
      </c>
      <c r="F734" s="3" t="n">
        <v>0.000253</v>
      </c>
      <c r="G734" s="3" t="n">
        <f aca="false">SUM($F$2:F734)</f>
        <v>0.767156</v>
      </c>
      <c r="H734" s="4"/>
      <c r="I734" s="5"/>
      <c r="J734" s="4"/>
      <c r="K734" s="5"/>
      <c r="L734" s="6"/>
      <c r="M734" s="5" t="str">
        <f aca="false">IF(AND(N(K734)&gt;0,N(L734)&gt;0),K734/L734,"")</f>
        <v/>
      </c>
      <c r="N734" s="2" t="s">
        <v>1226</v>
      </c>
    </row>
    <row r="735" customFormat="false" ht="15" hidden="false" customHeight="false" outlineLevel="0" collapsed="false">
      <c r="A735" s="2" t="n">
        <v>734</v>
      </c>
      <c r="B735" s="2" t="s">
        <v>1792</v>
      </c>
      <c r="C735" s="2" t="s">
        <v>1793</v>
      </c>
      <c r="D735" s="2"/>
      <c r="E735" s="2" t="s">
        <v>765</v>
      </c>
      <c r="F735" s="3" t="n">
        <v>0.000253</v>
      </c>
      <c r="G735" s="3" t="n">
        <f aca="false">SUM($F$2:F735)</f>
        <v>0.767409</v>
      </c>
      <c r="H735" s="4"/>
      <c r="I735" s="5"/>
      <c r="J735" s="4"/>
      <c r="K735" s="5"/>
      <c r="L735" s="6"/>
      <c r="M735" s="5" t="str">
        <f aca="false">IF(AND(N(K735)&gt;0,N(L735)&gt;0),K735/L735,"")</f>
        <v/>
      </c>
      <c r="N735" s="2" t="s">
        <v>1226</v>
      </c>
    </row>
    <row r="736" customFormat="false" ht="15" hidden="false" customHeight="false" outlineLevel="0" collapsed="false">
      <c r="A736" s="2" t="n">
        <v>735</v>
      </c>
      <c r="B736" s="2" t="s">
        <v>1794</v>
      </c>
      <c r="C736" s="2" t="s">
        <v>1795</v>
      </c>
      <c r="D736" s="2"/>
      <c r="E736" s="2" t="s">
        <v>614</v>
      </c>
      <c r="F736" s="3" t="n">
        <v>0.000253</v>
      </c>
      <c r="G736" s="3" t="n">
        <f aca="false">SUM($F$2:F736)</f>
        <v>0.767662</v>
      </c>
      <c r="H736" s="4"/>
      <c r="I736" s="5"/>
      <c r="J736" s="4"/>
      <c r="K736" s="5"/>
      <c r="L736" s="6"/>
      <c r="M736" s="5" t="str">
        <f aca="false">IF(AND(N(K736)&gt;0,N(L736)&gt;0),K736/L736,"")</f>
        <v/>
      </c>
      <c r="N736" s="2" t="s">
        <v>1226</v>
      </c>
    </row>
    <row r="737" customFormat="false" ht="15" hidden="false" customHeight="false" outlineLevel="0" collapsed="false">
      <c r="A737" s="2" t="n">
        <v>736</v>
      </c>
      <c r="B737" s="2" t="s">
        <v>1796</v>
      </c>
      <c r="C737" s="2" t="s">
        <v>1797</v>
      </c>
      <c r="D737" s="2"/>
      <c r="E737" s="2" t="s">
        <v>21</v>
      </c>
      <c r="F737" s="3" t="n">
        <v>0.000253</v>
      </c>
      <c r="G737" s="3" t="n">
        <f aca="false">SUM($F$2:F737)</f>
        <v>0.767915</v>
      </c>
      <c r="H737" s="4"/>
      <c r="I737" s="5"/>
      <c r="J737" s="4"/>
      <c r="K737" s="5"/>
      <c r="L737" s="6"/>
      <c r="M737" s="5" t="str">
        <f aca="false">IF(AND(N(K737)&gt;0,N(L737)&gt;0),K737/L737,"")</f>
        <v/>
      </c>
      <c r="N737" s="2" t="s">
        <v>1226</v>
      </c>
    </row>
    <row r="738" customFormat="false" ht="15" hidden="false" customHeight="false" outlineLevel="0" collapsed="false">
      <c r="A738" s="2" t="n">
        <v>737</v>
      </c>
      <c r="B738" s="2" t="s">
        <v>1798</v>
      </c>
      <c r="C738" s="2" t="s">
        <v>1799</v>
      </c>
      <c r="D738" s="2"/>
      <c r="E738" s="2" t="s">
        <v>43</v>
      </c>
      <c r="F738" s="3" t="n">
        <v>0.000253</v>
      </c>
      <c r="G738" s="3" t="n">
        <f aca="false">SUM($F$2:F738)</f>
        <v>0.768168</v>
      </c>
      <c r="H738" s="4"/>
      <c r="I738" s="5"/>
      <c r="J738" s="4"/>
      <c r="K738" s="5"/>
      <c r="L738" s="6"/>
      <c r="M738" s="5" t="str">
        <f aca="false">IF(AND(N(K738)&gt;0,N(L738)&gt;0),K738/L738,"")</f>
        <v/>
      </c>
      <c r="N738" s="2" t="s">
        <v>1226</v>
      </c>
    </row>
    <row r="739" customFormat="false" ht="15" hidden="false" customHeight="false" outlineLevel="0" collapsed="false">
      <c r="A739" s="2" t="n">
        <v>738</v>
      </c>
      <c r="B739" s="2" t="s">
        <v>1800</v>
      </c>
      <c r="C739" s="2" t="s">
        <v>1801</v>
      </c>
      <c r="D739" s="2"/>
      <c r="E739" s="2" t="s">
        <v>17</v>
      </c>
      <c r="F739" s="3" t="n">
        <v>0.000253</v>
      </c>
      <c r="G739" s="3" t="n">
        <f aca="false">SUM($F$2:F739)</f>
        <v>0.768421</v>
      </c>
      <c r="H739" s="4"/>
      <c r="I739" s="5"/>
      <c r="J739" s="4"/>
      <c r="K739" s="5"/>
      <c r="L739" s="6"/>
      <c r="M739" s="5" t="str">
        <f aca="false">IF(AND(N(K739)&gt;0,N(L739)&gt;0),K739/L739,"")</f>
        <v/>
      </c>
      <c r="N739" s="2" t="s">
        <v>1226</v>
      </c>
    </row>
    <row r="740" customFormat="false" ht="15" hidden="false" customHeight="false" outlineLevel="0" collapsed="false">
      <c r="A740" s="2" t="n">
        <v>739</v>
      </c>
      <c r="B740" s="2" t="s">
        <v>1802</v>
      </c>
      <c r="C740" s="2" t="s">
        <v>1803</v>
      </c>
      <c r="D740" s="2"/>
      <c r="E740" s="2" t="s">
        <v>289</v>
      </c>
      <c r="F740" s="3" t="n">
        <v>0.000253</v>
      </c>
      <c r="G740" s="3" t="n">
        <f aca="false">SUM($F$2:F740)</f>
        <v>0.768674</v>
      </c>
      <c r="H740" s="4"/>
      <c r="I740" s="5"/>
      <c r="J740" s="4"/>
      <c r="K740" s="5"/>
      <c r="L740" s="6"/>
      <c r="M740" s="5" t="str">
        <f aca="false">IF(AND(N(K740)&gt;0,N(L740)&gt;0),K740/L740,"")</f>
        <v/>
      </c>
      <c r="N740" s="2" t="s">
        <v>1226</v>
      </c>
    </row>
    <row r="741" customFormat="false" ht="15" hidden="false" customHeight="false" outlineLevel="0" collapsed="false">
      <c r="A741" s="2" t="n">
        <v>740</v>
      </c>
      <c r="B741" s="2" t="s">
        <v>1804</v>
      </c>
      <c r="C741" s="2" t="s">
        <v>1805</v>
      </c>
      <c r="D741" s="2"/>
      <c r="E741" s="2" t="s">
        <v>289</v>
      </c>
      <c r="F741" s="3" t="n">
        <v>0.000252</v>
      </c>
      <c r="G741" s="3" t="n">
        <f aca="false">SUM($F$2:F741)</f>
        <v>0.768926</v>
      </c>
      <c r="H741" s="4"/>
      <c r="I741" s="5"/>
      <c r="J741" s="4"/>
      <c r="K741" s="5"/>
      <c r="L741" s="6"/>
      <c r="M741" s="5" t="str">
        <f aca="false">IF(AND(N(K741)&gt;0,N(L741)&gt;0),K741/L741,"")</f>
        <v/>
      </c>
      <c r="N741" s="2" t="s">
        <v>1226</v>
      </c>
    </row>
    <row r="742" customFormat="false" ht="15" hidden="false" customHeight="false" outlineLevel="0" collapsed="false">
      <c r="A742" s="2" t="n">
        <v>741</v>
      </c>
      <c r="B742" s="2" t="s">
        <v>1806</v>
      </c>
      <c r="C742" s="2" t="s">
        <v>1807</v>
      </c>
      <c r="D742" s="2"/>
      <c r="E742" s="2" t="s">
        <v>289</v>
      </c>
      <c r="F742" s="3" t="n">
        <v>0.000251</v>
      </c>
      <c r="G742" s="3" t="n">
        <f aca="false">SUM($F$2:F742)</f>
        <v>0.769177</v>
      </c>
      <c r="H742" s="4"/>
      <c r="I742" s="5"/>
      <c r="J742" s="4"/>
      <c r="K742" s="5"/>
      <c r="L742" s="6"/>
      <c r="M742" s="5" t="str">
        <f aca="false">IF(AND(N(K742)&gt;0,N(L742)&gt;0),K742/L742,"")</f>
        <v/>
      </c>
      <c r="N742" s="2" t="s">
        <v>1226</v>
      </c>
    </row>
    <row r="743" customFormat="false" ht="15" hidden="false" customHeight="false" outlineLevel="0" collapsed="false">
      <c r="A743" s="2" t="n">
        <v>742</v>
      </c>
      <c r="B743" s="2" t="s">
        <v>1808</v>
      </c>
      <c r="C743" s="2" t="s">
        <v>1809</v>
      </c>
      <c r="D743" s="2"/>
      <c r="E743" s="2" t="s">
        <v>17</v>
      </c>
      <c r="F743" s="3" t="n">
        <v>0.000251</v>
      </c>
      <c r="G743" s="3" t="n">
        <f aca="false">SUM($F$2:F743)</f>
        <v>0.769428</v>
      </c>
      <c r="H743" s="4"/>
      <c r="I743" s="5"/>
      <c r="J743" s="4"/>
      <c r="K743" s="5"/>
      <c r="L743" s="6"/>
      <c r="M743" s="5" t="str">
        <f aca="false">IF(AND(N(K743)&gt;0,N(L743)&gt;0),K743/L743,"")</f>
        <v/>
      </c>
      <c r="N743" s="2" t="s">
        <v>1226</v>
      </c>
    </row>
    <row r="744" customFormat="false" ht="15" hidden="false" customHeight="false" outlineLevel="0" collapsed="false">
      <c r="A744" s="2" t="n">
        <v>743</v>
      </c>
      <c r="B744" s="2" t="s">
        <v>1810</v>
      </c>
      <c r="C744" s="2" t="s">
        <v>1811</v>
      </c>
      <c r="D744" s="2"/>
      <c r="E744" s="2" t="s">
        <v>33</v>
      </c>
      <c r="F744" s="3" t="n">
        <v>0.000251</v>
      </c>
      <c r="G744" s="3" t="n">
        <f aca="false">SUM($F$2:F744)</f>
        <v>0.769679</v>
      </c>
      <c r="H744" s="4"/>
      <c r="I744" s="5"/>
      <c r="J744" s="4"/>
      <c r="K744" s="5"/>
      <c r="L744" s="6"/>
      <c r="M744" s="5" t="str">
        <f aca="false">IF(AND(N(K744)&gt;0,N(L744)&gt;0),K744/L744,"")</f>
        <v/>
      </c>
      <c r="N744" s="2" t="s">
        <v>1226</v>
      </c>
    </row>
    <row r="745" customFormat="false" ht="15" hidden="false" customHeight="false" outlineLevel="0" collapsed="false">
      <c r="A745" s="2" t="n">
        <v>744</v>
      </c>
      <c r="B745" s="2" t="s">
        <v>1812</v>
      </c>
      <c r="C745" s="2" t="s">
        <v>1813</v>
      </c>
      <c r="D745" s="2"/>
      <c r="E745" s="2" t="s">
        <v>48</v>
      </c>
      <c r="F745" s="3" t="n">
        <v>0.000251</v>
      </c>
      <c r="G745" s="3" t="n">
        <f aca="false">SUM($F$2:F745)</f>
        <v>0.76993</v>
      </c>
      <c r="H745" s="4"/>
      <c r="I745" s="5"/>
      <c r="J745" s="4"/>
      <c r="K745" s="5"/>
      <c r="L745" s="6"/>
      <c r="M745" s="5" t="str">
        <f aca="false">IF(AND(N(K745)&gt;0,N(L745)&gt;0),K745/L745,"")</f>
        <v/>
      </c>
      <c r="N745" s="2" t="s">
        <v>1226</v>
      </c>
    </row>
    <row r="746" customFormat="false" ht="15" hidden="false" customHeight="false" outlineLevel="0" collapsed="false">
      <c r="A746" s="2" t="n">
        <v>745</v>
      </c>
      <c r="B746" s="2" t="s">
        <v>1814</v>
      </c>
      <c r="C746" s="2" t="s">
        <v>1815</v>
      </c>
      <c r="D746" s="2"/>
      <c r="E746" s="2" t="s">
        <v>173</v>
      </c>
      <c r="F746" s="3" t="n">
        <v>0.000251</v>
      </c>
      <c r="G746" s="3" t="n">
        <f aca="false">SUM($F$2:F746)</f>
        <v>0.770181</v>
      </c>
      <c r="H746" s="4"/>
      <c r="I746" s="5"/>
      <c r="J746" s="4"/>
      <c r="K746" s="5"/>
      <c r="L746" s="6"/>
      <c r="M746" s="5" t="str">
        <f aca="false">IF(AND(N(K746)&gt;0,N(L746)&gt;0),K746/L746,"")</f>
        <v/>
      </c>
      <c r="N746" s="2" t="s">
        <v>1226</v>
      </c>
    </row>
    <row r="747" customFormat="false" ht="15" hidden="false" customHeight="false" outlineLevel="0" collapsed="false">
      <c r="A747" s="2" t="n">
        <v>746</v>
      </c>
      <c r="B747" s="2" t="s">
        <v>1816</v>
      </c>
      <c r="C747" s="2" t="s">
        <v>1817</v>
      </c>
      <c r="D747" s="2"/>
      <c r="E747" s="2" t="s">
        <v>82</v>
      </c>
      <c r="F747" s="3" t="n">
        <v>0.000251</v>
      </c>
      <c r="G747" s="3" t="n">
        <f aca="false">SUM($F$2:F747)</f>
        <v>0.770432</v>
      </c>
      <c r="H747" s="4"/>
      <c r="I747" s="5"/>
      <c r="J747" s="4"/>
      <c r="K747" s="5"/>
      <c r="L747" s="6"/>
      <c r="M747" s="5" t="str">
        <f aca="false">IF(AND(N(K747)&gt;0,N(L747)&gt;0),K747/L747,"")</f>
        <v/>
      </c>
      <c r="N747" s="2" t="s">
        <v>1226</v>
      </c>
    </row>
    <row r="748" customFormat="false" ht="15" hidden="false" customHeight="false" outlineLevel="0" collapsed="false">
      <c r="A748" s="2" t="n">
        <v>747</v>
      </c>
      <c r="B748" s="2" t="s">
        <v>1818</v>
      </c>
      <c r="C748" s="2" t="s">
        <v>1819</v>
      </c>
      <c r="D748" s="2"/>
      <c r="E748" s="2" t="s">
        <v>296</v>
      </c>
      <c r="F748" s="3" t="n">
        <v>0.000251</v>
      </c>
      <c r="G748" s="3" t="n">
        <f aca="false">SUM($F$2:F748)</f>
        <v>0.770683</v>
      </c>
      <c r="H748" s="4"/>
      <c r="I748" s="5"/>
      <c r="J748" s="4"/>
      <c r="K748" s="5"/>
      <c r="L748" s="6"/>
      <c r="M748" s="5" t="str">
        <f aca="false">IF(AND(N(K748)&gt;0,N(L748)&gt;0),K748/L748,"")</f>
        <v/>
      </c>
      <c r="N748" s="2" t="s">
        <v>1226</v>
      </c>
    </row>
    <row r="749" customFormat="false" ht="15" hidden="false" customHeight="false" outlineLevel="0" collapsed="false">
      <c r="A749" s="2" t="n">
        <v>748</v>
      </c>
      <c r="B749" s="2" t="s">
        <v>1820</v>
      </c>
      <c r="C749" s="2" t="s">
        <v>1821</v>
      </c>
      <c r="D749" s="2"/>
      <c r="E749" s="2" t="s">
        <v>25</v>
      </c>
      <c r="F749" s="3" t="n">
        <v>0.00025</v>
      </c>
      <c r="G749" s="3" t="n">
        <f aca="false">SUM($F$2:F749)</f>
        <v>0.770933</v>
      </c>
      <c r="H749" s="4"/>
      <c r="I749" s="5"/>
      <c r="J749" s="4"/>
      <c r="K749" s="5"/>
      <c r="L749" s="6"/>
      <c r="M749" s="5" t="str">
        <f aca="false">IF(AND(N(K749)&gt;0,N(L749)&gt;0),K749/L749,"")</f>
        <v/>
      </c>
      <c r="N749" s="2" t="s">
        <v>1226</v>
      </c>
    </row>
    <row r="750" customFormat="false" ht="15" hidden="false" customHeight="false" outlineLevel="0" collapsed="false">
      <c r="A750" s="2" t="n">
        <v>749</v>
      </c>
      <c r="B750" s="2" t="s">
        <v>1822</v>
      </c>
      <c r="C750" s="2" t="s">
        <v>1823</v>
      </c>
      <c r="D750" s="2"/>
      <c r="E750" s="2" t="s">
        <v>21</v>
      </c>
      <c r="F750" s="3" t="n">
        <v>0.00025</v>
      </c>
      <c r="G750" s="3" t="n">
        <f aca="false">SUM($F$2:F750)</f>
        <v>0.771183</v>
      </c>
      <c r="H750" s="4"/>
      <c r="I750" s="5"/>
      <c r="J750" s="4"/>
      <c r="K750" s="5"/>
      <c r="L750" s="6"/>
      <c r="M750" s="5" t="str">
        <f aca="false">IF(AND(N(K750)&gt;0,N(L750)&gt;0),K750/L750,"")</f>
        <v/>
      </c>
      <c r="N750" s="2" t="s">
        <v>1226</v>
      </c>
    </row>
    <row r="751" customFormat="false" ht="15" hidden="false" customHeight="false" outlineLevel="0" collapsed="false">
      <c r="A751" s="2" t="n">
        <v>750</v>
      </c>
      <c r="B751" s="2" t="s">
        <v>1824</v>
      </c>
      <c r="C751" s="2" t="s">
        <v>1825</v>
      </c>
      <c r="D751" s="2"/>
      <c r="E751" s="2" t="s">
        <v>33</v>
      </c>
      <c r="F751" s="3" t="n">
        <v>0.000248</v>
      </c>
      <c r="G751" s="3" t="n">
        <f aca="false">SUM($F$2:F751)</f>
        <v>0.771431</v>
      </c>
      <c r="H751" s="4"/>
      <c r="I751" s="5"/>
      <c r="J751" s="4"/>
      <c r="K751" s="5"/>
      <c r="L751" s="6"/>
      <c r="M751" s="5" t="str">
        <f aca="false">IF(AND(N(K751)&gt;0,N(L751)&gt;0),K751/L751,"")</f>
        <v/>
      </c>
      <c r="N751" s="2" t="s">
        <v>1226</v>
      </c>
    </row>
    <row r="752" customFormat="false" ht="15" hidden="false" customHeight="false" outlineLevel="0" collapsed="false">
      <c r="A752" s="2" t="n">
        <v>751</v>
      </c>
      <c r="B752" s="2" t="s">
        <v>1826</v>
      </c>
      <c r="C752" s="2" t="s">
        <v>1827</v>
      </c>
      <c r="D752" s="2"/>
      <c r="E752" s="2" t="s">
        <v>29</v>
      </c>
      <c r="F752" s="3" t="n">
        <v>0.000248</v>
      </c>
      <c r="G752" s="3" t="n">
        <f aca="false">SUM($F$2:F752)</f>
        <v>0.771679</v>
      </c>
      <c r="H752" s="4"/>
      <c r="I752" s="5"/>
      <c r="J752" s="4"/>
      <c r="K752" s="5"/>
      <c r="L752" s="6"/>
      <c r="M752" s="5" t="str">
        <f aca="false">IF(AND(N(K752)&gt;0,N(L752)&gt;0),K752/L752,"")</f>
        <v/>
      </c>
      <c r="N752" s="2" t="s">
        <v>1226</v>
      </c>
    </row>
    <row r="753" customFormat="false" ht="15" hidden="false" customHeight="false" outlineLevel="0" collapsed="false">
      <c r="A753" s="2" t="n">
        <v>752</v>
      </c>
      <c r="B753" s="2" t="s">
        <v>1828</v>
      </c>
      <c r="C753" s="2" t="s">
        <v>1829</v>
      </c>
      <c r="D753" s="2"/>
      <c r="E753" s="2" t="s">
        <v>679</v>
      </c>
      <c r="F753" s="3" t="n">
        <v>0.000247</v>
      </c>
      <c r="G753" s="3" t="n">
        <f aca="false">SUM($F$2:F753)</f>
        <v>0.771926</v>
      </c>
      <c r="H753" s="4"/>
      <c r="I753" s="5"/>
      <c r="J753" s="4"/>
      <c r="K753" s="5"/>
      <c r="L753" s="6"/>
      <c r="M753" s="5" t="str">
        <f aca="false">IF(AND(N(K753)&gt;0,N(L753)&gt;0),K753/L753,"")</f>
        <v/>
      </c>
      <c r="N753" s="2" t="s">
        <v>1226</v>
      </c>
    </row>
    <row r="754" customFormat="false" ht="15" hidden="false" customHeight="false" outlineLevel="0" collapsed="false">
      <c r="A754" s="2" t="n">
        <v>753</v>
      </c>
      <c r="B754" s="2" t="s">
        <v>1830</v>
      </c>
      <c r="C754" s="2" t="s">
        <v>1831</v>
      </c>
      <c r="D754" s="2"/>
      <c r="E754" s="2" t="s">
        <v>52</v>
      </c>
      <c r="F754" s="3" t="n">
        <v>0.000247</v>
      </c>
      <c r="G754" s="3" t="n">
        <f aca="false">SUM($F$2:F754)</f>
        <v>0.772173</v>
      </c>
      <c r="H754" s="4"/>
      <c r="I754" s="5"/>
      <c r="J754" s="4"/>
      <c r="K754" s="5"/>
      <c r="L754" s="6"/>
      <c r="M754" s="5" t="str">
        <f aca="false">IF(AND(N(K754)&gt;0,N(L754)&gt;0),K754/L754,"")</f>
        <v/>
      </c>
      <c r="N754" s="2" t="s">
        <v>1226</v>
      </c>
    </row>
    <row r="755" customFormat="false" ht="15" hidden="false" customHeight="false" outlineLevel="0" collapsed="false">
      <c r="A755" s="2" t="n">
        <v>754</v>
      </c>
      <c r="B755" s="2" t="s">
        <v>1832</v>
      </c>
      <c r="C755" s="2" t="s">
        <v>1833</v>
      </c>
      <c r="D755" s="2"/>
      <c r="E755" s="2" t="s">
        <v>334</v>
      </c>
      <c r="F755" s="3" t="n">
        <v>0.000247</v>
      </c>
      <c r="G755" s="3" t="n">
        <f aca="false">SUM($F$2:F755)</f>
        <v>0.77242</v>
      </c>
      <c r="H755" s="4"/>
      <c r="I755" s="5"/>
      <c r="J755" s="4"/>
      <c r="K755" s="5"/>
      <c r="L755" s="6"/>
      <c r="M755" s="5" t="str">
        <f aca="false">IF(AND(N(K755)&gt;0,N(L755)&gt;0),K755/L755,"")</f>
        <v/>
      </c>
      <c r="N755" s="2" t="s">
        <v>1226</v>
      </c>
    </row>
    <row r="756" customFormat="false" ht="15" hidden="false" customHeight="false" outlineLevel="0" collapsed="false">
      <c r="A756" s="2" t="n">
        <v>755</v>
      </c>
      <c r="B756" s="2" t="s">
        <v>1834</v>
      </c>
      <c r="C756" s="2" t="s">
        <v>1835</v>
      </c>
      <c r="D756" s="2"/>
      <c r="E756" s="2" t="s">
        <v>289</v>
      </c>
      <c r="F756" s="3" t="n">
        <v>0.000247</v>
      </c>
      <c r="G756" s="3" t="n">
        <f aca="false">SUM($F$2:F756)</f>
        <v>0.772667</v>
      </c>
      <c r="H756" s="4"/>
      <c r="I756" s="5"/>
      <c r="J756" s="4"/>
      <c r="K756" s="5"/>
      <c r="L756" s="6"/>
      <c r="M756" s="5" t="str">
        <f aca="false">IF(AND(N(K756)&gt;0,N(L756)&gt;0),K756/L756,"")</f>
        <v/>
      </c>
      <c r="N756" s="2" t="s">
        <v>1226</v>
      </c>
    </row>
    <row r="757" customFormat="false" ht="15" hidden="false" customHeight="false" outlineLevel="0" collapsed="false">
      <c r="A757" s="2" t="n">
        <v>756</v>
      </c>
      <c r="B757" s="2" t="s">
        <v>1836</v>
      </c>
      <c r="C757" s="2" t="s">
        <v>1837</v>
      </c>
      <c r="D757" s="2"/>
      <c r="E757" s="2" t="s">
        <v>17</v>
      </c>
      <c r="F757" s="3" t="n">
        <v>0.000246</v>
      </c>
      <c r="G757" s="3" t="n">
        <f aca="false">SUM($F$2:F757)</f>
        <v>0.772913</v>
      </c>
      <c r="H757" s="4"/>
      <c r="I757" s="5"/>
      <c r="J757" s="4"/>
      <c r="K757" s="5"/>
      <c r="L757" s="6"/>
      <c r="M757" s="5" t="str">
        <f aca="false">IF(AND(N(K757)&gt;0,N(L757)&gt;0),K757/L757,"")</f>
        <v/>
      </c>
      <c r="N757" s="2" t="s">
        <v>1226</v>
      </c>
    </row>
    <row r="758" customFormat="false" ht="15" hidden="false" customHeight="false" outlineLevel="0" collapsed="false">
      <c r="A758" s="2" t="n">
        <v>757</v>
      </c>
      <c r="B758" s="2" t="s">
        <v>1838</v>
      </c>
      <c r="C758" s="2" t="s">
        <v>1839</v>
      </c>
      <c r="D758" s="2"/>
      <c r="E758" s="2" t="s">
        <v>48</v>
      </c>
      <c r="F758" s="3" t="n">
        <v>0.000246</v>
      </c>
      <c r="G758" s="3" t="n">
        <f aca="false">SUM($F$2:F758)</f>
        <v>0.773159</v>
      </c>
      <c r="H758" s="4"/>
      <c r="I758" s="5"/>
      <c r="J758" s="4"/>
      <c r="K758" s="5"/>
      <c r="L758" s="6"/>
      <c r="M758" s="5" t="str">
        <f aca="false">IF(AND(N(K758)&gt;0,N(L758)&gt;0),K758/L758,"")</f>
        <v/>
      </c>
      <c r="N758" s="2" t="s">
        <v>1226</v>
      </c>
    </row>
    <row r="759" customFormat="false" ht="15" hidden="false" customHeight="false" outlineLevel="0" collapsed="false">
      <c r="A759" s="2" t="n">
        <v>758</v>
      </c>
      <c r="B759" s="2" t="s">
        <v>1840</v>
      </c>
      <c r="C759" s="2" t="s">
        <v>1841</v>
      </c>
      <c r="D759" s="2"/>
      <c r="E759" s="2" t="s">
        <v>48</v>
      </c>
      <c r="F759" s="3" t="n">
        <v>0.000246</v>
      </c>
      <c r="G759" s="3" t="n">
        <f aca="false">SUM($F$2:F759)</f>
        <v>0.773405</v>
      </c>
      <c r="H759" s="4"/>
      <c r="I759" s="5"/>
      <c r="J759" s="4"/>
      <c r="K759" s="5"/>
      <c r="L759" s="6"/>
      <c r="M759" s="5" t="str">
        <f aca="false">IF(AND(N(K759)&gt;0,N(L759)&gt;0),K759/L759,"")</f>
        <v/>
      </c>
      <c r="N759" s="2" t="s">
        <v>1226</v>
      </c>
    </row>
    <row r="760" customFormat="false" ht="15" hidden="false" customHeight="false" outlineLevel="0" collapsed="false">
      <c r="A760" s="2" t="n">
        <v>759</v>
      </c>
      <c r="B760" s="2" t="s">
        <v>1842</v>
      </c>
      <c r="C760" s="2" t="s">
        <v>1843</v>
      </c>
      <c r="D760" s="2"/>
      <c r="E760" s="2" t="s">
        <v>29</v>
      </c>
      <c r="F760" s="3" t="n">
        <v>0.000245</v>
      </c>
      <c r="G760" s="3" t="n">
        <f aca="false">SUM($F$2:F760)</f>
        <v>0.77365</v>
      </c>
      <c r="H760" s="4"/>
      <c r="I760" s="5"/>
      <c r="J760" s="4"/>
      <c r="K760" s="5"/>
      <c r="L760" s="6"/>
      <c r="M760" s="5" t="str">
        <f aca="false">IF(AND(N(K760)&gt;0,N(L760)&gt;0),K760/L760,"")</f>
        <v/>
      </c>
      <c r="N760" s="2" t="s">
        <v>1226</v>
      </c>
    </row>
    <row r="761" customFormat="false" ht="15" hidden="false" customHeight="false" outlineLevel="0" collapsed="false">
      <c r="A761" s="2" t="n">
        <v>760</v>
      </c>
      <c r="B761" s="2" t="s">
        <v>1844</v>
      </c>
      <c r="C761" s="2" t="s">
        <v>1845</v>
      </c>
      <c r="D761" s="2"/>
      <c r="E761" s="2" t="s">
        <v>43</v>
      </c>
      <c r="F761" s="3" t="n">
        <v>0.000245</v>
      </c>
      <c r="G761" s="3" t="n">
        <f aca="false">SUM($F$2:F761)</f>
        <v>0.773895</v>
      </c>
      <c r="H761" s="4"/>
      <c r="I761" s="5"/>
      <c r="J761" s="4"/>
      <c r="K761" s="5"/>
      <c r="L761" s="6"/>
      <c r="M761" s="5" t="str">
        <f aca="false">IF(AND(N(K761)&gt;0,N(L761)&gt;0),K761/L761,"")</f>
        <v/>
      </c>
      <c r="N761" s="2" t="s">
        <v>1226</v>
      </c>
    </row>
    <row r="762" customFormat="false" ht="15" hidden="false" customHeight="false" outlineLevel="0" collapsed="false">
      <c r="A762" s="2" t="n">
        <v>761</v>
      </c>
      <c r="B762" s="2" t="s">
        <v>1846</v>
      </c>
      <c r="C762" s="2" t="s">
        <v>1847</v>
      </c>
      <c r="D762" s="2"/>
      <c r="E762" s="2" t="s">
        <v>52</v>
      </c>
      <c r="F762" s="3" t="n">
        <v>0.000245</v>
      </c>
      <c r="G762" s="3" t="n">
        <f aca="false">SUM($F$2:F762)</f>
        <v>0.77414</v>
      </c>
      <c r="H762" s="4"/>
      <c r="I762" s="5"/>
      <c r="J762" s="4"/>
      <c r="K762" s="5"/>
      <c r="L762" s="6"/>
      <c r="M762" s="5" t="str">
        <f aca="false">IF(AND(N(K762)&gt;0,N(L762)&gt;0),K762/L762,"")</f>
        <v/>
      </c>
      <c r="N762" s="2" t="s">
        <v>1226</v>
      </c>
    </row>
    <row r="763" customFormat="false" ht="15" hidden="false" customHeight="false" outlineLevel="0" collapsed="false">
      <c r="A763" s="2" t="n">
        <v>762</v>
      </c>
      <c r="B763" s="2" t="s">
        <v>1848</v>
      </c>
      <c r="C763" s="2" t="s">
        <v>1849</v>
      </c>
      <c r="D763" s="2"/>
      <c r="E763" s="2" t="s">
        <v>48</v>
      </c>
      <c r="F763" s="3" t="n">
        <v>0.000245</v>
      </c>
      <c r="G763" s="3" t="n">
        <f aca="false">SUM($F$2:F763)</f>
        <v>0.774385</v>
      </c>
      <c r="H763" s="4"/>
      <c r="I763" s="5"/>
      <c r="J763" s="4"/>
      <c r="K763" s="5"/>
      <c r="L763" s="6"/>
      <c r="M763" s="5" t="str">
        <f aca="false">IF(AND(N(K763)&gt;0,N(L763)&gt;0),K763/L763,"")</f>
        <v/>
      </c>
      <c r="N763" s="2" t="s">
        <v>1226</v>
      </c>
    </row>
    <row r="764" customFormat="false" ht="15" hidden="false" customHeight="false" outlineLevel="0" collapsed="false">
      <c r="A764" s="2" t="n">
        <v>763</v>
      </c>
      <c r="B764" s="2" t="s">
        <v>1850</v>
      </c>
      <c r="C764" s="2" t="s">
        <v>1851</v>
      </c>
      <c r="D764" s="2"/>
      <c r="E764" s="2" t="s">
        <v>289</v>
      </c>
      <c r="F764" s="3" t="n">
        <v>0.000245</v>
      </c>
      <c r="G764" s="3" t="n">
        <f aca="false">SUM($F$2:F764)</f>
        <v>0.77463</v>
      </c>
      <c r="H764" s="4"/>
      <c r="I764" s="5"/>
      <c r="J764" s="4"/>
      <c r="K764" s="5"/>
      <c r="L764" s="6"/>
      <c r="M764" s="5" t="str">
        <f aca="false">IF(AND(N(K764)&gt;0,N(L764)&gt;0),K764/L764,"")</f>
        <v/>
      </c>
      <c r="N764" s="2" t="s">
        <v>1226</v>
      </c>
    </row>
    <row r="765" customFormat="false" ht="15" hidden="false" customHeight="false" outlineLevel="0" collapsed="false">
      <c r="A765" s="2" t="n">
        <v>764</v>
      </c>
      <c r="B765" s="2" t="s">
        <v>1852</v>
      </c>
      <c r="C765" s="2" t="s">
        <v>1853</v>
      </c>
      <c r="D765" s="2"/>
      <c r="E765" s="2" t="s">
        <v>289</v>
      </c>
      <c r="F765" s="3" t="n">
        <v>0.000245</v>
      </c>
      <c r="G765" s="3" t="n">
        <f aca="false">SUM($F$2:F765)</f>
        <v>0.774875</v>
      </c>
      <c r="H765" s="4"/>
      <c r="I765" s="5"/>
      <c r="J765" s="4"/>
      <c r="K765" s="5"/>
      <c r="L765" s="6"/>
      <c r="M765" s="5" t="str">
        <f aca="false">IF(AND(N(K765)&gt;0,N(L765)&gt;0),K765/L765,"")</f>
        <v/>
      </c>
      <c r="N765" s="2" t="s">
        <v>1226</v>
      </c>
    </row>
    <row r="766" customFormat="false" ht="15" hidden="false" customHeight="false" outlineLevel="0" collapsed="false">
      <c r="A766" s="2" t="n">
        <v>765</v>
      </c>
      <c r="B766" s="2" t="s">
        <v>1854</v>
      </c>
      <c r="C766" s="2" t="s">
        <v>1855</v>
      </c>
      <c r="D766" s="2"/>
      <c r="E766" s="2" t="s">
        <v>29</v>
      </c>
      <c r="F766" s="3" t="n">
        <v>0.000244</v>
      </c>
      <c r="G766" s="3" t="n">
        <f aca="false">SUM($F$2:F766)</f>
        <v>0.775119</v>
      </c>
      <c r="H766" s="4"/>
      <c r="I766" s="5"/>
      <c r="J766" s="4"/>
      <c r="K766" s="5"/>
      <c r="L766" s="6"/>
      <c r="M766" s="5" t="str">
        <f aca="false">IF(AND(N(K766)&gt;0,N(L766)&gt;0),K766/L766,"")</f>
        <v/>
      </c>
      <c r="N766" s="2" t="s">
        <v>1226</v>
      </c>
    </row>
    <row r="767" customFormat="false" ht="15" hidden="false" customHeight="false" outlineLevel="0" collapsed="false">
      <c r="A767" s="2" t="n">
        <v>766</v>
      </c>
      <c r="B767" s="2" t="s">
        <v>1856</v>
      </c>
      <c r="C767" s="2" t="s">
        <v>1857</v>
      </c>
      <c r="D767" s="2"/>
      <c r="E767" s="2" t="s">
        <v>43</v>
      </c>
      <c r="F767" s="3" t="n">
        <v>0.000244</v>
      </c>
      <c r="G767" s="3" t="n">
        <f aca="false">SUM($F$2:F767)</f>
        <v>0.775363</v>
      </c>
      <c r="H767" s="4"/>
      <c r="I767" s="5"/>
      <c r="J767" s="4"/>
      <c r="K767" s="5"/>
      <c r="L767" s="6"/>
      <c r="M767" s="5" t="str">
        <f aca="false">IF(AND(N(K767)&gt;0,N(L767)&gt;0),K767/L767,"")</f>
        <v/>
      </c>
      <c r="N767" s="2" t="s">
        <v>1226</v>
      </c>
    </row>
    <row r="768" customFormat="false" ht="15" hidden="false" customHeight="false" outlineLevel="0" collapsed="false">
      <c r="A768" s="2" t="n">
        <v>767</v>
      </c>
      <c r="B768" s="2" t="s">
        <v>1858</v>
      </c>
      <c r="C768" s="2" t="s">
        <v>1859</v>
      </c>
      <c r="D768" s="2"/>
      <c r="E768" s="2" t="s">
        <v>52</v>
      </c>
      <c r="F768" s="3" t="n">
        <v>0.000244</v>
      </c>
      <c r="G768" s="3" t="n">
        <f aca="false">SUM($F$2:F768)</f>
        <v>0.775607</v>
      </c>
      <c r="H768" s="4"/>
      <c r="I768" s="5"/>
      <c r="J768" s="4"/>
      <c r="K768" s="5"/>
      <c r="L768" s="6"/>
      <c r="M768" s="5" t="str">
        <f aca="false">IF(AND(N(K768)&gt;0,N(L768)&gt;0),K768/L768,"")</f>
        <v/>
      </c>
      <c r="N768" s="2" t="s">
        <v>1226</v>
      </c>
    </row>
    <row r="769" customFormat="false" ht="15" hidden="false" customHeight="false" outlineLevel="0" collapsed="false">
      <c r="A769" s="2" t="n">
        <v>768</v>
      </c>
      <c r="B769" s="2" t="s">
        <v>1860</v>
      </c>
      <c r="C769" s="2" t="s">
        <v>1861</v>
      </c>
      <c r="D769" s="2"/>
      <c r="E769" s="2" t="s">
        <v>33</v>
      </c>
      <c r="F769" s="3" t="n">
        <v>0.000244</v>
      </c>
      <c r="G769" s="3" t="n">
        <f aca="false">SUM($F$2:F769)</f>
        <v>0.775851</v>
      </c>
      <c r="H769" s="4"/>
      <c r="I769" s="5"/>
      <c r="J769" s="4"/>
      <c r="K769" s="5"/>
      <c r="L769" s="6"/>
      <c r="M769" s="5" t="str">
        <f aca="false">IF(AND(N(K769)&gt;0,N(L769)&gt;0),K769/L769,"")</f>
        <v/>
      </c>
      <c r="N769" s="2" t="s">
        <v>1226</v>
      </c>
    </row>
    <row r="770" customFormat="false" ht="15" hidden="false" customHeight="false" outlineLevel="0" collapsed="false">
      <c r="A770" s="2" t="n">
        <v>769</v>
      </c>
      <c r="B770" s="2" t="s">
        <v>1862</v>
      </c>
      <c r="C770" s="2" t="s">
        <v>1863</v>
      </c>
      <c r="D770" s="2"/>
      <c r="E770" s="2" t="s">
        <v>38</v>
      </c>
      <c r="F770" s="3" t="n">
        <v>0.000243</v>
      </c>
      <c r="G770" s="3" t="n">
        <f aca="false">SUM($F$2:F770)</f>
        <v>0.776094</v>
      </c>
      <c r="H770" s="4"/>
      <c r="I770" s="5"/>
      <c r="J770" s="4"/>
      <c r="K770" s="5"/>
      <c r="L770" s="6"/>
      <c r="M770" s="5" t="str">
        <f aca="false">IF(AND(N(K770)&gt;0,N(L770)&gt;0),K770/L770,"")</f>
        <v/>
      </c>
      <c r="N770" s="2" t="s">
        <v>1226</v>
      </c>
    </row>
    <row r="771" customFormat="false" ht="15" hidden="false" customHeight="false" outlineLevel="0" collapsed="false">
      <c r="A771" s="2" t="n">
        <v>770</v>
      </c>
      <c r="B771" s="2" t="s">
        <v>1864</v>
      </c>
      <c r="C771" s="2" t="s">
        <v>1865</v>
      </c>
      <c r="D771" s="2"/>
      <c r="E771" s="2" t="s">
        <v>48</v>
      </c>
      <c r="F771" s="3" t="n">
        <v>0.000243</v>
      </c>
      <c r="G771" s="3" t="n">
        <f aca="false">SUM($F$2:F771)</f>
        <v>0.776337</v>
      </c>
      <c r="H771" s="4"/>
      <c r="I771" s="5"/>
      <c r="J771" s="4"/>
      <c r="K771" s="5"/>
      <c r="L771" s="6"/>
      <c r="M771" s="5" t="str">
        <f aca="false">IF(AND(N(K771)&gt;0,N(L771)&gt;0),K771/L771,"")</f>
        <v/>
      </c>
      <c r="N771" s="2" t="s">
        <v>1226</v>
      </c>
    </row>
    <row r="772" customFormat="false" ht="15" hidden="false" customHeight="false" outlineLevel="0" collapsed="false">
      <c r="A772" s="2" t="n">
        <v>771</v>
      </c>
      <c r="B772" s="2" t="s">
        <v>1866</v>
      </c>
      <c r="C772" s="2" t="s">
        <v>1867</v>
      </c>
      <c r="D772" s="2"/>
      <c r="E772" s="2" t="s">
        <v>38</v>
      </c>
      <c r="F772" s="3" t="n">
        <v>0.000243</v>
      </c>
      <c r="G772" s="3" t="n">
        <f aca="false">SUM($F$2:F772)</f>
        <v>0.77658</v>
      </c>
      <c r="H772" s="4"/>
      <c r="I772" s="5"/>
      <c r="J772" s="4"/>
      <c r="K772" s="5"/>
      <c r="L772" s="6"/>
      <c r="M772" s="5" t="str">
        <f aca="false">IF(AND(N(K772)&gt;0,N(L772)&gt;0),K772/L772,"")</f>
        <v/>
      </c>
      <c r="N772" s="2" t="s">
        <v>1226</v>
      </c>
    </row>
    <row r="773" customFormat="false" ht="15" hidden="false" customHeight="false" outlineLevel="0" collapsed="false">
      <c r="A773" s="2" t="n">
        <v>772</v>
      </c>
      <c r="B773" s="2" t="s">
        <v>1868</v>
      </c>
      <c r="C773" s="2" t="s">
        <v>1869</v>
      </c>
      <c r="D773" s="2"/>
      <c r="E773" s="2" t="s">
        <v>289</v>
      </c>
      <c r="F773" s="3" t="n">
        <v>0.000243</v>
      </c>
      <c r="G773" s="3" t="n">
        <f aca="false">SUM($F$2:F773)</f>
        <v>0.776823</v>
      </c>
      <c r="H773" s="4"/>
      <c r="I773" s="5"/>
      <c r="J773" s="4"/>
      <c r="K773" s="5"/>
      <c r="L773" s="6"/>
      <c r="M773" s="5" t="str">
        <f aca="false">IF(AND(N(K773)&gt;0,N(L773)&gt;0),K773/L773,"")</f>
        <v/>
      </c>
      <c r="N773" s="2" t="s">
        <v>1226</v>
      </c>
    </row>
    <row r="774" customFormat="false" ht="15" hidden="false" customHeight="false" outlineLevel="0" collapsed="false">
      <c r="A774" s="2" t="n">
        <v>773</v>
      </c>
      <c r="B774" s="2" t="s">
        <v>1870</v>
      </c>
      <c r="C774" s="2" t="s">
        <v>1871</v>
      </c>
      <c r="D774" s="2"/>
      <c r="E774" s="2" t="s">
        <v>52</v>
      </c>
      <c r="F774" s="3" t="n">
        <v>0.000243</v>
      </c>
      <c r="G774" s="3" t="n">
        <f aca="false">SUM($F$2:F774)</f>
        <v>0.777066</v>
      </c>
      <c r="H774" s="4"/>
      <c r="I774" s="5"/>
      <c r="J774" s="4"/>
      <c r="K774" s="5"/>
      <c r="L774" s="6"/>
      <c r="M774" s="5" t="str">
        <f aca="false">IF(AND(N(K774)&gt;0,N(L774)&gt;0),K774/L774,"")</f>
        <v/>
      </c>
      <c r="N774" s="2" t="s">
        <v>1226</v>
      </c>
    </row>
    <row r="775" customFormat="false" ht="15" hidden="false" customHeight="false" outlineLevel="0" collapsed="false">
      <c r="A775" s="2" t="n">
        <v>774</v>
      </c>
      <c r="B775" s="2" t="s">
        <v>1872</v>
      </c>
      <c r="C775" s="2" t="s">
        <v>1873</v>
      </c>
      <c r="D775" s="2"/>
      <c r="E775" s="2" t="s">
        <v>334</v>
      </c>
      <c r="F775" s="3" t="n">
        <v>0.000243</v>
      </c>
      <c r="G775" s="3" t="n">
        <f aca="false">SUM($F$2:F775)</f>
        <v>0.777309</v>
      </c>
      <c r="H775" s="4"/>
      <c r="I775" s="5"/>
      <c r="J775" s="4"/>
      <c r="K775" s="5"/>
      <c r="L775" s="6"/>
      <c r="M775" s="5" t="str">
        <f aca="false">IF(AND(N(K775)&gt;0,N(L775)&gt;0),K775/L775,"")</f>
        <v/>
      </c>
      <c r="N775" s="2" t="s">
        <v>1226</v>
      </c>
    </row>
    <row r="776" customFormat="false" ht="15" hidden="false" customHeight="false" outlineLevel="0" collapsed="false">
      <c r="A776" s="2" t="n">
        <v>775</v>
      </c>
      <c r="B776" s="2" t="s">
        <v>1874</v>
      </c>
      <c r="C776" s="2" t="s">
        <v>1875</v>
      </c>
      <c r="D776" s="2"/>
      <c r="E776" s="2" t="s">
        <v>289</v>
      </c>
      <c r="F776" s="3" t="n">
        <v>0.000243</v>
      </c>
      <c r="G776" s="3" t="n">
        <f aca="false">SUM($F$2:F776)</f>
        <v>0.777552</v>
      </c>
      <c r="H776" s="4"/>
      <c r="I776" s="5"/>
      <c r="J776" s="4"/>
      <c r="K776" s="5"/>
      <c r="L776" s="6"/>
      <c r="M776" s="5" t="str">
        <f aca="false">IF(AND(N(K776)&gt;0,N(L776)&gt;0),K776/L776,"")</f>
        <v/>
      </c>
      <c r="N776" s="2" t="s">
        <v>1226</v>
      </c>
    </row>
    <row r="777" customFormat="false" ht="15" hidden="false" customHeight="false" outlineLevel="0" collapsed="false">
      <c r="A777" s="2" t="n">
        <v>776</v>
      </c>
      <c r="B777" s="2" t="s">
        <v>1876</v>
      </c>
      <c r="C777" s="2" t="s">
        <v>1877</v>
      </c>
      <c r="D777" s="2"/>
      <c r="E777" s="2" t="s">
        <v>25</v>
      </c>
      <c r="F777" s="3" t="n">
        <v>0.000242</v>
      </c>
      <c r="G777" s="3" t="n">
        <f aca="false">SUM($F$2:F777)</f>
        <v>0.777794</v>
      </c>
      <c r="H777" s="4"/>
      <c r="I777" s="5"/>
      <c r="J777" s="4"/>
      <c r="K777" s="5"/>
      <c r="L777" s="6"/>
      <c r="M777" s="5" t="str">
        <f aca="false">IF(AND(N(K777)&gt;0,N(L777)&gt;0),K777/L777,"")</f>
        <v/>
      </c>
      <c r="N777" s="2" t="s">
        <v>1226</v>
      </c>
    </row>
    <row r="778" customFormat="false" ht="15" hidden="false" customHeight="false" outlineLevel="0" collapsed="false">
      <c r="A778" s="2" t="n">
        <v>777</v>
      </c>
      <c r="B778" s="2" t="s">
        <v>1878</v>
      </c>
      <c r="C778" s="2" t="s">
        <v>1879</v>
      </c>
      <c r="D778" s="2"/>
      <c r="E778" s="2" t="s">
        <v>52</v>
      </c>
      <c r="F778" s="3" t="n">
        <v>0.000242</v>
      </c>
      <c r="G778" s="3" t="n">
        <f aca="false">SUM($F$2:F778)</f>
        <v>0.778036</v>
      </c>
      <c r="H778" s="4"/>
      <c r="I778" s="5"/>
      <c r="J778" s="4"/>
      <c r="K778" s="5"/>
      <c r="L778" s="6"/>
      <c r="M778" s="5" t="str">
        <f aca="false">IF(AND(N(K778)&gt;0,N(L778)&gt;0),K778/L778,"")</f>
        <v/>
      </c>
      <c r="N778" s="2" t="s">
        <v>1226</v>
      </c>
    </row>
    <row r="779" customFormat="false" ht="15" hidden="false" customHeight="false" outlineLevel="0" collapsed="false">
      <c r="A779" s="2" t="n">
        <v>778</v>
      </c>
      <c r="B779" s="2" t="s">
        <v>1880</v>
      </c>
      <c r="C779" s="2" t="s">
        <v>1881</v>
      </c>
      <c r="D779" s="2"/>
      <c r="E779" s="2" t="s">
        <v>52</v>
      </c>
      <c r="F779" s="3" t="n">
        <v>0.000242</v>
      </c>
      <c r="G779" s="3" t="n">
        <f aca="false">SUM($F$2:F779)</f>
        <v>0.778278</v>
      </c>
      <c r="H779" s="4"/>
      <c r="I779" s="5"/>
      <c r="J779" s="4"/>
      <c r="K779" s="5"/>
      <c r="L779" s="6"/>
      <c r="M779" s="5" t="str">
        <f aca="false">IF(AND(N(K779)&gt;0,N(L779)&gt;0),K779/L779,"")</f>
        <v/>
      </c>
      <c r="N779" s="2" t="s">
        <v>1226</v>
      </c>
    </row>
    <row r="780" customFormat="false" ht="15" hidden="false" customHeight="false" outlineLevel="0" collapsed="false">
      <c r="A780" s="2" t="n">
        <v>779</v>
      </c>
      <c r="B780" s="2" t="s">
        <v>1882</v>
      </c>
      <c r="C780" s="2" t="s">
        <v>1883</v>
      </c>
      <c r="D780" s="2"/>
      <c r="E780" s="2" t="s">
        <v>334</v>
      </c>
      <c r="F780" s="3" t="n">
        <v>0.000242</v>
      </c>
      <c r="G780" s="3" t="n">
        <f aca="false">SUM($F$2:F780)</f>
        <v>0.77852</v>
      </c>
      <c r="H780" s="4"/>
      <c r="I780" s="5"/>
      <c r="J780" s="4"/>
      <c r="K780" s="5"/>
      <c r="L780" s="6"/>
      <c r="M780" s="5" t="str">
        <f aca="false">IF(AND(N(K780)&gt;0,N(L780)&gt;0),K780/L780,"")</f>
        <v/>
      </c>
      <c r="N780" s="2" t="s">
        <v>1226</v>
      </c>
    </row>
    <row r="781" customFormat="false" ht="15" hidden="false" customHeight="false" outlineLevel="0" collapsed="false">
      <c r="A781" s="2" t="n">
        <v>780</v>
      </c>
      <c r="B781" s="2" t="s">
        <v>1884</v>
      </c>
      <c r="C781" s="2" t="s">
        <v>1885</v>
      </c>
      <c r="D781" s="2"/>
      <c r="E781" s="2" t="s">
        <v>52</v>
      </c>
      <c r="F781" s="3" t="n">
        <v>0.000242</v>
      </c>
      <c r="G781" s="3" t="n">
        <f aca="false">SUM($F$2:F781)</f>
        <v>0.778762</v>
      </c>
      <c r="H781" s="4"/>
      <c r="I781" s="5"/>
      <c r="J781" s="4"/>
      <c r="K781" s="5"/>
      <c r="L781" s="6"/>
      <c r="M781" s="5" t="str">
        <f aca="false">IF(AND(N(K781)&gt;0,N(L781)&gt;0),K781/L781,"")</f>
        <v/>
      </c>
      <c r="N781" s="2" t="s">
        <v>1226</v>
      </c>
    </row>
    <row r="782" customFormat="false" ht="15" hidden="false" customHeight="false" outlineLevel="0" collapsed="false">
      <c r="A782" s="2" t="n">
        <v>781</v>
      </c>
      <c r="B782" s="2" t="s">
        <v>1886</v>
      </c>
      <c r="C782" s="2" t="s">
        <v>1887</v>
      </c>
      <c r="D782" s="2"/>
      <c r="E782" s="2" t="s">
        <v>33</v>
      </c>
      <c r="F782" s="3" t="n">
        <v>0.000241</v>
      </c>
      <c r="G782" s="3" t="n">
        <f aca="false">SUM($F$2:F782)</f>
        <v>0.779003</v>
      </c>
      <c r="H782" s="4"/>
      <c r="I782" s="5"/>
      <c r="J782" s="4"/>
      <c r="K782" s="5"/>
      <c r="L782" s="6"/>
      <c r="M782" s="5" t="str">
        <f aca="false">IF(AND(N(K782)&gt;0,N(L782)&gt;0),K782/L782,"")</f>
        <v/>
      </c>
      <c r="N782" s="2" t="s">
        <v>1226</v>
      </c>
    </row>
    <row r="783" customFormat="false" ht="15" hidden="false" customHeight="false" outlineLevel="0" collapsed="false">
      <c r="A783" s="2" t="n">
        <v>782</v>
      </c>
      <c r="B783" s="2" t="s">
        <v>1888</v>
      </c>
      <c r="C783" s="2" t="s">
        <v>1889</v>
      </c>
      <c r="D783" s="2"/>
      <c r="E783" s="2" t="s">
        <v>52</v>
      </c>
      <c r="F783" s="3" t="n">
        <v>0.000241</v>
      </c>
      <c r="G783" s="3" t="n">
        <f aca="false">SUM($F$2:F783)</f>
        <v>0.779244</v>
      </c>
      <c r="H783" s="4"/>
      <c r="I783" s="5"/>
      <c r="J783" s="4"/>
      <c r="K783" s="5"/>
      <c r="L783" s="6"/>
      <c r="M783" s="5" t="str">
        <f aca="false">IF(AND(N(K783)&gt;0,N(L783)&gt;0),K783/L783,"")</f>
        <v/>
      </c>
      <c r="N783" s="2" t="s">
        <v>1226</v>
      </c>
    </row>
    <row r="784" customFormat="false" ht="15" hidden="false" customHeight="false" outlineLevel="0" collapsed="false">
      <c r="A784" s="2" t="n">
        <v>783</v>
      </c>
      <c r="B784" s="2" t="s">
        <v>1890</v>
      </c>
      <c r="C784" s="2" t="s">
        <v>1891</v>
      </c>
      <c r="D784" s="2"/>
      <c r="E784" s="2" t="s">
        <v>25</v>
      </c>
      <c r="F784" s="3" t="n">
        <v>0.00024</v>
      </c>
      <c r="G784" s="3" t="n">
        <f aca="false">SUM($F$2:F784)</f>
        <v>0.779484</v>
      </c>
      <c r="H784" s="4"/>
      <c r="I784" s="5"/>
      <c r="J784" s="4"/>
      <c r="K784" s="5"/>
      <c r="L784" s="6"/>
      <c r="M784" s="5" t="str">
        <f aca="false">IF(AND(N(K784)&gt;0,N(L784)&gt;0),K784/L784,"")</f>
        <v/>
      </c>
      <c r="N784" s="2" t="s">
        <v>1226</v>
      </c>
    </row>
    <row r="785" customFormat="false" ht="15" hidden="false" customHeight="false" outlineLevel="0" collapsed="false">
      <c r="A785" s="2" t="n">
        <v>784</v>
      </c>
      <c r="B785" s="2" t="s">
        <v>1892</v>
      </c>
      <c r="C785" s="2" t="s">
        <v>1893</v>
      </c>
      <c r="D785" s="2"/>
      <c r="E785" s="2" t="s">
        <v>29</v>
      </c>
      <c r="F785" s="3" t="n">
        <v>0.00024</v>
      </c>
      <c r="G785" s="3" t="n">
        <f aca="false">SUM($F$2:F785)</f>
        <v>0.779724</v>
      </c>
      <c r="H785" s="4"/>
      <c r="I785" s="5"/>
      <c r="J785" s="4"/>
      <c r="K785" s="5"/>
      <c r="L785" s="6"/>
      <c r="M785" s="5" t="str">
        <f aca="false">IF(AND(N(K785)&gt;0,N(L785)&gt;0),K785/L785,"")</f>
        <v/>
      </c>
      <c r="N785" s="2" t="s">
        <v>1226</v>
      </c>
    </row>
    <row r="786" customFormat="false" ht="15" hidden="false" customHeight="false" outlineLevel="0" collapsed="false">
      <c r="A786" s="2" t="n">
        <v>785</v>
      </c>
      <c r="B786" s="2" t="s">
        <v>1894</v>
      </c>
      <c r="C786" s="2" t="s">
        <v>1895</v>
      </c>
      <c r="D786" s="2"/>
      <c r="E786" s="2" t="s">
        <v>17</v>
      </c>
      <c r="F786" s="3" t="n">
        <v>0.00024</v>
      </c>
      <c r="G786" s="3" t="n">
        <f aca="false">SUM($F$2:F786)</f>
        <v>0.779964</v>
      </c>
      <c r="H786" s="4"/>
      <c r="I786" s="5"/>
      <c r="J786" s="4"/>
      <c r="K786" s="5"/>
      <c r="L786" s="6"/>
      <c r="M786" s="5" t="str">
        <f aca="false">IF(AND(N(K786)&gt;0,N(L786)&gt;0),K786/L786,"")</f>
        <v/>
      </c>
      <c r="N786" s="2" t="s">
        <v>1226</v>
      </c>
    </row>
    <row r="787" customFormat="false" ht="15" hidden="false" customHeight="false" outlineLevel="0" collapsed="false">
      <c r="A787" s="2" t="n">
        <v>786</v>
      </c>
      <c r="B787" s="2" t="s">
        <v>1896</v>
      </c>
      <c r="C787" s="2" t="s">
        <v>1897</v>
      </c>
      <c r="D787" s="2"/>
      <c r="E787" s="2" t="s">
        <v>296</v>
      </c>
      <c r="F787" s="3" t="n">
        <v>0.00024</v>
      </c>
      <c r="G787" s="3" t="n">
        <f aca="false">SUM($F$2:F787)</f>
        <v>0.780204</v>
      </c>
      <c r="H787" s="4"/>
      <c r="I787" s="5"/>
      <c r="J787" s="4"/>
      <c r="K787" s="5"/>
      <c r="L787" s="6"/>
      <c r="M787" s="5" t="str">
        <f aca="false">IF(AND(N(K787)&gt;0,N(L787)&gt;0),K787/L787,"")</f>
        <v/>
      </c>
      <c r="N787" s="2" t="s">
        <v>1226</v>
      </c>
    </row>
    <row r="788" customFormat="false" ht="15" hidden="false" customHeight="false" outlineLevel="0" collapsed="false">
      <c r="A788" s="2" t="n">
        <v>787</v>
      </c>
      <c r="B788" s="2" t="s">
        <v>1898</v>
      </c>
      <c r="C788" s="2" t="s">
        <v>1899</v>
      </c>
      <c r="D788" s="2"/>
      <c r="E788" s="2" t="s">
        <v>1588</v>
      </c>
      <c r="F788" s="3" t="n">
        <v>0.000239</v>
      </c>
      <c r="G788" s="3" t="n">
        <f aca="false">SUM($F$2:F788)</f>
        <v>0.780443</v>
      </c>
      <c r="H788" s="4"/>
      <c r="I788" s="5"/>
      <c r="J788" s="4"/>
      <c r="K788" s="5"/>
      <c r="L788" s="6"/>
      <c r="M788" s="5" t="str">
        <f aca="false">IF(AND(N(K788)&gt;0,N(L788)&gt;0),K788/L788,"")</f>
        <v/>
      </c>
      <c r="N788" s="2" t="s">
        <v>1226</v>
      </c>
    </row>
    <row r="789" customFormat="false" ht="15" hidden="false" customHeight="false" outlineLevel="0" collapsed="false">
      <c r="A789" s="2" t="n">
        <v>788</v>
      </c>
      <c r="B789" s="2" t="s">
        <v>1900</v>
      </c>
      <c r="C789" s="2" t="s">
        <v>1901</v>
      </c>
      <c r="D789" s="2"/>
      <c r="E789" s="2" t="s">
        <v>289</v>
      </c>
      <c r="F789" s="3" t="n">
        <v>0.000239</v>
      </c>
      <c r="G789" s="3" t="n">
        <f aca="false">SUM($F$2:F789)</f>
        <v>0.780682</v>
      </c>
      <c r="H789" s="4"/>
      <c r="I789" s="5"/>
      <c r="J789" s="4"/>
      <c r="K789" s="5"/>
      <c r="L789" s="6"/>
      <c r="M789" s="5" t="str">
        <f aca="false">IF(AND(N(K789)&gt;0,N(L789)&gt;0),K789/L789,"")</f>
        <v/>
      </c>
      <c r="N789" s="2" t="s">
        <v>1226</v>
      </c>
    </row>
    <row r="790" customFormat="false" ht="15" hidden="false" customHeight="false" outlineLevel="0" collapsed="false">
      <c r="A790" s="2" t="n">
        <v>789</v>
      </c>
      <c r="B790" s="2" t="s">
        <v>1902</v>
      </c>
      <c r="C790" s="2" t="s">
        <v>1903</v>
      </c>
      <c r="D790" s="2"/>
      <c r="E790" s="2" t="s">
        <v>38</v>
      </c>
      <c r="F790" s="3" t="n">
        <v>0.000238</v>
      </c>
      <c r="G790" s="3" t="n">
        <f aca="false">SUM($F$2:F790)</f>
        <v>0.78092</v>
      </c>
      <c r="H790" s="4"/>
      <c r="I790" s="5"/>
      <c r="J790" s="4"/>
      <c r="K790" s="5"/>
      <c r="L790" s="6"/>
      <c r="M790" s="5" t="str">
        <f aca="false">IF(AND(N(K790)&gt;0,N(L790)&gt;0),K790/L790,"")</f>
        <v/>
      </c>
      <c r="N790" s="2" t="s">
        <v>1226</v>
      </c>
    </row>
    <row r="791" customFormat="false" ht="15" hidden="false" customHeight="false" outlineLevel="0" collapsed="false">
      <c r="A791" s="2" t="n">
        <v>790</v>
      </c>
      <c r="B791" s="2" t="s">
        <v>1904</v>
      </c>
      <c r="C791" s="2" t="s">
        <v>1905</v>
      </c>
      <c r="D791" s="2"/>
      <c r="E791" s="2" t="s">
        <v>52</v>
      </c>
      <c r="F791" s="3" t="n">
        <v>0.000238</v>
      </c>
      <c r="G791" s="3" t="n">
        <f aca="false">SUM($F$2:F791)</f>
        <v>0.781158</v>
      </c>
      <c r="H791" s="4"/>
      <c r="I791" s="5"/>
      <c r="J791" s="4"/>
      <c r="K791" s="5"/>
      <c r="L791" s="6"/>
      <c r="M791" s="5" t="str">
        <f aca="false">IF(AND(N(K791)&gt;0,N(L791)&gt;0),K791/L791,"")</f>
        <v/>
      </c>
      <c r="N791" s="2" t="s">
        <v>1226</v>
      </c>
    </row>
    <row r="792" customFormat="false" ht="15" hidden="false" customHeight="false" outlineLevel="0" collapsed="false">
      <c r="A792" s="2" t="n">
        <v>791</v>
      </c>
      <c r="B792" s="2" t="s">
        <v>1906</v>
      </c>
      <c r="C792" s="2" t="s">
        <v>1907</v>
      </c>
      <c r="D792" s="2"/>
      <c r="E792" s="2" t="s">
        <v>826</v>
      </c>
      <c r="F792" s="3" t="n">
        <v>0.000238</v>
      </c>
      <c r="G792" s="3" t="n">
        <f aca="false">SUM($F$2:F792)</f>
        <v>0.781396</v>
      </c>
      <c r="H792" s="4"/>
      <c r="I792" s="5"/>
      <c r="J792" s="4"/>
      <c r="K792" s="5"/>
      <c r="L792" s="6"/>
      <c r="M792" s="5" t="str">
        <f aca="false">IF(AND(N(K792)&gt;0,N(L792)&gt;0),K792/L792,"")</f>
        <v/>
      </c>
      <c r="N792" s="2" t="s">
        <v>1226</v>
      </c>
    </row>
    <row r="793" customFormat="false" ht="15" hidden="false" customHeight="false" outlineLevel="0" collapsed="false">
      <c r="A793" s="2" t="n">
        <v>792</v>
      </c>
      <c r="B793" s="2" t="s">
        <v>1908</v>
      </c>
      <c r="C793" s="2" t="s">
        <v>1909</v>
      </c>
      <c r="D793" s="2"/>
      <c r="E793" s="2" t="s">
        <v>43</v>
      </c>
      <c r="F793" s="3" t="n">
        <v>0.000238</v>
      </c>
      <c r="G793" s="3" t="n">
        <f aca="false">SUM($F$2:F793)</f>
        <v>0.781634</v>
      </c>
      <c r="H793" s="4"/>
      <c r="I793" s="5"/>
      <c r="J793" s="4"/>
      <c r="K793" s="5"/>
      <c r="L793" s="6"/>
      <c r="M793" s="5" t="str">
        <f aca="false">IF(AND(N(K793)&gt;0,N(L793)&gt;0),K793/L793,"")</f>
        <v/>
      </c>
      <c r="N793" s="2" t="s">
        <v>1226</v>
      </c>
    </row>
    <row r="794" customFormat="false" ht="15" hidden="false" customHeight="false" outlineLevel="0" collapsed="false">
      <c r="A794" s="2" t="n">
        <v>793</v>
      </c>
      <c r="B794" s="2" t="s">
        <v>1910</v>
      </c>
      <c r="C794" s="2" t="s">
        <v>1911</v>
      </c>
      <c r="D794" s="2"/>
      <c r="E794" s="2" t="s">
        <v>1345</v>
      </c>
      <c r="F794" s="3" t="n">
        <v>0.000237</v>
      </c>
      <c r="G794" s="3" t="n">
        <f aca="false">SUM($F$2:F794)</f>
        <v>0.781871</v>
      </c>
      <c r="H794" s="4"/>
      <c r="I794" s="5"/>
      <c r="J794" s="4"/>
      <c r="K794" s="5"/>
      <c r="L794" s="6"/>
      <c r="M794" s="5" t="str">
        <f aca="false">IF(AND(N(K794)&gt;0,N(L794)&gt;0),K794/L794,"")</f>
        <v/>
      </c>
      <c r="N794" s="2" t="s">
        <v>1226</v>
      </c>
    </row>
    <row r="795" customFormat="false" ht="15" hidden="false" customHeight="false" outlineLevel="0" collapsed="false">
      <c r="A795" s="2" t="n">
        <v>794</v>
      </c>
      <c r="B795" s="2" t="s">
        <v>1912</v>
      </c>
      <c r="C795" s="2" t="s">
        <v>1913</v>
      </c>
      <c r="D795" s="2"/>
      <c r="E795" s="2" t="s">
        <v>173</v>
      </c>
      <c r="F795" s="3" t="n">
        <v>0.000236</v>
      </c>
      <c r="G795" s="3" t="n">
        <f aca="false">SUM($F$2:F795)</f>
        <v>0.782107</v>
      </c>
      <c r="H795" s="4"/>
      <c r="I795" s="5"/>
      <c r="J795" s="4"/>
      <c r="K795" s="5"/>
      <c r="L795" s="6"/>
      <c r="M795" s="5" t="str">
        <f aca="false">IF(AND(N(K795)&gt;0,N(L795)&gt;0),K795/L795,"")</f>
        <v/>
      </c>
      <c r="N795" s="2" t="s">
        <v>1226</v>
      </c>
    </row>
    <row r="796" customFormat="false" ht="15" hidden="false" customHeight="false" outlineLevel="0" collapsed="false">
      <c r="A796" s="2" t="n">
        <v>795</v>
      </c>
      <c r="B796" s="2" t="s">
        <v>1914</v>
      </c>
      <c r="C796" s="2" t="s">
        <v>1915</v>
      </c>
      <c r="D796" s="2"/>
      <c r="E796" s="2" t="s">
        <v>679</v>
      </c>
      <c r="F796" s="3" t="n">
        <v>0.000236</v>
      </c>
      <c r="G796" s="3" t="n">
        <f aca="false">SUM($F$2:F796)</f>
        <v>0.782343</v>
      </c>
      <c r="H796" s="4"/>
      <c r="I796" s="5"/>
      <c r="J796" s="4"/>
      <c r="K796" s="5"/>
      <c r="L796" s="6"/>
      <c r="M796" s="5" t="str">
        <f aca="false">IF(AND(N(K796)&gt;0,N(L796)&gt;0),K796/L796,"")</f>
        <v/>
      </c>
      <c r="N796" s="2" t="s">
        <v>1226</v>
      </c>
    </row>
    <row r="797" customFormat="false" ht="15" hidden="false" customHeight="false" outlineLevel="0" collapsed="false">
      <c r="A797" s="2" t="n">
        <v>796</v>
      </c>
      <c r="B797" s="2" t="s">
        <v>1916</v>
      </c>
      <c r="C797" s="2" t="s">
        <v>1917</v>
      </c>
      <c r="D797" s="2"/>
      <c r="E797" s="2" t="s">
        <v>289</v>
      </c>
      <c r="F797" s="3" t="n">
        <v>0.000236</v>
      </c>
      <c r="G797" s="3" t="n">
        <f aca="false">SUM($F$2:F797)</f>
        <v>0.782579</v>
      </c>
      <c r="H797" s="4"/>
      <c r="I797" s="5"/>
      <c r="J797" s="4"/>
      <c r="K797" s="5"/>
      <c r="L797" s="6"/>
      <c r="M797" s="5" t="str">
        <f aca="false">IF(AND(N(K797)&gt;0,N(L797)&gt;0),K797/L797,"")</f>
        <v/>
      </c>
      <c r="N797" s="2" t="s">
        <v>1226</v>
      </c>
    </row>
    <row r="798" customFormat="false" ht="15" hidden="false" customHeight="false" outlineLevel="0" collapsed="false">
      <c r="A798" s="2" t="n">
        <v>797</v>
      </c>
      <c r="B798" s="2" t="s">
        <v>1918</v>
      </c>
      <c r="C798" s="2" t="s">
        <v>1919</v>
      </c>
      <c r="D798" s="2"/>
      <c r="E798" s="2" t="s">
        <v>29</v>
      </c>
      <c r="F798" s="3" t="n">
        <v>0.000235</v>
      </c>
      <c r="G798" s="3" t="n">
        <f aca="false">SUM($F$2:F798)</f>
        <v>0.782814</v>
      </c>
      <c r="H798" s="4"/>
      <c r="I798" s="5"/>
      <c r="J798" s="4"/>
      <c r="K798" s="5"/>
      <c r="L798" s="6"/>
      <c r="M798" s="5" t="str">
        <f aca="false">IF(AND(N(K798)&gt;0,N(L798)&gt;0),K798/L798,"")</f>
        <v/>
      </c>
      <c r="N798" s="2" t="s">
        <v>1226</v>
      </c>
    </row>
    <row r="799" customFormat="false" ht="15" hidden="false" customHeight="false" outlineLevel="0" collapsed="false">
      <c r="A799" s="2" t="n">
        <v>798</v>
      </c>
      <c r="B799" s="2" t="s">
        <v>1920</v>
      </c>
      <c r="C799" s="2" t="s">
        <v>1921</v>
      </c>
      <c r="D799" s="2"/>
      <c r="E799" s="2" t="s">
        <v>29</v>
      </c>
      <c r="F799" s="3" t="n">
        <v>0.000235</v>
      </c>
      <c r="G799" s="3" t="n">
        <f aca="false">SUM($F$2:F799)</f>
        <v>0.783049</v>
      </c>
      <c r="H799" s="4"/>
      <c r="I799" s="5"/>
      <c r="J799" s="4"/>
      <c r="K799" s="5"/>
      <c r="L799" s="6"/>
      <c r="M799" s="5" t="str">
        <f aca="false">IF(AND(N(K799)&gt;0,N(L799)&gt;0),K799/L799,"")</f>
        <v/>
      </c>
      <c r="N799" s="2" t="s">
        <v>1226</v>
      </c>
    </row>
    <row r="800" customFormat="false" ht="15" hidden="false" customHeight="false" outlineLevel="0" collapsed="false">
      <c r="A800" s="2" t="n">
        <v>799</v>
      </c>
      <c r="B800" s="2" t="s">
        <v>1922</v>
      </c>
      <c r="C800" s="2" t="s">
        <v>1923</v>
      </c>
      <c r="D800" s="2"/>
      <c r="E800" s="2" t="s">
        <v>29</v>
      </c>
      <c r="F800" s="3" t="n">
        <v>0.000234</v>
      </c>
      <c r="G800" s="3" t="n">
        <f aca="false">SUM($F$2:F800)</f>
        <v>0.783283</v>
      </c>
      <c r="H800" s="4"/>
      <c r="I800" s="5"/>
      <c r="J800" s="4"/>
      <c r="K800" s="5"/>
      <c r="L800" s="6"/>
      <c r="M800" s="5" t="str">
        <f aca="false">IF(AND(N(K800)&gt;0,N(L800)&gt;0),K800/L800,"")</f>
        <v/>
      </c>
      <c r="N800" s="2" t="s">
        <v>1226</v>
      </c>
    </row>
    <row r="801" customFormat="false" ht="15" hidden="false" customHeight="false" outlineLevel="0" collapsed="false">
      <c r="A801" s="2" t="n">
        <v>800</v>
      </c>
      <c r="B801" s="2" t="s">
        <v>1924</v>
      </c>
      <c r="C801" s="2" t="s">
        <v>1925</v>
      </c>
      <c r="D801" s="2"/>
      <c r="E801" s="2" t="s">
        <v>29</v>
      </c>
      <c r="F801" s="3" t="n">
        <v>0.000234</v>
      </c>
      <c r="G801" s="3" t="n">
        <f aca="false">SUM($F$2:F801)</f>
        <v>0.783517</v>
      </c>
      <c r="H801" s="4"/>
      <c r="I801" s="5"/>
      <c r="J801" s="4"/>
      <c r="K801" s="5"/>
      <c r="L801" s="6"/>
      <c r="M801" s="5" t="str">
        <f aca="false">IF(AND(N(K801)&gt;0,N(L801)&gt;0),K801/L801,"")</f>
        <v/>
      </c>
      <c r="N801" s="2" t="s">
        <v>1226</v>
      </c>
    </row>
    <row r="802" customFormat="false" ht="15" hidden="false" customHeight="false" outlineLevel="0" collapsed="false">
      <c r="A802" s="2" t="n">
        <v>801</v>
      </c>
      <c r="B802" s="2" t="s">
        <v>1926</v>
      </c>
      <c r="C802" s="2" t="s">
        <v>1927</v>
      </c>
      <c r="D802" s="2"/>
      <c r="E802" s="2" t="s">
        <v>1295</v>
      </c>
      <c r="F802" s="3" t="n">
        <v>0.000234</v>
      </c>
      <c r="G802" s="3" t="n">
        <f aca="false">SUM($F$2:F802)</f>
        <v>0.783751</v>
      </c>
      <c r="H802" s="4"/>
      <c r="I802" s="5"/>
      <c r="J802" s="4"/>
      <c r="K802" s="5"/>
      <c r="L802" s="6"/>
      <c r="M802" s="5" t="str">
        <f aca="false">IF(AND(N(K802)&gt;0,N(L802)&gt;0),K802/L802,"")</f>
        <v/>
      </c>
      <c r="N802" s="2" t="s">
        <v>1226</v>
      </c>
    </row>
    <row r="803" customFormat="false" ht="15" hidden="false" customHeight="false" outlineLevel="0" collapsed="false">
      <c r="A803" s="2" t="n">
        <v>802</v>
      </c>
      <c r="B803" s="2" t="s">
        <v>1928</v>
      </c>
      <c r="C803" s="2" t="s">
        <v>1929</v>
      </c>
      <c r="D803" s="2"/>
      <c r="E803" s="2" t="s">
        <v>539</v>
      </c>
      <c r="F803" s="3" t="n">
        <v>0.000234</v>
      </c>
      <c r="G803" s="3" t="n">
        <f aca="false">SUM($F$2:F803)</f>
        <v>0.783985</v>
      </c>
      <c r="H803" s="4"/>
      <c r="I803" s="5"/>
      <c r="J803" s="4"/>
      <c r="K803" s="5"/>
      <c r="L803" s="6"/>
      <c r="M803" s="5" t="str">
        <f aca="false">IF(AND(N(K803)&gt;0,N(L803)&gt;0),K803/L803,"")</f>
        <v/>
      </c>
      <c r="N803" s="2" t="s">
        <v>1226</v>
      </c>
    </row>
    <row r="804" customFormat="false" ht="15" hidden="false" customHeight="false" outlineLevel="0" collapsed="false">
      <c r="A804" s="2" t="n">
        <v>803</v>
      </c>
      <c r="B804" s="2" t="s">
        <v>1930</v>
      </c>
      <c r="C804" s="2" t="s">
        <v>1931</v>
      </c>
      <c r="D804" s="2"/>
      <c r="E804" s="2" t="s">
        <v>296</v>
      </c>
      <c r="F804" s="3" t="n">
        <v>0.000233</v>
      </c>
      <c r="G804" s="3" t="n">
        <f aca="false">SUM($F$2:F804)</f>
        <v>0.784218</v>
      </c>
      <c r="H804" s="4"/>
      <c r="I804" s="5"/>
      <c r="J804" s="4"/>
      <c r="K804" s="5"/>
      <c r="L804" s="6"/>
      <c r="M804" s="5" t="str">
        <f aca="false">IF(AND(N(K804)&gt;0,N(L804)&gt;0),K804/L804,"")</f>
        <v/>
      </c>
      <c r="N804" s="2" t="s">
        <v>1226</v>
      </c>
    </row>
    <row r="805" customFormat="false" ht="15" hidden="false" customHeight="false" outlineLevel="0" collapsed="false">
      <c r="A805" s="2" t="n">
        <v>804</v>
      </c>
      <c r="B805" s="2" t="s">
        <v>1932</v>
      </c>
      <c r="C805" s="2" t="s">
        <v>1933</v>
      </c>
      <c r="D805" s="2"/>
      <c r="E805" s="2" t="s">
        <v>48</v>
      </c>
      <c r="F805" s="3" t="n">
        <v>0.000233</v>
      </c>
      <c r="G805" s="3" t="n">
        <f aca="false">SUM($F$2:F805)</f>
        <v>0.784451</v>
      </c>
      <c r="H805" s="4"/>
      <c r="I805" s="5"/>
      <c r="J805" s="4"/>
      <c r="K805" s="5"/>
      <c r="L805" s="6"/>
      <c r="M805" s="5" t="str">
        <f aca="false">IF(AND(N(K805)&gt;0,N(L805)&gt;0),K805/L805,"")</f>
        <v/>
      </c>
      <c r="N805" s="2" t="s">
        <v>1226</v>
      </c>
    </row>
    <row r="806" customFormat="false" ht="15" hidden="false" customHeight="false" outlineLevel="0" collapsed="false">
      <c r="A806" s="2" t="n">
        <v>805</v>
      </c>
      <c r="B806" s="2" t="s">
        <v>1934</v>
      </c>
      <c r="C806" s="2" t="s">
        <v>1935</v>
      </c>
      <c r="D806" s="2"/>
      <c r="E806" s="2" t="s">
        <v>289</v>
      </c>
      <c r="F806" s="3" t="n">
        <v>0.000232</v>
      </c>
      <c r="G806" s="3" t="n">
        <f aca="false">SUM($F$2:F806)</f>
        <v>0.784683</v>
      </c>
      <c r="H806" s="4"/>
      <c r="I806" s="5"/>
      <c r="J806" s="4"/>
      <c r="K806" s="5"/>
      <c r="L806" s="6"/>
      <c r="M806" s="5" t="str">
        <f aca="false">IF(AND(N(K806)&gt;0,N(L806)&gt;0),K806/L806,"")</f>
        <v/>
      </c>
      <c r="N806" s="2" t="s">
        <v>1226</v>
      </c>
    </row>
    <row r="807" customFormat="false" ht="15" hidden="false" customHeight="false" outlineLevel="0" collapsed="false">
      <c r="A807" s="2" t="n">
        <v>806</v>
      </c>
      <c r="B807" s="2" t="s">
        <v>301</v>
      </c>
      <c r="C807" s="2" t="s">
        <v>1936</v>
      </c>
      <c r="D807" s="2"/>
      <c r="E807" s="2" t="s">
        <v>48</v>
      </c>
      <c r="F807" s="3" t="n">
        <v>0.000232</v>
      </c>
      <c r="G807" s="3" t="n">
        <f aca="false">SUM($F$2:F807)</f>
        <v>0.784915</v>
      </c>
      <c r="H807" s="4"/>
      <c r="I807" s="5"/>
      <c r="J807" s="4"/>
      <c r="K807" s="5"/>
      <c r="L807" s="6"/>
      <c r="M807" s="5" t="str">
        <f aca="false">IF(AND(N(K807)&gt;0,N(L807)&gt;0),K807/L807,"")</f>
        <v/>
      </c>
      <c r="N807" s="2" t="s">
        <v>34</v>
      </c>
    </row>
    <row r="808" customFormat="false" ht="15" hidden="false" customHeight="false" outlineLevel="0" collapsed="false">
      <c r="A808" s="2" t="n">
        <v>807</v>
      </c>
      <c r="B808" s="2" t="s">
        <v>1937</v>
      </c>
      <c r="C808" s="2" t="s">
        <v>1938</v>
      </c>
      <c r="D808" s="2"/>
      <c r="E808" s="2" t="s">
        <v>29</v>
      </c>
      <c r="F808" s="3" t="n">
        <v>0.000231</v>
      </c>
      <c r="G808" s="3" t="n">
        <f aca="false">SUM($F$2:F808)</f>
        <v>0.785146</v>
      </c>
      <c r="H808" s="4"/>
      <c r="I808" s="5"/>
      <c r="J808" s="4"/>
      <c r="K808" s="5"/>
      <c r="L808" s="6"/>
      <c r="M808" s="5" t="str">
        <f aca="false">IF(AND(N(K808)&gt;0,N(L808)&gt;0),K808/L808,"")</f>
        <v/>
      </c>
      <c r="N808" s="2" t="s">
        <v>1226</v>
      </c>
    </row>
    <row r="809" customFormat="false" ht="15" hidden="false" customHeight="false" outlineLevel="0" collapsed="false">
      <c r="A809" s="2" t="n">
        <v>808</v>
      </c>
      <c r="B809" s="2" t="s">
        <v>1939</v>
      </c>
      <c r="C809" s="2" t="s">
        <v>1940</v>
      </c>
      <c r="D809" s="2"/>
      <c r="E809" s="2" t="s">
        <v>52</v>
      </c>
      <c r="F809" s="3" t="n">
        <v>0.000231</v>
      </c>
      <c r="G809" s="3" t="n">
        <f aca="false">SUM($F$2:F809)</f>
        <v>0.785377</v>
      </c>
      <c r="H809" s="4"/>
      <c r="I809" s="5"/>
      <c r="J809" s="4"/>
      <c r="K809" s="5"/>
      <c r="L809" s="6"/>
      <c r="M809" s="5" t="str">
        <f aca="false">IF(AND(N(K809)&gt;0,N(L809)&gt;0),K809/L809,"")</f>
        <v/>
      </c>
      <c r="N809" s="2" t="s">
        <v>1226</v>
      </c>
    </row>
    <row r="810" customFormat="false" ht="15" hidden="false" customHeight="false" outlineLevel="0" collapsed="false">
      <c r="A810" s="2" t="n">
        <v>809</v>
      </c>
      <c r="B810" s="2" t="s">
        <v>1941</v>
      </c>
      <c r="C810" s="2" t="s">
        <v>1942</v>
      </c>
      <c r="D810" s="2"/>
      <c r="E810" s="2" t="s">
        <v>17</v>
      </c>
      <c r="F810" s="3" t="n">
        <v>0.000231</v>
      </c>
      <c r="G810" s="3" t="n">
        <f aca="false">SUM($F$2:F810)</f>
        <v>0.785608</v>
      </c>
      <c r="H810" s="4"/>
      <c r="I810" s="5"/>
      <c r="J810" s="4"/>
      <c r="K810" s="5"/>
      <c r="L810" s="6"/>
      <c r="M810" s="5" t="str">
        <f aca="false">IF(AND(N(K810)&gt;0,N(L810)&gt;0),K810/L810,"")</f>
        <v/>
      </c>
      <c r="N810" s="2" t="s">
        <v>1226</v>
      </c>
    </row>
    <row r="811" customFormat="false" ht="15" hidden="false" customHeight="false" outlineLevel="0" collapsed="false">
      <c r="A811" s="2" t="n">
        <v>810</v>
      </c>
      <c r="B811" s="2" t="s">
        <v>1943</v>
      </c>
      <c r="C811" s="2" t="s">
        <v>1944</v>
      </c>
      <c r="D811" s="2"/>
      <c r="E811" s="2" t="s">
        <v>289</v>
      </c>
      <c r="F811" s="3" t="n">
        <v>0.000231</v>
      </c>
      <c r="G811" s="3" t="n">
        <f aca="false">SUM($F$2:F811)</f>
        <v>0.785839</v>
      </c>
      <c r="H811" s="4"/>
      <c r="I811" s="5"/>
      <c r="J811" s="4"/>
      <c r="K811" s="5"/>
      <c r="L811" s="6"/>
      <c r="M811" s="5" t="str">
        <f aca="false">IF(AND(N(K811)&gt;0,N(L811)&gt;0),K811/L811,"")</f>
        <v/>
      </c>
      <c r="N811" s="2" t="s">
        <v>1226</v>
      </c>
    </row>
    <row r="812" customFormat="false" ht="15" hidden="false" customHeight="false" outlineLevel="0" collapsed="false">
      <c r="A812" s="2" t="n">
        <v>811</v>
      </c>
      <c r="B812" s="2" t="s">
        <v>1945</v>
      </c>
      <c r="C812" s="2" t="s">
        <v>1946</v>
      </c>
      <c r="D812" s="2"/>
      <c r="E812" s="2" t="s">
        <v>43</v>
      </c>
      <c r="F812" s="3" t="n">
        <v>0.000231</v>
      </c>
      <c r="G812" s="3" t="n">
        <f aca="false">SUM($F$2:F812)</f>
        <v>0.78607</v>
      </c>
      <c r="H812" s="4"/>
      <c r="I812" s="5"/>
      <c r="J812" s="4"/>
      <c r="K812" s="5"/>
      <c r="L812" s="6"/>
      <c r="M812" s="5" t="str">
        <f aca="false">IF(AND(N(K812)&gt;0,N(L812)&gt;0),K812/L812,"")</f>
        <v/>
      </c>
      <c r="N812" s="2" t="s">
        <v>1226</v>
      </c>
    </row>
    <row r="813" customFormat="false" ht="15" hidden="false" customHeight="false" outlineLevel="0" collapsed="false">
      <c r="A813" s="2" t="n">
        <v>812</v>
      </c>
      <c r="B813" s="2" t="s">
        <v>1947</v>
      </c>
      <c r="C813" s="2" t="s">
        <v>1948</v>
      </c>
      <c r="D813" s="2"/>
      <c r="E813" s="2" t="s">
        <v>29</v>
      </c>
      <c r="F813" s="3" t="n">
        <v>0.00023</v>
      </c>
      <c r="G813" s="3" t="n">
        <f aca="false">SUM($F$2:F813)</f>
        <v>0.7863</v>
      </c>
      <c r="H813" s="4"/>
      <c r="I813" s="5"/>
      <c r="J813" s="4"/>
      <c r="K813" s="5"/>
      <c r="L813" s="6"/>
      <c r="M813" s="5" t="str">
        <f aca="false">IF(AND(N(K813)&gt;0,N(L813)&gt;0),K813/L813,"")</f>
        <v/>
      </c>
      <c r="N813" s="2" t="s">
        <v>1226</v>
      </c>
    </row>
    <row r="814" customFormat="false" ht="15" hidden="false" customHeight="false" outlineLevel="0" collapsed="false">
      <c r="A814" s="2" t="n">
        <v>813</v>
      </c>
      <c r="B814" s="2" t="s">
        <v>1949</v>
      </c>
      <c r="C814" s="2" t="s">
        <v>1950</v>
      </c>
      <c r="D814" s="2"/>
      <c r="E814" s="2" t="s">
        <v>43</v>
      </c>
      <c r="F814" s="3" t="n">
        <v>0.00023</v>
      </c>
      <c r="G814" s="3" t="n">
        <f aca="false">SUM($F$2:F814)</f>
        <v>0.78653</v>
      </c>
      <c r="H814" s="4"/>
      <c r="I814" s="5"/>
      <c r="J814" s="4"/>
      <c r="K814" s="5"/>
      <c r="L814" s="6"/>
      <c r="M814" s="5" t="str">
        <f aca="false">IF(AND(N(K814)&gt;0,N(L814)&gt;0),K814/L814,"")</f>
        <v/>
      </c>
      <c r="N814" s="2" t="s">
        <v>1226</v>
      </c>
    </row>
    <row r="815" customFormat="false" ht="15" hidden="false" customHeight="false" outlineLevel="0" collapsed="false">
      <c r="A815" s="2" t="n">
        <v>814</v>
      </c>
      <c r="B815" s="2" t="s">
        <v>1951</v>
      </c>
      <c r="C815" s="2" t="s">
        <v>1952</v>
      </c>
      <c r="D815" s="2"/>
      <c r="E815" s="2" t="s">
        <v>17</v>
      </c>
      <c r="F815" s="3" t="n">
        <v>0.00023</v>
      </c>
      <c r="G815" s="3" t="n">
        <f aca="false">SUM($F$2:F815)</f>
        <v>0.78676</v>
      </c>
      <c r="H815" s="4"/>
      <c r="I815" s="5"/>
      <c r="J815" s="4"/>
      <c r="K815" s="5"/>
      <c r="L815" s="6"/>
      <c r="M815" s="5" t="str">
        <f aca="false">IF(AND(N(K815)&gt;0,N(L815)&gt;0),K815/L815,"")</f>
        <v/>
      </c>
      <c r="N815" s="2" t="s">
        <v>1226</v>
      </c>
    </row>
    <row r="816" customFormat="false" ht="15" hidden="false" customHeight="false" outlineLevel="0" collapsed="false">
      <c r="A816" s="2" t="n">
        <v>815</v>
      </c>
      <c r="B816" s="2" t="s">
        <v>1953</v>
      </c>
      <c r="C816" s="2" t="s">
        <v>1954</v>
      </c>
      <c r="D816" s="2"/>
      <c r="E816" s="2" t="s">
        <v>17</v>
      </c>
      <c r="F816" s="3" t="n">
        <v>0.000228</v>
      </c>
      <c r="G816" s="3" t="n">
        <f aca="false">SUM($F$2:F816)</f>
        <v>0.786988</v>
      </c>
      <c r="H816" s="4"/>
      <c r="I816" s="5"/>
      <c r="J816" s="4"/>
      <c r="K816" s="5"/>
      <c r="L816" s="6"/>
      <c r="M816" s="5" t="str">
        <f aca="false">IF(AND(N(K816)&gt;0,N(L816)&gt;0),K816/L816,"")</f>
        <v/>
      </c>
      <c r="N816" s="2" t="s">
        <v>1226</v>
      </c>
    </row>
    <row r="817" customFormat="false" ht="15" hidden="false" customHeight="false" outlineLevel="0" collapsed="false">
      <c r="A817" s="2" t="n">
        <v>816</v>
      </c>
      <c r="B817" s="2" t="s">
        <v>1955</v>
      </c>
      <c r="C817" s="2" t="s">
        <v>1956</v>
      </c>
      <c r="D817" s="2"/>
      <c r="E817" s="2" t="s">
        <v>826</v>
      </c>
      <c r="F817" s="3" t="n">
        <v>0.000228</v>
      </c>
      <c r="G817" s="3" t="n">
        <f aca="false">SUM($F$2:F817)</f>
        <v>0.787216</v>
      </c>
      <c r="H817" s="4"/>
      <c r="I817" s="5"/>
      <c r="J817" s="4"/>
      <c r="K817" s="5"/>
      <c r="L817" s="6"/>
      <c r="M817" s="5" t="str">
        <f aca="false">IF(AND(N(K817)&gt;0,N(L817)&gt;0),K817/L817,"")</f>
        <v/>
      </c>
      <c r="N817" s="2" t="s">
        <v>1226</v>
      </c>
    </row>
    <row r="818" customFormat="false" ht="15" hidden="false" customHeight="false" outlineLevel="0" collapsed="false">
      <c r="A818" s="2" t="n">
        <v>817</v>
      </c>
      <c r="B818" s="2" t="s">
        <v>1957</v>
      </c>
      <c r="C818" s="2" t="s">
        <v>1958</v>
      </c>
      <c r="D818" s="2"/>
      <c r="E818" s="2" t="s">
        <v>29</v>
      </c>
      <c r="F818" s="3" t="n">
        <v>0.000228</v>
      </c>
      <c r="G818" s="3" t="n">
        <f aca="false">SUM($F$2:F818)</f>
        <v>0.787444</v>
      </c>
      <c r="H818" s="4"/>
      <c r="I818" s="5"/>
      <c r="J818" s="4"/>
      <c r="K818" s="5"/>
      <c r="L818" s="6"/>
      <c r="M818" s="5" t="str">
        <f aca="false">IF(AND(N(K818)&gt;0,N(L818)&gt;0),K818/L818,"")</f>
        <v/>
      </c>
      <c r="N818" s="2" t="s">
        <v>1226</v>
      </c>
    </row>
    <row r="819" customFormat="false" ht="15" hidden="false" customHeight="false" outlineLevel="0" collapsed="false">
      <c r="A819" s="2" t="n">
        <v>818</v>
      </c>
      <c r="B819" s="2" t="s">
        <v>1959</v>
      </c>
      <c r="C819" s="2" t="s">
        <v>1960</v>
      </c>
      <c r="D819" s="2"/>
      <c r="E819" s="2" t="s">
        <v>29</v>
      </c>
      <c r="F819" s="3" t="n">
        <v>0.000227</v>
      </c>
      <c r="G819" s="3" t="n">
        <f aca="false">SUM($F$2:F819)</f>
        <v>0.787671</v>
      </c>
      <c r="H819" s="4"/>
      <c r="I819" s="5"/>
      <c r="J819" s="4"/>
      <c r="K819" s="5"/>
      <c r="L819" s="6"/>
      <c r="M819" s="5" t="str">
        <f aca="false">IF(AND(N(K819)&gt;0,N(L819)&gt;0),K819/L819,"")</f>
        <v/>
      </c>
      <c r="N819" s="2" t="s">
        <v>1226</v>
      </c>
    </row>
    <row r="820" customFormat="false" ht="15" hidden="false" customHeight="false" outlineLevel="0" collapsed="false">
      <c r="A820" s="2" t="n">
        <v>819</v>
      </c>
      <c r="B820" s="2" t="s">
        <v>1961</v>
      </c>
      <c r="C820" s="2" t="s">
        <v>1962</v>
      </c>
      <c r="D820" s="2"/>
      <c r="E820" s="2" t="s">
        <v>860</v>
      </c>
      <c r="F820" s="3" t="n">
        <v>0.000227</v>
      </c>
      <c r="G820" s="3" t="n">
        <f aca="false">SUM($F$2:F820)</f>
        <v>0.787898</v>
      </c>
      <c r="H820" s="4"/>
      <c r="I820" s="5"/>
      <c r="J820" s="4"/>
      <c r="K820" s="5"/>
      <c r="L820" s="6"/>
      <c r="M820" s="5" t="str">
        <f aca="false">IF(AND(N(K820)&gt;0,N(L820)&gt;0),K820/L820,"")</f>
        <v/>
      </c>
      <c r="N820" s="2" t="s">
        <v>1226</v>
      </c>
    </row>
    <row r="821" customFormat="false" ht="15" hidden="false" customHeight="false" outlineLevel="0" collapsed="false">
      <c r="A821" s="2" t="n">
        <v>820</v>
      </c>
      <c r="B821" s="2" t="s">
        <v>1963</v>
      </c>
      <c r="C821" s="2" t="s">
        <v>1964</v>
      </c>
      <c r="D821" s="2"/>
      <c r="E821" s="2" t="s">
        <v>860</v>
      </c>
      <c r="F821" s="3" t="n">
        <v>0.000227</v>
      </c>
      <c r="G821" s="3" t="n">
        <f aca="false">SUM($F$2:F821)</f>
        <v>0.788125</v>
      </c>
      <c r="H821" s="4"/>
      <c r="I821" s="5"/>
      <c r="J821" s="4"/>
      <c r="K821" s="5"/>
      <c r="L821" s="6"/>
      <c r="M821" s="5" t="str">
        <f aca="false">IF(AND(N(K821)&gt;0,N(L821)&gt;0),K821/L821,"")</f>
        <v/>
      </c>
      <c r="N821" s="2" t="s">
        <v>1226</v>
      </c>
    </row>
    <row r="822" customFormat="false" ht="15" hidden="false" customHeight="false" outlineLevel="0" collapsed="false">
      <c r="A822" s="2" t="n">
        <v>821</v>
      </c>
      <c r="B822" s="2" t="s">
        <v>1965</v>
      </c>
      <c r="C822" s="2" t="s">
        <v>1966</v>
      </c>
      <c r="D822" s="2"/>
      <c r="E822" s="2" t="s">
        <v>614</v>
      </c>
      <c r="F822" s="3" t="n">
        <v>0.000227</v>
      </c>
      <c r="G822" s="3" t="n">
        <f aca="false">SUM($F$2:F822)</f>
        <v>0.788352</v>
      </c>
      <c r="H822" s="4"/>
      <c r="I822" s="5"/>
      <c r="J822" s="4"/>
      <c r="K822" s="5"/>
      <c r="L822" s="6"/>
      <c r="M822" s="5" t="str">
        <f aca="false">IF(AND(N(K822)&gt;0,N(L822)&gt;0),K822/L822,"")</f>
        <v/>
      </c>
      <c r="N822" s="2" t="s">
        <v>1226</v>
      </c>
    </row>
    <row r="823" customFormat="false" ht="15" hidden="false" customHeight="false" outlineLevel="0" collapsed="false">
      <c r="A823" s="2" t="n">
        <v>822</v>
      </c>
      <c r="B823" s="2" t="s">
        <v>1967</v>
      </c>
      <c r="C823" s="2" t="s">
        <v>1968</v>
      </c>
      <c r="D823" s="2"/>
      <c r="E823" s="2" t="s">
        <v>289</v>
      </c>
      <c r="F823" s="3" t="n">
        <v>0.000226</v>
      </c>
      <c r="G823" s="3" t="n">
        <f aca="false">SUM($F$2:F823)</f>
        <v>0.788578</v>
      </c>
      <c r="H823" s="4"/>
      <c r="I823" s="5"/>
      <c r="J823" s="4"/>
      <c r="K823" s="5"/>
      <c r="L823" s="6"/>
      <c r="M823" s="5" t="str">
        <f aca="false">IF(AND(N(K823)&gt;0,N(L823)&gt;0),K823/L823,"")</f>
        <v/>
      </c>
      <c r="N823" s="2" t="s">
        <v>1226</v>
      </c>
    </row>
    <row r="824" customFormat="false" ht="15" hidden="false" customHeight="false" outlineLevel="0" collapsed="false">
      <c r="A824" s="2" t="n">
        <v>823</v>
      </c>
      <c r="B824" s="2" t="s">
        <v>1969</v>
      </c>
      <c r="C824" s="2" t="s">
        <v>1970</v>
      </c>
      <c r="D824" s="2"/>
      <c r="E824" s="2" t="s">
        <v>43</v>
      </c>
      <c r="F824" s="3" t="n">
        <v>0.000226</v>
      </c>
      <c r="G824" s="3" t="n">
        <f aca="false">SUM($F$2:F824)</f>
        <v>0.788804</v>
      </c>
      <c r="H824" s="4"/>
      <c r="I824" s="5"/>
      <c r="J824" s="4"/>
      <c r="K824" s="5"/>
      <c r="L824" s="6"/>
      <c r="M824" s="5" t="str">
        <f aca="false">IF(AND(N(K824)&gt;0,N(L824)&gt;0),K824/L824,"")</f>
        <v/>
      </c>
      <c r="N824" s="2" t="s">
        <v>1226</v>
      </c>
    </row>
    <row r="825" customFormat="false" ht="15" hidden="false" customHeight="false" outlineLevel="0" collapsed="false">
      <c r="A825" s="2" t="n">
        <v>824</v>
      </c>
      <c r="B825" s="2" t="s">
        <v>1971</v>
      </c>
      <c r="C825" s="2" t="s">
        <v>1972</v>
      </c>
      <c r="D825" s="2"/>
      <c r="E825" s="2" t="s">
        <v>17</v>
      </c>
      <c r="F825" s="3" t="n">
        <v>0.000226</v>
      </c>
      <c r="G825" s="3" t="n">
        <f aca="false">SUM($F$2:F825)</f>
        <v>0.78903</v>
      </c>
      <c r="H825" s="4"/>
      <c r="I825" s="5"/>
      <c r="J825" s="4"/>
      <c r="K825" s="5"/>
      <c r="L825" s="6"/>
      <c r="M825" s="5" t="str">
        <f aca="false">IF(AND(N(K825)&gt;0,N(L825)&gt;0),K825/L825,"")</f>
        <v/>
      </c>
      <c r="N825" s="2" t="s">
        <v>1226</v>
      </c>
    </row>
    <row r="826" customFormat="false" ht="15" hidden="false" customHeight="false" outlineLevel="0" collapsed="false">
      <c r="A826" s="2" t="n">
        <v>825</v>
      </c>
      <c r="B826" s="2" t="s">
        <v>1973</v>
      </c>
      <c r="C826" s="2" t="s">
        <v>1974</v>
      </c>
      <c r="D826" s="2"/>
      <c r="E826" s="2" t="s">
        <v>17</v>
      </c>
      <c r="F826" s="3" t="n">
        <v>0.000226</v>
      </c>
      <c r="G826" s="3" t="n">
        <f aca="false">SUM($F$2:F826)</f>
        <v>0.789256</v>
      </c>
      <c r="H826" s="4"/>
      <c r="I826" s="5"/>
      <c r="J826" s="4"/>
      <c r="K826" s="5"/>
      <c r="L826" s="6"/>
      <c r="M826" s="5" t="str">
        <f aca="false">IF(AND(N(K826)&gt;0,N(L826)&gt;0),K826/L826,"")</f>
        <v/>
      </c>
      <c r="N826" s="2" t="s">
        <v>1226</v>
      </c>
    </row>
    <row r="827" customFormat="false" ht="15" hidden="false" customHeight="false" outlineLevel="0" collapsed="false">
      <c r="A827" s="2" t="n">
        <v>826</v>
      </c>
      <c r="B827" s="2" t="s">
        <v>1975</v>
      </c>
      <c r="C827" s="2" t="s">
        <v>1976</v>
      </c>
      <c r="D827" s="2"/>
      <c r="E827" s="2" t="s">
        <v>33</v>
      </c>
      <c r="F827" s="3" t="n">
        <v>0.000225</v>
      </c>
      <c r="G827" s="3" t="n">
        <f aca="false">SUM($F$2:F827)</f>
        <v>0.789481</v>
      </c>
      <c r="H827" s="4"/>
      <c r="I827" s="5"/>
      <c r="J827" s="4"/>
      <c r="K827" s="5"/>
      <c r="L827" s="6"/>
      <c r="M827" s="5" t="str">
        <f aca="false">IF(AND(N(K827)&gt;0,N(L827)&gt;0),K827/L827,"")</f>
        <v/>
      </c>
      <c r="N827" s="2" t="s">
        <v>1226</v>
      </c>
    </row>
    <row r="828" customFormat="false" ht="15" hidden="false" customHeight="false" outlineLevel="0" collapsed="false">
      <c r="A828" s="2" t="n">
        <v>827</v>
      </c>
      <c r="B828" s="2" t="s">
        <v>1977</v>
      </c>
      <c r="C828" s="2" t="s">
        <v>1978</v>
      </c>
      <c r="D828" s="2"/>
      <c r="E828" s="2" t="s">
        <v>52</v>
      </c>
      <c r="F828" s="3" t="n">
        <v>0.000224</v>
      </c>
      <c r="G828" s="3" t="n">
        <f aca="false">SUM($F$2:F828)</f>
        <v>0.789705</v>
      </c>
      <c r="H828" s="4"/>
      <c r="I828" s="5"/>
      <c r="J828" s="4"/>
      <c r="K828" s="5"/>
      <c r="L828" s="6"/>
      <c r="M828" s="5" t="str">
        <f aca="false">IF(AND(N(K828)&gt;0,N(L828)&gt;0),K828/L828,"")</f>
        <v/>
      </c>
      <c r="N828" s="2" t="s">
        <v>1226</v>
      </c>
    </row>
    <row r="829" customFormat="false" ht="15" hidden="false" customHeight="false" outlineLevel="0" collapsed="false">
      <c r="A829" s="2" t="n">
        <v>828</v>
      </c>
      <c r="B829" s="2" t="s">
        <v>1979</v>
      </c>
      <c r="C829" s="2" t="s">
        <v>1980</v>
      </c>
      <c r="D829" s="2"/>
      <c r="E829" s="2" t="s">
        <v>52</v>
      </c>
      <c r="F829" s="3" t="n">
        <v>0.000224</v>
      </c>
      <c r="G829" s="3" t="n">
        <f aca="false">SUM($F$2:F829)</f>
        <v>0.789929</v>
      </c>
      <c r="H829" s="4"/>
      <c r="I829" s="5"/>
      <c r="J829" s="4"/>
      <c r="K829" s="5"/>
      <c r="L829" s="6"/>
      <c r="M829" s="5" t="str">
        <f aca="false">IF(AND(N(K829)&gt;0,N(L829)&gt;0),K829/L829,"")</f>
        <v/>
      </c>
      <c r="N829" s="2" t="s">
        <v>1226</v>
      </c>
    </row>
    <row r="830" customFormat="false" ht="15" hidden="false" customHeight="false" outlineLevel="0" collapsed="false">
      <c r="A830" s="2" t="n">
        <v>829</v>
      </c>
      <c r="B830" s="2" t="s">
        <v>1981</v>
      </c>
      <c r="C830" s="2" t="s">
        <v>1982</v>
      </c>
      <c r="D830" s="2"/>
      <c r="E830" s="2" t="s">
        <v>296</v>
      </c>
      <c r="F830" s="3" t="n">
        <v>0.000224</v>
      </c>
      <c r="G830" s="3" t="n">
        <f aca="false">SUM($F$2:F830)</f>
        <v>0.790153</v>
      </c>
      <c r="H830" s="4"/>
      <c r="I830" s="5"/>
      <c r="J830" s="4"/>
      <c r="K830" s="5"/>
      <c r="L830" s="6"/>
      <c r="M830" s="5" t="str">
        <f aca="false">IF(AND(N(K830)&gt;0,N(L830)&gt;0),K830/L830,"")</f>
        <v/>
      </c>
      <c r="N830" s="2" t="s">
        <v>1226</v>
      </c>
    </row>
    <row r="831" customFormat="false" ht="15" hidden="false" customHeight="false" outlineLevel="0" collapsed="false">
      <c r="A831" s="2" t="n">
        <v>830</v>
      </c>
      <c r="B831" s="2" t="s">
        <v>1983</v>
      </c>
      <c r="C831" s="2" t="s">
        <v>1984</v>
      </c>
      <c r="D831" s="2"/>
      <c r="E831" s="2" t="s">
        <v>29</v>
      </c>
      <c r="F831" s="3" t="n">
        <v>0.000223</v>
      </c>
      <c r="G831" s="3" t="n">
        <f aca="false">SUM($F$2:F831)</f>
        <v>0.790376</v>
      </c>
      <c r="H831" s="4"/>
      <c r="I831" s="5"/>
      <c r="J831" s="4"/>
      <c r="K831" s="5"/>
      <c r="L831" s="6"/>
      <c r="M831" s="5" t="str">
        <f aca="false">IF(AND(N(K831)&gt;0,N(L831)&gt;0),K831/L831,"")</f>
        <v/>
      </c>
      <c r="N831" s="2" t="s">
        <v>1226</v>
      </c>
    </row>
    <row r="832" customFormat="false" ht="15" hidden="false" customHeight="false" outlineLevel="0" collapsed="false">
      <c r="A832" s="2" t="n">
        <v>831</v>
      </c>
      <c r="B832" s="2" t="s">
        <v>1985</v>
      </c>
      <c r="C832" s="2" t="s">
        <v>1986</v>
      </c>
      <c r="D832" s="2"/>
      <c r="E832" s="2" t="s">
        <v>1295</v>
      </c>
      <c r="F832" s="3" t="n">
        <v>0.000223</v>
      </c>
      <c r="G832" s="3" t="n">
        <f aca="false">SUM($F$2:F832)</f>
        <v>0.790599</v>
      </c>
      <c r="H832" s="4"/>
      <c r="I832" s="5"/>
      <c r="J832" s="4"/>
      <c r="K832" s="5"/>
      <c r="L832" s="6"/>
      <c r="M832" s="5" t="str">
        <f aca="false">IF(AND(N(K832)&gt;0,N(L832)&gt;0),K832/L832,"")</f>
        <v/>
      </c>
      <c r="N832" s="2" t="s">
        <v>1226</v>
      </c>
    </row>
    <row r="833" customFormat="false" ht="15" hidden="false" customHeight="false" outlineLevel="0" collapsed="false">
      <c r="A833" s="2" t="n">
        <v>832</v>
      </c>
      <c r="B833" s="2" t="s">
        <v>1987</v>
      </c>
      <c r="C833" s="2" t="s">
        <v>1988</v>
      </c>
      <c r="D833" s="2"/>
      <c r="E833" s="2" t="s">
        <v>29</v>
      </c>
      <c r="F833" s="3" t="n">
        <v>0.000223</v>
      </c>
      <c r="G833" s="3" t="n">
        <f aca="false">SUM($F$2:F833)</f>
        <v>0.790822</v>
      </c>
      <c r="H833" s="4"/>
      <c r="I833" s="5"/>
      <c r="J833" s="4"/>
      <c r="K833" s="5"/>
      <c r="L833" s="6"/>
      <c r="M833" s="5" t="str">
        <f aca="false">IF(AND(N(K833)&gt;0,N(L833)&gt;0),K833/L833,"")</f>
        <v/>
      </c>
      <c r="N833" s="2" t="s">
        <v>1226</v>
      </c>
    </row>
    <row r="834" customFormat="false" ht="15" hidden="false" customHeight="false" outlineLevel="0" collapsed="false">
      <c r="A834" s="2" t="n">
        <v>833</v>
      </c>
      <c r="B834" s="2" t="s">
        <v>1989</v>
      </c>
      <c r="C834" s="2" t="s">
        <v>1990</v>
      </c>
      <c r="D834" s="2"/>
      <c r="E834" s="2" t="s">
        <v>700</v>
      </c>
      <c r="F834" s="3" t="n">
        <v>0.000222</v>
      </c>
      <c r="G834" s="3" t="n">
        <f aca="false">SUM($F$2:F834)</f>
        <v>0.791044</v>
      </c>
      <c r="H834" s="4"/>
      <c r="I834" s="5"/>
      <c r="J834" s="4"/>
      <c r="K834" s="5"/>
      <c r="L834" s="6"/>
      <c r="M834" s="5" t="str">
        <f aca="false">IF(AND(N(K834)&gt;0,N(L834)&gt;0),K834/L834,"")</f>
        <v/>
      </c>
      <c r="N834" s="2" t="s">
        <v>1226</v>
      </c>
    </row>
    <row r="835" customFormat="false" ht="15" hidden="false" customHeight="false" outlineLevel="0" collapsed="false">
      <c r="A835" s="2" t="n">
        <v>834</v>
      </c>
      <c r="B835" s="2" t="s">
        <v>1991</v>
      </c>
      <c r="C835" s="2" t="s">
        <v>1992</v>
      </c>
      <c r="D835" s="2"/>
      <c r="E835" s="2" t="s">
        <v>1345</v>
      </c>
      <c r="F835" s="3" t="n">
        <v>0.000222</v>
      </c>
      <c r="G835" s="3" t="n">
        <f aca="false">SUM($F$2:F835)</f>
        <v>0.791266</v>
      </c>
      <c r="H835" s="4"/>
      <c r="I835" s="5"/>
      <c r="J835" s="4"/>
      <c r="K835" s="5"/>
      <c r="L835" s="6"/>
      <c r="M835" s="5" t="str">
        <f aca="false">IF(AND(N(K835)&gt;0,N(L835)&gt;0),K835/L835,"")</f>
        <v/>
      </c>
      <c r="N835" s="2" t="s">
        <v>1226</v>
      </c>
    </row>
    <row r="836" customFormat="false" ht="15" hidden="false" customHeight="false" outlineLevel="0" collapsed="false">
      <c r="A836" s="2" t="n">
        <v>835</v>
      </c>
      <c r="B836" s="2" t="s">
        <v>1993</v>
      </c>
      <c r="C836" s="2" t="s">
        <v>1994</v>
      </c>
      <c r="D836" s="2"/>
      <c r="E836" s="2" t="s">
        <v>48</v>
      </c>
      <c r="F836" s="3" t="n">
        <v>0.000222</v>
      </c>
      <c r="G836" s="3" t="n">
        <f aca="false">SUM($F$2:F836)</f>
        <v>0.791488</v>
      </c>
      <c r="H836" s="4"/>
      <c r="I836" s="5"/>
      <c r="J836" s="4"/>
      <c r="K836" s="5"/>
      <c r="L836" s="6"/>
      <c r="M836" s="5" t="str">
        <f aca="false">IF(AND(N(K836)&gt;0,N(L836)&gt;0),K836/L836,"")</f>
        <v/>
      </c>
      <c r="N836" s="2" t="s">
        <v>1226</v>
      </c>
    </row>
    <row r="837" customFormat="false" ht="15" hidden="false" customHeight="false" outlineLevel="0" collapsed="false">
      <c r="A837" s="2" t="n">
        <v>836</v>
      </c>
      <c r="B837" s="2" t="s">
        <v>1995</v>
      </c>
      <c r="C837" s="2" t="s">
        <v>1996</v>
      </c>
      <c r="D837" s="2"/>
      <c r="E837" s="2" t="s">
        <v>765</v>
      </c>
      <c r="F837" s="3" t="n">
        <v>0.000222</v>
      </c>
      <c r="G837" s="3" t="n">
        <f aca="false">SUM($F$2:F837)</f>
        <v>0.79171</v>
      </c>
      <c r="H837" s="4"/>
      <c r="I837" s="5"/>
      <c r="J837" s="4"/>
      <c r="K837" s="5"/>
      <c r="L837" s="6"/>
      <c r="M837" s="5" t="str">
        <f aca="false">IF(AND(N(K837)&gt;0,N(L837)&gt;0),K837/L837,"")</f>
        <v/>
      </c>
      <c r="N837" s="2" t="s">
        <v>1226</v>
      </c>
    </row>
    <row r="838" customFormat="false" ht="15" hidden="false" customHeight="false" outlineLevel="0" collapsed="false">
      <c r="A838" s="2" t="n">
        <v>837</v>
      </c>
      <c r="B838" s="2" t="s">
        <v>1997</v>
      </c>
      <c r="C838" s="2" t="s">
        <v>1998</v>
      </c>
      <c r="D838" s="2"/>
      <c r="E838" s="2" t="s">
        <v>52</v>
      </c>
      <c r="F838" s="3" t="n">
        <v>0.000221</v>
      </c>
      <c r="G838" s="3" t="n">
        <f aca="false">SUM($F$2:F838)</f>
        <v>0.791931</v>
      </c>
      <c r="H838" s="4"/>
      <c r="I838" s="5"/>
      <c r="J838" s="4"/>
      <c r="K838" s="5"/>
      <c r="L838" s="6"/>
      <c r="M838" s="5" t="str">
        <f aca="false">IF(AND(N(K838)&gt;0,N(L838)&gt;0),K838/L838,"")</f>
        <v/>
      </c>
      <c r="N838" s="2" t="s">
        <v>1226</v>
      </c>
    </row>
    <row r="839" customFormat="false" ht="15" hidden="false" customHeight="false" outlineLevel="0" collapsed="false">
      <c r="A839" s="2" t="n">
        <v>838</v>
      </c>
      <c r="B839" s="2" t="s">
        <v>1999</v>
      </c>
      <c r="C839" s="2" t="s">
        <v>2000</v>
      </c>
      <c r="D839" s="2"/>
      <c r="E839" s="2" t="s">
        <v>33</v>
      </c>
      <c r="F839" s="3" t="n">
        <v>0.000221</v>
      </c>
      <c r="G839" s="3" t="n">
        <f aca="false">SUM($F$2:F839)</f>
        <v>0.792152</v>
      </c>
      <c r="H839" s="4"/>
      <c r="I839" s="5"/>
      <c r="J839" s="4"/>
      <c r="K839" s="5"/>
      <c r="L839" s="6"/>
      <c r="M839" s="5" t="str">
        <f aca="false">IF(AND(N(K839)&gt;0,N(L839)&gt;0),K839/L839,"")</f>
        <v/>
      </c>
      <c r="N839" s="2" t="s">
        <v>1226</v>
      </c>
    </row>
    <row r="840" customFormat="false" ht="15" hidden="false" customHeight="false" outlineLevel="0" collapsed="false">
      <c r="A840" s="2" t="n">
        <v>839</v>
      </c>
      <c r="B840" s="2" t="s">
        <v>2001</v>
      </c>
      <c r="C840" s="2" t="s">
        <v>2002</v>
      </c>
      <c r="D840" s="2"/>
      <c r="E840" s="2" t="s">
        <v>296</v>
      </c>
      <c r="F840" s="3" t="n">
        <v>0.000221</v>
      </c>
      <c r="G840" s="3" t="n">
        <f aca="false">SUM($F$2:F840)</f>
        <v>0.792373</v>
      </c>
      <c r="H840" s="4"/>
      <c r="I840" s="5"/>
      <c r="J840" s="4"/>
      <c r="K840" s="5"/>
      <c r="L840" s="6"/>
      <c r="M840" s="5" t="str">
        <f aca="false">IF(AND(N(K840)&gt;0,N(L840)&gt;0),K840/L840,"")</f>
        <v/>
      </c>
      <c r="N840" s="2" t="s">
        <v>1226</v>
      </c>
    </row>
    <row r="841" customFormat="false" ht="15" hidden="false" customHeight="false" outlineLevel="0" collapsed="false">
      <c r="A841" s="2" t="n">
        <v>840</v>
      </c>
      <c r="B841" s="2" t="s">
        <v>2003</v>
      </c>
      <c r="C841" s="2" t="s">
        <v>2004</v>
      </c>
      <c r="D841" s="2"/>
      <c r="E841" s="2" t="s">
        <v>52</v>
      </c>
      <c r="F841" s="3" t="n">
        <v>0.000221</v>
      </c>
      <c r="G841" s="3" t="n">
        <f aca="false">SUM($F$2:F841)</f>
        <v>0.792594</v>
      </c>
      <c r="H841" s="4"/>
      <c r="I841" s="5"/>
      <c r="J841" s="4"/>
      <c r="K841" s="5"/>
      <c r="L841" s="6"/>
      <c r="M841" s="5" t="str">
        <f aca="false">IF(AND(N(K841)&gt;0,N(L841)&gt;0),K841/L841,"")</f>
        <v/>
      </c>
      <c r="N841" s="2" t="s">
        <v>1226</v>
      </c>
    </row>
    <row r="842" customFormat="false" ht="15" hidden="false" customHeight="false" outlineLevel="0" collapsed="false">
      <c r="A842" s="2" t="n">
        <v>841</v>
      </c>
      <c r="B842" s="2" t="s">
        <v>2005</v>
      </c>
      <c r="C842" s="2" t="s">
        <v>2006</v>
      </c>
      <c r="D842" s="2"/>
      <c r="E842" s="2" t="s">
        <v>52</v>
      </c>
      <c r="F842" s="3" t="n">
        <v>0.00022</v>
      </c>
      <c r="G842" s="3" t="n">
        <f aca="false">SUM($F$2:F842)</f>
        <v>0.792814</v>
      </c>
      <c r="H842" s="4"/>
      <c r="I842" s="5"/>
      <c r="J842" s="4"/>
      <c r="K842" s="5"/>
      <c r="L842" s="6"/>
      <c r="M842" s="5" t="str">
        <f aca="false">IF(AND(N(K842)&gt;0,N(L842)&gt;0),K842/L842,"")</f>
        <v/>
      </c>
      <c r="N842" s="2" t="s">
        <v>1226</v>
      </c>
    </row>
    <row r="843" customFormat="false" ht="15" hidden="false" customHeight="false" outlineLevel="0" collapsed="false">
      <c r="A843" s="2" t="n">
        <v>842</v>
      </c>
      <c r="B843" s="2" t="s">
        <v>2007</v>
      </c>
      <c r="C843" s="2" t="s">
        <v>2008</v>
      </c>
      <c r="D843" s="2"/>
      <c r="E843" s="2" t="s">
        <v>25</v>
      </c>
      <c r="F843" s="3" t="n">
        <v>0.00022</v>
      </c>
      <c r="G843" s="3" t="n">
        <f aca="false">SUM($F$2:F843)</f>
        <v>0.793034</v>
      </c>
      <c r="H843" s="4"/>
      <c r="I843" s="5"/>
      <c r="J843" s="4"/>
      <c r="K843" s="5"/>
      <c r="L843" s="6"/>
      <c r="M843" s="5" t="str">
        <f aca="false">IF(AND(N(K843)&gt;0,N(L843)&gt;0),K843/L843,"")</f>
        <v/>
      </c>
      <c r="N843" s="2" t="s">
        <v>1226</v>
      </c>
    </row>
    <row r="844" customFormat="false" ht="15" hidden="false" customHeight="false" outlineLevel="0" collapsed="false">
      <c r="A844" s="2" t="n">
        <v>843</v>
      </c>
      <c r="B844" s="2" t="s">
        <v>2009</v>
      </c>
      <c r="C844" s="2" t="s">
        <v>2010</v>
      </c>
      <c r="D844" s="2"/>
      <c r="E844" s="2" t="s">
        <v>25</v>
      </c>
      <c r="F844" s="3" t="n">
        <v>0.000219</v>
      </c>
      <c r="G844" s="3" t="n">
        <f aca="false">SUM($F$2:F844)</f>
        <v>0.793253</v>
      </c>
      <c r="H844" s="4"/>
      <c r="I844" s="5"/>
      <c r="J844" s="4"/>
      <c r="K844" s="5"/>
      <c r="L844" s="6"/>
      <c r="M844" s="5" t="str">
        <f aca="false">IF(AND(N(K844)&gt;0,N(L844)&gt;0),K844/L844,"")</f>
        <v/>
      </c>
      <c r="N844" s="2" t="s">
        <v>1226</v>
      </c>
    </row>
    <row r="845" customFormat="false" ht="15" hidden="false" customHeight="false" outlineLevel="0" collapsed="false">
      <c r="A845" s="2" t="n">
        <v>844</v>
      </c>
      <c r="B845" s="2" t="s">
        <v>2011</v>
      </c>
      <c r="C845" s="2" t="s">
        <v>2012</v>
      </c>
      <c r="D845" s="2"/>
      <c r="E845" s="2" t="s">
        <v>700</v>
      </c>
      <c r="F845" s="3" t="n">
        <v>0.000219</v>
      </c>
      <c r="G845" s="3" t="n">
        <f aca="false">SUM($F$2:F845)</f>
        <v>0.793472</v>
      </c>
      <c r="H845" s="4"/>
      <c r="I845" s="5"/>
      <c r="J845" s="4"/>
      <c r="K845" s="5"/>
      <c r="L845" s="6"/>
      <c r="M845" s="5" t="str">
        <f aca="false">IF(AND(N(K845)&gt;0,N(L845)&gt;0),K845/L845,"")</f>
        <v/>
      </c>
      <c r="N845" s="2" t="s">
        <v>1226</v>
      </c>
    </row>
    <row r="846" customFormat="false" ht="15" hidden="false" customHeight="false" outlineLevel="0" collapsed="false">
      <c r="A846" s="2" t="n">
        <v>845</v>
      </c>
      <c r="B846" s="2" t="s">
        <v>2013</v>
      </c>
      <c r="C846" s="2" t="s">
        <v>2014</v>
      </c>
      <c r="D846" s="2"/>
      <c r="E846" s="2" t="s">
        <v>52</v>
      </c>
      <c r="F846" s="3" t="n">
        <v>0.000219</v>
      </c>
      <c r="G846" s="3" t="n">
        <f aca="false">SUM($F$2:F846)</f>
        <v>0.793691</v>
      </c>
      <c r="H846" s="4"/>
      <c r="I846" s="5"/>
      <c r="J846" s="4"/>
      <c r="K846" s="5"/>
      <c r="L846" s="6"/>
      <c r="M846" s="5" t="str">
        <f aca="false">IF(AND(N(K846)&gt;0,N(L846)&gt;0),K846/L846,"")</f>
        <v/>
      </c>
      <c r="N846" s="2" t="s">
        <v>1226</v>
      </c>
    </row>
    <row r="847" customFormat="false" ht="15" hidden="false" customHeight="false" outlineLevel="0" collapsed="false">
      <c r="A847" s="2" t="n">
        <v>846</v>
      </c>
      <c r="B847" s="2" t="s">
        <v>2015</v>
      </c>
      <c r="C847" s="2" t="s">
        <v>2016</v>
      </c>
      <c r="D847" s="2"/>
      <c r="E847" s="2" t="s">
        <v>334</v>
      </c>
      <c r="F847" s="3" t="n">
        <v>0.000218</v>
      </c>
      <c r="G847" s="3" t="n">
        <f aca="false">SUM($F$2:F847)</f>
        <v>0.793909</v>
      </c>
      <c r="H847" s="4"/>
      <c r="I847" s="5"/>
      <c r="J847" s="4"/>
      <c r="K847" s="5"/>
      <c r="L847" s="6"/>
      <c r="M847" s="5" t="str">
        <f aca="false">IF(AND(N(K847)&gt;0,N(L847)&gt;0),K847/L847,"")</f>
        <v/>
      </c>
      <c r="N847" s="2" t="s">
        <v>1226</v>
      </c>
    </row>
    <row r="848" customFormat="false" ht="15" hidden="false" customHeight="false" outlineLevel="0" collapsed="false">
      <c r="A848" s="2" t="n">
        <v>847</v>
      </c>
      <c r="B848" s="2" t="s">
        <v>2017</v>
      </c>
      <c r="C848" s="2" t="s">
        <v>2018</v>
      </c>
      <c r="D848" s="2"/>
      <c r="E848" s="2" t="s">
        <v>25</v>
      </c>
      <c r="F848" s="3" t="n">
        <v>0.000218</v>
      </c>
      <c r="G848" s="3" t="n">
        <f aca="false">SUM($F$2:F848)</f>
        <v>0.794127</v>
      </c>
      <c r="H848" s="4"/>
      <c r="I848" s="5"/>
      <c r="J848" s="4"/>
      <c r="K848" s="5"/>
      <c r="L848" s="6"/>
      <c r="M848" s="5" t="str">
        <f aca="false">IF(AND(N(K848)&gt;0,N(L848)&gt;0),K848/L848,"")</f>
        <v/>
      </c>
      <c r="N848" s="2" t="s">
        <v>1226</v>
      </c>
    </row>
    <row r="849" customFormat="false" ht="15" hidden="false" customHeight="false" outlineLevel="0" collapsed="false">
      <c r="A849" s="2" t="n">
        <v>848</v>
      </c>
      <c r="B849" s="2" t="s">
        <v>2019</v>
      </c>
      <c r="C849" s="2" t="s">
        <v>2020</v>
      </c>
      <c r="D849" s="2"/>
      <c r="E849" s="2" t="s">
        <v>539</v>
      </c>
      <c r="F849" s="3" t="n">
        <v>0.000217</v>
      </c>
      <c r="G849" s="3" t="n">
        <f aca="false">SUM($F$2:F849)</f>
        <v>0.794344</v>
      </c>
      <c r="H849" s="4"/>
      <c r="I849" s="5"/>
      <c r="J849" s="4"/>
      <c r="K849" s="5"/>
      <c r="L849" s="6"/>
      <c r="M849" s="5" t="str">
        <f aca="false">IF(AND(N(K849)&gt;0,N(L849)&gt;0),K849/L849,"")</f>
        <v/>
      </c>
      <c r="N849" s="2" t="s">
        <v>1226</v>
      </c>
    </row>
    <row r="850" customFormat="false" ht="15" hidden="false" customHeight="false" outlineLevel="0" collapsed="false">
      <c r="A850" s="2" t="n">
        <v>849</v>
      </c>
      <c r="B850" s="2" t="s">
        <v>2021</v>
      </c>
      <c r="C850" s="2" t="s">
        <v>2022</v>
      </c>
      <c r="D850" s="2"/>
      <c r="E850" s="2" t="s">
        <v>52</v>
      </c>
      <c r="F850" s="3" t="n">
        <v>0.000217</v>
      </c>
      <c r="G850" s="3" t="n">
        <f aca="false">SUM($F$2:F850)</f>
        <v>0.794561</v>
      </c>
      <c r="H850" s="4"/>
      <c r="I850" s="5"/>
      <c r="J850" s="4"/>
      <c r="K850" s="5"/>
      <c r="L850" s="6"/>
      <c r="M850" s="5" t="str">
        <f aca="false">IF(AND(N(K850)&gt;0,N(L850)&gt;0),K850/L850,"")</f>
        <v/>
      </c>
      <c r="N850" s="2" t="s">
        <v>1226</v>
      </c>
    </row>
    <row r="851" customFormat="false" ht="15" hidden="false" customHeight="false" outlineLevel="0" collapsed="false">
      <c r="A851" s="2" t="n">
        <v>850</v>
      </c>
      <c r="B851" s="2" t="s">
        <v>2023</v>
      </c>
      <c r="C851" s="2" t="s">
        <v>2024</v>
      </c>
      <c r="D851" s="2"/>
      <c r="E851" s="2" t="s">
        <v>199</v>
      </c>
      <c r="F851" s="3" t="n">
        <v>0.000217</v>
      </c>
      <c r="G851" s="3" t="n">
        <f aca="false">SUM($F$2:F851)</f>
        <v>0.794778</v>
      </c>
      <c r="H851" s="4"/>
      <c r="I851" s="5"/>
      <c r="J851" s="4"/>
      <c r="K851" s="5"/>
      <c r="L851" s="6"/>
      <c r="M851" s="5" t="str">
        <f aca="false">IF(AND(N(K851)&gt;0,N(L851)&gt;0),K851/L851,"")</f>
        <v/>
      </c>
      <c r="N851" s="2" t="s">
        <v>1226</v>
      </c>
    </row>
    <row r="852" customFormat="false" ht="15" hidden="false" customHeight="false" outlineLevel="0" collapsed="false">
      <c r="A852" s="2" t="n">
        <v>851</v>
      </c>
      <c r="B852" s="2" t="s">
        <v>2025</v>
      </c>
      <c r="C852" s="2" t="s">
        <v>2026</v>
      </c>
      <c r="D852" s="2"/>
      <c r="E852" s="2" t="s">
        <v>679</v>
      </c>
      <c r="F852" s="3" t="n">
        <v>0.000217</v>
      </c>
      <c r="G852" s="3" t="n">
        <f aca="false">SUM($F$2:F852)</f>
        <v>0.794995</v>
      </c>
      <c r="H852" s="4"/>
      <c r="I852" s="5"/>
      <c r="J852" s="4"/>
      <c r="K852" s="5"/>
      <c r="L852" s="6"/>
      <c r="M852" s="5" t="str">
        <f aca="false">IF(AND(N(K852)&gt;0,N(L852)&gt;0),K852/L852,"")</f>
        <v/>
      </c>
      <c r="N852" s="2" t="s">
        <v>1226</v>
      </c>
    </row>
    <row r="853" customFormat="false" ht="15" hidden="false" customHeight="false" outlineLevel="0" collapsed="false">
      <c r="A853" s="2" t="n">
        <v>852</v>
      </c>
      <c r="B853" s="2" t="s">
        <v>2027</v>
      </c>
      <c r="C853" s="2" t="s">
        <v>2028</v>
      </c>
      <c r="D853" s="2"/>
      <c r="E853" s="2" t="s">
        <v>289</v>
      </c>
      <c r="F853" s="3" t="n">
        <v>0.000216</v>
      </c>
      <c r="G853" s="3" t="n">
        <f aca="false">SUM($F$2:F853)</f>
        <v>0.795211</v>
      </c>
      <c r="H853" s="4"/>
      <c r="I853" s="5"/>
      <c r="J853" s="4"/>
      <c r="K853" s="5"/>
      <c r="L853" s="6"/>
      <c r="M853" s="5" t="str">
        <f aca="false">IF(AND(N(K853)&gt;0,N(L853)&gt;0),K853/L853,"")</f>
        <v/>
      </c>
      <c r="N853" s="2" t="s">
        <v>1226</v>
      </c>
    </row>
    <row r="854" customFormat="false" ht="15" hidden="false" customHeight="false" outlineLevel="0" collapsed="false">
      <c r="A854" s="2" t="n">
        <v>853</v>
      </c>
      <c r="B854" s="2" t="s">
        <v>2029</v>
      </c>
      <c r="C854" s="2" t="s">
        <v>2030</v>
      </c>
      <c r="D854" s="2"/>
      <c r="E854" s="2" t="s">
        <v>82</v>
      </c>
      <c r="F854" s="3" t="n">
        <v>0.000215</v>
      </c>
      <c r="G854" s="3" t="n">
        <f aca="false">SUM($F$2:F854)</f>
        <v>0.795426</v>
      </c>
      <c r="H854" s="4"/>
      <c r="I854" s="5"/>
      <c r="J854" s="4"/>
      <c r="K854" s="5"/>
      <c r="L854" s="6"/>
      <c r="M854" s="5" t="str">
        <f aca="false">IF(AND(N(K854)&gt;0,N(L854)&gt;0),K854/L854,"")</f>
        <v/>
      </c>
      <c r="N854" s="2" t="s">
        <v>1226</v>
      </c>
    </row>
    <row r="855" customFormat="false" ht="15" hidden="false" customHeight="false" outlineLevel="0" collapsed="false">
      <c r="A855" s="2" t="n">
        <v>854</v>
      </c>
      <c r="B855" s="2" t="s">
        <v>2031</v>
      </c>
      <c r="C855" s="2" t="s">
        <v>2032</v>
      </c>
      <c r="D855" s="2"/>
      <c r="E855" s="2" t="s">
        <v>167</v>
      </c>
      <c r="F855" s="3" t="n">
        <v>0.000215</v>
      </c>
      <c r="G855" s="3" t="n">
        <f aca="false">SUM($F$2:F855)</f>
        <v>0.795641</v>
      </c>
      <c r="H855" s="4"/>
      <c r="I855" s="5"/>
      <c r="J855" s="4"/>
      <c r="K855" s="5"/>
      <c r="L855" s="6"/>
      <c r="M855" s="5" t="str">
        <f aca="false">IF(AND(N(K855)&gt;0,N(L855)&gt;0),K855/L855,"")</f>
        <v/>
      </c>
      <c r="N855" s="2" t="s">
        <v>1226</v>
      </c>
    </row>
    <row r="856" customFormat="false" ht="15" hidden="false" customHeight="false" outlineLevel="0" collapsed="false">
      <c r="A856" s="2" t="n">
        <v>855</v>
      </c>
      <c r="B856" s="2" t="s">
        <v>2033</v>
      </c>
      <c r="C856" s="2" t="s">
        <v>2034</v>
      </c>
      <c r="D856" s="2"/>
      <c r="E856" s="2" t="s">
        <v>52</v>
      </c>
      <c r="F856" s="3" t="n">
        <v>0.000215</v>
      </c>
      <c r="G856" s="3" t="n">
        <f aca="false">SUM($F$2:F856)</f>
        <v>0.795856</v>
      </c>
      <c r="H856" s="4"/>
      <c r="I856" s="5"/>
      <c r="J856" s="4"/>
      <c r="K856" s="5"/>
      <c r="L856" s="6"/>
      <c r="M856" s="5" t="str">
        <f aca="false">IF(AND(N(K856)&gt;0,N(L856)&gt;0),K856/L856,"")</f>
        <v/>
      </c>
      <c r="N856" s="2" t="s">
        <v>1226</v>
      </c>
    </row>
    <row r="857" customFormat="false" ht="15" hidden="false" customHeight="false" outlineLevel="0" collapsed="false">
      <c r="A857" s="2" t="n">
        <v>856</v>
      </c>
      <c r="B857" s="2" t="s">
        <v>2035</v>
      </c>
      <c r="C857" s="2" t="s">
        <v>2036</v>
      </c>
      <c r="D857" s="2"/>
      <c r="E857" s="2" t="s">
        <v>289</v>
      </c>
      <c r="F857" s="3" t="n">
        <v>0.000215</v>
      </c>
      <c r="G857" s="3" t="n">
        <f aca="false">SUM($F$2:F857)</f>
        <v>0.796071</v>
      </c>
      <c r="H857" s="4"/>
      <c r="I857" s="5"/>
      <c r="J857" s="4"/>
      <c r="K857" s="5"/>
      <c r="L857" s="6"/>
      <c r="M857" s="5" t="str">
        <f aca="false">IF(AND(N(K857)&gt;0,N(L857)&gt;0),K857/L857,"")</f>
        <v/>
      </c>
      <c r="N857" s="2" t="s">
        <v>1226</v>
      </c>
    </row>
    <row r="858" customFormat="false" ht="15" hidden="false" customHeight="false" outlineLevel="0" collapsed="false">
      <c r="A858" s="2" t="n">
        <v>857</v>
      </c>
      <c r="B858" s="2" t="s">
        <v>2037</v>
      </c>
      <c r="C858" s="2" t="s">
        <v>2038</v>
      </c>
      <c r="D858" s="2"/>
      <c r="E858" s="2" t="s">
        <v>52</v>
      </c>
      <c r="F858" s="3" t="n">
        <v>0.000215</v>
      </c>
      <c r="G858" s="3" t="n">
        <f aca="false">SUM($F$2:F858)</f>
        <v>0.796286</v>
      </c>
      <c r="H858" s="4"/>
      <c r="I858" s="5"/>
      <c r="J858" s="4"/>
      <c r="K858" s="5"/>
      <c r="L858" s="6"/>
      <c r="M858" s="5" t="str">
        <f aca="false">IF(AND(N(K858)&gt;0,N(L858)&gt;0),K858/L858,"")</f>
        <v/>
      </c>
      <c r="N858" s="2" t="s">
        <v>1226</v>
      </c>
    </row>
    <row r="859" customFormat="false" ht="15" hidden="false" customHeight="false" outlineLevel="0" collapsed="false">
      <c r="A859" s="2" t="n">
        <v>858</v>
      </c>
      <c r="B859" s="2" t="s">
        <v>2039</v>
      </c>
      <c r="C859" s="2" t="s">
        <v>2040</v>
      </c>
      <c r="D859" s="2"/>
      <c r="E859" s="2" t="s">
        <v>52</v>
      </c>
      <c r="F859" s="3" t="n">
        <v>0.000214</v>
      </c>
      <c r="G859" s="3" t="n">
        <f aca="false">SUM($F$2:F859)</f>
        <v>0.7965</v>
      </c>
      <c r="H859" s="4"/>
      <c r="I859" s="5"/>
      <c r="J859" s="4"/>
      <c r="K859" s="5"/>
      <c r="L859" s="6"/>
      <c r="M859" s="5" t="str">
        <f aca="false">IF(AND(N(K859)&gt;0,N(L859)&gt;0),K859/L859,"")</f>
        <v/>
      </c>
      <c r="N859" s="2" t="s">
        <v>1226</v>
      </c>
    </row>
    <row r="860" customFormat="false" ht="15" hidden="false" customHeight="false" outlineLevel="0" collapsed="false">
      <c r="A860" s="2" t="n">
        <v>859</v>
      </c>
      <c r="B860" s="2" t="s">
        <v>2041</v>
      </c>
      <c r="C860" s="2" t="s">
        <v>2042</v>
      </c>
      <c r="D860" s="2"/>
      <c r="E860" s="2" t="s">
        <v>48</v>
      </c>
      <c r="F860" s="3" t="n">
        <v>0.000214</v>
      </c>
      <c r="G860" s="3" t="n">
        <f aca="false">SUM($F$2:F860)</f>
        <v>0.796714</v>
      </c>
      <c r="H860" s="4"/>
      <c r="I860" s="5"/>
      <c r="J860" s="4"/>
      <c r="K860" s="5"/>
      <c r="L860" s="6"/>
      <c r="M860" s="5" t="str">
        <f aca="false">IF(AND(N(K860)&gt;0,N(L860)&gt;0),K860/L860,"")</f>
        <v/>
      </c>
      <c r="N860" s="2" t="s">
        <v>1226</v>
      </c>
    </row>
    <row r="861" customFormat="false" ht="15" hidden="false" customHeight="false" outlineLevel="0" collapsed="false">
      <c r="A861" s="2" t="n">
        <v>860</v>
      </c>
      <c r="B861" s="2" t="s">
        <v>2043</v>
      </c>
      <c r="C861" s="2" t="s">
        <v>2044</v>
      </c>
      <c r="D861" s="2"/>
      <c r="E861" s="2" t="s">
        <v>1345</v>
      </c>
      <c r="F861" s="3" t="n">
        <v>0.000214</v>
      </c>
      <c r="G861" s="3" t="n">
        <f aca="false">SUM($F$2:F861)</f>
        <v>0.796928</v>
      </c>
      <c r="H861" s="4"/>
      <c r="I861" s="5"/>
      <c r="J861" s="4"/>
      <c r="K861" s="5"/>
      <c r="L861" s="6"/>
      <c r="M861" s="5" t="str">
        <f aca="false">IF(AND(N(K861)&gt;0,N(L861)&gt;0),K861/L861,"")</f>
        <v/>
      </c>
      <c r="N861" s="2" t="s">
        <v>1226</v>
      </c>
    </row>
    <row r="862" customFormat="false" ht="15" hidden="false" customHeight="false" outlineLevel="0" collapsed="false">
      <c r="A862" s="2" t="n">
        <v>861</v>
      </c>
      <c r="B862" s="2" t="s">
        <v>2045</v>
      </c>
      <c r="C862" s="2" t="s">
        <v>2046</v>
      </c>
      <c r="D862" s="2"/>
      <c r="E862" s="2" t="s">
        <v>52</v>
      </c>
      <c r="F862" s="3" t="n">
        <v>0.000214</v>
      </c>
      <c r="G862" s="3" t="n">
        <f aca="false">SUM($F$2:F862)</f>
        <v>0.797142</v>
      </c>
      <c r="H862" s="4"/>
      <c r="I862" s="5"/>
      <c r="J862" s="4"/>
      <c r="K862" s="5"/>
      <c r="L862" s="6"/>
      <c r="M862" s="5" t="str">
        <f aca="false">IF(AND(N(K862)&gt;0,N(L862)&gt;0),K862/L862,"")</f>
        <v/>
      </c>
      <c r="N862" s="2" t="s">
        <v>1226</v>
      </c>
    </row>
    <row r="863" customFormat="false" ht="15" hidden="false" customHeight="false" outlineLevel="0" collapsed="false">
      <c r="A863" s="2" t="n">
        <v>862</v>
      </c>
      <c r="B863" s="2" t="s">
        <v>2047</v>
      </c>
      <c r="C863" s="2" t="s">
        <v>2048</v>
      </c>
      <c r="D863" s="2"/>
      <c r="E863" s="2" t="s">
        <v>43</v>
      </c>
      <c r="F863" s="3" t="n">
        <v>0.000214</v>
      </c>
      <c r="G863" s="3" t="n">
        <f aca="false">SUM($F$2:F863)</f>
        <v>0.797356</v>
      </c>
      <c r="H863" s="4"/>
      <c r="I863" s="5"/>
      <c r="J863" s="4"/>
      <c r="K863" s="5"/>
      <c r="L863" s="6"/>
      <c r="M863" s="5" t="str">
        <f aca="false">IF(AND(N(K863)&gt;0,N(L863)&gt;0),K863/L863,"")</f>
        <v/>
      </c>
      <c r="N863" s="2" t="s">
        <v>1226</v>
      </c>
    </row>
    <row r="864" customFormat="false" ht="15" hidden="false" customHeight="false" outlineLevel="0" collapsed="false">
      <c r="A864" s="2" t="n">
        <v>863</v>
      </c>
      <c r="B864" s="2" t="s">
        <v>2049</v>
      </c>
      <c r="C864" s="2" t="s">
        <v>2050</v>
      </c>
      <c r="D864" s="2"/>
      <c r="E864" s="2" t="s">
        <v>82</v>
      </c>
      <c r="F864" s="3" t="n">
        <v>0.000214</v>
      </c>
      <c r="G864" s="3" t="n">
        <f aca="false">SUM($F$2:F864)</f>
        <v>0.79757</v>
      </c>
      <c r="H864" s="4"/>
      <c r="I864" s="5"/>
      <c r="J864" s="4"/>
      <c r="K864" s="5"/>
      <c r="L864" s="6"/>
      <c r="M864" s="5" t="str">
        <f aca="false">IF(AND(N(K864)&gt;0,N(L864)&gt;0),K864/L864,"")</f>
        <v/>
      </c>
      <c r="N864" s="2" t="s">
        <v>1226</v>
      </c>
    </row>
    <row r="865" customFormat="false" ht="15" hidden="false" customHeight="false" outlineLevel="0" collapsed="false">
      <c r="A865" s="2" t="n">
        <v>864</v>
      </c>
      <c r="B865" s="2" t="s">
        <v>2051</v>
      </c>
      <c r="C865" s="2" t="s">
        <v>2052</v>
      </c>
      <c r="D865" s="2"/>
      <c r="E865" s="2" t="s">
        <v>33</v>
      </c>
      <c r="F865" s="3" t="n">
        <v>0.000213</v>
      </c>
      <c r="G865" s="3" t="n">
        <f aca="false">SUM($F$2:F865)</f>
        <v>0.797783</v>
      </c>
      <c r="H865" s="4"/>
      <c r="I865" s="5"/>
      <c r="J865" s="4"/>
      <c r="K865" s="5"/>
      <c r="L865" s="6"/>
      <c r="M865" s="5" t="str">
        <f aca="false">IF(AND(N(K865)&gt;0,N(L865)&gt;0),K865/L865,"")</f>
        <v/>
      </c>
      <c r="N865" s="2" t="s">
        <v>1226</v>
      </c>
    </row>
    <row r="866" customFormat="false" ht="15" hidden="false" customHeight="false" outlineLevel="0" collapsed="false">
      <c r="A866" s="2" t="n">
        <v>865</v>
      </c>
      <c r="B866" s="2" t="s">
        <v>2053</v>
      </c>
      <c r="C866" s="2" t="s">
        <v>2054</v>
      </c>
      <c r="D866" s="2"/>
      <c r="E866" s="2" t="s">
        <v>2055</v>
      </c>
      <c r="F866" s="3" t="n">
        <v>0.000213</v>
      </c>
      <c r="G866" s="3" t="n">
        <f aca="false">SUM($F$2:F866)</f>
        <v>0.797996</v>
      </c>
      <c r="H866" s="4"/>
      <c r="I866" s="5"/>
      <c r="J866" s="4"/>
      <c r="K866" s="5"/>
      <c r="L866" s="6"/>
      <c r="M866" s="5" t="str">
        <f aca="false">IF(AND(N(K866)&gt;0,N(L866)&gt;0),K866/L866,"")</f>
        <v/>
      </c>
      <c r="N866" s="2" t="s">
        <v>1226</v>
      </c>
    </row>
    <row r="867" customFormat="false" ht="15" hidden="false" customHeight="false" outlineLevel="0" collapsed="false">
      <c r="A867" s="2" t="n">
        <v>866</v>
      </c>
      <c r="B867" s="2" t="s">
        <v>2056</v>
      </c>
      <c r="C867" s="2" t="s">
        <v>2057</v>
      </c>
      <c r="D867" s="2"/>
      <c r="E867" s="2" t="s">
        <v>296</v>
      </c>
      <c r="F867" s="3" t="n">
        <v>0.000213</v>
      </c>
      <c r="G867" s="3" t="n">
        <f aca="false">SUM($F$2:F867)</f>
        <v>0.798209</v>
      </c>
      <c r="H867" s="4"/>
      <c r="I867" s="5"/>
      <c r="J867" s="4"/>
      <c r="K867" s="5"/>
      <c r="L867" s="6"/>
      <c r="M867" s="5" t="str">
        <f aca="false">IF(AND(N(K867)&gt;0,N(L867)&gt;0),K867/L867,"")</f>
        <v/>
      </c>
      <c r="N867" s="2" t="s">
        <v>1226</v>
      </c>
    </row>
    <row r="868" customFormat="false" ht="15" hidden="false" customHeight="false" outlineLevel="0" collapsed="false">
      <c r="A868" s="2" t="n">
        <v>867</v>
      </c>
      <c r="B868" s="2" t="s">
        <v>2058</v>
      </c>
      <c r="C868" s="2" t="s">
        <v>2059</v>
      </c>
      <c r="D868" s="2"/>
      <c r="E868" s="2" t="s">
        <v>48</v>
      </c>
      <c r="F868" s="3" t="n">
        <v>0.000213</v>
      </c>
      <c r="G868" s="3" t="n">
        <f aca="false">SUM($F$2:F868)</f>
        <v>0.798422</v>
      </c>
      <c r="H868" s="4"/>
      <c r="I868" s="5"/>
      <c r="J868" s="4"/>
      <c r="K868" s="5"/>
      <c r="L868" s="6"/>
      <c r="M868" s="5" t="str">
        <f aca="false">IF(AND(N(K868)&gt;0,N(L868)&gt;0),K868/L868,"")</f>
        <v/>
      </c>
      <c r="N868" s="2" t="s">
        <v>1226</v>
      </c>
    </row>
    <row r="869" customFormat="false" ht="15" hidden="false" customHeight="false" outlineLevel="0" collapsed="false">
      <c r="A869" s="2" t="n">
        <v>868</v>
      </c>
      <c r="B869" s="2" t="s">
        <v>2060</v>
      </c>
      <c r="C869" s="2" t="s">
        <v>2061</v>
      </c>
      <c r="D869" s="2"/>
      <c r="E869" s="2" t="s">
        <v>52</v>
      </c>
      <c r="F869" s="3" t="n">
        <v>0.000213</v>
      </c>
      <c r="G869" s="3" t="n">
        <f aca="false">SUM($F$2:F869)</f>
        <v>0.798635</v>
      </c>
      <c r="H869" s="4"/>
      <c r="I869" s="5"/>
      <c r="J869" s="4"/>
      <c r="K869" s="5"/>
      <c r="L869" s="6"/>
      <c r="M869" s="5" t="str">
        <f aca="false">IF(AND(N(K869)&gt;0,N(L869)&gt;0),K869/L869,"")</f>
        <v/>
      </c>
      <c r="N869" s="2" t="s">
        <v>1226</v>
      </c>
    </row>
    <row r="870" customFormat="false" ht="15" hidden="false" customHeight="false" outlineLevel="0" collapsed="false">
      <c r="A870" s="2" t="n">
        <v>869</v>
      </c>
      <c r="B870" s="2" t="s">
        <v>2062</v>
      </c>
      <c r="C870" s="2" t="s">
        <v>2063</v>
      </c>
      <c r="D870" s="2"/>
      <c r="E870" s="2" t="s">
        <v>173</v>
      </c>
      <c r="F870" s="3" t="n">
        <v>0.000212</v>
      </c>
      <c r="G870" s="3" t="n">
        <f aca="false">SUM($F$2:F870)</f>
        <v>0.798847</v>
      </c>
      <c r="H870" s="4"/>
      <c r="I870" s="5"/>
      <c r="J870" s="4"/>
      <c r="K870" s="5"/>
      <c r="L870" s="6"/>
      <c r="M870" s="5" t="str">
        <f aca="false">IF(AND(N(K870)&gt;0,N(L870)&gt;0),K870/L870,"")</f>
        <v/>
      </c>
      <c r="N870" s="2" t="s">
        <v>1226</v>
      </c>
    </row>
    <row r="871" customFormat="false" ht="15" hidden="false" customHeight="false" outlineLevel="0" collapsed="false">
      <c r="A871" s="2" t="n">
        <v>870</v>
      </c>
      <c r="B871" s="2" t="s">
        <v>2064</v>
      </c>
      <c r="C871" s="2" t="s">
        <v>2065</v>
      </c>
      <c r="D871" s="2"/>
      <c r="E871" s="2" t="s">
        <v>1245</v>
      </c>
      <c r="F871" s="3" t="n">
        <v>0.000212</v>
      </c>
      <c r="G871" s="3" t="n">
        <f aca="false">SUM($F$2:F871)</f>
        <v>0.799059</v>
      </c>
      <c r="H871" s="4"/>
      <c r="I871" s="5"/>
      <c r="J871" s="4"/>
      <c r="K871" s="5"/>
      <c r="L871" s="6"/>
      <c r="M871" s="5" t="str">
        <f aca="false">IF(AND(N(K871)&gt;0,N(L871)&gt;0),K871/L871,"")</f>
        <v/>
      </c>
      <c r="N871" s="2" t="s">
        <v>1226</v>
      </c>
    </row>
    <row r="872" customFormat="false" ht="15" hidden="false" customHeight="false" outlineLevel="0" collapsed="false">
      <c r="A872" s="2" t="n">
        <v>871</v>
      </c>
      <c r="B872" s="2" t="s">
        <v>2066</v>
      </c>
      <c r="C872" s="2" t="s">
        <v>2067</v>
      </c>
      <c r="D872" s="2"/>
      <c r="E872" s="2" t="s">
        <v>38</v>
      </c>
      <c r="F872" s="3" t="n">
        <v>0.000211</v>
      </c>
      <c r="G872" s="3" t="n">
        <f aca="false">SUM($F$2:F872)</f>
        <v>0.79927</v>
      </c>
      <c r="H872" s="4"/>
      <c r="I872" s="5"/>
      <c r="J872" s="4"/>
      <c r="K872" s="5"/>
      <c r="L872" s="6"/>
      <c r="M872" s="5" t="str">
        <f aca="false">IF(AND(N(K872)&gt;0,N(L872)&gt;0),K872/L872,"")</f>
        <v/>
      </c>
      <c r="N872" s="2" t="s">
        <v>1226</v>
      </c>
    </row>
    <row r="873" customFormat="false" ht="15" hidden="false" customHeight="false" outlineLevel="0" collapsed="false">
      <c r="A873" s="2" t="n">
        <v>872</v>
      </c>
      <c r="B873" s="2" t="s">
        <v>2068</v>
      </c>
      <c r="C873" s="2" t="s">
        <v>2069</v>
      </c>
      <c r="D873" s="2"/>
      <c r="E873" s="2" t="s">
        <v>52</v>
      </c>
      <c r="F873" s="3" t="n">
        <v>0.000211</v>
      </c>
      <c r="G873" s="3" t="n">
        <f aca="false">SUM($F$2:F873)</f>
        <v>0.799481</v>
      </c>
      <c r="H873" s="4"/>
      <c r="I873" s="5"/>
      <c r="J873" s="4"/>
      <c r="K873" s="5"/>
      <c r="L873" s="6"/>
      <c r="M873" s="5" t="str">
        <f aca="false">IF(AND(N(K873)&gt;0,N(L873)&gt;0),K873/L873,"")</f>
        <v/>
      </c>
      <c r="N873" s="2" t="s">
        <v>1226</v>
      </c>
    </row>
    <row r="874" customFormat="false" ht="15" hidden="false" customHeight="false" outlineLevel="0" collapsed="false">
      <c r="A874" s="2" t="n">
        <v>873</v>
      </c>
      <c r="B874" s="2" t="s">
        <v>2070</v>
      </c>
      <c r="C874" s="2" t="s">
        <v>2071</v>
      </c>
      <c r="D874" s="2"/>
      <c r="E874" s="2" t="s">
        <v>765</v>
      </c>
      <c r="F874" s="3" t="n">
        <v>0.00021</v>
      </c>
      <c r="G874" s="3" t="n">
        <f aca="false">SUM($F$2:F874)</f>
        <v>0.799691</v>
      </c>
      <c r="H874" s="4"/>
      <c r="I874" s="5"/>
      <c r="J874" s="4"/>
      <c r="K874" s="5"/>
      <c r="L874" s="6"/>
      <c r="M874" s="5" t="str">
        <f aca="false">IF(AND(N(K874)&gt;0,N(L874)&gt;0),K874/L874,"")</f>
        <v/>
      </c>
      <c r="N874" s="2" t="s">
        <v>1226</v>
      </c>
    </row>
    <row r="875" customFormat="false" ht="15" hidden="false" customHeight="false" outlineLevel="0" collapsed="false">
      <c r="A875" s="2" t="n">
        <v>874</v>
      </c>
      <c r="B875" s="2" t="s">
        <v>2072</v>
      </c>
      <c r="C875" s="2" t="s">
        <v>2073</v>
      </c>
      <c r="D875" s="2"/>
      <c r="E875" s="2" t="s">
        <v>33</v>
      </c>
      <c r="F875" s="3" t="n">
        <v>0.00021</v>
      </c>
      <c r="G875" s="3" t="n">
        <f aca="false">SUM($F$2:F875)</f>
        <v>0.799901</v>
      </c>
      <c r="H875" s="4"/>
      <c r="I875" s="5"/>
      <c r="J875" s="4"/>
      <c r="K875" s="5"/>
      <c r="L875" s="6"/>
      <c r="M875" s="5" t="str">
        <f aca="false">IF(AND(N(K875)&gt;0,N(L875)&gt;0),K875/L875,"")</f>
        <v/>
      </c>
      <c r="N875" s="2" t="s">
        <v>1226</v>
      </c>
    </row>
    <row r="876" customFormat="false" ht="15" hidden="false" customHeight="false" outlineLevel="0" collapsed="false">
      <c r="A876" s="2" t="n">
        <v>875</v>
      </c>
      <c r="B876" s="2" t="s">
        <v>2074</v>
      </c>
      <c r="C876" s="2" t="s">
        <v>2075</v>
      </c>
      <c r="D876" s="2"/>
      <c r="E876" s="2" t="s">
        <v>52</v>
      </c>
      <c r="F876" s="3" t="n">
        <v>0.00021</v>
      </c>
      <c r="G876" s="3" t="n">
        <f aca="false">SUM($F$2:F876)</f>
        <v>0.800111</v>
      </c>
      <c r="H876" s="4"/>
      <c r="I876" s="5"/>
      <c r="J876" s="4"/>
      <c r="K876" s="5"/>
      <c r="L876" s="6"/>
      <c r="M876" s="5" t="str">
        <f aca="false">IF(AND(N(K876)&gt;0,N(L876)&gt;0),K876/L876,"")</f>
        <v/>
      </c>
      <c r="N876" s="2" t="s">
        <v>1226</v>
      </c>
    </row>
    <row r="877" customFormat="false" ht="15" hidden="false" customHeight="false" outlineLevel="0" collapsed="false">
      <c r="A877" s="2" t="n">
        <v>876</v>
      </c>
      <c r="B877" s="2" t="s">
        <v>2076</v>
      </c>
      <c r="C877" s="2" t="s">
        <v>2077</v>
      </c>
      <c r="D877" s="2"/>
      <c r="E877" s="2" t="s">
        <v>199</v>
      </c>
      <c r="F877" s="3" t="n">
        <v>0.00021</v>
      </c>
      <c r="G877" s="3" t="n">
        <f aca="false">SUM($F$2:F877)</f>
        <v>0.800321</v>
      </c>
      <c r="H877" s="4"/>
      <c r="I877" s="5"/>
      <c r="J877" s="4"/>
      <c r="K877" s="5"/>
      <c r="L877" s="6"/>
      <c r="M877" s="5" t="str">
        <f aca="false">IF(AND(N(K877)&gt;0,N(L877)&gt;0),K877/L877,"")</f>
        <v/>
      </c>
      <c r="N877" s="2" t="s">
        <v>1226</v>
      </c>
    </row>
    <row r="878" customFormat="false" ht="15" hidden="false" customHeight="false" outlineLevel="0" collapsed="false">
      <c r="A878" s="2" t="n">
        <v>877</v>
      </c>
      <c r="B878" s="2" t="s">
        <v>2078</v>
      </c>
      <c r="C878" s="2" t="s">
        <v>2079</v>
      </c>
      <c r="D878" s="2"/>
      <c r="E878" s="2" t="s">
        <v>1334</v>
      </c>
      <c r="F878" s="3" t="n">
        <v>0.00021</v>
      </c>
      <c r="G878" s="3" t="n">
        <f aca="false">SUM($F$2:F878)</f>
        <v>0.800531</v>
      </c>
      <c r="H878" s="4"/>
      <c r="I878" s="5"/>
      <c r="J878" s="4"/>
      <c r="K878" s="5"/>
      <c r="L878" s="6"/>
      <c r="M878" s="5" t="str">
        <f aca="false">IF(AND(N(K878)&gt;0,N(L878)&gt;0),K878/L878,"")</f>
        <v/>
      </c>
      <c r="N878" s="2" t="s">
        <v>1226</v>
      </c>
    </row>
    <row r="879" customFormat="false" ht="15" hidden="false" customHeight="false" outlineLevel="0" collapsed="false">
      <c r="A879" s="2" t="n">
        <v>878</v>
      </c>
      <c r="B879" s="2" t="s">
        <v>2080</v>
      </c>
      <c r="C879" s="2" t="s">
        <v>2081</v>
      </c>
      <c r="D879" s="2"/>
      <c r="E879" s="2" t="s">
        <v>43</v>
      </c>
      <c r="F879" s="3" t="n">
        <v>0.000209</v>
      </c>
      <c r="G879" s="3" t="n">
        <f aca="false">SUM($F$2:F879)</f>
        <v>0.80074</v>
      </c>
      <c r="H879" s="4"/>
      <c r="I879" s="5"/>
      <c r="J879" s="4"/>
      <c r="K879" s="5"/>
      <c r="L879" s="6"/>
      <c r="M879" s="5" t="str">
        <f aca="false">IF(AND(N(K879)&gt;0,N(L879)&gt;0),K879/L879,"")</f>
        <v/>
      </c>
      <c r="N879" s="2" t="s">
        <v>1226</v>
      </c>
    </row>
    <row r="880" customFormat="false" ht="15" hidden="false" customHeight="false" outlineLevel="0" collapsed="false">
      <c r="A880" s="2" t="n">
        <v>879</v>
      </c>
      <c r="B880" s="2" t="s">
        <v>2082</v>
      </c>
      <c r="C880" s="2" t="s">
        <v>2083</v>
      </c>
      <c r="D880" s="2"/>
      <c r="E880" s="2" t="s">
        <v>29</v>
      </c>
      <c r="F880" s="3" t="n">
        <v>0.000209</v>
      </c>
      <c r="G880" s="3" t="n">
        <f aca="false">SUM($F$2:F880)</f>
        <v>0.800949</v>
      </c>
      <c r="H880" s="4"/>
      <c r="I880" s="5"/>
      <c r="J880" s="4"/>
      <c r="K880" s="5"/>
      <c r="L880" s="6"/>
      <c r="M880" s="5" t="str">
        <f aca="false">IF(AND(N(K880)&gt;0,N(L880)&gt;0),K880/L880,"")</f>
        <v/>
      </c>
      <c r="N880" s="2" t="s">
        <v>1226</v>
      </c>
    </row>
    <row r="881" customFormat="false" ht="15" hidden="false" customHeight="false" outlineLevel="0" collapsed="false">
      <c r="A881" s="2" t="n">
        <v>880</v>
      </c>
      <c r="B881" s="2" t="s">
        <v>2084</v>
      </c>
      <c r="C881" s="2" t="s">
        <v>2085</v>
      </c>
      <c r="D881" s="2"/>
      <c r="E881" s="2" t="s">
        <v>33</v>
      </c>
      <c r="F881" s="3" t="n">
        <v>0.000209</v>
      </c>
      <c r="G881" s="3" t="n">
        <f aca="false">SUM($F$2:F881)</f>
        <v>0.801158</v>
      </c>
      <c r="H881" s="4"/>
      <c r="I881" s="5"/>
      <c r="J881" s="4"/>
      <c r="K881" s="5"/>
      <c r="L881" s="6"/>
      <c r="M881" s="5" t="str">
        <f aca="false">IF(AND(N(K881)&gt;0,N(L881)&gt;0),K881/L881,"")</f>
        <v/>
      </c>
      <c r="N881" s="2" t="s">
        <v>1226</v>
      </c>
    </row>
    <row r="882" customFormat="false" ht="15" hidden="false" customHeight="false" outlineLevel="0" collapsed="false">
      <c r="A882" s="2" t="n">
        <v>881</v>
      </c>
      <c r="B882" s="2" t="s">
        <v>2086</v>
      </c>
      <c r="C882" s="2" t="s">
        <v>2087</v>
      </c>
      <c r="D882" s="2"/>
      <c r="E882" s="2" t="s">
        <v>29</v>
      </c>
      <c r="F882" s="3" t="n">
        <v>0.000208</v>
      </c>
      <c r="G882" s="3" t="n">
        <f aca="false">SUM($F$2:F882)</f>
        <v>0.801366</v>
      </c>
      <c r="H882" s="4"/>
      <c r="I882" s="5"/>
      <c r="J882" s="4"/>
      <c r="K882" s="5"/>
      <c r="L882" s="6"/>
      <c r="M882" s="5" t="str">
        <f aca="false">IF(AND(N(K882)&gt;0,N(L882)&gt;0),K882/L882,"")</f>
        <v/>
      </c>
      <c r="N882" s="2" t="s">
        <v>1226</v>
      </c>
    </row>
    <row r="883" customFormat="false" ht="15" hidden="false" customHeight="false" outlineLevel="0" collapsed="false">
      <c r="A883" s="2" t="n">
        <v>882</v>
      </c>
      <c r="B883" s="2" t="s">
        <v>2088</v>
      </c>
      <c r="C883" s="2" t="s">
        <v>2089</v>
      </c>
      <c r="D883" s="2"/>
      <c r="E883" s="2" t="s">
        <v>29</v>
      </c>
      <c r="F883" s="3" t="n">
        <v>0.000208</v>
      </c>
      <c r="G883" s="3" t="n">
        <f aca="false">SUM($F$2:F883)</f>
        <v>0.801574</v>
      </c>
      <c r="H883" s="4"/>
      <c r="I883" s="5"/>
      <c r="J883" s="4"/>
      <c r="K883" s="5"/>
      <c r="L883" s="6"/>
      <c r="M883" s="5" t="str">
        <f aca="false">IF(AND(N(K883)&gt;0,N(L883)&gt;0),K883/L883,"")</f>
        <v/>
      </c>
      <c r="N883" s="2" t="s">
        <v>1226</v>
      </c>
    </row>
    <row r="884" customFormat="false" ht="15" hidden="false" customHeight="false" outlineLevel="0" collapsed="false">
      <c r="A884" s="2" t="n">
        <v>883</v>
      </c>
      <c r="B884" s="2" t="s">
        <v>2090</v>
      </c>
      <c r="C884" s="2" t="s">
        <v>2091</v>
      </c>
      <c r="D884" s="2"/>
      <c r="E884" s="2" t="s">
        <v>48</v>
      </c>
      <c r="F884" s="3" t="n">
        <v>0.000207</v>
      </c>
      <c r="G884" s="3" t="n">
        <f aca="false">SUM($F$2:F884)</f>
        <v>0.801781</v>
      </c>
      <c r="H884" s="4"/>
      <c r="I884" s="5"/>
      <c r="J884" s="4"/>
      <c r="K884" s="5"/>
      <c r="L884" s="6"/>
      <c r="M884" s="5" t="str">
        <f aca="false">IF(AND(N(K884)&gt;0,N(L884)&gt;0),K884/L884,"")</f>
        <v/>
      </c>
      <c r="N884" s="2" t="s">
        <v>1226</v>
      </c>
    </row>
    <row r="885" customFormat="false" ht="15" hidden="false" customHeight="false" outlineLevel="0" collapsed="false">
      <c r="A885" s="2" t="n">
        <v>884</v>
      </c>
      <c r="B885" s="2" t="s">
        <v>2092</v>
      </c>
      <c r="C885" s="2" t="s">
        <v>2093</v>
      </c>
      <c r="D885" s="2"/>
      <c r="E885" s="2" t="s">
        <v>29</v>
      </c>
      <c r="F885" s="3" t="n">
        <v>0.000207</v>
      </c>
      <c r="G885" s="3" t="n">
        <f aca="false">SUM($F$2:F885)</f>
        <v>0.801988</v>
      </c>
      <c r="H885" s="4"/>
      <c r="I885" s="5"/>
      <c r="J885" s="4"/>
      <c r="K885" s="5"/>
      <c r="L885" s="6"/>
      <c r="M885" s="5" t="str">
        <f aca="false">IF(AND(N(K885)&gt;0,N(L885)&gt;0),K885/L885,"")</f>
        <v/>
      </c>
      <c r="N885" s="2" t="s">
        <v>1226</v>
      </c>
    </row>
    <row r="886" customFormat="false" ht="15" hidden="false" customHeight="false" outlineLevel="0" collapsed="false">
      <c r="A886" s="2" t="n">
        <v>885</v>
      </c>
      <c r="B886" s="2" t="s">
        <v>2094</v>
      </c>
      <c r="C886" s="2" t="s">
        <v>2095</v>
      </c>
      <c r="D886" s="2"/>
      <c r="E886" s="2" t="s">
        <v>33</v>
      </c>
      <c r="F886" s="3" t="n">
        <v>0.000207</v>
      </c>
      <c r="G886" s="3" t="n">
        <f aca="false">SUM($F$2:F886)</f>
        <v>0.802195</v>
      </c>
      <c r="H886" s="4"/>
      <c r="I886" s="5"/>
      <c r="J886" s="4"/>
      <c r="K886" s="5"/>
      <c r="L886" s="6"/>
      <c r="M886" s="5" t="str">
        <f aca="false">IF(AND(N(K886)&gt;0,N(L886)&gt;0),K886/L886,"")</f>
        <v/>
      </c>
      <c r="N886" s="2" t="s">
        <v>1226</v>
      </c>
    </row>
    <row r="887" customFormat="false" ht="15" hidden="false" customHeight="false" outlineLevel="0" collapsed="false">
      <c r="A887" s="2" t="n">
        <v>886</v>
      </c>
      <c r="B887" s="2" t="s">
        <v>2096</v>
      </c>
      <c r="C887" s="2" t="s">
        <v>2097</v>
      </c>
      <c r="D887" s="2"/>
      <c r="E887" s="2" t="s">
        <v>52</v>
      </c>
      <c r="F887" s="3" t="n">
        <v>0.000207</v>
      </c>
      <c r="G887" s="3" t="n">
        <f aca="false">SUM($F$2:F887)</f>
        <v>0.802402</v>
      </c>
      <c r="H887" s="4"/>
      <c r="I887" s="5"/>
      <c r="J887" s="4"/>
      <c r="K887" s="5"/>
      <c r="L887" s="6"/>
      <c r="M887" s="5" t="str">
        <f aca="false">IF(AND(N(K887)&gt;0,N(L887)&gt;0),K887/L887,"")</f>
        <v/>
      </c>
      <c r="N887" s="2" t="s">
        <v>1226</v>
      </c>
    </row>
    <row r="888" customFormat="false" ht="15" hidden="false" customHeight="false" outlineLevel="0" collapsed="false">
      <c r="A888" s="2" t="n">
        <v>887</v>
      </c>
      <c r="B888" s="2" t="s">
        <v>2098</v>
      </c>
      <c r="C888" s="2" t="s">
        <v>2099</v>
      </c>
      <c r="D888" s="2"/>
      <c r="E888" s="2" t="s">
        <v>29</v>
      </c>
      <c r="F888" s="3" t="n">
        <v>0.000207</v>
      </c>
      <c r="G888" s="3" t="n">
        <f aca="false">SUM($F$2:F888)</f>
        <v>0.802609</v>
      </c>
      <c r="H888" s="4"/>
      <c r="I888" s="5"/>
      <c r="J888" s="4"/>
      <c r="K888" s="5"/>
      <c r="L888" s="6"/>
      <c r="M888" s="5" t="str">
        <f aca="false">IF(AND(N(K888)&gt;0,N(L888)&gt;0),K888/L888,"")</f>
        <v/>
      </c>
      <c r="N888" s="2" t="s">
        <v>1226</v>
      </c>
    </row>
    <row r="889" customFormat="false" ht="15" hidden="false" customHeight="false" outlineLevel="0" collapsed="false">
      <c r="A889" s="2" t="n">
        <v>888</v>
      </c>
      <c r="B889" s="2" t="s">
        <v>2100</v>
      </c>
      <c r="C889" s="2" t="s">
        <v>2101</v>
      </c>
      <c r="D889" s="2"/>
      <c r="E889" s="2" t="s">
        <v>296</v>
      </c>
      <c r="F889" s="3" t="n">
        <v>0.000207</v>
      </c>
      <c r="G889" s="3" t="n">
        <f aca="false">SUM($F$2:F889)</f>
        <v>0.802816</v>
      </c>
      <c r="H889" s="4"/>
      <c r="I889" s="5"/>
      <c r="J889" s="4"/>
      <c r="K889" s="5"/>
      <c r="L889" s="6"/>
      <c r="M889" s="5" t="str">
        <f aca="false">IF(AND(N(K889)&gt;0,N(L889)&gt;0),K889/L889,"")</f>
        <v/>
      </c>
      <c r="N889" s="2" t="s">
        <v>1226</v>
      </c>
    </row>
    <row r="890" customFormat="false" ht="15" hidden="false" customHeight="false" outlineLevel="0" collapsed="false">
      <c r="A890" s="2" t="n">
        <v>889</v>
      </c>
      <c r="B890" s="2" t="s">
        <v>2102</v>
      </c>
      <c r="C890" s="2" t="s">
        <v>2103</v>
      </c>
      <c r="D890" s="2"/>
      <c r="E890" s="2" t="s">
        <v>1334</v>
      </c>
      <c r="F890" s="3" t="n">
        <v>0.000207</v>
      </c>
      <c r="G890" s="3" t="n">
        <f aca="false">SUM($F$2:F890)</f>
        <v>0.803023</v>
      </c>
      <c r="H890" s="4"/>
      <c r="I890" s="5"/>
      <c r="J890" s="4"/>
      <c r="K890" s="5"/>
      <c r="L890" s="6"/>
      <c r="M890" s="5" t="str">
        <f aca="false">IF(AND(N(K890)&gt;0,N(L890)&gt;0),K890/L890,"")</f>
        <v/>
      </c>
      <c r="N890" s="2" t="s">
        <v>1226</v>
      </c>
    </row>
    <row r="891" customFormat="false" ht="15" hidden="false" customHeight="false" outlineLevel="0" collapsed="false">
      <c r="A891" s="2" t="n">
        <v>890</v>
      </c>
      <c r="B891" s="2" t="s">
        <v>2104</v>
      </c>
      <c r="C891" s="2" t="s">
        <v>2105</v>
      </c>
      <c r="D891" s="2"/>
      <c r="E891" s="2" t="s">
        <v>29</v>
      </c>
      <c r="F891" s="3" t="n">
        <v>0.000206</v>
      </c>
      <c r="G891" s="3" t="n">
        <f aca="false">SUM($F$2:F891)</f>
        <v>0.803229</v>
      </c>
      <c r="H891" s="4"/>
      <c r="I891" s="5"/>
      <c r="J891" s="4"/>
      <c r="K891" s="5"/>
      <c r="L891" s="6"/>
      <c r="M891" s="5" t="str">
        <f aca="false">IF(AND(N(K891)&gt;0,N(L891)&gt;0),K891/L891,"")</f>
        <v/>
      </c>
      <c r="N891" s="2" t="s">
        <v>1226</v>
      </c>
    </row>
    <row r="892" customFormat="false" ht="15" hidden="false" customHeight="false" outlineLevel="0" collapsed="false">
      <c r="A892" s="2" t="n">
        <v>891</v>
      </c>
      <c r="B892" s="2" t="s">
        <v>2106</v>
      </c>
      <c r="C892" s="2" t="s">
        <v>2107</v>
      </c>
      <c r="D892" s="2"/>
      <c r="E892" s="2" t="s">
        <v>29</v>
      </c>
      <c r="F892" s="3" t="n">
        <v>0.000206</v>
      </c>
      <c r="G892" s="3" t="n">
        <f aca="false">SUM($F$2:F892)</f>
        <v>0.803435</v>
      </c>
      <c r="H892" s="4"/>
      <c r="I892" s="5"/>
      <c r="J892" s="4"/>
      <c r="K892" s="5"/>
      <c r="L892" s="6"/>
      <c r="M892" s="5" t="str">
        <f aca="false">IF(AND(N(K892)&gt;0,N(L892)&gt;0),K892/L892,"")</f>
        <v/>
      </c>
      <c r="N892" s="2" t="s">
        <v>1226</v>
      </c>
    </row>
    <row r="893" customFormat="false" ht="15" hidden="false" customHeight="false" outlineLevel="0" collapsed="false">
      <c r="A893" s="2" t="n">
        <v>892</v>
      </c>
      <c r="B893" s="2" t="s">
        <v>2108</v>
      </c>
      <c r="C893" s="2" t="s">
        <v>2109</v>
      </c>
      <c r="D893" s="2"/>
      <c r="E893" s="2" t="s">
        <v>52</v>
      </c>
      <c r="F893" s="3" t="n">
        <v>0.000206</v>
      </c>
      <c r="G893" s="3" t="n">
        <f aca="false">SUM($F$2:F893)</f>
        <v>0.803641</v>
      </c>
      <c r="H893" s="4"/>
      <c r="I893" s="5"/>
      <c r="J893" s="4"/>
      <c r="K893" s="5"/>
      <c r="L893" s="6"/>
      <c r="M893" s="5" t="str">
        <f aca="false">IF(AND(N(K893)&gt;0,N(L893)&gt;0),K893/L893,"")</f>
        <v/>
      </c>
      <c r="N893" s="2" t="s">
        <v>1226</v>
      </c>
    </row>
    <row r="894" customFormat="false" ht="15" hidden="false" customHeight="false" outlineLevel="0" collapsed="false">
      <c r="A894" s="2" t="n">
        <v>893</v>
      </c>
      <c r="B894" s="2" t="s">
        <v>2110</v>
      </c>
      <c r="C894" s="2" t="s">
        <v>2111</v>
      </c>
      <c r="D894" s="2"/>
      <c r="E894" s="2" t="s">
        <v>826</v>
      </c>
      <c r="F894" s="3" t="n">
        <v>0.000206</v>
      </c>
      <c r="G894" s="3" t="n">
        <f aca="false">SUM($F$2:F894)</f>
        <v>0.803847</v>
      </c>
      <c r="H894" s="4"/>
      <c r="I894" s="5"/>
      <c r="J894" s="4"/>
      <c r="K894" s="5"/>
      <c r="L894" s="6"/>
      <c r="M894" s="5" t="str">
        <f aca="false">IF(AND(N(K894)&gt;0,N(L894)&gt;0),K894/L894,"")</f>
        <v/>
      </c>
      <c r="N894" s="2" t="s">
        <v>1226</v>
      </c>
    </row>
    <row r="895" customFormat="false" ht="15" hidden="false" customHeight="false" outlineLevel="0" collapsed="false">
      <c r="A895" s="2" t="n">
        <v>894</v>
      </c>
      <c r="B895" s="2" t="s">
        <v>2112</v>
      </c>
      <c r="C895" s="2" t="s">
        <v>2113</v>
      </c>
      <c r="D895" s="2"/>
      <c r="E895" s="2" t="s">
        <v>21</v>
      </c>
      <c r="F895" s="3" t="n">
        <v>0.000206</v>
      </c>
      <c r="G895" s="3" t="n">
        <f aca="false">SUM($F$2:F895)</f>
        <v>0.804053</v>
      </c>
      <c r="H895" s="4"/>
      <c r="I895" s="5"/>
      <c r="J895" s="4"/>
      <c r="K895" s="5"/>
      <c r="L895" s="6"/>
      <c r="M895" s="5" t="str">
        <f aca="false">IF(AND(N(K895)&gt;0,N(L895)&gt;0),K895/L895,"")</f>
        <v/>
      </c>
      <c r="N895" s="2" t="s">
        <v>1226</v>
      </c>
    </row>
    <row r="896" customFormat="false" ht="15" hidden="false" customHeight="false" outlineLevel="0" collapsed="false">
      <c r="A896" s="2" t="n">
        <v>895</v>
      </c>
      <c r="B896" s="2" t="s">
        <v>2114</v>
      </c>
      <c r="C896" s="2" t="s">
        <v>2115</v>
      </c>
      <c r="D896" s="2"/>
      <c r="E896" s="2" t="s">
        <v>296</v>
      </c>
      <c r="F896" s="3" t="n">
        <v>0.000205</v>
      </c>
      <c r="G896" s="3" t="n">
        <f aca="false">SUM($F$2:F896)</f>
        <v>0.804258</v>
      </c>
      <c r="H896" s="4"/>
      <c r="I896" s="5"/>
      <c r="J896" s="4"/>
      <c r="K896" s="5"/>
      <c r="L896" s="6"/>
      <c r="M896" s="5" t="str">
        <f aca="false">IF(AND(N(K896)&gt;0,N(L896)&gt;0),K896/L896,"")</f>
        <v/>
      </c>
      <c r="N896" s="2" t="s">
        <v>1226</v>
      </c>
    </row>
    <row r="897" customFormat="false" ht="15" hidden="false" customHeight="false" outlineLevel="0" collapsed="false">
      <c r="A897" s="2" t="n">
        <v>896</v>
      </c>
      <c r="B897" s="2" t="s">
        <v>2116</v>
      </c>
      <c r="C897" s="2" t="s">
        <v>2117</v>
      </c>
      <c r="D897" s="2"/>
      <c r="E897" s="2" t="s">
        <v>52</v>
      </c>
      <c r="F897" s="3" t="n">
        <v>0.000205</v>
      </c>
      <c r="G897" s="3" t="n">
        <f aca="false">SUM($F$2:F897)</f>
        <v>0.804463</v>
      </c>
      <c r="H897" s="4"/>
      <c r="I897" s="5"/>
      <c r="J897" s="4"/>
      <c r="K897" s="5"/>
      <c r="L897" s="6"/>
      <c r="M897" s="5" t="str">
        <f aca="false">IF(AND(N(K897)&gt;0,N(L897)&gt;0),K897/L897,"")</f>
        <v/>
      </c>
      <c r="N897" s="2" t="s">
        <v>1226</v>
      </c>
    </row>
    <row r="898" customFormat="false" ht="15" hidden="false" customHeight="false" outlineLevel="0" collapsed="false">
      <c r="A898" s="2" t="n">
        <v>897</v>
      </c>
      <c r="B898" s="2" t="s">
        <v>2118</v>
      </c>
      <c r="C898" s="2" t="s">
        <v>2119</v>
      </c>
      <c r="D898" s="2"/>
      <c r="E898" s="2" t="s">
        <v>48</v>
      </c>
      <c r="F898" s="3" t="n">
        <v>0.000205</v>
      </c>
      <c r="G898" s="3" t="n">
        <f aca="false">SUM($F$2:F898)</f>
        <v>0.804668</v>
      </c>
      <c r="H898" s="4"/>
      <c r="I898" s="5"/>
      <c r="J898" s="4"/>
      <c r="K898" s="5"/>
      <c r="L898" s="6"/>
      <c r="M898" s="5" t="str">
        <f aca="false">IF(AND(N(K898)&gt;0,N(L898)&gt;0),K898/L898,"")</f>
        <v/>
      </c>
      <c r="N898" s="2" t="s">
        <v>1226</v>
      </c>
    </row>
    <row r="899" customFormat="false" ht="15" hidden="false" customHeight="false" outlineLevel="0" collapsed="false">
      <c r="A899" s="2" t="n">
        <v>898</v>
      </c>
      <c r="B899" s="2" t="s">
        <v>2120</v>
      </c>
      <c r="C899" s="2" t="s">
        <v>2121</v>
      </c>
      <c r="D899" s="2"/>
      <c r="E899" s="2" t="s">
        <v>33</v>
      </c>
      <c r="F899" s="3" t="n">
        <v>0.000205</v>
      </c>
      <c r="G899" s="3" t="n">
        <f aca="false">SUM($F$2:F899)</f>
        <v>0.804873</v>
      </c>
      <c r="H899" s="4"/>
      <c r="I899" s="5"/>
      <c r="J899" s="4"/>
      <c r="K899" s="5"/>
      <c r="L899" s="6"/>
      <c r="M899" s="5" t="str">
        <f aca="false">IF(AND(N(K899)&gt;0,N(L899)&gt;0),K899/L899,"")</f>
        <v/>
      </c>
      <c r="N899" s="2" t="s">
        <v>1226</v>
      </c>
    </row>
    <row r="900" customFormat="false" ht="15" hidden="false" customHeight="false" outlineLevel="0" collapsed="false">
      <c r="A900" s="2" t="n">
        <v>899</v>
      </c>
      <c r="B900" s="2" t="s">
        <v>2122</v>
      </c>
      <c r="C900" s="2" t="s">
        <v>2123</v>
      </c>
      <c r="D900" s="2"/>
      <c r="E900" s="2" t="s">
        <v>38</v>
      </c>
      <c r="F900" s="3" t="n">
        <v>0.000204</v>
      </c>
      <c r="G900" s="3" t="n">
        <f aca="false">SUM($F$2:F900)</f>
        <v>0.805077</v>
      </c>
      <c r="H900" s="4"/>
      <c r="I900" s="5"/>
      <c r="J900" s="4"/>
      <c r="K900" s="5"/>
      <c r="L900" s="6"/>
      <c r="M900" s="5" t="str">
        <f aca="false">IF(AND(N(K900)&gt;0,N(L900)&gt;0),K900/L900,"")</f>
        <v/>
      </c>
      <c r="N900" s="2" t="s">
        <v>1226</v>
      </c>
    </row>
    <row r="901" customFormat="false" ht="15" hidden="false" customHeight="false" outlineLevel="0" collapsed="false">
      <c r="A901" s="2" t="n">
        <v>900</v>
      </c>
      <c r="B901" s="2" t="s">
        <v>2124</v>
      </c>
      <c r="C901" s="2" t="s">
        <v>2125</v>
      </c>
      <c r="D901" s="2"/>
      <c r="E901" s="2" t="s">
        <v>1050</v>
      </c>
      <c r="F901" s="3" t="n">
        <v>0.000204</v>
      </c>
      <c r="G901" s="3" t="n">
        <f aca="false">SUM($F$2:F901)</f>
        <v>0.805281</v>
      </c>
      <c r="H901" s="4"/>
      <c r="I901" s="5"/>
      <c r="J901" s="4"/>
      <c r="K901" s="5"/>
      <c r="L901" s="6"/>
      <c r="M901" s="5" t="str">
        <f aca="false">IF(AND(N(K901)&gt;0,N(L901)&gt;0),K901/L901,"")</f>
        <v/>
      </c>
      <c r="N901" s="2" t="s">
        <v>1226</v>
      </c>
    </row>
    <row r="902" customFormat="false" ht="15" hidden="false" customHeight="false" outlineLevel="0" collapsed="false">
      <c r="A902" s="2" t="n">
        <v>901</v>
      </c>
      <c r="B902" s="2" t="s">
        <v>2126</v>
      </c>
      <c r="C902" s="2" t="s">
        <v>2127</v>
      </c>
      <c r="D902" s="2"/>
      <c r="E902" s="2" t="s">
        <v>38</v>
      </c>
      <c r="F902" s="3" t="n">
        <v>0.000204</v>
      </c>
      <c r="G902" s="3" t="n">
        <f aca="false">SUM($F$2:F902)</f>
        <v>0.805485</v>
      </c>
      <c r="H902" s="4"/>
      <c r="I902" s="5"/>
      <c r="J902" s="4"/>
      <c r="K902" s="5"/>
      <c r="L902" s="6"/>
      <c r="M902" s="5" t="str">
        <f aca="false">IF(AND(N(K902)&gt;0,N(L902)&gt;0),K902/L902,"")</f>
        <v/>
      </c>
      <c r="N902" s="2" t="s">
        <v>1226</v>
      </c>
    </row>
    <row r="903" customFormat="false" ht="15" hidden="false" customHeight="false" outlineLevel="0" collapsed="false">
      <c r="A903" s="2" t="n">
        <v>902</v>
      </c>
      <c r="B903" s="2" t="s">
        <v>2128</v>
      </c>
      <c r="C903" s="2" t="s">
        <v>2129</v>
      </c>
      <c r="D903" s="2"/>
      <c r="E903" s="2" t="s">
        <v>289</v>
      </c>
      <c r="F903" s="3" t="n">
        <v>0.000204</v>
      </c>
      <c r="G903" s="3" t="n">
        <f aca="false">SUM($F$2:F903)</f>
        <v>0.805689</v>
      </c>
      <c r="H903" s="4"/>
      <c r="I903" s="5"/>
      <c r="J903" s="4"/>
      <c r="K903" s="5"/>
      <c r="L903" s="6"/>
      <c r="M903" s="5" t="str">
        <f aca="false">IF(AND(N(K903)&gt;0,N(L903)&gt;0),K903/L903,"")</f>
        <v/>
      </c>
      <c r="N903" s="2" t="s">
        <v>1226</v>
      </c>
    </row>
    <row r="904" customFormat="false" ht="15" hidden="false" customHeight="false" outlineLevel="0" collapsed="false">
      <c r="A904" s="2" t="n">
        <v>903</v>
      </c>
      <c r="B904" s="2" t="s">
        <v>2130</v>
      </c>
      <c r="C904" s="2" t="s">
        <v>2131</v>
      </c>
      <c r="D904" s="2"/>
      <c r="E904" s="2" t="s">
        <v>173</v>
      </c>
      <c r="F904" s="3" t="n">
        <v>0.000204</v>
      </c>
      <c r="G904" s="3" t="n">
        <f aca="false">SUM($F$2:F904)</f>
        <v>0.805893</v>
      </c>
      <c r="H904" s="4"/>
      <c r="I904" s="5"/>
      <c r="J904" s="4"/>
      <c r="K904" s="5"/>
      <c r="L904" s="6"/>
      <c r="M904" s="5" t="str">
        <f aca="false">IF(AND(N(K904)&gt;0,N(L904)&gt;0),K904/L904,"")</f>
        <v/>
      </c>
      <c r="N904" s="2" t="s">
        <v>1226</v>
      </c>
    </row>
    <row r="905" customFormat="false" ht="15" hidden="false" customHeight="false" outlineLevel="0" collapsed="false">
      <c r="A905" s="2" t="n">
        <v>904</v>
      </c>
      <c r="B905" s="2" t="s">
        <v>2132</v>
      </c>
      <c r="C905" s="2" t="s">
        <v>2133</v>
      </c>
      <c r="D905" s="2"/>
      <c r="E905" s="2" t="s">
        <v>52</v>
      </c>
      <c r="F905" s="3" t="n">
        <v>0.000203</v>
      </c>
      <c r="G905" s="3" t="n">
        <f aca="false">SUM($F$2:F905)</f>
        <v>0.806096</v>
      </c>
      <c r="H905" s="4"/>
      <c r="I905" s="5"/>
      <c r="J905" s="4"/>
      <c r="K905" s="5"/>
      <c r="L905" s="6"/>
      <c r="M905" s="5" t="str">
        <f aca="false">IF(AND(N(K905)&gt;0,N(L905)&gt;0),K905/L905,"")</f>
        <v/>
      </c>
      <c r="N905" s="2" t="s">
        <v>1226</v>
      </c>
    </row>
    <row r="906" customFormat="false" ht="15" hidden="false" customHeight="false" outlineLevel="0" collapsed="false">
      <c r="A906" s="2" t="n">
        <v>905</v>
      </c>
      <c r="B906" s="2" t="s">
        <v>2134</v>
      </c>
      <c r="C906" s="2" t="s">
        <v>2135</v>
      </c>
      <c r="D906" s="2"/>
      <c r="E906" s="2" t="s">
        <v>1345</v>
      </c>
      <c r="F906" s="3" t="n">
        <v>0.000203</v>
      </c>
      <c r="G906" s="3" t="n">
        <f aca="false">SUM($F$2:F906)</f>
        <v>0.806299</v>
      </c>
      <c r="H906" s="4"/>
      <c r="I906" s="5"/>
      <c r="J906" s="4"/>
      <c r="K906" s="5"/>
      <c r="L906" s="6"/>
      <c r="M906" s="5" t="str">
        <f aca="false">IF(AND(N(K906)&gt;0,N(L906)&gt;0),K906/L906,"")</f>
        <v/>
      </c>
      <c r="N906" s="2" t="s">
        <v>1226</v>
      </c>
    </row>
    <row r="907" customFormat="false" ht="15" hidden="false" customHeight="false" outlineLevel="0" collapsed="false">
      <c r="A907" s="2" t="n">
        <v>906</v>
      </c>
      <c r="B907" s="2" t="s">
        <v>2136</v>
      </c>
      <c r="C907" s="2" t="s">
        <v>2137</v>
      </c>
      <c r="D907" s="2"/>
      <c r="E907" s="2" t="s">
        <v>765</v>
      </c>
      <c r="F907" s="3" t="n">
        <v>0.000202</v>
      </c>
      <c r="G907" s="3" t="n">
        <f aca="false">SUM($F$2:F907)</f>
        <v>0.806501</v>
      </c>
      <c r="H907" s="4"/>
      <c r="I907" s="5"/>
      <c r="J907" s="4"/>
      <c r="K907" s="5"/>
      <c r="L907" s="6"/>
      <c r="M907" s="5" t="str">
        <f aca="false">IF(AND(N(K907)&gt;0,N(L907)&gt;0),K907/L907,"")</f>
        <v/>
      </c>
      <c r="N907" s="2" t="s">
        <v>1226</v>
      </c>
    </row>
    <row r="908" customFormat="false" ht="15" hidden="false" customHeight="false" outlineLevel="0" collapsed="false">
      <c r="A908" s="2" t="n">
        <v>907</v>
      </c>
      <c r="B908" s="2" t="s">
        <v>1571</v>
      </c>
      <c r="C908" s="2" t="s">
        <v>2138</v>
      </c>
      <c r="D908" s="2"/>
      <c r="E908" s="2" t="s">
        <v>52</v>
      </c>
      <c r="F908" s="3" t="n">
        <v>0.000202</v>
      </c>
      <c r="G908" s="3" t="n">
        <f aca="false">SUM($F$2:F908)</f>
        <v>0.806703</v>
      </c>
      <c r="H908" s="4"/>
      <c r="I908" s="5"/>
      <c r="J908" s="4"/>
      <c r="K908" s="5"/>
      <c r="L908" s="6"/>
      <c r="M908" s="5" t="str">
        <f aca="false">IF(AND(N(K908)&gt;0,N(L908)&gt;0),K908/L908,"")</f>
        <v/>
      </c>
      <c r="N908" s="2" t="s">
        <v>1226</v>
      </c>
    </row>
    <row r="909" customFormat="false" ht="15" hidden="false" customHeight="false" outlineLevel="0" collapsed="false">
      <c r="A909" s="2" t="n">
        <v>908</v>
      </c>
      <c r="B909" s="2" t="s">
        <v>2139</v>
      </c>
      <c r="C909" s="2" t="s">
        <v>2140</v>
      </c>
      <c r="D909" s="2"/>
      <c r="E909" s="2" t="s">
        <v>48</v>
      </c>
      <c r="F909" s="3" t="n">
        <v>0.000202</v>
      </c>
      <c r="G909" s="3" t="n">
        <f aca="false">SUM($F$2:F909)</f>
        <v>0.806905</v>
      </c>
      <c r="H909" s="4"/>
      <c r="I909" s="5"/>
      <c r="J909" s="4"/>
      <c r="K909" s="5"/>
      <c r="L909" s="6"/>
      <c r="M909" s="5" t="str">
        <f aca="false">IF(AND(N(K909)&gt;0,N(L909)&gt;0),K909/L909,"")</f>
        <v/>
      </c>
      <c r="N909" s="2" t="s">
        <v>1226</v>
      </c>
    </row>
    <row r="910" customFormat="false" ht="15" hidden="false" customHeight="false" outlineLevel="0" collapsed="false">
      <c r="A910" s="2" t="n">
        <v>909</v>
      </c>
      <c r="B910" s="2" t="s">
        <v>2141</v>
      </c>
      <c r="C910" s="2" t="s">
        <v>2142</v>
      </c>
      <c r="D910" s="2"/>
      <c r="E910" s="2" t="s">
        <v>25</v>
      </c>
      <c r="F910" s="3" t="n">
        <v>0.000202</v>
      </c>
      <c r="G910" s="3" t="n">
        <f aca="false">SUM($F$2:F910)</f>
        <v>0.807107</v>
      </c>
      <c r="H910" s="4"/>
      <c r="I910" s="5"/>
      <c r="J910" s="4"/>
      <c r="K910" s="5"/>
      <c r="L910" s="6"/>
      <c r="M910" s="5" t="str">
        <f aca="false">IF(AND(N(K910)&gt;0,N(L910)&gt;0),K910/L910,"")</f>
        <v/>
      </c>
      <c r="N910" s="2" t="s">
        <v>1226</v>
      </c>
    </row>
    <row r="911" customFormat="false" ht="15" hidden="false" customHeight="false" outlineLevel="0" collapsed="false">
      <c r="A911" s="2" t="n">
        <v>910</v>
      </c>
      <c r="B911" s="2" t="s">
        <v>2143</v>
      </c>
      <c r="C911" s="2" t="s">
        <v>2144</v>
      </c>
      <c r="D911" s="2"/>
      <c r="E911" s="2" t="s">
        <v>52</v>
      </c>
      <c r="F911" s="3" t="n">
        <v>0.000202</v>
      </c>
      <c r="G911" s="3" t="n">
        <f aca="false">SUM($F$2:F911)</f>
        <v>0.807309</v>
      </c>
      <c r="H911" s="4"/>
      <c r="I911" s="5"/>
      <c r="J911" s="4"/>
      <c r="K911" s="5"/>
      <c r="L911" s="6"/>
      <c r="M911" s="5" t="str">
        <f aca="false">IF(AND(N(K911)&gt;0,N(L911)&gt;0),K911/L911,"")</f>
        <v/>
      </c>
      <c r="N911" s="2" t="s">
        <v>1226</v>
      </c>
    </row>
    <row r="912" customFormat="false" ht="15" hidden="false" customHeight="false" outlineLevel="0" collapsed="false">
      <c r="A912" s="2" t="n">
        <v>911</v>
      </c>
      <c r="B912" s="2" t="s">
        <v>2145</v>
      </c>
      <c r="C912" s="2" t="s">
        <v>2146</v>
      </c>
      <c r="D912" s="2"/>
      <c r="E912" s="2" t="s">
        <v>52</v>
      </c>
      <c r="F912" s="3" t="n">
        <v>0.000201</v>
      </c>
      <c r="G912" s="3" t="n">
        <f aca="false">SUM($F$2:F912)</f>
        <v>0.80751</v>
      </c>
      <c r="H912" s="4"/>
      <c r="I912" s="5"/>
      <c r="J912" s="4"/>
      <c r="K912" s="5"/>
      <c r="L912" s="6"/>
      <c r="M912" s="5" t="str">
        <f aca="false">IF(AND(N(K912)&gt;0,N(L912)&gt;0),K912/L912,"")</f>
        <v/>
      </c>
      <c r="N912" s="2" t="s">
        <v>1226</v>
      </c>
    </row>
    <row r="913" customFormat="false" ht="15" hidden="false" customHeight="false" outlineLevel="0" collapsed="false">
      <c r="A913" s="2" t="n">
        <v>912</v>
      </c>
      <c r="B913" s="2" t="s">
        <v>2147</v>
      </c>
      <c r="C913" s="2" t="s">
        <v>2148</v>
      </c>
      <c r="D913" s="2"/>
      <c r="E913" s="2" t="s">
        <v>43</v>
      </c>
      <c r="F913" s="3" t="n">
        <v>0.0002</v>
      </c>
      <c r="G913" s="3" t="n">
        <f aca="false">SUM($F$2:F913)</f>
        <v>0.80771</v>
      </c>
      <c r="H913" s="4"/>
      <c r="I913" s="5"/>
      <c r="J913" s="4"/>
      <c r="K913" s="5"/>
      <c r="L913" s="6"/>
      <c r="M913" s="5" t="str">
        <f aca="false">IF(AND(N(K913)&gt;0,N(L913)&gt;0),K913/L913,"")</f>
        <v/>
      </c>
      <c r="N913" s="2" t="s">
        <v>1226</v>
      </c>
    </row>
    <row r="914" customFormat="false" ht="15" hidden="false" customHeight="false" outlineLevel="0" collapsed="false">
      <c r="A914" s="2" t="n">
        <v>913</v>
      </c>
      <c r="B914" s="2" t="s">
        <v>2149</v>
      </c>
      <c r="C914" s="2" t="s">
        <v>2150</v>
      </c>
      <c r="D914" s="2"/>
      <c r="E914" s="2" t="s">
        <v>29</v>
      </c>
      <c r="F914" s="3" t="n">
        <v>0.0002</v>
      </c>
      <c r="G914" s="3" t="n">
        <f aca="false">SUM($F$2:F914)</f>
        <v>0.80791</v>
      </c>
      <c r="H914" s="4"/>
      <c r="I914" s="5"/>
      <c r="J914" s="4"/>
      <c r="K914" s="5"/>
      <c r="L914" s="6"/>
      <c r="M914" s="5" t="str">
        <f aca="false">IF(AND(N(K914)&gt;0,N(L914)&gt;0),K914/L914,"")</f>
        <v/>
      </c>
      <c r="N914" s="2" t="s">
        <v>1226</v>
      </c>
    </row>
    <row r="915" customFormat="false" ht="15" hidden="false" customHeight="false" outlineLevel="0" collapsed="false">
      <c r="A915" s="2" t="n">
        <v>914</v>
      </c>
      <c r="B915" s="2" t="s">
        <v>2151</v>
      </c>
      <c r="C915" s="2" t="s">
        <v>2152</v>
      </c>
      <c r="D915" s="2"/>
      <c r="E915" s="2" t="s">
        <v>289</v>
      </c>
      <c r="F915" s="3" t="n">
        <v>0.000199</v>
      </c>
      <c r="G915" s="3" t="n">
        <f aca="false">SUM($F$2:F915)</f>
        <v>0.808109</v>
      </c>
      <c r="H915" s="4"/>
      <c r="I915" s="5"/>
      <c r="J915" s="4"/>
      <c r="K915" s="5"/>
      <c r="L915" s="6"/>
      <c r="M915" s="5" t="str">
        <f aca="false">IF(AND(N(K915)&gt;0,N(L915)&gt;0),K915/L915,"")</f>
        <v/>
      </c>
      <c r="N915" s="2" t="s">
        <v>1226</v>
      </c>
    </row>
    <row r="916" customFormat="false" ht="15" hidden="false" customHeight="false" outlineLevel="0" collapsed="false">
      <c r="A916" s="2" t="n">
        <v>915</v>
      </c>
      <c r="B916" s="2" t="s">
        <v>2153</v>
      </c>
      <c r="C916" s="2" t="s">
        <v>2154</v>
      </c>
      <c r="D916" s="2"/>
      <c r="E916" s="2" t="s">
        <v>82</v>
      </c>
      <c r="F916" s="3" t="n">
        <v>0.000199</v>
      </c>
      <c r="G916" s="3" t="n">
        <f aca="false">SUM($F$2:F916)</f>
        <v>0.808308</v>
      </c>
      <c r="H916" s="4"/>
      <c r="I916" s="5"/>
      <c r="J916" s="4"/>
      <c r="K916" s="5"/>
      <c r="L916" s="6"/>
      <c r="M916" s="5" t="str">
        <f aca="false">IF(AND(N(K916)&gt;0,N(L916)&gt;0),K916/L916,"")</f>
        <v/>
      </c>
      <c r="N916" s="2" t="s">
        <v>1226</v>
      </c>
    </row>
    <row r="917" customFormat="false" ht="15" hidden="false" customHeight="false" outlineLevel="0" collapsed="false">
      <c r="A917" s="2" t="n">
        <v>916</v>
      </c>
      <c r="B917" s="2" t="s">
        <v>2155</v>
      </c>
      <c r="C917" s="2" t="s">
        <v>2156</v>
      </c>
      <c r="D917" s="2"/>
      <c r="E917" s="2" t="s">
        <v>25</v>
      </c>
      <c r="F917" s="3" t="n">
        <v>0.000199</v>
      </c>
      <c r="G917" s="3" t="n">
        <f aca="false">SUM($F$2:F917)</f>
        <v>0.808507</v>
      </c>
      <c r="H917" s="4"/>
      <c r="I917" s="5"/>
      <c r="J917" s="4"/>
      <c r="K917" s="5"/>
      <c r="L917" s="6"/>
      <c r="M917" s="5" t="str">
        <f aca="false">IF(AND(N(K917)&gt;0,N(L917)&gt;0),K917/L917,"")</f>
        <v/>
      </c>
      <c r="N917" s="2" t="s">
        <v>1226</v>
      </c>
    </row>
    <row r="918" customFormat="false" ht="15" hidden="false" customHeight="false" outlineLevel="0" collapsed="false">
      <c r="A918" s="2" t="n">
        <v>917</v>
      </c>
      <c r="B918" s="2" t="s">
        <v>2157</v>
      </c>
      <c r="C918" s="2" t="s">
        <v>2158</v>
      </c>
      <c r="D918" s="2"/>
      <c r="E918" s="2" t="s">
        <v>167</v>
      </c>
      <c r="F918" s="3" t="n">
        <v>0.000199</v>
      </c>
      <c r="G918" s="3" t="n">
        <f aca="false">SUM($F$2:F918)</f>
        <v>0.808706</v>
      </c>
      <c r="H918" s="4"/>
      <c r="I918" s="5"/>
      <c r="J918" s="4"/>
      <c r="K918" s="5"/>
      <c r="L918" s="6"/>
      <c r="M918" s="5" t="str">
        <f aca="false">IF(AND(N(K918)&gt;0,N(L918)&gt;0),K918/L918,"")</f>
        <v/>
      </c>
      <c r="N918" s="2" t="s">
        <v>1226</v>
      </c>
    </row>
    <row r="919" customFormat="false" ht="15" hidden="false" customHeight="false" outlineLevel="0" collapsed="false">
      <c r="A919" s="2" t="n">
        <v>918</v>
      </c>
      <c r="B919" s="2" t="s">
        <v>2159</v>
      </c>
      <c r="C919" s="2" t="s">
        <v>2160</v>
      </c>
      <c r="D919" s="2"/>
      <c r="E919" s="2" t="s">
        <v>33</v>
      </c>
      <c r="F919" s="3" t="n">
        <v>0.000199</v>
      </c>
      <c r="G919" s="3" t="n">
        <f aca="false">SUM($F$2:F919)</f>
        <v>0.808905</v>
      </c>
      <c r="H919" s="4"/>
      <c r="I919" s="5"/>
      <c r="J919" s="4"/>
      <c r="K919" s="5"/>
      <c r="L919" s="6"/>
      <c r="M919" s="5" t="str">
        <f aca="false">IF(AND(N(K919)&gt;0,N(L919)&gt;0),K919/L919,"")</f>
        <v/>
      </c>
      <c r="N919" s="2" t="s">
        <v>1226</v>
      </c>
    </row>
    <row r="920" customFormat="false" ht="15" hidden="false" customHeight="false" outlineLevel="0" collapsed="false">
      <c r="A920" s="2" t="n">
        <v>919</v>
      </c>
      <c r="B920" s="2" t="s">
        <v>2161</v>
      </c>
      <c r="C920" s="2" t="s">
        <v>2162</v>
      </c>
      <c r="D920" s="2"/>
      <c r="E920" s="2" t="s">
        <v>199</v>
      </c>
      <c r="F920" s="3" t="n">
        <v>0.000199</v>
      </c>
      <c r="G920" s="3" t="n">
        <f aca="false">SUM($F$2:F920)</f>
        <v>0.809104</v>
      </c>
      <c r="H920" s="4"/>
      <c r="I920" s="5"/>
      <c r="J920" s="4"/>
      <c r="K920" s="5"/>
      <c r="L920" s="6"/>
      <c r="M920" s="5" t="str">
        <f aca="false">IF(AND(N(K920)&gt;0,N(L920)&gt;0),K920/L920,"")</f>
        <v/>
      </c>
      <c r="N920" s="2" t="s">
        <v>1226</v>
      </c>
    </row>
    <row r="921" customFormat="false" ht="15" hidden="false" customHeight="false" outlineLevel="0" collapsed="false">
      <c r="A921" s="2" t="n">
        <v>920</v>
      </c>
      <c r="B921" s="2" t="s">
        <v>2163</v>
      </c>
      <c r="C921" s="2" t="s">
        <v>2164</v>
      </c>
      <c r="D921" s="2"/>
      <c r="E921" s="2" t="s">
        <v>82</v>
      </c>
      <c r="F921" s="3" t="n">
        <v>0.000199</v>
      </c>
      <c r="G921" s="3" t="n">
        <f aca="false">SUM($F$2:F921)</f>
        <v>0.809303</v>
      </c>
      <c r="H921" s="4"/>
      <c r="I921" s="5"/>
      <c r="J921" s="4"/>
      <c r="K921" s="5"/>
      <c r="L921" s="6"/>
      <c r="M921" s="5" t="str">
        <f aca="false">IF(AND(N(K921)&gt;0,N(L921)&gt;0),K921/L921,"")</f>
        <v/>
      </c>
      <c r="N921" s="2" t="s">
        <v>1226</v>
      </c>
    </row>
    <row r="922" customFormat="false" ht="15" hidden="false" customHeight="false" outlineLevel="0" collapsed="false">
      <c r="A922" s="2" t="n">
        <v>921</v>
      </c>
      <c r="B922" s="2" t="s">
        <v>2165</v>
      </c>
      <c r="C922" s="2" t="s">
        <v>2166</v>
      </c>
      <c r="D922" s="2"/>
      <c r="E922" s="2" t="s">
        <v>43</v>
      </c>
      <c r="F922" s="3" t="n">
        <v>0.000197</v>
      </c>
      <c r="G922" s="3" t="n">
        <f aca="false">SUM($F$2:F922)</f>
        <v>0.8095</v>
      </c>
      <c r="H922" s="4"/>
      <c r="I922" s="5"/>
      <c r="J922" s="4"/>
      <c r="K922" s="5"/>
      <c r="L922" s="6"/>
      <c r="M922" s="5" t="str">
        <f aca="false">IF(AND(N(K922)&gt;0,N(L922)&gt;0),K922/L922,"")</f>
        <v/>
      </c>
      <c r="N922" s="2" t="s">
        <v>1226</v>
      </c>
    </row>
    <row r="923" customFormat="false" ht="15" hidden="false" customHeight="false" outlineLevel="0" collapsed="false">
      <c r="A923" s="2" t="n">
        <v>922</v>
      </c>
      <c r="B923" s="2" t="s">
        <v>2167</v>
      </c>
      <c r="C923" s="2" t="s">
        <v>2168</v>
      </c>
      <c r="D923" s="2"/>
      <c r="E923" s="2" t="s">
        <v>1295</v>
      </c>
      <c r="F923" s="3" t="n">
        <v>0.000197</v>
      </c>
      <c r="G923" s="3" t="n">
        <f aca="false">SUM($F$2:F923)</f>
        <v>0.809697</v>
      </c>
      <c r="H923" s="4"/>
      <c r="I923" s="5"/>
      <c r="J923" s="4"/>
      <c r="K923" s="5"/>
      <c r="L923" s="6"/>
      <c r="M923" s="5" t="str">
        <f aca="false">IF(AND(N(K923)&gt;0,N(L923)&gt;0),K923/L923,"")</f>
        <v/>
      </c>
      <c r="N923" s="2" t="s">
        <v>1226</v>
      </c>
    </row>
    <row r="924" customFormat="false" ht="15" hidden="false" customHeight="false" outlineLevel="0" collapsed="false">
      <c r="A924" s="2" t="n">
        <v>923</v>
      </c>
      <c r="B924" s="2" t="s">
        <v>2169</v>
      </c>
      <c r="C924" s="2" t="s">
        <v>2170</v>
      </c>
      <c r="D924" s="2"/>
      <c r="E924" s="2" t="s">
        <v>1345</v>
      </c>
      <c r="F924" s="3" t="n">
        <v>0.000197</v>
      </c>
      <c r="G924" s="3" t="n">
        <f aca="false">SUM($F$2:F924)</f>
        <v>0.809894</v>
      </c>
      <c r="H924" s="4"/>
      <c r="I924" s="5"/>
      <c r="J924" s="4"/>
      <c r="K924" s="5"/>
      <c r="L924" s="6"/>
      <c r="M924" s="5" t="str">
        <f aca="false">IF(AND(N(K924)&gt;0,N(L924)&gt;0),K924/L924,"")</f>
        <v/>
      </c>
      <c r="N924" s="2" t="s">
        <v>1226</v>
      </c>
    </row>
    <row r="925" customFormat="false" ht="15" hidden="false" customHeight="false" outlineLevel="0" collapsed="false">
      <c r="A925" s="2" t="n">
        <v>924</v>
      </c>
      <c r="B925" s="2" t="s">
        <v>2171</v>
      </c>
      <c r="C925" s="2" t="s">
        <v>2172</v>
      </c>
      <c r="D925" s="2"/>
      <c r="E925" s="2" t="s">
        <v>334</v>
      </c>
      <c r="F925" s="3" t="n">
        <v>0.000197</v>
      </c>
      <c r="G925" s="3" t="n">
        <f aca="false">SUM($F$2:F925)</f>
        <v>0.810091</v>
      </c>
      <c r="H925" s="4"/>
      <c r="I925" s="5"/>
      <c r="J925" s="4"/>
      <c r="K925" s="5"/>
      <c r="L925" s="6"/>
      <c r="M925" s="5" t="str">
        <f aca="false">IF(AND(N(K925)&gt;0,N(L925)&gt;0),K925/L925,"")</f>
        <v/>
      </c>
      <c r="N925" s="2" t="s">
        <v>1226</v>
      </c>
    </row>
    <row r="926" customFormat="false" ht="15" hidden="false" customHeight="false" outlineLevel="0" collapsed="false">
      <c r="A926" s="2" t="n">
        <v>925</v>
      </c>
      <c r="B926" s="2" t="s">
        <v>2173</v>
      </c>
      <c r="C926" s="2" t="s">
        <v>2174</v>
      </c>
      <c r="D926" s="2"/>
      <c r="E926" s="2" t="s">
        <v>33</v>
      </c>
      <c r="F926" s="3" t="n">
        <v>0.000197</v>
      </c>
      <c r="G926" s="3" t="n">
        <f aca="false">SUM($F$2:F926)</f>
        <v>0.810288</v>
      </c>
      <c r="H926" s="4"/>
      <c r="I926" s="5"/>
      <c r="J926" s="4"/>
      <c r="K926" s="5"/>
      <c r="L926" s="6"/>
      <c r="M926" s="5" t="str">
        <f aca="false">IF(AND(N(K926)&gt;0,N(L926)&gt;0),K926/L926,"")</f>
        <v/>
      </c>
      <c r="N926" s="2" t="s">
        <v>1226</v>
      </c>
    </row>
    <row r="927" customFormat="false" ht="15" hidden="false" customHeight="false" outlineLevel="0" collapsed="false">
      <c r="A927" s="2" t="n">
        <v>926</v>
      </c>
      <c r="B927" s="2" t="s">
        <v>2175</v>
      </c>
      <c r="C927" s="2" t="s">
        <v>2176</v>
      </c>
      <c r="D927" s="2"/>
      <c r="E927" s="2" t="s">
        <v>48</v>
      </c>
      <c r="F927" s="3" t="n">
        <v>0.000195</v>
      </c>
      <c r="G927" s="3" t="n">
        <f aca="false">SUM($F$2:F927)</f>
        <v>0.810483</v>
      </c>
      <c r="H927" s="4"/>
      <c r="I927" s="5"/>
      <c r="J927" s="4"/>
      <c r="K927" s="5"/>
      <c r="L927" s="6"/>
      <c r="M927" s="5" t="str">
        <f aca="false">IF(AND(N(K927)&gt;0,N(L927)&gt;0),K927/L927,"")</f>
        <v/>
      </c>
      <c r="N927" s="2" t="s">
        <v>1226</v>
      </c>
    </row>
    <row r="928" customFormat="false" ht="15" hidden="false" customHeight="false" outlineLevel="0" collapsed="false">
      <c r="A928" s="2" t="n">
        <v>927</v>
      </c>
      <c r="B928" s="2" t="s">
        <v>2177</v>
      </c>
      <c r="C928" s="2" t="s">
        <v>2178</v>
      </c>
      <c r="D928" s="2"/>
      <c r="E928" s="2" t="s">
        <v>17</v>
      </c>
      <c r="F928" s="3" t="n">
        <v>0.000195</v>
      </c>
      <c r="G928" s="3" t="n">
        <f aca="false">SUM($F$2:F928)</f>
        <v>0.810678</v>
      </c>
      <c r="H928" s="4"/>
      <c r="I928" s="5"/>
      <c r="J928" s="4"/>
      <c r="K928" s="5"/>
      <c r="L928" s="6"/>
      <c r="M928" s="5" t="str">
        <f aca="false">IF(AND(N(K928)&gt;0,N(L928)&gt;0),K928/L928,"")</f>
        <v/>
      </c>
      <c r="N928" s="2" t="s">
        <v>1226</v>
      </c>
    </row>
    <row r="929" customFormat="false" ht="15" hidden="false" customHeight="false" outlineLevel="0" collapsed="false">
      <c r="A929" s="2" t="n">
        <v>928</v>
      </c>
      <c r="B929" s="2" t="s">
        <v>2179</v>
      </c>
      <c r="C929" s="2" t="s">
        <v>2180</v>
      </c>
      <c r="D929" s="2"/>
      <c r="E929" s="2" t="s">
        <v>17</v>
      </c>
      <c r="F929" s="3" t="n">
        <v>0.000195</v>
      </c>
      <c r="G929" s="3" t="n">
        <f aca="false">SUM($F$2:F929)</f>
        <v>0.810873</v>
      </c>
      <c r="H929" s="4"/>
      <c r="I929" s="5"/>
      <c r="J929" s="4"/>
      <c r="K929" s="5"/>
      <c r="L929" s="6"/>
      <c r="M929" s="5" t="str">
        <f aca="false">IF(AND(N(K929)&gt;0,N(L929)&gt;0),K929/L929,"")</f>
        <v/>
      </c>
      <c r="N929" s="2" t="s">
        <v>1226</v>
      </c>
    </row>
    <row r="930" customFormat="false" ht="15" hidden="false" customHeight="false" outlineLevel="0" collapsed="false">
      <c r="A930" s="2" t="n">
        <v>929</v>
      </c>
      <c r="B930" s="2" t="s">
        <v>2181</v>
      </c>
      <c r="C930" s="2" t="s">
        <v>2182</v>
      </c>
      <c r="D930" s="2"/>
      <c r="E930" s="2" t="s">
        <v>29</v>
      </c>
      <c r="F930" s="3" t="n">
        <v>0.000195</v>
      </c>
      <c r="G930" s="3" t="n">
        <f aca="false">SUM($F$2:F930)</f>
        <v>0.811068</v>
      </c>
      <c r="H930" s="4"/>
      <c r="I930" s="5"/>
      <c r="J930" s="4"/>
      <c r="K930" s="5"/>
      <c r="L930" s="6"/>
      <c r="M930" s="5" t="str">
        <f aca="false">IF(AND(N(K930)&gt;0,N(L930)&gt;0),K930/L930,"")</f>
        <v/>
      </c>
      <c r="N930" s="2" t="s">
        <v>1226</v>
      </c>
    </row>
    <row r="931" customFormat="false" ht="15" hidden="false" customHeight="false" outlineLevel="0" collapsed="false">
      <c r="A931" s="2" t="n">
        <v>930</v>
      </c>
      <c r="B931" s="2" t="s">
        <v>2183</v>
      </c>
      <c r="C931" s="2" t="s">
        <v>2184</v>
      </c>
      <c r="D931" s="2"/>
      <c r="E931" s="2" t="s">
        <v>29</v>
      </c>
      <c r="F931" s="3" t="n">
        <v>0.000195</v>
      </c>
      <c r="G931" s="3" t="n">
        <f aca="false">SUM($F$2:F931)</f>
        <v>0.811263</v>
      </c>
      <c r="H931" s="4"/>
      <c r="I931" s="5"/>
      <c r="J931" s="4"/>
      <c r="K931" s="5"/>
      <c r="L931" s="6"/>
      <c r="M931" s="5" t="str">
        <f aca="false">IF(AND(N(K931)&gt;0,N(L931)&gt;0),K931/L931,"")</f>
        <v/>
      </c>
      <c r="N931" s="2" t="s">
        <v>1226</v>
      </c>
    </row>
    <row r="932" customFormat="false" ht="15" hidden="false" customHeight="false" outlineLevel="0" collapsed="false">
      <c r="A932" s="2" t="n">
        <v>931</v>
      </c>
      <c r="B932" s="2" t="s">
        <v>2185</v>
      </c>
      <c r="C932" s="2" t="s">
        <v>2186</v>
      </c>
      <c r="D932" s="2"/>
      <c r="E932" s="2" t="s">
        <v>52</v>
      </c>
      <c r="F932" s="3" t="n">
        <v>0.000195</v>
      </c>
      <c r="G932" s="3" t="n">
        <f aca="false">SUM($F$2:F932)</f>
        <v>0.811458</v>
      </c>
      <c r="H932" s="4"/>
      <c r="I932" s="5"/>
      <c r="J932" s="4"/>
      <c r="K932" s="5"/>
      <c r="L932" s="6"/>
      <c r="M932" s="5" t="str">
        <f aca="false">IF(AND(N(K932)&gt;0,N(L932)&gt;0),K932/L932,"")</f>
        <v/>
      </c>
      <c r="N932" s="2" t="s">
        <v>1226</v>
      </c>
    </row>
    <row r="933" customFormat="false" ht="15" hidden="false" customHeight="false" outlineLevel="0" collapsed="false">
      <c r="A933" s="2" t="n">
        <v>932</v>
      </c>
      <c r="B933" s="2" t="s">
        <v>2187</v>
      </c>
      <c r="C933" s="2" t="s">
        <v>2188</v>
      </c>
      <c r="D933" s="2"/>
      <c r="E933" s="2" t="s">
        <v>52</v>
      </c>
      <c r="F933" s="3" t="n">
        <v>0.000195</v>
      </c>
      <c r="G933" s="3" t="n">
        <f aca="false">SUM($F$2:F933)</f>
        <v>0.811653</v>
      </c>
      <c r="H933" s="4"/>
      <c r="I933" s="5"/>
      <c r="J933" s="4"/>
      <c r="K933" s="5"/>
      <c r="L933" s="6"/>
      <c r="M933" s="5" t="str">
        <f aca="false">IF(AND(N(K933)&gt;0,N(L933)&gt;0),K933/L933,"")</f>
        <v/>
      </c>
      <c r="N933" s="2" t="s">
        <v>1226</v>
      </c>
    </row>
    <row r="934" customFormat="false" ht="15" hidden="false" customHeight="false" outlineLevel="0" collapsed="false">
      <c r="A934" s="2" t="n">
        <v>933</v>
      </c>
      <c r="B934" s="2" t="s">
        <v>2189</v>
      </c>
      <c r="C934" s="2" t="s">
        <v>2190</v>
      </c>
      <c r="D934" s="2"/>
      <c r="E934" s="2" t="s">
        <v>43</v>
      </c>
      <c r="F934" s="3" t="n">
        <v>0.000194</v>
      </c>
      <c r="G934" s="3" t="n">
        <f aca="false">SUM($F$2:F934)</f>
        <v>0.811847</v>
      </c>
      <c r="H934" s="4"/>
      <c r="I934" s="5"/>
      <c r="J934" s="4"/>
      <c r="K934" s="5"/>
      <c r="L934" s="6"/>
      <c r="M934" s="5" t="str">
        <f aca="false">IF(AND(N(K934)&gt;0,N(L934)&gt;0),K934/L934,"")</f>
        <v/>
      </c>
      <c r="N934" s="2" t="s">
        <v>1226</v>
      </c>
    </row>
    <row r="935" customFormat="false" ht="15" hidden="false" customHeight="false" outlineLevel="0" collapsed="false">
      <c r="A935" s="2" t="n">
        <v>934</v>
      </c>
      <c r="B935" s="2" t="s">
        <v>2191</v>
      </c>
      <c r="C935" s="2" t="s">
        <v>2192</v>
      </c>
      <c r="D935" s="2"/>
      <c r="E935" s="2" t="s">
        <v>29</v>
      </c>
      <c r="F935" s="3" t="n">
        <v>0.000193</v>
      </c>
      <c r="G935" s="3" t="n">
        <f aca="false">SUM($F$2:F935)</f>
        <v>0.81204</v>
      </c>
      <c r="H935" s="4"/>
      <c r="I935" s="5"/>
      <c r="J935" s="4"/>
      <c r="K935" s="5"/>
      <c r="L935" s="6"/>
      <c r="M935" s="5" t="str">
        <f aca="false">IF(AND(N(K935)&gt;0,N(L935)&gt;0),K935/L935,"")</f>
        <v/>
      </c>
      <c r="N935" s="2" t="s">
        <v>1226</v>
      </c>
    </row>
    <row r="936" customFormat="false" ht="15" hidden="false" customHeight="false" outlineLevel="0" collapsed="false">
      <c r="A936" s="2" t="n">
        <v>935</v>
      </c>
      <c r="B936" s="2" t="s">
        <v>2193</v>
      </c>
      <c r="C936" s="2" t="s">
        <v>2194</v>
      </c>
      <c r="D936" s="2"/>
      <c r="E936" s="2" t="s">
        <v>29</v>
      </c>
      <c r="F936" s="3" t="n">
        <v>0.000192</v>
      </c>
      <c r="G936" s="3" t="n">
        <f aca="false">SUM($F$2:F936)</f>
        <v>0.812232</v>
      </c>
      <c r="H936" s="4"/>
      <c r="I936" s="5"/>
      <c r="J936" s="4"/>
      <c r="K936" s="5"/>
      <c r="L936" s="6"/>
      <c r="M936" s="5" t="str">
        <f aca="false">IF(AND(N(K936)&gt;0,N(L936)&gt;0),K936/L936,"")</f>
        <v/>
      </c>
      <c r="N936" s="2" t="s">
        <v>1226</v>
      </c>
    </row>
    <row r="937" customFormat="false" ht="15" hidden="false" customHeight="false" outlineLevel="0" collapsed="false">
      <c r="A937" s="2" t="n">
        <v>936</v>
      </c>
      <c r="B937" s="2" t="s">
        <v>2195</v>
      </c>
      <c r="C937" s="2" t="s">
        <v>2196</v>
      </c>
      <c r="D937" s="2"/>
      <c r="E937" s="2" t="s">
        <v>52</v>
      </c>
      <c r="F937" s="3" t="n">
        <v>0.000192</v>
      </c>
      <c r="G937" s="3" t="n">
        <f aca="false">SUM($F$2:F937)</f>
        <v>0.812424</v>
      </c>
      <c r="H937" s="4"/>
      <c r="I937" s="5"/>
      <c r="J937" s="4"/>
      <c r="K937" s="5"/>
      <c r="L937" s="6"/>
      <c r="M937" s="5" t="str">
        <f aca="false">IF(AND(N(K937)&gt;0,N(L937)&gt;0),K937/L937,"")</f>
        <v/>
      </c>
      <c r="N937" s="2" t="s">
        <v>1226</v>
      </c>
    </row>
    <row r="938" customFormat="false" ht="15" hidden="false" customHeight="false" outlineLevel="0" collapsed="false">
      <c r="A938" s="2" t="n">
        <v>937</v>
      </c>
      <c r="B938" s="2" t="s">
        <v>2197</v>
      </c>
      <c r="C938" s="2" t="s">
        <v>2198</v>
      </c>
      <c r="D938" s="2"/>
      <c r="E938" s="2" t="s">
        <v>679</v>
      </c>
      <c r="F938" s="3" t="n">
        <v>0.000192</v>
      </c>
      <c r="G938" s="3" t="n">
        <f aca="false">SUM($F$2:F938)</f>
        <v>0.812616</v>
      </c>
      <c r="H938" s="4"/>
      <c r="I938" s="5"/>
      <c r="J938" s="4"/>
      <c r="K938" s="5"/>
      <c r="L938" s="6"/>
      <c r="M938" s="5" t="str">
        <f aca="false">IF(AND(N(K938)&gt;0,N(L938)&gt;0),K938/L938,"")</f>
        <v/>
      </c>
      <c r="N938" s="2" t="s">
        <v>1226</v>
      </c>
    </row>
    <row r="939" customFormat="false" ht="15" hidden="false" customHeight="false" outlineLevel="0" collapsed="false">
      <c r="A939" s="2" t="n">
        <v>938</v>
      </c>
      <c r="B939" s="2" t="s">
        <v>2199</v>
      </c>
      <c r="C939" s="2" t="s">
        <v>2200</v>
      </c>
      <c r="D939" s="2"/>
      <c r="E939" s="2" t="s">
        <v>52</v>
      </c>
      <c r="F939" s="3" t="n">
        <v>0.000192</v>
      </c>
      <c r="G939" s="3" t="n">
        <f aca="false">SUM($F$2:F939)</f>
        <v>0.812808</v>
      </c>
      <c r="H939" s="4"/>
      <c r="I939" s="5"/>
      <c r="J939" s="4"/>
      <c r="K939" s="5"/>
      <c r="L939" s="6"/>
      <c r="M939" s="5" t="str">
        <f aca="false">IF(AND(N(K939)&gt;0,N(L939)&gt;0),K939/L939,"")</f>
        <v/>
      </c>
      <c r="N939" s="2" t="s">
        <v>1226</v>
      </c>
    </row>
    <row r="940" customFormat="false" ht="15" hidden="false" customHeight="false" outlineLevel="0" collapsed="false">
      <c r="A940" s="2" t="n">
        <v>939</v>
      </c>
      <c r="B940" s="2" t="s">
        <v>2201</v>
      </c>
      <c r="C940" s="2" t="s">
        <v>2202</v>
      </c>
      <c r="D940" s="2"/>
      <c r="E940" s="2" t="s">
        <v>29</v>
      </c>
      <c r="F940" s="3" t="n">
        <v>0.000192</v>
      </c>
      <c r="G940" s="3" t="n">
        <f aca="false">SUM($F$2:F940)</f>
        <v>0.813</v>
      </c>
      <c r="H940" s="4"/>
      <c r="I940" s="5"/>
      <c r="J940" s="4"/>
      <c r="K940" s="5"/>
      <c r="L940" s="6"/>
      <c r="M940" s="5" t="str">
        <f aca="false">IF(AND(N(K940)&gt;0,N(L940)&gt;0),K940/L940,"")</f>
        <v/>
      </c>
      <c r="N940" s="2" t="s">
        <v>1226</v>
      </c>
    </row>
    <row r="941" customFormat="false" ht="15" hidden="false" customHeight="false" outlineLevel="0" collapsed="false">
      <c r="A941" s="2" t="n">
        <v>940</v>
      </c>
      <c r="B941" s="2" t="s">
        <v>2203</v>
      </c>
      <c r="C941" s="2" t="s">
        <v>2204</v>
      </c>
      <c r="D941" s="2"/>
      <c r="E941" s="2" t="s">
        <v>52</v>
      </c>
      <c r="F941" s="3" t="n">
        <v>0.000191</v>
      </c>
      <c r="G941" s="3" t="n">
        <f aca="false">SUM($F$2:F941)</f>
        <v>0.813191</v>
      </c>
      <c r="H941" s="4"/>
      <c r="I941" s="5"/>
      <c r="J941" s="4"/>
      <c r="K941" s="5"/>
      <c r="L941" s="6"/>
      <c r="M941" s="5" t="str">
        <f aca="false">IF(AND(N(K941)&gt;0,N(L941)&gt;0),K941/L941,"")</f>
        <v/>
      </c>
      <c r="N941" s="2" t="s">
        <v>1226</v>
      </c>
    </row>
    <row r="942" customFormat="false" ht="15" hidden="false" customHeight="false" outlineLevel="0" collapsed="false">
      <c r="A942" s="2" t="n">
        <v>941</v>
      </c>
      <c r="B942" s="2" t="s">
        <v>2205</v>
      </c>
      <c r="C942" s="2" t="s">
        <v>2206</v>
      </c>
      <c r="D942" s="2"/>
      <c r="E942" s="2" t="s">
        <v>29</v>
      </c>
      <c r="F942" s="3" t="n">
        <v>0.000191</v>
      </c>
      <c r="G942" s="3" t="n">
        <f aca="false">SUM($F$2:F942)</f>
        <v>0.813382</v>
      </c>
      <c r="H942" s="4"/>
      <c r="I942" s="5"/>
      <c r="J942" s="4"/>
      <c r="K942" s="5"/>
      <c r="L942" s="6"/>
      <c r="M942" s="5" t="str">
        <f aca="false">IF(AND(N(K942)&gt;0,N(L942)&gt;0),K942/L942,"")</f>
        <v/>
      </c>
      <c r="N942" s="2" t="s">
        <v>1226</v>
      </c>
    </row>
    <row r="943" customFormat="false" ht="15" hidden="false" customHeight="false" outlineLevel="0" collapsed="false">
      <c r="A943" s="2" t="n">
        <v>942</v>
      </c>
      <c r="B943" s="2" t="s">
        <v>2207</v>
      </c>
      <c r="C943" s="2" t="s">
        <v>2208</v>
      </c>
      <c r="D943" s="2"/>
      <c r="E943" s="2" t="s">
        <v>25</v>
      </c>
      <c r="F943" s="3" t="n">
        <v>0.000191</v>
      </c>
      <c r="G943" s="3" t="n">
        <f aca="false">SUM($F$2:F943)</f>
        <v>0.813573</v>
      </c>
      <c r="H943" s="4"/>
      <c r="I943" s="5"/>
      <c r="J943" s="4"/>
      <c r="K943" s="5"/>
      <c r="L943" s="6"/>
      <c r="M943" s="5" t="str">
        <f aca="false">IF(AND(N(K943)&gt;0,N(L943)&gt;0),K943/L943,"")</f>
        <v/>
      </c>
      <c r="N943" s="2" t="s">
        <v>1226</v>
      </c>
    </row>
    <row r="944" customFormat="false" ht="15" hidden="false" customHeight="false" outlineLevel="0" collapsed="false">
      <c r="A944" s="2" t="n">
        <v>943</v>
      </c>
      <c r="B944" s="2" t="s">
        <v>2209</v>
      </c>
      <c r="C944" s="2" t="s">
        <v>2210</v>
      </c>
      <c r="D944" s="2"/>
      <c r="E944" s="2" t="s">
        <v>296</v>
      </c>
      <c r="F944" s="3" t="n">
        <v>0.000191</v>
      </c>
      <c r="G944" s="3" t="n">
        <f aca="false">SUM($F$2:F944)</f>
        <v>0.813764</v>
      </c>
      <c r="H944" s="4"/>
      <c r="I944" s="5"/>
      <c r="J944" s="4"/>
      <c r="K944" s="5"/>
      <c r="L944" s="6"/>
      <c r="M944" s="5" t="str">
        <f aca="false">IF(AND(N(K944)&gt;0,N(L944)&gt;0),K944/L944,"")</f>
        <v/>
      </c>
      <c r="N944" s="2" t="s">
        <v>1226</v>
      </c>
    </row>
    <row r="945" customFormat="false" ht="15" hidden="false" customHeight="false" outlineLevel="0" collapsed="false">
      <c r="A945" s="2" t="n">
        <v>944</v>
      </c>
      <c r="B945" s="2" t="s">
        <v>2211</v>
      </c>
      <c r="C945" s="2" t="s">
        <v>2212</v>
      </c>
      <c r="D945" s="2"/>
      <c r="E945" s="2" t="s">
        <v>52</v>
      </c>
      <c r="F945" s="3" t="n">
        <v>0.000191</v>
      </c>
      <c r="G945" s="3" t="n">
        <f aca="false">SUM($F$2:F945)</f>
        <v>0.813955</v>
      </c>
      <c r="H945" s="4"/>
      <c r="I945" s="5"/>
      <c r="J945" s="4"/>
      <c r="K945" s="5"/>
      <c r="L945" s="6"/>
      <c r="M945" s="5" t="str">
        <f aca="false">IF(AND(N(K945)&gt;0,N(L945)&gt;0),K945/L945,"")</f>
        <v/>
      </c>
      <c r="N945" s="2" t="s">
        <v>1226</v>
      </c>
    </row>
    <row r="946" customFormat="false" ht="15" hidden="false" customHeight="false" outlineLevel="0" collapsed="false">
      <c r="A946" s="2" t="n">
        <v>945</v>
      </c>
      <c r="B946" s="2" t="s">
        <v>2213</v>
      </c>
      <c r="C946" s="2" t="s">
        <v>2214</v>
      </c>
      <c r="D946" s="2"/>
      <c r="E946" s="2" t="s">
        <v>33</v>
      </c>
      <c r="F946" s="3" t="n">
        <v>0.00019</v>
      </c>
      <c r="G946" s="3" t="n">
        <f aca="false">SUM($F$2:F946)</f>
        <v>0.814145</v>
      </c>
      <c r="H946" s="4"/>
      <c r="I946" s="5"/>
      <c r="J946" s="4"/>
      <c r="K946" s="5"/>
      <c r="L946" s="6"/>
      <c r="M946" s="5" t="str">
        <f aca="false">IF(AND(N(K946)&gt;0,N(L946)&gt;0),K946/L946,"")</f>
        <v/>
      </c>
      <c r="N946" s="2" t="s">
        <v>1226</v>
      </c>
    </row>
    <row r="947" customFormat="false" ht="15" hidden="false" customHeight="false" outlineLevel="0" collapsed="false">
      <c r="A947" s="2" t="n">
        <v>946</v>
      </c>
      <c r="B947" s="2" t="s">
        <v>2215</v>
      </c>
      <c r="C947" s="2" t="s">
        <v>2216</v>
      </c>
      <c r="D947" s="2"/>
      <c r="E947" s="2" t="s">
        <v>52</v>
      </c>
      <c r="F947" s="3" t="n">
        <v>0.00019</v>
      </c>
      <c r="G947" s="3" t="n">
        <f aca="false">SUM($F$2:F947)</f>
        <v>0.814335</v>
      </c>
      <c r="H947" s="4"/>
      <c r="I947" s="5"/>
      <c r="J947" s="4"/>
      <c r="K947" s="5"/>
      <c r="L947" s="6"/>
      <c r="M947" s="5" t="str">
        <f aca="false">IF(AND(N(K947)&gt;0,N(L947)&gt;0),K947/L947,"")</f>
        <v/>
      </c>
      <c r="N947" s="2" t="s">
        <v>1226</v>
      </c>
    </row>
    <row r="948" customFormat="false" ht="15" hidden="false" customHeight="false" outlineLevel="0" collapsed="false">
      <c r="A948" s="2" t="n">
        <v>947</v>
      </c>
      <c r="B948" s="2" t="s">
        <v>2217</v>
      </c>
      <c r="C948" s="2" t="s">
        <v>2218</v>
      </c>
      <c r="D948" s="2"/>
      <c r="E948" s="2" t="s">
        <v>1245</v>
      </c>
      <c r="F948" s="3" t="n">
        <v>0.00019</v>
      </c>
      <c r="G948" s="3" t="n">
        <f aca="false">SUM($F$2:F948)</f>
        <v>0.814525</v>
      </c>
      <c r="H948" s="4"/>
      <c r="I948" s="5"/>
      <c r="J948" s="4"/>
      <c r="K948" s="5"/>
      <c r="L948" s="6"/>
      <c r="M948" s="5" t="str">
        <f aca="false">IF(AND(N(K948)&gt;0,N(L948)&gt;0),K948/L948,"")</f>
        <v/>
      </c>
      <c r="N948" s="2" t="s">
        <v>1226</v>
      </c>
    </row>
    <row r="949" customFormat="false" ht="15" hidden="false" customHeight="false" outlineLevel="0" collapsed="false">
      <c r="A949" s="2" t="n">
        <v>948</v>
      </c>
      <c r="B949" s="2" t="s">
        <v>2219</v>
      </c>
      <c r="C949" s="2" t="s">
        <v>2220</v>
      </c>
      <c r="D949" s="2"/>
      <c r="E949" s="2" t="s">
        <v>334</v>
      </c>
      <c r="F949" s="3" t="n">
        <v>0.000189</v>
      </c>
      <c r="G949" s="3" t="n">
        <f aca="false">SUM($F$2:F949)</f>
        <v>0.814714</v>
      </c>
      <c r="H949" s="4"/>
      <c r="I949" s="5"/>
      <c r="J949" s="4"/>
      <c r="K949" s="5"/>
      <c r="L949" s="6"/>
      <c r="M949" s="5" t="str">
        <f aca="false">IF(AND(N(K949)&gt;0,N(L949)&gt;0),K949/L949,"")</f>
        <v/>
      </c>
      <c r="N949" s="2" t="s">
        <v>1226</v>
      </c>
    </row>
    <row r="950" customFormat="false" ht="15" hidden="false" customHeight="false" outlineLevel="0" collapsed="false">
      <c r="A950" s="2" t="n">
        <v>949</v>
      </c>
      <c r="B950" s="2" t="s">
        <v>2221</v>
      </c>
      <c r="C950" s="2" t="s">
        <v>2222</v>
      </c>
      <c r="D950" s="2"/>
      <c r="E950" s="2" t="s">
        <v>289</v>
      </c>
      <c r="F950" s="3" t="n">
        <v>0.000189</v>
      </c>
      <c r="G950" s="3" t="n">
        <f aca="false">SUM($F$2:F950)</f>
        <v>0.814903</v>
      </c>
      <c r="H950" s="4"/>
      <c r="I950" s="5"/>
      <c r="J950" s="4"/>
      <c r="K950" s="5"/>
      <c r="L950" s="6"/>
      <c r="M950" s="5" t="str">
        <f aca="false">IF(AND(N(K950)&gt;0,N(L950)&gt;0),K950/L950,"")</f>
        <v/>
      </c>
      <c r="N950" s="2" t="s">
        <v>1226</v>
      </c>
    </row>
    <row r="951" customFormat="false" ht="15" hidden="false" customHeight="false" outlineLevel="0" collapsed="false">
      <c r="A951" s="2" t="n">
        <v>950</v>
      </c>
      <c r="B951" s="2" t="s">
        <v>2223</v>
      </c>
      <c r="C951" s="2" t="s">
        <v>2224</v>
      </c>
      <c r="D951" s="2"/>
      <c r="E951" s="2" t="s">
        <v>52</v>
      </c>
      <c r="F951" s="3" t="n">
        <v>0.000189</v>
      </c>
      <c r="G951" s="3" t="n">
        <f aca="false">SUM($F$2:F951)</f>
        <v>0.815092</v>
      </c>
      <c r="H951" s="4"/>
      <c r="I951" s="5"/>
      <c r="J951" s="4"/>
      <c r="K951" s="5"/>
      <c r="L951" s="6"/>
      <c r="M951" s="5" t="str">
        <f aca="false">IF(AND(N(K951)&gt;0,N(L951)&gt;0),K951/L951,"")</f>
        <v/>
      </c>
      <c r="N951" s="2" t="s">
        <v>1226</v>
      </c>
    </row>
    <row r="952" customFormat="false" ht="15" hidden="false" customHeight="false" outlineLevel="0" collapsed="false">
      <c r="A952" s="2" t="n">
        <v>951</v>
      </c>
      <c r="B952" s="2" t="s">
        <v>2225</v>
      </c>
      <c r="C952" s="2" t="s">
        <v>2226</v>
      </c>
      <c r="D952" s="2"/>
      <c r="E952" s="2" t="s">
        <v>29</v>
      </c>
      <c r="F952" s="3" t="n">
        <v>0.000189</v>
      </c>
      <c r="G952" s="3" t="n">
        <f aca="false">SUM($F$2:F952)</f>
        <v>0.815281</v>
      </c>
      <c r="H952" s="4"/>
      <c r="I952" s="5"/>
      <c r="J952" s="4"/>
      <c r="K952" s="5"/>
      <c r="L952" s="6"/>
      <c r="M952" s="5" t="str">
        <f aca="false">IF(AND(N(K952)&gt;0,N(L952)&gt;0),K952/L952,"")</f>
        <v/>
      </c>
      <c r="N952" s="2" t="s">
        <v>1226</v>
      </c>
    </row>
    <row r="953" customFormat="false" ht="15" hidden="false" customHeight="false" outlineLevel="0" collapsed="false">
      <c r="A953" s="2" t="n">
        <v>952</v>
      </c>
      <c r="B953" s="2" t="s">
        <v>2227</v>
      </c>
      <c r="C953" s="2" t="s">
        <v>2228</v>
      </c>
      <c r="D953" s="2"/>
      <c r="E953" s="2" t="s">
        <v>17</v>
      </c>
      <c r="F953" s="3" t="n">
        <v>0.000188</v>
      </c>
      <c r="G953" s="3" t="n">
        <f aca="false">SUM($F$2:F953)</f>
        <v>0.815469</v>
      </c>
      <c r="H953" s="4"/>
      <c r="I953" s="5"/>
      <c r="J953" s="4"/>
      <c r="K953" s="5"/>
      <c r="L953" s="6"/>
      <c r="M953" s="5" t="str">
        <f aca="false">IF(AND(N(K953)&gt;0,N(L953)&gt;0),K953/L953,"")</f>
        <v/>
      </c>
      <c r="N953" s="2" t="s">
        <v>1226</v>
      </c>
    </row>
    <row r="954" customFormat="false" ht="15" hidden="false" customHeight="false" outlineLevel="0" collapsed="false">
      <c r="A954" s="2" t="n">
        <v>953</v>
      </c>
      <c r="B954" s="2" t="s">
        <v>2229</v>
      </c>
      <c r="C954" s="2" t="s">
        <v>2230</v>
      </c>
      <c r="D954" s="2"/>
      <c r="E954" s="2" t="s">
        <v>29</v>
      </c>
      <c r="F954" s="3" t="n">
        <v>0.000188</v>
      </c>
      <c r="G954" s="3" t="n">
        <f aca="false">SUM($F$2:F954)</f>
        <v>0.815657</v>
      </c>
      <c r="H954" s="4"/>
      <c r="I954" s="5"/>
      <c r="J954" s="4"/>
      <c r="K954" s="5"/>
      <c r="L954" s="6"/>
      <c r="M954" s="5" t="str">
        <f aca="false">IF(AND(N(K954)&gt;0,N(L954)&gt;0),K954/L954,"")</f>
        <v/>
      </c>
      <c r="N954" s="2" t="s">
        <v>1226</v>
      </c>
    </row>
    <row r="955" customFormat="false" ht="15" hidden="false" customHeight="false" outlineLevel="0" collapsed="false">
      <c r="A955" s="2" t="n">
        <v>954</v>
      </c>
      <c r="B955" s="2" t="s">
        <v>2231</v>
      </c>
      <c r="C955" s="2" t="s">
        <v>2232</v>
      </c>
      <c r="D955" s="2"/>
      <c r="E955" s="2" t="s">
        <v>43</v>
      </c>
      <c r="F955" s="3" t="n">
        <v>0.000188</v>
      </c>
      <c r="G955" s="3" t="n">
        <f aca="false">SUM($F$2:F955)</f>
        <v>0.815845</v>
      </c>
      <c r="H955" s="4"/>
      <c r="I955" s="5"/>
      <c r="J955" s="4"/>
      <c r="K955" s="5"/>
      <c r="L955" s="6"/>
      <c r="M955" s="5" t="str">
        <f aca="false">IF(AND(N(K955)&gt;0,N(L955)&gt;0),K955/L955,"")</f>
        <v/>
      </c>
      <c r="N955" s="2" t="s">
        <v>1226</v>
      </c>
    </row>
    <row r="956" customFormat="false" ht="15" hidden="false" customHeight="false" outlineLevel="0" collapsed="false">
      <c r="A956" s="2" t="n">
        <v>955</v>
      </c>
      <c r="B956" s="2" t="s">
        <v>2233</v>
      </c>
      <c r="C956" s="2" t="s">
        <v>2234</v>
      </c>
      <c r="D956" s="2"/>
      <c r="E956" s="2" t="s">
        <v>43</v>
      </c>
      <c r="F956" s="3" t="n">
        <v>0.000188</v>
      </c>
      <c r="G956" s="3" t="n">
        <f aca="false">SUM($F$2:F956)</f>
        <v>0.816033</v>
      </c>
      <c r="H956" s="4"/>
      <c r="I956" s="5"/>
      <c r="J956" s="4"/>
      <c r="K956" s="5"/>
      <c r="L956" s="6"/>
      <c r="M956" s="5" t="str">
        <f aca="false">IF(AND(N(K956)&gt;0,N(L956)&gt;0),K956/L956,"")</f>
        <v/>
      </c>
      <c r="N956" s="2" t="s">
        <v>1226</v>
      </c>
    </row>
    <row r="957" customFormat="false" ht="15" hidden="false" customHeight="false" outlineLevel="0" collapsed="false">
      <c r="A957" s="2" t="n">
        <v>956</v>
      </c>
      <c r="B957" s="2" t="s">
        <v>2235</v>
      </c>
      <c r="C957" s="2" t="s">
        <v>2236</v>
      </c>
      <c r="D957" s="2"/>
      <c r="E957" s="2" t="s">
        <v>82</v>
      </c>
      <c r="F957" s="3" t="n">
        <v>0.000187</v>
      </c>
      <c r="G957" s="3" t="n">
        <f aca="false">SUM($F$2:F957)</f>
        <v>0.81622</v>
      </c>
      <c r="H957" s="4"/>
      <c r="I957" s="5"/>
      <c r="J957" s="4"/>
      <c r="K957" s="5"/>
      <c r="L957" s="6"/>
      <c r="M957" s="5" t="str">
        <f aca="false">IF(AND(N(K957)&gt;0,N(L957)&gt;0),K957/L957,"")</f>
        <v/>
      </c>
      <c r="N957" s="2" t="s">
        <v>1226</v>
      </c>
    </row>
    <row r="958" customFormat="false" ht="15" hidden="false" customHeight="false" outlineLevel="0" collapsed="false">
      <c r="A958" s="2" t="n">
        <v>957</v>
      </c>
      <c r="B958" s="2" t="s">
        <v>2237</v>
      </c>
      <c r="C958" s="2" t="s">
        <v>2238</v>
      </c>
      <c r="D958" s="2"/>
      <c r="E958" s="2" t="s">
        <v>48</v>
      </c>
      <c r="F958" s="3" t="n">
        <v>0.000187</v>
      </c>
      <c r="G958" s="3" t="n">
        <f aca="false">SUM($F$2:F958)</f>
        <v>0.816407</v>
      </c>
      <c r="H958" s="4"/>
      <c r="I958" s="5"/>
      <c r="J958" s="4"/>
      <c r="K958" s="5"/>
      <c r="L958" s="6"/>
      <c r="M958" s="5" t="str">
        <f aca="false">IF(AND(N(K958)&gt;0,N(L958)&gt;0),K958/L958,"")</f>
        <v/>
      </c>
      <c r="N958" s="2" t="s">
        <v>1226</v>
      </c>
    </row>
    <row r="959" customFormat="false" ht="15" hidden="false" customHeight="false" outlineLevel="0" collapsed="false">
      <c r="A959" s="2" t="n">
        <v>958</v>
      </c>
      <c r="B959" s="2" t="s">
        <v>2239</v>
      </c>
      <c r="C959" s="2" t="s">
        <v>2240</v>
      </c>
      <c r="D959" s="2"/>
      <c r="E959" s="2" t="s">
        <v>17</v>
      </c>
      <c r="F959" s="3" t="n">
        <v>0.000187</v>
      </c>
      <c r="G959" s="3" t="n">
        <f aca="false">SUM($F$2:F959)</f>
        <v>0.816594</v>
      </c>
      <c r="H959" s="4"/>
      <c r="I959" s="5"/>
      <c r="J959" s="4"/>
      <c r="K959" s="5"/>
      <c r="L959" s="6"/>
      <c r="M959" s="5" t="str">
        <f aca="false">IF(AND(N(K959)&gt;0,N(L959)&gt;0),K959/L959,"")</f>
        <v/>
      </c>
      <c r="N959" s="2" t="s">
        <v>1226</v>
      </c>
    </row>
    <row r="960" customFormat="false" ht="15" hidden="false" customHeight="false" outlineLevel="0" collapsed="false">
      <c r="A960" s="2" t="n">
        <v>959</v>
      </c>
      <c r="B960" s="2" t="s">
        <v>2241</v>
      </c>
      <c r="C960" s="2" t="s">
        <v>2242</v>
      </c>
      <c r="D960" s="2"/>
      <c r="E960" s="2" t="s">
        <v>52</v>
      </c>
      <c r="F960" s="3" t="n">
        <v>0.000187</v>
      </c>
      <c r="G960" s="3" t="n">
        <f aca="false">SUM($F$2:F960)</f>
        <v>0.816781</v>
      </c>
      <c r="H960" s="4"/>
      <c r="I960" s="5"/>
      <c r="J960" s="4"/>
      <c r="K960" s="5"/>
      <c r="L960" s="6"/>
      <c r="M960" s="5" t="str">
        <f aca="false">IF(AND(N(K960)&gt;0,N(L960)&gt;0),K960/L960,"")</f>
        <v/>
      </c>
      <c r="N960" s="2" t="s">
        <v>1226</v>
      </c>
    </row>
    <row r="961" customFormat="false" ht="15" hidden="false" customHeight="false" outlineLevel="0" collapsed="false">
      <c r="A961" s="2" t="n">
        <v>960</v>
      </c>
      <c r="B961" s="2" t="s">
        <v>2243</v>
      </c>
      <c r="C961" s="2" t="s">
        <v>2244</v>
      </c>
      <c r="D961" s="2"/>
      <c r="E961" s="2" t="s">
        <v>614</v>
      </c>
      <c r="F961" s="3" t="n">
        <v>0.000187</v>
      </c>
      <c r="G961" s="3" t="n">
        <f aca="false">SUM($F$2:F961)</f>
        <v>0.816968</v>
      </c>
      <c r="H961" s="4"/>
      <c r="I961" s="5"/>
      <c r="J961" s="4"/>
      <c r="K961" s="5"/>
      <c r="L961" s="6"/>
      <c r="M961" s="5" t="str">
        <f aca="false">IF(AND(N(K961)&gt;0,N(L961)&gt;0),K961/L961,"")</f>
        <v/>
      </c>
      <c r="N961" s="2" t="s">
        <v>1226</v>
      </c>
    </row>
    <row r="962" customFormat="false" ht="15" hidden="false" customHeight="false" outlineLevel="0" collapsed="false">
      <c r="A962" s="2" t="n">
        <v>961</v>
      </c>
      <c r="B962" s="2" t="s">
        <v>2245</v>
      </c>
      <c r="C962" s="2" t="s">
        <v>2246</v>
      </c>
      <c r="D962" s="2"/>
      <c r="E962" s="2" t="s">
        <v>334</v>
      </c>
      <c r="F962" s="3" t="n">
        <v>0.000186</v>
      </c>
      <c r="G962" s="3" t="n">
        <f aca="false">SUM($F$2:F962)</f>
        <v>0.817154</v>
      </c>
      <c r="H962" s="4"/>
      <c r="I962" s="5"/>
      <c r="J962" s="4"/>
      <c r="K962" s="5"/>
      <c r="L962" s="6"/>
      <c r="M962" s="5" t="str">
        <f aca="false">IF(AND(N(K962)&gt;0,N(L962)&gt;0),K962/L962,"")</f>
        <v/>
      </c>
      <c r="N962" s="2" t="s">
        <v>1226</v>
      </c>
    </row>
    <row r="963" customFormat="false" ht="15" hidden="false" customHeight="false" outlineLevel="0" collapsed="false">
      <c r="A963" s="2" t="n">
        <v>962</v>
      </c>
      <c r="B963" s="2" t="s">
        <v>2247</v>
      </c>
      <c r="C963" s="2" t="s">
        <v>2248</v>
      </c>
      <c r="D963" s="2"/>
      <c r="E963" s="2" t="s">
        <v>82</v>
      </c>
      <c r="F963" s="3" t="n">
        <v>0.000186</v>
      </c>
      <c r="G963" s="3" t="n">
        <f aca="false">SUM($F$2:F963)</f>
        <v>0.81734</v>
      </c>
      <c r="H963" s="4"/>
      <c r="I963" s="5"/>
      <c r="J963" s="4"/>
      <c r="K963" s="5"/>
      <c r="L963" s="6"/>
      <c r="M963" s="5" t="str">
        <f aca="false">IF(AND(N(K963)&gt;0,N(L963)&gt;0),K963/L963,"")</f>
        <v/>
      </c>
      <c r="N963" s="2" t="s">
        <v>1226</v>
      </c>
    </row>
    <row r="964" customFormat="false" ht="15" hidden="false" customHeight="false" outlineLevel="0" collapsed="false">
      <c r="A964" s="2" t="n">
        <v>963</v>
      </c>
      <c r="B964" s="2" t="s">
        <v>2249</v>
      </c>
      <c r="C964" s="2" t="s">
        <v>2250</v>
      </c>
      <c r="D964" s="2"/>
      <c r="E964" s="2" t="s">
        <v>25</v>
      </c>
      <c r="F964" s="3" t="n">
        <v>0.000186</v>
      </c>
      <c r="G964" s="3" t="n">
        <f aca="false">SUM($F$2:F964)</f>
        <v>0.817526</v>
      </c>
      <c r="H964" s="4"/>
      <c r="I964" s="5"/>
      <c r="J964" s="4"/>
      <c r="K964" s="5"/>
      <c r="L964" s="6"/>
      <c r="M964" s="5" t="str">
        <f aca="false">IF(AND(N(K964)&gt;0,N(L964)&gt;0),K964/L964,"")</f>
        <v/>
      </c>
      <c r="N964" s="2" t="s">
        <v>1226</v>
      </c>
    </row>
    <row r="965" customFormat="false" ht="15" hidden="false" customHeight="false" outlineLevel="0" collapsed="false">
      <c r="A965" s="2" t="n">
        <v>964</v>
      </c>
      <c r="B965" s="2" t="s">
        <v>2251</v>
      </c>
      <c r="C965" s="2" t="s">
        <v>2252</v>
      </c>
      <c r="D965" s="2"/>
      <c r="E965" s="2" t="s">
        <v>765</v>
      </c>
      <c r="F965" s="3" t="n">
        <v>0.000186</v>
      </c>
      <c r="G965" s="3" t="n">
        <f aca="false">SUM($F$2:F965)</f>
        <v>0.817712</v>
      </c>
      <c r="H965" s="4"/>
      <c r="I965" s="5"/>
      <c r="J965" s="4"/>
      <c r="K965" s="5"/>
      <c r="L965" s="6"/>
      <c r="M965" s="5" t="str">
        <f aca="false">IF(AND(N(K965)&gt;0,N(L965)&gt;0),K965/L965,"")</f>
        <v/>
      </c>
      <c r="N965" s="2" t="s">
        <v>1226</v>
      </c>
    </row>
    <row r="966" customFormat="false" ht="15" hidden="false" customHeight="false" outlineLevel="0" collapsed="false">
      <c r="A966" s="2" t="n">
        <v>965</v>
      </c>
      <c r="B966" s="2" t="s">
        <v>1786</v>
      </c>
      <c r="C966" s="2" t="s">
        <v>2253</v>
      </c>
      <c r="D966" s="2"/>
      <c r="E966" s="2" t="s">
        <v>82</v>
      </c>
      <c r="F966" s="3" t="n">
        <v>0.000186</v>
      </c>
      <c r="G966" s="3" t="n">
        <f aca="false">SUM($F$2:F966)</f>
        <v>0.817898</v>
      </c>
      <c r="H966" s="4"/>
      <c r="I966" s="5"/>
      <c r="J966" s="4"/>
      <c r="K966" s="5"/>
      <c r="L966" s="6"/>
      <c r="M966" s="5" t="str">
        <f aca="false">IF(AND(N(K966)&gt;0,N(L966)&gt;0),K966/L966,"")</f>
        <v/>
      </c>
      <c r="N966" s="2" t="s">
        <v>1226</v>
      </c>
    </row>
    <row r="967" customFormat="false" ht="15" hidden="false" customHeight="false" outlineLevel="0" collapsed="false">
      <c r="A967" s="2" t="n">
        <v>966</v>
      </c>
      <c r="B967" s="2" t="s">
        <v>2254</v>
      </c>
      <c r="C967" s="2" t="s">
        <v>2255</v>
      </c>
      <c r="D967" s="2"/>
      <c r="E967" s="2" t="s">
        <v>199</v>
      </c>
      <c r="F967" s="3" t="n">
        <v>0.000186</v>
      </c>
      <c r="G967" s="3" t="n">
        <f aca="false">SUM($F$2:F967)</f>
        <v>0.818084</v>
      </c>
      <c r="H967" s="4"/>
      <c r="I967" s="5"/>
      <c r="J967" s="4"/>
      <c r="K967" s="5"/>
      <c r="L967" s="6"/>
      <c r="M967" s="5" t="str">
        <f aca="false">IF(AND(N(K967)&gt;0,N(L967)&gt;0),K967/L967,"")</f>
        <v/>
      </c>
      <c r="N967" s="2" t="s">
        <v>1226</v>
      </c>
    </row>
    <row r="968" customFormat="false" ht="15" hidden="false" customHeight="false" outlineLevel="0" collapsed="false">
      <c r="A968" s="2" t="n">
        <v>967</v>
      </c>
      <c r="B968" s="2" t="s">
        <v>2256</v>
      </c>
      <c r="C968" s="2" t="s">
        <v>2257</v>
      </c>
      <c r="D968" s="2"/>
      <c r="E968" s="2" t="s">
        <v>289</v>
      </c>
      <c r="F968" s="3" t="n">
        <v>0.000185</v>
      </c>
      <c r="G968" s="3" t="n">
        <f aca="false">SUM($F$2:F968)</f>
        <v>0.818269</v>
      </c>
      <c r="H968" s="4"/>
      <c r="I968" s="5"/>
      <c r="J968" s="4"/>
      <c r="K968" s="5"/>
      <c r="L968" s="6"/>
      <c r="M968" s="5" t="str">
        <f aca="false">IF(AND(N(K968)&gt;0,N(L968)&gt;0),K968/L968,"")</f>
        <v/>
      </c>
      <c r="N968" s="2" t="s">
        <v>1226</v>
      </c>
    </row>
    <row r="969" customFormat="false" ht="15" hidden="false" customHeight="false" outlineLevel="0" collapsed="false">
      <c r="A969" s="2" t="n">
        <v>968</v>
      </c>
      <c r="B969" s="2" t="s">
        <v>2258</v>
      </c>
      <c r="C969" s="2" t="s">
        <v>2259</v>
      </c>
      <c r="D969" s="2"/>
      <c r="E969" s="2" t="s">
        <v>765</v>
      </c>
      <c r="F969" s="3" t="n">
        <v>0.000185</v>
      </c>
      <c r="G969" s="3" t="n">
        <f aca="false">SUM($F$2:F969)</f>
        <v>0.818454</v>
      </c>
      <c r="H969" s="4"/>
      <c r="I969" s="5"/>
      <c r="J969" s="4"/>
      <c r="K969" s="5"/>
      <c r="L969" s="6"/>
      <c r="M969" s="5" t="str">
        <f aca="false">IF(AND(N(K969)&gt;0,N(L969)&gt;0),K969/L969,"")</f>
        <v/>
      </c>
      <c r="N969" s="2" t="s">
        <v>1226</v>
      </c>
    </row>
    <row r="970" customFormat="false" ht="15" hidden="false" customHeight="false" outlineLevel="0" collapsed="false">
      <c r="A970" s="2" t="n">
        <v>969</v>
      </c>
      <c r="B970" s="2" t="s">
        <v>2260</v>
      </c>
      <c r="C970" s="2" t="s">
        <v>2261</v>
      </c>
      <c r="D970" s="2"/>
      <c r="E970" s="2" t="s">
        <v>17</v>
      </c>
      <c r="F970" s="3" t="n">
        <v>0.000185</v>
      </c>
      <c r="G970" s="3" t="n">
        <f aca="false">SUM($F$2:F970)</f>
        <v>0.818639</v>
      </c>
      <c r="H970" s="4"/>
      <c r="I970" s="5"/>
      <c r="J970" s="4"/>
      <c r="K970" s="5"/>
      <c r="L970" s="6"/>
      <c r="M970" s="5" t="str">
        <f aca="false">IF(AND(N(K970)&gt;0,N(L970)&gt;0),K970/L970,"")</f>
        <v/>
      </c>
      <c r="N970" s="2" t="s">
        <v>1226</v>
      </c>
    </row>
    <row r="971" customFormat="false" ht="15" hidden="false" customHeight="false" outlineLevel="0" collapsed="false">
      <c r="A971" s="2" t="n">
        <v>970</v>
      </c>
      <c r="B971" s="2" t="s">
        <v>2262</v>
      </c>
      <c r="C971" s="2" t="s">
        <v>2263</v>
      </c>
      <c r="D971" s="2"/>
      <c r="E971" s="2" t="s">
        <v>2264</v>
      </c>
      <c r="F971" s="3" t="n">
        <v>0.000184</v>
      </c>
      <c r="G971" s="3" t="n">
        <f aca="false">SUM($F$2:F971)</f>
        <v>0.818823</v>
      </c>
      <c r="H971" s="4"/>
      <c r="I971" s="5"/>
      <c r="J971" s="4"/>
      <c r="K971" s="5"/>
      <c r="L971" s="6"/>
      <c r="M971" s="5" t="str">
        <f aca="false">IF(AND(N(K971)&gt;0,N(L971)&gt;0),K971/L971,"")</f>
        <v/>
      </c>
      <c r="N971" s="2" t="s">
        <v>1226</v>
      </c>
    </row>
    <row r="972" customFormat="false" ht="15" hidden="false" customHeight="false" outlineLevel="0" collapsed="false">
      <c r="A972" s="2" t="n">
        <v>971</v>
      </c>
      <c r="B972" s="2" t="s">
        <v>2265</v>
      </c>
      <c r="C972" s="2" t="s">
        <v>2266</v>
      </c>
      <c r="D972" s="2"/>
      <c r="E972" s="2" t="s">
        <v>52</v>
      </c>
      <c r="F972" s="3" t="n">
        <v>0.000184</v>
      </c>
      <c r="G972" s="3" t="n">
        <f aca="false">SUM($F$2:F972)</f>
        <v>0.819007</v>
      </c>
      <c r="H972" s="4"/>
      <c r="I972" s="5"/>
      <c r="J972" s="4"/>
      <c r="K972" s="5"/>
      <c r="L972" s="6"/>
      <c r="M972" s="5" t="str">
        <f aca="false">IF(AND(N(K972)&gt;0,N(L972)&gt;0),K972/L972,"")</f>
        <v/>
      </c>
      <c r="N972" s="2" t="s">
        <v>1226</v>
      </c>
    </row>
    <row r="973" customFormat="false" ht="15" hidden="false" customHeight="false" outlineLevel="0" collapsed="false">
      <c r="A973" s="2" t="n">
        <v>972</v>
      </c>
      <c r="B973" s="2" t="s">
        <v>2267</v>
      </c>
      <c r="C973" s="2" t="s">
        <v>2268</v>
      </c>
      <c r="D973" s="2"/>
      <c r="E973" s="2" t="s">
        <v>17</v>
      </c>
      <c r="F973" s="3" t="n">
        <v>0.000184</v>
      </c>
      <c r="G973" s="3" t="n">
        <f aca="false">SUM($F$2:F973)</f>
        <v>0.819191</v>
      </c>
      <c r="H973" s="4"/>
      <c r="I973" s="5"/>
      <c r="J973" s="4"/>
      <c r="K973" s="5"/>
      <c r="L973" s="6"/>
      <c r="M973" s="5" t="str">
        <f aca="false">IF(AND(N(K973)&gt;0,N(L973)&gt;0),K973/L973,"")</f>
        <v/>
      </c>
      <c r="N973" s="2" t="s">
        <v>1226</v>
      </c>
    </row>
    <row r="974" customFormat="false" ht="15" hidden="false" customHeight="false" outlineLevel="0" collapsed="false">
      <c r="A974" s="2" t="n">
        <v>973</v>
      </c>
      <c r="B974" s="2" t="s">
        <v>2269</v>
      </c>
      <c r="C974" s="2" t="s">
        <v>2270</v>
      </c>
      <c r="D974" s="2"/>
      <c r="E974" s="2" t="s">
        <v>82</v>
      </c>
      <c r="F974" s="3" t="n">
        <v>0.000183</v>
      </c>
      <c r="G974" s="3" t="n">
        <f aca="false">SUM($F$2:F974)</f>
        <v>0.819374</v>
      </c>
      <c r="H974" s="4"/>
      <c r="I974" s="5"/>
      <c r="J974" s="4"/>
      <c r="K974" s="5"/>
      <c r="L974" s="6"/>
      <c r="M974" s="5" t="str">
        <f aca="false">IF(AND(N(K974)&gt;0,N(L974)&gt;0),K974/L974,"")</f>
        <v/>
      </c>
      <c r="N974" s="2" t="s">
        <v>1226</v>
      </c>
    </row>
    <row r="975" customFormat="false" ht="15" hidden="false" customHeight="false" outlineLevel="0" collapsed="false">
      <c r="A975" s="2" t="n">
        <v>974</v>
      </c>
      <c r="B975" s="2" t="s">
        <v>2271</v>
      </c>
      <c r="C975" s="2" t="s">
        <v>2272</v>
      </c>
      <c r="D975" s="2"/>
      <c r="E975" s="2" t="s">
        <v>52</v>
      </c>
      <c r="F975" s="3" t="n">
        <v>0.000183</v>
      </c>
      <c r="G975" s="3" t="n">
        <f aca="false">SUM($F$2:F975)</f>
        <v>0.819557</v>
      </c>
      <c r="H975" s="4"/>
      <c r="I975" s="5"/>
      <c r="J975" s="4"/>
      <c r="K975" s="5"/>
      <c r="L975" s="6"/>
      <c r="M975" s="5" t="str">
        <f aca="false">IF(AND(N(K975)&gt;0,N(L975)&gt;0),K975/L975,"")</f>
        <v/>
      </c>
      <c r="N975" s="2" t="s">
        <v>1226</v>
      </c>
    </row>
    <row r="976" customFormat="false" ht="15" hidden="false" customHeight="false" outlineLevel="0" collapsed="false">
      <c r="A976" s="2" t="n">
        <v>975</v>
      </c>
      <c r="B976" s="2" t="s">
        <v>2273</v>
      </c>
      <c r="C976" s="2" t="s">
        <v>2274</v>
      </c>
      <c r="D976" s="2"/>
      <c r="E976" s="2" t="s">
        <v>48</v>
      </c>
      <c r="F976" s="3" t="n">
        <v>0.000183</v>
      </c>
      <c r="G976" s="3" t="n">
        <f aca="false">SUM($F$2:F976)</f>
        <v>0.81974</v>
      </c>
      <c r="H976" s="4"/>
      <c r="I976" s="5"/>
      <c r="J976" s="4"/>
      <c r="K976" s="5"/>
      <c r="L976" s="6"/>
      <c r="M976" s="5" t="str">
        <f aca="false">IF(AND(N(K976)&gt;0,N(L976)&gt;0),K976/L976,"")</f>
        <v/>
      </c>
      <c r="N976" s="2" t="s">
        <v>1226</v>
      </c>
    </row>
    <row r="977" customFormat="false" ht="15" hidden="false" customHeight="false" outlineLevel="0" collapsed="false">
      <c r="A977" s="2" t="n">
        <v>976</v>
      </c>
      <c r="B977" s="2" t="s">
        <v>2275</v>
      </c>
      <c r="C977" s="2" t="s">
        <v>2276</v>
      </c>
      <c r="D977" s="2"/>
      <c r="E977" s="2" t="s">
        <v>52</v>
      </c>
      <c r="F977" s="3" t="n">
        <v>0.000183</v>
      </c>
      <c r="G977" s="3" t="n">
        <f aca="false">SUM($F$2:F977)</f>
        <v>0.819923</v>
      </c>
      <c r="H977" s="4"/>
      <c r="I977" s="5"/>
      <c r="J977" s="4"/>
      <c r="K977" s="5"/>
      <c r="L977" s="6"/>
      <c r="M977" s="5" t="str">
        <f aca="false">IF(AND(N(K977)&gt;0,N(L977)&gt;0),K977/L977,"")</f>
        <v/>
      </c>
      <c r="N977" s="2" t="s">
        <v>1226</v>
      </c>
    </row>
    <row r="978" customFormat="false" ht="15" hidden="false" customHeight="false" outlineLevel="0" collapsed="false">
      <c r="A978" s="2" t="n">
        <v>977</v>
      </c>
      <c r="B978" s="2" t="s">
        <v>2277</v>
      </c>
      <c r="C978" s="2" t="s">
        <v>2278</v>
      </c>
      <c r="D978" s="2"/>
      <c r="E978" s="2" t="s">
        <v>29</v>
      </c>
      <c r="F978" s="3" t="n">
        <v>0.00018</v>
      </c>
      <c r="G978" s="3" t="n">
        <f aca="false">SUM($F$2:F978)</f>
        <v>0.820103</v>
      </c>
      <c r="H978" s="4"/>
      <c r="I978" s="5"/>
      <c r="J978" s="4"/>
      <c r="K978" s="5"/>
      <c r="L978" s="6"/>
      <c r="M978" s="5" t="str">
        <f aca="false">IF(AND(N(K978)&gt;0,N(L978)&gt;0),K978/L978,"")</f>
        <v/>
      </c>
      <c r="N978" s="2" t="s">
        <v>1226</v>
      </c>
    </row>
    <row r="979" customFormat="false" ht="15" hidden="false" customHeight="false" outlineLevel="0" collapsed="false">
      <c r="A979" s="2" t="n">
        <v>978</v>
      </c>
      <c r="B979" s="2" t="s">
        <v>2279</v>
      </c>
      <c r="C979" s="2" t="s">
        <v>2280</v>
      </c>
      <c r="D979" s="2"/>
      <c r="E979" s="2" t="s">
        <v>700</v>
      </c>
      <c r="F979" s="3" t="n">
        <v>0.00018</v>
      </c>
      <c r="G979" s="3" t="n">
        <f aca="false">SUM($F$2:F979)</f>
        <v>0.820283</v>
      </c>
      <c r="H979" s="4"/>
      <c r="I979" s="5"/>
      <c r="J979" s="4"/>
      <c r="K979" s="5"/>
      <c r="L979" s="6"/>
      <c r="M979" s="5" t="str">
        <f aca="false">IF(AND(N(K979)&gt;0,N(L979)&gt;0),K979/L979,"")</f>
        <v/>
      </c>
      <c r="N979" s="2" t="s">
        <v>1226</v>
      </c>
    </row>
    <row r="980" customFormat="false" ht="15" hidden="false" customHeight="false" outlineLevel="0" collapsed="false">
      <c r="A980" s="2" t="n">
        <v>979</v>
      </c>
      <c r="B980" s="2" t="s">
        <v>2281</v>
      </c>
      <c r="C980" s="2" t="s">
        <v>2282</v>
      </c>
      <c r="D980" s="2"/>
      <c r="E980" s="2" t="s">
        <v>82</v>
      </c>
      <c r="F980" s="3" t="n">
        <v>0.000179</v>
      </c>
      <c r="G980" s="3" t="n">
        <f aca="false">SUM($F$2:F980)</f>
        <v>0.820462</v>
      </c>
      <c r="H980" s="4"/>
      <c r="I980" s="5"/>
      <c r="J980" s="4"/>
      <c r="K980" s="5"/>
      <c r="L980" s="6"/>
      <c r="M980" s="5" t="str">
        <f aca="false">IF(AND(N(K980)&gt;0,N(L980)&gt;0),K980/L980,"")</f>
        <v/>
      </c>
      <c r="N980" s="2" t="s">
        <v>1226</v>
      </c>
    </row>
    <row r="981" customFormat="false" ht="15" hidden="false" customHeight="false" outlineLevel="0" collapsed="false">
      <c r="A981" s="2" t="n">
        <v>980</v>
      </c>
      <c r="B981" s="2" t="s">
        <v>2283</v>
      </c>
      <c r="C981" s="2" t="s">
        <v>2284</v>
      </c>
      <c r="D981" s="2"/>
      <c r="E981" s="2" t="s">
        <v>43</v>
      </c>
      <c r="F981" s="3" t="n">
        <v>0.000179</v>
      </c>
      <c r="G981" s="3" t="n">
        <f aca="false">SUM($F$2:F981)</f>
        <v>0.820641</v>
      </c>
      <c r="H981" s="4"/>
      <c r="I981" s="5"/>
      <c r="J981" s="4"/>
      <c r="K981" s="5"/>
      <c r="L981" s="6"/>
      <c r="M981" s="5" t="str">
        <f aca="false">IF(AND(N(K981)&gt;0,N(L981)&gt;0),K981/L981,"")</f>
        <v/>
      </c>
      <c r="N981" s="2" t="s">
        <v>1226</v>
      </c>
    </row>
    <row r="982" customFormat="false" ht="15" hidden="false" customHeight="false" outlineLevel="0" collapsed="false">
      <c r="A982" s="2" t="n">
        <v>981</v>
      </c>
      <c r="B982" s="2" t="s">
        <v>2285</v>
      </c>
      <c r="C982" s="2" t="s">
        <v>2286</v>
      </c>
      <c r="D982" s="2"/>
      <c r="E982" s="2" t="s">
        <v>43</v>
      </c>
      <c r="F982" s="3" t="n">
        <v>0.000179</v>
      </c>
      <c r="G982" s="3" t="n">
        <f aca="false">SUM($F$2:F982)</f>
        <v>0.82082</v>
      </c>
      <c r="H982" s="4"/>
      <c r="I982" s="5"/>
      <c r="J982" s="4"/>
      <c r="K982" s="5"/>
      <c r="L982" s="6"/>
      <c r="M982" s="5" t="str">
        <f aca="false">IF(AND(N(K982)&gt;0,N(L982)&gt;0),K982/L982,"")</f>
        <v/>
      </c>
      <c r="N982" s="2" t="s">
        <v>1226</v>
      </c>
    </row>
    <row r="983" customFormat="false" ht="15" hidden="false" customHeight="false" outlineLevel="0" collapsed="false">
      <c r="A983" s="2" t="n">
        <v>982</v>
      </c>
      <c r="B983" s="2" t="s">
        <v>2287</v>
      </c>
      <c r="C983" s="2" t="s">
        <v>2288</v>
      </c>
      <c r="D983" s="2"/>
      <c r="E983" s="2" t="s">
        <v>52</v>
      </c>
      <c r="F983" s="3" t="n">
        <v>0.000179</v>
      </c>
      <c r="G983" s="3" t="n">
        <f aca="false">SUM($F$2:F983)</f>
        <v>0.820999</v>
      </c>
      <c r="H983" s="4"/>
      <c r="I983" s="5"/>
      <c r="J983" s="4"/>
      <c r="K983" s="5"/>
      <c r="L983" s="6"/>
      <c r="M983" s="5" t="str">
        <f aca="false">IF(AND(N(K983)&gt;0,N(L983)&gt;0),K983/L983,"")</f>
        <v/>
      </c>
      <c r="N983" s="2" t="s">
        <v>1226</v>
      </c>
    </row>
    <row r="984" customFormat="false" ht="15" hidden="false" customHeight="false" outlineLevel="0" collapsed="false">
      <c r="A984" s="2" t="n">
        <v>983</v>
      </c>
      <c r="B984" s="2" t="s">
        <v>2289</v>
      </c>
      <c r="C984" s="2" t="s">
        <v>2290</v>
      </c>
      <c r="D984" s="2"/>
      <c r="E984" s="2" t="s">
        <v>43</v>
      </c>
      <c r="F984" s="3" t="n">
        <v>0.000179</v>
      </c>
      <c r="G984" s="3" t="n">
        <f aca="false">SUM($F$2:F984)</f>
        <v>0.821178</v>
      </c>
      <c r="H984" s="4"/>
      <c r="I984" s="5"/>
      <c r="J984" s="4"/>
      <c r="K984" s="5"/>
      <c r="L984" s="6"/>
      <c r="M984" s="5" t="str">
        <f aca="false">IF(AND(N(K984)&gt;0,N(L984)&gt;0),K984/L984,"")</f>
        <v/>
      </c>
      <c r="N984" s="2" t="s">
        <v>1226</v>
      </c>
    </row>
    <row r="985" customFormat="false" ht="15" hidden="false" customHeight="false" outlineLevel="0" collapsed="false">
      <c r="A985" s="2" t="n">
        <v>984</v>
      </c>
      <c r="B985" s="2" t="s">
        <v>2291</v>
      </c>
      <c r="C985" s="2" t="s">
        <v>2292</v>
      </c>
      <c r="D985" s="2"/>
      <c r="E985" s="2" t="s">
        <v>52</v>
      </c>
      <c r="F985" s="3" t="n">
        <v>0.000178</v>
      </c>
      <c r="G985" s="3" t="n">
        <f aca="false">SUM($F$2:F985)</f>
        <v>0.821356</v>
      </c>
      <c r="H985" s="4"/>
      <c r="I985" s="5"/>
      <c r="J985" s="4"/>
      <c r="K985" s="5"/>
      <c r="L985" s="6"/>
      <c r="M985" s="5" t="str">
        <f aca="false">IF(AND(N(K985)&gt;0,N(L985)&gt;0),K985/L985,"")</f>
        <v/>
      </c>
      <c r="N985" s="2" t="s">
        <v>1226</v>
      </c>
    </row>
    <row r="986" customFormat="false" ht="15" hidden="false" customHeight="false" outlineLevel="0" collapsed="false">
      <c r="A986" s="2" t="n">
        <v>985</v>
      </c>
      <c r="B986" s="2" t="s">
        <v>2293</v>
      </c>
      <c r="C986" s="2" t="s">
        <v>2294</v>
      </c>
      <c r="D986" s="2"/>
      <c r="E986" s="2" t="s">
        <v>765</v>
      </c>
      <c r="F986" s="3" t="n">
        <v>0.000178</v>
      </c>
      <c r="G986" s="3" t="n">
        <f aca="false">SUM($F$2:F986)</f>
        <v>0.821534</v>
      </c>
      <c r="H986" s="4"/>
      <c r="I986" s="5"/>
      <c r="J986" s="4"/>
      <c r="K986" s="5"/>
      <c r="L986" s="6"/>
      <c r="M986" s="5" t="str">
        <f aca="false">IF(AND(N(K986)&gt;0,N(L986)&gt;0),K986/L986,"")</f>
        <v/>
      </c>
      <c r="N986" s="2" t="s">
        <v>1226</v>
      </c>
    </row>
    <row r="987" customFormat="false" ht="15" hidden="false" customHeight="false" outlineLevel="0" collapsed="false">
      <c r="A987" s="2" t="n">
        <v>986</v>
      </c>
      <c r="B987" s="2" t="s">
        <v>2295</v>
      </c>
      <c r="C987" s="2" t="s">
        <v>2296</v>
      </c>
      <c r="D987" s="2"/>
      <c r="E987" s="2" t="s">
        <v>17</v>
      </c>
      <c r="F987" s="3" t="n">
        <v>0.000178</v>
      </c>
      <c r="G987" s="3" t="n">
        <f aca="false">SUM($F$2:F987)</f>
        <v>0.821712</v>
      </c>
      <c r="H987" s="4"/>
      <c r="I987" s="5"/>
      <c r="J987" s="4"/>
      <c r="K987" s="5"/>
      <c r="L987" s="6"/>
      <c r="M987" s="5" t="str">
        <f aca="false">IF(AND(N(K987)&gt;0,N(L987)&gt;0),K987/L987,"")</f>
        <v/>
      </c>
      <c r="N987" s="2" t="s">
        <v>1226</v>
      </c>
    </row>
    <row r="988" customFormat="false" ht="15" hidden="false" customHeight="false" outlineLevel="0" collapsed="false">
      <c r="A988" s="2" t="n">
        <v>987</v>
      </c>
      <c r="B988" s="2" t="s">
        <v>2297</v>
      </c>
      <c r="C988" s="2" t="s">
        <v>2298</v>
      </c>
      <c r="D988" s="2"/>
      <c r="E988" s="2" t="s">
        <v>1345</v>
      </c>
      <c r="F988" s="3" t="n">
        <v>0.000178</v>
      </c>
      <c r="G988" s="3" t="n">
        <f aca="false">SUM($F$2:F988)</f>
        <v>0.82189</v>
      </c>
      <c r="H988" s="4"/>
      <c r="I988" s="5"/>
      <c r="J988" s="4"/>
      <c r="K988" s="5"/>
      <c r="L988" s="6"/>
      <c r="M988" s="5" t="str">
        <f aca="false">IF(AND(N(K988)&gt;0,N(L988)&gt;0),K988/L988,"")</f>
        <v/>
      </c>
      <c r="N988" s="2" t="s">
        <v>1226</v>
      </c>
    </row>
    <row r="989" customFormat="false" ht="15" hidden="false" customHeight="false" outlineLevel="0" collapsed="false">
      <c r="A989" s="2" t="n">
        <v>988</v>
      </c>
      <c r="B989" s="2" t="s">
        <v>2299</v>
      </c>
      <c r="C989" s="2" t="s">
        <v>2300</v>
      </c>
      <c r="D989" s="2"/>
      <c r="E989" s="2" t="s">
        <v>29</v>
      </c>
      <c r="F989" s="3" t="n">
        <v>0.000178</v>
      </c>
      <c r="G989" s="3" t="n">
        <f aca="false">SUM($F$2:F989)</f>
        <v>0.822068</v>
      </c>
      <c r="H989" s="4"/>
      <c r="I989" s="5"/>
      <c r="J989" s="4"/>
      <c r="K989" s="5"/>
      <c r="L989" s="6"/>
      <c r="M989" s="5" t="str">
        <f aca="false">IF(AND(N(K989)&gt;0,N(L989)&gt;0),K989/L989,"")</f>
        <v/>
      </c>
      <c r="N989" s="2" t="s">
        <v>1226</v>
      </c>
    </row>
    <row r="990" customFormat="false" ht="15" hidden="false" customHeight="false" outlineLevel="0" collapsed="false">
      <c r="A990" s="2" t="n">
        <v>989</v>
      </c>
      <c r="B990" s="2" t="s">
        <v>2301</v>
      </c>
      <c r="C990" s="2" t="s">
        <v>2302</v>
      </c>
      <c r="D990" s="2"/>
      <c r="E990" s="2" t="s">
        <v>25</v>
      </c>
      <c r="F990" s="3" t="n">
        <v>0.000177</v>
      </c>
      <c r="G990" s="3" t="n">
        <f aca="false">SUM($F$2:F990)</f>
        <v>0.822245</v>
      </c>
      <c r="H990" s="4"/>
      <c r="I990" s="5"/>
      <c r="J990" s="4"/>
      <c r="K990" s="5"/>
      <c r="L990" s="6"/>
      <c r="M990" s="5" t="str">
        <f aca="false">IF(AND(N(K990)&gt;0,N(L990)&gt;0),K990/L990,"")</f>
        <v/>
      </c>
      <c r="N990" s="2" t="s">
        <v>1226</v>
      </c>
    </row>
    <row r="991" customFormat="false" ht="15" hidden="false" customHeight="false" outlineLevel="0" collapsed="false">
      <c r="A991" s="2" t="n">
        <v>990</v>
      </c>
      <c r="B991" s="2" t="s">
        <v>2303</v>
      </c>
      <c r="C991" s="2" t="s">
        <v>2304</v>
      </c>
      <c r="D991" s="2"/>
      <c r="E991" s="2" t="s">
        <v>38</v>
      </c>
      <c r="F991" s="3" t="n">
        <v>0.000177</v>
      </c>
      <c r="G991" s="3" t="n">
        <f aca="false">SUM($F$2:F991)</f>
        <v>0.822422</v>
      </c>
      <c r="H991" s="4"/>
      <c r="I991" s="5"/>
      <c r="J991" s="4"/>
      <c r="K991" s="5"/>
      <c r="L991" s="6"/>
      <c r="M991" s="5" t="str">
        <f aca="false">IF(AND(N(K991)&gt;0,N(L991)&gt;0),K991/L991,"")</f>
        <v/>
      </c>
      <c r="N991" s="2" t="s">
        <v>1226</v>
      </c>
    </row>
    <row r="992" customFormat="false" ht="15" hidden="false" customHeight="false" outlineLevel="0" collapsed="false">
      <c r="A992" s="2" t="n">
        <v>991</v>
      </c>
      <c r="B992" s="2" t="s">
        <v>2305</v>
      </c>
      <c r="C992" s="2" t="s">
        <v>2306</v>
      </c>
      <c r="D992" s="2"/>
      <c r="E992" s="2" t="s">
        <v>289</v>
      </c>
      <c r="F992" s="3" t="n">
        <v>0.000177</v>
      </c>
      <c r="G992" s="3" t="n">
        <f aca="false">SUM($F$2:F992)</f>
        <v>0.822599</v>
      </c>
      <c r="H992" s="4"/>
      <c r="I992" s="5"/>
      <c r="J992" s="4"/>
      <c r="K992" s="5"/>
      <c r="L992" s="6"/>
      <c r="M992" s="5" t="str">
        <f aca="false">IF(AND(N(K992)&gt;0,N(L992)&gt;0),K992/L992,"")</f>
        <v/>
      </c>
      <c r="N992" s="2" t="s">
        <v>1226</v>
      </c>
    </row>
    <row r="993" customFormat="false" ht="15" hidden="false" customHeight="false" outlineLevel="0" collapsed="false">
      <c r="A993" s="2" t="n">
        <v>992</v>
      </c>
      <c r="B993" s="2" t="s">
        <v>2307</v>
      </c>
      <c r="C993" s="2" t="s">
        <v>2308</v>
      </c>
      <c r="D993" s="2"/>
      <c r="E993" s="2" t="s">
        <v>25</v>
      </c>
      <c r="F993" s="3" t="n">
        <v>0.000177</v>
      </c>
      <c r="G993" s="3" t="n">
        <f aca="false">SUM($F$2:F993)</f>
        <v>0.822776</v>
      </c>
      <c r="H993" s="4"/>
      <c r="I993" s="5"/>
      <c r="J993" s="4"/>
      <c r="K993" s="5"/>
      <c r="L993" s="6"/>
      <c r="M993" s="5" t="str">
        <f aca="false">IF(AND(N(K993)&gt;0,N(L993)&gt;0),K993/L993,"")</f>
        <v/>
      </c>
      <c r="N993" s="2" t="s">
        <v>1226</v>
      </c>
    </row>
    <row r="994" customFormat="false" ht="15" hidden="false" customHeight="false" outlineLevel="0" collapsed="false">
      <c r="A994" s="2" t="n">
        <v>993</v>
      </c>
      <c r="B994" s="2" t="s">
        <v>2309</v>
      </c>
      <c r="C994" s="2" t="s">
        <v>2310</v>
      </c>
      <c r="D994" s="2"/>
      <c r="E994" s="2" t="s">
        <v>25</v>
      </c>
      <c r="F994" s="3" t="n">
        <v>0.000177</v>
      </c>
      <c r="G994" s="3" t="n">
        <f aca="false">SUM($F$2:F994)</f>
        <v>0.822953</v>
      </c>
      <c r="H994" s="4"/>
      <c r="I994" s="5"/>
      <c r="J994" s="4"/>
      <c r="K994" s="5"/>
      <c r="L994" s="6"/>
      <c r="M994" s="5" t="str">
        <f aca="false">IF(AND(N(K994)&gt;0,N(L994)&gt;0),K994/L994,"")</f>
        <v/>
      </c>
      <c r="N994" s="2" t="s">
        <v>1226</v>
      </c>
    </row>
    <row r="995" customFormat="false" ht="15" hidden="false" customHeight="false" outlineLevel="0" collapsed="false">
      <c r="A995" s="2" t="n">
        <v>994</v>
      </c>
      <c r="B995" s="2" t="s">
        <v>2311</v>
      </c>
      <c r="C995" s="2" t="s">
        <v>2312</v>
      </c>
      <c r="D995" s="2"/>
      <c r="E995" s="2" t="s">
        <v>52</v>
      </c>
      <c r="F995" s="3" t="n">
        <v>0.000177</v>
      </c>
      <c r="G995" s="3" t="n">
        <f aca="false">SUM($F$2:F995)</f>
        <v>0.82313</v>
      </c>
      <c r="H995" s="4"/>
      <c r="I995" s="5"/>
      <c r="J995" s="4"/>
      <c r="K995" s="5"/>
      <c r="L995" s="6"/>
      <c r="M995" s="5" t="str">
        <f aca="false">IF(AND(N(K995)&gt;0,N(L995)&gt;0),K995/L995,"")</f>
        <v/>
      </c>
      <c r="N995" s="2" t="s">
        <v>1226</v>
      </c>
    </row>
    <row r="996" customFormat="false" ht="15" hidden="false" customHeight="false" outlineLevel="0" collapsed="false">
      <c r="A996" s="2" t="n">
        <v>995</v>
      </c>
      <c r="B996" s="2" t="s">
        <v>2313</v>
      </c>
      <c r="C996" s="2" t="s">
        <v>2314</v>
      </c>
      <c r="D996" s="2"/>
      <c r="E996" s="2" t="s">
        <v>167</v>
      </c>
      <c r="F996" s="3" t="n">
        <v>0.000176</v>
      </c>
      <c r="G996" s="3" t="n">
        <f aca="false">SUM($F$2:F996)</f>
        <v>0.823306</v>
      </c>
      <c r="H996" s="4"/>
      <c r="I996" s="5"/>
      <c r="J996" s="4"/>
      <c r="K996" s="5"/>
      <c r="L996" s="6"/>
      <c r="M996" s="5" t="str">
        <f aca="false">IF(AND(N(K996)&gt;0,N(L996)&gt;0),K996/L996,"")</f>
        <v/>
      </c>
      <c r="N996" s="2" t="s">
        <v>1226</v>
      </c>
    </row>
    <row r="997" customFormat="false" ht="15" hidden="false" customHeight="false" outlineLevel="0" collapsed="false">
      <c r="A997" s="2" t="n">
        <v>996</v>
      </c>
      <c r="B997" s="2" t="s">
        <v>2315</v>
      </c>
      <c r="C997" s="2" t="s">
        <v>2316</v>
      </c>
      <c r="D997" s="2"/>
      <c r="E997" s="2" t="s">
        <v>33</v>
      </c>
      <c r="F997" s="3" t="n">
        <v>0.000176</v>
      </c>
      <c r="G997" s="3" t="n">
        <f aca="false">SUM($F$2:F997)</f>
        <v>0.823482</v>
      </c>
      <c r="H997" s="4"/>
      <c r="I997" s="5"/>
      <c r="J997" s="4"/>
      <c r="K997" s="5"/>
      <c r="L997" s="6"/>
      <c r="M997" s="5" t="str">
        <f aca="false">IF(AND(N(K997)&gt;0,N(L997)&gt;0),K997/L997,"")</f>
        <v/>
      </c>
      <c r="N997" s="2" t="s">
        <v>1226</v>
      </c>
    </row>
    <row r="998" customFormat="false" ht="15" hidden="false" customHeight="false" outlineLevel="0" collapsed="false">
      <c r="A998" s="2" t="n">
        <v>997</v>
      </c>
      <c r="B998" s="2" t="s">
        <v>2317</v>
      </c>
      <c r="C998" s="2" t="s">
        <v>2318</v>
      </c>
      <c r="D998" s="2"/>
      <c r="E998" s="2" t="s">
        <v>167</v>
      </c>
      <c r="F998" s="3" t="n">
        <v>0.000176</v>
      </c>
      <c r="G998" s="3" t="n">
        <f aca="false">SUM($F$2:F998)</f>
        <v>0.823658</v>
      </c>
      <c r="H998" s="4"/>
      <c r="I998" s="5"/>
      <c r="J998" s="4"/>
      <c r="K998" s="5"/>
      <c r="L998" s="6"/>
      <c r="M998" s="5" t="str">
        <f aca="false">IF(AND(N(K998)&gt;0,N(L998)&gt;0),K998/L998,"")</f>
        <v/>
      </c>
      <c r="N998" s="2" t="s">
        <v>1226</v>
      </c>
    </row>
    <row r="999" customFormat="false" ht="15" hidden="false" customHeight="false" outlineLevel="0" collapsed="false">
      <c r="A999" s="2" t="n">
        <v>998</v>
      </c>
      <c r="B999" s="2" t="s">
        <v>2319</v>
      </c>
      <c r="C999" s="2" t="s">
        <v>2320</v>
      </c>
      <c r="D999" s="2"/>
      <c r="E999" s="2" t="s">
        <v>1284</v>
      </c>
      <c r="F999" s="3" t="n">
        <v>0.000176</v>
      </c>
      <c r="G999" s="3" t="n">
        <f aca="false">SUM($F$2:F999)</f>
        <v>0.823834</v>
      </c>
      <c r="H999" s="4"/>
      <c r="I999" s="5"/>
      <c r="J999" s="4"/>
      <c r="K999" s="5"/>
      <c r="L999" s="6"/>
      <c r="M999" s="5" t="str">
        <f aca="false">IF(AND(N(K999)&gt;0,N(L999)&gt;0),K999/L999,"")</f>
        <v/>
      </c>
      <c r="N999" s="2" t="s">
        <v>1226</v>
      </c>
    </row>
    <row r="1000" customFormat="false" ht="15" hidden="false" customHeight="false" outlineLevel="0" collapsed="false">
      <c r="A1000" s="2" t="n">
        <v>999</v>
      </c>
      <c r="B1000" s="2" t="s">
        <v>2321</v>
      </c>
      <c r="C1000" s="2" t="s">
        <v>2322</v>
      </c>
      <c r="D1000" s="2"/>
      <c r="E1000" s="2" t="s">
        <v>52</v>
      </c>
      <c r="F1000" s="3" t="n">
        <v>0.000175</v>
      </c>
      <c r="G1000" s="3" t="n">
        <f aca="false">SUM($F$2:F1000)</f>
        <v>0.824009</v>
      </c>
      <c r="H1000" s="4"/>
      <c r="I1000" s="5"/>
      <c r="J1000" s="4"/>
      <c r="K1000" s="5"/>
      <c r="L1000" s="6"/>
      <c r="M1000" s="5" t="str">
        <f aca="false">IF(AND(N(K1000)&gt;0,N(L1000)&gt;0),K1000/L1000,"")</f>
        <v/>
      </c>
      <c r="N1000" s="2" t="s">
        <v>1226</v>
      </c>
    </row>
    <row r="1001" customFormat="false" ht="15" hidden="false" customHeight="false" outlineLevel="0" collapsed="false">
      <c r="A1001" s="2" t="n">
        <v>1000</v>
      </c>
      <c r="B1001" s="2" t="s">
        <v>2323</v>
      </c>
      <c r="C1001" s="2" t="s">
        <v>2324</v>
      </c>
      <c r="D1001" s="2"/>
      <c r="E1001" s="2" t="s">
        <v>43</v>
      </c>
      <c r="F1001" s="3" t="n">
        <v>0.000175</v>
      </c>
      <c r="G1001" s="3" t="n">
        <f aca="false">SUM($F$2:F1001)</f>
        <v>0.824184</v>
      </c>
      <c r="H1001" s="4"/>
      <c r="I1001" s="5"/>
      <c r="J1001" s="4"/>
      <c r="K1001" s="5"/>
      <c r="L1001" s="6"/>
      <c r="M1001" s="5" t="str">
        <f aca="false">IF(AND(N(K1001)&gt;0,N(L1001)&gt;0),K1001/L1001,"")</f>
        <v/>
      </c>
      <c r="N1001" s="2" t="s">
        <v>1226</v>
      </c>
    </row>
    <row r="1002" customFormat="false" ht="15" hidden="false" customHeight="false" outlineLevel="0" collapsed="false">
      <c r="A1002" s="2" t="n">
        <v>1001</v>
      </c>
      <c r="B1002" s="2" t="s">
        <v>2325</v>
      </c>
      <c r="C1002" s="2" t="s">
        <v>2326</v>
      </c>
      <c r="D1002" s="2"/>
      <c r="E1002" s="2" t="s">
        <v>29</v>
      </c>
      <c r="F1002" s="3" t="n">
        <v>0.000175</v>
      </c>
      <c r="G1002" s="3" t="n">
        <f aca="false">SUM($F$2:F1002)</f>
        <v>0.824359</v>
      </c>
      <c r="H1002" s="4"/>
      <c r="I1002" s="5"/>
      <c r="J1002" s="4"/>
      <c r="K1002" s="5"/>
      <c r="L1002" s="6"/>
      <c r="M1002" s="5" t="str">
        <f aca="false">IF(AND(N(K1002)&gt;0,N(L1002)&gt;0),K1002/L1002,"")</f>
        <v/>
      </c>
      <c r="N1002" s="2" t="s">
        <v>1226</v>
      </c>
    </row>
    <row r="1003" customFormat="false" ht="15" hidden="false" customHeight="false" outlineLevel="0" collapsed="false">
      <c r="A1003" s="2" t="n">
        <v>1002</v>
      </c>
      <c r="B1003" s="2" t="s">
        <v>2327</v>
      </c>
      <c r="C1003" s="2" t="s">
        <v>2328</v>
      </c>
      <c r="D1003" s="2"/>
      <c r="E1003" s="2" t="s">
        <v>1345</v>
      </c>
      <c r="F1003" s="3" t="n">
        <v>0.000175</v>
      </c>
      <c r="G1003" s="3" t="n">
        <f aca="false">SUM($F$2:F1003)</f>
        <v>0.824534</v>
      </c>
      <c r="H1003" s="4"/>
      <c r="I1003" s="5"/>
      <c r="J1003" s="4"/>
      <c r="K1003" s="5"/>
      <c r="L1003" s="6"/>
      <c r="M1003" s="5" t="str">
        <f aca="false">IF(AND(N(K1003)&gt;0,N(L1003)&gt;0),K1003/L1003,"")</f>
        <v/>
      </c>
      <c r="N1003" s="2" t="s">
        <v>1226</v>
      </c>
    </row>
    <row r="1004" customFormat="false" ht="15" hidden="false" customHeight="false" outlineLevel="0" collapsed="false">
      <c r="A1004" s="2" t="n">
        <v>1003</v>
      </c>
      <c r="B1004" s="2" t="s">
        <v>2329</v>
      </c>
      <c r="C1004" s="2" t="s">
        <v>2330</v>
      </c>
      <c r="D1004" s="2"/>
      <c r="E1004" s="2" t="s">
        <v>29</v>
      </c>
      <c r="F1004" s="3" t="n">
        <v>0.000175</v>
      </c>
      <c r="G1004" s="3" t="n">
        <f aca="false">SUM($F$2:F1004)</f>
        <v>0.824709</v>
      </c>
      <c r="H1004" s="4"/>
      <c r="I1004" s="5"/>
      <c r="J1004" s="4"/>
      <c r="K1004" s="5"/>
      <c r="L1004" s="6"/>
      <c r="M1004" s="5" t="str">
        <f aca="false">IF(AND(N(K1004)&gt;0,N(L1004)&gt;0),K1004/L1004,"")</f>
        <v/>
      </c>
      <c r="N1004" s="2" t="s">
        <v>1226</v>
      </c>
    </row>
    <row r="1005" customFormat="false" ht="15" hidden="false" customHeight="false" outlineLevel="0" collapsed="false">
      <c r="A1005" s="2" t="n">
        <v>1004</v>
      </c>
      <c r="B1005" s="2" t="s">
        <v>2331</v>
      </c>
      <c r="C1005" s="2" t="s">
        <v>2332</v>
      </c>
      <c r="D1005" s="2"/>
      <c r="E1005" s="2" t="s">
        <v>21</v>
      </c>
      <c r="F1005" s="3" t="n">
        <v>0.000174</v>
      </c>
      <c r="G1005" s="3" t="n">
        <f aca="false">SUM($F$2:F1005)</f>
        <v>0.824883</v>
      </c>
      <c r="H1005" s="4"/>
      <c r="I1005" s="5"/>
      <c r="J1005" s="4"/>
      <c r="K1005" s="5"/>
      <c r="L1005" s="6"/>
      <c r="M1005" s="5" t="str">
        <f aca="false">IF(AND(N(K1005)&gt;0,N(L1005)&gt;0),K1005/L1005,"")</f>
        <v/>
      </c>
      <c r="N1005" s="2" t="s">
        <v>1226</v>
      </c>
    </row>
    <row r="1006" customFormat="false" ht="15" hidden="false" customHeight="false" outlineLevel="0" collapsed="false">
      <c r="A1006" s="2" t="n">
        <v>1005</v>
      </c>
      <c r="B1006" s="2" t="s">
        <v>2333</v>
      </c>
      <c r="C1006" s="2" t="s">
        <v>2334</v>
      </c>
      <c r="D1006" s="2"/>
      <c r="E1006" s="2" t="s">
        <v>52</v>
      </c>
      <c r="F1006" s="3" t="n">
        <v>0.000174</v>
      </c>
      <c r="G1006" s="3" t="n">
        <f aca="false">SUM($F$2:F1006)</f>
        <v>0.825057</v>
      </c>
      <c r="H1006" s="4"/>
      <c r="I1006" s="5"/>
      <c r="J1006" s="4"/>
      <c r="K1006" s="5"/>
      <c r="L1006" s="6"/>
      <c r="M1006" s="5" t="str">
        <f aca="false">IF(AND(N(K1006)&gt;0,N(L1006)&gt;0),K1006/L1006,"")</f>
        <v/>
      </c>
      <c r="N1006" s="2" t="s">
        <v>1226</v>
      </c>
    </row>
    <row r="1007" customFormat="false" ht="15" hidden="false" customHeight="false" outlineLevel="0" collapsed="false">
      <c r="A1007" s="2" t="n">
        <v>1006</v>
      </c>
      <c r="B1007" s="2" t="s">
        <v>2335</v>
      </c>
      <c r="C1007" s="2" t="s">
        <v>2336</v>
      </c>
      <c r="D1007" s="2"/>
      <c r="E1007" s="2" t="s">
        <v>52</v>
      </c>
      <c r="F1007" s="3" t="n">
        <v>0.000173</v>
      </c>
      <c r="G1007" s="3" t="n">
        <f aca="false">SUM($F$2:F1007)</f>
        <v>0.82523</v>
      </c>
      <c r="H1007" s="4"/>
      <c r="I1007" s="5"/>
      <c r="J1007" s="4"/>
      <c r="K1007" s="5"/>
      <c r="L1007" s="6"/>
      <c r="M1007" s="5" t="str">
        <f aca="false">IF(AND(N(K1007)&gt;0,N(L1007)&gt;0),K1007/L1007,"")</f>
        <v/>
      </c>
      <c r="N1007" s="2" t="s">
        <v>1226</v>
      </c>
    </row>
    <row r="1008" customFormat="false" ht="15" hidden="false" customHeight="false" outlineLevel="0" collapsed="false">
      <c r="A1008" s="2" t="n">
        <v>1007</v>
      </c>
      <c r="B1008" s="2" t="s">
        <v>1782</v>
      </c>
      <c r="C1008" s="2" t="s">
        <v>2337</v>
      </c>
      <c r="D1008" s="2"/>
      <c r="E1008" s="2" t="s">
        <v>765</v>
      </c>
      <c r="F1008" s="3" t="n">
        <v>0.000173</v>
      </c>
      <c r="G1008" s="3" t="n">
        <f aca="false">SUM($F$2:F1008)</f>
        <v>0.825403</v>
      </c>
      <c r="H1008" s="4"/>
      <c r="I1008" s="5"/>
      <c r="J1008" s="4"/>
      <c r="K1008" s="5"/>
      <c r="L1008" s="6"/>
      <c r="M1008" s="5" t="str">
        <f aca="false">IF(AND(N(K1008)&gt;0,N(L1008)&gt;0),K1008/L1008,"")</f>
        <v/>
      </c>
      <c r="N1008" s="2" t="s">
        <v>1226</v>
      </c>
    </row>
    <row r="1009" customFormat="false" ht="15" hidden="false" customHeight="false" outlineLevel="0" collapsed="false">
      <c r="A1009" s="2" t="n">
        <v>1008</v>
      </c>
      <c r="B1009" s="2" t="s">
        <v>2338</v>
      </c>
      <c r="C1009" s="2" t="s">
        <v>2339</v>
      </c>
      <c r="D1009" s="2"/>
      <c r="E1009" s="2" t="s">
        <v>21</v>
      </c>
      <c r="F1009" s="3" t="n">
        <v>0.000173</v>
      </c>
      <c r="G1009" s="3" t="n">
        <f aca="false">SUM($F$2:F1009)</f>
        <v>0.825576</v>
      </c>
      <c r="H1009" s="4"/>
      <c r="I1009" s="5"/>
      <c r="J1009" s="4"/>
      <c r="K1009" s="5"/>
      <c r="L1009" s="6"/>
      <c r="M1009" s="5" t="str">
        <f aca="false">IF(AND(N(K1009)&gt;0,N(L1009)&gt;0),K1009/L1009,"")</f>
        <v/>
      </c>
      <c r="N1009" s="2" t="s">
        <v>1226</v>
      </c>
    </row>
    <row r="1010" customFormat="false" ht="15" hidden="false" customHeight="false" outlineLevel="0" collapsed="false">
      <c r="A1010" s="2" t="n">
        <v>1009</v>
      </c>
      <c r="B1010" s="2" t="s">
        <v>2340</v>
      </c>
      <c r="C1010" s="2" t="s">
        <v>2341</v>
      </c>
      <c r="D1010" s="2"/>
      <c r="E1010" s="2" t="s">
        <v>25</v>
      </c>
      <c r="F1010" s="3" t="n">
        <v>0.000173</v>
      </c>
      <c r="G1010" s="3" t="n">
        <f aca="false">SUM($F$2:F1010)</f>
        <v>0.825749</v>
      </c>
      <c r="H1010" s="4"/>
      <c r="I1010" s="5"/>
      <c r="J1010" s="4"/>
      <c r="K1010" s="5"/>
      <c r="L1010" s="6"/>
      <c r="M1010" s="5" t="str">
        <f aca="false">IF(AND(N(K1010)&gt;0,N(L1010)&gt;0),K1010/L1010,"")</f>
        <v/>
      </c>
      <c r="N1010" s="2" t="s">
        <v>1226</v>
      </c>
    </row>
    <row r="1011" customFormat="false" ht="15" hidden="false" customHeight="false" outlineLevel="0" collapsed="false">
      <c r="A1011" s="2" t="n">
        <v>1010</v>
      </c>
      <c r="B1011" s="2" t="s">
        <v>2342</v>
      </c>
      <c r="C1011" s="2" t="s">
        <v>2343</v>
      </c>
      <c r="D1011" s="2"/>
      <c r="E1011" s="2" t="s">
        <v>33</v>
      </c>
      <c r="F1011" s="3" t="n">
        <v>0.000172</v>
      </c>
      <c r="G1011" s="3" t="n">
        <f aca="false">SUM($F$2:F1011)</f>
        <v>0.825921</v>
      </c>
      <c r="H1011" s="4"/>
      <c r="I1011" s="5"/>
      <c r="J1011" s="4"/>
      <c r="K1011" s="5"/>
      <c r="L1011" s="6"/>
      <c r="M1011" s="5" t="str">
        <f aca="false">IF(AND(N(K1011)&gt;0,N(L1011)&gt;0),K1011/L1011,"")</f>
        <v/>
      </c>
      <c r="N1011" s="2" t="s">
        <v>1226</v>
      </c>
    </row>
    <row r="1012" customFormat="false" ht="15" hidden="false" customHeight="false" outlineLevel="0" collapsed="false">
      <c r="A1012" s="2" t="n">
        <v>1011</v>
      </c>
      <c r="B1012" s="2" t="s">
        <v>2344</v>
      </c>
      <c r="C1012" s="2" t="s">
        <v>2345</v>
      </c>
      <c r="D1012" s="2"/>
      <c r="E1012" s="2" t="s">
        <v>29</v>
      </c>
      <c r="F1012" s="3" t="n">
        <v>0.000172</v>
      </c>
      <c r="G1012" s="3" t="n">
        <f aca="false">SUM($F$2:F1012)</f>
        <v>0.826093</v>
      </c>
      <c r="H1012" s="4"/>
      <c r="I1012" s="5"/>
      <c r="J1012" s="4"/>
      <c r="K1012" s="5"/>
      <c r="L1012" s="6"/>
      <c r="M1012" s="5" t="str">
        <f aca="false">IF(AND(N(K1012)&gt;0,N(L1012)&gt;0),K1012/L1012,"")</f>
        <v/>
      </c>
      <c r="N1012" s="2" t="s">
        <v>1226</v>
      </c>
    </row>
    <row r="1013" customFormat="false" ht="15" hidden="false" customHeight="false" outlineLevel="0" collapsed="false">
      <c r="A1013" s="2" t="n">
        <v>1012</v>
      </c>
      <c r="B1013" s="2" t="s">
        <v>2346</v>
      </c>
      <c r="C1013" s="2" t="s">
        <v>2347</v>
      </c>
      <c r="D1013" s="2"/>
      <c r="E1013" s="2" t="s">
        <v>33</v>
      </c>
      <c r="F1013" s="3" t="n">
        <v>0.000172</v>
      </c>
      <c r="G1013" s="3" t="n">
        <f aca="false">SUM($F$2:F1013)</f>
        <v>0.826265</v>
      </c>
      <c r="H1013" s="4"/>
      <c r="I1013" s="5"/>
      <c r="J1013" s="4"/>
      <c r="K1013" s="5"/>
      <c r="L1013" s="6"/>
      <c r="M1013" s="5" t="str">
        <f aca="false">IF(AND(N(K1013)&gt;0,N(L1013)&gt;0),K1013/L1013,"")</f>
        <v/>
      </c>
      <c r="N1013" s="2" t="s">
        <v>1226</v>
      </c>
    </row>
    <row r="1014" customFormat="false" ht="15" hidden="false" customHeight="false" outlineLevel="0" collapsed="false">
      <c r="A1014" s="2" t="n">
        <v>1013</v>
      </c>
      <c r="B1014" s="2" t="s">
        <v>2348</v>
      </c>
      <c r="C1014" s="2" t="s">
        <v>2349</v>
      </c>
      <c r="D1014" s="2"/>
      <c r="E1014" s="2" t="s">
        <v>17</v>
      </c>
      <c r="F1014" s="3" t="n">
        <v>0.000172</v>
      </c>
      <c r="G1014" s="3" t="n">
        <f aca="false">SUM($F$2:F1014)</f>
        <v>0.826437</v>
      </c>
      <c r="H1014" s="4"/>
      <c r="I1014" s="5"/>
      <c r="J1014" s="4"/>
      <c r="K1014" s="5"/>
      <c r="L1014" s="6"/>
      <c r="M1014" s="5" t="str">
        <f aca="false">IF(AND(N(K1014)&gt;0,N(L1014)&gt;0),K1014/L1014,"")</f>
        <v/>
      </c>
      <c r="N1014" s="2" t="s">
        <v>1226</v>
      </c>
    </row>
    <row r="1015" customFormat="false" ht="15" hidden="false" customHeight="false" outlineLevel="0" collapsed="false">
      <c r="A1015" s="2" t="n">
        <v>1014</v>
      </c>
      <c r="B1015" s="2" t="s">
        <v>2350</v>
      </c>
      <c r="C1015" s="2" t="s">
        <v>2351</v>
      </c>
      <c r="D1015" s="2"/>
      <c r="E1015" s="2" t="s">
        <v>1345</v>
      </c>
      <c r="F1015" s="3" t="n">
        <v>0.000172</v>
      </c>
      <c r="G1015" s="3" t="n">
        <f aca="false">SUM($F$2:F1015)</f>
        <v>0.826609</v>
      </c>
      <c r="H1015" s="4"/>
      <c r="I1015" s="5"/>
      <c r="J1015" s="4"/>
      <c r="K1015" s="5"/>
      <c r="L1015" s="6"/>
      <c r="M1015" s="5" t="str">
        <f aca="false">IF(AND(N(K1015)&gt;0,N(L1015)&gt;0),K1015/L1015,"")</f>
        <v/>
      </c>
      <c r="N1015" s="2" t="s">
        <v>1226</v>
      </c>
    </row>
    <row r="1016" customFormat="false" ht="15" hidden="false" customHeight="false" outlineLevel="0" collapsed="false">
      <c r="A1016" s="2" t="n">
        <v>1015</v>
      </c>
      <c r="B1016" s="2" t="s">
        <v>2352</v>
      </c>
      <c r="C1016" s="2" t="s">
        <v>2353</v>
      </c>
      <c r="D1016" s="2"/>
      <c r="E1016" s="2" t="s">
        <v>29</v>
      </c>
      <c r="F1016" s="3" t="n">
        <v>0.000171</v>
      </c>
      <c r="G1016" s="3" t="n">
        <f aca="false">SUM($F$2:F1016)</f>
        <v>0.82678</v>
      </c>
      <c r="H1016" s="4"/>
      <c r="I1016" s="5"/>
      <c r="J1016" s="4"/>
      <c r="K1016" s="5"/>
      <c r="L1016" s="6"/>
      <c r="M1016" s="5" t="str">
        <f aca="false">IF(AND(N(K1016)&gt;0,N(L1016)&gt;0),K1016/L1016,"")</f>
        <v/>
      </c>
      <c r="N1016" s="2" t="s">
        <v>1226</v>
      </c>
    </row>
    <row r="1017" customFormat="false" ht="15" hidden="false" customHeight="false" outlineLevel="0" collapsed="false">
      <c r="A1017" s="2" t="n">
        <v>1016</v>
      </c>
      <c r="B1017" s="2" t="s">
        <v>2354</v>
      </c>
      <c r="C1017" s="2" t="s">
        <v>2355</v>
      </c>
      <c r="D1017" s="2"/>
      <c r="E1017" s="2" t="s">
        <v>25</v>
      </c>
      <c r="F1017" s="3" t="n">
        <v>0.000171</v>
      </c>
      <c r="G1017" s="3" t="n">
        <f aca="false">SUM($F$2:F1017)</f>
        <v>0.826951</v>
      </c>
      <c r="H1017" s="4"/>
      <c r="I1017" s="5"/>
      <c r="J1017" s="4"/>
      <c r="K1017" s="5"/>
      <c r="L1017" s="6"/>
      <c r="M1017" s="5" t="str">
        <f aca="false">IF(AND(N(K1017)&gt;0,N(L1017)&gt;0),K1017/L1017,"")</f>
        <v/>
      </c>
      <c r="N1017" s="2" t="s">
        <v>1226</v>
      </c>
    </row>
    <row r="1018" customFormat="false" ht="15" hidden="false" customHeight="false" outlineLevel="0" collapsed="false">
      <c r="A1018" s="2" t="n">
        <v>1017</v>
      </c>
      <c r="B1018" s="2" t="s">
        <v>2356</v>
      </c>
      <c r="C1018" s="2" t="s">
        <v>2357</v>
      </c>
      <c r="D1018" s="2"/>
      <c r="E1018" s="2" t="s">
        <v>860</v>
      </c>
      <c r="F1018" s="3" t="n">
        <v>0.000171</v>
      </c>
      <c r="G1018" s="3" t="n">
        <f aca="false">SUM($F$2:F1018)</f>
        <v>0.827122</v>
      </c>
      <c r="H1018" s="4"/>
      <c r="I1018" s="5"/>
      <c r="J1018" s="4"/>
      <c r="K1018" s="5"/>
      <c r="L1018" s="6"/>
      <c r="M1018" s="5" t="str">
        <f aca="false">IF(AND(N(K1018)&gt;0,N(L1018)&gt;0),K1018/L1018,"")</f>
        <v/>
      </c>
      <c r="N1018" s="2" t="s">
        <v>1226</v>
      </c>
    </row>
    <row r="1019" customFormat="false" ht="15" hidden="false" customHeight="false" outlineLevel="0" collapsed="false">
      <c r="A1019" s="2" t="n">
        <v>1018</v>
      </c>
      <c r="B1019" s="2" t="s">
        <v>2358</v>
      </c>
      <c r="C1019" s="2" t="s">
        <v>2359</v>
      </c>
      <c r="D1019" s="2"/>
      <c r="E1019" s="2" t="s">
        <v>1334</v>
      </c>
      <c r="F1019" s="3" t="n">
        <v>0.000171</v>
      </c>
      <c r="G1019" s="3" t="n">
        <f aca="false">SUM($F$2:F1019)</f>
        <v>0.827293</v>
      </c>
      <c r="H1019" s="4"/>
      <c r="I1019" s="5"/>
      <c r="J1019" s="4"/>
      <c r="K1019" s="5"/>
      <c r="L1019" s="6"/>
      <c r="M1019" s="5" t="str">
        <f aca="false">IF(AND(N(K1019)&gt;0,N(L1019)&gt;0),K1019/L1019,"")</f>
        <v/>
      </c>
      <c r="N1019" s="2" t="s">
        <v>1226</v>
      </c>
    </row>
    <row r="1020" customFormat="false" ht="15" hidden="false" customHeight="false" outlineLevel="0" collapsed="false">
      <c r="A1020" s="2" t="n">
        <v>1019</v>
      </c>
      <c r="B1020" s="2" t="s">
        <v>2360</v>
      </c>
      <c r="C1020" s="2" t="s">
        <v>2361</v>
      </c>
      <c r="D1020" s="2"/>
      <c r="E1020" s="2" t="s">
        <v>52</v>
      </c>
      <c r="F1020" s="3" t="n">
        <v>0.00017</v>
      </c>
      <c r="G1020" s="3" t="n">
        <f aca="false">SUM($F$2:F1020)</f>
        <v>0.827463</v>
      </c>
      <c r="H1020" s="4"/>
      <c r="I1020" s="5"/>
      <c r="J1020" s="4"/>
      <c r="K1020" s="5"/>
      <c r="L1020" s="6"/>
      <c r="M1020" s="5" t="str">
        <f aca="false">IF(AND(N(K1020)&gt;0,N(L1020)&gt;0),K1020/L1020,"")</f>
        <v/>
      </c>
      <c r="N1020" s="2" t="s">
        <v>1226</v>
      </c>
    </row>
    <row r="1021" customFormat="false" ht="15" hidden="false" customHeight="false" outlineLevel="0" collapsed="false">
      <c r="A1021" s="2" t="n">
        <v>1020</v>
      </c>
      <c r="B1021" s="2" t="s">
        <v>2362</v>
      </c>
      <c r="C1021" s="2" t="s">
        <v>2363</v>
      </c>
      <c r="D1021" s="2"/>
      <c r="E1021" s="2" t="s">
        <v>29</v>
      </c>
      <c r="F1021" s="3" t="n">
        <v>0.00017</v>
      </c>
      <c r="G1021" s="3" t="n">
        <f aca="false">SUM($F$2:F1021)</f>
        <v>0.827633</v>
      </c>
      <c r="H1021" s="4"/>
      <c r="I1021" s="5"/>
      <c r="J1021" s="4"/>
      <c r="K1021" s="5"/>
      <c r="L1021" s="6"/>
      <c r="M1021" s="5" t="str">
        <f aca="false">IF(AND(N(K1021)&gt;0,N(L1021)&gt;0),K1021/L1021,"")</f>
        <v/>
      </c>
      <c r="N1021" s="2" t="s">
        <v>1226</v>
      </c>
    </row>
    <row r="1022" customFormat="false" ht="15" hidden="false" customHeight="false" outlineLevel="0" collapsed="false">
      <c r="A1022" s="2" t="n">
        <v>1021</v>
      </c>
      <c r="B1022" s="2" t="s">
        <v>2364</v>
      </c>
      <c r="C1022" s="2" t="s">
        <v>2365</v>
      </c>
      <c r="D1022" s="2"/>
      <c r="E1022" s="2" t="s">
        <v>1019</v>
      </c>
      <c r="F1022" s="3" t="n">
        <v>0.00017</v>
      </c>
      <c r="G1022" s="3" t="n">
        <f aca="false">SUM($F$2:F1022)</f>
        <v>0.827803</v>
      </c>
      <c r="H1022" s="4"/>
      <c r="I1022" s="5"/>
      <c r="J1022" s="4"/>
      <c r="K1022" s="5"/>
      <c r="L1022" s="6"/>
      <c r="M1022" s="5" t="str">
        <f aca="false">IF(AND(N(K1022)&gt;0,N(L1022)&gt;0),K1022/L1022,"")</f>
        <v/>
      </c>
      <c r="N1022" s="2" t="s">
        <v>1226</v>
      </c>
    </row>
    <row r="1023" customFormat="false" ht="15" hidden="false" customHeight="false" outlineLevel="0" collapsed="false">
      <c r="A1023" s="2" t="n">
        <v>1022</v>
      </c>
      <c r="B1023" s="2" t="s">
        <v>2366</v>
      </c>
      <c r="C1023" s="2" t="s">
        <v>2367</v>
      </c>
      <c r="D1023" s="2"/>
      <c r="E1023" s="2" t="s">
        <v>43</v>
      </c>
      <c r="F1023" s="3" t="n">
        <v>0.00017</v>
      </c>
      <c r="G1023" s="3" t="n">
        <f aca="false">SUM($F$2:F1023)</f>
        <v>0.827973</v>
      </c>
      <c r="H1023" s="4"/>
      <c r="I1023" s="5"/>
      <c r="J1023" s="4"/>
      <c r="K1023" s="5"/>
      <c r="L1023" s="6"/>
      <c r="M1023" s="5" t="str">
        <f aca="false">IF(AND(N(K1023)&gt;0,N(L1023)&gt;0),K1023/L1023,"")</f>
        <v/>
      </c>
      <c r="N1023" s="2" t="s">
        <v>1226</v>
      </c>
    </row>
    <row r="1024" customFormat="false" ht="15" hidden="false" customHeight="false" outlineLevel="0" collapsed="false">
      <c r="A1024" s="2" t="n">
        <v>1023</v>
      </c>
      <c r="B1024" s="2" t="s">
        <v>2368</v>
      </c>
      <c r="C1024" s="2" t="s">
        <v>2369</v>
      </c>
      <c r="D1024" s="2"/>
      <c r="E1024" s="2" t="s">
        <v>33</v>
      </c>
      <c r="F1024" s="3" t="n">
        <v>0.000169</v>
      </c>
      <c r="G1024" s="3" t="n">
        <f aca="false">SUM($F$2:F1024)</f>
        <v>0.828142</v>
      </c>
      <c r="H1024" s="4"/>
      <c r="I1024" s="5"/>
      <c r="J1024" s="4"/>
      <c r="K1024" s="5"/>
      <c r="L1024" s="6"/>
      <c r="M1024" s="5" t="str">
        <f aca="false">IF(AND(N(K1024)&gt;0,N(L1024)&gt;0),K1024/L1024,"")</f>
        <v/>
      </c>
      <c r="N1024" s="2" t="s">
        <v>1226</v>
      </c>
    </row>
    <row r="1025" customFormat="false" ht="15" hidden="false" customHeight="false" outlineLevel="0" collapsed="false">
      <c r="A1025" s="2" t="n">
        <v>1024</v>
      </c>
      <c r="B1025" s="2" t="s">
        <v>2370</v>
      </c>
      <c r="C1025" s="2" t="s">
        <v>2371</v>
      </c>
      <c r="D1025" s="2"/>
      <c r="E1025" s="2" t="s">
        <v>25</v>
      </c>
      <c r="F1025" s="3" t="n">
        <v>0.000169</v>
      </c>
      <c r="G1025" s="3" t="n">
        <f aca="false">SUM($F$2:F1025)</f>
        <v>0.828311</v>
      </c>
      <c r="H1025" s="4"/>
      <c r="I1025" s="5"/>
      <c r="J1025" s="4"/>
      <c r="K1025" s="5"/>
      <c r="L1025" s="6"/>
      <c r="M1025" s="5" t="str">
        <f aca="false">IF(AND(N(K1025)&gt;0,N(L1025)&gt;0),K1025/L1025,"")</f>
        <v/>
      </c>
      <c r="N1025" s="2" t="s">
        <v>1226</v>
      </c>
    </row>
    <row r="1026" customFormat="false" ht="15" hidden="false" customHeight="false" outlineLevel="0" collapsed="false">
      <c r="A1026" s="2" t="n">
        <v>1025</v>
      </c>
      <c r="B1026" s="2" t="s">
        <v>2372</v>
      </c>
      <c r="C1026" s="2" t="s">
        <v>2373</v>
      </c>
      <c r="D1026" s="2"/>
      <c r="E1026" s="2" t="s">
        <v>52</v>
      </c>
      <c r="F1026" s="3" t="n">
        <v>0.000169</v>
      </c>
      <c r="G1026" s="3" t="n">
        <f aca="false">SUM($F$2:F1026)</f>
        <v>0.82848</v>
      </c>
      <c r="H1026" s="4"/>
      <c r="I1026" s="5"/>
      <c r="J1026" s="4"/>
      <c r="K1026" s="5"/>
      <c r="L1026" s="6"/>
      <c r="M1026" s="5" t="str">
        <f aca="false">IF(AND(N(K1026)&gt;0,N(L1026)&gt;0),K1026/L1026,"")</f>
        <v/>
      </c>
      <c r="N1026" s="2" t="s">
        <v>1226</v>
      </c>
    </row>
    <row r="1027" customFormat="false" ht="15" hidden="false" customHeight="false" outlineLevel="0" collapsed="false">
      <c r="A1027" s="2" t="n">
        <v>1026</v>
      </c>
      <c r="B1027" s="2" t="s">
        <v>2374</v>
      </c>
      <c r="C1027" s="2" t="s">
        <v>2375</v>
      </c>
      <c r="D1027" s="2"/>
      <c r="E1027" s="2" t="s">
        <v>52</v>
      </c>
      <c r="F1027" s="3" t="n">
        <v>0.000169</v>
      </c>
      <c r="G1027" s="3" t="n">
        <f aca="false">SUM($F$2:F1027)</f>
        <v>0.828649</v>
      </c>
      <c r="H1027" s="4"/>
      <c r="I1027" s="5"/>
      <c r="J1027" s="4"/>
      <c r="K1027" s="5"/>
      <c r="L1027" s="6"/>
      <c r="M1027" s="5" t="str">
        <f aca="false">IF(AND(N(K1027)&gt;0,N(L1027)&gt;0),K1027/L1027,"")</f>
        <v/>
      </c>
      <c r="N1027" s="2" t="s">
        <v>1226</v>
      </c>
    </row>
    <row r="1028" customFormat="false" ht="15" hidden="false" customHeight="false" outlineLevel="0" collapsed="false">
      <c r="A1028" s="2" t="n">
        <v>1027</v>
      </c>
      <c r="B1028" s="2" t="s">
        <v>2376</v>
      </c>
      <c r="C1028" s="2" t="s">
        <v>2377</v>
      </c>
      <c r="D1028" s="2"/>
      <c r="E1028" s="2" t="s">
        <v>826</v>
      </c>
      <c r="F1028" s="3" t="n">
        <v>0.000169</v>
      </c>
      <c r="G1028" s="3" t="n">
        <f aca="false">SUM($F$2:F1028)</f>
        <v>0.828818</v>
      </c>
      <c r="H1028" s="4"/>
      <c r="I1028" s="5"/>
      <c r="J1028" s="4"/>
      <c r="K1028" s="5"/>
      <c r="L1028" s="6"/>
      <c r="M1028" s="5" t="str">
        <f aca="false">IF(AND(N(K1028)&gt;0,N(L1028)&gt;0),K1028/L1028,"")</f>
        <v/>
      </c>
      <c r="N1028" s="2" t="s">
        <v>1226</v>
      </c>
    </row>
    <row r="1029" customFormat="false" ht="15" hidden="false" customHeight="false" outlineLevel="0" collapsed="false">
      <c r="A1029" s="2" t="n">
        <v>1028</v>
      </c>
      <c r="B1029" s="2" t="s">
        <v>2378</v>
      </c>
      <c r="C1029" s="2" t="s">
        <v>2379</v>
      </c>
      <c r="D1029" s="2"/>
      <c r="E1029" s="2" t="s">
        <v>33</v>
      </c>
      <c r="F1029" s="3" t="n">
        <v>0.000169</v>
      </c>
      <c r="G1029" s="3" t="n">
        <f aca="false">SUM($F$2:F1029)</f>
        <v>0.828987</v>
      </c>
      <c r="H1029" s="4"/>
      <c r="I1029" s="5"/>
      <c r="J1029" s="4"/>
      <c r="K1029" s="5"/>
      <c r="L1029" s="6"/>
      <c r="M1029" s="5" t="str">
        <f aca="false">IF(AND(N(K1029)&gt;0,N(L1029)&gt;0),K1029/L1029,"")</f>
        <v/>
      </c>
      <c r="N1029" s="2" t="s">
        <v>1226</v>
      </c>
    </row>
    <row r="1030" customFormat="false" ht="15" hidden="false" customHeight="false" outlineLevel="0" collapsed="false">
      <c r="A1030" s="2" t="n">
        <v>1029</v>
      </c>
      <c r="B1030" s="2" t="s">
        <v>2380</v>
      </c>
      <c r="C1030" s="2" t="s">
        <v>2381</v>
      </c>
      <c r="D1030" s="2"/>
      <c r="E1030" s="2" t="s">
        <v>33</v>
      </c>
      <c r="F1030" s="3" t="n">
        <v>0.000169</v>
      </c>
      <c r="G1030" s="3" t="n">
        <f aca="false">SUM($F$2:F1030)</f>
        <v>0.829156</v>
      </c>
      <c r="H1030" s="4"/>
      <c r="I1030" s="5"/>
      <c r="J1030" s="4"/>
      <c r="K1030" s="5"/>
      <c r="L1030" s="6"/>
      <c r="M1030" s="5" t="str">
        <f aca="false">IF(AND(N(K1030)&gt;0,N(L1030)&gt;0),K1030/L1030,"")</f>
        <v/>
      </c>
      <c r="N1030" s="2" t="s">
        <v>1226</v>
      </c>
    </row>
    <row r="1031" customFormat="false" ht="15" hidden="false" customHeight="false" outlineLevel="0" collapsed="false">
      <c r="A1031" s="2" t="n">
        <v>1030</v>
      </c>
      <c r="B1031" s="2" t="s">
        <v>2382</v>
      </c>
      <c r="C1031" s="2" t="s">
        <v>2383</v>
      </c>
      <c r="D1031" s="2"/>
      <c r="E1031" s="2" t="s">
        <v>52</v>
      </c>
      <c r="F1031" s="3" t="n">
        <v>0.000168</v>
      </c>
      <c r="G1031" s="3" t="n">
        <f aca="false">SUM($F$2:F1031)</f>
        <v>0.829324</v>
      </c>
      <c r="H1031" s="4"/>
      <c r="I1031" s="5"/>
      <c r="J1031" s="4"/>
      <c r="K1031" s="5"/>
      <c r="L1031" s="6"/>
      <c r="M1031" s="5" t="str">
        <f aca="false">IF(AND(N(K1031)&gt;0,N(L1031)&gt;0),K1031/L1031,"")</f>
        <v/>
      </c>
      <c r="N1031" s="2" t="s">
        <v>1226</v>
      </c>
    </row>
    <row r="1032" customFormat="false" ht="15" hidden="false" customHeight="false" outlineLevel="0" collapsed="false">
      <c r="A1032" s="2" t="n">
        <v>1031</v>
      </c>
      <c r="B1032" s="2" t="s">
        <v>2384</v>
      </c>
      <c r="C1032" s="2" t="s">
        <v>2385</v>
      </c>
      <c r="D1032" s="2"/>
      <c r="E1032" s="2" t="s">
        <v>199</v>
      </c>
      <c r="F1032" s="3" t="n">
        <v>0.000168</v>
      </c>
      <c r="G1032" s="3" t="n">
        <f aca="false">SUM($F$2:F1032)</f>
        <v>0.829492</v>
      </c>
      <c r="H1032" s="4"/>
      <c r="I1032" s="5"/>
      <c r="J1032" s="4"/>
      <c r="K1032" s="5"/>
      <c r="L1032" s="6"/>
      <c r="M1032" s="5" t="str">
        <f aca="false">IF(AND(N(K1032)&gt;0,N(L1032)&gt;0),K1032/L1032,"")</f>
        <v/>
      </c>
      <c r="N1032" s="2" t="s">
        <v>1226</v>
      </c>
    </row>
    <row r="1033" customFormat="false" ht="15" hidden="false" customHeight="false" outlineLevel="0" collapsed="false">
      <c r="A1033" s="2" t="n">
        <v>1032</v>
      </c>
      <c r="B1033" s="2" t="s">
        <v>2386</v>
      </c>
      <c r="C1033" s="2" t="s">
        <v>2387</v>
      </c>
      <c r="D1033" s="2"/>
      <c r="E1033" s="2" t="s">
        <v>43</v>
      </c>
      <c r="F1033" s="3" t="n">
        <v>0.000168</v>
      </c>
      <c r="G1033" s="3" t="n">
        <f aca="false">SUM($F$2:F1033)</f>
        <v>0.82966</v>
      </c>
      <c r="H1033" s="4"/>
      <c r="I1033" s="5"/>
      <c r="J1033" s="4"/>
      <c r="K1033" s="5"/>
      <c r="L1033" s="6"/>
      <c r="M1033" s="5" t="str">
        <f aca="false">IF(AND(N(K1033)&gt;0,N(L1033)&gt;0),K1033/L1033,"")</f>
        <v/>
      </c>
      <c r="N1033" s="2" t="s">
        <v>1226</v>
      </c>
    </row>
    <row r="1034" customFormat="false" ht="15" hidden="false" customHeight="false" outlineLevel="0" collapsed="false">
      <c r="A1034" s="2" t="n">
        <v>1033</v>
      </c>
      <c r="B1034" s="2" t="s">
        <v>2388</v>
      </c>
      <c r="C1034" s="2" t="s">
        <v>2389</v>
      </c>
      <c r="D1034" s="2"/>
      <c r="E1034" s="2" t="s">
        <v>289</v>
      </c>
      <c r="F1034" s="3" t="n">
        <v>0.000168</v>
      </c>
      <c r="G1034" s="3" t="n">
        <f aca="false">SUM($F$2:F1034)</f>
        <v>0.829828</v>
      </c>
      <c r="H1034" s="4"/>
      <c r="I1034" s="5"/>
      <c r="J1034" s="4"/>
      <c r="K1034" s="5"/>
      <c r="L1034" s="6"/>
      <c r="M1034" s="5" t="str">
        <f aca="false">IF(AND(N(K1034)&gt;0,N(L1034)&gt;0),K1034/L1034,"")</f>
        <v/>
      </c>
      <c r="N1034" s="2" t="s">
        <v>1226</v>
      </c>
    </row>
    <row r="1035" customFormat="false" ht="15" hidden="false" customHeight="false" outlineLevel="0" collapsed="false">
      <c r="A1035" s="2" t="n">
        <v>1034</v>
      </c>
      <c r="B1035" s="2" t="s">
        <v>2390</v>
      </c>
      <c r="C1035" s="2" t="s">
        <v>2391</v>
      </c>
      <c r="D1035" s="2"/>
      <c r="E1035" s="2" t="s">
        <v>29</v>
      </c>
      <c r="F1035" s="3" t="n">
        <v>0.000168</v>
      </c>
      <c r="G1035" s="3" t="n">
        <f aca="false">SUM($F$2:F1035)</f>
        <v>0.829996</v>
      </c>
      <c r="H1035" s="4"/>
      <c r="I1035" s="5"/>
      <c r="J1035" s="4"/>
      <c r="K1035" s="5"/>
      <c r="L1035" s="6"/>
      <c r="M1035" s="5" t="str">
        <f aca="false">IF(AND(N(K1035)&gt;0,N(L1035)&gt;0),K1035/L1035,"")</f>
        <v/>
      </c>
      <c r="N1035" s="2" t="s">
        <v>1226</v>
      </c>
    </row>
    <row r="1036" customFormat="false" ht="15" hidden="false" customHeight="false" outlineLevel="0" collapsed="false">
      <c r="A1036" s="2" t="n">
        <v>1035</v>
      </c>
      <c r="B1036" s="2" t="s">
        <v>2392</v>
      </c>
      <c r="C1036" s="2" t="s">
        <v>2393</v>
      </c>
      <c r="D1036" s="2"/>
      <c r="E1036" s="2" t="s">
        <v>52</v>
      </c>
      <c r="F1036" s="3" t="n">
        <v>0.000168</v>
      </c>
      <c r="G1036" s="3" t="n">
        <f aca="false">SUM($F$2:F1036)</f>
        <v>0.830164</v>
      </c>
      <c r="H1036" s="4"/>
      <c r="I1036" s="5"/>
      <c r="J1036" s="4"/>
      <c r="K1036" s="5"/>
      <c r="L1036" s="6"/>
      <c r="M1036" s="5" t="str">
        <f aca="false">IF(AND(N(K1036)&gt;0,N(L1036)&gt;0),K1036/L1036,"")</f>
        <v/>
      </c>
      <c r="N1036" s="2" t="s">
        <v>1226</v>
      </c>
    </row>
    <row r="1037" customFormat="false" ht="15" hidden="false" customHeight="false" outlineLevel="0" collapsed="false">
      <c r="A1037" s="2" t="n">
        <v>1036</v>
      </c>
      <c r="B1037" s="2" t="s">
        <v>2394</v>
      </c>
      <c r="C1037" s="2" t="s">
        <v>2395</v>
      </c>
      <c r="D1037" s="2"/>
      <c r="E1037" s="2" t="s">
        <v>334</v>
      </c>
      <c r="F1037" s="3" t="n">
        <v>0.000167</v>
      </c>
      <c r="G1037" s="3" t="n">
        <f aca="false">SUM($F$2:F1037)</f>
        <v>0.830331</v>
      </c>
      <c r="H1037" s="4"/>
      <c r="I1037" s="5"/>
      <c r="J1037" s="4"/>
      <c r="K1037" s="5"/>
      <c r="L1037" s="6"/>
      <c r="M1037" s="5" t="str">
        <f aca="false">IF(AND(N(K1037)&gt;0,N(L1037)&gt;0),K1037/L1037,"")</f>
        <v/>
      </c>
      <c r="N1037" s="2" t="s">
        <v>1226</v>
      </c>
    </row>
    <row r="1038" customFormat="false" ht="15" hidden="false" customHeight="false" outlineLevel="0" collapsed="false">
      <c r="A1038" s="2" t="n">
        <v>1037</v>
      </c>
      <c r="B1038" s="2" t="s">
        <v>2396</v>
      </c>
      <c r="C1038" s="2" t="s">
        <v>2397</v>
      </c>
      <c r="D1038" s="2"/>
      <c r="E1038" s="2" t="s">
        <v>33</v>
      </c>
      <c r="F1038" s="3" t="n">
        <v>0.000167</v>
      </c>
      <c r="G1038" s="3" t="n">
        <f aca="false">SUM($F$2:F1038)</f>
        <v>0.830498</v>
      </c>
      <c r="H1038" s="4"/>
      <c r="I1038" s="5"/>
      <c r="J1038" s="4"/>
      <c r="K1038" s="5"/>
      <c r="L1038" s="6"/>
      <c r="M1038" s="5" t="str">
        <f aca="false">IF(AND(N(K1038)&gt;0,N(L1038)&gt;0),K1038/L1038,"")</f>
        <v/>
      </c>
      <c r="N1038" s="2" t="s">
        <v>1226</v>
      </c>
    </row>
    <row r="1039" customFormat="false" ht="15" hidden="false" customHeight="false" outlineLevel="0" collapsed="false">
      <c r="A1039" s="2" t="n">
        <v>1038</v>
      </c>
      <c r="B1039" s="2" t="s">
        <v>2398</v>
      </c>
      <c r="C1039" s="2" t="s">
        <v>2399</v>
      </c>
      <c r="D1039" s="2"/>
      <c r="E1039" s="2" t="s">
        <v>826</v>
      </c>
      <c r="F1039" s="3" t="n">
        <v>0.000167</v>
      </c>
      <c r="G1039" s="3" t="n">
        <f aca="false">SUM($F$2:F1039)</f>
        <v>0.830665</v>
      </c>
      <c r="H1039" s="4"/>
      <c r="I1039" s="5"/>
      <c r="J1039" s="4"/>
      <c r="K1039" s="5"/>
      <c r="L1039" s="6"/>
      <c r="M1039" s="5" t="str">
        <f aca="false">IF(AND(N(K1039)&gt;0,N(L1039)&gt;0),K1039/L1039,"")</f>
        <v/>
      </c>
      <c r="N1039" s="2" t="s">
        <v>1226</v>
      </c>
    </row>
    <row r="1040" customFormat="false" ht="15" hidden="false" customHeight="false" outlineLevel="0" collapsed="false">
      <c r="A1040" s="2" t="n">
        <v>1039</v>
      </c>
      <c r="B1040" s="2" t="s">
        <v>2400</v>
      </c>
      <c r="C1040" s="2" t="s">
        <v>2401</v>
      </c>
      <c r="D1040" s="2"/>
      <c r="E1040" s="2" t="s">
        <v>21</v>
      </c>
      <c r="F1040" s="3" t="n">
        <v>0.000167</v>
      </c>
      <c r="G1040" s="3" t="n">
        <f aca="false">SUM($F$2:F1040)</f>
        <v>0.830832</v>
      </c>
      <c r="H1040" s="4"/>
      <c r="I1040" s="5"/>
      <c r="J1040" s="4"/>
      <c r="K1040" s="5"/>
      <c r="L1040" s="6"/>
      <c r="M1040" s="5" t="str">
        <f aca="false">IF(AND(N(K1040)&gt;0,N(L1040)&gt;0),K1040/L1040,"")</f>
        <v/>
      </c>
      <c r="N1040" s="2" t="s">
        <v>1226</v>
      </c>
    </row>
    <row r="1041" customFormat="false" ht="15" hidden="false" customHeight="false" outlineLevel="0" collapsed="false">
      <c r="A1041" s="2" t="n">
        <v>1040</v>
      </c>
      <c r="B1041" s="2" t="s">
        <v>2402</v>
      </c>
      <c r="C1041" s="2" t="s">
        <v>2403</v>
      </c>
      <c r="D1041" s="2"/>
      <c r="E1041" s="2" t="s">
        <v>52</v>
      </c>
      <c r="F1041" s="3" t="n">
        <v>0.000167</v>
      </c>
      <c r="G1041" s="3" t="n">
        <f aca="false">SUM($F$2:F1041)</f>
        <v>0.830999</v>
      </c>
      <c r="H1041" s="4"/>
      <c r="I1041" s="5"/>
      <c r="J1041" s="4"/>
      <c r="K1041" s="5"/>
      <c r="L1041" s="6"/>
      <c r="M1041" s="5" t="str">
        <f aca="false">IF(AND(N(K1041)&gt;0,N(L1041)&gt;0),K1041/L1041,"")</f>
        <v/>
      </c>
      <c r="N1041" s="2" t="s">
        <v>1226</v>
      </c>
    </row>
    <row r="1042" customFormat="false" ht="15" hidden="false" customHeight="false" outlineLevel="0" collapsed="false">
      <c r="A1042" s="2" t="n">
        <v>1041</v>
      </c>
      <c r="B1042" s="2" t="s">
        <v>2404</v>
      </c>
      <c r="C1042" s="2" t="s">
        <v>2405</v>
      </c>
      <c r="D1042" s="2"/>
      <c r="E1042" s="2" t="s">
        <v>17</v>
      </c>
      <c r="F1042" s="3" t="n">
        <v>0.000167</v>
      </c>
      <c r="G1042" s="3" t="n">
        <f aca="false">SUM($F$2:F1042)</f>
        <v>0.831166</v>
      </c>
      <c r="H1042" s="4"/>
      <c r="I1042" s="5"/>
      <c r="J1042" s="4"/>
      <c r="K1042" s="5"/>
      <c r="L1042" s="6"/>
      <c r="M1042" s="5" t="str">
        <f aca="false">IF(AND(N(K1042)&gt;0,N(L1042)&gt;0),K1042/L1042,"")</f>
        <v/>
      </c>
      <c r="N1042" s="2" t="s">
        <v>1226</v>
      </c>
    </row>
    <row r="1043" customFormat="false" ht="15" hidden="false" customHeight="false" outlineLevel="0" collapsed="false">
      <c r="A1043" s="2" t="n">
        <v>1042</v>
      </c>
      <c r="B1043" s="2" t="s">
        <v>2406</v>
      </c>
      <c r="C1043" s="2" t="s">
        <v>2407</v>
      </c>
      <c r="D1043" s="2"/>
      <c r="E1043" s="2" t="s">
        <v>173</v>
      </c>
      <c r="F1043" s="3" t="n">
        <v>0.000167</v>
      </c>
      <c r="G1043" s="3" t="n">
        <f aca="false">SUM($F$2:F1043)</f>
        <v>0.831333</v>
      </c>
      <c r="H1043" s="4"/>
      <c r="I1043" s="5"/>
      <c r="J1043" s="4"/>
      <c r="K1043" s="5"/>
      <c r="L1043" s="6"/>
      <c r="M1043" s="5" t="str">
        <f aca="false">IF(AND(N(K1043)&gt;0,N(L1043)&gt;0),K1043/L1043,"")</f>
        <v/>
      </c>
      <c r="N1043" s="2" t="s">
        <v>1226</v>
      </c>
    </row>
    <row r="1044" customFormat="false" ht="15" hidden="false" customHeight="false" outlineLevel="0" collapsed="false">
      <c r="A1044" s="2" t="n">
        <v>1043</v>
      </c>
      <c r="B1044" s="2" t="s">
        <v>2408</v>
      </c>
      <c r="C1044" s="2" t="s">
        <v>2409</v>
      </c>
      <c r="D1044" s="2"/>
      <c r="E1044" s="2" t="s">
        <v>33</v>
      </c>
      <c r="F1044" s="3" t="n">
        <v>0.000166</v>
      </c>
      <c r="G1044" s="3" t="n">
        <f aca="false">SUM($F$2:F1044)</f>
        <v>0.831499</v>
      </c>
      <c r="H1044" s="4"/>
      <c r="I1044" s="5"/>
      <c r="J1044" s="4"/>
      <c r="K1044" s="5"/>
      <c r="L1044" s="6"/>
      <c r="M1044" s="5" t="str">
        <f aca="false">IF(AND(N(K1044)&gt;0,N(L1044)&gt;0),K1044/L1044,"")</f>
        <v/>
      </c>
      <c r="N1044" s="2" t="s">
        <v>1226</v>
      </c>
    </row>
    <row r="1045" customFormat="false" ht="15" hidden="false" customHeight="false" outlineLevel="0" collapsed="false">
      <c r="A1045" s="2" t="n">
        <v>1044</v>
      </c>
      <c r="B1045" s="2" t="s">
        <v>2410</v>
      </c>
      <c r="C1045" s="2" t="s">
        <v>2411</v>
      </c>
      <c r="D1045" s="2"/>
      <c r="E1045" s="2" t="s">
        <v>48</v>
      </c>
      <c r="F1045" s="3" t="n">
        <v>0.000166</v>
      </c>
      <c r="G1045" s="3" t="n">
        <f aca="false">SUM($F$2:F1045)</f>
        <v>0.831665</v>
      </c>
      <c r="H1045" s="4"/>
      <c r="I1045" s="5"/>
      <c r="J1045" s="4"/>
      <c r="K1045" s="5"/>
      <c r="L1045" s="6"/>
      <c r="M1045" s="5" t="str">
        <f aca="false">IF(AND(N(K1045)&gt;0,N(L1045)&gt;0),K1045/L1045,"")</f>
        <v/>
      </c>
      <c r="N1045" s="2" t="s">
        <v>1226</v>
      </c>
    </row>
    <row r="1046" customFormat="false" ht="15" hidden="false" customHeight="false" outlineLevel="0" collapsed="false">
      <c r="A1046" s="2" t="n">
        <v>1045</v>
      </c>
      <c r="B1046" s="2" t="s">
        <v>2412</v>
      </c>
      <c r="C1046" s="2" t="s">
        <v>2413</v>
      </c>
      <c r="D1046" s="2"/>
      <c r="E1046" s="2" t="s">
        <v>52</v>
      </c>
      <c r="F1046" s="3" t="n">
        <v>0.000166</v>
      </c>
      <c r="G1046" s="3" t="n">
        <f aca="false">SUM($F$2:F1046)</f>
        <v>0.831831</v>
      </c>
      <c r="H1046" s="4"/>
      <c r="I1046" s="5"/>
      <c r="J1046" s="4"/>
      <c r="K1046" s="5"/>
      <c r="L1046" s="6"/>
      <c r="M1046" s="5" t="str">
        <f aca="false">IF(AND(N(K1046)&gt;0,N(L1046)&gt;0),K1046/L1046,"")</f>
        <v/>
      </c>
      <c r="N1046" s="2" t="s">
        <v>1226</v>
      </c>
    </row>
    <row r="1047" customFormat="false" ht="15" hidden="false" customHeight="false" outlineLevel="0" collapsed="false">
      <c r="A1047" s="2" t="n">
        <v>1046</v>
      </c>
      <c r="B1047" s="2" t="s">
        <v>2414</v>
      </c>
      <c r="C1047" s="2" t="s">
        <v>2415</v>
      </c>
      <c r="D1047" s="2"/>
      <c r="E1047" s="2" t="s">
        <v>334</v>
      </c>
      <c r="F1047" s="3" t="n">
        <v>0.000166</v>
      </c>
      <c r="G1047" s="3" t="n">
        <f aca="false">SUM($F$2:F1047)</f>
        <v>0.831997</v>
      </c>
      <c r="H1047" s="4"/>
      <c r="I1047" s="5"/>
      <c r="J1047" s="4"/>
      <c r="K1047" s="5"/>
      <c r="L1047" s="6"/>
      <c r="M1047" s="5" t="str">
        <f aca="false">IF(AND(N(K1047)&gt;0,N(L1047)&gt;0),K1047/L1047,"")</f>
        <v/>
      </c>
      <c r="N1047" s="2" t="s">
        <v>1226</v>
      </c>
    </row>
    <row r="1048" customFormat="false" ht="15" hidden="false" customHeight="false" outlineLevel="0" collapsed="false">
      <c r="A1048" s="2" t="n">
        <v>1047</v>
      </c>
      <c r="B1048" s="2" t="s">
        <v>2416</v>
      </c>
      <c r="C1048" s="2" t="s">
        <v>2417</v>
      </c>
      <c r="D1048" s="2"/>
      <c r="E1048" s="2" t="s">
        <v>29</v>
      </c>
      <c r="F1048" s="3" t="n">
        <v>0.000165</v>
      </c>
      <c r="G1048" s="3" t="n">
        <f aca="false">SUM($F$2:F1048)</f>
        <v>0.832162</v>
      </c>
      <c r="H1048" s="4"/>
      <c r="I1048" s="5"/>
      <c r="J1048" s="4"/>
      <c r="K1048" s="5"/>
      <c r="L1048" s="6"/>
      <c r="M1048" s="5" t="str">
        <f aca="false">IF(AND(N(K1048)&gt;0,N(L1048)&gt;0),K1048/L1048,"")</f>
        <v/>
      </c>
      <c r="N1048" s="2" t="s">
        <v>1226</v>
      </c>
    </row>
    <row r="1049" customFormat="false" ht="15" hidden="false" customHeight="false" outlineLevel="0" collapsed="false">
      <c r="A1049" s="2" t="n">
        <v>1048</v>
      </c>
      <c r="B1049" s="2" t="s">
        <v>2418</v>
      </c>
      <c r="C1049" s="2" t="s">
        <v>2419</v>
      </c>
      <c r="D1049" s="2"/>
      <c r="E1049" s="2" t="s">
        <v>17</v>
      </c>
      <c r="F1049" s="3" t="n">
        <v>0.000165</v>
      </c>
      <c r="G1049" s="3" t="n">
        <f aca="false">SUM($F$2:F1049)</f>
        <v>0.832327</v>
      </c>
      <c r="H1049" s="4"/>
      <c r="I1049" s="5"/>
      <c r="J1049" s="4"/>
      <c r="K1049" s="5"/>
      <c r="L1049" s="6"/>
      <c r="M1049" s="5" t="str">
        <f aca="false">IF(AND(N(K1049)&gt;0,N(L1049)&gt;0),K1049/L1049,"")</f>
        <v/>
      </c>
      <c r="N1049" s="2" t="s">
        <v>1226</v>
      </c>
    </row>
    <row r="1050" customFormat="false" ht="15" hidden="false" customHeight="false" outlineLevel="0" collapsed="false">
      <c r="A1050" s="2" t="n">
        <v>1049</v>
      </c>
      <c r="B1050" s="2" t="s">
        <v>2420</v>
      </c>
      <c r="C1050" s="2" t="s">
        <v>2421</v>
      </c>
      <c r="D1050" s="2"/>
      <c r="E1050" s="2" t="s">
        <v>1345</v>
      </c>
      <c r="F1050" s="3" t="n">
        <v>0.000164</v>
      </c>
      <c r="G1050" s="3" t="n">
        <f aca="false">SUM($F$2:F1050)</f>
        <v>0.832491</v>
      </c>
      <c r="H1050" s="4"/>
      <c r="I1050" s="5"/>
      <c r="J1050" s="4"/>
      <c r="K1050" s="5"/>
      <c r="L1050" s="6"/>
      <c r="M1050" s="5" t="str">
        <f aca="false">IF(AND(N(K1050)&gt;0,N(L1050)&gt;0),K1050/L1050,"")</f>
        <v/>
      </c>
      <c r="N1050" s="2" t="s">
        <v>1226</v>
      </c>
    </row>
    <row r="1051" customFormat="false" ht="15" hidden="false" customHeight="false" outlineLevel="0" collapsed="false">
      <c r="A1051" s="2" t="n">
        <v>1050</v>
      </c>
      <c r="B1051" s="2" t="s">
        <v>2422</v>
      </c>
      <c r="C1051" s="2" t="s">
        <v>2423</v>
      </c>
      <c r="D1051" s="2"/>
      <c r="E1051" s="2" t="s">
        <v>167</v>
      </c>
      <c r="F1051" s="3" t="n">
        <v>0.000164</v>
      </c>
      <c r="G1051" s="3" t="n">
        <f aca="false">SUM($F$2:F1051)</f>
        <v>0.832655</v>
      </c>
      <c r="H1051" s="4"/>
      <c r="I1051" s="5"/>
      <c r="J1051" s="4"/>
      <c r="K1051" s="5"/>
      <c r="L1051" s="6"/>
      <c r="M1051" s="5" t="str">
        <f aca="false">IF(AND(N(K1051)&gt;0,N(L1051)&gt;0),K1051/L1051,"")</f>
        <v/>
      </c>
      <c r="N1051" s="2" t="s">
        <v>1226</v>
      </c>
    </row>
    <row r="1052" customFormat="false" ht="15" hidden="false" customHeight="false" outlineLevel="0" collapsed="false">
      <c r="A1052" s="2" t="n">
        <v>1051</v>
      </c>
      <c r="B1052" s="2" t="s">
        <v>2424</v>
      </c>
      <c r="C1052" s="2" t="s">
        <v>2425</v>
      </c>
      <c r="D1052" s="2"/>
      <c r="E1052" s="2" t="s">
        <v>1215</v>
      </c>
      <c r="F1052" s="3" t="n">
        <v>0.000164</v>
      </c>
      <c r="G1052" s="3" t="n">
        <f aca="false">SUM($F$2:F1052)</f>
        <v>0.832819</v>
      </c>
      <c r="H1052" s="4"/>
      <c r="I1052" s="5"/>
      <c r="J1052" s="4"/>
      <c r="K1052" s="5"/>
      <c r="L1052" s="6"/>
      <c r="M1052" s="5" t="str">
        <f aca="false">IF(AND(N(K1052)&gt;0,N(L1052)&gt;0),K1052/L1052,"")</f>
        <v/>
      </c>
      <c r="N1052" s="2" t="s">
        <v>1226</v>
      </c>
    </row>
    <row r="1053" customFormat="false" ht="15" hidden="false" customHeight="false" outlineLevel="0" collapsed="false">
      <c r="A1053" s="2" t="n">
        <v>1052</v>
      </c>
      <c r="B1053" s="2" t="s">
        <v>2426</v>
      </c>
      <c r="C1053" s="2" t="s">
        <v>2427</v>
      </c>
      <c r="D1053" s="2"/>
      <c r="E1053" s="2" t="s">
        <v>33</v>
      </c>
      <c r="F1053" s="3" t="n">
        <v>0.000164</v>
      </c>
      <c r="G1053" s="3" t="n">
        <f aca="false">SUM($F$2:F1053)</f>
        <v>0.832983</v>
      </c>
      <c r="H1053" s="4"/>
      <c r="I1053" s="5"/>
      <c r="J1053" s="4"/>
      <c r="K1053" s="5"/>
      <c r="L1053" s="6"/>
      <c r="M1053" s="5" t="str">
        <f aca="false">IF(AND(N(K1053)&gt;0,N(L1053)&gt;0),K1053/L1053,"")</f>
        <v/>
      </c>
      <c r="N1053" s="2" t="s">
        <v>1226</v>
      </c>
    </row>
    <row r="1054" customFormat="false" ht="15" hidden="false" customHeight="false" outlineLevel="0" collapsed="false">
      <c r="A1054" s="2" t="n">
        <v>1053</v>
      </c>
      <c r="B1054" s="2" t="s">
        <v>2428</v>
      </c>
      <c r="C1054" s="2" t="s">
        <v>2429</v>
      </c>
      <c r="D1054" s="2"/>
      <c r="E1054" s="2" t="s">
        <v>43</v>
      </c>
      <c r="F1054" s="3" t="n">
        <v>0.000164</v>
      </c>
      <c r="G1054" s="3" t="n">
        <f aca="false">SUM($F$2:F1054)</f>
        <v>0.833147</v>
      </c>
      <c r="H1054" s="4"/>
      <c r="I1054" s="5"/>
      <c r="J1054" s="4"/>
      <c r="K1054" s="5"/>
      <c r="L1054" s="6"/>
      <c r="M1054" s="5" t="str">
        <f aca="false">IF(AND(N(K1054)&gt;0,N(L1054)&gt;0),K1054/L1054,"")</f>
        <v/>
      </c>
      <c r="N1054" s="2" t="s">
        <v>1226</v>
      </c>
    </row>
    <row r="1055" customFormat="false" ht="15" hidden="false" customHeight="false" outlineLevel="0" collapsed="false">
      <c r="A1055" s="2" t="n">
        <v>1054</v>
      </c>
      <c r="B1055" s="2" t="s">
        <v>2430</v>
      </c>
      <c r="C1055" s="2" t="s">
        <v>2431</v>
      </c>
      <c r="D1055" s="2"/>
      <c r="E1055" s="2" t="s">
        <v>52</v>
      </c>
      <c r="F1055" s="3" t="n">
        <v>0.000164</v>
      </c>
      <c r="G1055" s="3" t="n">
        <f aca="false">SUM($F$2:F1055)</f>
        <v>0.833311</v>
      </c>
      <c r="H1055" s="4"/>
      <c r="I1055" s="5"/>
      <c r="J1055" s="4"/>
      <c r="K1055" s="5"/>
      <c r="L1055" s="6"/>
      <c r="M1055" s="5" t="str">
        <f aca="false">IF(AND(N(K1055)&gt;0,N(L1055)&gt;0),K1055/L1055,"")</f>
        <v/>
      </c>
      <c r="N1055" s="2" t="s">
        <v>1226</v>
      </c>
    </row>
    <row r="1056" customFormat="false" ht="15" hidden="false" customHeight="false" outlineLevel="0" collapsed="false">
      <c r="A1056" s="2" t="n">
        <v>1055</v>
      </c>
      <c r="B1056" s="2" t="s">
        <v>2432</v>
      </c>
      <c r="C1056" s="2" t="s">
        <v>2433</v>
      </c>
      <c r="D1056" s="2"/>
      <c r="E1056" s="2" t="s">
        <v>289</v>
      </c>
      <c r="F1056" s="3" t="n">
        <v>0.000164</v>
      </c>
      <c r="G1056" s="3" t="n">
        <f aca="false">SUM($F$2:F1056)</f>
        <v>0.833475</v>
      </c>
      <c r="H1056" s="4"/>
      <c r="I1056" s="5"/>
      <c r="J1056" s="4"/>
      <c r="K1056" s="5"/>
      <c r="L1056" s="6"/>
      <c r="M1056" s="5" t="str">
        <f aca="false">IF(AND(N(K1056)&gt;0,N(L1056)&gt;0),K1056/L1056,"")</f>
        <v/>
      </c>
      <c r="N1056" s="2" t="s">
        <v>1226</v>
      </c>
    </row>
    <row r="1057" customFormat="false" ht="15" hidden="false" customHeight="false" outlineLevel="0" collapsed="false">
      <c r="A1057" s="2" t="n">
        <v>1056</v>
      </c>
      <c r="B1057" s="2" t="s">
        <v>2434</v>
      </c>
      <c r="C1057" s="2" t="s">
        <v>2435</v>
      </c>
      <c r="D1057" s="2"/>
      <c r="E1057" s="2" t="s">
        <v>33</v>
      </c>
      <c r="F1057" s="3" t="n">
        <v>0.000164</v>
      </c>
      <c r="G1057" s="3" t="n">
        <f aca="false">SUM($F$2:F1057)</f>
        <v>0.833639</v>
      </c>
      <c r="H1057" s="4"/>
      <c r="I1057" s="5"/>
      <c r="J1057" s="4"/>
      <c r="K1057" s="5"/>
      <c r="L1057" s="6"/>
      <c r="M1057" s="5" t="str">
        <f aca="false">IF(AND(N(K1057)&gt;0,N(L1057)&gt;0),K1057/L1057,"")</f>
        <v/>
      </c>
      <c r="N1057" s="2" t="s">
        <v>1226</v>
      </c>
    </row>
    <row r="1058" customFormat="false" ht="15" hidden="false" customHeight="false" outlineLevel="0" collapsed="false">
      <c r="A1058" s="2" t="n">
        <v>1057</v>
      </c>
      <c r="B1058" s="2" t="s">
        <v>2436</v>
      </c>
      <c r="C1058" s="2" t="s">
        <v>2437</v>
      </c>
      <c r="D1058" s="2"/>
      <c r="E1058" s="2" t="s">
        <v>82</v>
      </c>
      <c r="F1058" s="3" t="n">
        <v>0.000164</v>
      </c>
      <c r="G1058" s="3" t="n">
        <f aca="false">SUM($F$2:F1058)</f>
        <v>0.833803</v>
      </c>
      <c r="H1058" s="4"/>
      <c r="I1058" s="5"/>
      <c r="J1058" s="4"/>
      <c r="K1058" s="5"/>
      <c r="L1058" s="6"/>
      <c r="M1058" s="5" t="str">
        <f aca="false">IF(AND(N(K1058)&gt;0,N(L1058)&gt;0),K1058/L1058,"")</f>
        <v/>
      </c>
      <c r="N1058" s="2" t="s">
        <v>1226</v>
      </c>
    </row>
    <row r="1059" customFormat="false" ht="15" hidden="false" customHeight="false" outlineLevel="0" collapsed="false">
      <c r="A1059" s="2" t="n">
        <v>1058</v>
      </c>
      <c r="B1059" s="2" t="s">
        <v>2438</v>
      </c>
      <c r="C1059" s="2" t="s">
        <v>2439</v>
      </c>
      <c r="D1059" s="2"/>
      <c r="E1059" s="2" t="s">
        <v>289</v>
      </c>
      <c r="F1059" s="3" t="n">
        <v>0.000163</v>
      </c>
      <c r="G1059" s="3" t="n">
        <f aca="false">SUM($F$2:F1059)</f>
        <v>0.833966</v>
      </c>
      <c r="H1059" s="4"/>
      <c r="I1059" s="5"/>
      <c r="J1059" s="4"/>
      <c r="K1059" s="5"/>
      <c r="L1059" s="6"/>
      <c r="M1059" s="5" t="str">
        <f aca="false">IF(AND(N(K1059)&gt;0,N(L1059)&gt;0),K1059/L1059,"")</f>
        <v/>
      </c>
      <c r="N1059" s="2" t="s">
        <v>1226</v>
      </c>
    </row>
    <row r="1060" customFormat="false" ht="15" hidden="false" customHeight="false" outlineLevel="0" collapsed="false">
      <c r="A1060" s="2" t="n">
        <v>1059</v>
      </c>
      <c r="B1060" s="2" t="s">
        <v>1491</v>
      </c>
      <c r="C1060" s="2" t="s">
        <v>2440</v>
      </c>
      <c r="D1060" s="2"/>
      <c r="E1060" s="2" t="s">
        <v>765</v>
      </c>
      <c r="F1060" s="3" t="n">
        <v>0.000163</v>
      </c>
      <c r="G1060" s="3" t="n">
        <f aca="false">SUM($F$2:F1060)</f>
        <v>0.834129</v>
      </c>
      <c r="H1060" s="4"/>
      <c r="I1060" s="5"/>
      <c r="J1060" s="4"/>
      <c r="K1060" s="5"/>
      <c r="L1060" s="6"/>
      <c r="M1060" s="5" t="str">
        <f aca="false">IF(AND(N(K1060)&gt;0,N(L1060)&gt;0),K1060/L1060,"")</f>
        <v/>
      </c>
      <c r="N1060" s="2" t="s">
        <v>1226</v>
      </c>
    </row>
    <row r="1061" customFormat="false" ht="15" hidden="false" customHeight="false" outlineLevel="0" collapsed="false">
      <c r="A1061" s="2" t="n">
        <v>1060</v>
      </c>
      <c r="B1061" s="2" t="s">
        <v>2441</v>
      </c>
      <c r="C1061" s="2" t="s">
        <v>2442</v>
      </c>
      <c r="D1061" s="2"/>
      <c r="E1061" s="2" t="s">
        <v>43</v>
      </c>
      <c r="F1061" s="3" t="n">
        <v>0.000163</v>
      </c>
      <c r="G1061" s="3" t="n">
        <f aca="false">SUM($F$2:F1061)</f>
        <v>0.834292</v>
      </c>
      <c r="H1061" s="4"/>
      <c r="I1061" s="5"/>
      <c r="J1061" s="4"/>
      <c r="K1061" s="5"/>
      <c r="L1061" s="6"/>
      <c r="M1061" s="5" t="str">
        <f aca="false">IF(AND(N(K1061)&gt;0,N(L1061)&gt;0),K1061/L1061,"")</f>
        <v/>
      </c>
      <c r="N1061" s="2" t="s">
        <v>1226</v>
      </c>
    </row>
    <row r="1062" customFormat="false" ht="15" hidden="false" customHeight="false" outlineLevel="0" collapsed="false">
      <c r="A1062" s="2" t="n">
        <v>1061</v>
      </c>
      <c r="B1062" s="2" t="s">
        <v>2443</v>
      </c>
      <c r="C1062" s="2" t="s">
        <v>2444</v>
      </c>
      <c r="D1062" s="2"/>
      <c r="E1062" s="2" t="s">
        <v>289</v>
      </c>
      <c r="F1062" s="3" t="n">
        <v>0.000163</v>
      </c>
      <c r="G1062" s="3" t="n">
        <f aca="false">SUM($F$2:F1062)</f>
        <v>0.834455</v>
      </c>
      <c r="H1062" s="4"/>
      <c r="I1062" s="5"/>
      <c r="J1062" s="4"/>
      <c r="K1062" s="5"/>
      <c r="L1062" s="6"/>
      <c r="M1062" s="5" t="str">
        <f aca="false">IF(AND(N(K1062)&gt;0,N(L1062)&gt;0),K1062/L1062,"")</f>
        <v/>
      </c>
      <c r="N1062" s="2" t="s">
        <v>1226</v>
      </c>
    </row>
    <row r="1063" customFormat="false" ht="15" hidden="false" customHeight="false" outlineLevel="0" collapsed="false">
      <c r="A1063" s="2" t="n">
        <v>1062</v>
      </c>
      <c r="B1063" s="2" t="s">
        <v>2445</v>
      </c>
      <c r="C1063" s="2" t="s">
        <v>2446</v>
      </c>
      <c r="D1063" s="2"/>
      <c r="E1063" s="2" t="s">
        <v>48</v>
      </c>
      <c r="F1063" s="3" t="n">
        <v>0.000163</v>
      </c>
      <c r="G1063" s="3" t="n">
        <f aca="false">SUM($F$2:F1063)</f>
        <v>0.834618</v>
      </c>
      <c r="H1063" s="4"/>
      <c r="I1063" s="5"/>
      <c r="J1063" s="4"/>
      <c r="K1063" s="5"/>
      <c r="L1063" s="6"/>
      <c r="M1063" s="5" t="str">
        <f aca="false">IF(AND(N(K1063)&gt;0,N(L1063)&gt;0),K1063/L1063,"")</f>
        <v/>
      </c>
      <c r="N1063" s="2" t="s">
        <v>1226</v>
      </c>
    </row>
    <row r="1064" customFormat="false" ht="15" hidden="false" customHeight="false" outlineLevel="0" collapsed="false">
      <c r="A1064" s="2" t="n">
        <v>1063</v>
      </c>
      <c r="B1064" s="2" t="s">
        <v>2447</v>
      </c>
      <c r="C1064" s="2" t="s">
        <v>2448</v>
      </c>
      <c r="D1064" s="2"/>
      <c r="E1064" s="2" t="s">
        <v>1245</v>
      </c>
      <c r="F1064" s="3" t="n">
        <v>0.000162</v>
      </c>
      <c r="G1064" s="3" t="n">
        <f aca="false">SUM($F$2:F1064)</f>
        <v>0.83478</v>
      </c>
      <c r="H1064" s="4"/>
      <c r="I1064" s="5"/>
      <c r="J1064" s="4"/>
      <c r="K1064" s="5"/>
      <c r="L1064" s="6"/>
      <c r="M1064" s="5" t="str">
        <f aca="false">IF(AND(N(K1064)&gt;0,N(L1064)&gt;0),K1064/L1064,"")</f>
        <v/>
      </c>
      <c r="N1064" s="2" t="s">
        <v>1226</v>
      </c>
    </row>
    <row r="1065" customFormat="false" ht="15" hidden="false" customHeight="false" outlineLevel="0" collapsed="false">
      <c r="A1065" s="2" t="n">
        <v>1064</v>
      </c>
      <c r="B1065" s="2" t="s">
        <v>2449</v>
      </c>
      <c r="C1065" s="2" t="s">
        <v>2450</v>
      </c>
      <c r="D1065" s="2"/>
      <c r="E1065" s="2" t="s">
        <v>296</v>
      </c>
      <c r="F1065" s="3" t="n">
        <v>0.000162</v>
      </c>
      <c r="G1065" s="3" t="n">
        <f aca="false">SUM($F$2:F1065)</f>
        <v>0.834942</v>
      </c>
      <c r="H1065" s="4"/>
      <c r="I1065" s="5"/>
      <c r="J1065" s="4"/>
      <c r="K1065" s="5"/>
      <c r="L1065" s="6"/>
      <c r="M1065" s="5" t="str">
        <f aca="false">IF(AND(N(K1065)&gt;0,N(L1065)&gt;0),K1065/L1065,"")</f>
        <v/>
      </c>
      <c r="N1065" s="2" t="s">
        <v>1226</v>
      </c>
    </row>
    <row r="1066" customFormat="false" ht="15" hidden="false" customHeight="false" outlineLevel="0" collapsed="false">
      <c r="A1066" s="2" t="n">
        <v>1065</v>
      </c>
      <c r="B1066" s="2" t="s">
        <v>87</v>
      </c>
      <c r="C1066" s="2" t="s">
        <v>2451</v>
      </c>
      <c r="D1066" s="2"/>
      <c r="E1066" s="2" t="s">
        <v>48</v>
      </c>
      <c r="F1066" s="3" t="n">
        <v>0.000162</v>
      </c>
      <c r="G1066" s="3" t="n">
        <f aca="false">SUM($F$2:F1066)</f>
        <v>0.835104</v>
      </c>
      <c r="H1066" s="4"/>
      <c r="I1066" s="5"/>
      <c r="J1066" s="4"/>
      <c r="K1066" s="5"/>
      <c r="L1066" s="6"/>
      <c r="M1066" s="5" t="str">
        <f aca="false">IF(AND(N(K1066)&gt;0,N(L1066)&gt;0),K1066/L1066,"")</f>
        <v/>
      </c>
      <c r="N1066" s="2" t="s">
        <v>1226</v>
      </c>
    </row>
    <row r="1067" customFormat="false" ht="15" hidden="false" customHeight="false" outlineLevel="0" collapsed="false">
      <c r="A1067" s="2" t="n">
        <v>1066</v>
      </c>
      <c r="B1067" s="2" t="s">
        <v>2452</v>
      </c>
      <c r="C1067" s="2" t="s">
        <v>2453</v>
      </c>
      <c r="D1067" s="2"/>
      <c r="E1067" s="2" t="s">
        <v>29</v>
      </c>
      <c r="F1067" s="3" t="n">
        <v>0.000162</v>
      </c>
      <c r="G1067" s="3" t="n">
        <f aca="false">SUM($F$2:F1067)</f>
        <v>0.835266</v>
      </c>
      <c r="H1067" s="4"/>
      <c r="I1067" s="5"/>
      <c r="J1067" s="4"/>
      <c r="K1067" s="5"/>
      <c r="L1067" s="6"/>
      <c r="M1067" s="5" t="str">
        <f aca="false">IF(AND(N(K1067)&gt;0,N(L1067)&gt;0),K1067/L1067,"")</f>
        <v/>
      </c>
      <c r="N1067" s="2" t="s">
        <v>1226</v>
      </c>
    </row>
    <row r="1068" customFormat="false" ht="15" hidden="false" customHeight="false" outlineLevel="0" collapsed="false">
      <c r="A1068" s="2" t="n">
        <v>1067</v>
      </c>
      <c r="B1068" s="2" t="s">
        <v>2454</v>
      </c>
      <c r="C1068" s="2" t="s">
        <v>2455</v>
      </c>
      <c r="D1068" s="2"/>
      <c r="E1068" s="2" t="s">
        <v>29</v>
      </c>
      <c r="F1068" s="3" t="n">
        <v>0.000162</v>
      </c>
      <c r="G1068" s="3" t="n">
        <f aca="false">SUM($F$2:F1068)</f>
        <v>0.835428</v>
      </c>
      <c r="H1068" s="4"/>
      <c r="I1068" s="5"/>
      <c r="J1068" s="4"/>
      <c r="K1068" s="5"/>
      <c r="L1068" s="6"/>
      <c r="M1068" s="5" t="str">
        <f aca="false">IF(AND(N(K1068)&gt;0,N(L1068)&gt;0),K1068/L1068,"")</f>
        <v/>
      </c>
      <c r="N1068" s="2" t="s">
        <v>1226</v>
      </c>
    </row>
    <row r="1069" customFormat="false" ht="15" hidden="false" customHeight="false" outlineLevel="0" collapsed="false">
      <c r="A1069" s="2" t="n">
        <v>1068</v>
      </c>
      <c r="B1069" s="2" t="s">
        <v>2456</v>
      </c>
      <c r="C1069" s="2" t="s">
        <v>2457</v>
      </c>
      <c r="D1069" s="2"/>
      <c r="E1069" s="2" t="s">
        <v>614</v>
      </c>
      <c r="F1069" s="3" t="n">
        <v>0.000162</v>
      </c>
      <c r="G1069" s="3" t="n">
        <f aca="false">SUM($F$2:F1069)</f>
        <v>0.83559</v>
      </c>
      <c r="H1069" s="4"/>
      <c r="I1069" s="5"/>
      <c r="J1069" s="4"/>
      <c r="K1069" s="5"/>
      <c r="L1069" s="6"/>
      <c r="M1069" s="5" t="str">
        <f aca="false">IF(AND(N(K1069)&gt;0,N(L1069)&gt;0),K1069/L1069,"")</f>
        <v/>
      </c>
      <c r="N1069" s="2" t="s">
        <v>1226</v>
      </c>
    </row>
    <row r="1070" customFormat="false" ht="15" hidden="false" customHeight="false" outlineLevel="0" collapsed="false">
      <c r="A1070" s="2" t="n">
        <v>1069</v>
      </c>
      <c r="B1070" s="2" t="s">
        <v>2458</v>
      </c>
      <c r="C1070" s="2" t="s">
        <v>2459</v>
      </c>
      <c r="D1070" s="2"/>
      <c r="E1070" s="2" t="s">
        <v>289</v>
      </c>
      <c r="F1070" s="3" t="n">
        <v>0.000162</v>
      </c>
      <c r="G1070" s="3" t="n">
        <f aca="false">SUM($F$2:F1070)</f>
        <v>0.835752</v>
      </c>
      <c r="H1070" s="4"/>
      <c r="I1070" s="5"/>
      <c r="J1070" s="4"/>
      <c r="K1070" s="5"/>
      <c r="L1070" s="6"/>
      <c r="M1070" s="5" t="str">
        <f aca="false">IF(AND(N(K1070)&gt;0,N(L1070)&gt;0),K1070/L1070,"")</f>
        <v/>
      </c>
      <c r="N1070" s="2" t="s">
        <v>1226</v>
      </c>
    </row>
    <row r="1071" customFormat="false" ht="15" hidden="false" customHeight="false" outlineLevel="0" collapsed="false">
      <c r="A1071" s="2" t="n">
        <v>1070</v>
      </c>
      <c r="B1071" s="2" t="s">
        <v>2460</v>
      </c>
      <c r="C1071" s="2" t="s">
        <v>2461</v>
      </c>
      <c r="D1071" s="2"/>
      <c r="E1071" s="2" t="s">
        <v>2055</v>
      </c>
      <c r="F1071" s="3" t="n">
        <v>0.000161</v>
      </c>
      <c r="G1071" s="3" t="n">
        <f aca="false">SUM($F$2:F1071)</f>
        <v>0.835913</v>
      </c>
      <c r="H1071" s="4"/>
      <c r="I1071" s="5"/>
      <c r="J1071" s="4"/>
      <c r="K1071" s="5"/>
      <c r="L1071" s="6"/>
      <c r="M1071" s="5" t="str">
        <f aca="false">IF(AND(N(K1071)&gt;0,N(L1071)&gt;0),K1071/L1071,"")</f>
        <v/>
      </c>
      <c r="N1071" s="2" t="s">
        <v>1226</v>
      </c>
    </row>
    <row r="1072" customFormat="false" ht="15" hidden="false" customHeight="false" outlineLevel="0" collapsed="false">
      <c r="A1072" s="2" t="n">
        <v>1071</v>
      </c>
      <c r="B1072" s="2" t="s">
        <v>2462</v>
      </c>
      <c r="C1072" s="2" t="s">
        <v>2463</v>
      </c>
      <c r="D1072" s="2"/>
      <c r="E1072" s="2" t="s">
        <v>1345</v>
      </c>
      <c r="F1072" s="3" t="n">
        <v>0.000161</v>
      </c>
      <c r="G1072" s="3" t="n">
        <f aca="false">SUM($F$2:F1072)</f>
        <v>0.836074</v>
      </c>
      <c r="H1072" s="4"/>
      <c r="I1072" s="5"/>
      <c r="J1072" s="4"/>
      <c r="K1072" s="5"/>
      <c r="L1072" s="6"/>
      <c r="M1072" s="5" t="str">
        <f aca="false">IF(AND(N(K1072)&gt;0,N(L1072)&gt;0),K1072/L1072,"")</f>
        <v/>
      </c>
      <c r="N1072" s="2" t="s">
        <v>1226</v>
      </c>
    </row>
    <row r="1073" customFormat="false" ht="15" hidden="false" customHeight="false" outlineLevel="0" collapsed="false">
      <c r="A1073" s="2" t="n">
        <v>1072</v>
      </c>
      <c r="B1073" s="2" t="s">
        <v>2464</v>
      </c>
      <c r="C1073" s="2" t="s">
        <v>2465</v>
      </c>
      <c r="D1073" s="2"/>
      <c r="E1073" s="2" t="s">
        <v>1295</v>
      </c>
      <c r="F1073" s="3" t="n">
        <v>0.000161</v>
      </c>
      <c r="G1073" s="3" t="n">
        <f aca="false">SUM($F$2:F1073)</f>
        <v>0.836235</v>
      </c>
      <c r="H1073" s="4"/>
      <c r="I1073" s="5"/>
      <c r="J1073" s="4"/>
      <c r="K1073" s="5"/>
      <c r="L1073" s="6"/>
      <c r="M1073" s="5" t="str">
        <f aca="false">IF(AND(N(K1073)&gt;0,N(L1073)&gt;0),K1073/L1073,"")</f>
        <v/>
      </c>
      <c r="N1073" s="2" t="s">
        <v>1226</v>
      </c>
    </row>
    <row r="1074" customFormat="false" ht="15" hidden="false" customHeight="false" outlineLevel="0" collapsed="false">
      <c r="A1074" s="2" t="n">
        <v>1073</v>
      </c>
      <c r="B1074" s="2" t="s">
        <v>2466</v>
      </c>
      <c r="C1074" s="2" t="s">
        <v>2467</v>
      </c>
      <c r="D1074" s="2"/>
      <c r="E1074" s="2" t="s">
        <v>82</v>
      </c>
      <c r="F1074" s="3" t="n">
        <v>0.000161</v>
      </c>
      <c r="G1074" s="3" t="n">
        <f aca="false">SUM($F$2:F1074)</f>
        <v>0.836396</v>
      </c>
      <c r="H1074" s="4"/>
      <c r="I1074" s="5"/>
      <c r="J1074" s="4"/>
      <c r="K1074" s="5"/>
      <c r="L1074" s="6"/>
      <c r="M1074" s="5" t="str">
        <f aca="false">IF(AND(N(K1074)&gt;0,N(L1074)&gt;0),K1074/L1074,"")</f>
        <v/>
      </c>
      <c r="N1074" s="2" t="s">
        <v>1226</v>
      </c>
    </row>
    <row r="1075" customFormat="false" ht="15" hidden="false" customHeight="false" outlineLevel="0" collapsed="false">
      <c r="A1075" s="2" t="n">
        <v>1074</v>
      </c>
      <c r="B1075" s="2" t="s">
        <v>2468</v>
      </c>
      <c r="C1075" s="2" t="s">
        <v>2469</v>
      </c>
      <c r="D1075" s="2"/>
      <c r="E1075" s="2" t="s">
        <v>52</v>
      </c>
      <c r="F1075" s="3" t="n">
        <v>0.000161</v>
      </c>
      <c r="G1075" s="3" t="n">
        <f aca="false">SUM($F$2:F1075)</f>
        <v>0.836557</v>
      </c>
      <c r="H1075" s="4"/>
      <c r="I1075" s="5"/>
      <c r="J1075" s="4"/>
      <c r="K1075" s="5"/>
      <c r="L1075" s="6"/>
      <c r="M1075" s="5" t="str">
        <f aca="false">IF(AND(N(K1075)&gt;0,N(L1075)&gt;0),K1075/L1075,"")</f>
        <v/>
      </c>
      <c r="N1075" s="2" t="s">
        <v>1226</v>
      </c>
    </row>
    <row r="1076" customFormat="false" ht="15" hidden="false" customHeight="false" outlineLevel="0" collapsed="false">
      <c r="A1076" s="2" t="n">
        <v>1075</v>
      </c>
      <c r="B1076" s="2" t="s">
        <v>2470</v>
      </c>
      <c r="C1076" s="2" t="s">
        <v>2471</v>
      </c>
      <c r="D1076" s="2"/>
      <c r="E1076" s="2" t="s">
        <v>52</v>
      </c>
      <c r="F1076" s="3" t="n">
        <v>0.000161</v>
      </c>
      <c r="G1076" s="3" t="n">
        <f aca="false">SUM($F$2:F1076)</f>
        <v>0.836718</v>
      </c>
      <c r="H1076" s="4"/>
      <c r="I1076" s="5"/>
      <c r="J1076" s="4"/>
      <c r="K1076" s="5"/>
      <c r="L1076" s="6"/>
      <c r="M1076" s="5" t="str">
        <f aca="false">IF(AND(N(K1076)&gt;0,N(L1076)&gt;0),K1076/L1076,"")</f>
        <v/>
      </c>
      <c r="N1076" s="2" t="s">
        <v>1226</v>
      </c>
    </row>
    <row r="1077" customFormat="false" ht="15" hidden="false" customHeight="false" outlineLevel="0" collapsed="false">
      <c r="A1077" s="2" t="n">
        <v>1076</v>
      </c>
      <c r="B1077" s="2" t="s">
        <v>2472</v>
      </c>
      <c r="C1077" s="2" t="s">
        <v>2473</v>
      </c>
      <c r="D1077" s="2"/>
      <c r="E1077" s="2" t="s">
        <v>52</v>
      </c>
      <c r="F1077" s="3" t="n">
        <v>0.000161</v>
      </c>
      <c r="G1077" s="3" t="n">
        <f aca="false">SUM($F$2:F1077)</f>
        <v>0.836879</v>
      </c>
      <c r="H1077" s="4"/>
      <c r="I1077" s="5"/>
      <c r="J1077" s="4"/>
      <c r="K1077" s="5"/>
      <c r="L1077" s="6"/>
      <c r="M1077" s="5" t="str">
        <f aca="false">IF(AND(N(K1077)&gt;0,N(L1077)&gt;0),K1077/L1077,"")</f>
        <v/>
      </c>
      <c r="N1077" s="2" t="s">
        <v>1226</v>
      </c>
    </row>
    <row r="1078" customFormat="false" ht="15" hidden="false" customHeight="false" outlineLevel="0" collapsed="false">
      <c r="A1078" s="2" t="n">
        <v>1077</v>
      </c>
      <c r="B1078" s="2" t="s">
        <v>2474</v>
      </c>
      <c r="C1078" s="2" t="s">
        <v>2475</v>
      </c>
      <c r="D1078" s="2"/>
      <c r="E1078" s="2" t="s">
        <v>33</v>
      </c>
      <c r="F1078" s="3" t="n">
        <v>0.000161</v>
      </c>
      <c r="G1078" s="3" t="n">
        <f aca="false">SUM($F$2:F1078)</f>
        <v>0.83704</v>
      </c>
      <c r="H1078" s="4"/>
      <c r="I1078" s="5"/>
      <c r="J1078" s="4"/>
      <c r="K1078" s="5"/>
      <c r="L1078" s="6"/>
      <c r="M1078" s="5" t="str">
        <f aca="false">IF(AND(N(K1078)&gt;0,N(L1078)&gt;0),K1078/L1078,"")</f>
        <v/>
      </c>
      <c r="N1078" s="2" t="s">
        <v>1226</v>
      </c>
    </row>
    <row r="1079" customFormat="false" ht="15" hidden="false" customHeight="false" outlineLevel="0" collapsed="false">
      <c r="A1079" s="2" t="n">
        <v>1078</v>
      </c>
      <c r="B1079" s="2" t="s">
        <v>2476</v>
      </c>
      <c r="C1079" s="2" t="s">
        <v>2477</v>
      </c>
      <c r="D1079" s="2"/>
      <c r="E1079" s="2" t="s">
        <v>52</v>
      </c>
      <c r="F1079" s="3" t="n">
        <v>0.000161</v>
      </c>
      <c r="G1079" s="3" t="n">
        <f aca="false">SUM($F$2:F1079)</f>
        <v>0.837201</v>
      </c>
      <c r="H1079" s="4"/>
      <c r="I1079" s="5"/>
      <c r="J1079" s="4"/>
      <c r="K1079" s="5"/>
      <c r="L1079" s="6"/>
      <c r="M1079" s="5" t="str">
        <f aca="false">IF(AND(N(K1079)&gt;0,N(L1079)&gt;0),K1079/L1079,"")</f>
        <v/>
      </c>
      <c r="N1079" s="2" t="s">
        <v>1226</v>
      </c>
    </row>
    <row r="1080" customFormat="false" ht="15" hidden="false" customHeight="false" outlineLevel="0" collapsed="false">
      <c r="A1080" s="2" t="n">
        <v>1079</v>
      </c>
      <c r="B1080" s="2" t="s">
        <v>2478</v>
      </c>
      <c r="C1080" s="2" t="s">
        <v>2479</v>
      </c>
      <c r="D1080" s="2"/>
      <c r="E1080" s="2" t="s">
        <v>48</v>
      </c>
      <c r="F1080" s="3" t="n">
        <v>0.000161</v>
      </c>
      <c r="G1080" s="3" t="n">
        <f aca="false">SUM($F$2:F1080)</f>
        <v>0.837362</v>
      </c>
      <c r="H1080" s="4"/>
      <c r="I1080" s="5"/>
      <c r="J1080" s="4"/>
      <c r="K1080" s="5"/>
      <c r="L1080" s="6"/>
      <c r="M1080" s="5" t="str">
        <f aca="false">IF(AND(N(K1080)&gt;0,N(L1080)&gt;0),K1080/L1080,"")</f>
        <v/>
      </c>
      <c r="N1080" s="2" t="s">
        <v>1226</v>
      </c>
    </row>
    <row r="1081" customFormat="false" ht="15" hidden="false" customHeight="false" outlineLevel="0" collapsed="false">
      <c r="A1081" s="2" t="n">
        <v>1080</v>
      </c>
      <c r="B1081" s="2" t="s">
        <v>2480</v>
      </c>
      <c r="C1081" s="2" t="s">
        <v>2481</v>
      </c>
      <c r="D1081" s="2"/>
      <c r="E1081" s="2" t="s">
        <v>679</v>
      </c>
      <c r="F1081" s="3" t="n">
        <v>0.00016</v>
      </c>
      <c r="G1081" s="3" t="n">
        <f aca="false">SUM($F$2:F1081)</f>
        <v>0.837522</v>
      </c>
      <c r="H1081" s="4"/>
      <c r="I1081" s="5"/>
      <c r="J1081" s="4"/>
      <c r="K1081" s="5"/>
      <c r="L1081" s="6"/>
      <c r="M1081" s="5" t="str">
        <f aca="false">IF(AND(N(K1081)&gt;0,N(L1081)&gt;0),K1081/L1081,"")</f>
        <v/>
      </c>
      <c r="N1081" s="2" t="s">
        <v>1226</v>
      </c>
    </row>
    <row r="1082" customFormat="false" ht="15" hidden="false" customHeight="false" outlineLevel="0" collapsed="false">
      <c r="A1082" s="2" t="n">
        <v>1081</v>
      </c>
      <c r="B1082" s="2" t="s">
        <v>2482</v>
      </c>
      <c r="C1082" s="2" t="s">
        <v>2483</v>
      </c>
      <c r="D1082" s="2"/>
      <c r="E1082" s="2" t="s">
        <v>826</v>
      </c>
      <c r="F1082" s="3" t="n">
        <v>0.00016</v>
      </c>
      <c r="G1082" s="3" t="n">
        <f aca="false">SUM($F$2:F1082)</f>
        <v>0.837682</v>
      </c>
      <c r="H1082" s="4"/>
      <c r="I1082" s="5"/>
      <c r="J1082" s="4"/>
      <c r="K1082" s="5"/>
      <c r="L1082" s="6"/>
      <c r="M1082" s="5" t="str">
        <f aca="false">IF(AND(N(K1082)&gt;0,N(L1082)&gt;0),K1082/L1082,"")</f>
        <v/>
      </c>
      <c r="N1082" s="2" t="s">
        <v>1226</v>
      </c>
    </row>
    <row r="1083" customFormat="false" ht="15" hidden="false" customHeight="false" outlineLevel="0" collapsed="false">
      <c r="A1083" s="2" t="n">
        <v>1082</v>
      </c>
      <c r="B1083" s="2" t="s">
        <v>2484</v>
      </c>
      <c r="C1083" s="2" t="s">
        <v>2485</v>
      </c>
      <c r="D1083" s="2"/>
      <c r="E1083" s="2" t="s">
        <v>1295</v>
      </c>
      <c r="F1083" s="3" t="n">
        <v>0.00016</v>
      </c>
      <c r="G1083" s="3" t="n">
        <f aca="false">SUM($F$2:F1083)</f>
        <v>0.837842</v>
      </c>
      <c r="H1083" s="4"/>
      <c r="I1083" s="5"/>
      <c r="J1083" s="4"/>
      <c r="K1083" s="5"/>
      <c r="L1083" s="6"/>
      <c r="M1083" s="5" t="str">
        <f aca="false">IF(AND(N(K1083)&gt;0,N(L1083)&gt;0),K1083/L1083,"")</f>
        <v/>
      </c>
      <c r="N1083" s="2" t="s">
        <v>1226</v>
      </c>
    </row>
    <row r="1084" customFormat="false" ht="15" hidden="false" customHeight="false" outlineLevel="0" collapsed="false">
      <c r="A1084" s="2" t="n">
        <v>1083</v>
      </c>
      <c r="B1084" s="2" t="s">
        <v>1539</v>
      </c>
      <c r="C1084" s="2" t="s">
        <v>2486</v>
      </c>
      <c r="D1084" s="2"/>
      <c r="E1084" s="2" t="s">
        <v>38</v>
      </c>
      <c r="F1084" s="3" t="n">
        <v>0.00016</v>
      </c>
      <c r="G1084" s="3" t="n">
        <f aca="false">SUM($F$2:F1084)</f>
        <v>0.838002</v>
      </c>
      <c r="H1084" s="4"/>
      <c r="I1084" s="5"/>
      <c r="J1084" s="4"/>
      <c r="K1084" s="5"/>
      <c r="L1084" s="6"/>
      <c r="M1084" s="5" t="str">
        <f aca="false">IF(AND(N(K1084)&gt;0,N(L1084)&gt;0),K1084/L1084,"")</f>
        <v/>
      </c>
      <c r="N1084" s="2" t="s">
        <v>1226</v>
      </c>
    </row>
    <row r="1085" customFormat="false" ht="15" hidden="false" customHeight="false" outlineLevel="0" collapsed="false">
      <c r="A1085" s="2" t="n">
        <v>1084</v>
      </c>
      <c r="B1085" s="2" t="s">
        <v>2487</v>
      </c>
      <c r="C1085" s="2" t="s">
        <v>2488</v>
      </c>
      <c r="D1085" s="2"/>
      <c r="E1085" s="2" t="s">
        <v>29</v>
      </c>
      <c r="F1085" s="3" t="n">
        <v>0.000159</v>
      </c>
      <c r="G1085" s="3" t="n">
        <f aca="false">SUM($F$2:F1085)</f>
        <v>0.838161</v>
      </c>
      <c r="H1085" s="4"/>
      <c r="I1085" s="5"/>
      <c r="J1085" s="4"/>
      <c r="K1085" s="5"/>
      <c r="L1085" s="6"/>
      <c r="M1085" s="5" t="str">
        <f aca="false">IF(AND(N(K1085)&gt;0,N(L1085)&gt;0),K1085/L1085,"")</f>
        <v/>
      </c>
      <c r="N1085" s="2" t="s">
        <v>1226</v>
      </c>
    </row>
    <row r="1086" customFormat="false" ht="15" hidden="false" customHeight="false" outlineLevel="0" collapsed="false">
      <c r="A1086" s="2" t="n">
        <v>1085</v>
      </c>
      <c r="B1086" s="2" t="s">
        <v>2489</v>
      </c>
      <c r="C1086" s="2" t="s">
        <v>2490</v>
      </c>
      <c r="D1086" s="2"/>
      <c r="E1086" s="2" t="s">
        <v>33</v>
      </c>
      <c r="F1086" s="3" t="n">
        <v>0.000159</v>
      </c>
      <c r="G1086" s="3" t="n">
        <f aca="false">SUM($F$2:F1086)</f>
        <v>0.83832</v>
      </c>
      <c r="H1086" s="4"/>
      <c r="I1086" s="5"/>
      <c r="J1086" s="4"/>
      <c r="K1086" s="5"/>
      <c r="L1086" s="6"/>
      <c r="M1086" s="5" t="str">
        <f aca="false">IF(AND(N(K1086)&gt;0,N(L1086)&gt;0),K1086/L1086,"")</f>
        <v/>
      </c>
      <c r="N1086" s="2" t="s">
        <v>1226</v>
      </c>
    </row>
    <row r="1087" customFormat="false" ht="15" hidden="false" customHeight="false" outlineLevel="0" collapsed="false">
      <c r="A1087" s="2" t="n">
        <v>1086</v>
      </c>
      <c r="B1087" s="2" t="s">
        <v>2491</v>
      </c>
      <c r="C1087" s="2" t="s">
        <v>2492</v>
      </c>
      <c r="D1087" s="2"/>
      <c r="E1087" s="2" t="s">
        <v>43</v>
      </c>
      <c r="F1087" s="3" t="n">
        <v>0.000159</v>
      </c>
      <c r="G1087" s="3" t="n">
        <f aca="false">SUM($F$2:F1087)</f>
        <v>0.838479</v>
      </c>
      <c r="H1087" s="4"/>
      <c r="I1087" s="5"/>
      <c r="J1087" s="4"/>
      <c r="K1087" s="5"/>
      <c r="L1087" s="6"/>
      <c r="M1087" s="5" t="str">
        <f aca="false">IF(AND(N(K1087)&gt;0,N(L1087)&gt;0),K1087/L1087,"")</f>
        <v/>
      </c>
      <c r="N1087" s="2" t="s">
        <v>1226</v>
      </c>
    </row>
    <row r="1088" customFormat="false" ht="15" hidden="false" customHeight="false" outlineLevel="0" collapsed="false">
      <c r="A1088" s="2" t="n">
        <v>1087</v>
      </c>
      <c r="B1088" s="2" t="s">
        <v>2493</v>
      </c>
      <c r="C1088" s="2" t="s">
        <v>2494</v>
      </c>
      <c r="D1088" s="2"/>
      <c r="E1088" s="2" t="s">
        <v>289</v>
      </c>
      <c r="F1088" s="3" t="n">
        <v>0.000159</v>
      </c>
      <c r="G1088" s="3" t="n">
        <f aca="false">SUM($F$2:F1088)</f>
        <v>0.838638</v>
      </c>
      <c r="H1088" s="4"/>
      <c r="I1088" s="5"/>
      <c r="J1088" s="4"/>
      <c r="K1088" s="5"/>
      <c r="L1088" s="6"/>
      <c r="M1088" s="5" t="str">
        <f aca="false">IF(AND(N(K1088)&gt;0,N(L1088)&gt;0),K1088/L1088,"")</f>
        <v/>
      </c>
      <c r="N1088" s="2" t="s">
        <v>1226</v>
      </c>
    </row>
    <row r="1089" customFormat="false" ht="15" hidden="false" customHeight="false" outlineLevel="0" collapsed="false">
      <c r="A1089" s="2" t="n">
        <v>1088</v>
      </c>
      <c r="B1089" s="2" t="s">
        <v>2495</v>
      </c>
      <c r="C1089" s="2" t="s">
        <v>2496</v>
      </c>
      <c r="D1089" s="2"/>
      <c r="E1089" s="2" t="s">
        <v>334</v>
      </c>
      <c r="F1089" s="3" t="n">
        <v>0.000159</v>
      </c>
      <c r="G1089" s="3" t="n">
        <f aca="false">SUM($F$2:F1089)</f>
        <v>0.838797</v>
      </c>
      <c r="H1089" s="4"/>
      <c r="I1089" s="5"/>
      <c r="J1089" s="4"/>
      <c r="K1089" s="5"/>
      <c r="L1089" s="6"/>
      <c r="M1089" s="5" t="str">
        <f aca="false">IF(AND(N(K1089)&gt;0,N(L1089)&gt;0),K1089/L1089,"")</f>
        <v/>
      </c>
      <c r="N1089" s="2" t="s">
        <v>1226</v>
      </c>
    </row>
    <row r="1090" customFormat="false" ht="15" hidden="false" customHeight="false" outlineLevel="0" collapsed="false">
      <c r="A1090" s="2" t="n">
        <v>1089</v>
      </c>
      <c r="B1090" s="2" t="s">
        <v>2497</v>
      </c>
      <c r="C1090" s="2" t="s">
        <v>2498</v>
      </c>
      <c r="D1090" s="2"/>
      <c r="E1090" s="2" t="s">
        <v>21</v>
      </c>
      <c r="F1090" s="3" t="n">
        <v>0.000158</v>
      </c>
      <c r="G1090" s="3" t="n">
        <f aca="false">SUM($F$2:F1090)</f>
        <v>0.838955</v>
      </c>
      <c r="H1090" s="4"/>
      <c r="I1090" s="5"/>
      <c r="J1090" s="4"/>
      <c r="K1090" s="5"/>
      <c r="L1090" s="6"/>
      <c r="M1090" s="5" t="str">
        <f aca="false">IF(AND(N(K1090)&gt;0,N(L1090)&gt;0),K1090/L1090,"")</f>
        <v/>
      </c>
      <c r="N1090" s="2" t="s">
        <v>1226</v>
      </c>
    </row>
    <row r="1091" customFormat="false" ht="15" hidden="false" customHeight="false" outlineLevel="0" collapsed="false">
      <c r="A1091" s="2" t="n">
        <v>1090</v>
      </c>
      <c r="B1091" s="2" t="s">
        <v>2499</v>
      </c>
      <c r="C1091" s="2" t="s">
        <v>2500</v>
      </c>
      <c r="D1091" s="2"/>
      <c r="E1091" s="2" t="s">
        <v>52</v>
      </c>
      <c r="F1091" s="3" t="n">
        <v>0.000158</v>
      </c>
      <c r="G1091" s="3" t="n">
        <f aca="false">SUM($F$2:F1091)</f>
        <v>0.839113</v>
      </c>
      <c r="H1091" s="4"/>
      <c r="I1091" s="5"/>
      <c r="J1091" s="4"/>
      <c r="K1091" s="5"/>
      <c r="L1091" s="6"/>
      <c r="M1091" s="5" t="str">
        <f aca="false">IF(AND(N(K1091)&gt;0,N(L1091)&gt;0),K1091/L1091,"")</f>
        <v/>
      </c>
      <c r="N1091" s="2" t="s">
        <v>1226</v>
      </c>
    </row>
    <row r="1092" customFormat="false" ht="15" hidden="false" customHeight="false" outlineLevel="0" collapsed="false">
      <c r="A1092" s="2" t="n">
        <v>1091</v>
      </c>
      <c r="B1092" s="2" t="s">
        <v>2501</v>
      </c>
      <c r="C1092" s="2" t="s">
        <v>2502</v>
      </c>
      <c r="D1092" s="2"/>
      <c r="E1092" s="2" t="s">
        <v>52</v>
      </c>
      <c r="F1092" s="3" t="n">
        <v>0.000158</v>
      </c>
      <c r="G1092" s="3" t="n">
        <f aca="false">SUM($F$2:F1092)</f>
        <v>0.839271</v>
      </c>
      <c r="H1092" s="4"/>
      <c r="I1092" s="5"/>
      <c r="J1092" s="4"/>
      <c r="K1092" s="5"/>
      <c r="L1092" s="6"/>
      <c r="M1092" s="5" t="str">
        <f aca="false">IF(AND(N(K1092)&gt;0,N(L1092)&gt;0),K1092/L1092,"")</f>
        <v/>
      </c>
      <c r="N1092" s="2" t="s">
        <v>1226</v>
      </c>
    </row>
    <row r="1093" customFormat="false" ht="15" hidden="false" customHeight="false" outlineLevel="0" collapsed="false">
      <c r="A1093" s="2" t="n">
        <v>1092</v>
      </c>
      <c r="B1093" s="2" t="s">
        <v>2503</v>
      </c>
      <c r="C1093" s="2" t="s">
        <v>2504</v>
      </c>
      <c r="D1093" s="2"/>
      <c r="E1093" s="2" t="s">
        <v>334</v>
      </c>
      <c r="F1093" s="3" t="n">
        <v>0.000158</v>
      </c>
      <c r="G1093" s="3" t="n">
        <f aca="false">SUM($F$2:F1093)</f>
        <v>0.839429</v>
      </c>
      <c r="H1093" s="4"/>
      <c r="I1093" s="5"/>
      <c r="J1093" s="4"/>
      <c r="K1093" s="5"/>
      <c r="L1093" s="6"/>
      <c r="M1093" s="5" t="str">
        <f aca="false">IF(AND(N(K1093)&gt;0,N(L1093)&gt;0),K1093/L1093,"")</f>
        <v/>
      </c>
      <c r="N1093" s="2" t="s">
        <v>1226</v>
      </c>
    </row>
    <row r="1094" customFormat="false" ht="15" hidden="false" customHeight="false" outlineLevel="0" collapsed="false">
      <c r="A1094" s="2" t="n">
        <v>1093</v>
      </c>
      <c r="B1094" s="2" t="s">
        <v>2505</v>
      </c>
      <c r="C1094" s="2" t="s">
        <v>2506</v>
      </c>
      <c r="D1094" s="2"/>
      <c r="E1094" s="2" t="s">
        <v>539</v>
      </c>
      <c r="F1094" s="3" t="n">
        <v>0.000157</v>
      </c>
      <c r="G1094" s="3" t="n">
        <f aca="false">SUM($F$2:F1094)</f>
        <v>0.839586</v>
      </c>
      <c r="H1094" s="4"/>
      <c r="I1094" s="5"/>
      <c r="J1094" s="4"/>
      <c r="K1094" s="5"/>
      <c r="L1094" s="6"/>
      <c r="M1094" s="5" t="str">
        <f aca="false">IF(AND(N(K1094)&gt;0,N(L1094)&gt;0),K1094/L1094,"")</f>
        <v/>
      </c>
      <c r="N1094" s="2" t="s">
        <v>1226</v>
      </c>
    </row>
    <row r="1095" customFormat="false" ht="15" hidden="false" customHeight="false" outlineLevel="0" collapsed="false">
      <c r="A1095" s="2" t="n">
        <v>1094</v>
      </c>
      <c r="B1095" s="2" t="s">
        <v>2507</v>
      </c>
      <c r="C1095" s="2" t="s">
        <v>2508</v>
      </c>
      <c r="D1095" s="2"/>
      <c r="E1095" s="2" t="s">
        <v>289</v>
      </c>
      <c r="F1095" s="3" t="n">
        <v>0.000157</v>
      </c>
      <c r="G1095" s="3" t="n">
        <f aca="false">SUM($F$2:F1095)</f>
        <v>0.839743</v>
      </c>
      <c r="H1095" s="4"/>
      <c r="I1095" s="5"/>
      <c r="J1095" s="4"/>
      <c r="K1095" s="5"/>
      <c r="L1095" s="6"/>
      <c r="M1095" s="5" t="str">
        <f aca="false">IF(AND(N(K1095)&gt;0,N(L1095)&gt;0),K1095/L1095,"")</f>
        <v/>
      </c>
      <c r="N1095" s="2" t="s">
        <v>1226</v>
      </c>
    </row>
    <row r="1096" customFormat="false" ht="15" hidden="false" customHeight="false" outlineLevel="0" collapsed="false">
      <c r="A1096" s="2" t="n">
        <v>1095</v>
      </c>
      <c r="B1096" s="2" t="s">
        <v>2509</v>
      </c>
      <c r="C1096" s="2" t="s">
        <v>2510</v>
      </c>
      <c r="D1096" s="2"/>
      <c r="E1096" s="2" t="s">
        <v>48</v>
      </c>
      <c r="F1096" s="3" t="n">
        <v>0.000157</v>
      </c>
      <c r="G1096" s="3" t="n">
        <f aca="false">SUM($F$2:F1096)</f>
        <v>0.8399</v>
      </c>
      <c r="H1096" s="4"/>
      <c r="I1096" s="5"/>
      <c r="J1096" s="4"/>
      <c r="K1096" s="5"/>
      <c r="L1096" s="6"/>
      <c r="M1096" s="5" t="str">
        <f aca="false">IF(AND(N(K1096)&gt;0,N(L1096)&gt;0),K1096/L1096,"")</f>
        <v/>
      </c>
      <c r="N1096" s="2" t="s">
        <v>1226</v>
      </c>
    </row>
    <row r="1097" customFormat="false" ht="15" hidden="false" customHeight="false" outlineLevel="0" collapsed="false">
      <c r="A1097" s="2" t="n">
        <v>1096</v>
      </c>
      <c r="B1097" s="2" t="s">
        <v>2511</v>
      </c>
      <c r="C1097" s="2" t="s">
        <v>2512</v>
      </c>
      <c r="D1097" s="2"/>
      <c r="E1097" s="2" t="s">
        <v>296</v>
      </c>
      <c r="F1097" s="3" t="n">
        <v>0.000157</v>
      </c>
      <c r="G1097" s="3" t="n">
        <f aca="false">SUM($F$2:F1097)</f>
        <v>0.840057</v>
      </c>
      <c r="H1097" s="4"/>
      <c r="I1097" s="5"/>
      <c r="J1097" s="4"/>
      <c r="K1097" s="5"/>
      <c r="L1097" s="6"/>
      <c r="M1097" s="5" t="str">
        <f aca="false">IF(AND(N(K1097)&gt;0,N(L1097)&gt;0),K1097/L1097,"")</f>
        <v/>
      </c>
      <c r="N1097" s="2" t="s">
        <v>1226</v>
      </c>
    </row>
    <row r="1098" customFormat="false" ht="15" hidden="false" customHeight="false" outlineLevel="0" collapsed="false">
      <c r="A1098" s="2" t="n">
        <v>1097</v>
      </c>
      <c r="B1098" s="2" t="s">
        <v>2513</v>
      </c>
      <c r="C1098" s="2" t="s">
        <v>2514</v>
      </c>
      <c r="D1098" s="2"/>
      <c r="E1098" s="2" t="s">
        <v>700</v>
      </c>
      <c r="F1098" s="3" t="n">
        <v>0.000157</v>
      </c>
      <c r="G1098" s="3" t="n">
        <f aca="false">SUM($F$2:F1098)</f>
        <v>0.840214</v>
      </c>
      <c r="H1098" s="4"/>
      <c r="I1098" s="5"/>
      <c r="J1098" s="4"/>
      <c r="K1098" s="5"/>
      <c r="L1098" s="6"/>
      <c r="M1098" s="5" t="str">
        <f aca="false">IF(AND(N(K1098)&gt;0,N(L1098)&gt;0),K1098/L1098,"")</f>
        <v/>
      </c>
      <c r="N1098" s="2" t="s">
        <v>1226</v>
      </c>
    </row>
    <row r="1099" customFormat="false" ht="15" hidden="false" customHeight="false" outlineLevel="0" collapsed="false">
      <c r="A1099" s="2" t="n">
        <v>1098</v>
      </c>
      <c r="B1099" s="2" t="s">
        <v>2515</v>
      </c>
      <c r="C1099" s="2" t="s">
        <v>2516</v>
      </c>
      <c r="D1099" s="2"/>
      <c r="E1099" s="2" t="s">
        <v>52</v>
      </c>
      <c r="F1099" s="3" t="n">
        <v>0.000157</v>
      </c>
      <c r="G1099" s="3" t="n">
        <f aca="false">SUM($F$2:F1099)</f>
        <v>0.840371</v>
      </c>
      <c r="H1099" s="4"/>
      <c r="I1099" s="5"/>
      <c r="J1099" s="4"/>
      <c r="K1099" s="5"/>
      <c r="L1099" s="6"/>
      <c r="M1099" s="5" t="str">
        <f aca="false">IF(AND(N(K1099)&gt;0,N(L1099)&gt;0),K1099/L1099,"")</f>
        <v/>
      </c>
      <c r="N1099" s="2" t="s">
        <v>1226</v>
      </c>
    </row>
    <row r="1100" customFormat="false" ht="15" hidden="false" customHeight="false" outlineLevel="0" collapsed="false">
      <c r="A1100" s="2" t="n">
        <v>1099</v>
      </c>
      <c r="B1100" s="2" t="s">
        <v>2517</v>
      </c>
      <c r="C1100" s="2" t="s">
        <v>2518</v>
      </c>
      <c r="D1100" s="2"/>
      <c r="E1100" s="2" t="s">
        <v>17</v>
      </c>
      <c r="F1100" s="3" t="n">
        <v>0.000157</v>
      </c>
      <c r="G1100" s="3" t="n">
        <f aca="false">SUM($F$2:F1100)</f>
        <v>0.840528</v>
      </c>
      <c r="H1100" s="4"/>
      <c r="I1100" s="5"/>
      <c r="J1100" s="4"/>
      <c r="K1100" s="5"/>
      <c r="L1100" s="6"/>
      <c r="M1100" s="5" t="str">
        <f aca="false">IF(AND(N(K1100)&gt;0,N(L1100)&gt;0),K1100/L1100,"")</f>
        <v/>
      </c>
      <c r="N1100" s="2" t="s">
        <v>1226</v>
      </c>
    </row>
    <row r="1101" customFormat="false" ht="15" hidden="false" customHeight="false" outlineLevel="0" collapsed="false">
      <c r="A1101" s="2" t="n">
        <v>1100</v>
      </c>
      <c r="B1101" s="2" t="s">
        <v>2519</v>
      </c>
      <c r="C1101" s="2" t="s">
        <v>2520</v>
      </c>
      <c r="D1101" s="2"/>
      <c r="E1101" s="2" t="s">
        <v>1245</v>
      </c>
      <c r="F1101" s="3" t="n">
        <v>0.000157</v>
      </c>
      <c r="G1101" s="3" t="n">
        <f aca="false">SUM($F$2:F1101)</f>
        <v>0.840685</v>
      </c>
      <c r="H1101" s="4"/>
      <c r="I1101" s="5"/>
      <c r="J1101" s="4"/>
      <c r="K1101" s="5"/>
      <c r="L1101" s="6"/>
      <c r="M1101" s="5" t="str">
        <f aca="false">IF(AND(N(K1101)&gt;0,N(L1101)&gt;0),K1101/L1101,"")</f>
        <v/>
      </c>
      <c r="N1101" s="2" t="s">
        <v>1226</v>
      </c>
    </row>
    <row r="1102" customFormat="false" ht="15" hidden="false" customHeight="false" outlineLevel="0" collapsed="false">
      <c r="A1102" s="2" t="n">
        <v>1101</v>
      </c>
      <c r="B1102" s="2" t="s">
        <v>2521</v>
      </c>
      <c r="C1102" s="2" t="s">
        <v>2522</v>
      </c>
      <c r="D1102" s="2"/>
      <c r="E1102" s="2" t="s">
        <v>52</v>
      </c>
      <c r="F1102" s="3" t="n">
        <v>0.000157</v>
      </c>
      <c r="G1102" s="3" t="n">
        <f aca="false">SUM($F$2:F1102)</f>
        <v>0.840842</v>
      </c>
      <c r="H1102" s="4"/>
      <c r="I1102" s="5"/>
      <c r="J1102" s="4"/>
      <c r="K1102" s="5"/>
      <c r="L1102" s="6"/>
      <c r="M1102" s="5" t="str">
        <f aca="false">IF(AND(N(K1102)&gt;0,N(L1102)&gt;0),K1102/L1102,"")</f>
        <v/>
      </c>
      <c r="N1102" s="2" t="s">
        <v>1226</v>
      </c>
    </row>
    <row r="1103" customFormat="false" ht="15" hidden="false" customHeight="false" outlineLevel="0" collapsed="false">
      <c r="A1103" s="2" t="n">
        <v>1102</v>
      </c>
      <c r="B1103" s="2" t="s">
        <v>2523</v>
      </c>
      <c r="C1103" s="2" t="s">
        <v>2524</v>
      </c>
      <c r="D1103" s="2"/>
      <c r="E1103" s="2" t="s">
        <v>1345</v>
      </c>
      <c r="F1103" s="3" t="n">
        <v>0.000156</v>
      </c>
      <c r="G1103" s="3" t="n">
        <f aca="false">SUM($F$2:F1103)</f>
        <v>0.840998</v>
      </c>
      <c r="H1103" s="4"/>
      <c r="I1103" s="5"/>
      <c r="J1103" s="4"/>
      <c r="K1103" s="5"/>
      <c r="L1103" s="6"/>
      <c r="M1103" s="5" t="str">
        <f aca="false">IF(AND(N(K1103)&gt;0,N(L1103)&gt;0),K1103/L1103,"")</f>
        <v/>
      </c>
      <c r="N1103" s="2" t="s">
        <v>1226</v>
      </c>
    </row>
    <row r="1104" customFormat="false" ht="15" hidden="false" customHeight="false" outlineLevel="0" collapsed="false">
      <c r="A1104" s="2" t="n">
        <v>1103</v>
      </c>
      <c r="B1104" s="2" t="s">
        <v>2525</v>
      </c>
      <c r="C1104" s="2" t="s">
        <v>2526</v>
      </c>
      <c r="D1104" s="2"/>
      <c r="E1104" s="2" t="s">
        <v>52</v>
      </c>
      <c r="F1104" s="3" t="n">
        <v>0.000156</v>
      </c>
      <c r="G1104" s="3" t="n">
        <f aca="false">SUM($F$2:F1104)</f>
        <v>0.841154</v>
      </c>
      <c r="H1104" s="4"/>
      <c r="I1104" s="5"/>
      <c r="J1104" s="4"/>
      <c r="K1104" s="5"/>
      <c r="L1104" s="6"/>
      <c r="M1104" s="5" t="str">
        <f aca="false">IF(AND(N(K1104)&gt;0,N(L1104)&gt;0),K1104/L1104,"")</f>
        <v/>
      </c>
      <c r="N1104" s="2" t="s">
        <v>1226</v>
      </c>
    </row>
    <row r="1105" customFormat="false" ht="15" hidden="false" customHeight="false" outlineLevel="0" collapsed="false">
      <c r="A1105" s="2" t="n">
        <v>1104</v>
      </c>
      <c r="B1105" s="2" t="s">
        <v>2527</v>
      </c>
      <c r="C1105" s="2" t="s">
        <v>2528</v>
      </c>
      <c r="D1105" s="2"/>
      <c r="E1105" s="2" t="s">
        <v>52</v>
      </c>
      <c r="F1105" s="3" t="n">
        <v>0.000156</v>
      </c>
      <c r="G1105" s="3" t="n">
        <f aca="false">SUM($F$2:F1105)</f>
        <v>0.84131</v>
      </c>
      <c r="H1105" s="4"/>
      <c r="I1105" s="5"/>
      <c r="J1105" s="4"/>
      <c r="K1105" s="5"/>
      <c r="L1105" s="6"/>
      <c r="M1105" s="5" t="str">
        <f aca="false">IF(AND(N(K1105)&gt;0,N(L1105)&gt;0),K1105/L1105,"")</f>
        <v/>
      </c>
      <c r="N1105" s="2" t="s">
        <v>1226</v>
      </c>
    </row>
    <row r="1106" customFormat="false" ht="15" hidden="false" customHeight="false" outlineLevel="0" collapsed="false">
      <c r="A1106" s="2" t="n">
        <v>1105</v>
      </c>
      <c r="B1106" s="2" t="s">
        <v>2529</v>
      </c>
      <c r="C1106" s="2" t="s">
        <v>2530</v>
      </c>
      <c r="D1106" s="2"/>
      <c r="E1106" s="2" t="s">
        <v>82</v>
      </c>
      <c r="F1106" s="3" t="n">
        <v>0.000156</v>
      </c>
      <c r="G1106" s="3" t="n">
        <f aca="false">SUM($F$2:F1106)</f>
        <v>0.841466</v>
      </c>
      <c r="H1106" s="4"/>
      <c r="I1106" s="5"/>
      <c r="J1106" s="4"/>
      <c r="K1106" s="5"/>
      <c r="L1106" s="6"/>
      <c r="M1106" s="5" t="str">
        <f aca="false">IF(AND(N(K1106)&gt;0,N(L1106)&gt;0),K1106/L1106,"")</f>
        <v/>
      </c>
      <c r="N1106" s="2" t="s">
        <v>1226</v>
      </c>
    </row>
    <row r="1107" customFormat="false" ht="15" hidden="false" customHeight="false" outlineLevel="0" collapsed="false">
      <c r="A1107" s="2" t="n">
        <v>1106</v>
      </c>
      <c r="B1107" s="2" t="s">
        <v>959</v>
      </c>
      <c r="C1107" s="2" t="s">
        <v>2531</v>
      </c>
      <c r="D1107" s="2"/>
      <c r="E1107" s="2" t="s">
        <v>43</v>
      </c>
      <c r="F1107" s="3" t="n">
        <v>0.000156</v>
      </c>
      <c r="G1107" s="3" t="n">
        <f aca="false">SUM($F$2:F1107)</f>
        <v>0.841622</v>
      </c>
      <c r="H1107" s="4"/>
      <c r="I1107" s="5"/>
      <c r="J1107" s="4"/>
      <c r="K1107" s="5"/>
      <c r="L1107" s="6"/>
      <c r="M1107" s="5" t="str">
        <f aca="false">IF(AND(N(K1107)&gt;0,N(L1107)&gt;0),K1107/L1107,"")</f>
        <v/>
      </c>
      <c r="N1107" s="2" t="s">
        <v>1226</v>
      </c>
    </row>
    <row r="1108" customFormat="false" ht="15" hidden="false" customHeight="false" outlineLevel="0" collapsed="false">
      <c r="A1108" s="2" t="n">
        <v>1107</v>
      </c>
      <c r="B1108" s="2" t="s">
        <v>2532</v>
      </c>
      <c r="C1108" s="2" t="s">
        <v>2533</v>
      </c>
      <c r="D1108" s="2"/>
      <c r="E1108" s="2" t="s">
        <v>289</v>
      </c>
      <c r="F1108" s="3" t="n">
        <v>0.000155</v>
      </c>
      <c r="G1108" s="3" t="n">
        <f aca="false">SUM($F$2:F1108)</f>
        <v>0.841777</v>
      </c>
      <c r="H1108" s="4"/>
      <c r="I1108" s="5"/>
      <c r="J1108" s="4"/>
      <c r="K1108" s="5"/>
      <c r="L1108" s="6"/>
      <c r="M1108" s="5" t="str">
        <f aca="false">IF(AND(N(K1108)&gt;0,N(L1108)&gt;0),K1108/L1108,"")</f>
        <v/>
      </c>
      <c r="N1108" s="2" t="s">
        <v>1226</v>
      </c>
    </row>
    <row r="1109" customFormat="false" ht="15" hidden="false" customHeight="false" outlineLevel="0" collapsed="false">
      <c r="A1109" s="2" t="n">
        <v>1108</v>
      </c>
      <c r="B1109" s="2" t="s">
        <v>2534</v>
      </c>
      <c r="C1109" s="2" t="s">
        <v>2535</v>
      </c>
      <c r="D1109" s="2"/>
      <c r="E1109" s="2" t="s">
        <v>296</v>
      </c>
      <c r="F1109" s="3" t="n">
        <v>0.000155</v>
      </c>
      <c r="G1109" s="3" t="n">
        <f aca="false">SUM($F$2:F1109)</f>
        <v>0.841932</v>
      </c>
      <c r="H1109" s="4"/>
      <c r="I1109" s="5"/>
      <c r="J1109" s="4"/>
      <c r="K1109" s="5"/>
      <c r="L1109" s="6"/>
      <c r="M1109" s="5" t="str">
        <f aca="false">IF(AND(N(K1109)&gt;0,N(L1109)&gt;0),K1109/L1109,"")</f>
        <v/>
      </c>
      <c r="N1109" s="2" t="s">
        <v>1226</v>
      </c>
    </row>
    <row r="1110" customFormat="false" ht="15" hidden="false" customHeight="false" outlineLevel="0" collapsed="false">
      <c r="A1110" s="2" t="n">
        <v>1109</v>
      </c>
      <c r="B1110" s="2" t="s">
        <v>2536</v>
      </c>
      <c r="C1110" s="2" t="s">
        <v>2537</v>
      </c>
      <c r="D1110" s="2"/>
      <c r="E1110" s="2" t="s">
        <v>1345</v>
      </c>
      <c r="F1110" s="3" t="n">
        <v>0.000155</v>
      </c>
      <c r="G1110" s="3" t="n">
        <f aca="false">SUM($F$2:F1110)</f>
        <v>0.842087</v>
      </c>
      <c r="H1110" s="4"/>
      <c r="I1110" s="5"/>
      <c r="J1110" s="4"/>
      <c r="K1110" s="5"/>
      <c r="L1110" s="6"/>
      <c r="M1110" s="5" t="str">
        <f aca="false">IF(AND(N(K1110)&gt;0,N(L1110)&gt;0),K1110/L1110,"")</f>
        <v/>
      </c>
      <c r="N1110" s="2" t="s">
        <v>1226</v>
      </c>
    </row>
    <row r="1111" customFormat="false" ht="15" hidden="false" customHeight="false" outlineLevel="0" collapsed="false">
      <c r="A1111" s="2" t="n">
        <v>1110</v>
      </c>
      <c r="B1111" s="2" t="s">
        <v>2538</v>
      </c>
      <c r="C1111" s="2" t="s">
        <v>2539</v>
      </c>
      <c r="D1111" s="2"/>
      <c r="E1111" s="2" t="s">
        <v>29</v>
      </c>
      <c r="F1111" s="3" t="n">
        <v>0.000155</v>
      </c>
      <c r="G1111" s="3" t="n">
        <f aca="false">SUM($F$2:F1111)</f>
        <v>0.842242</v>
      </c>
      <c r="H1111" s="4"/>
      <c r="I1111" s="5"/>
      <c r="J1111" s="4"/>
      <c r="K1111" s="5"/>
      <c r="L1111" s="6"/>
      <c r="M1111" s="5" t="str">
        <f aca="false">IF(AND(N(K1111)&gt;0,N(L1111)&gt;0),K1111/L1111,"")</f>
        <v/>
      </c>
      <c r="N1111" s="2" t="s">
        <v>1226</v>
      </c>
    </row>
    <row r="1112" customFormat="false" ht="15" hidden="false" customHeight="false" outlineLevel="0" collapsed="false">
      <c r="A1112" s="2" t="n">
        <v>1111</v>
      </c>
      <c r="B1112" s="2" t="s">
        <v>2540</v>
      </c>
      <c r="C1112" s="2" t="s">
        <v>2541</v>
      </c>
      <c r="D1112" s="2"/>
      <c r="E1112" s="2" t="s">
        <v>48</v>
      </c>
      <c r="F1112" s="3" t="n">
        <v>0.000154</v>
      </c>
      <c r="G1112" s="3" t="n">
        <f aca="false">SUM($F$2:F1112)</f>
        <v>0.842396</v>
      </c>
      <c r="H1112" s="4"/>
      <c r="I1112" s="5"/>
      <c r="J1112" s="4"/>
      <c r="K1112" s="5"/>
      <c r="L1112" s="6"/>
      <c r="M1112" s="5" t="str">
        <f aca="false">IF(AND(N(K1112)&gt;0,N(L1112)&gt;0),K1112/L1112,"")</f>
        <v/>
      </c>
      <c r="N1112" s="2" t="s">
        <v>1226</v>
      </c>
    </row>
    <row r="1113" customFormat="false" ht="15" hidden="false" customHeight="false" outlineLevel="0" collapsed="false">
      <c r="A1113" s="2" t="n">
        <v>1112</v>
      </c>
      <c r="B1113" s="2" t="s">
        <v>2542</v>
      </c>
      <c r="C1113" s="2" t="s">
        <v>2543</v>
      </c>
      <c r="D1113" s="2"/>
      <c r="E1113" s="2" t="s">
        <v>614</v>
      </c>
      <c r="F1113" s="3" t="n">
        <v>0.000154</v>
      </c>
      <c r="G1113" s="3" t="n">
        <f aca="false">SUM($F$2:F1113)</f>
        <v>0.84255</v>
      </c>
      <c r="H1113" s="4"/>
      <c r="I1113" s="5"/>
      <c r="J1113" s="4"/>
      <c r="K1113" s="5"/>
      <c r="L1113" s="6"/>
      <c r="M1113" s="5" t="str">
        <f aca="false">IF(AND(N(K1113)&gt;0,N(L1113)&gt;0),K1113/L1113,"")</f>
        <v/>
      </c>
      <c r="N1113" s="2" t="s">
        <v>1226</v>
      </c>
    </row>
    <row r="1114" customFormat="false" ht="15" hidden="false" customHeight="false" outlineLevel="0" collapsed="false">
      <c r="A1114" s="2" t="n">
        <v>1113</v>
      </c>
      <c r="B1114" s="2" t="s">
        <v>2544</v>
      </c>
      <c r="C1114" s="2" t="s">
        <v>2545</v>
      </c>
      <c r="D1114" s="2"/>
      <c r="E1114" s="2" t="s">
        <v>52</v>
      </c>
      <c r="F1114" s="3" t="n">
        <v>0.000154</v>
      </c>
      <c r="G1114" s="3" t="n">
        <f aca="false">SUM($F$2:F1114)</f>
        <v>0.842704</v>
      </c>
      <c r="H1114" s="4"/>
      <c r="I1114" s="5"/>
      <c r="J1114" s="4"/>
      <c r="K1114" s="5"/>
      <c r="L1114" s="6"/>
      <c r="M1114" s="5" t="str">
        <f aca="false">IF(AND(N(K1114)&gt;0,N(L1114)&gt;0),K1114/L1114,"")</f>
        <v/>
      </c>
      <c r="N1114" s="2" t="s">
        <v>1226</v>
      </c>
    </row>
    <row r="1115" customFormat="false" ht="15" hidden="false" customHeight="false" outlineLevel="0" collapsed="false">
      <c r="A1115" s="2" t="n">
        <v>1114</v>
      </c>
      <c r="B1115" s="2" t="s">
        <v>2546</v>
      </c>
      <c r="C1115" s="2" t="s">
        <v>2547</v>
      </c>
      <c r="D1115" s="2"/>
      <c r="E1115" s="2" t="s">
        <v>33</v>
      </c>
      <c r="F1115" s="3" t="n">
        <v>0.000153</v>
      </c>
      <c r="G1115" s="3" t="n">
        <f aca="false">SUM($F$2:F1115)</f>
        <v>0.842857</v>
      </c>
      <c r="H1115" s="4"/>
      <c r="I1115" s="5"/>
      <c r="J1115" s="4"/>
      <c r="K1115" s="5"/>
      <c r="L1115" s="6"/>
      <c r="M1115" s="5" t="str">
        <f aca="false">IF(AND(N(K1115)&gt;0,N(L1115)&gt;0),K1115/L1115,"")</f>
        <v/>
      </c>
      <c r="N1115" s="2" t="s">
        <v>1226</v>
      </c>
    </row>
    <row r="1116" customFormat="false" ht="15" hidden="false" customHeight="false" outlineLevel="0" collapsed="false">
      <c r="A1116" s="2" t="n">
        <v>1115</v>
      </c>
      <c r="B1116" s="2" t="s">
        <v>2548</v>
      </c>
      <c r="C1116" s="2" t="s">
        <v>2549</v>
      </c>
      <c r="D1116" s="2"/>
      <c r="E1116" s="2" t="s">
        <v>25</v>
      </c>
      <c r="F1116" s="3" t="n">
        <v>0.000153</v>
      </c>
      <c r="G1116" s="3" t="n">
        <f aca="false">SUM($F$2:F1116)</f>
        <v>0.84301</v>
      </c>
      <c r="H1116" s="4"/>
      <c r="I1116" s="5"/>
      <c r="J1116" s="4"/>
      <c r="K1116" s="5"/>
      <c r="L1116" s="6"/>
      <c r="M1116" s="5" t="str">
        <f aca="false">IF(AND(N(K1116)&gt;0,N(L1116)&gt;0),K1116/L1116,"")</f>
        <v/>
      </c>
      <c r="N1116" s="2" t="s">
        <v>1226</v>
      </c>
    </row>
    <row r="1117" customFormat="false" ht="15" hidden="false" customHeight="false" outlineLevel="0" collapsed="false">
      <c r="A1117" s="2" t="n">
        <v>1116</v>
      </c>
      <c r="B1117" s="2" t="s">
        <v>2550</v>
      </c>
      <c r="C1117" s="2" t="s">
        <v>2551</v>
      </c>
      <c r="D1117" s="2"/>
      <c r="E1117" s="2" t="s">
        <v>38</v>
      </c>
      <c r="F1117" s="3" t="n">
        <v>0.000153</v>
      </c>
      <c r="G1117" s="3" t="n">
        <f aca="false">SUM($F$2:F1117)</f>
        <v>0.843163</v>
      </c>
      <c r="H1117" s="4"/>
      <c r="I1117" s="5"/>
      <c r="J1117" s="4"/>
      <c r="K1117" s="5"/>
      <c r="L1117" s="6"/>
      <c r="M1117" s="5" t="str">
        <f aca="false">IF(AND(N(K1117)&gt;0,N(L1117)&gt;0),K1117/L1117,"")</f>
        <v/>
      </c>
      <c r="N1117" s="2" t="s">
        <v>1226</v>
      </c>
    </row>
    <row r="1118" customFormat="false" ht="15" hidden="false" customHeight="false" outlineLevel="0" collapsed="false">
      <c r="A1118" s="2" t="n">
        <v>1117</v>
      </c>
      <c r="B1118" s="2" t="s">
        <v>2552</v>
      </c>
      <c r="C1118" s="2" t="s">
        <v>2553</v>
      </c>
      <c r="D1118" s="2"/>
      <c r="E1118" s="2" t="s">
        <v>52</v>
      </c>
      <c r="F1118" s="3" t="n">
        <v>0.000153</v>
      </c>
      <c r="G1118" s="3" t="n">
        <f aca="false">SUM($F$2:F1118)</f>
        <v>0.843316</v>
      </c>
      <c r="H1118" s="4"/>
      <c r="I1118" s="5"/>
      <c r="J1118" s="4"/>
      <c r="K1118" s="5"/>
      <c r="L1118" s="6"/>
      <c r="M1118" s="5" t="str">
        <f aca="false">IF(AND(N(K1118)&gt;0,N(L1118)&gt;0),K1118/L1118,"")</f>
        <v/>
      </c>
      <c r="N1118" s="2" t="s">
        <v>1226</v>
      </c>
    </row>
    <row r="1119" customFormat="false" ht="15" hidden="false" customHeight="false" outlineLevel="0" collapsed="false">
      <c r="A1119" s="2" t="n">
        <v>1118</v>
      </c>
      <c r="B1119" s="2" t="s">
        <v>2554</v>
      </c>
      <c r="C1119" s="2" t="s">
        <v>2555</v>
      </c>
      <c r="D1119" s="2"/>
      <c r="E1119" s="2" t="s">
        <v>52</v>
      </c>
      <c r="F1119" s="3" t="n">
        <v>0.000153</v>
      </c>
      <c r="G1119" s="3" t="n">
        <f aca="false">SUM($F$2:F1119)</f>
        <v>0.843469</v>
      </c>
      <c r="H1119" s="4"/>
      <c r="I1119" s="5"/>
      <c r="J1119" s="4"/>
      <c r="K1119" s="5"/>
      <c r="L1119" s="6"/>
      <c r="M1119" s="5" t="str">
        <f aca="false">IF(AND(N(K1119)&gt;0,N(L1119)&gt;0),K1119/L1119,"")</f>
        <v/>
      </c>
      <c r="N1119" s="2" t="s">
        <v>1226</v>
      </c>
    </row>
    <row r="1120" customFormat="false" ht="15" hidden="false" customHeight="false" outlineLevel="0" collapsed="false">
      <c r="A1120" s="2" t="n">
        <v>1119</v>
      </c>
      <c r="B1120" s="2" t="s">
        <v>1139</v>
      </c>
      <c r="C1120" s="2" t="s">
        <v>2556</v>
      </c>
      <c r="D1120" s="2"/>
      <c r="E1120" s="2" t="s">
        <v>52</v>
      </c>
      <c r="F1120" s="3" t="n">
        <v>0.000153</v>
      </c>
      <c r="G1120" s="3" t="n">
        <f aca="false">SUM($F$2:F1120)</f>
        <v>0.843622</v>
      </c>
      <c r="H1120" s="4"/>
      <c r="I1120" s="5"/>
      <c r="J1120" s="4"/>
      <c r="K1120" s="5"/>
      <c r="L1120" s="6"/>
      <c r="M1120" s="5" t="str">
        <f aca="false">IF(AND(N(K1120)&gt;0,N(L1120)&gt;0),K1120/L1120,"")</f>
        <v/>
      </c>
      <c r="N1120" s="2" t="s">
        <v>1226</v>
      </c>
    </row>
    <row r="1121" customFormat="false" ht="15" hidden="false" customHeight="false" outlineLevel="0" collapsed="false">
      <c r="A1121" s="2" t="n">
        <v>1120</v>
      </c>
      <c r="B1121" s="2" t="s">
        <v>2557</v>
      </c>
      <c r="C1121" s="2" t="s">
        <v>2558</v>
      </c>
      <c r="D1121" s="2"/>
      <c r="E1121" s="2" t="s">
        <v>2055</v>
      </c>
      <c r="F1121" s="3" t="n">
        <v>0.000153</v>
      </c>
      <c r="G1121" s="3" t="n">
        <f aca="false">SUM($F$2:F1121)</f>
        <v>0.843775</v>
      </c>
      <c r="H1121" s="4"/>
      <c r="I1121" s="5"/>
      <c r="J1121" s="4"/>
      <c r="K1121" s="5"/>
      <c r="L1121" s="6"/>
      <c r="M1121" s="5" t="str">
        <f aca="false">IF(AND(N(K1121)&gt;0,N(L1121)&gt;0),K1121/L1121,"")</f>
        <v/>
      </c>
      <c r="N1121" s="2" t="s">
        <v>1226</v>
      </c>
    </row>
    <row r="1122" customFormat="false" ht="15" hidden="false" customHeight="false" outlineLevel="0" collapsed="false">
      <c r="A1122" s="2" t="n">
        <v>1121</v>
      </c>
      <c r="B1122" s="2" t="s">
        <v>2559</v>
      </c>
      <c r="C1122" s="2" t="s">
        <v>2560</v>
      </c>
      <c r="D1122" s="2"/>
      <c r="E1122" s="2" t="s">
        <v>679</v>
      </c>
      <c r="F1122" s="3" t="n">
        <v>0.000153</v>
      </c>
      <c r="G1122" s="3" t="n">
        <f aca="false">SUM($F$2:F1122)</f>
        <v>0.843928</v>
      </c>
      <c r="H1122" s="4"/>
      <c r="I1122" s="5"/>
      <c r="J1122" s="4"/>
      <c r="K1122" s="5"/>
      <c r="L1122" s="6"/>
      <c r="M1122" s="5" t="str">
        <f aca="false">IF(AND(N(K1122)&gt;0,N(L1122)&gt;0),K1122/L1122,"")</f>
        <v/>
      </c>
      <c r="N1122" s="2" t="s">
        <v>1226</v>
      </c>
    </row>
    <row r="1123" customFormat="false" ht="15" hidden="false" customHeight="false" outlineLevel="0" collapsed="false">
      <c r="A1123" s="2" t="n">
        <v>1122</v>
      </c>
      <c r="B1123" s="2" t="s">
        <v>2561</v>
      </c>
      <c r="C1123" s="2" t="s">
        <v>2562</v>
      </c>
      <c r="D1123" s="2"/>
      <c r="E1123" s="2" t="s">
        <v>48</v>
      </c>
      <c r="F1123" s="3" t="n">
        <v>0.000153</v>
      </c>
      <c r="G1123" s="3" t="n">
        <f aca="false">SUM($F$2:F1123)</f>
        <v>0.844081</v>
      </c>
      <c r="H1123" s="4"/>
      <c r="I1123" s="5"/>
      <c r="J1123" s="4"/>
      <c r="K1123" s="5"/>
      <c r="L1123" s="6"/>
      <c r="M1123" s="5" t="str">
        <f aca="false">IF(AND(N(K1123)&gt;0,N(L1123)&gt;0),K1123/L1123,"")</f>
        <v/>
      </c>
      <c r="N1123" s="2" t="s">
        <v>1226</v>
      </c>
    </row>
    <row r="1124" customFormat="false" ht="15" hidden="false" customHeight="false" outlineLevel="0" collapsed="false">
      <c r="A1124" s="2" t="n">
        <v>1123</v>
      </c>
      <c r="B1124" s="2" t="s">
        <v>2563</v>
      </c>
      <c r="C1124" s="2" t="s">
        <v>2564</v>
      </c>
      <c r="D1124" s="2"/>
      <c r="E1124" s="2" t="s">
        <v>765</v>
      </c>
      <c r="F1124" s="3" t="n">
        <v>0.000152</v>
      </c>
      <c r="G1124" s="3" t="n">
        <f aca="false">SUM($F$2:F1124)</f>
        <v>0.844233</v>
      </c>
      <c r="H1124" s="4"/>
      <c r="I1124" s="5"/>
      <c r="J1124" s="4"/>
      <c r="K1124" s="5"/>
      <c r="L1124" s="6"/>
      <c r="M1124" s="5" t="str">
        <f aca="false">IF(AND(N(K1124)&gt;0,N(L1124)&gt;0),K1124/L1124,"")</f>
        <v/>
      </c>
      <c r="N1124" s="2" t="s">
        <v>1226</v>
      </c>
    </row>
    <row r="1125" customFormat="false" ht="15" hidden="false" customHeight="false" outlineLevel="0" collapsed="false">
      <c r="A1125" s="2" t="n">
        <v>1124</v>
      </c>
      <c r="B1125" s="2" t="s">
        <v>2565</v>
      </c>
      <c r="C1125" s="2" t="s">
        <v>2566</v>
      </c>
      <c r="D1125" s="2"/>
      <c r="E1125" s="2" t="s">
        <v>289</v>
      </c>
      <c r="F1125" s="3" t="n">
        <v>0.000152</v>
      </c>
      <c r="G1125" s="3" t="n">
        <f aca="false">SUM($F$2:F1125)</f>
        <v>0.844385</v>
      </c>
      <c r="H1125" s="4"/>
      <c r="I1125" s="5"/>
      <c r="J1125" s="4"/>
      <c r="K1125" s="5"/>
      <c r="L1125" s="6"/>
      <c r="M1125" s="5" t="str">
        <f aca="false">IF(AND(N(K1125)&gt;0,N(L1125)&gt;0),K1125/L1125,"")</f>
        <v/>
      </c>
      <c r="N1125" s="2" t="s">
        <v>1226</v>
      </c>
    </row>
    <row r="1126" customFormat="false" ht="15" hidden="false" customHeight="false" outlineLevel="0" collapsed="false">
      <c r="A1126" s="2" t="n">
        <v>1125</v>
      </c>
      <c r="B1126" s="2" t="s">
        <v>2567</v>
      </c>
      <c r="C1126" s="2" t="s">
        <v>2568</v>
      </c>
      <c r="D1126" s="2"/>
      <c r="E1126" s="2" t="s">
        <v>82</v>
      </c>
      <c r="F1126" s="3" t="n">
        <v>0.000152</v>
      </c>
      <c r="G1126" s="3" t="n">
        <f aca="false">SUM($F$2:F1126)</f>
        <v>0.844537</v>
      </c>
      <c r="H1126" s="4"/>
      <c r="I1126" s="5"/>
      <c r="J1126" s="4"/>
      <c r="K1126" s="5"/>
      <c r="L1126" s="6"/>
      <c r="M1126" s="5" t="str">
        <f aca="false">IF(AND(N(K1126)&gt;0,N(L1126)&gt;0),K1126/L1126,"")</f>
        <v/>
      </c>
      <c r="N1126" s="2" t="s">
        <v>1226</v>
      </c>
    </row>
    <row r="1127" customFormat="false" ht="15" hidden="false" customHeight="false" outlineLevel="0" collapsed="false">
      <c r="A1127" s="2" t="n">
        <v>1126</v>
      </c>
      <c r="B1127" s="2" t="s">
        <v>2569</v>
      </c>
      <c r="C1127" s="2" t="s">
        <v>2570</v>
      </c>
      <c r="D1127" s="2"/>
      <c r="E1127" s="2" t="s">
        <v>2055</v>
      </c>
      <c r="F1127" s="3" t="n">
        <v>0.000152</v>
      </c>
      <c r="G1127" s="3" t="n">
        <f aca="false">SUM($F$2:F1127)</f>
        <v>0.844689</v>
      </c>
      <c r="H1127" s="4"/>
      <c r="I1127" s="5"/>
      <c r="J1127" s="4"/>
      <c r="K1127" s="5"/>
      <c r="L1127" s="6"/>
      <c r="M1127" s="5" t="str">
        <f aca="false">IF(AND(N(K1127)&gt;0,N(L1127)&gt;0),K1127/L1127,"")</f>
        <v/>
      </c>
      <c r="N1127" s="2" t="s">
        <v>1226</v>
      </c>
    </row>
    <row r="1128" customFormat="false" ht="15" hidden="false" customHeight="false" outlineLevel="0" collapsed="false">
      <c r="A1128" s="2" t="n">
        <v>1127</v>
      </c>
      <c r="B1128" s="2" t="s">
        <v>2571</v>
      </c>
      <c r="C1128" s="2" t="s">
        <v>2572</v>
      </c>
      <c r="D1128" s="2"/>
      <c r="E1128" s="2" t="s">
        <v>539</v>
      </c>
      <c r="F1128" s="3" t="n">
        <v>0.000152</v>
      </c>
      <c r="G1128" s="3" t="n">
        <f aca="false">SUM($F$2:F1128)</f>
        <v>0.844841</v>
      </c>
      <c r="H1128" s="4"/>
      <c r="I1128" s="5"/>
      <c r="J1128" s="4"/>
      <c r="K1128" s="5"/>
      <c r="L1128" s="6"/>
      <c r="M1128" s="5" t="str">
        <f aca="false">IF(AND(N(K1128)&gt;0,N(L1128)&gt;0),K1128/L1128,"")</f>
        <v/>
      </c>
      <c r="N1128" s="2" t="s">
        <v>1226</v>
      </c>
    </row>
    <row r="1129" customFormat="false" ht="15" hidden="false" customHeight="false" outlineLevel="0" collapsed="false">
      <c r="A1129" s="2" t="n">
        <v>1128</v>
      </c>
      <c r="B1129" s="2" t="s">
        <v>2573</v>
      </c>
      <c r="C1129" s="2" t="s">
        <v>2574</v>
      </c>
      <c r="D1129" s="2"/>
      <c r="E1129" s="2" t="s">
        <v>29</v>
      </c>
      <c r="F1129" s="3" t="n">
        <v>0.000152</v>
      </c>
      <c r="G1129" s="3" t="n">
        <f aca="false">SUM($F$2:F1129)</f>
        <v>0.844993</v>
      </c>
      <c r="H1129" s="4"/>
      <c r="I1129" s="5"/>
      <c r="J1129" s="4"/>
      <c r="K1129" s="5"/>
      <c r="L1129" s="6"/>
      <c r="M1129" s="5" t="str">
        <f aca="false">IF(AND(N(K1129)&gt;0,N(L1129)&gt;0),K1129/L1129,"")</f>
        <v/>
      </c>
      <c r="N1129" s="2" t="s">
        <v>1226</v>
      </c>
    </row>
    <row r="1130" customFormat="false" ht="15" hidden="false" customHeight="false" outlineLevel="0" collapsed="false">
      <c r="A1130" s="2" t="n">
        <v>1129</v>
      </c>
      <c r="B1130" s="2" t="s">
        <v>2575</v>
      </c>
      <c r="C1130" s="2" t="s">
        <v>2576</v>
      </c>
      <c r="D1130" s="2"/>
      <c r="E1130" s="2" t="s">
        <v>1430</v>
      </c>
      <c r="F1130" s="3" t="n">
        <v>0.000152</v>
      </c>
      <c r="G1130" s="3" t="n">
        <f aca="false">SUM($F$2:F1130)</f>
        <v>0.845145</v>
      </c>
      <c r="H1130" s="4"/>
      <c r="I1130" s="5"/>
      <c r="J1130" s="4"/>
      <c r="K1130" s="5"/>
      <c r="L1130" s="6"/>
      <c r="M1130" s="5" t="str">
        <f aca="false">IF(AND(N(K1130)&gt;0,N(L1130)&gt;0),K1130/L1130,"")</f>
        <v/>
      </c>
      <c r="N1130" s="2" t="s">
        <v>1226</v>
      </c>
    </row>
    <row r="1131" customFormat="false" ht="15" hidden="false" customHeight="false" outlineLevel="0" collapsed="false">
      <c r="A1131" s="2" t="n">
        <v>1130</v>
      </c>
      <c r="B1131" s="2" t="s">
        <v>2577</v>
      </c>
      <c r="C1131" s="2" t="s">
        <v>2578</v>
      </c>
      <c r="D1131" s="2"/>
      <c r="E1131" s="2" t="s">
        <v>52</v>
      </c>
      <c r="F1131" s="3" t="n">
        <v>0.000151</v>
      </c>
      <c r="G1131" s="3" t="n">
        <f aca="false">SUM($F$2:F1131)</f>
        <v>0.845296</v>
      </c>
      <c r="H1131" s="4"/>
      <c r="I1131" s="5"/>
      <c r="J1131" s="4"/>
      <c r="K1131" s="5"/>
      <c r="L1131" s="6"/>
      <c r="M1131" s="5" t="str">
        <f aca="false">IF(AND(N(K1131)&gt;0,N(L1131)&gt;0),K1131/L1131,"")</f>
        <v/>
      </c>
      <c r="N1131" s="2" t="s">
        <v>1226</v>
      </c>
    </row>
    <row r="1132" customFormat="false" ht="15" hidden="false" customHeight="false" outlineLevel="0" collapsed="false">
      <c r="A1132" s="2" t="n">
        <v>1131</v>
      </c>
      <c r="B1132" s="2" t="s">
        <v>2579</v>
      </c>
      <c r="C1132" s="2" t="s">
        <v>2580</v>
      </c>
      <c r="D1132" s="2"/>
      <c r="E1132" s="2" t="s">
        <v>21</v>
      </c>
      <c r="F1132" s="3" t="n">
        <v>0.000151</v>
      </c>
      <c r="G1132" s="3" t="n">
        <f aca="false">SUM($F$2:F1132)</f>
        <v>0.845447</v>
      </c>
      <c r="H1132" s="4"/>
      <c r="I1132" s="5"/>
      <c r="J1132" s="4"/>
      <c r="K1132" s="5"/>
      <c r="L1132" s="6"/>
      <c r="M1132" s="5" t="str">
        <f aca="false">IF(AND(N(K1132)&gt;0,N(L1132)&gt;0),K1132/L1132,"")</f>
        <v/>
      </c>
      <c r="N1132" s="2" t="s">
        <v>1226</v>
      </c>
    </row>
    <row r="1133" customFormat="false" ht="15" hidden="false" customHeight="false" outlineLevel="0" collapsed="false">
      <c r="A1133" s="2" t="n">
        <v>1132</v>
      </c>
      <c r="B1133" s="2" t="s">
        <v>2581</v>
      </c>
      <c r="C1133" s="2" t="s">
        <v>2582</v>
      </c>
      <c r="D1133" s="2"/>
      <c r="E1133" s="2" t="s">
        <v>33</v>
      </c>
      <c r="F1133" s="3" t="n">
        <v>0.000151</v>
      </c>
      <c r="G1133" s="3" t="n">
        <f aca="false">SUM($F$2:F1133)</f>
        <v>0.845598</v>
      </c>
      <c r="H1133" s="4"/>
      <c r="I1133" s="5"/>
      <c r="J1133" s="4"/>
      <c r="K1133" s="5"/>
      <c r="L1133" s="6"/>
      <c r="M1133" s="5" t="str">
        <f aca="false">IF(AND(N(K1133)&gt;0,N(L1133)&gt;0),K1133/L1133,"")</f>
        <v/>
      </c>
      <c r="N1133" s="2" t="s">
        <v>1226</v>
      </c>
    </row>
    <row r="1134" customFormat="false" ht="15" hidden="false" customHeight="false" outlineLevel="0" collapsed="false">
      <c r="A1134" s="2" t="n">
        <v>1133</v>
      </c>
      <c r="B1134" s="2" t="s">
        <v>2583</v>
      </c>
      <c r="C1134" s="2" t="s">
        <v>2584</v>
      </c>
      <c r="D1134" s="2"/>
      <c r="E1134" s="2" t="s">
        <v>289</v>
      </c>
      <c r="F1134" s="3" t="n">
        <v>0.000151</v>
      </c>
      <c r="G1134" s="3" t="n">
        <f aca="false">SUM($F$2:F1134)</f>
        <v>0.845749</v>
      </c>
      <c r="H1134" s="4"/>
      <c r="I1134" s="5"/>
      <c r="J1134" s="4"/>
      <c r="K1134" s="5"/>
      <c r="L1134" s="6"/>
      <c r="M1134" s="5" t="str">
        <f aca="false">IF(AND(N(K1134)&gt;0,N(L1134)&gt;0),K1134/L1134,"")</f>
        <v/>
      </c>
      <c r="N1134" s="2" t="s">
        <v>1226</v>
      </c>
    </row>
    <row r="1135" customFormat="false" ht="15" hidden="false" customHeight="false" outlineLevel="0" collapsed="false">
      <c r="A1135" s="2" t="n">
        <v>1134</v>
      </c>
      <c r="B1135" s="2" t="s">
        <v>2585</v>
      </c>
      <c r="C1135" s="2" t="s">
        <v>2586</v>
      </c>
      <c r="D1135" s="2"/>
      <c r="E1135" s="2" t="s">
        <v>296</v>
      </c>
      <c r="F1135" s="3" t="n">
        <v>0.000151</v>
      </c>
      <c r="G1135" s="3" t="n">
        <f aca="false">SUM($F$2:F1135)</f>
        <v>0.8459</v>
      </c>
      <c r="H1135" s="4"/>
      <c r="I1135" s="5"/>
      <c r="J1135" s="4"/>
      <c r="K1135" s="5"/>
      <c r="L1135" s="6"/>
      <c r="M1135" s="5" t="str">
        <f aca="false">IF(AND(N(K1135)&gt;0,N(L1135)&gt;0),K1135/L1135,"")</f>
        <v/>
      </c>
      <c r="N1135" s="2" t="s">
        <v>1226</v>
      </c>
    </row>
    <row r="1136" customFormat="false" ht="15" hidden="false" customHeight="false" outlineLevel="0" collapsed="false">
      <c r="A1136" s="2" t="n">
        <v>1135</v>
      </c>
      <c r="B1136" s="2" t="s">
        <v>2587</v>
      </c>
      <c r="C1136" s="2" t="s">
        <v>2588</v>
      </c>
      <c r="D1136" s="2"/>
      <c r="E1136" s="2" t="s">
        <v>679</v>
      </c>
      <c r="F1136" s="3" t="n">
        <v>0.000151</v>
      </c>
      <c r="G1136" s="3" t="n">
        <f aca="false">SUM($F$2:F1136)</f>
        <v>0.846051</v>
      </c>
      <c r="H1136" s="4"/>
      <c r="I1136" s="5"/>
      <c r="J1136" s="4"/>
      <c r="K1136" s="5"/>
      <c r="L1136" s="6"/>
      <c r="M1136" s="5" t="str">
        <f aca="false">IF(AND(N(K1136)&gt;0,N(L1136)&gt;0),K1136/L1136,"")</f>
        <v/>
      </c>
      <c r="N1136" s="2" t="s">
        <v>1226</v>
      </c>
    </row>
    <row r="1137" customFormat="false" ht="15" hidden="false" customHeight="false" outlineLevel="0" collapsed="false">
      <c r="A1137" s="2" t="n">
        <v>1136</v>
      </c>
      <c r="B1137" s="2" t="s">
        <v>2589</v>
      </c>
      <c r="C1137" s="2" t="s">
        <v>2590</v>
      </c>
      <c r="D1137" s="2"/>
      <c r="E1137" s="2" t="s">
        <v>1245</v>
      </c>
      <c r="F1137" s="3" t="n">
        <v>0.000151</v>
      </c>
      <c r="G1137" s="3" t="n">
        <f aca="false">SUM($F$2:F1137)</f>
        <v>0.846202</v>
      </c>
      <c r="H1137" s="4"/>
      <c r="I1137" s="5"/>
      <c r="J1137" s="4"/>
      <c r="K1137" s="5"/>
      <c r="L1137" s="6"/>
      <c r="M1137" s="5" t="str">
        <f aca="false">IF(AND(N(K1137)&gt;0,N(L1137)&gt;0),K1137/L1137,"")</f>
        <v/>
      </c>
      <c r="N1137" s="2" t="s">
        <v>1226</v>
      </c>
    </row>
    <row r="1138" customFormat="false" ht="15" hidden="false" customHeight="false" outlineLevel="0" collapsed="false">
      <c r="A1138" s="2" t="n">
        <v>1137</v>
      </c>
      <c r="B1138" s="2" t="s">
        <v>2591</v>
      </c>
      <c r="C1138" s="2" t="s">
        <v>2592</v>
      </c>
      <c r="D1138" s="2"/>
      <c r="E1138" s="2" t="s">
        <v>289</v>
      </c>
      <c r="F1138" s="3" t="n">
        <v>0.000151</v>
      </c>
      <c r="G1138" s="3" t="n">
        <f aca="false">SUM($F$2:F1138)</f>
        <v>0.846353</v>
      </c>
      <c r="H1138" s="4"/>
      <c r="I1138" s="5"/>
      <c r="J1138" s="4"/>
      <c r="K1138" s="5"/>
      <c r="L1138" s="6"/>
      <c r="M1138" s="5" t="str">
        <f aca="false">IF(AND(N(K1138)&gt;0,N(L1138)&gt;0),K1138/L1138,"")</f>
        <v/>
      </c>
      <c r="N1138" s="2" t="s">
        <v>1226</v>
      </c>
    </row>
    <row r="1139" customFormat="false" ht="15" hidden="false" customHeight="false" outlineLevel="0" collapsed="false">
      <c r="A1139" s="2" t="n">
        <v>1138</v>
      </c>
      <c r="B1139" s="2" t="s">
        <v>2593</v>
      </c>
      <c r="C1139" s="2" t="s">
        <v>2594</v>
      </c>
      <c r="D1139" s="2"/>
      <c r="E1139" s="2" t="s">
        <v>334</v>
      </c>
      <c r="F1139" s="3" t="n">
        <v>0.000151</v>
      </c>
      <c r="G1139" s="3" t="n">
        <f aca="false">SUM($F$2:F1139)</f>
        <v>0.846504</v>
      </c>
      <c r="H1139" s="4"/>
      <c r="I1139" s="5"/>
      <c r="J1139" s="4"/>
      <c r="K1139" s="5"/>
      <c r="L1139" s="6"/>
      <c r="M1139" s="5" t="str">
        <f aca="false">IF(AND(N(K1139)&gt;0,N(L1139)&gt;0),K1139/L1139,"")</f>
        <v/>
      </c>
      <c r="N1139" s="2" t="s">
        <v>1226</v>
      </c>
    </row>
    <row r="1140" customFormat="false" ht="15" hidden="false" customHeight="false" outlineLevel="0" collapsed="false">
      <c r="A1140" s="2" t="n">
        <v>1139</v>
      </c>
      <c r="B1140" s="2" t="s">
        <v>1798</v>
      </c>
      <c r="C1140" s="2" t="s">
        <v>2595</v>
      </c>
      <c r="D1140" s="2"/>
      <c r="E1140" s="2" t="s">
        <v>539</v>
      </c>
      <c r="F1140" s="3" t="n">
        <v>0.000151</v>
      </c>
      <c r="G1140" s="3" t="n">
        <f aca="false">SUM($F$2:F1140)</f>
        <v>0.846655</v>
      </c>
      <c r="H1140" s="4"/>
      <c r="I1140" s="5"/>
      <c r="J1140" s="4"/>
      <c r="K1140" s="5"/>
      <c r="L1140" s="6"/>
      <c r="M1140" s="5" t="str">
        <f aca="false">IF(AND(N(K1140)&gt;0,N(L1140)&gt;0),K1140/L1140,"")</f>
        <v/>
      </c>
      <c r="N1140" s="2" t="s">
        <v>1226</v>
      </c>
    </row>
    <row r="1141" customFormat="false" ht="15" hidden="false" customHeight="false" outlineLevel="0" collapsed="false">
      <c r="A1141" s="2" t="n">
        <v>1140</v>
      </c>
      <c r="B1141" s="2" t="s">
        <v>2596</v>
      </c>
      <c r="C1141" s="2" t="s">
        <v>2597</v>
      </c>
      <c r="D1141" s="2"/>
      <c r="E1141" s="2" t="s">
        <v>33</v>
      </c>
      <c r="F1141" s="3" t="n">
        <v>0.000151</v>
      </c>
      <c r="G1141" s="3" t="n">
        <f aca="false">SUM($F$2:F1141)</f>
        <v>0.846806</v>
      </c>
      <c r="H1141" s="4"/>
      <c r="I1141" s="5"/>
      <c r="J1141" s="4"/>
      <c r="K1141" s="5"/>
      <c r="L1141" s="6"/>
      <c r="M1141" s="5" t="str">
        <f aca="false">IF(AND(N(K1141)&gt;0,N(L1141)&gt;0),K1141/L1141,"")</f>
        <v/>
      </c>
      <c r="N1141" s="2" t="s">
        <v>1226</v>
      </c>
    </row>
    <row r="1142" customFormat="false" ht="15" hidden="false" customHeight="false" outlineLevel="0" collapsed="false">
      <c r="A1142" s="2" t="n">
        <v>1141</v>
      </c>
      <c r="B1142" s="2" t="s">
        <v>2598</v>
      </c>
      <c r="C1142" s="2" t="s">
        <v>2599</v>
      </c>
      <c r="D1142" s="2"/>
      <c r="E1142" s="2" t="s">
        <v>33</v>
      </c>
      <c r="F1142" s="3" t="n">
        <v>0.000151</v>
      </c>
      <c r="G1142" s="3" t="n">
        <f aca="false">SUM($F$2:F1142)</f>
        <v>0.846957</v>
      </c>
      <c r="H1142" s="4"/>
      <c r="I1142" s="5"/>
      <c r="J1142" s="4"/>
      <c r="K1142" s="5"/>
      <c r="L1142" s="6"/>
      <c r="M1142" s="5" t="str">
        <f aca="false">IF(AND(N(K1142)&gt;0,N(L1142)&gt;0),K1142/L1142,"")</f>
        <v/>
      </c>
      <c r="N1142" s="2" t="s">
        <v>1226</v>
      </c>
    </row>
    <row r="1143" customFormat="false" ht="15" hidden="false" customHeight="false" outlineLevel="0" collapsed="false">
      <c r="A1143" s="2" t="n">
        <v>1142</v>
      </c>
      <c r="B1143" s="2" t="s">
        <v>2600</v>
      </c>
      <c r="C1143" s="2" t="s">
        <v>2601</v>
      </c>
      <c r="D1143" s="2"/>
      <c r="E1143" s="2" t="s">
        <v>29</v>
      </c>
      <c r="F1143" s="3" t="n">
        <v>0.00015</v>
      </c>
      <c r="G1143" s="3" t="n">
        <f aca="false">SUM($F$2:F1143)</f>
        <v>0.847107</v>
      </c>
      <c r="H1143" s="4"/>
      <c r="I1143" s="5"/>
      <c r="J1143" s="4"/>
      <c r="K1143" s="5"/>
      <c r="L1143" s="6"/>
      <c r="M1143" s="5" t="str">
        <f aca="false">IF(AND(N(K1143)&gt;0,N(L1143)&gt;0),K1143/L1143,"")</f>
        <v/>
      </c>
      <c r="N1143" s="2" t="s">
        <v>1226</v>
      </c>
    </row>
    <row r="1144" customFormat="false" ht="15" hidden="false" customHeight="false" outlineLevel="0" collapsed="false">
      <c r="A1144" s="2" t="n">
        <v>1143</v>
      </c>
      <c r="B1144" s="2" t="s">
        <v>2602</v>
      </c>
      <c r="C1144" s="2" t="s">
        <v>2603</v>
      </c>
      <c r="D1144" s="2"/>
      <c r="E1144" s="2" t="s">
        <v>826</v>
      </c>
      <c r="F1144" s="3" t="n">
        <v>0.00015</v>
      </c>
      <c r="G1144" s="3" t="n">
        <f aca="false">SUM($F$2:F1144)</f>
        <v>0.847257</v>
      </c>
      <c r="H1144" s="4"/>
      <c r="I1144" s="5"/>
      <c r="J1144" s="4"/>
      <c r="K1144" s="5"/>
      <c r="L1144" s="6"/>
      <c r="M1144" s="5" t="str">
        <f aca="false">IF(AND(N(K1144)&gt;0,N(L1144)&gt;0),K1144/L1144,"")</f>
        <v/>
      </c>
      <c r="N1144" s="2" t="s">
        <v>1226</v>
      </c>
    </row>
    <row r="1145" customFormat="false" ht="15" hidden="false" customHeight="false" outlineLevel="0" collapsed="false">
      <c r="A1145" s="2" t="n">
        <v>1144</v>
      </c>
      <c r="B1145" s="2" t="s">
        <v>2604</v>
      </c>
      <c r="C1145" s="2" t="s">
        <v>2605</v>
      </c>
      <c r="D1145" s="2"/>
      <c r="E1145" s="2" t="s">
        <v>43</v>
      </c>
      <c r="F1145" s="3" t="n">
        <v>0.00015</v>
      </c>
      <c r="G1145" s="3" t="n">
        <f aca="false">SUM($F$2:F1145)</f>
        <v>0.847407</v>
      </c>
      <c r="H1145" s="4"/>
      <c r="I1145" s="5"/>
      <c r="J1145" s="4"/>
      <c r="K1145" s="5"/>
      <c r="L1145" s="6"/>
      <c r="M1145" s="5" t="str">
        <f aca="false">IF(AND(N(K1145)&gt;0,N(L1145)&gt;0),K1145/L1145,"")</f>
        <v/>
      </c>
      <c r="N1145" s="2" t="s">
        <v>1226</v>
      </c>
    </row>
    <row r="1146" customFormat="false" ht="15" hidden="false" customHeight="false" outlineLevel="0" collapsed="false">
      <c r="A1146" s="2" t="n">
        <v>1145</v>
      </c>
      <c r="B1146" s="2" t="s">
        <v>2606</v>
      </c>
      <c r="C1146" s="2" t="s">
        <v>2607</v>
      </c>
      <c r="D1146" s="2"/>
      <c r="E1146" s="2" t="s">
        <v>334</v>
      </c>
      <c r="F1146" s="3" t="n">
        <v>0.00015</v>
      </c>
      <c r="G1146" s="3" t="n">
        <f aca="false">SUM($F$2:F1146)</f>
        <v>0.847557</v>
      </c>
      <c r="H1146" s="4"/>
      <c r="I1146" s="5"/>
      <c r="J1146" s="4"/>
      <c r="K1146" s="5"/>
      <c r="L1146" s="6"/>
      <c r="M1146" s="5" t="str">
        <f aca="false">IF(AND(N(K1146)&gt;0,N(L1146)&gt;0),K1146/L1146,"")</f>
        <v/>
      </c>
      <c r="N1146" s="2" t="s">
        <v>1226</v>
      </c>
    </row>
    <row r="1147" customFormat="false" ht="15" hidden="false" customHeight="false" outlineLevel="0" collapsed="false">
      <c r="A1147" s="2" t="n">
        <v>1146</v>
      </c>
      <c r="B1147" s="2" t="s">
        <v>2608</v>
      </c>
      <c r="C1147" s="2" t="s">
        <v>2609</v>
      </c>
      <c r="D1147" s="2"/>
      <c r="E1147" s="2" t="s">
        <v>765</v>
      </c>
      <c r="F1147" s="3" t="n">
        <v>0.00015</v>
      </c>
      <c r="G1147" s="3" t="n">
        <f aca="false">SUM($F$2:F1147)</f>
        <v>0.847707</v>
      </c>
      <c r="H1147" s="4"/>
      <c r="I1147" s="5"/>
      <c r="J1147" s="4"/>
      <c r="K1147" s="5"/>
      <c r="L1147" s="6"/>
      <c r="M1147" s="5" t="str">
        <f aca="false">IF(AND(N(K1147)&gt;0,N(L1147)&gt;0),K1147/L1147,"")</f>
        <v/>
      </c>
      <c r="N1147" s="2" t="s">
        <v>1226</v>
      </c>
    </row>
    <row r="1148" customFormat="false" ht="15" hidden="false" customHeight="false" outlineLevel="0" collapsed="false">
      <c r="A1148" s="2" t="n">
        <v>1147</v>
      </c>
      <c r="B1148" s="2" t="s">
        <v>2610</v>
      </c>
      <c r="C1148" s="2" t="s">
        <v>2611</v>
      </c>
      <c r="D1148" s="2"/>
      <c r="E1148" s="2" t="s">
        <v>52</v>
      </c>
      <c r="F1148" s="3" t="n">
        <v>0.00015</v>
      </c>
      <c r="G1148" s="3" t="n">
        <f aca="false">SUM($F$2:F1148)</f>
        <v>0.847857</v>
      </c>
      <c r="H1148" s="4"/>
      <c r="I1148" s="5"/>
      <c r="J1148" s="4"/>
      <c r="K1148" s="5"/>
      <c r="L1148" s="6"/>
      <c r="M1148" s="5" t="str">
        <f aca="false">IF(AND(N(K1148)&gt;0,N(L1148)&gt;0),K1148/L1148,"")</f>
        <v/>
      </c>
      <c r="N1148" s="2" t="s">
        <v>1226</v>
      </c>
    </row>
    <row r="1149" customFormat="false" ht="15" hidden="false" customHeight="false" outlineLevel="0" collapsed="false">
      <c r="A1149" s="2" t="n">
        <v>1148</v>
      </c>
      <c r="B1149" s="2" t="s">
        <v>2612</v>
      </c>
      <c r="C1149" s="2" t="s">
        <v>2613</v>
      </c>
      <c r="D1149" s="2"/>
      <c r="E1149" s="2" t="s">
        <v>29</v>
      </c>
      <c r="F1149" s="3" t="n">
        <v>0.00015</v>
      </c>
      <c r="G1149" s="3" t="n">
        <f aca="false">SUM($F$2:F1149)</f>
        <v>0.848007</v>
      </c>
      <c r="H1149" s="4"/>
      <c r="I1149" s="5"/>
      <c r="J1149" s="4"/>
      <c r="K1149" s="5"/>
      <c r="L1149" s="6"/>
      <c r="M1149" s="5" t="str">
        <f aca="false">IF(AND(N(K1149)&gt;0,N(L1149)&gt;0),K1149/L1149,"")</f>
        <v/>
      </c>
      <c r="N1149" s="2" t="s">
        <v>1226</v>
      </c>
    </row>
    <row r="1150" customFormat="false" ht="15" hidden="false" customHeight="false" outlineLevel="0" collapsed="false">
      <c r="A1150" s="2" t="n">
        <v>1149</v>
      </c>
      <c r="B1150" s="2" t="s">
        <v>2614</v>
      </c>
      <c r="C1150" s="2" t="s">
        <v>2615</v>
      </c>
      <c r="D1150" s="2"/>
      <c r="E1150" s="2" t="s">
        <v>29</v>
      </c>
      <c r="F1150" s="3" t="n">
        <v>0.000149</v>
      </c>
      <c r="G1150" s="3" t="n">
        <f aca="false">SUM($F$2:F1150)</f>
        <v>0.848156</v>
      </c>
      <c r="H1150" s="4"/>
      <c r="I1150" s="5"/>
      <c r="J1150" s="4"/>
      <c r="K1150" s="5"/>
      <c r="L1150" s="6"/>
      <c r="M1150" s="5" t="str">
        <f aca="false">IF(AND(N(K1150)&gt;0,N(L1150)&gt;0),K1150/L1150,"")</f>
        <v/>
      </c>
      <c r="N1150" s="2" t="s">
        <v>1226</v>
      </c>
    </row>
    <row r="1151" customFormat="false" ht="15" hidden="false" customHeight="false" outlineLevel="0" collapsed="false">
      <c r="A1151" s="2" t="n">
        <v>1150</v>
      </c>
      <c r="B1151" s="2" t="s">
        <v>2616</v>
      </c>
      <c r="C1151" s="2" t="s">
        <v>2617</v>
      </c>
      <c r="D1151" s="2"/>
      <c r="E1151" s="2" t="s">
        <v>48</v>
      </c>
      <c r="F1151" s="3" t="n">
        <v>0.000149</v>
      </c>
      <c r="G1151" s="3" t="n">
        <f aca="false">SUM($F$2:F1151)</f>
        <v>0.848305</v>
      </c>
      <c r="H1151" s="4"/>
      <c r="I1151" s="5"/>
      <c r="J1151" s="4"/>
      <c r="K1151" s="5"/>
      <c r="L1151" s="6"/>
      <c r="M1151" s="5" t="str">
        <f aca="false">IF(AND(N(K1151)&gt;0,N(L1151)&gt;0),K1151/L1151,"")</f>
        <v/>
      </c>
      <c r="N1151" s="2" t="s">
        <v>1226</v>
      </c>
    </row>
    <row r="1152" customFormat="false" ht="15" hidden="false" customHeight="false" outlineLevel="0" collapsed="false">
      <c r="A1152" s="2" t="n">
        <v>1151</v>
      </c>
      <c r="B1152" s="2" t="s">
        <v>2618</v>
      </c>
      <c r="C1152" s="2" t="s">
        <v>2619</v>
      </c>
      <c r="D1152" s="2"/>
      <c r="E1152" s="2" t="s">
        <v>17</v>
      </c>
      <c r="F1152" s="3" t="n">
        <v>0.000149</v>
      </c>
      <c r="G1152" s="3" t="n">
        <f aca="false">SUM($F$2:F1152)</f>
        <v>0.848454</v>
      </c>
      <c r="H1152" s="4"/>
      <c r="I1152" s="5"/>
      <c r="J1152" s="4"/>
      <c r="K1152" s="5"/>
      <c r="L1152" s="6"/>
      <c r="M1152" s="5" t="str">
        <f aca="false">IF(AND(N(K1152)&gt;0,N(L1152)&gt;0),K1152/L1152,"")</f>
        <v/>
      </c>
      <c r="N1152" s="2" t="s">
        <v>1226</v>
      </c>
    </row>
    <row r="1153" customFormat="false" ht="15" hidden="false" customHeight="false" outlineLevel="0" collapsed="false">
      <c r="A1153" s="2" t="n">
        <v>1152</v>
      </c>
      <c r="B1153" s="2" t="s">
        <v>2620</v>
      </c>
      <c r="C1153" s="2" t="s">
        <v>2621</v>
      </c>
      <c r="D1153" s="2"/>
      <c r="E1153" s="2" t="s">
        <v>289</v>
      </c>
      <c r="F1153" s="3" t="n">
        <v>0.000149</v>
      </c>
      <c r="G1153" s="3" t="n">
        <f aca="false">SUM($F$2:F1153)</f>
        <v>0.848603</v>
      </c>
      <c r="H1153" s="4"/>
      <c r="I1153" s="5"/>
      <c r="J1153" s="4"/>
      <c r="K1153" s="5"/>
      <c r="L1153" s="6"/>
      <c r="M1153" s="5" t="str">
        <f aca="false">IF(AND(N(K1153)&gt;0,N(L1153)&gt;0),K1153/L1153,"")</f>
        <v/>
      </c>
      <c r="N1153" s="2" t="s">
        <v>1226</v>
      </c>
    </row>
    <row r="1154" customFormat="false" ht="15" hidden="false" customHeight="false" outlineLevel="0" collapsed="false">
      <c r="A1154" s="2" t="n">
        <v>1153</v>
      </c>
      <c r="B1154" s="2" t="s">
        <v>2622</v>
      </c>
      <c r="C1154" s="2" t="s">
        <v>2623</v>
      </c>
      <c r="D1154" s="2"/>
      <c r="E1154" s="2" t="s">
        <v>33</v>
      </c>
      <c r="F1154" s="3" t="n">
        <v>0.000149</v>
      </c>
      <c r="G1154" s="3" t="n">
        <f aca="false">SUM($F$2:F1154)</f>
        <v>0.848752</v>
      </c>
      <c r="H1154" s="4"/>
      <c r="I1154" s="5"/>
      <c r="J1154" s="4"/>
      <c r="K1154" s="5"/>
      <c r="L1154" s="6"/>
      <c r="M1154" s="5" t="str">
        <f aca="false">IF(AND(N(K1154)&gt;0,N(L1154)&gt;0),K1154/L1154,"")</f>
        <v/>
      </c>
      <c r="N1154" s="2" t="s">
        <v>1226</v>
      </c>
    </row>
    <row r="1155" customFormat="false" ht="15" hidden="false" customHeight="false" outlineLevel="0" collapsed="false">
      <c r="A1155" s="2" t="n">
        <v>1154</v>
      </c>
      <c r="B1155" s="2" t="s">
        <v>2624</v>
      </c>
      <c r="C1155" s="2" t="s">
        <v>2625</v>
      </c>
      <c r="D1155" s="2"/>
      <c r="E1155" s="2" t="s">
        <v>25</v>
      </c>
      <c r="F1155" s="3" t="n">
        <v>0.000149</v>
      </c>
      <c r="G1155" s="3" t="n">
        <f aca="false">SUM($F$2:F1155)</f>
        <v>0.848901</v>
      </c>
      <c r="H1155" s="4"/>
      <c r="I1155" s="5"/>
      <c r="J1155" s="4"/>
      <c r="K1155" s="5"/>
      <c r="L1155" s="6"/>
      <c r="M1155" s="5" t="str">
        <f aca="false">IF(AND(N(K1155)&gt;0,N(L1155)&gt;0),K1155/L1155,"")</f>
        <v/>
      </c>
      <c r="N1155" s="2" t="s">
        <v>1226</v>
      </c>
    </row>
    <row r="1156" customFormat="false" ht="15" hidden="false" customHeight="false" outlineLevel="0" collapsed="false">
      <c r="A1156" s="2" t="n">
        <v>1155</v>
      </c>
      <c r="B1156" s="2" t="s">
        <v>2626</v>
      </c>
      <c r="C1156" s="2" t="s">
        <v>2627</v>
      </c>
      <c r="D1156" s="2"/>
      <c r="E1156" s="2" t="s">
        <v>25</v>
      </c>
      <c r="F1156" s="3" t="n">
        <v>0.000149</v>
      </c>
      <c r="G1156" s="3" t="n">
        <f aca="false">SUM($F$2:F1156)</f>
        <v>0.84905</v>
      </c>
      <c r="H1156" s="4"/>
      <c r="I1156" s="5"/>
      <c r="J1156" s="4"/>
      <c r="K1156" s="5"/>
      <c r="L1156" s="6"/>
      <c r="M1156" s="5" t="str">
        <f aca="false">IF(AND(N(K1156)&gt;0,N(L1156)&gt;0),K1156/L1156,"")</f>
        <v/>
      </c>
      <c r="N1156" s="2" t="s">
        <v>1226</v>
      </c>
    </row>
    <row r="1157" customFormat="false" ht="15" hidden="false" customHeight="false" outlineLevel="0" collapsed="false">
      <c r="A1157" s="2" t="n">
        <v>1156</v>
      </c>
      <c r="B1157" s="2" t="s">
        <v>2628</v>
      </c>
      <c r="C1157" s="2" t="s">
        <v>2629</v>
      </c>
      <c r="D1157" s="2"/>
      <c r="E1157" s="2" t="s">
        <v>33</v>
      </c>
      <c r="F1157" s="3" t="n">
        <v>0.000148</v>
      </c>
      <c r="G1157" s="3" t="n">
        <f aca="false">SUM($F$2:F1157)</f>
        <v>0.849198</v>
      </c>
      <c r="H1157" s="4"/>
      <c r="I1157" s="5"/>
      <c r="J1157" s="4"/>
      <c r="K1157" s="5"/>
      <c r="L1157" s="6"/>
      <c r="M1157" s="5" t="str">
        <f aca="false">IF(AND(N(K1157)&gt;0,N(L1157)&gt;0),K1157/L1157,"")</f>
        <v/>
      </c>
      <c r="N1157" s="2" t="s">
        <v>1226</v>
      </c>
    </row>
    <row r="1158" customFormat="false" ht="15" hidden="false" customHeight="false" outlineLevel="0" collapsed="false">
      <c r="A1158" s="2" t="n">
        <v>1157</v>
      </c>
      <c r="B1158" s="2" t="s">
        <v>2630</v>
      </c>
      <c r="C1158" s="2" t="s">
        <v>2631</v>
      </c>
      <c r="D1158" s="2"/>
      <c r="E1158" s="2" t="s">
        <v>29</v>
      </c>
      <c r="F1158" s="3" t="n">
        <v>0.000148</v>
      </c>
      <c r="G1158" s="3" t="n">
        <f aca="false">SUM($F$2:F1158)</f>
        <v>0.849346</v>
      </c>
      <c r="H1158" s="4"/>
      <c r="I1158" s="5"/>
      <c r="J1158" s="4"/>
      <c r="K1158" s="5"/>
      <c r="L1158" s="6"/>
      <c r="M1158" s="5" t="str">
        <f aca="false">IF(AND(N(K1158)&gt;0,N(L1158)&gt;0),K1158/L1158,"")</f>
        <v/>
      </c>
      <c r="N1158" s="2" t="s">
        <v>1226</v>
      </c>
    </row>
    <row r="1159" customFormat="false" ht="15" hidden="false" customHeight="false" outlineLevel="0" collapsed="false">
      <c r="A1159" s="2" t="n">
        <v>1158</v>
      </c>
      <c r="B1159" s="2" t="s">
        <v>2632</v>
      </c>
      <c r="C1159" s="2" t="s">
        <v>2633</v>
      </c>
      <c r="D1159" s="2"/>
      <c r="E1159" s="2" t="s">
        <v>17</v>
      </c>
      <c r="F1159" s="3" t="n">
        <v>0.000148</v>
      </c>
      <c r="G1159" s="3" t="n">
        <f aca="false">SUM($F$2:F1159)</f>
        <v>0.849494</v>
      </c>
      <c r="H1159" s="4"/>
      <c r="I1159" s="5"/>
      <c r="J1159" s="4"/>
      <c r="K1159" s="5"/>
      <c r="L1159" s="6"/>
      <c r="M1159" s="5" t="str">
        <f aca="false">IF(AND(N(K1159)&gt;0,N(L1159)&gt;0),K1159/L1159,"")</f>
        <v/>
      </c>
      <c r="N1159" s="2" t="s">
        <v>1226</v>
      </c>
    </row>
    <row r="1160" customFormat="false" ht="15" hidden="false" customHeight="false" outlineLevel="0" collapsed="false">
      <c r="A1160" s="2" t="n">
        <v>1159</v>
      </c>
      <c r="B1160" s="2" t="s">
        <v>2634</v>
      </c>
      <c r="C1160" s="2" t="s">
        <v>2635</v>
      </c>
      <c r="D1160" s="2"/>
      <c r="E1160" s="2" t="s">
        <v>82</v>
      </c>
      <c r="F1160" s="3" t="n">
        <v>0.000148</v>
      </c>
      <c r="G1160" s="3" t="n">
        <f aca="false">SUM($F$2:F1160)</f>
        <v>0.849642</v>
      </c>
      <c r="H1160" s="4"/>
      <c r="I1160" s="5"/>
      <c r="J1160" s="4"/>
      <c r="K1160" s="5"/>
      <c r="L1160" s="6"/>
      <c r="M1160" s="5" t="str">
        <f aca="false">IF(AND(N(K1160)&gt;0,N(L1160)&gt;0),K1160/L1160,"")</f>
        <v/>
      </c>
      <c r="N1160" s="2" t="s">
        <v>1226</v>
      </c>
    </row>
    <row r="1161" customFormat="false" ht="15" hidden="false" customHeight="false" outlineLevel="0" collapsed="false">
      <c r="A1161" s="2" t="n">
        <v>1160</v>
      </c>
      <c r="B1161" s="2" t="s">
        <v>2636</v>
      </c>
      <c r="C1161" s="2" t="s">
        <v>2637</v>
      </c>
      <c r="D1161" s="2"/>
      <c r="E1161" s="2" t="s">
        <v>2638</v>
      </c>
      <c r="F1161" s="3" t="n">
        <v>0.000148</v>
      </c>
      <c r="G1161" s="3" t="n">
        <f aca="false">SUM($F$2:F1161)</f>
        <v>0.84979</v>
      </c>
      <c r="H1161" s="4"/>
      <c r="I1161" s="5"/>
      <c r="J1161" s="4"/>
      <c r="K1161" s="5"/>
      <c r="L1161" s="6"/>
      <c r="M1161" s="5" t="str">
        <f aca="false">IF(AND(N(K1161)&gt;0,N(L1161)&gt;0),K1161/L1161,"")</f>
        <v/>
      </c>
      <c r="N1161" s="2" t="s">
        <v>1226</v>
      </c>
    </row>
    <row r="1162" customFormat="false" ht="15" hidden="false" customHeight="false" outlineLevel="0" collapsed="false">
      <c r="A1162" s="2" t="n">
        <v>1161</v>
      </c>
      <c r="B1162" s="2" t="s">
        <v>2639</v>
      </c>
      <c r="C1162" s="2" t="s">
        <v>2640</v>
      </c>
      <c r="D1162" s="2"/>
      <c r="E1162" s="2" t="s">
        <v>29</v>
      </c>
      <c r="F1162" s="3" t="n">
        <v>0.000148</v>
      </c>
      <c r="G1162" s="3" t="n">
        <f aca="false">SUM($F$2:F1162)</f>
        <v>0.849938</v>
      </c>
      <c r="H1162" s="4"/>
      <c r="I1162" s="5"/>
      <c r="J1162" s="4"/>
      <c r="K1162" s="5"/>
      <c r="L1162" s="6"/>
      <c r="M1162" s="5" t="str">
        <f aca="false">IF(AND(N(K1162)&gt;0,N(L1162)&gt;0),K1162/L1162,"")</f>
        <v/>
      </c>
      <c r="N1162" s="2" t="s">
        <v>1226</v>
      </c>
    </row>
    <row r="1163" customFormat="false" ht="15" hidden="false" customHeight="false" outlineLevel="0" collapsed="false">
      <c r="A1163" s="2" t="n">
        <v>1162</v>
      </c>
      <c r="B1163" s="2" t="s">
        <v>2641</v>
      </c>
      <c r="C1163" s="2" t="s">
        <v>2642</v>
      </c>
      <c r="D1163" s="2"/>
      <c r="E1163" s="2" t="s">
        <v>52</v>
      </c>
      <c r="F1163" s="3" t="n">
        <v>0.000148</v>
      </c>
      <c r="G1163" s="3" t="n">
        <f aca="false">SUM($F$2:F1163)</f>
        <v>0.850086</v>
      </c>
      <c r="H1163" s="4"/>
      <c r="I1163" s="5"/>
      <c r="J1163" s="4"/>
      <c r="K1163" s="5"/>
      <c r="L1163" s="6"/>
      <c r="M1163" s="5" t="str">
        <f aca="false">IF(AND(N(K1163)&gt;0,N(L1163)&gt;0),K1163/L1163,"")</f>
        <v/>
      </c>
      <c r="N1163" s="2" t="s">
        <v>1226</v>
      </c>
    </row>
    <row r="1164" customFormat="false" ht="15" hidden="false" customHeight="false" outlineLevel="0" collapsed="false">
      <c r="A1164" s="2" t="n">
        <v>1163</v>
      </c>
      <c r="B1164" s="2" t="s">
        <v>2643</v>
      </c>
      <c r="C1164" s="2" t="s">
        <v>2644</v>
      </c>
      <c r="D1164" s="2"/>
      <c r="E1164" s="2" t="s">
        <v>826</v>
      </c>
      <c r="F1164" s="3" t="n">
        <v>0.000148</v>
      </c>
      <c r="G1164" s="3" t="n">
        <f aca="false">SUM($F$2:F1164)</f>
        <v>0.850234</v>
      </c>
      <c r="H1164" s="4"/>
      <c r="I1164" s="5"/>
      <c r="J1164" s="4"/>
      <c r="K1164" s="5"/>
      <c r="L1164" s="6"/>
      <c r="M1164" s="5" t="str">
        <f aca="false">IF(AND(N(K1164)&gt;0,N(L1164)&gt;0),K1164/L1164,"")</f>
        <v/>
      </c>
      <c r="N1164" s="2" t="s">
        <v>1226</v>
      </c>
    </row>
    <row r="1165" customFormat="false" ht="15" hidden="false" customHeight="false" outlineLevel="0" collapsed="false">
      <c r="A1165" s="2" t="n">
        <v>1164</v>
      </c>
      <c r="B1165" s="2" t="s">
        <v>2645</v>
      </c>
      <c r="C1165" s="2" t="s">
        <v>2646</v>
      </c>
      <c r="D1165" s="2"/>
      <c r="E1165" s="2" t="s">
        <v>29</v>
      </c>
      <c r="F1165" s="3" t="n">
        <v>0.000147</v>
      </c>
      <c r="G1165" s="3" t="n">
        <f aca="false">SUM($F$2:F1165)</f>
        <v>0.850381</v>
      </c>
      <c r="H1165" s="4"/>
      <c r="I1165" s="5"/>
      <c r="J1165" s="4"/>
      <c r="K1165" s="5"/>
      <c r="L1165" s="6"/>
      <c r="M1165" s="5" t="str">
        <f aca="false">IF(AND(N(K1165)&gt;0,N(L1165)&gt;0),K1165/L1165,"")</f>
        <v/>
      </c>
      <c r="N1165" s="2" t="s">
        <v>1226</v>
      </c>
    </row>
    <row r="1166" customFormat="false" ht="15" hidden="false" customHeight="false" outlineLevel="0" collapsed="false">
      <c r="A1166" s="2" t="n">
        <v>1165</v>
      </c>
      <c r="B1166" s="2" t="s">
        <v>2647</v>
      </c>
      <c r="C1166" s="2" t="s">
        <v>2648</v>
      </c>
      <c r="D1166" s="2"/>
      <c r="E1166" s="2" t="s">
        <v>29</v>
      </c>
      <c r="F1166" s="3" t="n">
        <v>0.000147</v>
      </c>
      <c r="G1166" s="3" t="n">
        <f aca="false">SUM($F$2:F1166)</f>
        <v>0.850528</v>
      </c>
      <c r="H1166" s="4"/>
      <c r="I1166" s="5"/>
      <c r="J1166" s="4"/>
      <c r="K1166" s="5"/>
      <c r="L1166" s="6"/>
      <c r="M1166" s="5" t="str">
        <f aca="false">IF(AND(N(K1166)&gt;0,N(L1166)&gt;0),K1166/L1166,"")</f>
        <v/>
      </c>
      <c r="N1166" s="2" t="s">
        <v>1226</v>
      </c>
    </row>
    <row r="1167" customFormat="false" ht="15" hidden="false" customHeight="false" outlineLevel="0" collapsed="false">
      <c r="A1167" s="2" t="n">
        <v>1166</v>
      </c>
      <c r="B1167" s="2" t="s">
        <v>2649</v>
      </c>
      <c r="C1167" s="2" t="s">
        <v>2650</v>
      </c>
      <c r="D1167" s="2"/>
      <c r="E1167" s="2" t="s">
        <v>52</v>
      </c>
      <c r="F1167" s="3" t="n">
        <v>0.000147</v>
      </c>
      <c r="G1167" s="3" t="n">
        <f aca="false">SUM($F$2:F1167)</f>
        <v>0.850675</v>
      </c>
      <c r="H1167" s="4"/>
      <c r="I1167" s="5"/>
      <c r="J1167" s="4"/>
      <c r="K1167" s="5"/>
      <c r="L1167" s="6"/>
      <c r="M1167" s="5" t="str">
        <f aca="false">IF(AND(N(K1167)&gt;0,N(L1167)&gt;0),K1167/L1167,"")</f>
        <v/>
      </c>
      <c r="N1167" s="2" t="s">
        <v>1226</v>
      </c>
    </row>
    <row r="1168" customFormat="false" ht="15" hidden="false" customHeight="false" outlineLevel="0" collapsed="false">
      <c r="A1168" s="2" t="n">
        <v>1167</v>
      </c>
      <c r="B1168" s="2" t="s">
        <v>2651</v>
      </c>
      <c r="C1168" s="2" t="s">
        <v>2652</v>
      </c>
      <c r="D1168" s="2"/>
      <c r="E1168" s="2" t="s">
        <v>52</v>
      </c>
      <c r="F1168" s="3" t="n">
        <v>0.000147</v>
      </c>
      <c r="G1168" s="3" t="n">
        <f aca="false">SUM($F$2:F1168)</f>
        <v>0.850822</v>
      </c>
      <c r="H1168" s="4"/>
      <c r="I1168" s="5"/>
      <c r="J1168" s="4"/>
      <c r="K1168" s="5"/>
      <c r="L1168" s="6"/>
      <c r="M1168" s="5" t="str">
        <f aca="false">IF(AND(N(K1168)&gt;0,N(L1168)&gt;0),K1168/L1168,"")</f>
        <v/>
      </c>
      <c r="N1168" s="2" t="s">
        <v>1226</v>
      </c>
    </row>
    <row r="1169" customFormat="false" ht="15" hidden="false" customHeight="false" outlineLevel="0" collapsed="false">
      <c r="A1169" s="2" t="n">
        <v>1168</v>
      </c>
      <c r="B1169" s="2" t="s">
        <v>2653</v>
      </c>
      <c r="C1169" s="2" t="s">
        <v>2654</v>
      </c>
      <c r="D1169" s="2"/>
      <c r="E1169" s="2" t="s">
        <v>25</v>
      </c>
      <c r="F1169" s="3" t="n">
        <v>0.000147</v>
      </c>
      <c r="G1169" s="3" t="n">
        <f aca="false">SUM($F$2:F1169)</f>
        <v>0.850969</v>
      </c>
      <c r="H1169" s="4"/>
      <c r="I1169" s="5"/>
      <c r="J1169" s="4"/>
      <c r="K1169" s="5"/>
      <c r="L1169" s="6"/>
      <c r="M1169" s="5" t="str">
        <f aca="false">IF(AND(N(K1169)&gt;0,N(L1169)&gt;0),K1169/L1169,"")</f>
        <v/>
      </c>
      <c r="N1169" s="2" t="s">
        <v>1226</v>
      </c>
    </row>
    <row r="1170" customFormat="false" ht="15" hidden="false" customHeight="false" outlineLevel="0" collapsed="false">
      <c r="A1170" s="2" t="n">
        <v>1169</v>
      </c>
      <c r="B1170" s="2" t="s">
        <v>2655</v>
      </c>
      <c r="C1170" s="2" t="s">
        <v>2656</v>
      </c>
      <c r="D1170" s="2"/>
      <c r="E1170" s="2" t="s">
        <v>38</v>
      </c>
      <c r="F1170" s="3" t="n">
        <v>0.000147</v>
      </c>
      <c r="G1170" s="3" t="n">
        <f aca="false">SUM($F$2:F1170)</f>
        <v>0.851116</v>
      </c>
      <c r="H1170" s="4"/>
      <c r="I1170" s="5"/>
      <c r="J1170" s="4"/>
      <c r="K1170" s="5"/>
      <c r="L1170" s="6"/>
      <c r="M1170" s="5" t="str">
        <f aca="false">IF(AND(N(K1170)&gt;0,N(L1170)&gt;0),K1170/L1170,"")</f>
        <v/>
      </c>
      <c r="N1170" s="2" t="s">
        <v>1226</v>
      </c>
    </row>
    <row r="1171" customFormat="false" ht="15" hidden="false" customHeight="false" outlineLevel="0" collapsed="false">
      <c r="A1171" s="2" t="n">
        <v>1170</v>
      </c>
      <c r="B1171" s="2" t="s">
        <v>2657</v>
      </c>
      <c r="C1171" s="2" t="s">
        <v>2658</v>
      </c>
      <c r="D1171" s="2"/>
      <c r="E1171" s="2" t="s">
        <v>289</v>
      </c>
      <c r="F1171" s="3" t="n">
        <v>0.000147</v>
      </c>
      <c r="G1171" s="3" t="n">
        <f aca="false">SUM($F$2:F1171)</f>
        <v>0.851263</v>
      </c>
      <c r="H1171" s="4"/>
      <c r="I1171" s="5"/>
      <c r="J1171" s="4"/>
      <c r="K1171" s="5"/>
      <c r="L1171" s="6"/>
      <c r="M1171" s="5" t="str">
        <f aca="false">IF(AND(N(K1171)&gt;0,N(L1171)&gt;0),K1171/L1171,"")</f>
        <v/>
      </c>
      <c r="N1171" s="2" t="s">
        <v>1226</v>
      </c>
    </row>
    <row r="1172" customFormat="false" ht="15" hidden="false" customHeight="false" outlineLevel="0" collapsed="false">
      <c r="A1172" s="2" t="n">
        <v>1171</v>
      </c>
      <c r="B1172" s="2" t="s">
        <v>2659</v>
      </c>
      <c r="C1172" s="2" t="s">
        <v>2660</v>
      </c>
      <c r="D1172" s="2"/>
      <c r="E1172" s="2" t="s">
        <v>82</v>
      </c>
      <c r="F1172" s="3" t="n">
        <v>0.000146</v>
      </c>
      <c r="G1172" s="3" t="n">
        <f aca="false">SUM($F$2:F1172)</f>
        <v>0.851409</v>
      </c>
      <c r="H1172" s="4"/>
      <c r="I1172" s="5"/>
      <c r="J1172" s="4"/>
      <c r="K1172" s="5"/>
      <c r="L1172" s="6"/>
      <c r="M1172" s="5" t="str">
        <f aca="false">IF(AND(N(K1172)&gt;0,N(L1172)&gt;0),K1172/L1172,"")</f>
        <v/>
      </c>
      <c r="N1172" s="2" t="s">
        <v>1226</v>
      </c>
    </row>
    <row r="1173" customFormat="false" ht="15" hidden="false" customHeight="false" outlineLevel="0" collapsed="false">
      <c r="A1173" s="2" t="n">
        <v>1172</v>
      </c>
      <c r="B1173" s="2" t="s">
        <v>2661</v>
      </c>
      <c r="C1173" s="2" t="s">
        <v>2662</v>
      </c>
      <c r="D1173" s="2"/>
      <c r="E1173" s="2" t="s">
        <v>29</v>
      </c>
      <c r="F1173" s="3" t="n">
        <v>0.000146</v>
      </c>
      <c r="G1173" s="3" t="n">
        <f aca="false">SUM($F$2:F1173)</f>
        <v>0.851555</v>
      </c>
      <c r="H1173" s="4"/>
      <c r="I1173" s="5"/>
      <c r="J1173" s="4"/>
      <c r="K1173" s="5"/>
      <c r="L1173" s="6"/>
      <c r="M1173" s="5" t="str">
        <f aca="false">IF(AND(N(K1173)&gt;0,N(L1173)&gt;0),K1173/L1173,"")</f>
        <v/>
      </c>
      <c r="N1173" s="2" t="s">
        <v>1226</v>
      </c>
    </row>
    <row r="1174" customFormat="false" ht="15" hidden="false" customHeight="false" outlineLevel="0" collapsed="false">
      <c r="A1174" s="2" t="n">
        <v>1173</v>
      </c>
      <c r="B1174" s="2" t="s">
        <v>2663</v>
      </c>
      <c r="C1174" s="2" t="s">
        <v>2664</v>
      </c>
      <c r="D1174" s="2"/>
      <c r="E1174" s="2" t="s">
        <v>52</v>
      </c>
      <c r="F1174" s="3" t="n">
        <v>0.000146</v>
      </c>
      <c r="G1174" s="3" t="n">
        <f aca="false">SUM($F$2:F1174)</f>
        <v>0.851701</v>
      </c>
      <c r="H1174" s="4"/>
      <c r="I1174" s="5"/>
      <c r="J1174" s="4"/>
      <c r="K1174" s="5"/>
      <c r="L1174" s="6"/>
      <c r="M1174" s="5" t="str">
        <f aca="false">IF(AND(N(K1174)&gt;0,N(L1174)&gt;0),K1174/L1174,"")</f>
        <v/>
      </c>
      <c r="N1174" s="2" t="s">
        <v>1226</v>
      </c>
    </row>
    <row r="1175" customFormat="false" ht="15" hidden="false" customHeight="false" outlineLevel="0" collapsed="false">
      <c r="A1175" s="2" t="n">
        <v>1174</v>
      </c>
      <c r="B1175" s="2" t="s">
        <v>2665</v>
      </c>
      <c r="C1175" s="2" t="s">
        <v>2666</v>
      </c>
      <c r="D1175" s="2"/>
      <c r="E1175" s="2" t="s">
        <v>21</v>
      </c>
      <c r="F1175" s="3" t="n">
        <v>0.000146</v>
      </c>
      <c r="G1175" s="3" t="n">
        <f aca="false">SUM($F$2:F1175)</f>
        <v>0.851847</v>
      </c>
      <c r="H1175" s="4"/>
      <c r="I1175" s="5"/>
      <c r="J1175" s="4"/>
      <c r="K1175" s="5"/>
      <c r="L1175" s="6"/>
      <c r="M1175" s="5" t="str">
        <f aca="false">IF(AND(N(K1175)&gt;0,N(L1175)&gt;0),K1175/L1175,"")</f>
        <v/>
      </c>
      <c r="N1175" s="2" t="s">
        <v>1226</v>
      </c>
    </row>
    <row r="1176" customFormat="false" ht="15" hidden="false" customHeight="false" outlineLevel="0" collapsed="false">
      <c r="A1176" s="2" t="n">
        <v>1175</v>
      </c>
      <c r="B1176" s="2" t="s">
        <v>2667</v>
      </c>
      <c r="C1176" s="2" t="s">
        <v>2668</v>
      </c>
      <c r="D1176" s="2"/>
      <c r="E1176" s="2" t="s">
        <v>289</v>
      </c>
      <c r="F1176" s="3" t="n">
        <v>0.000146</v>
      </c>
      <c r="G1176" s="3" t="n">
        <f aca="false">SUM($F$2:F1176)</f>
        <v>0.851993</v>
      </c>
      <c r="H1176" s="4"/>
      <c r="I1176" s="5"/>
      <c r="J1176" s="4"/>
      <c r="K1176" s="5"/>
      <c r="L1176" s="6"/>
      <c r="M1176" s="5" t="str">
        <f aca="false">IF(AND(N(K1176)&gt;0,N(L1176)&gt;0),K1176/L1176,"")</f>
        <v/>
      </c>
      <c r="N1176" s="2" t="s">
        <v>1226</v>
      </c>
    </row>
    <row r="1177" customFormat="false" ht="15" hidden="false" customHeight="false" outlineLevel="0" collapsed="false">
      <c r="A1177" s="2" t="n">
        <v>1176</v>
      </c>
      <c r="B1177" s="2" t="s">
        <v>301</v>
      </c>
      <c r="C1177" s="2" t="s">
        <v>2669</v>
      </c>
      <c r="D1177" s="2"/>
      <c r="E1177" s="2" t="s">
        <v>52</v>
      </c>
      <c r="F1177" s="3" t="n">
        <v>0.000146</v>
      </c>
      <c r="G1177" s="3" t="n">
        <f aca="false">SUM($F$2:F1177)</f>
        <v>0.852139</v>
      </c>
      <c r="H1177" s="4"/>
      <c r="I1177" s="5"/>
      <c r="J1177" s="4"/>
      <c r="K1177" s="5"/>
      <c r="L1177" s="6"/>
      <c r="M1177" s="5" t="str">
        <f aca="false">IF(AND(N(K1177)&gt;0,N(L1177)&gt;0),K1177/L1177,"")</f>
        <v/>
      </c>
      <c r="N1177" s="2" t="s">
        <v>34</v>
      </c>
    </row>
    <row r="1178" customFormat="false" ht="15" hidden="false" customHeight="false" outlineLevel="0" collapsed="false">
      <c r="A1178" s="2" t="n">
        <v>1177</v>
      </c>
      <c r="B1178" s="2" t="s">
        <v>2670</v>
      </c>
      <c r="C1178" s="2" t="s">
        <v>2671</v>
      </c>
      <c r="D1178" s="2"/>
      <c r="E1178" s="2" t="s">
        <v>82</v>
      </c>
      <c r="F1178" s="3" t="n">
        <v>0.000146</v>
      </c>
      <c r="G1178" s="3" t="n">
        <f aca="false">SUM($F$2:F1178)</f>
        <v>0.852285</v>
      </c>
      <c r="H1178" s="4"/>
      <c r="I1178" s="5"/>
      <c r="J1178" s="4"/>
      <c r="K1178" s="5"/>
      <c r="L1178" s="6"/>
      <c r="M1178" s="5" t="str">
        <f aca="false">IF(AND(N(K1178)&gt;0,N(L1178)&gt;0),K1178/L1178,"")</f>
        <v/>
      </c>
      <c r="N1178" s="2" t="s">
        <v>1226</v>
      </c>
    </row>
    <row r="1179" customFormat="false" ht="15" hidden="false" customHeight="false" outlineLevel="0" collapsed="false">
      <c r="A1179" s="2" t="n">
        <v>1178</v>
      </c>
      <c r="B1179" s="2" t="s">
        <v>2672</v>
      </c>
      <c r="C1179" s="2" t="s">
        <v>2673</v>
      </c>
      <c r="D1179" s="2"/>
      <c r="E1179" s="2" t="s">
        <v>860</v>
      </c>
      <c r="F1179" s="3" t="n">
        <v>0.000146</v>
      </c>
      <c r="G1179" s="3" t="n">
        <f aca="false">SUM($F$2:F1179)</f>
        <v>0.852431</v>
      </c>
      <c r="H1179" s="4"/>
      <c r="I1179" s="5"/>
      <c r="J1179" s="4"/>
      <c r="K1179" s="5"/>
      <c r="L1179" s="6"/>
      <c r="M1179" s="5" t="str">
        <f aca="false">IF(AND(N(K1179)&gt;0,N(L1179)&gt;0),K1179/L1179,"")</f>
        <v/>
      </c>
      <c r="N1179" s="2" t="s">
        <v>1226</v>
      </c>
    </row>
    <row r="1180" customFormat="false" ht="15" hidden="false" customHeight="false" outlineLevel="0" collapsed="false">
      <c r="A1180" s="2" t="n">
        <v>1179</v>
      </c>
      <c r="B1180" s="2" t="s">
        <v>2674</v>
      </c>
      <c r="C1180" s="2" t="s">
        <v>2675</v>
      </c>
      <c r="D1180" s="2"/>
      <c r="E1180" s="2" t="s">
        <v>33</v>
      </c>
      <c r="F1180" s="3" t="n">
        <v>0.000145</v>
      </c>
      <c r="G1180" s="3" t="n">
        <f aca="false">SUM($F$2:F1180)</f>
        <v>0.852576</v>
      </c>
      <c r="H1180" s="4"/>
      <c r="I1180" s="5"/>
      <c r="J1180" s="4"/>
      <c r="K1180" s="5"/>
      <c r="L1180" s="6"/>
      <c r="M1180" s="5" t="str">
        <f aca="false">IF(AND(N(K1180)&gt;0,N(L1180)&gt;0),K1180/L1180,"")</f>
        <v/>
      </c>
      <c r="N1180" s="2" t="s">
        <v>1226</v>
      </c>
    </row>
    <row r="1181" customFormat="false" ht="15" hidden="false" customHeight="false" outlineLevel="0" collapsed="false">
      <c r="A1181" s="2" t="n">
        <v>1180</v>
      </c>
      <c r="B1181" s="2" t="s">
        <v>2676</v>
      </c>
      <c r="C1181" s="2" t="s">
        <v>2677</v>
      </c>
      <c r="D1181" s="2"/>
      <c r="E1181" s="2" t="s">
        <v>173</v>
      </c>
      <c r="F1181" s="3" t="n">
        <v>0.000145</v>
      </c>
      <c r="G1181" s="3" t="n">
        <f aca="false">SUM($F$2:F1181)</f>
        <v>0.852721</v>
      </c>
      <c r="H1181" s="4"/>
      <c r="I1181" s="5"/>
      <c r="J1181" s="4"/>
      <c r="K1181" s="5"/>
      <c r="L1181" s="6"/>
      <c r="M1181" s="5" t="str">
        <f aca="false">IF(AND(N(K1181)&gt;0,N(L1181)&gt;0),K1181/L1181,"")</f>
        <v/>
      </c>
      <c r="N1181" s="2" t="s">
        <v>1226</v>
      </c>
    </row>
    <row r="1182" customFormat="false" ht="15" hidden="false" customHeight="false" outlineLevel="0" collapsed="false">
      <c r="A1182" s="2" t="n">
        <v>1181</v>
      </c>
      <c r="B1182" s="2" t="s">
        <v>2678</v>
      </c>
      <c r="C1182" s="2" t="s">
        <v>2679</v>
      </c>
      <c r="D1182" s="2"/>
      <c r="E1182" s="2" t="s">
        <v>334</v>
      </c>
      <c r="F1182" s="3" t="n">
        <v>0.000145</v>
      </c>
      <c r="G1182" s="3" t="n">
        <f aca="false">SUM($F$2:F1182)</f>
        <v>0.852866</v>
      </c>
      <c r="H1182" s="4"/>
      <c r="I1182" s="5"/>
      <c r="J1182" s="4"/>
      <c r="K1182" s="5"/>
      <c r="L1182" s="6"/>
      <c r="M1182" s="5" t="str">
        <f aca="false">IF(AND(N(K1182)&gt;0,N(L1182)&gt;0),K1182/L1182,"")</f>
        <v/>
      </c>
      <c r="N1182" s="2" t="s">
        <v>1226</v>
      </c>
    </row>
    <row r="1183" customFormat="false" ht="15" hidden="false" customHeight="false" outlineLevel="0" collapsed="false">
      <c r="A1183" s="2" t="n">
        <v>1182</v>
      </c>
      <c r="B1183" s="2" t="s">
        <v>2680</v>
      </c>
      <c r="C1183" s="2" t="s">
        <v>2681</v>
      </c>
      <c r="D1183" s="2"/>
      <c r="E1183" s="2" t="s">
        <v>43</v>
      </c>
      <c r="F1183" s="3" t="n">
        <v>0.000145</v>
      </c>
      <c r="G1183" s="3" t="n">
        <f aca="false">SUM($F$2:F1183)</f>
        <v>0.853011</v>
      </c>
      <c r="H1183" s="4"/>
      <c r="I1183" s="5"/>
      <c r="J1183" s="4"/>
      <c r="K1183" s="5"/>
      <c r="L1183" s="6"/>
      <c r="M1183" s="5" t="str">
        <f aca="false">IF(AND(N(K1183)&gt;0,N(L1183)&gt;0),K1183/L1183,"")</f>
        <v/>
      </c>
      <c r="N1183" s="2" t="s">
        <v>1226</v>
      </c>
    </row>
    <row r="1184" customFormat="false" ht="15" hidden="false" customHeight="false" outlineLevel="0" collapsed="false">
      <c r="A1184" s="2" t="n">
        <v>1183</v>
      </c>
      <c r="B1184" s="2" t="s">
        <v>2682</v>
      </c>
      <c r="C1184" s="2" t="s">
        <v>2683</v>
      </c>
      <c r="D1184" s="2"/>
      <c r="E1184" s="2" t="s">
        <v>43</v>
      </c>
      <c r="F1184" s="3" t="n">
        <v>0.000144</v>
      </c>
      <c r="G1184" s="3" t="n">
        <f aca="false">SUM($F$2:F1184)</f>
        <v>0.853155</v>
      </c>
      <c r="H1184" s="4"/>
      <c r="I1184" s="5"/>
      <c r="J1184" s="4"/>
      <c r="K1184" s="5"/>
      <c r="L1184" s="6"/>
      <c r="M1184" s="5" t="str">
        <f aca="false">IF(AND(N(K1184)&gt;0,N(L1184)&gt;0),K1184/L1184,"")</f>
        <v/>
      </c>
      <c r="N1184" s="2" t="s">
        <v>1226</v>
      </c>
    </row>
    <row r="1185" customFormat="false" ht="15" hidden="false" customHeight="false" outlineLevel="0" collapsed="false">
      <c r="A1185" s="2" t="n">
        <v>1184</v>
      </c>
      <c r="B1185" s="2" t="s">
        <v>2684</v>
      </c>
      <c r="C1185" s="2" t="s">
        <v>2685</v>
      </c>
      <c r="D1185" s="2"/>
      <c r="E1185" s="2" t="s">
        <v>25</v>
      </c>
      <c r="F1185" s="3" t="n">
        <v>0.000144</v>
      </c>
      <c r="G1185" s="3" t="n">
        <f aca="false">SUM($F$2:F1185)</f>
        <v>0.853299</v>
      </c>
      <c r="H1185" s="4"/>
      <c r="I1185" s="5"/>
      <c r="J1185" s="4"/>
      <c r="K1185" s="5"/>
      <c r="L1185" s="6"/>
      <c r="M1185" s="5" t="str">
        <f aca="false">IF(AND(N(K1185)&gt;0,N(L1185)&gt;0),K1185/L1185,"")</f>
        <v/>
      </c>
      <c r="N1185" s="2" t="s">
        <v>1226</v>
      </c>
    </row>
    <row r="1186" customFormat="false" ht="15" hidden="false" customHeight="false" outlineLevel="0" collapsed="false">
      <c r="A1186" s="2" t="n">
        <v>1185</v>
      </c>
      <c r="B1186" s="2" t="s">
        <v>2686</v>
      </c>
      <c r="C1186" s="2" t="s">
        <v>2687</v>
      </c>
      <c r="D1186" s="2"/>
      <c r="E1186" s="2" t="s">
        <v>52</v>
      </c>
      <c r="F1186" s="3" t="n">
        <v>0.000144</v>
      </c>
      <c r="G1186" s="3" t="n">
        <f aca="false">SUM($F$2:F1186)</f>
        <v>0.853443</v>
      </c>
      <c r="H1186" s="4"/>
      <c r="I1186" s="5"/>
      <c r="J1186" s="4"/>
      <c r="K1186" s="5"/>
      <c r="L1186" s="6"/>
      <c r="M1186" s="5" t="str">
        <f aca="false">IF(AND(N(K1186)&gt;0,N(L1186)&gt;0),K1186/L1186,"")</f>
        <v/>
      </c>
      <c r="N1186" s="2" t="s">
        <v>1226</v>
      </c>
    </row>
    <row r="1187" customFormat="false" ht="15" hidden="false" customHeight="false" outlineLevel="0" collapsed="false">
      <c r="A1187" s="2" t="n">
        <v>1186</v>
      </c>
      <c r="B1187" s="2" t="s">
        <v>2688</v>
      </c>
      <c r="C1187" s="2" t="s">
        <v>2689</v>
      </c>
      <c r="D1187" s="2"/>
      <c r="E1187" s="2" t="s">
        <v>29</v>
      </c>
      <c r="F1187" s="3" t="n">
        <v>0.000144</v>
      </c>
      <c r="G1187" s="3" t="n">
        <f aca="false">SUM($F$2:F1187)</f>
        <v>0.853587</v>
      </c>
      <c r="H1187" s="4"/>
      <c r="I1187" s="5"/>
      <c r="J1187" s="4"/>
      <c r="K1187" s="5"/>
      <c r="L1187" s="6"/>
      <c r="M1187" s="5" t="str">
        <f aca="false">IF(AND(N(K1187)&gt;0,N(L1187)&gt;0),K1187/L1187,"")</f>
        <v/>
      </c>
      <c r="N1187" s="2" t="s">
        <v>1226</v>
      </c>
    </row>
    <row r="1188" customFormat="false" ht="15" hidden="false" customHeight="false" outlineLevel="0" collapsed="false">
      <c r="A1188" s="2" t="n">
        <v>1187</v>
      </c>
      <c r="B1188" s="2" t="s">
        <v>2690</v>
      </c>
      <c r="C1188" s="2" t="s">
        <v>2691</v>
      </c>
      <c r="D1188" s="2"/>
      <c r="E1188" s="2" t="s">
        <v>17</v>
      </c>
      <c r="F1188" s="3" t="n">
        <v>0.000144</v>
      </c>
      <c r="G1188" s="3" t="n">
        <f aca="false">SUM($F$2:F1188)</f>
        <v>0.853731</v>
      </c>
      <c r="H1188" s="4"/>
      <c r="I1188" s="5"/>
      <c r="J1188" s="4"/>
      <c r="K1188" s="5"/>
      <c r="L1188" s="6"/>
      <c r="M1188" s="5" t="str">
        <f aca="false">IF(AND(N(K1188)&gt;0,N(L1188)&gt;0),K1188/L1188,"")</f>
        <v/>
      </c>
      <c r="N1188" s="2" t="s">
        <v>1226</v>
      </c>
    </row>
    <row r="1189" customFormat="false" ht="15" hidden="false" customHeight="false" outlineLevel="0" collapsed="false">
      <c r="A1189" s="2" t="n">
        <v>1188</v>
      </c>
      <c r="B1189" s="2" t="s">
        <v>2692</v>
      </c>
      <c r="C1189" s="2" t="s">
        <v>2693</v>
      </c>
      <c r="D1189" s="2"/>
      <c r="E1189" s="2" t="s">
        <v>52</v>
      </c>
      <c r="F1189" s="3" t="n">
        <v>0.000144</v>
      </c>
      <c r="G1189" s="3" t="n">
        <f aca="false">SUM($F$2:F1189)</f>
        <v>0.853875</v>
      </c>
      <c r="H1189" s="4"/>
      <c r="I1189" s="5"/>
      <c r="J1189" s="4"/>
      <c r="K1189" s="5"/>
      <c r="L1189" s="6"/>
      <c r="M1189" s="5" t="str">
        <f aca="false">IF(AND(N(K1189)&gt;0,N(L1189)&gt;0),K1189/L1189,"")</f>
        <v/>
      </c>
      <c r="N1189" s="2" t="s">
        <v>1226</v>
      </c>
    </row>
    <row r="1190" customFormat="false" ht="15" hidden="false" customHeight="false" outlineLevel="0" collapsed="false">
      <c r="A1190" s="2" t="n">
        <v>1189</v>
      </c>
      <c r="B1190" s="2" t="s">
        <v>2694</v>
      </c>
      <c r="C1190" s="2" t="s">
        <v>2695</v>
      </c>
      <c r="D1190" s="2"/>
      <c r="E1190" s="2" t="s">
        <v>17</v>
      </c>
      <c r="F1190" s="3" t="n">
        <v>0.000144</v>
      </c>
      <c r="G1190" s="3" t="n">
        <f aca="false">SUM($F$2:F1190)</f>
        <v>0.854019</v>
      </c>
      <c r="H1190" s="4"/>
      <c r="I1190" s="5"/>
      <c r="J1190" s="4"/>
      <c r="K1190" s="5"/>
      <c r="L1190" s="6"/>
      <c r="M1190" s="5" t="str">
        <f aca="false">IF(AND(N(K1190)&gt;0,N(L1190)&gt;0),K1190/L1190,"")</f>
        <v/>
      </c>
      <c r="N1190" s="2" t="s">
        <v>1226</v>
      </c>
    </row>
    <row r="1191" customFormat="false" ht="15" hidden="false" customHeight="false" outlineLevel="0" collapsed="false">
      <c r="A1191" s="2" t="n">
        <v>1190</v>
      </c>
      <c r="B1191" s="2" t="s">
        <v>2696</v>
      </c>
      <c r="C1191" s="2" t="s">
        <v>2697</v>
      </c>
      <c r="D1191" s="2"/>
      <c r="E1191" s="2" t="s">
        <v>17</v>
      </c>
      <c r="F1191" s="3" t="n">
        <v>0.000143</v>
      </c>
      <c r="G1191" s="3" t="n">
        <f aca="false">SUM($F$2:F1191)</f>
        <v>0.854162</v>
      </c>
      <c r="H1191" s="4"/>
      <c r="I1191" s="5"/>
      <c r="J1191" s="4"/>
      <c r="K1191" s="5"/>
      <c r="L1191" s="6"/>
      <c r="M1191" s="5" t="str">
        <f aca="false">IF(AND(N(K1191)&gt;0,N(L1191)&gt;0),K1191/L1191,"")</f>
        <v/>
      </c>
      <c r="N1191" s="2" t="s">
        <v>1226</v>
      </c>
    </row>
    <row r="1192" customFormat="false" ht="15" hidden="false" customHeight="false" outlineLevel="0" collapsed="false">
      <c r="A1192" s="2" t="n">
        <v>1191</v>
      </c>
      <c r="B1192" s="2" t="s">
        <v>2698</v>
      </c>
      <c r="C1192" s="2" t="s">
        <v>2699</v>
      </c>
      <c r="D1192" s="2"/>
      <c r="E1192" s="2" t="s">
        <v>38</v>
      </c>
      <c r="F1192" s="3" t="n">
        <v>0.000143</v>
      </c>
      <c r="G1192" s="3" t="n">
        <f aca="false">SUM($F$2:F1192)</f>
        <v>0.854305</v>
      </c>
      <c r="H1192" s="4"/>
      <c r="I1192" s="5"/>
      <c r="J1192" s="4"/>
      <c r="K1192" s="5"/>
      <c r="L1192" s="6"/>
      <c r="M1192" s="5" t="str">
        <f aca="false">IF(AND(N(K1192)&gt;0,N(L1192)&gt;0),K1192/L1192,"")</f>
        <v/>
      </c>
      <c r="N1192" s="2" t="s">
        <v>1226</v>
      </c>
    </row>
    <row r="1193" customFormat="false" ht="15" hidden="false" customHeight="false" outlineLevel="0" collapsed="false">
      <c r="A1193" s="2" t="n">
        <v>1192</v>
      </c>
      <c r="B1193" s="2" t="s">
        <v>2700</v>
      </c>
      <c r="C1193" s="2" t="s">
        <v>2701</v>
      </c>
      <c r="D1193" s="2"/>
      <c r="E1193" s="2" t="s">
        <v>52</v>
      </c>
      <c r="F1193" s="3" t="n">
        <v>0.000143</v>
      </c>
      <c r="G1193" s="3" t="n">
        <f aca="false">SUM($F$2:F1193)</f>
        <v>0.854448</v>
      </c>
      <c r="H1193" s="4"/>
      <c r="I1193" s="5"/>
      <c r="J1193" s="4"/>
      <c r="K1193" s="5"/>
      <c r="L1193" s="6"/>
      <c r="M1193" s="5" t="str">
        <f aca="false">IF(AND(N(K1193)&gt;0,N(L1193)&gt;0),K1193/L1193,"")</f>
        <v/>
      </c>
      <c r="N1193" s="2" t="s">
        <v>1226</v>
      </c>
    </row>
    <row r="1194" customFormat="false" ht="15" hidden="false" customHeight="false" outlineLevel="0" collapsed="false">
      <c r="A1194" s="2" t="n">
        <v>1193</v>
      </c>
      <c r="B1194" s="2" t="s">
        <v>2702</v>
      </c>
      <c r="C1194" s="2" t="s">
        <v>2703</v>
      </c>
      <c r="D1194" s="2"/>
      <c r="E1194" s="2" t="s">
        <v>29</v>
      </c>
      <c r="F1194" s="3" t="n">
        <v>0.000143</v>
      </c>
      <c r="G1194" s="3" t="n">
        <f aca="false">SUM($F$2:F1194)</f>
        <v>0.854591</v>
      </c>
      <c r="H1194" s="4"/>
      <c r="I1194" s="5"/>
      <c r="J1194" s="4"/>
      <c r="K1194" s="5"/>
      <c r="L1194" s="6"/>
      <c r="M1194" s="5" t="str">
        <f aca="false">IF(AND(N(K1194)&gt;0,N(L1194)&gt;0),K1194/L1194,"")</f>
        <v/>
      </c>
      <c r="N1194" s="2" t="s">
        <v>1226</v>
      </c>
    </row>
    <row r="1195" customFormat="false" ht="15" hidden="false" customHeight="false" outlineLevel="0" collapsed="false">
      <c r="A1195" s="2" t="n">
        <v>1194</v>
      </c>
      <c r="B1195" s="2" t="s">
        <v>2704</v>
      </c>
      <c r="C1195" s="2" t="s">
        <v>2705</v>
      </c>
      <c r="D1195" s="2"/>
      <c r="E1195" s="2" t="s">
        <v>17</v>
      </c>
      <c r="F1195" s="3" t="n">
        <v>0.000143</v>
      </c>
      <c r="G1195" s="3" t="n">
        <f aca="false">SUM($F$2:F1195)</f>
        <v>0.854734</v>
      </c>
      <c r="H1195" s="4"/>
      <c r="I1195" s="5"/>
      <c r="J1195" s="4"/>
      <c r="K1195" s="5"/>
      <c r="L1195" s="6"/>
      <c r="M1195" s="5" t="str">
        <f aca="false">IF(AND(N(K1195)&gt;0,N(L1195)&gt;0),K1195/L1195,"")</f>
        <v/>
      </c>
      <c r="N1195" s="2" t="s">
        <v>1226</v>
      </c>
    </row>
    <row r="1196" customFormat="false" ht="15" hidden="false" customHeight="false" outlineLevel="0" collapsed="false">
      <c r="A1196" s="2" t="n">
        <v>1195</v>
      </c>
      <c r="B1196" s="2" t="s">
        <v>2706</v>
      </c>
      <c r="C1196" s="2" t="s">
        <v>2707</v>
      </c>
      <c r="D1196" s="2"/>
      <c r="E1196" s="2" t="s">
        <v>700</v>
      </c>
      <c r="F1196" s="3" t="n">
        <v>0.000143</v>
      </c>
      <c r="G1196" s="3" t="n">
        <f aca="false">SUM($F$2:F1196)</f>
        <v>0.854877</v>
      </c>
      <c r="H1196" s="4"/>
      <c r="I1196" s="5"/>
      <c r="J1196" s="4"/>
      <c r="K1196" s="5"/>
      <c r="L1196" s="6"/>
      <c r="M1196" s="5" t="str">
        <f aca="false">IF(AND(N(K1196)&gt;0,N(L1196)&gt;0),K1196/L1196,"")</f>
        <v/>
      </c>
      <c r="N1196" s="2" t="s">
        <v>1226</v>
      </c>
    </row>
    <row r="1197" customFormat="false" ht="15" hidden="false" customHeight="false" outlineLevel="0" collapsed="false">
      <c r="A1197" s="2" t="n">
        <v>1196</v>
      </c>
      <c r="B1197" s="2" t="s">
        <v>2708</v>
      </c>
      <c r="C1197" s="2" t="s">
        <v>2709</v>
      </c>
      <c r="D1197" s="2"/>
      <c r="E1197" s="2" t="s">
        <v>52</v>
      </c>
      <c r="F1197" s="3" t="n">
        <v>0.000143</v>
      </c>
      <c r="G1197" s="3" t="n">
        <f aca="false">SUM($F$2:F1197)</f>
        <v>0.85502</v>
      </c>
      <c r="H1197" s="4"/>
      <c r="I1197" s="5"/>
      <c r="J1197" s="4"/>
      <c r="K1197" s="5"/>
      <c r="L1197" s="6"/>
      <c r="M1197" s="5" t="str">
        <f aca="false">IF(AND(N(K1197)&gt;0,N(L1197)&gt;0),K1197/L1197,"")</f>
        <v/>
      </c>
      <c r="N1197" s="2" t="s">
        <v>1226</v>
      </c>
    </row>
    <row r="1198" customFormat="false" ht="15" hidden="false" customHeight="false" outlineLevel="0" collapsed="false">
      <c r="A1198" s="2" t="n">
        <v>1197</v>
      </c>
      <c r="B1198" s="2" t="s">
        <v>2710</v>
      </c>
      <c r="C1198" s="2" t="s">
        <v>2711</v>
      </c>
      <c r="D1198" s="2"/>
      <c r="E1198" s="2" t="s">
        <v>48</v>
      </c>
      <c r="F1198" s="3" t="n">
        <v>0.000143</v>
      </c>
      <c r="G1198" s="3" t="n">
        <f aca="false">SUM($F$2:F1198)</f>
        <v>0.855163</v>
      </c>
      <c r="H1198" s="4"/>
      <c r="I1198" s="5"/>
      <c r="J1198" s="4"/>
      <c r="K1198" s="5"/>
      <c r="L1198" s="6"/>
      <c r="M1198" s="5" t="str">
        <f aca="false">IF(AND(N(K1198)&gt;0,N(L1198)&gt;0),K1198/L1198,"")</f>
        <v/>
      </c>
      <c r="N1198" s="2" t="s">
        <v>1226</v>
      </c>
    </row>
    <row r="1199" customFormat="false" ht="15" hidden="false" customHeight="false" outlineLevel="0" collapsed="false">
      <c r="A1199" s="2" t="n">
        <v>1198</v>
      </c>
      <c r="B1199" s="2" t="s">
        <v>2712</v>
      </c>
      <c r="C1199" s="2" t="s">
        <v>2713</v>
      </c>
      <c r="D1199" s="2"/>
      <c r="E1199" s="2" t="s">
        <v>1284</v>
      </c>
      <c r="F1199" s="3" t="n">
        <v>0.000142</v>
      </c>
      <c r="G1199" s="3" t="n">
        <f aca="false">SUM($F$2:F1199)</f>
        <v>0.855305</v>
      </c>
      <c r="H1199" s="4"/>
      <c r="I1199" s="5"/>
      <c r="J1199" s="4"/>
      <c r="K1199" s="5"/>
      <c r="L1199" s="6"/>
      <c r="M1199" s="5" t="str">
        <f aca="false">IF(AND(N(K1199)&gt;0,N(L1199)&gt;0),K1199/L1199,"")</f>
        <v/>
      </c>
      <c r="N1199" s="2" t="s">
        <v>1226</v>
      </c>
    </row>
    <row r="1200" customFormat="false" ht="15" hidden="false" customHeight="false" outlineLevel="0" collapsed="false">
      <c r="A1200" s="2" t="n">
        <v>1199</v>
      </c>
      <c r="B1200" s="2" t="s">
        <v>2714</v>
      </c>
      <c r="C1200" s="2" t="s">
        <v>2715</v>
      </c>
      <c r="D1200" s="2"/>
      <c r="E1200" s="2" t="s">
        <v>52</v>
      </c>
      <c r="F1200" s="3" t="n">
        <v>0.000142</v>
      </c>
      <c r="G1200" s="3" t="n">
        <f aca="false">SUM($F$2:F1200)</f>
        <v>0.855447</v>
      </c>
      <c r="H1200" s="4"/>
      <c r="I1200" s="5"/>
      <c r="J1200" s="4"/>
      <c r="K1200" s="5"/>
      <c r="L1200" s="6"/>
      <c r="M1200" s="5" t="str">
        <f aca="false">IF(AND(N(K1200)&gt;0,N(L1200)&gt;0),K1200/L1200,"")</f>
        <v/>
      </c>
      <c r="N1200" s="2" t="s">
        <v>1226</v>
      </c>
    </row>
    <row r="1201" customFormat="false" ht="15" hidden="false" customHeight="false" outlineLevel="0" collapsed="false">
      <c r="A1201" s="2" t="n">
        <v>1200</v>
      </c>
      <c r="B1201" s="2" t="s">
        <v>2716</v>
      </c>
      <c r="C1201" s="2" t="s">
        <v>2717</v>
      </c>
      <c r="D1201" s="2"/>
      <c r="E1201" s="2" t="s">
        <v>29</v>
      </c>
      <c r="F1201" s="3" t="n">
        <v>0.000142</v>
      </c>
      <c r="G1201" s="3" t="n">
        <f aca="false">SUM($F$2:F1201)</f>
        <v>0.855589</v>
      </c>
      <c r="H1201" s="4"/>
      <c r="I1201" s="5"/>
      <c r="J1201" s="4"/>
      <c r="K1201" s="5"/>
      <c r="L1201" s="6"/>
      <c r="M1201" s="5" t="str">
        <f aca="false">IF(AND(N(K1201)&gt;0,N(L1201)&gt;0),K1201/L1201,"")</f>
        <v/>
      </c>
      <c r="N1201" s="2" t="s">
        <v>1226</v>
      </c>
    </row>
    <row r="1202" customFormat="false" ht="15" hidden="false" customHeight="false" outlineLevel="0" collapsed="false">
      <c r="A1202" s="2" t="n">
        <v>1201</v>
      </c>
      <c r="B1202" s="2" t="s">
        <v>2718</v>
      </c>
      <c r="C1202" s="2" t="s">
        <v>2719</v>
      </c>
      <c r="D1202" s="2"/>
      <c r="E1202" s="2" t="s">
        <v>29</v>
      </c>
      <c r="F1202" s="3" t="n">
        <v>0.000142</v>
      </c>
      <c r="G1202" s="3" t="n">
        <f aca="false">SUM($F$2:F1202)</f>
        <v>0.855731</v>
      </c>
      <c r="H1202" s="4"/>
      <c r="I1202" s="5"/>
      <c r="J1202" s="4"/>
      <c r="K1202" s="5"/>
      <c r="L1202" s="6"/>
      <c r="M1202" s="5" t="str">
        <f aca="false">IF(AND(N(K1202)&gt;0,N(L1202)&gt;0),K1202/L1202,"")</f>
        <v/>
      </c>
      <c r="N1202" s="2" t="s">
        <v>1226</v>
      </c>
    </row>
    <row r="1203" customFormat="false" ht="15" hidden="false" customHeight="false" outlineLevel="0" collapsed="false">
      <c r="A1203" s="2" t="n">
        <v>1202</v>
      </c>
      <c r="B1203" s="2" t="s">
        <v>2720</v>
      </c>
      <c r="C1203" s="2" t="s">
        <v>2721</v>
      </c>
      <c r="D1203" s="2"/>
      <c r="E1203" s="2" t="s">
        <v>43</v>
      </c>
      <c r="F1203" s="3" t="n">
        <v>0.000142</v>
      </c>
      <c r="G1203" s="3" t="n">
        <f aca="false">SUM($F$2:F1203)</f>
        <v>0.855873</v>
      </c>
      <c r="H1203" s="4"/>
      <c r="I1203" s="5"/>
      <c r="J1203" s="4"/>
      <c r="K1203" s="5"/>
      <c r="L1203" s="6"/>
      <c r="M1203" s="5" t="str">
        <f aca="false">IF(AND(N(K1203)&gt;0,N(L1203)&gt;0),K1203/L1203,"")</f>
        <v/>
      </c>
      <c r="N1203" s="2" t="s">
        <v>1226</v>
      </c>
    </row>
    <row r="1204" customFormat="false" ht="15" hidden="false" customHeight="false" outlineLevel="0" collapsed="false">
      <c r="A1204" s="2" t="n">
        <v>1203</v>
      </c>
      <c r="B1204" s="2" t="s">
        <v>2722</v>
      </c>
      <c r="C1204" s="2" t="s">
        <v>2723</v>
      </c>
      <c r="D1204" s="2"/>
      <c r="E1204" s="2" t="s">
        <v>52</v>
      </c>
      <c r="F1204" s="3" t="n">
        <v>0.000142</v>
      </c>
      <c r="G1204" s="3" t="n">
        <f aca="false">SUM($F$2:F1204)</f>
        <v>0.856015</v>
      </c>
      <c r="H1204" s="4"/>
      <c r="I1204" s="5"/>
      <c r="J1204" s="4"/>
      <c r="K1204" s="5"/>
      <c r="L1204" s="6"/>
      <c r="M1204" s="5" t="str">
        <f aca="false">IF(AND(N(K1204)&gt;0,N(L1204)&gt;0),K1204/L1204,"")</f>
        <v/>
      </c>
      <c r="N1204" s="2" t="s">
        <v>1226</v>
      </c>
    </row>
    <row r="1205" customFormat="false" ht="15" hidden="false" customHeight="false" outlineLevel="0" collapsed="false">
      <c r="A1205" s="2" t="n">
        <v>1204</v>
      </c>
      <c r="B1205" s="2" t="s">
        <v>2724</v>
      </c>
      <c r="C1205" s="2" t="s">
        <v>2725</v>
      </c>
      <c r="D1205" s="2"/>
      <c r="E1205" s="2" t="s">
        <v>29</v>
      </c>
      <c r="F1205" s="3" t="n">
        <v>0.000142</v>
      </c>
      <c r="G1205" s="3" t="n">
        <f aca="false">SUM($F$2:F1205)</f>
        <v>0.856157</v>
      </c>
      <c r="H1205" s="4"/>
      <c r="I1205" s="5"/>
      <c r="J1205" s="4"/>
      <c r="K1205" s="5"/>
      <c r="L1205" s="6"/>
      <c r="M1205" s="5" t="str">
        <f aca="false">IF(AND(N(K1205)&gt;0,N(L1205)&gt;0),K1205/L1205,"")</f>
        <v/>
      </c>
      <c r="N1205" s="2" t="s">
        <v>1226</v>
      </c>
    </row>
    <row r="1206" customFormat="false" ht="15" hidden="false" customHeight="false" outlineLevel="0" collapsed="false">
      <c r="A1206" s="2" t="n">
        <v>1205</v>
      </c>
      <c r="B1206" s="2" t="s">
        <v>2726</v>
      </c>
      <c r="C1206" s="2" t="s">
        <v>2727</v>
      </c>
      <c r="D1206" s="2"/>
      <c r="E1206" s="2" t="s">
        <v>1345</v>
      </c>
      <c r="F1206" s="3" t="n">
        <v>0.000141</v>
      </c>
      <c r="G1206" s="3" t="n">
        <f aca="false">SUM($F$2:F1206)</f>
        <v>0.856298</v>
      </c>
      <c r="H1206" s="4"/>
      <c r="I1206" s="5"/>
      <c r="J1206" s="4"/>
      <c r="K1206" s="5"/>
      <c r="L1206" s="6"/>
      <c r="M1206" s="5" t="str">
        <f aca="false">IF(AND(N(K1206)&gt;0,N(L1206)&gt;0),K1206/L1206,"")</f>
        <v/>
      </c>
      <c r="N1206" s="2" t="s">
        <v>1226</v>
      </c>
    </row>
    <row r="1207" customFormat="false" ht="15" hidden="false" customHeight="false" outlineLevel="0" collapsed="false">
      <c r="A1207" s="2" t="n">
        <v>1206</v>
      </c>
      <c r="B1207" s="2" t="s">
        <v>2728</v>
      </c>
      <c r="C1207" s="2" t="s">
        <v>2729</v>
      </c>
      <c r="D1207" s="2"/>
      <c r="E1207" s="2" t="s">
        <v>25</v>
      </c>
      <c r="F1207" s="3" t="n">
        <v>0.000141</v>
      </c>
      <c r="G1207" s="3" t="n">
        <f aca="false">SUM($F$2:F1207)</f>
        <v>0.856439</v>
      </c>
      <c r="H1207" s="4"/>
      <c r="I1207" s="5"/>
      <c r="J1207" s="4"/>
      <c r="K1207" s="5"/>
      <c r="L1207" s="6"/>
      <c r="M1207" s="5" t="str">
        <f aca="false">IF(AND(N(K1207)&gt;0,N(L1207)&gt;0),K1207/L1207,"")</f>
        <v/>
      </c>
      <c r="N1207" s="2" t="s">
        <v>1226</v>
      </c>
    </row>
    <row r="1208" customFormat="false" ht="15" hidden="false" customHeight="false" outlineLevel="0" collapsed="false">
      <c r="A1208" s="2" t="n">
        <v>1207</v>
      </c>
      <c r="B1208" s="2" t="s">
        <v>2730</v>
      </c>
      <c r="C1208" s="2" t="s">
        <v>2731</v>
      </c>
      <c r="D1208" s="2"/>
      <c r="E1208" s="2" t="s">
        <v>43</v>
      </c>
      <c r="F1208" s="3" t="n">
        <v>0.000141</v>
      </c>
      <c r="G1208" s="3" t="n">
        <f aca="false">SUM($F$2:F1208)</f>
        <v>0.85658</v>
      </c>
      <c r="H1208" s="4"/>
      <c r="I1208" s="5"/>
      <c r="J1208" s="4"/>
      <c r="K1208" s="5"/>
      <c r="L1208" s="6"/>
      <c r="M1208" s="5" t="str">
        <f aca="false">IF(AND(N(K1208)&gt;0,N(L1208)&gt;0),K1208/L1208,"")</f>
        <v/>
      </c>
      <c r="N1208" s="2" t="s">
        <v>1226</v>
      </c>
    </row>
    <row r="1209" customFormat="false" ht="15" hidden="false" customHeight="false" outlineLevel="0" collapsed="false">
      <c r="A1209" s="2" t="n">
        <v>1208</v>
      </c>
      <c r="B1209" s="2" t="s">
        <v>2732</v>
      </c>
      <c r="C1209" s="2" t="s">
        <v>2733</v>
      </c>
      <c r="D1209" s="2"/>
      <c r="E1209" s="2" t="s">
        <v>43</v>
      </c>
      <c r="F1209" s="3" t="n">
        <v>0.000141</v>
      </c>
      <c r="G1209" s="3" t="n">
        <f aca="false">SUM($F$2:F1209)</f>
        <v>0.856721</v>
      </c>
      <c r="H1209" s="4"/>
      <c r="I1209" s="5"/>
      <c r="J1209" s="4"/>
      <c r="K1209" s="5"/>
      <c r="L1209" s="6"/>
      <c r="M1209" s="5" t="str">
        <f aca="false">IF(AND(N(K1209)&gt;0,N(L1209)&gt;0),K1209/L1209,"")</f>
        <v/>
      </c>
      <c r="N1209" s="2" t="s">
        <v>1226</v>
      </c>
    </row>
    <row r="1210" customFormat="false" ht="15" hidden="false" customHeight="false" outlineLevel="0" collapsed="false">
      <c r="A1210" s="2" t="n">
        <v>1209</v>
      </c>
      <c r="B1210" s="2" t="s">
        <v>2734</v>
      </c>
      <c r="C1210" s="2" t="s">
        <v>2735</v>
      </c>
      <c r="D1210" s="2"/>
      <c r="E1210" s="2" t="s">
        <v>811</v>
      </c>
      <c r="F1210" s="3" t="n">
        <v>0.000141</v>
      </c>
      <c r="G1210" s="3" t="n">
        <f aca="false">SUM($F$2:F1210)</f>
        <v>0.856862</v>
      </c>
      <c r="H1210" s="4"/>
      <c r="I1210" s="5"/>
      <c r="J1210" s="4"/>
      <c r="K1210" s="5"/>
      <c r="L1210" s="6"/>
      <c r="M1210" s="5" t="str">
        <f aca="false">IF(AND(N(K1210)&gt;0,N(L1210)&gt;0),K1210/L1210,"")</f>
        <v/>
      </c>
      <c r="N1210" s="2" t="s">
        <v>1226</v>
      </c>
    </row>
    <row r="1211" customFormat="false" ht="15" hidden="false" customHeight="false" outlineLevel="0" collapsed="false">
      <c r="A1211" s="2" t="n">
        <v>1210</v>
      </c>
      <c r="B1211" s="2" t="s">
        <v>2736</v>
      </c>
      <c r="C1211" s="2" t="s">
        <v>2737</v>
      </c>
      <c r="D1211" s="2"/>
      <c r="E1211" s="2" t="s">
        <v>38</v>
      </c>
      <c r="F1211" s="3" t="n">
        <v>0.000141</v>
      </c>
      <c r="G1211" s="3" t="n">
        <f aca="false">SUM($F$2:F1211)</f>
        <v>0.857003</v>
      </c>
      <c r="H1211" s="4"/>
      <c r="I1211" s="5"/>
      <c r="J1211" s="4"/>
      <c r="K1211" s="5"/>
      <c r="L1211" s="6"/>
      <c r="M1211" s="5" t="str">
        <f aca="false">IF(AND(N(K1211)&gt;0,N(L1211)&gt;0),K1211/L1211,"")</f>
        <v/>
      </c>
      <c r="N1211" s="2" t="s">
        <v>1226</v>
      </c>
    </row>
    <row r="1212" customFormat="false" ht="15" hidden="false" customHeight="false" outlineLevel="0" collapsed="false">
      <c r="A1212" s="2" t="n">
        <v>1211</v>
      </c>
      <c r="B1212" s="2" t="s">
        <v>2181</v>
      </c>
      <c r="C1212" s="2" t="s">
        <v>2738</v>
      </c>
      <c r="D1212" s="2"/>
      <c r="E1212" s="2" t="s">
        <v>82</v>
      </c>
      <c r="F1212" s="3" t="n">
        <v>0.000141</v>
      </c>
      <c r="G1212" s="3" t="n">
        <f aca="false">SUM($F$2:F1212)</f>
        <v>0.857144</v>
      </c>
      <c r="H1212" s="4"/>
      <c r="I1212" s="5"/>
      <c r="J1212" s="4"/>
      <c r="K1212" s="5"/>
      <c r="L1212" s="6"/>
      <c r="M1212" s="5" t="str">
        <f aca="false">IF(AND(N(K1212)&gt;0,N(L1212)&gt;0),K1212/L1212,"")</f>
        <v/>
      </c>
      <c r="N1212" s="2" t="s">
        <v>1226</v>
      </c>
    </row>
    <row r="1213" customFormat="false" ht="15" hidden="false" customHeight="false" outlineLevel="0" collapsed="false">
      <c r="A1213" s="2" t="n">
        <v>1212</v>
      </c>
      <c r="B1213" s="2" t="s">
        <v>2739</v>
      </c>
      <c r="C1213" s="2" t="s">
        <v>2740</v>
      </c>
      <c r="D1213" s="2"/>
      <c r="E1213" s="2" t="s">
        <v>2741</v>
      </c>
      <c r="F1213" s="3" t="n">
        <v>0.000141</v>
      </c>
      <c r="G1213" s="3" t="n">
        <f aca="false">SUM($F$2:F1213)</f>
        <v>0.857285</v>
      </c>
      <c r="H1213" s="4"/>
      <c r="I1213" s="5"/>
      <c r="J1213" s="4"/>
      <c r="K1213" s="5"/>
      <c r="L1213" s="6"/>
      <c r="M1213" s="5" t="str">
        <f aca="false">IF(AND(N(K1213)&gt;0,N(L1213)&gt;0),K1213/L1213,"")</f>
        <v/>
      </c>
      <c r="N1213" s="2" t="s">
        <v>1226</v>
      </c>
    </row>
    <row r="1214" customFormat="false" ht="15" hidden="false" customHeight="false" outlineLevel="0" collapsed="false">
      <c r="A1214" s="2" t="n">
        <v>1213</v>
      </c>
      <c r="B1214" s="2" t="s">
        <v>2742</v>
      </c>
      <c r="C1214" s="2" t="s">
        <v>2743</v>
      </c>
      <c r="D1214" s="2"/>
      <c r="E1214" s="2" t="s">
        <v>167</v>
      </c>
      <c r="F1214" s="3" t="n">
        <v>0.000141</v>
      </c>
      <c r="G1214" s="3" t="n">
        <f aca="false">SUM($F$2:F1214)</f>
        <v>0.857426</v>
      </c>
      <c r="H1214" s="4"/>
      <c r="I1214" s="5"/>
      <c r="J1214" s="4"/>
      <c r="K1214" s="5"/>
      <c r="L1214" s="6"/>
      <c r="M1214" s="5" t="str">
        <f aca="false">IF(AND(N(K1214)&gt;0,N(L1214)&gt;0),K1214/L1214,"")</f>
        <v/>
      </c>
      <c r="N1214" s="2" t="s">
        <v>1226</v>
      </c>
    </row>
    <row r="1215" customFormat="false" ht="15" hidden="false" customHeight="false" outlineLevel="0" collapsed="false">
      <c r="A1215" s="2" t="n">
        <v>1214</v>
      </c>
      <c r="B1215" s="2" t="s">
        <v>2744</v>
      </c>
      <c r="C1215" s="2" t="s">
        <v>2745</v>
      </c>
      <c r="D1215" s="2"/>
      <c r="E1215" s="2" t="s">
        <v>17</v>
      </c>
      <c r="F1215" s="3" t="n">
        <v>0.00014</v>
      </c>
      <c r="G1215" s="3" t="n">
        <f aca="false">SUM($F$2:F1215)</f>
        <v>0.857566</v>
      </c>
      <c r="H1215" s="4"/>
      <c r="I1215" s="5"/>
      <c r="J1215" s="4"/>
      <c r="K1215" s="5"/>
      <c r="L1215" s="6"/>
      <c r="M1215" s="5" t="str">
        <f aca="false">IF(AND(N(K1215)&gt;0,N(L1215)&gt;0),K1215/L1215,"")</f>
        <v/>
      </c>
      <c r="N1215" s="2" t="s">
        <v>1226</v>
      </c>
    </row>
    <row r="1216" customFormat="false" ht="15" hidden="false" customHeight="false" outlineLevel="0" collapsed="false">
      <c r="A1216" s="2" t="n">
        <v>1215</v>
      </c>
      <c r="B1216" s="2" t="s">
        <v>2746</v>
      </c>
      <c r="C1216" s="2" t="s">
        <v>2747</v>
      </c>
      <c r="D1216" s="2"/>
      <c r="E1216" s="2" t="s">
        <v>860</v>
      </c>
      <c r="F1216" s="3" t="n">
        <v>0.00014</v>
      </c>
      <c r="G1216" s="3" t="n">
        <f aca="false">SUM($F$2:F1216)</f>
        <v>0.857706</v>
      </c>
      <c r="H1216" s="4"/>
      <c r="I1216" s="5"/>
      <c r="J1216" s="4"/>
      <c r="K1216" s="5"/>
      <c r="L1216" s="6"/>
      <c r="M1216" s="5" t="str">
        <f aca="false">IF(AND(N(K1216)&gt;0,N(L1216)&gt;0),K1216/L1216,"")</f>
        <v/>
      </c>
      <c r="N1216" s="2" t="s">
        <v>1226</v>
      </c>
    </row>
    <row r="1217" customFormat="false" ht="15" hidden="false" customHeight="false" outlineLevel="0" collapsed="false">
      <c r="A1217" s="2" t="n">
        <v>1216</v>
      </c>
      <c r="B1217" s="2" t="s">
        <v>2748</v>
      </c>
      <c r="C1217" s="2" t="s">
        <v>2749</v>
      </c>
      <c r="D1217" s="2"/>
      <c r="E1217" s="2" t="s">
        <v>29</v>
      </c>
      <c r="F1217" s="3" t="n">
        <v>0.00014</v>
      </c>
      <c r="G1217" s="3" t="n">
        <f aca="false">SUM($F$2:F1217)</f>
        <v>0.857846</v>
      </c>
      <c r="H1217" s="4"/>
      <c r="I1217" s="5"/>
      <c r="J1217" s="4"/>
      <c r="K1217" s="5"/>
      <c r="L1217" s="6"/>
      <c r="M1217" s="5" t="str">
        <f aca="false">IF(AND(N(K1217)&gt;0,N(L1217)&gt;0),K1217/L1217,"")</f>
        <v/>
      </c>
      <c r="N1217" s="2" t="s">
        <v>1226</v>
      </c>
    </row>
    <row r="1218" customFormat="false" ht="15" hidden="false" customHeight="false" outlineLevel="0" collapsed="false">
      <c r="A1218" s="2" t="n">
        <v>1217</v>
      </c>
      <c r="B1218" s="2" t="s">
        <v>2750</v>
      </c>
      <c r="C1218" s="2" t="s">
        <v>2751</v>
      </c>
      <c r="D1218" s="2"/>
      <c r="E1218" s="2" t="s">
        <v>289</v>
      </c>
      <c r="F1218" s="3" t="n">
        <v>0.00014</v>
      </c>
      <c r="G1218" s="3" t="n">
        <f aca="false">SUM($F$2:F1218)</f>
        <v>0.857986</v>
      </c>
      <c r="H1218" s="4"/>
      <c r="I1218" s="5"/>
      <c r="J1218" s="4"/>
      <c r="K1218" s="5"/>
      <c r="L1218" s="6"/>
      <c r="M1218" s="5" t="str">
        <f aca="false">IF(AND(N(K1218)&gt;0,N(L1218)&gt;0),K1218/L1218,"")</f>
        <v/>
      </c>
      <c r="N1218" s="2" t="s">
        <v>1226</v>
      </c>
    </row>
    <row r="1219" customFormat="false" ht="15" hidden="false" customHeight="false" outlineLevel="0" collapsed="false">
      <c r="A1219" s="2" t="n">
        <v>1218</v>
      </c>
      <c r="B1219" s="2" t="s">
        <v>2752</v>
      </c>
      <c r="C1219" s="2" t="s">
        <v>2753</v>
      </c>
      <c r="D1219" s="2"/>
      <c r="E1219" s="2" t="s">
        <v>334</v>
      </c>
      <c r="F1219" s="3" t="n">
        <v>0.00014</v>
      </c>
      <c r="G1219" s="3" t="n">
        <f aca="false">SUM($F$2:F1219)</f>
        <v>0.858126</v>
      </c>
      <c r="H1219" s="4"/>
      <c r="I1219" s="5"/>
      <c r="J1219" s="4"/>
      <c r="K1219" s="5"/>
      <c r="L1219" s="6"/>
      <c r="M1219" s="5" t="str">
        <f aca="false">IF(AND(N(K1219)&gt;0,N(L1219)&gt;0),K1219/L1219,"")</f>
        <v/>
      </c>
      <c r="N1219" s="2" t="s">
        <v>1226</v>
      </c>
    </row>
    <row r="1220" customFormat="false" ht="15" hidden="false" customHeight="false" outlineLevel="0" collapsed="false">
      <c r="A1220" s="2" t="n">
        <v>1219</v>
      </c>
      <c r="B1220" s="2" t="s">
        <v>2754</v>
      </c>
      <c r="C1220" s="2" t="s">
        <v>2755</v>
      </c>
      <c r="D1220" s="2"/>
      <c r="E1220" s="2" t="s">
        <v>29</v>
      </c>
      <c r="F1220" s="3" t="n">
        <v>0.00014</v>
      </c>
      <c r="G1220" s="3" t="n">
        <f aca="false">SUM($F$2:F1220)</f>
        <v>0.858266</v>
      </c>
      <c r="H1220" s="4"/>
      <c r="I1220" s="5"/>
      <c r="J1220" s="4"/>
      <c r="K1220" s="5"/>
      <c r="L1220" s="6"/>
      <c r="M1220" s="5" t="str">
        <f aca="false">IF(AND(N(K1220)&gt;0,N(L1220)&gt;0),K1220/L1220,"")</f>
        <v/>
      </c>
      <c r="N1220" s="2" t="s">
        <v>1226</v>
      </c>
    </row>
    <row r="1221" customFormat="false" ht="15" hidden="false" customHeight="false" outlineLevel="0" collapsed="false">
      <c r="A1221" s="2" t="n">
        <v>1220</v>
      </c>
      <c r="B1221" s="2" t="s">
        <v>301</v>
      </c>
      <c r="C1221" s="2" t="s">
        <v>2756</v>
      </c>
      <c r="D1221" s="2"/>
      <c r="E1221" s="2" t="s">
        <v>48</v>
      </c>
      <c r="F1221" s="3" t="n">
        <v>0.00014</v>
      </c>
      <c r="G1221" s="3" t="n">
        <f aca="false">SUM($F$2:F1221)</f>
        <v>0.858406</v>
      </c>
      <c r="H1221" s="4"/>
      <c r="I1221" s="5"/>
      <c r="J1221" s="4"/>
      <c r="K1221" s="5"/>
      <c r="L1221" s="6"/>
      <c r="M1221" s="5" t="str">
        <f aca="false">IF(AND(N(K1221)&gt;0,N(L1221)&gt;0),K1221/L1221,"")</f>
        <v/>
      </c>
      <c r="N1221" s="2" t="s">
        <v>34</v>
      </c>
    </row>
    <row r="1222" customFormat="false" ht="15" hidden="false" customHeight="false" outlineLevel="0" collapsed="false">
      <c r="A1222" s="2" t="n">
        <v>1221</v>
      </c>
      <c r="B1222" s="2" t="s">
        <v>2757</v>
      </c>
      <c r="C1222" s="2" t="s">
        <v>2758</v>
      </c>
      <c r="D1222" s="2"/>
      <c r="E1222" s="2" t="s">
        <v>199</v>
      </c>
      <c r="F1222" s="3" t="n">
        <v>0.00014</v>
      </c>
      <c r="G1222" s="3" t="n">
        <f aca="false">SUM($F$2:F1222)</f>
        <v>0.858546</v>
      </c>
      <c r="H1222" s="4"/>
      <c r="I1222" s="5"/>
      <c r="J1222" s="4"/>
      <c r="K1222" s="5"/>
      <c r="L1222" s="6"/>
      <c r="M1222" s="5" t="str">
        <f aca="false">IF(AND(N(K1222)&gt;0,N(L1222)&gt;0),K1222/L1222,"")</f>
        <v/>
      </c>
      <c r="N1222" s="2" t="s">
        <v>1226</v>
      </c>
    </row>
    <row r="1223" customFormat="false" ht="15" hidden="false" customHeight="false" outlineLevel="0" collapsed="false">
      <c r="A1223" s="2" t="n">
        <v>1222</v>
      </c>
      <c r="B1223" s="2" t="s">
        <v>2759</v>
      </c>
      <c r="C1223" s="2" t="s">
        <v>2760</v>
      </c>
      <c r="D1223" s="2"/>
      <c r="E1223" s="2" t="s">
        <v>52</v>
      </c>
      <c r="F1223" s="3" t="n">
        <v>0.00014</v>
      </c>
      <c r="G1223" s="3" t="n">
        <f aca="false">SUM($F$2:F1223)</f>
        <v>0.858686</v>
      </c>
      <c r="H1223" s="4"/>
      <c r="I1223" s="5"/>
      <c r="J1223" s="4"/>
      <c r="K1223" s="5"/>
      <c r="L1223" s="6"/>
      <c r="M1223" s="5" t="str">
        <f aca="false">IF(AND(N(K1223)&gt;0,N(L1223)&gt;0),K1223/L1223,"")</f>
        <v/>
      </c>
      <c r="N1223" s="2" t="s">
        <v>1226</v>
      </c>
    </row>
    <row r="1224" customFormat="false" ht="15" hidden="false" customHeight="false" outlineLevel="0" collapsed="false">
      <c r="A1224" s="2" t="n">
        <v>1223</v>
      </c>
      <c r="B1224" s="2" t="s">
        <v>2761</v>
      </c>
      <c r="C1224" s="2" t="s">
        <v>2762</v>
      </c>
      <c r="D1224" s="2"/>
      <c r="E1224" s="2" t="s">
        <v>2763</v>
      </c>
      <c r="F1224" s="3" t="n">
        <v>0.00014</v>
      </c>
      <c r="G1224" s="3" t="n">
        <f aca="false">SUM($F$2:F1224)</f>
        <v>0.858826</v>
      </c>
      <c r="H1224" s="4"/>
      <c r="I1224" s="5"/>
      <c r="J1224" s="4"/>
      <c r="K1224" s="5"/>
      <c r="L1224" s="6"/>
      <c r="M1224" s="5" t="str">
        <f aca="false">IF(AND(N(K1224)&gt;0,N(L1224)&gt;0),K1224/L1224,"")</f>
        <v/>
      </c>
      <c r="N1224" s="2" t="s">
        <v>1226</v>
      </c>
    </row>
    <row r="1225" customFormat="false" ht="15" hidden="false" customHeight="false" outlineLevel="0" collapsed="false">
      <c r="A1225" s="2" t="n">
        <v>1224</v>
      </c>
      <c r="B1225" s="2" t="s">
        <v>2764</v>
      </c>
      <c r="C1225" s="2" t="s">
        <v>2765</v>
      </c>
      <c r="D1225" s="2"/>
      <c r="E1225" s="2" t="s">
        <v>1245</v>
      </c>
      <c r="F1225" s="3" t="n">
        <v>0.000139</v>
      </c>
      <c r="G1225" s="3" t="n">
        <f aca="false">SUM($F$2:F1225)</f>
        <v>0.858965</v>
      </c>
      <c r="H1225" s="4"/>
      <c r="I1225" s="5"/>
      <c r="J1225" s="4"/>
      <c r="K1225" s="5"/>
      <c r="L1225" s="6"/>
      <c r="M1225" s="5" t="str">
        <f aca="false">IF(AND(N(K1225)&gt;0,N(L1225)&gt;0),K1225/L1225,"")</f>
        <v/>
      </c>
      <c r="N1225" s="2" t="s">
        <v>1226</v>
      </c>
    </row>
    <row r="1226" customFormat="false" ht="15" hidden="false" customHeight="false" outlineLevel="0" collapsed="false">
      <c r="A1226" s="2" t="n">
        <v>1225</v>
      </c>
      <c r="B1226" s="2" t="s">
        <v>2766</v>
      </c>
      <c r="C1226" s="2" t="s">
        <v>2767</v>
      </c>
      <c r="D1226" s="2"/>
      <c r="E1226" s="2" t="s">
        <v>334</v>
      </c>
      <c r="F1226" s="3" t="n">
        <v>0.000139</v>
      </c>
      <c r="G1226" s="3" t="n">
        <f aca="false">SUM($F$2:F1226)</f>
        <v>0.859104</v>
      </c>
      <c r="H1226" s="4"/>
      <c r="I1226" s="5"/>
      <c r="J1226" s="4"/>
      <c r="K1226" s="5"/>
      <c r="L1226" s="6"/>
      <c r="M1226" s="5" t="str">
        <f aca="false">IF(AND(N(K1226)&gt;0,N(L1226)&gt;0),K1226/L1226,"")</f>
        <v/>
      </c>
      <c r="N1226" s="2" t="s">
        <v>1226</v>
      </c>
    </row>
    <row r="1227" customFormat="false" ht="15" hidden="false" customHeight="false" outlineLevel="0" collapsed="false">
      <c r="A1227" s="2" t="n">
        <v>1226</v>
      </c>
      <c r="B1227" s="2" t="s">
        <v>2768</v>
      </c>
      <c r="C1227" s="2" t="s">
        <v>2769</v>
      </c>
      <c r="D1227" s="2"/>
      <c r="E1227" s="2" t="s">
        <v>25</v>
      </c>
      <c r="F1227" s="3" t="n">
        <v>0.000139</v>
      </c>
      <c r="G1227" s="3" t="n">
        <f aca="false">SUM($F$2:F1227)</f>
        <v>0.859243</v>
      </c>
      <c r="H1227" s="4"/>
      <c r="I1227" s="5"/>
      <c r="J1227" s="4"/>
      <c r="K1227" s="5"/>
      <c r="L1227" s="6"/>
      <c r="M1227" s="5" t="str">
        <f aca="false">IF(AND(N(K1227)&gt;0,N(L1227)&gt;0),K1227/L1227,"")</f>
        <v/>
      </c>
      <c r="N1227" s="2" t="s">
        <v>1226</v>
      </c>
    </row>
    <row r="1228" customFormat="false" ht="15" hidden="false" customHeight="false" outlineLevel="0" collapsed="false">
      <c r="A1228" s="2" t="n">
        <v>1227</v>
      </c>
      <c r="B1228" s="2" t="s">
        <v>2770</v>
      </c>
      <c r="C1228" s="2" t="s">
        <v>2771</v>
      </c>
      <c r="D1228" s="2"/>
      <c r="E1228" s="2" t="s">
        <v>17</v>
      </c>
      <c r="F1228" s="3" t="n">
        <v>0.000139</v>
      </c>
      <c r="G1228" s="3" t="n">
        <f aca="false">SUM($F$2:F1228)</f>
        <v>0.859382</v>
      </c>
      <c r="H1228" s="4"/>
      <c r="I1228" s="5"/>
      <c r="J1228" s="4"/>
      <c r="K1228" s="5"/>
      <c r="L1228" s="6"/>
      <c r="M1228" s="5" t="str">
        <f aca="false">IF(AND(N(K1228)&gt;0,N(L1228)&gt;0),K1228/L1228,"")</f>
        <v/>
      </c>
      <c r="N1228" s="2" t="s">
        <v>1226</v>
      </c>
    </row>
    <row r="1229" customFormat="false" ht="15" hidden="false" customHeight="false" outlineLevel="0" collapsed="false">
      <c r="A1229" s="2" t="n">
        <v>1228</v>
      </c>
      <c r="B1229" s="2" t="s">
        <v>2772</v>
      </c>
      <c r="C1229" s="2" t="s">
        <v>2773</v>
      </c>
      <c r="D1229" s="2"/>
      <c r="E1229" s="2" t="s">
        <v>33</v>
      </c>
      <c r="F1229" s="3" t="n">
        <v>0.000139</v>
      </c>
      <c r="G1229" s="3" t="n">
        <f aca="false">SUM($F$2:F1229)</f>
        <v>0.859521</v>
      </c>
      <c r="H1229" s="4"/>
      <c r="I1229" s="5"/>
      <c r="J1229" s="4"/>
      <c r="K1229" s="5"/>
      <c r="L1229" s="6"/>
      <c r="M1229" s="5" t="str">
        <f aca="false">IF(AND(N(K1229)&gt;0,N(L1229)&gt;0),K1229/L1229,"")</f>
        <v/>
      </c>
      <c r="N1229" s="2" t="s">
        <v>1226</v>
      </c>
    </row>
    <row r="1230" customFormat="false" ht="15" hidden="false" customHeight="false" outlineLevel="0" collapsed="false">
      <c r="A1230" s="2" t="n">
        <v>1229</v>
      </c>
      <c r="B1230" s="2" t="s">
        <v>2774</v>
      </c>
      <c r="C1230" s="2" t="s">
        <v>2775</v>
      </c>
      <c r="D1230" s="2"/>
      <c r="E1230" s="2" t="s">
        <v>82</v>
      </c>
      <c r="F1230" s="3" t="n">
        <v>0.000139</v>
      </c>
      <c r="G1230" s="3" t="n">
        <f aca="false">SUM($F$2:F1230)</f>
        <v>0.85966</v>
      </c>
      <c r="H1230" s="4"/>
      <c r="I1230" s="5"/>
      <c r="J1230" s="4"/>
      <c r="K1230" s="5"/>
      <c r="L1230" s="6"/>
      <c r="M1230" s="5" t="str">
        <f aca="false">IF(AND(N(K1230)&gt;0,N(L1230)&gt;0),K1230/L1230,"")</f>
        <v/>
      </c>
      <c r="N1230" s="2" t="s">
        <v>1226</v>
      </c>
    </row>
    <row r="1231" customFormat="false" ht="15" hidden="false" customHeight="false" outlineLevel="0" collapsed="false">
      <c r="A1231" s="2" t="n">
        <v>1230</v>
      </c>
      <c r="B1231" s="2" t="s">
        <v>2776</v>
      </c>
      <c r="C1231" s="2" t="s">
        <v>2777</v>
      </c>
      <c r="D1231" s="2"/>
      <c r="E1231" s="2" t="s">
        <v>173</v>
      </c>
      <c r="F1231" s="3" t="n">
        <v>0.000138</v>
      </c>
      <c r="G1231" s="3" t="n">
        <f aca="false">SUM($F$2:F1231)</f>
        <v>0.859798</v>
      </c>
      <c r="H1231" s="4"/>
      <c r="I1231" s="5"/>
      <c r="J1231" s="4"/>
      <c r="K1231" s="5"/>
      <c r="L1231" s="6"/>
      <c r="M1231" s="5" t="str">
        <f aca="false">IF(AND(N(K1231)&gt;0,N(L1231)&gt;0),K1231/L1231,"")</f>
        <v/>
      </c>
      <c r="N1231" s="2" t="s">
        <v>1226</v>
      </c>
    </row>
    <row r="1232" customFormat="false" ht="15" hidden="false" customHeight="false" outlineLevel="0" collapsed="false">
      <c r="A1232" s="2" t="n">
        <v>1231</v>
      </c>
      <c r="B1232" s="2" t="s">
        <v>2778</v>
      </c>
      <c r="C1232" s="2" t="s">
        <v>2779</v>
      </c>
      <c r="D1232" s="2"/>
      <c r="E1232" s="2" t="s">
        <v>48</v>
      </c>
      <c r="F1232" s="3" t="n">
        <v>0.000138</v>
      </c>
      <c r="G1232" s="3" t="n">
        <f aca="false">SUM($F$2:F1232)</f>
        <v>0.859936</v>
      </c>
      <c r="H1232" s="4"/>
      <c r="I1232" s="5"/>
      <c r="J1232" s="4"/>
      <c r="K1232" s="5"/>
      <c r="L1232" s="6"/>
      <c r="M1232" s="5" t="str">
        <f aca="false">IF(AND(N(K1232)&gt;0,N(L1232)&gt;0),K1232/L1232,"")</f>
        <v/>
      </c>
      <c r="N1232" s="2" t="s">
        <v>1226</v>
      </c>
    </row>
    <row r="1233" customFormat="false" ht="15" hidden="false" customHeight="false" outlineLevel="0" collapsed="false">
      <c r="A1233" s="2" t="n">
        <v>1232</v>
      </c>
      <c r="B1233" s="2" t="s">
        <v>2780</v>
      </c>
      <c r="C1233" s="2" t="s">
        <v>2781</v>
      </c>
      <c r="D1233" s="2"/>
      <c r="E1233" s="2" t="s">
        <v>33</v>
      </c>
      <c r="F1233" s="3" t="n">
        <v>0.000138</v>
      </c>
      <c r="G1233" s="3" t="n">
        <f aca="false">SUM($F$2:F1233)</f>
        <v>0.860074</v>
      </c>
      <c r="H1233" s="4"/>
      <c r="I1233" s="5"/>
      <c r="J1233" s="4"/>
      <c r="K1233" s="5"/>
      <c r="L1233" s="6"/>
      <c r="M1233" s="5" t="str">
        <f aca="false">IF(AND(N(K1233)&gt;0,N(L1233)&gt;0),K1233/L1233,"")</f>
        <v/>
      </c>
      <c r="N1233" s="2" t="s">
        <v>1226</v>
      </c>
    </row>
    <row r="1234" customFormat="false" ht="15" hidden="false" customHeight="false" outlineLevel="0" collapsed="false">
      <c r="A1234" s="2" t="n">
        <v>1233</v>
      </c>
      <c r="B1234" s="2" t="s">
        <v>2782</v>
      </c>
      <c r="C1234" s="2" t="s">
        <v>2783</v>
      </c>
      <c r="D1234" s="2"/>
      <c r="E1234" s="2" t="s">
        <v>52</v>
      </c>
      <c r="F1234" s="3" t="n">
        <v>0.000138</v>
      </c>
      <c r="G1234" s="3" t="n">
        <f aca="false">SUM($F$2:F1234)</f>
        <v>0.860212</v>
      </c>
      <c r="H1234" s="4"/>
      <c r="I1234" s="5"/>
      <c r="J1234" s="4"/>
      <c r="K1234" s="5"/>
      <c r="L1234" s="6"/>
      <c r="M1234" s="5" t="str">
        <f aca="false">IF(AND(N(K1234)&gt;0,N(L1234)&gt;0),K1234/L1234,"")</f>
        <v/>
      </c>
      <c r="N1234" s="2" t="s">
        <v>1226</v>
      </c>
    </row>
    <row r="1235" customFormat="false" ht="15" hidden="false" customHeight="false" outlineLevel="0" collapsed="false">
      <c r="A1235" s="2" t="n">
        <v>1234</v>
      </c>
      <c r="B1235" s="2" t="s">
        <v>2784</v>
      </c>
      <c r="C1235" s="2" t="s">
        <v>2785</v>
      </c>
      <c r="D1235" s="2"/>
      <c r="E1235" s="2" t="s">
        <v>43</v>
      </c>
      <c r="F1235" s="3" t="n">
        <v>0.000138</v>
      </c>
      <c r="G1235" s="3" t="n">
        <f aca="false">SUM($F$2:F1235)</f>
        <v>0.86035</v>
      </c>
      <c r="H1235" s="4"/>
      <c r="I1235" s="5"/>
      <c r="J1235" s="4"/>
      <c r="K1235" s="5"/>
      <c r="L1235" s="6"/>
      <c r="M1235" s="5" t="str">
        <f aca="false">IF(AND(N(K1235)&gt;0,N(L1235)&gt;0),K1235/L1235,"")</f>
        <v/>
      </c>
      <c r="N1235" s="2" t="s">
        <v>1226</v>
      </c>
    </row>
    <row r="1236" customFormat="false" ht="15" hidden="false" customHeight="false" outlineLevel="0" collapsed="false">
      <c r="A1236" s="2" t="n">
        <v>1235</v>
      </c>
      <c r="B1236" s="2" t="s">
        <v>819</v>
      </c>
      <c r="C1236" s="2" t="s">
        <v>2786</v>
      </c>
      <c r="D1236" s="2"/>
      <c r="E1236" s="2" t="s">
        <v>82</v>
      </c>
      <c r="F1236" s="3" t="n">
        <v>0.000138</v>
      </c>
      <c r="G1236" s="3" t="n">
        <f aca="false">SUM($F$2:F1236)</f>
        <v>0.860488</v>
      </c>
      <c r="H1236" s="4"/>
      <c r="I1236" s="5"/>
      <c r="J1236" s="4"/>
      <c r="K1236" s="5"/>
      <c r="L1236" s="6"/>
      <c r="M1236" s="5" t="str">
        <f aca="false">IF(AND(N(K1236)&gt;0,N(L1236)&gt;0),K1236/L1236,"")</f>
        <v/>
      </c>
      <c r="N1236" s="2" t="s">
        <v>1226</v>
      </c>
    </row>
    <row r="1237" customFormat="false" ht="15" hidden="false" customHeight="false" outlineLevel="0" collapsed="false">
      <c r="A1237" s="2" t="n">
        <v>1236</v>
      </c>
      <c r="B1237" s="2" t="s">
        <v>2787</v>
      </c>
      <c r="C1237" s="2" t="s">
        <v>2788</v>
      </c>
      <c r="D1237" s="2"/>
      <c r="E1237" s="2" t="s">
        <v>52</v>
      </c>
      <c r="F1237" s="3" t="n">
        <v>0.000138</v>
      </c>
      <c r="G1237" s="3" t="n">
        <f aca="false">SUM($F$2:F1237)</f>
        <v>0.860626</v>
      </c>
      <c r="H1237" s="4"/>
      <c r="I1237" s="5"/>
      <c r="J1237" s="4"/>
      <c r="K1237" s="5"/>
      <c r="L1237" s="6"/>
      <c r="M1237" s="5" t="str">
        <f aca="false">IF(AND(N(K1237)&gt;0,N(L1237)&gt;0),K1237/L1237,"")</f>
        <v/>
      </c>
      <c r="N1237" s="2" t="s">
        <v>1226</v>
      </c>
    </row>
    <row r="1238" customFormat="false" ht="15" hidden="false" customHeight="false" outlineLevel="0" collapsed="false">
      <c r="A1238" s="2" t="n">
        <v>1237</v>
      </c>
      <c r="B1238" s="2" t="s">
        <v>2789</v>
      </c>
      <c r="C1238" s="2" t="s">
        <v>2790</v>
      </c>
      <c r="D1238" s="2"/>
      <c r="E1238" s="2" t="s">
        <v>1345</v>
      </c>
      <c r="F1238" s="3" t="n">
        <v>0.000138</v>
      </c>
      <c r="G1238" s="3" t="n">
        <f aca="false">SUM($F$2:F1238)</f>
        <v>0.860764</v>
      </c>
      <c r="H1238" s="4"/>
      <c r="I1238" s="5"/>
      <c r="J1238" s="4"/>
      <c r="K1238" s="5"/>
      <c r="L1238" s="6"/>
      <c r="M1238" s="5" t="str">
        <f aca="false">IF(AND(N(K1238)&gt;0,N(L1238)&gt;0),K1238/L1238,"")</f>
        <v/>
      </c>
      <c r="N1238" s="2" t="s">
        <v>1226</v>
      </c>
    </row>
    <row r="1239" customFormat="false" ht="15" hidden="false" customHeight="false" outlineLevel="0" collapsed="false">
      <c r="A1239" s="2" t="n">
        <v>1238</v>
      </c>
      <c r="B1239" s="2" t="s">
        <v>2791</v>
      </c>
      <c r="C1239" s="2" t="s">
        <v>2792</v>
      </c>
      <c r="D1239" s="2"/>
      <c r="E1239" s="2" t="s">
        <v>52</v>
      </c>
      <c r="F1239" s="3" t="n">
        <v>0.000137</v>
      </c>
      <c r="G1239" s="3" t="n">
        <f aca="false">SUM($F$2:F1239)</f>
        <v>0.860901</v>
      </c>
      <c r="H1239" s="4"/>
      <c r="I1239" s="5"/>
      <c r="J1239" s="4"/>
      <c r="K1239" s="5"/>
      <c r="L1239" s="6"/>
      <c r="M1239" s="5" t="str">
        <f aca="false">IF(AND(N(K1239)&gt;0,N(L1239)&gt;0),K1239/L1239,"")</f>
        <v/>
      </c>
      <c r="N1239" s="2" t="s">
        <v>1226</v>
      </c>
    </row>
    <row r="1240" customFormat="false" ht="15" hidden="false" customHeight="false" outlineLevel="0" collapsed="false">
      <c r="A1240" s="2" t="n">
        <v>1239</v>
      </c>
      <c r="B1240" s="2" t="s">
        <v>2793</v>
      </c>
      <c r="C1240" s="2" t="s">
        <v>2794</v>
      </c>
      <c r="D1240" s="2"/>
      <c r="E1240" s="2" t="s">
        <v>82</v>
      </c>
      <c r="F1240" s="3" t="n">
        <v>0.000137</v>
      </c>
      <c r="G1240" s="3" t="n">
        <f aca="false">SUM($F$2:F1240)</f>
        <v>0.861038</v>
      </c>
      <c r="H1240" s="4"/>
      <c r="I1240" s="5"/>
      <c r="J1240" s="4"/>
      <c r="K1240" s="5"/>
      <c r="L1240" s="6"/>
      <c r="M1240" s="5" t="str">
        <f aca="false">IF(AND(N(K1240)&gt;0,N(L1240)&gt;0),K1240/L1240,"")</f>
        <v/>
      </c>
      <c r="N1240" s="2" t="s">
        <v>1226</v>
      </c>
    </row>
    <row r="1241" customFormat="false" ht="15" hidden="false" customHeight="false" outlineLevel="0" collapsed="false">
      <c r="A1241" s="2" t="n">
        <v>1240</v>
      </c>
      <c r="B1241" s="2" t="s">
        <v>2795</v>
      </c>
      <c r="C1241" s="2" t="s">
        <v>2796</v>
      </c>
      <c r="D1241" s="2"/>
      <c r="E1241" s="2" t="s">
        <v>334</v>
      </c>
      <c r="F1241" s="3" t="n">
        <v>0.000137</v>
      </c>
      <c r="G1241" s="3" t="n">
        <f aca="false">SUM($F$2:F1241)</f>
        <v>0.861175</v>
      </c>
      <c r="H1241" s="4"/>
      <c r="I1241" s="5"/>
      <c r="J1241" s="4"/>
      <c r="K1241" s="5"/>
      <c r="L1241" s="6"/>
      <c r="M1241" s="5" t="str">
        <f aca="false">IF(AND(N(K1241)&gt;0,N(L1241)&gt;0),K1241/L1241,"")</f>
        <v/>
      </c>
      <c r="N1241" s="2" t="s">
        <v>1226</v>
      </c>
    </row>
    <row r="1242" customFormat="false" ht="15" hidden="false" customHeight="false" outlineLevel="0" collapsed="false">
      <c r="A1242" s="2" t="n">
        <v>1241</v>
      </c>
      <c r="B1242" s="2" t="s">
        <v>2797</v>
      </c>
      <c r="C1242" s="2" t="s">
        <v>2798</v>
      </c>
      <c r="D1242" s="2"/>
      <c r="E1242" s="2" t="s">
        <v>43</v>
      </c>
      <c r="F1242" s="3" t="n">
        <v>0.000137</v>
      </c>
      <c r="G1242" s="3" t="n">
        <f aca="false">SUM($F$2:F1242)</f>
        <v>0.861312</v>
      </c>
      <c r="H1242" s="4"/>
      <c r="I1242" s="5"/>
      <c r="J1242" s="4"/>
      <c r="K1242" s="5"/>
      <c r="L1242" s="6"/>
      <c r="M1242" s="5" t="str">
        <f aca="false">IF(AND(N(K1242)&gt;0,N(L1242)&gt;0),K1242/L1242,"")</f>
        <v/>
      </c>
      <c r="N1242" s="2" t="s">
        <v>1226</v>
      </c>
    </row>
    <row r="1243" customFormat="false" ht="15" hidden="false" customHeight="false" outlineLevel="0" collapsed="false">
      <c r="A1243" s="2" t="n">
        <v>1242</v>
      </c>
      <c r="B1243" s="2" t="s">
        <v>2799</v>
      </c>
      <c r="C1243" s="2" t="s">
        <v>2800</v>
      </c>
      <c r="D1243" s="2"/>
      <c r="E1243" s="2" t="s">
        <v>82</v>
      </c>
      <c r="F1243" s="3" t="n">
        <v>0.000137</v>
      </c>
      <c r="G1243" s="3" t="n">
        <f aca="false">SUM($F$2:F1243)</f>
        <v>0.861449</v>
      </c>
      <c r="H1243" s="4"/>
      <c r="I1243" s="5"/>
      <c r="J1243" s="4"/>
      <c r="K1243" s="5"/>
      <c r="L1243" s="6"/>
      <c r="M1243" s="5" t="str">
        <f aca="false">IF(AND(N(K1243)&gt;0,N(L1243)&gt;0),K1243/L1243,"")</f>
        <v/>
      </c>
      <c r="N1243" s="2" t="s">
        <v>1226</v>
      </c>
    </row>
    <row r="1244" customFormat="false" ht="15" hidden="false" customHeight="false" outlineLevel="0" collapsed="false">
      <c r="A1244" s="2" t="n">
        <v>1243</v>
      </c>
      <c r="B1244" s="2" t="s">
        <v>2801</v>
      </c>
      <c r="C1244" s="2" t="s">
        <v>2802</v>
      </c>
      <c r="D1244" s="2"/>
      <c r="E1244" s="2" t="s">
        <v>1245</v>
      </c>
      <c r="F1244" s="3" t="n">
        <v>0.000136</v>
      </c>
      <c r="G1244" s="3" t="n">
        <f aca="false">SUM($F$2:F1244)</f>
        <v>0.861585</v>
      </c>
      <c r="H1244" s="4"/>
      <c r="I1244" s="5"/>
      <c r="J1244" s="4"/>
      <c r="K1244" s="5"/>
      <c r="L1244" s="6"/>
      <c r="M1244" s="5" t="str">
        <f aca="false">IF(AND(N(K1244)&gt;0,N(L1244)&gt;0),K1244/L1244,"")</f>
        <v/>
      </c>
      <c r="N1244" s="2" t="s">
        <v>1226</v>
      </c>
    </row>
    <row r="1245" customFormat="false" ht="15" hidden="false" customHeight="false" outlineLevel="0" collapsed="false">
      <c r="A1245" s="2" t="n">
        <v>1244</v>
      </c>
      <c r="B1245" s="2" t="s">
        <v>2803</v>
      </c>
      <c r="C1245" s="2" t="s">
        <v>2804</v>
      </c>
      <c r="D1245" s="2"/>
      <c r="E1245" s="2" t="s">
        <v>296</v>
      </c>
      <c r="F1245" s="3" t="n">
        <v>0.000136</v>
      </c>
      <c r="G1245" s="3" t="n">
        <f aca="false">SUM($F$2:F1245)</f>
        <v>0.861721</v>
      </c>
      <c r="H1245" s="4"/>
      <c r="I1245" s="5"/>
      <c r="J1245" s="4"/>
      <c r="K1245" s="5"/>
      <c r="L1245" s="6"/>
      <c r="M1245" s="5" t="str">
        <f aca="false">IF(AND(N(K1245)&gt;0,N(L1245)&gt;0),K1245/L1245,"")</f>
        <v/>
      </c>
      <c r="N1245" s="2" t="s">
        <v>1226</v>
      </c>
    </row>
    <row r="1246" customFormat="false" ht="15" hidden="false" customHeight="false" outlineLevel="0" collapsed="false">
      <c r="A1246" s="2" t="n">
        <v>1245</v>
      </c>
      <c r="B1246" s="2" t="s">
        <v>2805</v>
      </c>
      <c r="C1246" s="2" t="s">
        <v>2806</v>
      </c>
      <c r="D1246" s="2"/>
      <c r="E1246" s="2" t="s">
        <v>2763</v>
      </c>
      <c r="F1246" s="3" t="n">
        <v>0.000136</v>
      </c>
      <c r="G1246" s="3" t="n">
        <f aca="false">SUM($F$2:F1246)</f>
        <v>0.861857</v>
      </c>
      <c r="H1246" s="4"/>
      <c r="I1246" s="5"/>
      <c r="J1246" s="4"/>
      <c r="K1246" s="5"/>
      <c r="L1246" s="6"/>
      <c r="M1246" s="5" t="str">
        <f aca="false">IF(AND(N(K1246)&gt;0,N(L1246)&gt;0),K1246/L1246,"")</f>
        <v/>
      </c>
      <c r="N1246" s="2" t="s">
        <v>1226</v>
      </c>
    </row>
    <row r="1247" customFormat="false" ht="15" hidden="false" customHeight="false" outlineLevel="0" collapsed="false">
      <c r="A1247" s="2" t="n">
        <v>1246</v>
      </c>
      <c r="B1247" s="2" t="s">
        <v>2807</v>
      </c>
      <c r="C1247" s="2" t="s">
        <v>2808</v>
      </c>
      <c r="D1247" s="2"/>
      <c r="E1247" s="2" t="s">
        <v>48</v>
      </c>
      <c r="F1247" s="3" t="n">
        <v>0.000136</v>
      </c>
      <c r="G1247" s="3" t="n">
        <f aca="false">SUM($F$2:F1247)</f>
        <v>0.861993</v>
      </c>
      <c r="H1247" s="4"/>
      <c r="I1247" s="5"/>
      <c r="J1247" s="4"/>
      <c r="K1247" s="5"/>
      <c r="L1247" s="6"/>
      <c r="M1247" s="5" t="str">
        <f aca="false">IF(AND(N(K1247)&gt;0,N(L1247)&gt;0),K1247/L1247,"")</f>
        <v/>
      </c>
      <c r="N1247" s="2" t="s">
        <v>1226</v>
      </c>
    </row>
    <row r="1248" customFormat="false" ht="15" hidden="false" customHeight="false" outlineLevel="0" collapsed="false">
      <c r="A1248" s="2" t="n">
        <v>1247</v>
      </c>
      <c r="B1248" s="2" t="s">
        <v>2809</v>
      </c>
      <c r="C1248" s="2" t="s">
        <v>2810</v>
      </c>
      <c r="D1248" s="2"/>
      <c r="E1248" s="2" t="s">
        <v>38</v>
      </c>
      <c r="F1248" s="3" t="n">
        <v>0.000135</v>
      </c>
      <c r="G1248" s="3" t="n">
        <f aca="false">SUM($F$2:F1248)</f>
        <v>0.862128</v>
      </c>
      <c r="H1248" s="4"/>
      <c r="I1248" s="5"/>
      <c r="J1248" s="4"/>
      <c r="K1248" s="5"/>
      <c r="L1248" s="6"/>
      <c r="M1248" s="5" t="str">
        <f aca="false">IF(AND(N(K1248)&gt;0,N(L1248)&gt;0),K1248/L1248,"")</f>
        <v/>
      </c>
      <c r="N1248" s="2" t="s">
        <v>1226</v>
      </c>
    </row>
    <row r="1249" customFormat="false" ht="15" hidden="false" customHeight="false" outlineLevel="0" collapsed="false">
      <c r="A1249" s="2" t="n">
        <v>1248</v>
      </c>
      <c r="B1249" s="2" t="s">
        <v>2811</v>
      </c>
      <c r="C1249" s="2" t="s">
        <v>2812</v>
      </c>
      <c r="D1249" s="2"/>
      <c r="E1249" s="2" t="s">
        <v>289</v>
      </c>
      <c r="F1249" s="3" t="n">
        <v>0.000135</v>
      </c>
      <c r="G1249" s="3" t="n">
        <f aca="false">SUM($F$2:F1249)</f>
        <v>0.862263</v>
      </c>
      <c r="H1249" s="4"/>
      <c r="I1249" s="5"/>
      <c r="J1249" s="4"/>
      <c r="K1249" s="5"/>
      <c r="L1249" s="6"/>
      <c r="M1249" s="5" t="str">
        <f aca="false">IF(AND(N(K1249)&gt;0,N(L1249)&gt;0),K1249/L1249,"")</f>
        <v/>
      </c>
      <c r="N1249" s="2" t="s">
        <v>1226</v>
      </c>
    </row>
    <row r="1250" customFormat="false" ht="15" hidden="false" customHeight="false" outlineLevel="0" collapsed="false">
      <c r="A1250" s="2" t="n">
        <v>1249</v>
      </c>
      <c r="B1250" s="2" t="s">
        <v>2813</v>
      </c>
      <c r="C1250" s="2" t="s">
        <v>2814</v>
      </c>
      <c r="D1250" s="2"/>
      <c r="E1250" s="2" t="s">
        <v>289</v>
      </c>
      <c r="F1250" s="3" t="n">
        <v>0.000135</v>
      </c>
      <c r="G1250" s="3" t="n">
        <f aca="false">SUM($F$2:F1250)</f>
        <v>0.862398</v>
      </c>
      <c r="H1250" s="4"/>
      <c r="I1250" s="5"/>
      <c r="J1250" s="4"/>
      <c r="K1250" s="5"/>
      <c r="L1250" s="6"/>
      <c r="M1250" s="5" t="str">
        <f aca="false">IF(AND(N(K1250)&gt;0,N(L1250)&gt;0),K1250/L1250,"")</f>
        <v/>
      </c>
      <c r="N1250" s="2" t="s">
        <v>1226</v>
      </c>
    </row>
    <row r="1251" customFormat="false" ht="15" hidden="false" customHeight="false" outlineLevel="0" collapsed="false">
      <c r="A1251" s="2" t="n">
        <v>1250</v>
      </c>
      <c r="B1251" s="2" t="s">
        <v>2815</v>
      </c>
      <c r="C1251" s="2" t="s">
        <v>2816</v>
      </c>
      <c r="D1251" s="2"/>
      <c r="E1251" s="2" t="s">
        <v>25</v>
      </c>
      <c r="F1251" s="3" t="n">
        <v>0.000135</v>
      </c>
      <c r="G1251" s="3" t="n">
        <f aca="false">SUM($F$2:F1251)</f>
        <v>0.862533</v>
      </c>
      <c r="H1251" s="4"/>
      <c r="I1251" s="5"/>
      <c r="J1251" s="4"/>
      <c r="K1251" s="5"/>
      <c r="L1251" s="6"/>
      <c r="M1251" s="5" t="str">
        <f aca="false">IF(AND(N(K1251)&gt;0,N(L1251)&gt;0),K1251/L1251,"")</f>
        <v/>
      </c>
      <c r="N1251" s="2" t="s">
        <v>1226</v>
      </c>
    </row>
    <row r="1252" customFormat="false" ht="15" hidden="false" customHeight="false" outlineLevel="0" collapsed="false">
      <c r="A1252" s="2" t="n">
        <v>1251</v>
      </c>
      <c r="B1252" s="2" t="s">
        <v>2817</v>
      </c>
      <c r="C1252" s="2" t="s">
        <v>2818</v>
      </c>
      <c r="D1252" s="2"/>
      <c r="E1252" s="2" t="s">
        <v>48</v>
      </c>
      <c r="F1252" s="3" t="n">
        <v>0.000135</v>
      </c>
      <c r="G1252" s="3" t="n">
        <f aca="false">SUM($F$2:F1252)</f>
        <v>0.862668</v>
      </c>
      <c r="H1252" s="4"/>
      <c r="I1252" s="5"/>
      <c r="J1252" s="4"/>
      <c r="K1252" s="5"/>
      <c r="L1252" s="6"/>
      <c r="M1252" s="5" t="str">
        <f aca="false">IF(AND(N(K1252)&gt;0,N(L1252)&gt;0),K1252/L1252,"")</f>
        <v/>
      </c>
      <c r="N1252" s="2" t="s">
        <v>1226</v>
      </c>
    </row>
    <row r="1253" customFormat="false" ht="15" hidden="false" customHeight="false" outlineLevel="0" collapsed="false">
      <c r="A1253" s="2" t="n">
        <v>1252</v>
      </c>
      <c r="B1253" s="2" t="s">
        <v>2819</v>
      </c>
      <c r="C1253" s="2" t="s">
        <v>2820</v>
      </c>
      <c r="D1253" s="2"/>
      <c r="E1253" s="2" t="s">
        <v>679</v>
      </c>
      <c r="F1253" s="3" t="n">
        <v>0.000135</v>
      </c>
      <c r="G1253" s="3" t="n">
        <f aca="false">SUM($F$2:F1253)</f>
        <v>0.862803</v>
      </c>
      <c r="H1253" s="4"/>
      <c r="I1253" s="5"/>
      <c r="J1253" s="4"/>
      <c r="K1253" s="5"/>
      <c r="L1253" s="6"/>
      <c r="M1253" s="5" t="str">
        <f aca="false">IF(AND(N(K1253)&gt;0,N(L1253)&gt;0),K1253/L1253,"")</f>
        <v/>
      </c>
      <c r="N1253" s="2" t="s">
        <v>1226</v>
      </c>
    </row>
    <row r="1254" customFormat="false" ht="15" hidden="false" customHeight="false" outlineLevel="0" collapsed="false">
      <c r="A1254" s="2" t="n">
        <v>1253</v>
      </c>
      <c r="B1254" s="2" t="s">
        <v>2821</v>
      </c>
      <c r="C1254" s="2" t="s">
        <v>2822</v>
      </c>
      <c r="D1254" s="2"/>
      <c r="E1254" s="2" t="s">
        <v>82</v>
      </c>
      <c r="F1254" s="3" t="n">
        <v>0.000135</v>
      </c>
      <c r="G1254" s="3" t="n">
        <f aca="false">SUM($F$2:F1254)</f>
        <v>0.862938</v>
      </c>
      <c r="H1254" s="4"/>
      <c r="I1254" s="5"/>
      <c r="J1254" s="4"/>
      <c r="K1254" s="5"/>
      <c r="L1254" s="6"/>
      <c r="M1254" s="5" t="str">
        <f aca="false">IF(AND(N(K1254)&gt;0,N(L1254)&gt;0),K1254/L1254,"")</f>
        <v/>
      </c>
      <c r="N1254" s="2" t="s">
        <v>1226</v>
      </c>
    </row>
    <row r="1255" customFormat="false" ht="15" hidden="false" customHeight="false" outlineLevel="0" collapsed="false">
      <c r="A1255" s="2" t="n">
        <v>1254</v>
      </c>
      <c r="B1255" s="2" t="s">
        <v>2823</v>
      </c>
      <c r="C1255" s="2" t="s">
        <v>2824</v>
      </c>
      <c r="D1255" s="2"/>
      <c r="E1255" s="2" t="s">
        <v>1050</v>
      </c>
      <c r="F1255" s="3" t="n">
        <v>0.000135</v>
      </c>
      <c r="G1255" s="3" t="n">
        <f aca="false">SUM($F$2:F1255)</f>
        <v>0.863073</v>
      </c>
      <c r="H1255" s="4"/>
      <c r="I1255" s="5"/>
      <c r="J1255" s="4"/>
      <c r="K1255" s="5"/>
      <c r="L1255" s="6"/>
      <c r="M1255" s="5" t="str">
        <f aca="false">IF(AND(N(K1255)&gt;0,N(L1255)&gt;0),K1255/L1255,"")</f>
        <v/>
      </c>
      <c r="N1255" s="2" t="s">
        <v>1226</v>
      </c>
    </row>
    <row r="1256" customFormat="false" ht="15" hidden="false" customHeight="false" outlineLevel="0" collapsed="false">
      <c r="A1256" s="2" t="n">
        <v>1255</v>
      </c>
      <c r="B1256" s="2" t="s">
        <v>2825</v>
      </c>
      <c r="C1256" s="2" t="s">
        <v>2826</v>
      </c>
      <c r="D1256" s="2"/>
      <c r="E1256" s="2" t="s">
        <v>539</v>
      </c>
      <c r="F1256" s="3" t="n">
        <v>0.000135</v>
      </c>
      <c r="G1256" s="3" t="n">
        <f aca="false">SUM($F$2:F1256)</f>
        <v>0.863208</v>
      </c>
      <c r="H1256" s="4"/>
      <c r="I1256" s="5"/>
      <c r="J1256" s="4"/>
      <c r="K1256" s="5"/>
      <c r="L1256" s="6"/>
      <c r="M1256" s="5" t="str">
        <f aca="false">IF(AND(N(K1256)&gt;0,N(L1256)&gt;0),K1256/L1256,"")</f>
        <v/>
      </c>
      <c r="N1256" s="2" t="s">
        <v>1226</v>
      </c>
    </row>
    <row r="1257" customFormat="false" ht="15" hidden="false" customHeight="false" outlineLevel="0" collapsed="false">
      <c r="A1257" s="2" t="n">
        <v>1256</v>
      </c>
      <c r="B1257" s="2" t="s">
        <v>2827</v>
      </c>
      <c r="C1257" s="2" t="s">
        <v>2828</v>
      </c>
      <c r="D1257" s="2"/>
      <c r="E1257" s="2" t="s">
        <v>48</v>
      </c>
      <c r="F1257" s="3" t="n">
        <v>0.000134</v>
      </c>
      <c r="G1257" s="3" t="n">
        <f aca="false">SUM($F$2:F1257)</f>
        <v>0.863342</v>
      </c>
      <c r="H1257" s="4"/>
      <c r="I1257" s="5"/>
      <c r="J1257" s="4"/>
      <c r="K1257" s="5"/>
      <c r="L1257" s="6"/>
      <c r="M1257" s="5" t="str">
        <f aca="false">IF(AND(N(K1257)&gt;0,N(L1257)&gt;0),K1257/L1257,"")</f>
        <v/>
      </c>
      <c r="N1257" s="2" t="s">
        <v>1226</v>
      </c>
    </row>
    <row r="1258" customFormat="false" ht="15" hidden="false" customHeight="false" outlineLevel="0" collapsed="false">
      <c r="A1258" s="2" t="n">
        <v>1257</v>
      </c>
      <c r="B1258" s="2" t="s">
        <v>2829</v>
      </c>
      <c r="C1258" s="2" t="s">
        <v>2830</v>
      </c>
      <c r="D1258" s="2"/>
      <c r="E1258" s="2" t="s">
        <v>17</v>
      </c>
      <c r="F1258" s="3" t="n">
        <v>0.000134</v>
      </c>
      <c r="G1258" s="3" t="n">
        <f aca="false">SUM($F$2:F1258)</f>
        <v>0.863476</v>
      </c>
      <c r="H1258" s="4"/>
      <c r="I1258" s="5"/>
      <c r="J1258" s="4"/>
      <c r="K1258" s="5"/>
      <c r="L1258" s="6"/>
      <c r="M1258" s="5" t="str">
        <f aca="false">IF(AND(N(K1258)&gt;0,N(L1258)&gt;0),K1258/L1258,"")</f>
        <v/>
      </c>
      <c r="N1258" s="2" t="s">
        <v>1226</v>
      </c>
    </row>
    <row r="1259" customFormat="false" ht="15" hidden="false" customHeight="false" outlineLevel="0" collapsed="false">
      <c r="A1259" s="2" t="n">
        <v>1258</v>
      </c>
      <c r="B1259" s="2" t="s">
        <v>2831</v>
      </c>
      <c r="C1259" s="2" t="s">
        <v>2832</v>
      </c>
      <c r="D1259" s="2"/>
      <c r="E1259" s="2" t="s">
        <v>17</v>
      </c>
      <c r="F1259" s="3" t="n">
        <v>0.000134</v>
      </c>
      <c r="G1259" s="3" t="n">
        <f aca="false">SUM($F$2:F1259)</f>
        <v>0.86361</v>
      </c>
      <c r="H1259" s="4"/>
      <c r="I1259" s="5"/>
      <c r="J1259" s="4"/>
      <c r="K1259" s="5"/>
      <c r="L1259" s="6"/>
      <c r="M1259" s="5" t="str">
        <f aca="false">IF(AND(N(K1259)&gt;0,N(L1259)&gt;0),K1259/L1259,"")</f>
        <v/>
      </c>
      <c r="N1259" s="2" t="s">
        <v>1226</v>
      </c>
    </row>
    <row r="1260" customFormat="false" ht="15" hidden="false" customHeight="false" outlineLevel="0" collapsed="false">
      <c r="A1260" s="2" t="n">
        <v>1259</v>
      </c>
      <c r="B1260" s="2" t="s">
        <v>2833</v>
      </c>
      <c r="C1260" s="2" t="s">
        <v>2834</v>
      </c>
      <c r="D1260" s="2"/>
      <c r="E1260" s="2" t="s">
        <v>52</v>
      </c>
      <c r="F1260" s="3" t="n">
        <v>0.000134</v>
      </c>
      <c r="G1260" s="3" t="n">
        <f aca="false">SUM($F$2:F1260)</f>
        <v>0.863744</v>
      </c>
      <c r="H1260" s="4"/>
      <c r="I1260" s="5"/>
      <c r="J1260" s="4"/>
      <c r="K1260" s="5"/>
      <c r="L1260" s="6"/>
      <c r="M1260" s="5" t="str">
        <f aca="false">IF(AND(N(K1260)&gt;0,N(L1260)&gt;0),K1260/L1260,"")</f>
        <v/>
      </c>
      <c r="N1260" s="2" t="s">
        <v>1226</v>
      </c>
    </row>
    <row r="1261" customFormat="false" ht="15" hidden="false" customHeight="false" outlineLevel="0" collapsed="false">
      <c r="A1261" s="2" t="n">
        <v>1260</v>
      </c>
      <c r="B1261" s="2" t="s">
        <v>2835</v>
      </c>
      <c r="C1261" s="2" t="s">
        <v>2836</v>
      </c>
      <c r="D1261" s="2"/>
      <c r="E1261" s="2" t="s">
        <v>33</v>
      </c>
      <c r="F1261" s="3" t="n">
        <v>0.000134</v>
      </c>
      <c r="G1261" s="3" t="n">
        <f aca="false">SUM($F$2:F1261)</f>
        <v>0.863878</v>
      </c>
      <c r="H1261" s="4"/>
      <c r="I1261" s="5"/>
      <c r="J1261" s="4"/>
      <c r="K1261" s="5"/>
      <c r="L1261" s="6"/>
      <c r="M1261" s="5" t="str">
        <f aca="false">IF(AND(N(K1261)&gt;0,N(L1261)&gt;0),K1261/L1261,"")</f>
        <v/>
      </c>
      <c r="N1261" s="2" t="s">
        <v>1226</v>
      </c>
    </row>
    <row r="1262" customFormat="false" ht="15" hidden="false" customHeight="false" outlineLevel="0" collapsed="false">
      <c r="A1262" s="2" t="n">
        <v>1261</v>
      </c>
      <c r="B1262" s="2" t="s">
        <v>2837</v>
      </c>
      <c r="C1262" s="2" t="s">
        <v>2838</v>
      </c>
      <c r="D1262" s="2"/>
      <c r="E1262" s="2" t="s">
        <v>52</v>
      </c>
      <c r="F1262" s="3" t="n">
        <v>0.000134</v>
      </c>
      <c r="G1262" s="3" t="n">
        <f aca="false">SUM($F$2:F1262)</f>
        <v>0.864012</v>
      </c>
      <c r="H1262" s="4"/>
      <c r="I1262" s="5"/>
      <c r="J1262" s="4"/>
      <c r="K1262" s="5"/>
      <c r="L1262" s="6"/>
      <c r="M1262" s="5" t="str">
        <f aca="false">IF(AND(N(K1262)&gt;0,N(L1262)&gt;0),K1262/L1262,"")</f>
        <v/>
      </c>
      <c r="N1262" s="2" t="s">
        <v>1226</v>
      </c>
    </row>
    <row r="1263" customFormat="false" ht="15" hidden="false" customHeight="false" outlineLevel="0" collapsed="false">
      <c r="A1263" s="2" t="n">
        <v>1262</v>
      </c>
      <c r="B1263" s="2" t="s">
        <v>2839</v>
      </c>
      <c r="C1263" s="2" t="s">
        <v>2840</v>
      </c>
      <c r="D1263" s="2"/>
      <c r="E1263" s="2" t="s">
        <v>296</v>
      </c>
      <c r="F1263" s="3" t="n">
        <v>0.000133</v>
      </c>
      <c r="G1263" s="3" t="n">
        <f aca="false">SUM($F$2:F1263)</f>
        <v>0.864145</v>
      </c>
      <c r="H1263" s="4"/>
      <c r="I1263" s="5"/>
      <c r="J1263" s="4"/>
      <c r="K1263" s="5"/>
      <c r="L1263" s="6"/>
      <c r="M1263" s="5" t="str">
        <f aca="false">IF(AND(N(K1263)&gt;0,N(L1263)&gt;0),K1263/L1263,"")</f>
        <v/>
      </c>
      <c r="N1263" s="2" t="s">
        <v>1226</v>
      </c>
    </row>
    <row r="1264" customFormat="false" ht="15" hidden="false" customHeight="false" outlineLevel="0" collapsed="false">
      <c r="A1264" s="2" t="n">
        <v>1263</v>
      </c>
      <c r="B1264" s="2" t="s">
        <v>2841</v>
      </c>
      <c r="C1264" s="2" t="s">
        <v>2842</v>
      </c>
      <c r="D1264" s="2"/>
      <c r="E1264" s="2" t="s">
        <v>334</v>
      </c>
      <c r="F1264" s="3" t="n">
        <v>0.000133</v>
      </c>
      <c r="G1264" s="3" t="n">
        <f aca="false">SUM($F$2:F1264)</f>
        <v>0.864278</v>
      </c>
      <c r="H1264" s="4"/>
      <c r="I1264" s="5"/>
      <c r="J1264" s="4"/>
      <c r="K1264" s="5"/>
      <c r="L1264" s="6"/>
      <c r="M1264" s="5" t="str">
        <f aca="false">IF(AND(N(K1264)&gt;0,N(L1264)&gt;0),K1264/L1264,"")</f>
        <v/>
      </c>
      <c r="N1264" s="2" t="s">
        <v>1226</v>
      </c>
    </row>
    <row r="1265" customFormat="false" ht="15" hidden="false" customHeight="false" outlineLevel="0" collapsed="false">
      <c r="A1265" s="2" t="n">
        <v>1264</v>
      </c>
      <c r="B1265" s="2" t="s">
        <v>2843</v>
      </c>
      <c r="C1265" s="2" t="s">
        <v>2844</v>
      </c>
      <c r="D1265" s="2"/>
      <c r="E1265" s="2" t="s">
        <v>43</v>
      </c>
      <c r="F1265" s="3" t="n">
        <v>0.000133</v>
      </c>
      <c r="G1265" s="3" t="n">
        <f aca="false">SUM($F$2:F1265)</f>
        <v>0.864411</v>
      </c>
      <c r="H1265" s="4"/>
      <c r="I1265" s="5"/>
      <c r="J1265" s="4"/>
      <c r="K1265" s="5"/>
      <c r="L1265" s="6"/>
      <c r="M1265" s="5" t="str">
        <f aca="false">IF(AND(N(K1265)&gt;0,N(L1265)&gt;0),K1265/L1265,"")</f>
        <v/>
      </c>
      <c r="N1265" s="2" t="s">
        <v>1226</v>
      </c>
    </row>
    <row r="1266" customFormat="false" ht="15" hidden="false" customHeight="false" outlineLevel="0" collapsed="false">
      <c r="A1266" s="2" t="n">
        <v>1265</v>
      </c>
      <c r="B1266" s="2" t="s">
        <v>1768</v>
      </c>
      <c r="C1266" s="2" t="s">
        <v>1769</v>
      </c>
      <c r="D1266" s="2"/>
      <c r="E1266" s="2" t="s">
        <v>33</v>
      </c>
      <c r="F1266" s="3" t="n">
        <v>0.000133</v>
      </c>
      <c r="G1266" s="3" t="n">
        <f aca="false">SUM($F$2:F1266)</f>
        <v>0.864544</v>
      </c>
      <c r="H1266" s="4"/>
      <c r="I1266" s="5"/>
      <c r="J1266" s="4"/>
      <c r="K1266" s="5"/>
      <c r="L1266" s="6"/>
      <c r="M1266" s="5" t="str">
        <f aca="false">IF(AND(N(K1266)&gt;0,N(L1266)&gt;0),K1266/L1266,"")</f>
        <v/>
      </c>
      <c r="N1266" s="2" t="s">
        <v>1226</v>
      </c>
    </row>
    <row r="1267" customFormat="false" ht="15" hidden="false" customHeight="false" outlineLevel="0" collapsed="false">
      <c r="A1267" s="2" t="n">
        <v>1266</v>
      </c>
      <c r="B1267" s="2" t="s">
        <v>2845</v>
      </c>
      <c r="C1267" s="2" t="s">
        <v>2846</v>
      </c>
      <c r="D1267" s="2"/>
      <c r="E1267" s="2" t="s">
        <v>43</v>
      </c>
      <c r="F1267" s="3" t="n">
        <v>0.000133</v>
      </c>
      <c r="G1267" s="3" t="n">
        <f aca="false">SUM($F$2:F1267)</f>
        <v>0.864677</v>
      </c>
      <c r="H1267" s="4"/>
      <c r="I1267" s="5"/>
      <c r="J1267" s="4"/>
      <c r="K1267" s="5"/>
      <c r="L1267" s="6"/>
      <c r="M1267" s="5" t="str">
        <f aca="false">IF(AND(N(K1267)&gt;0,N(L1267)&gt;0),K1267/L1267,"")</f>
        <v/>
      </c>
      <c r="N1267" s="2" t="s">
        <v>1226</v>
      </c>
    </row>
    <row r="1268" customFormat="false" ht="15" hidden="false" customHeight="false" outlineLevel="0" collapsed="false">
      <c r="A1268" s="2" t="n">
        <v>1267</v>
      </c>
      <c r="B1268" s="2" t="s">
        <v>2847</v>
      </c>
      <c r="C1268" s="2" t="s">
        <v>2848</v>
      </c>
      <c r="D1268" s="2"/>
      <c r="E1268" s="2" t="s">
        <v>1345</v>
      </c>
      <c r="F1268" s="3" t="n">
        <v>0.000132</v>
      </c>
      <c r="G1268" s="3" t="n">
        <f aca="false">SUM($F$2:F1268)</f>
        <v>0.864809</v>
      </c>
      <c r="H1268" s="4"/>
      <c r="I1268" s="5"/>
      <c r="J1268" s="4"/>
      <c r="K1268" s="5"/>
      <c r="L1268" s="6"/>
      <c r="M1268" s="5" t="str">
        <f aca="false">IF(AND(N(K1268)&gt;0,N(L1268)&gt;0),K1268/L1268,"")</f>
        <v/>
      </c>
      <c r="N1268" s="2" t="s">
        <v>1226</v>
      </c>
    </row>
    <row r="1269" customFormat="false" ht="15" hidden="false" customHeight="false" outlineLevel="0" collapsed="false">
      <c r="A1269" s="2" t="n">
        <v>1268</v>
      </c>
      <c r="B1269" s="2" t="s">
        <v>2849</v>
      </c>
      <c r="C1269" s="2" t="s">
        <v>2850</v>
      </c>
      <c r="D1269" s="2"/>
      <c r="E1269" s="2" t="s">
        <v>1345</v>
      </c>
      <c r="F1269" s="3" t="n">
        <v>0.000132</v>
      </c>
      <c r="G1269" s="3" t="n">
        <f aca="false">SUM($F$2:F1269)</f>
        <v>0.864941</v>
      </c>
      <c r="H1269" s="4"/>
      <c r="I1269" s="5"/>
      <c r="J1269" s="4"/>
      <c r="K1269" s="5"/>
      <c r="L1269" s="6"/>
      <c r="M1269" s="5" t="str">
        <f aca="false">IF(AND(N(K1269)&gt;0,N(L1269)&gt;0),K1269/L1269,"")</f>
        <v/>
      </c>
      <c r="N1269" s="2" t="s">
        <v>1226</v>
      </c>
    </row>
    <row r="1270" customFormat="false" ht="15" hidden="false" customHeight="false" outlineLevel="0" collapsed="false">
      <c r="A1270" s="2" t="n">
        <v>1269</v>
      </c>
      <c r="B1270" s="2" t="s">
        <v>2851</v>
      </c>
      <c r="C1270" s="2" t="s">
        <v>2852</v>
      </c>
      <c r="D1270" s="2"/>
      <c r="E1270" s="2" t="s">
        <v>700</v>
      </c>
      <c r="F1270" s="3" t="n">
        <v>0.000132</v>
      </c>
      <c r="G1270" s="3" t="n">
        <f aca="false">SUM($F$2:F1270)</f>
        <v>0.865073</v>
      </c>
      <c r="H1270" s="4"/>
      <c r="I1270" s="5"/>
      <c r="J1270" s="4"/>
      <c r="K1270" s="5"/>
      <c r="L1270" s="6"/>
      <c r="M1270" s="5" t="str">
        <f aca="false">IF(AND(N(K1270)&gt;0,N(L1270)&gt;0),K1270/L1270,"")</f>
        <v/>
      </c>
      <c r="N1270" s="2" t="s">
        <v>1226</v>
      </c>
    </row>
    <row r="1271" customFormat="false" ht="15" hidden="false" customHeight="false" outlineLevel="0" collapsed="false">
      <c r="A1271" s="2" t="n">
        <v>1270</v>
      </c>
      <c r="B1271" s="2" t="s">
        <v>2853</v>
      </c>
      <c r="C1271" s="2" t="s">
        <v>2854</v>
      </c>
      <c r="D1271" s="2"/>
      <c r="E1271" s="2" t="s">
        <v>25</v>
      </c>
      <c r="F1271" s="3" t="n">
        <v>0.000132</v>
      </c>
      <c r="G1271" s="3" t="n">
        <f aca="false">SUM($F$2:F1271)</f>
        <v>0.865205</v>
      </c>
      <c r="H1271" s="4"/>
      <c r="I1271" s="5"/>
      <c r="J1271" s="4"/>
      <c r="K1271" s="5"/>
      <c r="L1271" s="6"/>
      <c r="M1271" s="5" t="str">
        <f aca="false">IF(AND(N(K1271)&gt;0,N(L1271)&gt;0),K1271/L1271,"")</f>
        <v/>
      </c>
      <c r="N1271" s="2" t="s">
        <v>1226</v>
      </c>
    </row>
    <row r="1272" customFormat="false" ht="15" hidden="false" customHeight="false" outlineLevel="0" collapsed="false">
      <c r="A1272" s="2" t="n">
        <v>1271</v>
      </c>
      <c r="B1272" s="2" t="s">
        <v>2855</v>
      </c>
      <c r="C1272" s="2" t="s">
        <v>2856</v>
      </c>
      <c r="D1272" s="2"/>
      <c r="E1272" s="2" t="s">
        <v>289</v>
      </c>
      <c r="F1272" s="3" t="n">
        <v>0.000132</v>
      </c>
      <c r="G1272" s="3" t="n">
        <f aca="false">SUM($F$2:F1272)</f>
        <v>0.865337</v>
      </c>
      <c r="H1272" s="4"/>
      <c r="I1272" s="5"/>
      <c r="J1272" s="4"/>
      <c r="K1272" s="5"/>
      <c r="L1272" s="6"/>
      <c r="M1272" s="5" t="str">
        <f aca="false">IF(AND(N(K1272)&gt;0,N(L1272)&gt;0),K1272/L1272,"")</f>
        <v/>
      </c>
      <c r="N1272" s="2" t="s">
        <v>1226</v>
      </c>
    </row>
    <row r="1273" customFormat="false" ht="15" hidden="false" customHeight="false" outlineLevel="0" collapsed="false">
      <c r="A1273" s="2" t="n">
        <v>1272</v>
      </c>
      <c r="B1273" s="2" t="s">
        <v>2857</v>
      </c>
      <c r="C1273" s="2" t="s">
        <v>2858</v>
      </c>
      <c r="D1273" s="2"/>
      <c r="E1273" s="2" t="s">
        <v>1215</v>
      </c>
      <c r="F1273" s="3" t="n">
        <v>0.000132</v>
      </c>
      <c r="G1273" s="3" t="n">
        <f aca="false">SUM($F$2:F1273)</f>
        <v>0.865469</v>
      </c>
      <c r="H1273" s="4"/>
      <c r="I1273" s="5"/>
      <c r="J1273" s="4"/>
      <c r="K1273" s="5"/>
      <c r="L1273" s="6"/>
      <c r="M1273" s="5" t="str">
        <f aca="false">IF(AND(N(K1273)&gt;0,N(L1273)&gt;0),K1273/L1273,"")</f>
        <v/>
      </c>
      <c r="N1273" s="2" t="s">
        <v>1226</v>
      </c>
    </row>
    <row r="1274" customFormat="false" ht="15" hidden="false" customHeight="false" outlineLevel="0" collapsed="false">
      <c r="A1274" s="2" t="n">
        <v>1273</v>
      </c>
      <c r="B1274" s="2" t="s">
        <v>2859</v>
      </c>
      <c r="C1274" s="2" t="s">
        <v>2860</v>
      </c>
      <c r="D1274" s="2"/>
      <c r="E1274" s="2" t="s">
        <v>700</v>
      </c>
      <c r="F1274" s="3" t="n">
        <v>0.000132</v>
      </c>
      <c r="G1274" s="3" t="n">
        <f aca="false">SUM($F$2:F1274)</f>
        <v>0.865601</v>
      </c>
      <c r="H1274" s="4"/>
      <c r="I1274" s="5"/>
      <c r="J1274" s="4"/>
      <c r="K1274" s="5"/>
      <c r="L1274" s="6"/>
      <c r="M1274" s="5" t="str">
        <f aca="false">IF(AND(N(K1274)&gt;0,N(L1274)&gt;0),K1274/L1274,"")</f>
        <v/>
      </c>
      <c r="N1274" s="2" t="s">
        <v>1226</v>
      </c>
    </row>
    <row r="1275" customFormat="false" ht="15" hidden="false" customHeight="false" outlineLevel="0" collapsed="false">
      <c r="A1275" s="2" t="n">
        <v>1274</v>
      </c>
      <c r="B1275" s="2" t="s">
        <v>2861</v>
      </c>
      <c r="C1275" s="2" t="s">
        <v>2862</v>
      </c>
      <c r="D1275" s="2"/>
      <c r="E1275" s="2" t="s">
        <v>826</v>
      </c>
      <c r="F1275" s="3" t="n">
        <v>0.000131</v>
      </c>
      <c r="G1275" s="3" t="n">
        <f aca="false">SUM($F$2:F1275)</f>
        <v>0.865732</v>
      </c>
      <c r="H1275" s="4"/>
      <c r="I1275" s="5"/>
      <c r="J1275" s="4"/>
      <c r="K1275" s="5"/>
      <c r="L1275" s="6"/>
      <c r="M1275" s="5" t="str">
        <f aca="false">IF(AND(N(K1275)&gt;0,N(L1275)&gt;0),K1275/L1275,"")</f>
        <v/>
      </c>
      <c r="N1275" s="2" t="s">
        <v>1226</v>
      </c>
    </row>
    <row r="1276" customFormat="false" ht="15" hidden="false" customHeight="false" outlineLevel="0" collapsed="false">
      <c r="A1276" s="2" t="n">
        <v>1275</v>
      </c>
      <c r="B1276" s="2" t="s">
        <v>2863</v>
      </c>
      <c r="C1276" s="2" t="s">
        <v>2864</v>
      </c>
      <c r="D1276" s="2"/>
      <c r="E1276" s="2" t="s">
        <v>33</v>
      </c>
      <c r="F1276" s="3" t="n">
        <v>0.000131</v>
      </c>
      <c r="G1276" s="3" t="n">
        <f aca="false">SUM($F$2:F1276)</f>
        <v>0.865863</v>
      </c>
      <c r="H1276" s="4"/>
      <c r="I1276" s="5"/>
      <c r="J1276" s="4"/>
      <c r="K1276" s="5"/>
      <c r="L1276" s="6"/>
      <c r="M1276" s="5" t="str">
        <f aca="false">IF(AND(N(K1276)&gt;0,N(L1276)&gt;0),K1276/L1276,"")</f>
        <v/>
      </c>
      <c r="N1276" s="2" t="s">
        <v>1226</v>
      </c>
    </row>
    <row r="1277" customFormat="false" ht="15" hidden="false" customHeight="false" outlineLevel="0" collapsed="false">
      <c r="A1277" s="2" t="n">
        <v>1276</v>
      </c>
      <c r="B1277" s="2" t="s">
        <v>2865</v>
      </c>
      <c r="C1277" s="2" t="s">
        <v>2866</v>
      </c>
      <c r="D1277" s="2"/>
      <c r="E1277" s="2" t="s">
        <v>1050</v>
      </c>
      <c r="F1277" s="3" t="n">
        <v>0.000131</v>
      </c>
      <c r="G1277" s="3" t="n">
        <f aca="false">SUM($F$2:F1277)</f>
        <v>0.865994</v>
      </c>
      <c r="H1277" s="4"/>
      <c r="I1277" s="5"/>
      <c r="J1277" s="4"/>
      <c r="K1277" s="5"/>
      <c r="L1277" s="6"/>
      <c r="M1277" s="5" t="str">
        <f aca="false">IF(AND(N(K1277)&gt;0,N(L1277)&gt;0),K1277/L1277,"")</f>
        <v/>
      </c>
      <c r="N1277" s="2" t="s">
        <v>1226</v>
      </c>
    </row>
    <row r="1278" customFormat="false" ht="15" hidden="false" customHeight="false" outlineLevel="0" collapsed="false">
      <c r="A1278" s="2" t="n">
        <v>1277</v>
      </c>
      <c r="B1278" s="2" t="s">
        <v>2867</v>
      </c>
      <c r="C1278" s="2" t="s">
        <v>2868</v>
      </c>
      <c r="D1278" s="2"/>
      <c r="E1278" s="2" t="s">
        <v>21</v>
      </c>
      <c r="F1278" s="3" t="n">
        <v>0.000131</v>
      </c>
      <c r="G1278" s="3" t="n">
        <f aca="false">SUM($F$2:F1278)</f>
        <v>0.866125</v>
      </c>
      <c r="H1278" s="4"/>
      <c r="I1278" s="5"/>
      <c r="J1278" s="4"/>
      <c r="K1278" s="5"/>
      <c r="L1278" s="6"/>
      <c r="M1278" s="5" t="str">
        <f aca="false">IF(AND(N(K1278)&gt;0,N(L1278)&gt;0),K1278/L1278,"")</f>
        <v/>
      </c>
      <c r="N1278" s="2" t="s">
        <v>1226</v>
      </c>
    </row>
    <row r="1279" customFormat="false" ht="15" hidden="false" customHeight="false" outlineLevel="0" collapsed="false">
      <c r="A1279" s="2" t="n">
        <v>1278</v>
      </c>
      <c r="B1279" s="2" t="s">
        <v>2869</v>
      </c>
      <c r="C1279" s="2" t="s">
        <v>2870</v>
      </c>
      <c r="D1279" s="2"/>
      <c r="E1279" s="2" t="s">
        <v>82</v>
      </c>
      <c r="F1279" s="3" t="n">
        <v>0.000131</v>
      </c>
      <c r="G1279" s="3" t="n">
        <f aca="false">SUM($F$2:F1279)</f>
        <v>0.866256</v>
      </c>
      <c r="H1279" s="4"/>
      <c r="I1279" s="5"/>
      <c r="J1279" s="4"/>
      <c r="K1279" s="5"/>
      <c r="L1279" s="6"/>
      <c r="M1279" s="5" t="str">
        <f aca="false">IF(AND(N(K1279)&gt;0,N(L1279)&gt;0),K1279/L1279,"")</f>
        <v/>
      </c>
      <c r="N1279" s="2" t="s">
        <v>1226</v>
      </c>
    </row>
    <row r="1280" customFormat="false" ht="15" hidden="false" customHeight="false" outlineLevel="0" collapsed="false">
      <c r="A1280" s="2" t="n">
        <v>1279</v>
      </c>
      <c r="B1280" s="2" t="s">
        <v>2871</v>
      </c>
      <c r="C1280" s="2" t="s">
        <v>2872</v>
      </c>
      <c r="D1280" s="2"/>
      <c r="E1280" s="2" t="s">
        <v>17</v>
      </c>
      <c r="F1280" s="3" t="n">
        <v>0.00013</v>
      </c>
      <c r="G1280" s="3" t="n">
        <f aca="false">SUM($F$2:F1280)</f>
        <v>0.866386</v>
      </c>
      <c r="H1280" s="4"/>
      <c r="I1280" s="5"/>
      <c r="J1280" s="4"/>
      <c r="K1280" s="5"/>
      <c r="L1280" s="6"/>
      <c r="M1280" s="5" t="str">
        <f aca="false">IF(AND(N(K1280)&gt;0,N(L1280)&gt;0),K1280/L1280,"")</f>
        <v/>
      </c>
      <c r="N1280" s="2" t="s">
        <v>1226</v>
      </c>
    </row>
    <row r="1281" customFormat="false" ht="15" hidden="false" customHeight="false" outlineLevel="0" collapsed="false">
      <c r="A1281" s="2" t="n">
        <v>1280</v>
      </c>
      <c r="B1281" s="2" t="s">
        <v>2873</v>
      </c>
      <c r="C1281" s="2" t="s">
        <v>2874</v>
      </c>
      <c r="D1281" s="2"/>
      <c r="E1281" s="2" t="s">
        <v>17</v>
      </c>
      <c r="F1281" s="3" t="n">
        <v>0.00013</v>
      </c>
      <c r="G1281" s="3" t="n">
        <f aca="false">SUM($F$2:F1281)</f>
        <v>0.866516</v>
      </c>
      <c r="H1281" s="4"/>
      <c r="I1281" s="5"/>
      <c r="J1281" s="4"/>
      <c r="K1281" s="5"/>
      <c r="L1281" s="6"/>
      <c r="M1281" s="5" t="str">
        <f aca="false">IF(AND(N(K1281)&gt;0,N(L1281)&gt;0),K1281/L1281,"")</f>
        <v/>
      </c>
      <c r="N1281" s="2" t="s">
        <v>1226</v>
      </c>
    </row>
    <row r="1282" customFormat="false" ht="15" hidden="false" customHeight="false" outlineLevel="0" collapsed="false">
      <c r="A1282" s="2" t="n">
        <v>1281</v>
      </c>
      <c r="B1282" s="2" t="s">
        <v>2875</v>
      </c>
      <c r="C1282" s="2" t="s">
        <v>2876</v>
      </c>
      <c r="D1282" s="2"/>
      <c r="E1282" s="2" t="s">
        <v>1345</v>
      </c>
      <c r="F1282" s="3" t="n">
        <v>0.00013</v>
      </c>
      <c r="G1282" s="3" t="n">
        <f aca="false">SUM($F$2:F1282)</f>
        <v>0.866646</v>
      </c>
      <c r="H1282" s="4"/>
      <c r="I1282" s="5"/>
      <c r="J1282" s="4"/>
      <c r="K1282" s="5"/>
      <c r="L1282" s="6"/>
      <c r="M1282" s="5" t="str">
        <f aca="false">IF(AND(N(K1282)&gt;0,N(L1282)&gt;0),K1282/L1282,"")</f>
        <v/>
      </c>
      <c r="N1282" s="2" t="s">
        <v>1226</v>
      </c>
    </row>
    <row r="1283" customFormat="false" ht="15" hidden="false" customHeight="false" outlineLevel="0" collapsed="false">
      <c r="A1283" s="2" t="n">
        <v>1282</v>
      </c>
      <c r="B1283" s="2" t="s">
        <v>2877</v>
      </c>
      <c r="C1283" s="2" t="s">
        <v>2878</v>
      </c>
      <c r="D1283" s="2"/>
      <c r="E1283" s="2" t="s">
        <v>29</v>
      </c>
      <c r="F1283" s="3" t="n">
        <v>0.00013</v>
      </c>
      <c r="G1283" s="3" t="n">
        <f aca="false">SUM($F$2:F1283)</f>
        <v>0.866776</v>
      </c>
      <c r="H1283" s="4"/>
      <c r="I1283" s="5"/>
      <c r="J1283" s="4"/>
      <c r="K1283" s="5"/>
      <c r="L1283" s="6"/>
      <c r="M1283" s="5" t="str">
        <f aca="false">IF(AND(N(K1283)&gt;0,N(L1283)&gt;0),K1283/L1283,"")</f>
        <v/>
      </c>
      <c r="N1283" s="2" t="s">
        <v>1226</v>
      </c>
    </row>
    <row r="1284" customFormat="false" ht="15" hidden="false" customHeight="false" outlineLevel="0" collapsed="false">
      <c r="A1284" s="2" t="n">
        <v>1283</v>
      </c>
      <c r="B1284" s="2" t="s">
        <v>2879</v>
      </c>
      <c r="C1284" s="2" t="s">
        <v>2880</v>
      </c>
      <c r="D1284" s="2"/>
      <c r="E1284" s="2" t="s">
        <v>167</v>
      </c>
      <c r="F1284" s="3" t="n">
        <v>0.00013</v>
      </c>
      <c r="G1284" s="3" t="n">
        <f aca="false">SUM($F$2:F1284)</f>
        <v>0.866906</v>
      </c>
      <c r="H1284" s="4"/>
      <c r="I1284" s="5"/>
      <c r="J1284" s="4"/>
      <c r="K1284" s="5"/>
      <c r="L1284" s="6"/>
      <c r="M1284" s="5" t="str">
        <f aca="false">IF(AND(N(K1284)&gt;0,N(L1284)&gt;0),K1284/L1284,"")</f>
        <v/>
      </c>
      <c r="N1284" s="2" t="s">
        <v>1226</v>
      </c>
    </row>
    <row r="1285" customFormat="false" ht="15" hidden="false" customHeight="false" outlineLevel="0" collapsed="false">
      <c r="A1285" s="2" t="n">
        <v>1284</v>
      </c>
      <c r="B1285" s="2" t="s">
        <v>2881</v>
      </c>
      <c r="C1285" s="2" t="s">
        <v>2882</v>
      </c>
      <c r="D1285" s="2"/>
      <c r="E1285" s="2" t="s">
        <v>52</v>
      </c>
      <c r="F1285" s="3" t="n">
        <v>0.00013</v>
      </c>
      <c r="G1285" s="3" t="n">
        <f aca="false">SUM($F$2:F1285)</f>
        <v>0.867036</v>
      </c>
      <c r="H1285" s="4"/>
      <c r="I1285" s="5"/>
      <c r="J1285" s="4"/>
      <c r="K1285" s="5"/>
      <c r="L1285" s="6"/>
      <c r="M1285" s="5" t="str">
        <f aca="false">IF(AND(N(K1285)&gt;0,N(L1285)&gt;0),K1285/L1285,"")</f>
        <v/>
      </c>
      <c r="N1285" s="2" t="s">
        <v>1226</v>
      </c>
    </row>
    <row r="1286" customFormat="false" ht="15" hidden="false" customHeight="false" outlineLevel="0" collapsed="false">
      <c r="A1286" s="2" t="n">
        <v>1285</v>
      </c>
      <c r="B1286" s="2" t="s">
        <v>2883</v>
      </c>
      <c r="C1286" s="2" t="s">
        <v>2884</v>
      </c>
      <c r="D1286" s="2"/>
      <c r="E1286" s="2" t="s">
        <v>82</v>
      </c>
      <c r="F1286" s="3" t="n">
        <v>0.000129</v>
      </c>
      <c r="G1286" s="3" t="n">
        <f aca="false">SUM($F$2:F1286)</f>
        <v>0.867165</v>
      </c>
      <c r="H1286" s="4"/>
      <c r="I1286" s="5"/>
      <c r="J1286" s="4"/>
      <c r="K1286" s="5"/>
      <c r="L1286" s="6"/>
      <c r="M1286" s="5" t="str">
        <f aca="false">IF(AND(N(K1286)&gt;0,N(L1286)&gt;0),K1286/L1286,"")</f>
        <v/>
      </c>
      <c r="N1286" s="2" t="s">
        <v>1226</v>
      </c>
    </row>
    <row r="1287" customFormat="false" ht="15" hidden="false" customHeight="false" outlineLevel="0" collapsed="false">
      <c r="A1287" s="2" t="n">
        <v>1286</v>
      </c>
      <c r="B1287" s="2" t="s">
        <v>2885</v>
      </c>
      <c r="C1287" s="2" t="s">
        <v>2886</v>
      </c>
      <c r="D1287" s="2"/>
      <c r="E1287" s="2" t="s">
        <v>33</v>
      </c>
      <c r="F1287" s="3" t="n">
        <v>0.000129</v>
      </c>
      <c r="G1287" s="3" t="n">
        <f aca="false">SUM($F$2:F1287)</f>
        <v>0.867294</v>
      </c>
      <c r="H1287" s="4"/>
      <c r="I1287" s="5"/>
      <c r="J1287" s="4"/>
      <c r="K1287" s="5"/>
      <c r="L1287" s="6"/>
      <c r="M1287" s="5" t="str">
        <f aca="false">IF(AND(N(K1287)&gt;0,N(L1287)&gt;0),K1287/L1287,"")</f>
        <v/>
      </c>
      <c r="N1287" s="2" t="s">
        <v>1226</v>
      </c>
    </row>
    <row r="1288" customFormat="false" ht="15" hidden="false" customHeight="false" outlineLevel="0" collapsed="false">
      <c r="A1288" s="2" t="n">
        <v>1287</v>
      </c>
      <c r="B1288" s="2" t="s">
        <v>2887</v>
      </c>
      <c r="C1288" s="2" t="s">
        <v>2888</v>
      </c>
      <c r="D1288" s="2"/>
      <c r="E1288" s="2" t="s">
        <v>539</v>
      </c>
      <c r="F1288" s="3" t="n">
        <v>0.000129</v>
      </c>
      <c r="G1288" s="3" t="n">
        <f aca="false">SUM($F$2:F1288)</f>
        <v>0.867423</v>
      </c>
      <c r="H1288" s="4"/>
      <c r="I1288" s="5"/>
      <c r="J1288" s="4"/>
      <c r="K1288" s="5"/>
      <c r="L1288" s="6"/>
      <c r="M1288" s="5" t="str">
        <f aca="false">IF(AND(N(K1288)&gt;0,N(L1288)&gt;0),K1288/L1288,"")</f>
        <v/>
      </c>
      <c r="N1288" s="2" t="s">
        <v>1226</v>
      </c>
    </row>
    <row r="1289" customFormat="false" ht="15" hidden="false" customHeight="false" outlineLevel="0" collapsed="false">
      <c r="A1289" s="2" t="n">
        <v>1288</v>
      </c>
      <c r="B1289" s="2" t="s">
        <v>2889</v>
      </c>
      <c r="C1289" s="2" t="s">
        <v>2890</v>
      </c>
      <c r="D1289" s="2"/>
      <c r="E1289" s="2" t="s">
        <v>82</v>
      </c>
      <c r="F1289" s="3" t="n">
        <v>0.000129</v>
      </c>
      <c r="G1289" s="3" t="n">
        <f aca="false">SUM($F$2:F1289)</f>
        <v>0.867552</v>
      </c>
      <c r="H1289" s="4"/>
      <c r="I1289" s="5"/>
      <c r="J1289" s="4"/>
      <c r="K1289" s="5"/>
      <c r="L1289" s="6"/>
      <c r="M1289" s="5" t="str">
        <f aca="false">IF(AND(N(K1289)&gt;0,N(L1289)&gt;0),K1289/L1289,"")</f>
        <v/>
      </c>
      <c r="N1289" s="2" t="s">
        <v>1226</v>
      </c>
    </row>
    <row r="1290" customFormat="false" ht="15" hidden="false" customHeight="false" outlineLevel="0" collapsed="false">
      <c r="A1290" s="2" t="n">
        <v>1289</v>
      </c>
      <c r="B1290" s="2" t="s">
        <v>2891</v>
      </c>
      <c r="C1290" s="2" t="s">
        <v>2892</v>
      </c>
      <c r="D1290" s="2"/>
      <c r="E1290" s="2" t="s">
        <v>826</v>
      </c>
      <c r="F1290" s="3" t="n">
        <v>0.000129</v>
      </c>
      <c r="G1290" s="3" t="n">
        <f aca="false">SUM($F$2:F1290)</f>
        <v>0.867681</v>
      </c>
      <c r="H1290" s="4"/>
      <c r="I1290" s="5"/>
      <c r="J1290" s="4"/>
      <c r="K1290" s="5"/>
      <c r="L1290" s="6"/>
      <c r="M1290" s="5" t="str">
        <f aca="false">IF(AND(N(K1290)&gt;0,N(L1290)&gt;0),K1290/L1290,"")</f>
        <v/>
      </c>
      <c r="N1290" s="2" t="s">
        <v>1226</v>
      </c>
    </row>
    <row r="1291" customFormat="false" ht="15" hidden="false" customHeight="false" outlineLevel="0" collapsed="false">
      <c r="A1291" s="2" t="n">
        <v>1290</v>
      </c>
      <c r="B1291" s="2" t="s">
        <v>2893</v>
      </c>
      <c r="C1291" s="2" t="s">
        <v>2894</v>
      </c>
      <c r="D1291" s="2"/>
      <c r="E1291" s="2" t="s">
        <v>52</v>
      </c>
      <c r="F1291" s="3" t="n">
        <v>0.000128</v>
      </c>
      <c r="G1291" s="3" t="n">
        <f aca="false">SUM($F$2:F1291)</f>
        <v>0.867809</v>
      </c>
      <c r="H1291" s="4"/>
      <c r="I1291" s="5"/>
      <c r="J1291" s="4"/>
      <c r="K1291" s="5"/>
      <c r="L1291" s="6"/>
      <c r="M1291" s="5" t="str">
        <f aca="false">IF(AND(N(K1291)&gt;0,N(L1291)&gt;0),K1291/L1291,"")</f>
        <v/>
      </c>
      <c r="N1291" s="2" t="s">
        <v>1226</v>
      </c>
    </row>
    <row r="1292" customFormat="false" ht="15" hidden="false" customHeight="false" outlineLevel="0" collapsed="false">
      <c r="A1292" s="2" t="n">
        <v>1291</v>
      </c>
      <c r="B1292" s="2" t="s">
        <v>2714</v>
      </c>
      <c r="C1292" s="2" t="s">
        <v>2895</v>
      </c>
      <c r="D1292" s="2"/>
      <c r="E1292" s="2" t="s">
        <v>43</v>
      </c>
      <c r="F1292" s="3" t="n">
        <v>0.000128</v>
      </c>
      <c r="G1292" s="3" t="n">
        <f aca="false">SUM($F$2:F1292)</f>
        <v>0.867937</v>
      </c>
      <c r="H1292" s="4"/>
      <c r="I1292" s="5"/>
      <c r="J1292" s="4"/>
      <c r="K1292" s="5"/>
      <c r="L1292" s="6"/>
      <c r="M1292" s="5" t="str">
        <f aca="false">IF(AND(N(K1292)&gt;0,N(L1292)&gt;0),K1292/L1292,"")</f>
        <v/>
      </c>
      <c r="N1292" s="2" t="s">
        <v>1226</v>
      </c>
    </row>
    <row r="1293" customFormat="false" ht="15" hidden="false" customHeight="false" outlineLevel="0" collapsed="false">
      <c r="A1293" s="2" t="n">
        <v>1292</v>
      </c>
      <c r="B1293" s="2" t="s">
        <v>2896</v>
      </c>
      <c r="C1293" s="2" t="s">
        <v>2897</v>
      </c>
      <c r="D1293" s="2"/>
      <c r="E1293" s="2" t="s">
        <v>700</v>
      </c>
      <c r="F1293" s="3" t="n">
        <v>0.000128</v>
      </c>
      <c r="G1293" s="3" t="n">
        <f aca="false">SUM($F$2:F1293)</f>
        <v>0.868065</v>
      </c>
      <c r="H1293" s="4"/>
      <c r="I1293" s="5"/>
      <c r="J1293" s="4"/>
      <c r="K1293" s="5"/>
      <c r="L1293" s="6"/>
      <c r="M1293" s="5" t="str">
        <f aca="false">IF(AND(N(K1293)&gt;0,N(L1293)&gt;0),K1293/L1293,"")</f>
        <v/>
      </c>
      <c r="N1293" s="2" t="s">
        <v>1226</v>
      </c>
    </row>
    <row r="1294" customFormat="false" ht="15" hidden="false" customHeight="false" outlineLevel="0" collapsed="false">
      <c r="A1294" s="2" t="n">
        <v>1293</v>
      </c>
      <c r="B1294" s="2" t="s">
        <v>2898</v>
      </c>
      <c r="C1294" s="2" t="s">
        <v>2899</v>
      </c>
      <c r="D1294" s="2"/>
      <c r="E1294" s="2" t="s">
        <v>25</v>
      </c>
      <c r="F1294" s="3" t="n">
        <v>0.000128</v>
      </c>
      <c r="G1294" s="3" t="n">
        <f aca="false">SUM($F$2:F1294)</f>
        <v>0.868193</v>
      </c>
      <c r="H1294" s="4"/>
      <c r="I1294" s="5"/>
      <c r="J1294" s="4"/>
      <c r="K1294" s="5"/>
      <c r="L1294" s="6"/>
      <c r="M1294" s="5" t="str">
        <f aca="false">IF(AND(N(K1294)&gt;0,N(L1294)&gt;0),K1294/L1294,"")</f>
        <v/>
      </c>
      <c r="N1294" s="2" t="s">
        <v>1226</v>
      </c>
    </row>
    <row r="1295" customFormat="false" ht="15" hidden="false" customHeight="false" outlineLevel="0" collapsed="false">
      <c r="A1295" s="2" t="n">
        <v>1294</v>
      </c>
      <c r="B1295" s="2" t="s">
        <v>2900</v>
      </c>
      <c r="C1295" s="2" t="s">
        <v>2901</v>
      </c>
      <c r="D1295" s="2"/>
      <c r="E1295" s="2" t="s">
        <v>52</v>
      </c>
      <c r="F1295" s="3" t="n">
        <v>0.000128</v>
      </c>
      <c r="G1295" s="3" t="n">
        <f aca="false">SUM($F$2:F1295)</f>
        <v>0.868321</v>
      </c>
      <c r="H1295" s="4"/>
      <c r="I1295" s="5"/>
      <c r="J1295" s="4"/>
      <c r="K1295" s="5"/>
      <c r="L1295" s="6"/>
      <c r="M1295" s="5" t="str">
        <f aca="false">IF(AND(N(K1295)&gt;0,N(L1295)&gt;0),K1295/L1295,"")</f>
        <v/>
      </c>
      <c r="N1295" s="2" t="s">
        <v>1226</v>
      </c>
    </row>
    <row r="1296" customFormat="false" ht="15" hidden="false" customHeight="false" outlineLevel="0" collapsed="false">
      <c r="A1296" s="2" t="n">
        <v>1295</v>
      </c>
      <c r="B1296" s="2" t="s">
        <v>2902</v>
      </c>
      <c r="C1296" s="2" t="s">
        <v>2903</v>
      </c>
      <c r="D1296" s="2"/>
      <c r="E1296" s="2" t="s">
        <v>765</v>
      </c>
      <c r="F1296" s="3" t="n">
        <v>0.000128</v>
      </c>
      <c r="G1296" s="3" t="n">
        <f aca="false">SUM($F$2:F1296)</f>
        <v>0.868449</v>
      </c>
      <c r="H1296" s="4"/>
      <c r="I1296" s="5"/>
      <c r="J1296" s="4"/>
      <c r="K1296" s="5"/>
      <c r="L1296" s="6"/>
      <c r="M1296" s="5" t="str">
        <f aca="false">IF(AND(N(K1296)&gt;0,N(L1296)&gt;0),K1296/L1296,"")</f>
        <v/>
      </c>
      <c r="N1296" s="2" t="s">
        <v>1226</v>
      </c>
    </row>
    <row r="1297" customFormat="false" ht="15" hidden="false" customHeight="false" outlineLevel="0" collapsed="false">
      <c r="A1297" s="2" t="n">
        <v>1296</v>
      </c>
      <c r="B1297" s="2" t="s">
        <v>2904</v>
      </c>
      <c r="C1297" s="2" t="s">
        <v>2905</v>
      </c>
      <c r="D1297" s="2"/>
      <c r="E1297" s="2" t="s">
        <v>25</v>
      </c>
      <c r="F1297" s="3" t="n">
        <v>0.000128</v>
      </c>
      <c r="G1297" s="3" t="n">
        <f aca="false">SUM($F$2:F1297)</f>
        <v>0.868577</v>
      </c>
      <c r="H1297" s="4"/>
      <c r="I1297" s="5"/>
      <c r="J1297" s="4"/>
      <c r="K1297" s="5"/>
      <c r="L1297" s="6"/>
      <c r="M1297" s="5" t="str">
        <f aca="false">IF(AND(N(K1297)&gt;0,N(L1297)&gt;0),K1297/L1297,"")</f>
        <v/>
      </c>
      <c r="N1297" s="2" t="s">
        <v>1226</v>
      </c>
    </row>
    <row r="1298" customFormat="false" ht="15" hidden="false" customHeight="false" outlineLevel="0" collapsed="false">
      <c r="A1298" s="2" t="n">
        <v>1297</v>
      </c>
      <c r="B1298" s="2" t="s">
        <v>2906</v>
      </c>
      <c r="C1298" s="2" t="s">
        <v>2907</v>
      </c>
      <c r="D1298" s="2"/>
      <c r="E1298" s="2" t="s">
        <v>1295</v>
      </c>
      <c r="F1298" s="3" t="n">
        <v>0.000128</v>
      </c>
      <c r="G1298" s="3" t="n">
        <f aca="false">SUM($F$2:F1298)</f>
        <v>0.868705</v>
      </c>
      <c r="H1298" s="4"/>
      <c r="I1298" s="5"/>
      <c r="J1298" s="4"/>
      <c r="K1298" s="5"/>
      <c r="L1298" s="6"/>
      <c r="M1298" s="5" t="str">
        <f aca="false">IF(AND(N(K1298)&gt;0,N(L1298)&gt;0),K1298/L1298,"")</f>
        <v/>
      </c>
      <c r="N1298" s="2" t="s">
        <v>1226</v>
      </c>
    </row>
    <row r="1299" customFormat="false" ht="15" hidden="false" customHeight="false" outlineLevel="0" collapsed="false">
      <c r="A1299" s="2" t="n">
        <v>1298</v>
      </c>
      <c r="B1299" s="2" t="s">
        <v>2908</v>
      </c>
      <c r="C1299" s="2" t="s">
        <v>2909</v>
      </c>
      <c r="D1299" s="2"/>
      <c r="E1299" s="2" t="s">
        <v>52</v>
      </c>
      <c r="F1299" s="3" t="n">
        <v>0.000128</v>
      </c>
      <c r="G1299" s="3" t="n">
        <f aca="false">SUM($F$2:F1299)</f>
        <v>0.868833</v>
      </c>
      <c r="H1299" s="4"/>
      <c r="I1299" s="5"/>
      <c r="J1299" s="4"/>
      <c r="K1299" s="5"/>
      <c r="L1299" s="6"/>
      <c r="M1299" s="5" t="str">
        <f aca="false">IF(AND(N(K1299)&gt;0,N(L1299)&gt;0),K1299/L1299,"")</f>
        <v/>
      </c>
      <c r="N1299" s="2" t="s">
        <v>1226</v>
      </c>
    </row>
    <row r="1300" customFormat="false" ht="15" hidden="false" customHeight="false" outlineLevel="0" collapsed="false">
      <c r="A1300" s="2" t="n">
        <v>1299</v>
      </c>
      <c r="B1300" s="2" t="s">
        <v>2910</v>
      </c>
      <c r="C1300" s="2" t="s">
        <v>2911</v>
      </c>
      <c r="D1300" s="2"/>
      <c r="E1300" s="2" t="s">
        <v>52</v>
      </c>
      <c r="F1300" s="3" t="n">
        <v>0.000127</v>
      </c>
      <c r="G1300" s="3" t="n">
        <f aca="false">SUM($F$2:F1300)</f>
        <v>0.86896</v>
      </c>
      <c r="H1300" s="4"/>
      <c r="I1300" s="5"/>
      <c r="J1300" s="4"/>
      <c r="K1300" s="5"/>
      <c r="L1300" s="6"/>
      <c r="M1300" s="5" t="str">
        <f aca="false">IF(AND(N(K1300)&gt;0,N(L1300)&gt;0),K1300/L1300,"")</f>
        <v/>
      </c>
      <c r="N1300" s="2" t="s">
        <v>1226</v>
      </c>
    </row>
    <row r="1301" customFormat="false" ht="15" hidden="false" customHeight="false" outlineLevel="0" collapsed="false">
      <c r="A1301" s="2" t="n">
        <v>1300</v>
      </c>
      <c r="B1301" s="2" t="s">
        <v>2912</v>
      </c>
      <c r="C1301" s="2" t="s">
        <v>2913</v>
      </c>
      <c r="D1301" s="2"/>
      <c r="E1301" s="2" t="s">
        <v>38</v>
      </c>
      <c r="F1301" s="3" t="n">
        <v>0.000127</v>
      </c>
      <c r="G1301" s="3" t="n">
        <f aca="false">SUM($F$2:F1301)</f>
        <v>0.869087</v>
      </c>
      <c r="H1301" s="4"/>
      <c r="I1301" s="5"/>
      <c r="J1301" s="4"/>
      <c r="K1301" s="5"/>
      <c r="L1301" s="6"/>
      <c r="M1301" s="5" t="str">
        <f aca="false">IF(AND(N(K1301)&gt;0,N(L1301)&gt;0),K1301/L1301,"")</f>
        <v/>
      </c>
      <c r="N1301" s="2" t="s">
        <v>1226</v>
      </c>
    </row>
    <row r="1302" customFormat="false" ht="15" hidden="false" customHeight="false" outlineLevel="0" collapsed="false">
      <c r="A1302" s="2" t="n">
        <v>1301</v>
      </c>
      <c r="B1302" s="2" t="s">
        <v>2914</v>
      </c>
      <c r="C1302" s="2" t="s">
        <v>2915</v>
      </c>
      <c r="D1302" s="2"/>
      <c r="E1302" s="2" t="s">
        <v>334</v>
      </c>
      <c r="F1302" s="3" t="n">
        <v>0.000127</v>
      </c>
      <c r="G1302" s="3" t="n">
        <f aca="false">SUM($F$2:F1302)</f>
        <v>0.869214</v>
      </c>
      <c r="H1302" s="4"/>
      <c r="I1302" s="5"/>
      <c r="J1302" s="4"/>
      <c r="K1302" s="5"/>
      <c r="L1302" s="6"/>
      <c r="M1302" s="5" t="str">
        <f aca="false">IF(AND(N(K1302)&gt;0,N(L1302)&gt;0),K1302/L1302,"")</f>
        <v/>
      </c>
      <c r="N1302" s="2" t="s">
        <v>1226</v>
      </c>
    </row>
    <row r="1303" customFormat="false" ht="15" hidden="false" customHeight="false" outlineLevel="0" collapsed="false">
      <c r="A1303" s="2" t="n">
        <v>1302</v>
      </c>
      <c r="B1303" s="2" t="s">
        <v>2916</v>
      </c>
      <c r="C1303" s="2" t="s">
        <v>2917</v>
      </c>
      <c r="D1303" s="2"/>
      <c r="E1303" s="2" t="s">
        <v>29</v>
      </c>
      <c r="F1303" s="3" t="n">
        <v>0.000127</v>
      </c>
      <c r="G1303" s="3" t="n">
        <f aca="false">SUM($F$2:F1303)</f>
        <v>0.869341</v>
      </c>
      <c r="H1303" s="4"/>
      <c r="I1303" s="5"/>
      <c r="J1303" s="4"/>
      <c r="K1303" s="5"/>
      <c r="L1303" s="6"/>
      <c r="M1303" s="5" t="str">
        <f aca="false">IF(AND(N(K1303)&gt;0,N(L1303)&gt;0),K1303/L1303,"")</f>
        <v/>
      </c>
      <c r="N1303" s="2" t="s">
        <v>1226</v>
      </c>
    </row>
    <row r="1304" customFormat="false" ht="15" hidden="false" customHeight="false" outlineLevel="0" collapsed="false">
      <c r="A1304" s="2" t="n">
        <v>1303</v>
      </c>
      <c r="B1304" s="2" t="s">
        <v>2918</v>
      </c>
      <c r="C1304" s="2" t="s">
        <v>2919</v>
      </c>
      <c r="D1304" s="2"/>
      <c r="E1304" s="2" t="s">
        <v>52</v>
      </c>
      <c r="F1304" s="3" t="n">
        <v>0.000127</v>
      </c>
      <c r="G1304" s="3" t="n">
        <f aca="false">SUM($F$2:F1304)</f>
        <v>0.869468</v>
      </c>
      <c r="H1304" s="4"/>
      <c r="I1304" s="5"/>
      <c r="J1304" s="4"/>
      <c r="K1304" s="5"/>
      <c r="L1304" s="6"/>
      <c r="M1304" s="5" t="str">
        <f aca="false">IF(AND(N(K1304)&gt;0,N(L1304)&gt;0),K1304/L1304,"")</f>
        <v/>
      </c>
      <c r="N1304" s="2" t="s">
        <v>1226</v>
      </c>
    </row>
    <row r="1305" customFormat="false" ht="15" hidden="false" customHeight="false" outlineLevel="0" collapsed="false">
      <c r="A1305" s="2" t="n">
        <v>1304</v>
      </c>
      <c r="B1305" s="2" t="s">
        <v>2920</v>
      </c>
      <c r="C1305" s="2" t="s">
        <v>2921</v>
      </c>
      <c r="D1305" s="2"/>
      <c r="E1305" s="2" t="s">
        <v>21</v>
      </c>
      <c r="F1305" s="3" t="n">
        <v>0.000127</v>
      </c>
      <c r="G1305" s="3" t="n">
        <f aca="false">SUM($F$2:F1305)</f>
        <v>0.869595</v>
      </c>
      <c r="H1305" s="4"/>
      <c r="I1305" s="5"/>
      <c r="J1305" s="4"/>
      <c r="K1305" s="5"/>
      <c r="L1305" s="6"/>
      <c r="M1305" s="5" t="str">
        <f aca="false">IF(AND(N(K1305)&gt;0,N(L1305)&gt;0),K1305/L1305,"")</f>
        <v/>
      </c>
      <c r="N1305" s="2" t="s">
        <v>1226</v>
      </c>
    </row>
    <row r="1306" customFormat="false" ht="15" hidden="false" customHeight="false" outlineLevel="0" collapsed="false">
      <c r="A1306" s="2" t="n">
        <v>1305</v>
      </c>
      <c r="B1306" s="2" t="s">
        <v>2922</v>
      </c>
      <c r="C1306" s="2" t="s">
        <v>2923</v>
      </c>
      <c r="D1306" s="2"/>
      <c r="E1306" s="2" t="s">
        <v>334</v>
      </c>
      <c r="F1306" s="3" t="n">
        <v>0.000127</v>
      </c>
      <c r="G1306" s="3" t="n">
        <f aca="false">SUM($F$2:F1306)</f>
        <v>0.869722</v>
      </c>
      <c r="H1306" s="4"/>
      <c r="I1306" s="5"/>
      <c r="J1306" s="4"/>
      <c r="K1306" s="5"/>
      <c r="L1306" s="6"/>
      <c r="M1306" s="5" t="str">
        <f aca="false">IF(AND(N(K1306)&gt;0,N(L1306)&gt;0),K1306/L1306,"")</f>
        <v/>
      </c>
      <c r="N1306" s="2" t="s">
        <v>1226</v>
      </c>
    </row>
    <row r="1307" customFormat="false" ht="15" hidden="false" customHeight="false" outlineLevel="0" collapsed="false">
      <c r="A1307" s="2" t="n">
        <v>1306</v>
      </c>
      <c r="B1307" s="2" t="s">
        <v>2924</v>
      </c>
      <c r="C1307" s="2" t="s">
        <v>2925</v>
      </c>
      <c r="D1307" s="2"/>
      <c r="E1307" s="2" t="s">
        <v>48</v>
      </c>
      <c r="F1307" s="3" t="n">
        <v>0.000127</v>
      </c>
      <c r="G1307" s="3" t="n">
        <f aca="false">SUM($F$2:F1307)</f>
        <v>0.869849</v>
      </c>
      <c r="H1307" s="4"/>
      <c r="I1307" s="5"/>
      <c r="J1307" s="4"/>
      <c r="K1307" s="5"/>
      <c r="L1307" s="6"/>
      <c r="M1307" s="5" t="str">
        <f aca="false">IF(AND(N(K1307)&gt;0,N(L1307)&gt;0),K1307/L1307,"")</f>
        <v/>
      </c>
      <c r="N1307" s="2" t="s">
        <v>1226</v>
      </c>
    </row>
    <row r="1308" customFormat="false" ht="15" hidden="false" customHeight="false" outlineLevel="0" collapsed="false">
      <c r="A1308" s="2" t="n">
        <v>1307</v>
      </c>
      <c r="B1308" s="2" t="s">
        <v>2926</v>
      </c>
      <c r="C1308" s="2" t="s">
        <v>2927</v>
      </c>
      <c r="D1308" s="2"/>
      <c r="E1308" s="2" t="s">
        <v>82</v>
      </c>
      <c r="F1308" s="3" t="n">
        <v>0.000127</v>
      </c>
      <c r="G1308" s="3" t="n">
        <f aca="false">SUM($F$2:F1308)</f>
        <v>0.869976</v>
      </c>
      <c r="H1308" s="4"/>
      <c r="I1308" s="5"/>
      <c r="J1308" s="4"/>
      <c r="K1308" s="5"/>
      <c r="L1308" s="6"/>
      <c r="M1308" s="5" t="str">
        <f aca="false">IF(AND(N(K1308)&gt;0,N(L1308)&gt;0),K1308/L1308,"")</f>
        <v/>
      </c>
      <c r="N1308" s="2" t="s">
        <v>1226</v>
      </c>
    </row>
    <row r="1309" customFormat="false" ht="15" hidden="false" customHeight="false" outlineLevel="0" collapsed="false">
      <c r="A1309" s="2" t="n">
        <v>1308</v>
      </c>
      <c r="B1309" s="2" t="s">
        <v>2928</v>
      </c>
      <c r="C1309" s="2" t="s">
        <v>2929</v>
      </c>
      <c r="D1309" s="2"/>
      <c r="E1309" s="2" t="s">
        <v>43</v>
      </c>
      <c r="F1309" s="3" t="n">
        <v>0.000126</v>
      </c>
      <c r="G1309" s="3" t="n">
        <f aca="false">SUM($F$2:F1309)</f>
        <v>0.870102</v>
      </c>
      <c r="H1309" s="4"/>
      <c r="I1309" s="5"/>
      <c r="J1309" s="4"/>
      <c r="K1309" s="5"/>
      <c r="L1309" s="6"/>
      <c r="M1309" s="5" t="str">
        <f aca="false">IF(AND(N(K1309)&gt;0,N(L1309)&gt;0),K1309/L1309,"")</f>
        <v/>
      </c>
      <c r="N1309" s="2" t="s">
        <v>1226</v>
      </c>
    </row>
    <row r="1310" customFormat="false" ht="15" hidden="false" customHeight="false" outlineLevel="0" collapsed="false">
      <c r="A1310" s="2" t="n">
        <v>1309</v>
      </c>
      <c r="B1310" s="2" t="s">
        <v>2930</v>
      </c>
      <c r="C1310" s="2" t="s">
        <v>2931</v>
      </c>
      <c r="D1310" s="2"/>
      <c r="E1310" s="2" t="s">
        <v>25</v>
      </c>
      <c r="F1310" s="3" t="n">
        <v>0.000126</v>
      </c>
      <c r="G1310" s="3" t="n">
        <f aca="false">SUM($F$2:F1310)</f>
        <v>0.870228</v>
      </c>
      <c r="H1310" s="4"/>
      <c r="I1310" s="5"/>
      <c r="J1310" s="4"/>
      <c r="K1310" s="5"/>
      <c r="L1310" s="6"/>
      <c r="M1310" s="5" t="str">
        <f aca="false">IF(AND(N(K1310)&gt;0,N(L1310)&gt;0),K1310/L1310,"")</f>
        <v/>
      </c>
      <c r="N1310" s="2" t="s">
        <v>1226</v>
      </c>
    </row>
    <row r="1311" customFormat="false" ht="15" hidden="false" customHeight="false" outlineLevel="0" collapsed="false">
      <c r="A1311" s="2" t="n">
        <v>1310</v>
      </c>
      <c r="B1311" s="2" t="s">
        <v>2932</v>
      </c>
      <c r="C1311" s="2" t="s">
        <v>2933</v>
      </c>
      <c r="D1311" s="2"/>
      <c r="E1311" s="2" t="s">
        <v>33</v>
      </c>
      <c r="F1311" s="3" t="n">
        <v>0.000126</v>
      </c>
      <c r="G1311" s="3" t="n">
        <f aca="false">SUM($F$2:F1311)</f>
        <v>0.870354</v>
      </c>
      <c r="H1311" s="4"/>
      <c r="I1311" s="5"/>
      <c r="J1311" s="4"/>
      <c r="K1311" s="5"/>
      <c r="L1311" s="6"/>
      <c r="M1311" s="5" t="str">
        <f aca="false">IF(AND(N(K1311)&gt;0,N(L1311)&gt;0),K1311/L1311,"")</f>
        <v/>
      </c>
      <c r="N1311" s="2" t="s">
        <v>1226</v>
      </c>
    </row>
    <row r="1312" customFormat="false" ht="15" hidden="false" customHeight="false" outlineLevel="0" collapsed="false">
      <c r="A1312" s="2" t="n">
        <v>1311</v>
      </c>
      <c r="B1312" s="2" t="s">
        <v>2934</v>
      </c>
      <c r="C1312" s="2" t="s">
        <v>2935</v>
      </c>
      <c r="D1312" s="2"/>
      <c r="E1312" s="2" t="s">
        <v>25</v>
      </c>
      <c r="F1312" s="3" t="n">
        <v>0.000126</v>
      </c>
      <c r="G1312" s="3" t="n">
        <f aca="false">SUM($F$2:F1312)</f>
        <v>0.87048</v>
      </c>
      <c r="H1312" s="4"/>
      <c r="I1312" s="5"/>
      <c r="J1312" s="4"/>
      <c r="K1312" s="5"/>
      <c r="L1312" s="6"/>
      <c r="M1312" s="5" t="str">
        <f aca="false">IF(AND(N(K1312)&gt;0,N(L1312)&gt;0),K1312/L1312,"")</f>
        <v/>
      </c>
      <c r="N1312" s="2" t="s">
        <v>1226</v>
      </c>
    </row>
    <row r="1313" customFormat="false" ht="15" hidden="false" customHeight="false" outlineLevel="0" collapsed="false">
      <c r="A1313" s="2" t="n">
        <v>1312</v>
      </c>
      <c r="B1313" s="2" t="s">
        <v>2936</v>
      </c>
      <c r="C1313" s="2" t="s">
        <v>2937</v>
      </c>
      <c r="D1313" s="2"/>
      <c r="E1313" s="2" t="s">
        <v>82</v>
      </c>
      <c r="F1313" s="3" t="n">
        <v>0.000126</v>
      </c>
      <c r="G1313" s="3" t="n">
        <f aca="false">SUM($F$2:F1313)</f>
        <v>0.870606</v>
      </c>
      <c r="H1313" s="4"/>
      <c r="I1313" s="5"/>
      <c r="J1313" s="4"/>
      <c r="K1313" s="5"/>
      <c r="L1313" s="6"/>
      <c r="M1313" s="5" t="str">
        <f aca="false">IF(AND(N(K1313)&gt;0,N(L1313)&gt;0),K1313/L1313,"")</f>
        <v/>
      </c>
      <c r="N1313" s="2" t="s">
        <v>1226</v>
      </c>
    </row>
    <row r="1314" customFormat="false" ht="15" hidden="false" customHeight="false" outlineLevel="0" collapsed="false">
      <c r="A1314" s="2" t="n">
        <v>1313</v>
      </c>
      <c r="B1314" s="2" t="s">
        <v>2938</v>
      </c>
      <c r="C1314" s="2" t="s">
        <v>2939</v>
      </c>
      <c r="D1314" s="2"/>
      <c r="E1314" s="2" t="s">
        <v>52</v>
      </c>
      <c r="F1314" s="3" t="n">
        <v>0.000126</v>
      </c>
      <c r="G1314" s="3" t="n">
        <f aca="false">SUM($F$2:F1314)</f>
        <v>0.870732</v>
      </c>
      <c r="H1314" s="4"/>
      <c r="I1314" s="5"/>
      <c r="J1314" s="4"/>
      <c r="K1314" s="5"/>
      <c r="L1314" s="6"/>
      <c r="M1314" s="5" t="str">
        <f aca="false">IF(AND(N(K1314)&gt;0,N(L1314)&gt;0),K1314/L1314,"")</f>
        <v/>
      </c>
      <c r="N1314" s="2" t="s">
        <v>1226</v>
      </c>
    </row>
    <row r="1315" customFormat="false" ht="15" hidden="false" customHeight="false" outlineLevel="0" collapsed="false">
      <c r="A1315" s="2" t="n">
        <v>1314</v>
      </c>
      <c r="B1315" s="2" t="s">
        <v>2940</v>
      </c>
      <c r="C1315" s="2" t="s">
        <v>2941</v>
      </c>
      <c r="D1315" s="2"/>
      <c r="E1315" s="2" t="s">
        <v>29</v>
      </c>
      <c r="F1315" s="3" t="n">
        <v>0.000126</v>
      </c>
      <c r="G1315" s="3" t="n">
        <f aca="false">SUM($F$2:F1315)</f>
        <v>0.870858</v>
      </c>
      <c r="H1315" s="4"/>
      <c r="I1315" s="5"/>
      <c r="J1315" s="4"/>
      <c r="K1315" s="5"/>
      <c r="L1315" s="6"/>
      <c r="M1315" s="5" t="str">
        <f aca="false">IF(AND(N(K1315)&gt;0,N(L1315)&gt;0),K1315/L1315,"")</f>
        <v/>
      </c>
      <c r="N1315" s="2" t="s">
        <v>1226</v>
      </c>
    </row>
    <row r="1316" customFormat="false" ht="15" hidden="false" customHeight="false" outlineLevel="0" collapsed="false">
      <c r="A1316" s="2" t="n">
        <v>1315</v>
      </c>
      <c r="B1316" s="2" t="s">
        <v>2942</v>
      </c>
      <c r="C1316" s="2" t="s">
        <v>2943</v>
      </c>
      <c r="D1316" s="2"/>
      <c r="E1316" s="2" t="s">
        <v>33</v>
      </c>
      <c r="F1316" s="3" t="n">
        <v>0.000126</v>
      </c>
      <c r="G1316" s="3" t="n">
        <f aca="false">SUM($F$2:F1316)</f>
        <v>0.870984</v>
      </c>
      <c r="H1316" s="4"/>
      <c r="I1316" s="5"/>
      <c r="J1316" s="4"/>
      <c r="K1316" s="5"/>
      <c r="L1316" s="6"/>
      <c r="M1316" s="5" t="str">
        <f aca="false">IF(AND(N(K1316)&gt;0,N(L1316)&gt;0),K1316/L1316,"")</f>
        <v/>
      </c>
      <c r="N1316" s="2" t="s">
        <v>1226</v>
      </c>
    </row>
    <row r="1317" customFormat="false" ht="15" hidden="false" customHeight="false" outlineLevel="0" collapsed="false">
      <c r="A1317" s="2" t="n">
        <v>1316</v>
      </c>
      <c r="B1317" s="2" t="s">
        <v>2944</v>
      </c>
      <c r="C1317" s="2" t="s">
        <v>2945</v>
      </c>
      <c r="D1317" s="2"/>
      <c r="E1317" s="2" t="s">
        <v>25</v>
      </c>
      <c r="F1317" s="3" t="n">
        <v>0.000125</v>
      </c>
      <c r="G1317" s="3" t="n">
        <f aca="false">SUM($F$2:F1317)</f>
        <v>0.871109</v>
      </c>
      <c r="H1317" s="4"/>
      <c r="I1317" s="5"/>
      <c r="J1317" s="4"/>
      <c r="K1317" s="5"/>
      <c r="L1317" s="6"/>
      <c r="M1317" s="5" t="str">
        <f aca="false">IF(AND(N(K1317)&gt;0,N(L1317)&gt;0),K1317/L1317,"")</f>
        <v/>
      </c>
      <c r="N1317" s="2" t="s">
        <v>1226</v>
      </c>
    </row>
    <row r="1318" customFormat="false" ht="15" hidden="false" customHeight="false" outlineLevel="0" collapsed="false">
      <c r="A1318" s="2" t="n">
        <v>1317</v>
      </c>
      <c r="B1318" s="2" t="s">
        <v>2946</v>
      </c>
      <c r="C1318" s="2" t="s">
        <v>2947</v>
      </c>
      <c r="D1318" s="2"/>
      <c r="E1318" s="2" t="s">
        <v>52</v>
      </c>
      <c r="F1318" s="3" t="n">
        <v>0.000125</v>
      </c>
      <c r="G1318" s="3" t="n">
        <f aca="false">SUM($F$2:F1318)</f>
        <v>0.871234</v>
      </c>
      <c r="H1318" s="4"/>
      <c r="I1318" s="5"/>
      <c r="J1318" s="4"/>
      <c r="K1318" s="5"/>
      <c r="L1318" s="6"/>
      <c r="M1318" s="5" t="str">
        <f aca="false">IF(AND(N(K1318)&gt;0,N(L1318)&gt;0),K1318/L1318,"")</f>
        <v/>
      </c>
      <c r="N1318" s="2" t="s">
        <v>1226</v>
      </c>
    </row>
    <row r="1319" customFormat="false" ht="15" hidden="false" customHeight="false" outlineLevel="0" collapsed="false">
      <c r="A1319" s="2" t="n">
        <v>1318</v>
      </c>
      <c r="B1319" s="2" t="s">
        <v>2948</v>
      </c>
      <c r="C1319" s="2" t="s">
        <v>2949</v>
      </c>
      <c r="D1319" s="2"/>
      <c r="E1319" s="2" t="s">
        <v>25</v>
      </c>
      <c r="F1319" s="3" t="n">
        <v>0.000125</v>
      </c>
      <c r="G1319" s="3" t="n">
        <f aca="false">SUM($F$2:F1319)</f>
        <v>0.871359</v>
      </c>
      <c r="H1319" s="4"/>
      <c r="I1319" s="5"/>
      <c r="J1319" s="4"/>
      <c r="K1319" s="5"/>
      <c r="L1319" s="6"/>
      <c r="M1319" s="5" t="str">
        <f aca="false">IF(AND(N(K1319)&gt;0,N(L1319)&gt;0),K1319/L1319,"")</f>
        <v/>
      </c>
      <c r="N1319" s="2" t="s">
        <v>1226</v>
      </c>
    </row>
    <row r="1320" customFormat="false" ht="15" hidden="false" customHeight="false" outlineLevel="0" collapsed="false">
      <c r="A1320" s="2" t="n">
        <v>1319</v>
      </c>
      <c r="B1320" s="2" t="s">
        <v>2950</v>
      </c>
      <c r="C1320" s="2" t="s">
        <v>2951</v>
      </c>
      <c r="D1320" s="2"/>
      <c r="E1320" s="2" t="s">
        <v>82</v>
      </c>
      <c r="F1320" s="3" t="n">
        <v>0.000125</v>
      </c>
      <c r="G1320" s="3" t="n">
        <f aca="false">SUM($F$2:F1320)</f>
        <v>0.871484</v>
      </c>
      <c r="H1320" s="4"/>
      <c r="I1320" s="5"/>
      <c r="J1320" s="4"/>
      <c r="K1320" s="5"/>
      <c r="L1320" s="6"/>
      <c r="M1320" s="5" t="str">
        <f aca="false">IF(AND(N(K1320)&gt;0,N(L1320)&gt;0),K1320/L1320,"")</f>
        <v/>
      </c>
      <c r="N1320" s="2" t="s">
        <v>1226</v>
      </c>
    </row>
    <row r="1321" customFormat="false" ht="15" hidden="false" customHeight="false" outlineLevel="0" collapsed="false">
      <c r="A1321" s="2" t="n">
        <v>1320</v>
      </c>
      <c r="B1321" s="2" t="s">
        <v>2952</v>
      </c>
      <c r="C1321" s="2" t="s">
        <v>2953</v>
      </c>
      <c r="D1321" s="2"/>
      <c r="E1321" s="2" t="s">
        <v>82</v>
      </c>
      <c r="F1321" s="3" t="n">
        <v>0.000125</v>
      </c>
      <c r="G1321" s="3" t="n">
        <f aca="false">SUM($F$2:F1321)</f>
        <v>0.871609</v>
      </c>
      <c r="H1321" s="4"/>
      <c r="I1321" s="5"/>
      <c r="J1321" s="4"/>
      <c r="K1321" s="5"/>
      <c r="L1321" s="6"/>
      <c r="M1321" s="5" t="str">
        <f aca="false">IF(AND(N(K1321)&gt;0,N(L1321)&gt;0),K1321/L1321,"")</f>
        <v/>
      </c>
      <c r="N1321" s="2" t="s">
        <v>1226</v>
      </c>
    </row>
    <row r="1322" customFormat="false" ht="15" hidden="false" customHeight="false" outlineLevel="0" collapsed="false">
      <c r="A1322" s="2" t="n">
        <v>1321</v>
      </c>
      <c r="B1322" s="2" t="s">
        <v>2954</v>
      </c>
      <c r="C1322" s="2" t="s">
        <v>2955</v>
      </c>
      <c r="D1322" s="2"/>
      <c r="E1322" s="2" t="s">
        <v>289</v>
      </c>
      <c r="F1322" s="3" t="n">
        <v>0.000125</v>
      </c>
      <c r="G1322" s="3" t="n">
        <f aca="false">SUM($F$2:F1322)</f>
        <v>0.871734</v>
      </c>
      <c r="H1322" s="4"/>
      <c r="I1322" s="5"/>
      <c r="J1322" s="4"/>
      <c r="K1322" s="5"/>
      <c r="L1322" s="6"/>
      <c r="M1322" s="5" t="str">
        <f aca="false">IF(AND(N(K1322)&gt;0,N(L1322)&gt;0),K1322/L1322,"")</f>
        <v/>
      </c>
      <c r="N1322" s="2" t="s">
        <v>1226</v>
      </c>
    </row>
    <row r="1323" customFormat="false" ht="15" hidden="false" customHeight="false" outlineLevel="0" collapsed="false">
      <c r="A1323" s="2" t="n">
        <v>1322</v>
      </c>
      <c r="B1323" s="2" t="s">
        <v>2956</v>
      </c>
      <c r="C1323" s="2" t="s">
        <v>2957</v>
      </c>
      <c r="D1323" s="2"/>
      <c r="E1323" s="2" t="s">
        <v>43</v>
      </c>
      <c r="F1323" s="3" t="n">
        <v>0.000124</v>
      </c>
      <c r="G1323" s="3" t="n">
        <f aca="false">SUM($F$2:F1323)</f>
        <v>0.871858</v>
      </c>
      <c r="H1323" s="4"/>
      <c r="I1323" s="5"/>
      <c r="J1323" s="4"/>
      <c r="K1323" s="5"/>
      <c r="L1323" s="6"/>
      <c r="M1323" s="5" t="str">
        <f aca="false">IF(AND(N(K1323)&gt;0,N(L1323)&gt;0),K1323/L1323,"")</f>
        <v/>
      </c>
      <c r="N1323" s="2" t="s">
        <v>1226</v>
      </c>
    </row>
    <row r="1324" customFormat="false" ht="15" hidden="false" customHeight="false" outlineLevel="0" collapsed="false">
      <c r="A1324" s="2" t="n">
        <v>1323</v>
      </c>
      <c r="B1324" s="2" t="s">
        <v>2958</v>
      </c>
      <c r="C1324" s="2" t="s">
        <v>2959</v>
      </c>
      <c r="D1324" s="2"/>
      <c r="E1324" s="2" t="s">
        <v>29</v>
      </c>
      <c r="F1324" s="3" t="n">
        <v>0.000124</v>
      </c>
      <c r="G1324" s="3" t="n">
        <f aca="false">SUM($F$2:F1324)</f>
        <v>0.871982</v>
      </c>
      <c r="H1324" s="4"/>
      <c r="I1324" s="5"/>
      <c r="J1324" s="4"/>
      <c r="K1324" s="5"/>
      <c r="L1324" s="6"/>
      <c r="M1324" s="5" t="str">
        <f aca="false">IF(AND(N(K1324)&gt;0,N(L1324)&gt;0),K1324/L1324,"")</f>
        <v/>
      </c>
      <c r="N1324" s="2" t="s">
        <v>1226</v>
      </c>
    </row>
    <row r="1325" customFormat="false" ht="15" hidden="false" customHeight="false" outlineLevel="0" collapsed="false">
      <c r="A1325" s="2" t="n">
        <v>1324</v>
      </c>
      <c r="B1325" s="2" t="s">
        <v>2960</v>
      </c>
      <c r="C1325" s="2" t="s">
        <v>2961</v>
      </c>
      <c r="D1325" s="2"/>
      <c r="E1325" s="2" t="s">
        <v>52</v>
      </c>
      <c r="F1325" s="3" t="n">
        <v>0.000124</v>
      </c>
      <c r="G1325" s="3" t="n">
        <f aca="false">SUM($F$2:F1325)</f>
        <v>0.872106</v>
      </c>
      <c r="H1325" s="4"/>
      <c r="I1325" s="5"/>
      <c r="J1325" s="4"/>
      <c r="K1325" s="5"/>
      <c r="L1325" s="6"/>
      <c r="M1325" s="5" t="str">
        <f aca="false">IF(AND(N(K1325)&gt;0,N(L1325)&gt;0),K1325/L1325,"")</f>
        <v/>
      </c>
      <c r="N1325" s="2" t="s">
        <v>1226</v>
      </c>
    </row>
    <row r="1326" customFormat="false" ht="15" hidden="false" customHeight="false" outlineLevel="0" collapsed="false">
      <c r="A1326" s="2" t="n">
        <v>1325</v>
      </c>
      <c r="B1326" s="2" t="s">
        <v>2962</v>
      </c>
      <c r="C1326" s="2" t="s">
        <v>2963</v>
      </c>
      <c r="D1326" s="2"/>
      <c r="E1326" s="2" t="s">
        <v>29</v>
      </c>
      <c r="F1326" s="3" t="n">
        <v>0.000124</v>
      </c>
      <c r="G1326" s="3" t="n">
        <f aca="false">SUM($F$2:F1326)</f>
        <v>0.87223</v>
      </c>
      <c r="H1326" s="4"/>
      <c r="I1326" s="5"/>
      <c r="J1326" s="4"/>
      <c r="K1326" s="5"/>
      <c r="L1326" s="6"/>
      <c r="M1326" s="5" t="str">
        <f aca="false">IF(AND(N(K1326)&gt;0,N(L1326)&gt;0),K1326/L1326,"")</f>
        <v/>
      </c>
      <c r="N1326" s="2" t="s">
        <v>1226</v>
      </c>
    </row>
    <row r="1327" customFormat="false" ht="15" hidden="false" customHeight="false" outlineLevel="0" collapsed="false">
      <c r="A1327" s="2" t="n">
        <v>1326</v>
      </c>
      <c r="B1327" s="2" t="s">
        <v>2964</v>
      </c>
      <c r="C1327" s="2" t="s">
        <v>2965</v>
      </c>
      <c r="D1327" s="2"/>
      <c r="E1327" s="2" t="s">
        <v>289</v>
      </c>
      <c r="F1327" s="3" t="n">
        <v>0.000124</v>
      </c>
      <c r="G1327" s="3" t="n">
        <f aca="false">SUM($F$2:F1327)</f>
        <v>0.872354</v>
      </c>
      <c r="H1327" s="4"/>
      <c r="I1327" s="5"/>
      <c r="J1327" s="4"/>
      <c r="K1327" s="5"/>
      <c r="L1327" s="6"/>
      <c r="M1327" s="5" t="str">
        <f aca="false">IF(AND(N(K1327)&gt;0,N(L1327)&gt;0),K1327/L1327,"")</f>
        <v/>
      </c>
      <c r="N1327" s="2" t="s">
        <v>1226</v>
      </c>
    </row>
    <row r="1328" customFormat="false" ht="15" hidden="false" customHeight="false" outlineLevel="0" collapsed="false">
      <c r="A1328" s="2" t="n">
        <v>1327</v>
      </c>
      <c r="B1328" s="2" t="s">
        <v>2966</v>
      </c>
      <c r="C1328" s="2" t="s">
        <v>2967</v>
      </c>
      <c r="D1328" s="2"/>
      <c r="E1328" s="2" t="s">
        <v>43</v>
      </c>
      <c r="F1328" s="3" t="n">
        <v>0.000123</v>
      </c>
      <c r="G1328" s="3" t="n">
        <f aca="false">SUM($F$2:F1328)</f>
        <v>0.872477</v>
      </c>
      <c r="H1328" s="4"/>
      <c r="I1328" s="5"/>
      <c r="J1328" s="4"/>
      <c r="K1328" s="5"/>
      <c r="L1328" s="6"/>
      <c r="M1328" s="5" t="str">
        <f aca="false">IF(AND(N(K1328)&gt;0,N(L1328)&gt;0),K1328/L1328,"")</f>
        <v/>
      </c>
      <c r="N1328" s="2" t="s">
        <v>1226</v>
      </c>
    </row>
    <row r="1329" customFormat="false" ht="15" hidden="false" customHeight="false" outlineLevel="0" collapsed="false">
      <c r="A1329" s="2" t="n">
        <v>1328</v>
      </c>
      <c r="B1329" s="2" t="s">
        <v>2968</v>
      </c>
      <c r="C1329" s="2" t="s">
        <v>2969</v>
      </c>
      <c r="D1329" s="2"/>
      <c r="E1329" s="2" t="s">
        <v>48</v>
      </c>
      <c r="F1329" s="3" t="n">
        <v>0.000123</v>
      </c>
      <c r="G1329" s="3" t="n">
        <f aca="false">SUM($F$2:F1329)</f>
        <v>0.8726</v>
      </c>
      <c r="H1329" s="4"/>
      <c r="I1329" s="5"/>
      <c r="J1329" s="4"/>
      <c r="K1329" s="5"/>
      <c r="L1329" s="6"/>
      <c r="M1329" s="5" t="str">
        <f aca="false">IF(AND(N(K1329)&gt;0,N(L1329)&gt;0),K1329/L1329,"")</f>
        <v/>
      </c>
      <c r="N1329" s="2" t="s">
        <v>1226</v>
      </c>
    </row>
    <row r="1330" customFormat="false" ht="15" hidden="false" customHeight="false" outlineLevel="0" collapsed="false">
      <c r="A1330" s="2" t="n">
        <v>1329</v>
      </c>
      <c r="B1330" s="2" t="s">
        <v>2970</v>
      </c>
      <c r="C1330" s="2" t="s">
        <v>2971</v>
      </c>
      <c r="D1330" s="2"/>
      <c r="E1330" s="2" t="s">
        <v>82</v>
      </c>
      <c r="F1330" s="3" t="n">
        <v>0.000123</v>
      </c>
      <c r="G1330" s="3" t="n">
        <f aca="false">SUM($F$2:F1330)</f>
        <v>0.872723</v>
      </c>
      <c r="H1330" s="4"/>
      <c r="I1330" s="5"/>
      <c r="J1330" s="4"/>
      <c r="K1330" s="5"/>
      <c r="L1330" s="6"/>
      <c r="M1330" s="5" t="str">
        <f aca="false">IF(AND(N(K1330)&gt;0,N(L1330)&gt;0),K1330/L1330,"")</f>
        <v/>
      </c>
      <c r="N1330" s="2" t="s">
        <v>1226</v>
      </c>
    </row>
    <row r="1331" customFormat="false" ht="15" hidden="false" customHeight="false" outlineLevel="0" collapsed="false">
      <c r="A1331" s="2" t="n">
        <v>1330</v>
      </c>
      <c r="B1331" s="2" t="s">
        <v>2972</v>
      </c>
      <c r="C1331" s="2" t="s">
        <v>2973</v>
      </c>
      <c r="D1331" s="2"/>
      <c r="E1331" s="2" t="s">
        <v>43</v>
      </c>
      <c r="F1331" s="3" t="n">
        <v>0.000123</v>
      </c>
      <c r="G1331" s="3" t="n">
        <f aca="false">SUM($F$2:F1331)</f>
        <v>0.872846</v>
      </c>
      <c r="H1331" s="4"/>
      <c r="I1331" s="5"/>
      <c r="J1331" s="4"/>
      <c r="K1331" s="5"/>
      <c r="L1331" s="6"/>
      <c r="M1331" s="5" t="str">
        <f aca="false">IF(AND(N(K1331)&gt;0,N(L1331)&gt;0),K1331/L1331,"")</f>
        <v/>
      </c>
      <c r="N1331" s="2" t="s">
        <v>1226</v>
      </c>
    </row>
    <row r="1332" customFormat="false" ht="15" hidden="false" customHeight="false" outlineLevel="0" collapsed="false">
      <c r="A1332" s="2" t="n">
        <v>1331</v>
      </c>
      <c r="B1332" s="2" t="s">
        <v>2974</v>
      </c>
      <c r="C1332" s="2" t="s">
        <v>2975</v>
      </c>
      <c r="D1332" s="2"/>
      <c r="E1332" s="2" t="s">
        <v>52</v>
      </c>
      <c r="F1332" s="3" t="n">
        <v>0.000123</v>
      </c>
      <c r="G1332" s="3" t="n">
        <f aca="false">SUM($F$2:F1332)</f>
        <v>0.872969</v>
      </c>
      <c r="H1332" s="4"/>
      <c r="I1332" s="5"/>
      <c r="J1332" s="4"/>
      <c r="K1332" s="5"/>
      <c r="L1332" s="6"/>
      <c r="M1332" s="5" t="str">
        <f aca="false">IF(AND(N(K1332)&gt;0,N(L1332)&gt;0),K1332/L1332,"")</f>
        <v/>
      </c>
      <c r="N1332" s="2" t="s">
        <v>1226</v>
      </c>
    </row>
    <row r="1333" customFormat="false" ht="15" hidden="false" customHeight="false" outlineLevel="0" collapsed="false">
      <c r="A1333" s="2" t="n">
        <v>1332</v>
      </c>
      <c r="B1333" s="2" t="s">
        <v>2976</v>
      </c>
      <c r="C1333" s="2" t="s">
        <v>2977</v>
      </c>
      <c r="D1333" s="2"/>
      <c r="E1333" s="2" t="s">
        <v>52</v>
      </c>
      <c r="F1333" s="3" t="n">
        <v>0.000122</v>
      </c>
      <c r="G1333" s="3" t="n">
        <f aca="false">SUM($F$2:F1333)</f>
        <v>0.873091</v>
      </c>
      <c r="H1333" s="4"/>
      <c r="I1333" s="5"/>
      <c r="J1333" s="4"/>
      <c r="K1333" s="5"/>
      <c r="L1333" s="6"/>
      <c r="M1333" s="5" t="str">
        <f aca="false">IF(AND(N(K1333)&gt;0,N(L1333)&gt;0),K1333/L1333,"")</f>
        <v/>
      </c>
      <c r="N1333" s="2" t="s">
        <v>1226</v>
      </c>
    </row>
    <row r="1334" customFormat="false" ht="15" hidden="false" customHeight="false" outlineLevel="0" collapsed="false">
      <c r="A1334" s="2" t="n">
        <v>1333</v>
      </c>
      <c r="B1334" s="2" t="s">
        <v>2978</v>
      </c>
      <c r="C1334" s="2" t="s">
        <v>2979</v>
      </c>
      <c r="D1334" s="2"/>
      <c r="E1334" s="2" t="s">
        <v>29</v>
      </c>
      <c r="F1334" s="3" t="n">
        <v>0.000122</v>
      </c>
      <c r="G1334" s="3" t="n">
        <f aca="false">SUM($F$2:F1334)</f>
        <v>0.873213</v>
      </c>
      <c r="H1334" s="4"/>
      <c r="I1334" s="5"/>
      <c r="J1334" s="4"/>
      <c r="K1334" s="5"/>
      <c r="L1334" s="6"/>
      <c r="M1334" s="5" t="str">
        <f aca="false">IF(AND(N(K1334)&gt;0,N(L1334)&gt;0),K1334/L1334,"")</f>
        <v/>
      </c>
      <c r="N1334" s="2" t="s">
        <v>1226</v>
      </c>
    </row>
    <row r="1335" customFormat="false" ht="15" hidden="false" customHeight="false" outlineLevel="0" collapsed="false">
      <c r="A1335" s="2" t="n">
        <v>1334</v>
      </c>
      <c r="B1335" s="2" t="s">
        <v>2980</v>
      </c>
      <c r="C1335" s="2" t="s">
        <v>2981</v>
      </c>
      <c r="D1335" s="2"/>
      <c r="E1335" s="2" t="s">
        <v>82</v>
      </c>
      <c r="F1335" s="3" t="n">
        <v>0.000122</v>
      </c>
      <c r="G1335" s="3" t="n">
        <f aca="false">SUM($F$2:F1335)</f>
        <v>0.873335</v>
      </c>
      <c r="H1335" s="4"/>
      <c r="I1335" s="5"/>
      <c r="J1335" s="4"/>
      <c r="K1335" s="5"/>
      <c r="L1335" s="6"/>
      <c r="M1335" s="5" t="str">
        <f aca="false">IF(AND(N(K1335)&gt;0,N(L1335)&gt;0),K1335/L1335,"")</f>
        <v/>
      </c>
      <c r="N1335" s="2" t="s">
        <v>1226</v>
      </c>
    </row>
    <row r="1336" customFormat="false" ht="15" hidden="false" customHeight="false" outlineLevel="0" collapsed="false">
      <c r="A1336" s="2" t="n">
        <v>1335</v>
      </c>
      <c r="B1336" s="2" t="s">
        <v>2982</v>
      </c>
      <c r="C1336" s="2" t="s">
        <v>2983</v>
      </c>
      <c r="D1336" s="2"/>
      <c r="E1336" s="2" t="s">
        <v>43</v>
      </c>
      <c r="F1336" s="3" t="n">
        <v>0.000122</v>
      </c>
      <c r="G1336" s="3" t="n">
        <f aca="false">SUM($F$2:F1336)</f>
        <v>0.873457</v>
      </c>
      <c r="H1336" s="4"/>
      <c r="I1336" s="5"/>
      <c r="J1336" s="4"/>
      <c r="K1336" s="5"/>
      <c r="L1336" s="6"/>
      <c r="M1336" s="5" t="str">
        <f aca="false">IF(AND(N(K1336)&gt;0,N(L1336)&gt;0),K1336/L1336,"")</f>
        <v/>
      </c>
      <c r="N1336" s="2" t="s">
        <v>1226</v>
      </c>
    </row>
    <row r="1337" customFormat="false" ht="15" hidden="false" customHeight="false" outlineLevel="0" collapsed="false">
      <c r="A1337" s="2" t="n">
        <v>1336</v>
      </c>
      <c r="B1337" s="2" t="s">
        <v>2984</v>
      </c>
      <c r="C1337" s="2" t="s">
        <v>2985</v>
      </c>
      <c r="D1337" s="2"/>
      <c r="E1337" s="2" t="s">
        <v>48</v>
      </c>
      <c r="F1337" s="3" t="n">
        <v>0.000122</v>
      </c>
      <c r="G1337" s="3" t="n">
        <f aca="false">SUM($F$2:F1337)</f>
        <v>0.873579</v>
      </c>
      <c r="H1337" s="4"/>
      <c r="I1337" s="5"/>
      <c r="J1337" s="4"/>
      <c r="K1337" s="5"/>
      <c r="L1337" s="6"/>
      <c r="M1337" s="5" t="str">
        <f aca="false">IF(AND(N(K1337)&gt;0,N(L1337)&gt;0),K1337/L1337,"")</f>
        <v/>
      </c>
      <c r="N1337" s="2" t="s">
        <v>1226</v>
      </c>
    </row>
    <row r="1338" customFormat="false" ht="15" hidden="false" customHeight="false" outlineLevel="0" collapsed="false">
      <c r="A1338" s="2" t="n">
        <v>1337</v>
      </c>
      <c r="B1338" s="2" t="s">
        <v>2986</v>
      </c>
      <c r="C1338" s="2" t="s">
        <v>2987</v>
      </c>
      <c r="D1338" s="2"/>
      <c r="E1338" s="2" t="s">
        <v>289</v>
      </c>
      <c r="F1338" s="3" t="n">
        <v>0.000122</v>
      </c>
      <c r="G1338" s="3" t="n">
        <f aca="false">SUM($F$2:F1338)</f>
        <v>0.873701</v>
      </c>
      <c r="H1338" s="4"/>
      <c r="I1338" s="5"/>
      <c r="J1338" s="4"/>
      <c r="K1338" s="5"/>
      <c r="L1338" s="6"/>
      <c r="M1338" s="5" t="str">
        <f aca="false">IF(AND(N(K1338)&gt;0,N(L1338)&gt;0),K1338/L1338,"")</f>
        <v/>
      </c>
      <c r="N1338" s="2" t="s">
        <v>1226</v>
      </c>
    </row>
    <row r="1339" customFormat="false" ht="15" hidden="false" customHeight="false" outlineLevel="0" collapsed="false">
      <c r="A1339" s="2" t="n">
        <v>1338</v>
      </c>
      <c r="B1339" s="2" t="s">
        <v>268</v>
      </c>
      <c r="C1339" s="2" t="s">
        <v>2988</v>
      </c>
      <c r="D1339" s="2"/>
      <c r="E1339" s="2" t="s">
        <v>48</v>
      </c>
      <c r="F1339" s="3" t="n">
        <v>0.000122</v>
      </c>
      <c r="G1339" s="3" t="n">
        <f aca="false">SUM($F$2:F1339)</f>
        <v>0.873823</v>
      </c>
      <c r="H1339" s="4"/>
      <c r="I1339" s="5"/>
      <c r="J1339" s="4"/>
      <c r="K1339" s="5"/>
      <c r="L1339" s="6"/>
      <c r="M1339" s="5" t="str">
        <f aca="false">IF(AND(N(K1339)&gt;0,N(L1339)&gt;0),K1339/L1339,"")</f>
        <v/>
      </c>
      <c r="N1339" s="2" t="s">
        <v>1226</v>
      </c>
    </row>
    <row r="1340" customFormat="false" ht="15" hidden="false" customHeight="false" outlineLevel="0" collapsed="false">
      <c r="A1340" s="2" t="n">
        <v>1339</v>
      </c>
      <c r="B1340" s="2" t="s">
        <v>301</v>
      </c>
      <c r="C1340" s="2" t="s">
        <v>2989</v>
      </c>
      <c r="D1340" s="2"/>
      <c r="E1340" s="2" t="s">
        <v>82</v>
      </c>
      <c r="F1340" s="3" t="n">
        <v>0.000122</v>
      </c>
      <c r="G1340" s="3" t="n">
        <f aca="false">SUM($F$2:F1340)</f>
        <v>0.873945</v>
      </c>
      <c r="H1340" s="4"/>
      <c r="I1340" s="5"/>
      <c r="J1340" s="4"/>
      <c r="K1340" s="5"/>
      <c r="L1340" s="6"/>
      <c r="M1340" s="5" t="str">
        <f aca="false">IF(AND(N(K1340)&gt;0,N(L1340)&gt;0),K1340/L1340,"")</f>
        <v/>
      </c>
      <c r="N1340" s="2" t="s">
        <v>34</v>
      </c>
    </row>
    <row r="1341" customFormat="false" ht="15" hidden="false" customHeight="false" outlineLevel="0" collapsed="false">
      <c r="A1341" s="2" t="n">
        <v>1340</v>
      </c>
      <c r="B1341" s="2" t="s">
        <v>2990</v>
      </c>
      <c r="C1341" s="2" t="s">
        <v>2991</v>
      </c>
      <c r="D1341" s="2"/>
      <c r="E1341" s="2" t="s">
        <v>289</v>
      </c>
      <c r="F1341" s="3" t="n">
        <v>0.000122</v>
      </c>
      <c r="G1341" s="3" t="n">
        <f aca="false">SUM($F$2:F1341)</f>
        <v>0.874067</v>
      </c>
      <c r="H1341" s="4"/>
      <c r="I1341" s="5"/>
      <c r="J1341" s="4"/>
      <c r="K1341" s="5"/>
      <c r="L1341" s="6"/>
      <c r="M1341" s="5" t="str">
        <f aca="false">IF(AND(N(K1341)&gt;0,N(L1341)&gt;0),K1341/L1341,"")</f>
        <v/>
      </c>
      <c r="N1341" s="2" t="s">
        <v>1226</v>
      </c>
    </row>
    <row r="1342" customFormat="false" ht="15" hidden="false" customHeight="false" outlineLevel="0" collapsed="false">
      <c r="A1342" s="2" t="n">
        <v>1341</v>
      </c>
      <c r="B1342" s="2" t="s">
        <v>2992</v>
      </c>
      <c r="C1342" s="2" t="s">
        <v>2993</v>
      </c>
      <c r="D1342" s="2"/>
      <c r="E1342" s="2" t="s">
        <v>48</v>
      </c>
      <c r="F1342" s="3" t="n">
        <v>0.000122</v>
      </c>
      <c r="G1342" s="3" t="n">
        <f aca="false">SUM($F$2:F1342)</f>
        <v>0.874189</v>
      </c>
      <c r="H1342" s="4"/>
      <c r="I1342" s="5"/>
      <c r="J1342" s="4"/>
      <c r="K1342" s="5"/>
      <c r="L1342" s="6"/>
      <c r="M1342" s="5" t="str">
        <f aca="false">IF(AND(N(K1342)&gt;0,N(L1342)&gt;0),K1342/L1342,"")</f>
        <v/>
      </c>
      <c r="N1342" s="2" t="s">
        <v>1226</v>
      </c>
    </row>
    <row r="1343" customFormat="false" ht="15" hidden="false" customHeight="false" outlineLevel="0" collapsed="false">
      <c r="A1343" s="2" t="n">
        <v>1342</v>
      </c>
      <c r="B1343" s="2" t="s">
        <v>2994</v>
      </c>
      <c r="C1343" s="2" t="s">
        <v>2995</v>
      </c>
      <c r="D1343" s="2"/>
      <c r="E1343" s="2" t="s">
        <v>25</v>
      </c>
      <c r="F1343" s="3" t="n">
        <v>0.000122</v>
      </c>
      <c r="G1343" s="3" t="n">
        <f aca="false">SUM($F$2:F1343)</f>
        <v>0.874311</v>
      </c>
      <c r="H1343" s="4"/>
      <c r="I1343" s="5"/>
      <c r="J1343" s="4"/>
      <c r="K1343" s="5"/>
      <c r="L1343" s="6"/>
      <c r="M1343" s="5" t="str">
        <f aca="false">IF(AND(N(K1343)&gt;0,N(L1343)&gt;0),K1343/L1343,"")</f>
        <v/>
      </c>
      <c r="N1343" s="2" t="s">
        <v>1226</v>
      </c>
    </row>
    <row r="1344" customFormat="false" ht="15" hidden="false" customHeight="false" outlineLevel="0" collapsed="false">
      <c r="A1344" s="2" t="n">
        <v>1343</v>
      </c>
      <c r="B1344" s="2" t="s">
        <v>2996</v>
      </c>
      <c r="C1344" s="2" t="s">
        <v>2997</v>
      </c>
      <c r="D1344" s="2"/>
      <c r="E1344" s="2" t="s">
        <v>167</v>
      </c>
      <c r="F1344" s="3" t="n">
        <v>0.000122</v>
      </c>
      <c r="G1344" s="3" t="n">
        <f aca="false">SUM($F$2:F1344)</f>
        <v>0.874433</v>
      </c>
      <c r="H1344" s="4"/>
      <c r="I1344" s="5"/>
      <c r="J1344" s="4"/>
      <c r="K1344" s="5"/>
      <c r="L1344" s="6"/>
      <c r="M1344" s="5" t="str">
        <f aca="false">IF(AND(N(K1344)&gt;0,N(L1344)&gt;0),K1344/L1344,"")</f>
        <v/>
      </c>
      <c r="N1344" s="2" t="s">
        <v>1226</v>
      </c>
    </row>
    <row r="1345" customFormat="false" ht="15" hidden="false" customHeight="false" outlineLevel="0" collapsed="false">
      <c r="A1345" s="2" t="n">
        <v>1344</v>
      </c>
      <c r="B1345" s="2" t="s">
        <v>2998</v>
      </c>
      <c r="C1345" s="2" t="s">
        <v>2999</v>
      </c>
      <c r="D1345" s="2"/>
      <c r="E1345" s="2" t="s">
        <v>52</v>
      </c>
      <c r="F1345" s="3" t="n">
        <v>0.000122</v>
      </c>
      <c r="G1345" s="3" t="n">
        <f aca="false">SUM($F$2:F1345)</f>
        <v>0.874555</v>
      </c>
      <c r="H1345" s="4"/>
      <c r="I1345" s="5"/>
      <c r="J1345" s="4"/>
      <c r="K1345" s="5"/>
      <c r="L1345" s="6"/>
      <c r="M1345" s="5" t="str">
        <f aca="false">IF(AND(N(K1345)&gt;0,N(L1345)&gt;0),K1345/L1345,"")</f>
        <v/>
      </c>
      <c r="N1345" s="2" t="s">
        <v>1226</v>
      </c>
    </row>
    <row r="1346" customFormat="false" ht="15" hidden="false" customHeight="false" outlineLevel="0" collapsed="false">
      <c r="A1346" s="2" t="n">
        <v>1345</v>
      </c>
      <c r="B1346" s="2" t="s">
        <v>3000</v>
      </c>
      <c r="C1346" s="2" t="s">
        <v>3001</v>
      </c>
      <c r="D1346" s="2"/>
      <c r="E1346" s="2" t="s">
        <v>17</v>
      </c>
      <c r="F1346" s="3" t="n">
        <v>0.000121</v>
      </c>
      <c r="G1346" s="3" t="n">
        <f aca="false">SUM($F$2:F1346)</f>
        <v>0.874676</v>
      </c>
      <c r="H1346" s="4"/>
      <c r="I1346" s="5"/>
      <c r="J1346" s="4"/>
      <c r="K1346" s="5"/>
      <c r="L1346" s="6"/>
      <c r="M1346" s="5" t="str">
        <f aca="false">IF(AND(N(K1346)&gt;0,N(L1346)&gt;0),K1346/L1346,"")</f>
        <v/>
      </c>
      <c r="N1346" s="2" t="s">
        <v>1226</v>
      </c>
    </row>
    <row r="1347" customFormat="false" ht="15" hidden="false" customHeight="false" outlineLevel="0" collapsed="false">
      <c r="A1347" s="2" t="n">
        <v>1346</v>
      </c>
      <c r="B1347" s="2" t="s">
        <v>3002</v>
      </c>
      <c r="C1347" s="2" t="s">
        <v>3003</v>
      </c>
      <c r="D1347" s="2"/>
      <c r="E1347" s="2" t="s">
        <v>29</v>
      </c>
      <c r="F1347" s="3" t="n">
        <v>0.000121</v>
      </c>
      <c r="G1347" s="3" t="n">
        <f aca="false">SUM($F$2:F1347)</f>
        <v>0.874797</v>
      </c>
      <c r="H1347" s="4"/>
      <c r="I1347" s="5"/>
      <c r="J1347" s="4"/>
      <c r="K1347" s="5"/>
      <c r="L1347" s="6"/>
      <c r="M1347" s="5" t="str">
        <f aca="false">IF(AND(N(K1347)&gt;0,N(L1347)&gt;0),K1347/L1347,"")</f>
        <v/>
      </c>
      <c r="N1347" s="2" t="s">
        <v>1226</v>
      </c>
    </row>
    <row r="1348" customFormat="false" ht="15" hidden="false" customHeight="false" outlineLevel="0" collapsed="false">
      <c r="A1348" s="2" t="n">
        <v>1347</v>
      </c>
      <c r="B1348" s="2" t="s">
        <v>1233</v>
      </c>
      <c r="C1348" s="2" t="s">
        <v>3004</v>
      </c>
      <c r="D1348" s="2"/>
      <c r="E1348" s="2" t="s">
        <v>82</v>
      </c>
      <c r="F1348" s="3" t="n">
        <v>0.000121</v>
      </c>
      <c r="G1348" s="3" t="n">
        <f aca="false">SUM($F$2:F1348)</f>
        <v>0.874918</v>
      </c>
      <c r="H1348" s="4"/>
      <c r="I1348" s="5"/>
      <c r="J1348" s="4"/>
      <c r="K1348" s="5"/>
      <c r="L1348" s="6"/>
      <c r="M1348" s="5" t="str">
        <f aca="false">IF(AND(N(K1348)&gt;0,N(L1348)&gt;0),K1348/L1348,"")</f>
        <v/>
      </c>
      <c r="N1348" s="2" t="s">
        <v>1226</v>
      </c>
    </row>
    <row r="1349" customFormat="false" ht="15" hidden="false" customHeight="false" outlineLevel="0" collapsed="false">
      <c r="A1349" s="2" t="n">
        <v>1348</v>
      </c>
      <c r="B1349" s="2" t="s">
        <v>3005</v>
      </c>
      <c r="C1349" s="2" t="s">
        <v>3006</v>
      </c>
      <c r="D1349" s="2"/>
      <c r="E1349" s="2" t="s">
        <v>17</v>
      </c>
      <c r="F1349" s="3" t="n">
        <v>0.000121</v>
      </c>
      <c r="G1349" s="3" t="n">
        <f aca="false">SUM($F$2:F1349)</f>
        <v>0.875039</v>
      </c>
      <c r="H1349" s="4"/>
      <c r="I1349" s="5"/>
      <c r="J1349" s="4"/>
      <c r="K1349" s="5"/>
      <c r="L1349" s="6"/>
      <c r="M1349" s="5" t="str">
        <f aca="false">IF(AND(N(K1349)&gt;0,N(L1349)&gt;0),K1349/L1349,"")</f>
        <v/>
      </c>
      <c r="N1349" s="2" t="s">
        <v>1226</v>
      </c>
    </row>
    <row r="1350" customFormat="false" ht="15" hidden="false" customHeight="false" outlineLevel="0" collapsed="false">
      <c r="A1350" s="2" t="n">
        <v>1349</v>
      </c>
      <c r="B1350" s="2" t="s">
        <v>3007</v>
      </c>
      <c r="C1350" s="2" t="s">
        <v>3008</v>
      </c>
      <c r="D1350" s="2"/>
      <c r="E1350" s="2" t="s">
        <v>43</v>
      </c>
      <c r="F1350" s="3" t="n">
        <v>0.000121</v>
      </c>
      <c r="G1350" s="3" t="n">
        <f aca="false">SUM($F$2:F1350)</f>
        <v>0.87516</v>
      </c>
      <c r="H1350" s="4"/>
      <c r="I1350" s="5"/>
      <c r="J1350" s="4"/>
      <c r="K1350" s="5"/>
      <c r="L1350" s="6"/>
      <c r="M1350" s="5" t="str">
        <f aca="false">IF(AND(N(K1350)&gt;0,N(L1350)&gt;0),K1350/L1350,"")</f>
        <v/>
      </c>
      <c r="N1350" s="2" t="s">
        <v>1226</v>
      </c>
    </row>
    <row r="1351" customFormat="false" ht="15" hidden="false" customHeight="false" outlineLevel="0" collapsed="false">
      <c r="A1351" s="2" t="n">
        <v>1350</v>
      </c>
      <c r="B1351" s="2" t="s">
        <v>3009</v>
      </c>
      <c r="C1351" s="2" t="s">
        <v>3010</v>
      </c>
      <c r="D1351" s="2"/>
      <c r="E1351" s="2" t="s">
        <v>33</v>
      </c>
      <c r="F1351" s="3" t="n">
        <v>0.000121</v>
      </c>
      <c r="G1351" s="3" t="n">
        <f aca="false">SUM($F$2:F1351)</f>
        <v>0.875281</v>
      </c>
      <c r="H1351" s="4"/>
      <c r="I1351" s="5"/>
      <c r="J1351" s="4"/>
      <c r="K1351" s="5"/>
      <c r="L1351" s="6"/>
      <c r="M1351" s="5" t="str">
        <f aca="false">IF(AND(N(K1351)&gt;0,N(L1351)&gt;0),K1351/L1351,"")</f>
        <v/>
      </c>
      <c r="N1351" s="2" t="s">
        <v>1226</v>
      </c>
    </row>
    <row r="1352" customFormat="false" ht="15" hidden="false" customHeight="false" outlineLevel="0" collapsed="false">
      <c r="A1352" s="2" t="n">
        <v>1351</v>
      </c>
      <c r="B1352" s="2" t="s">
        <v>3011</v>
      </c>
      <c r="C1352" s="2" t="s">
        <v>3012</v>
      </c>
      <c r="D1352" s="2"/>
      <c r="E1352" s="2" t="s">
        <v>289</v>
      </c>
      <c r="F1352" s="3" t="n">
        <v>0.000121</v>
      </c>
      <c r="G1352" s="3" t="n">
        <f aca="false">SUM($F$2:F1352)</f>
        <v>0.875402</v>
      </c>
      <c r="H1352" s="4"/>
      <c r="I1352" s="5"/>
      <c r="J1352" s="4"/>
      <c r="K1352" s="5"/>
      <c r="L1352" s="6"/>
      <c r="M1352" s="5" t="str">
        <f aca="false">IF(AND(N(K1352)&gt;0,N(L1352)&gt;0),K1352/L1352,"")</f>
        <v/>
      </c>
      <c r="N1352" s="2" t="s">
        <v>1226</v>
      </c>
    </row>
    <row r="1353" customFormat="false" ht="15" hidden="false" customHeight="false" outlineLevel="0" collapsed="false">
      <c r="A1353" s="2" t="n">
        <v>1352</v>
      </c>
      <c r="B1353" s="2" t="s">
        <v>3013</v>
      </c>
      <c r="C1353" s="2" t="s">
        <v>3014</v>
      </c>
      <c r="D1353" s="2"/>
      <c r="E1353" s="2" t="s">
        <v>289</v>
      </c>
      <c r="F1353" s="3" t="n">
        <v>0.000121</v>
      </c>
      <c r="G1353" s="3" t="n">
        <f aca="false">SUM($F$2:F1353)</f>
        <v>0.875523</v>
      </c>
      <c r="H1353" s="4"/>
      <c r="I1353" s="5"/>
      <c r="J1353" s="4"/>
      <c r="K1353" s="5"/>
      <c r="L1353" s="6"/>
      <c r="M1353" s="5" t="str">
        <f aca="false">IF(AND(N(K1353)&gt;0,N(L1353)&gt;0),K1353/L1353,"")</f>
        <v/>
      </c>
      <c r="N1353" s="2" t="s">
        <v>1226</v>
      </c>
    </row>
    <row r="1354" customFormat="false" ht="15" hidden="false" customHeight="false" outlineLevel="0" collapsed="false">
      <c r="A1354" s="2" t="n">
        <v>1353</v>
      </c>
      <c r="B1354" s="2" t="s">
        <v>3015</v>
      </c>
      <c r="C1354" s="2" t="s">
        <v>3016</v>
      </c>
      <c r="D1354" s="2"/>
      <c r="E1354" s="2" t="s">
        <v>29</v>
      </c>
      <c r="F1354" s="3" t="n">
        <v>0.000121</v>
      </c>
      <c r="G1354" s="3" t="n">
        <f aca="false">SUM($F$2:F1354)</f>
        <v>0.875644</v>
      </c>
      <c r="H1354" s="4"/>
      <c r="I1354" s="5"/>
      <c r="J1354" s="4"/>
      <c r="K1354" s="5"/>
      <c r="L1354" s="6"/>
      <c r="M1354" s="5" t="str">
        <f aca="false">IF(AND(N(K1354)&gt;0,N(L1354)&gt;0),K1354/L1354,"")</f>
        <v/>
      </c>
      <c r="N1354" s="2" t="s">
        <v>1226</v>
      </c>
    </row>
    <row r="1355" customFormat="false" ht="15" hidden="false" customHeight="false" outlineLevel="0" collapsed="false">
      <c r="A1355" s="2" t="n">
        <v>1354</v>
      </c>
      <c r="B1355" s="2" t="s">
        <v>3017</v>
      </c>
      <c r="C1355" s="2" t="s">
        <v>3018</v>
      </c>
      <c r="D1355" s="2"/>
      <c r="E1355" s="2" t="s">
        <v>2055</v>
      </c>
      <c r="F1355" s="3" t="n">
        <v>0.00012</v>
      </c>
      <c r="G1355" s="3" t="n">
        <f aca="false">SUM($F$2:F1355)</f>
        <v>0.875764</v>
      </c>
      <c r="H1355" s="4"/>
      <c r="I1355" s="5"/>
      <c r="J1355" s="4"/>
      <c r="K1355" s="5"/>
      <c r="L1355" s="6"/>
      <c r="M1355" s="5" t="str">
        <f aca="false">IF(AND(N(K1355)&gt;0,N(L1355)&gt;0),K1355/L1355,"")</f>
        <v/>
      </c>
      <c r="N1355" s="2" t="s">
        <v>1226</v>
      </c>
    </row>
    <row r="1356" customFormat="false" ht="15" hidden="false" customHeight="false" outlineLevel="0" collapsed="false">
      <c r="A1356" s="2" t="n">
        <v>1355</v>
      </c>
      <c r="B1356" s="2" t="s">
        <v>3019</v>
      </c>
      <c r="C1356" s="2" t="s">
        <v>3020</v>
      </c>
      <c r="D1356" s="2"/>
      <c r="E1356" s="2" t="s">
        <v>52</v>
      </c>
      <c r="F1356" s="3" t="n">
        <v>0.00012</v>
      </c>
      <c r="G1356" s="3" t="n">
        <f aca="false">SUM($F$2:F1356)</f>
        <v>0.875884</v>
      </c>
      <c r="H1356" s="4"/>
      <c r="I1356" s="5"/>
      <c r="J1356" s="4"/>
      <c r="K1356" s="5"/>
      <c r="L1356" s="6"/>
      <c r="M1356" s="5" t="str">
        <f aca="false">IF(AND(N(K1356)&gt;0,N(L1356)&gt;0),K1356/L1356,"")</f>
        <v/>
      </c>
      <c r="N1356" s="2" t="s">
        <v>1226</v>
      </c>
    </row>
    <row r="1357" customFormat="false" ht="15" hidden="false" customHeight="false" outlineLevel="0" collapsed="false">
      <c r="A1357" s="2" t="n">
        <v>1356</v>
      </c>
      <c r="B1357" s="2" t="s">
        <v>3021</v>
      </c>
      <c r="C1357" s="2" t="s">
        <v>3022</v>
      </c>
      <c r="D1357" s="2"/>
      <c r="E1357" s="2" t="s">
        <v>29</v>
      </c>
      <c r="F1357" s="3" t="n">
        <v>0.00012</v>
      </c>
      <c r="G1357" s="3" t="n">
        <f aca="false">SUM($F$2:F1357)</f>
        <v>0.876004</v>
      </c>
      <c r="H1357" s="4"/>
      <c r="I1357" s="5"/>
      <c r="J1357" s="4"/>
      <c r="K1357" s="5"/>
      <c r="L1357" s="6"/>
      <c r="M1357" s="5" t="str">
        <f aca="false">IF(AND(N(K1357)&gt;0,N(L1357)&gt;0),K1357/L1357,"")</f>
        <v/>
      </c>
      <c r="N1357" s="2" t="s">
        <v>1226</v>
      </c>
    </row>
    <row r="1358" customFormat="false" ht="15" hidden="false" customHeight="false" outlineLevel="0" collapsed="false">
      <c r="A1358" s="2" t="n">
        <v>1357</v>
      </c>
      <c r="B1358" s="2" t="s">
        <v>3023</v>
      </c>
      <c r="C1358" s="2" t="s">
        <v>3024</v>
      </c>
      <c r="D1358" s="2"/>
      <c r="E1358" s="2" t="s">
        <v>17</v>
      </c>
      <c r="F1358" s="3" t="n">
        <v>0.00012</v>
      </c>
      <c r="G1358" s="3" t="n">
        <f aca="false">SUM($F$2:F1358)</f>
        <v>0.876124</v>
      </c>
      <c r="H1358" s="4"/>
      <c r="I1358" s="5"/>
      <c r="J1358" s="4"/>
      <c r="K1358" s="5"/>
      <c r="L1358" s="6"/>
      <c r="M1358" s="5" t="str">
        <f aca="false">IF(AND(N(K1358)&gt;0,N(L1358)&gt;0),K1358/L1358,"")</f>
        <v/>
      </c>
      <c r="N1358" s="2" t="s">
        <v>1226</v>
      </c>
    </row>
    <row r="1359" customFormat="false" ht="15" hidden="false" customHeight="false" outlineLevel="0" collapsed="false">
      <c r="A1359" s="2" t="n">
        <v>1358</v>
      </c>
      <c r="B1359" s="2" t="s">
        <v>3025</v>
      </c>
      <c r="C1359" s="2" t="s">
        <v>3026</v>
      </c>
      <c r="D1359" s="2"/>
      <c r="E1359" s="2" t="s">
        <v>48</v>
      </c>
      <c r="F1359" s="3" t="n">
        <v>0.00012</v>
      </c>
      <c r="G1359" s="3" t="n">
        <f aca="false">SUM($F$2:F1359)</f>
        <v>0.876244</v>
      </c>
      <c r="H1359" s="4"/>
      <c r="I1359" s="5"/>
      <c r="J1359" s="4"/>
      <c r="K1359" s="5"/>
      <c r="L1359" s="6"/>
      <c r="M1359" s="5" t="str">
        <f aca="false">IF(AND(N(K1359)&gt;0,N(L1359)&gt;0),K1359/L1359,"")</f>
        <v/>
      </c>
      <c r="N1359" s="2" t="s">
        <v>1226</v>
      </c>
    </row>
    <row r="1360" customFormat="false" ht="15" hidden="false" customHeight="false" outlineLevel="0" collapsed="false">
      <c r="A1360" s="2" t="n">
        <v>1359</v>
      </c>
      <c r="B1360" s="2" t="s">
        <v>3027</v>
      </c>
      <c r="C1360" s="2" t="s">
        <v>3028</v>
      </c>
      <c r="D1360" s="2"/>
      <c r="E1360" s="2" t="s">
        <v>43</v>
      </c>
      <c r="F1360" s="3" t="n">
        <v>0.00012</v>
      </c>
      <c r="G1360" s="3" t="n">
        <f aca="false">SUM($F$2:F1360)</f>
        <v>0.876364</v>
      </c>
      <c r="H1360" s="4"/>
      <c r="I1360" s="5"/>
      <c r="J1360" s="4"/>
      <c r="K1360" s="5"/>
      <c r="L1360" s="6"/>
      <c r="M1360" s="5" t="str">
        <f aca="false">IF(AND(N(K1360)&gt;0,N(L1360)&gt;0),K1360/L1360,"")</f>
        <v/>
      </c>
      <c r="N1360" s="2" t="s">
        <v>1226</v>
      </c>
    </row>
    <row r="1361" customFormat="false" ht="15" hidden="false" customHeight="false" outlineLevel="0" collapsed="false">
      <c r="A1361" s="2" t="n">
        <v>1360</v>
      </c>
      <c r="B1361" s="2" t="s">
        <v>3029</v>
      </c>
      <c r="C1361" s="2" t="s">
        <v>3030</v>
      </c>
      <c r="D1361" s="2"/>
      <c r="E1361" s="2" t="s">
        <v>52</v>
      </c>
      <c r="F1361" s="3" t="n">
        <v>0.000119</v>
      </c>
      <c r="G1361" s="3" t="n">
        <f aca="false">SUM($F$2:F1361)</f>
        <v>0.876483</v>
      </c>
      <c r="H1361" s="4"/>
      <c r="I1361" s="5"/>
      <c r="J1361" s="4"/>
      <c r="K1361" s="5"/>
      <c r="L1361" s="6"/>
      <c r="M1361" s="5" t="str">
        <f aca="false">IF(AND(N(K1361)&gt;0,N(L1361)&gt;0),K1361/L1361,"")</f>
        <v/>
      </c>
      <c r="N1361" s="2" t="s">
        <v>1226</v>
      </c>
    </row>
    <row r="1362" customFormat="false" ht="15" hidden="false" customHeight="false" outlineLevel="0" collapsed="false">
      <c r="A1362" s="2" t="n">
        <v>1361</v>
      </c>
      <c r="B1362" s="2" t="s">
        <v>3031</v>
      </c>
      <c r="C1362" s="2" t="s">
        <v>3032</v>
      </c>
      <c r="D1362" s="2"/>
      <c r="E1362" s="2" t="s">
        <v>29</v>
      </c>
      <c r="F1362" s="3" t="n">
        <v>0.000119</v>
      </c>
      <c r="G1362" s="3" t="n">
        <f aca="false">SUM($F$2:F1362)</f>
        <v>0.876602</v>
      </c>
      <c r="H1362" s="4"/>
      <c r="I1362" s="5"/>
      <c r="J1362" s="4"/>
      <c r="K1362" s="5"/>
      <c r="L1362" s="6"/>
      <c r="M1362" s="5" t="str">
        <f aca="false">IF(AND(N(K1362)&gt;0,N(L1362)&gt;0),K1362/L1362,"")</f>
        <v/>
      </c>
      <c r="N1362" s="2" t="s">
        <v>1226</v>
      </c>
    </row>
    <row r="1363" customFormat="false" ht="15" hidden="false" customHeight="false" outlineLevel="0" collapsed="false">
      <c r="A1363" s="2" t="n">
        <v>1362</v>
      </c>
      <c r="B1363" s="2" t="s">
        <v>3033</v>
      </c>
      <c r="C1363" s="2" t="s">
        <v>3034</v>
      </c>
      <c r="D1363" s="2"/>
      <c r="E1363" s="2" t="s">
        <v>52</v>
      </c>
      <c r="F1363" s="3" t="n">
        <v>0.000118</v>
      </c>
      <c r="G1363" s="3" t="n">
        <f aca="false">SUM($F$2:F1363)</f>
        <v>0.87672</v>
      </c>
      <c r="H1363" s="4"/>
      <c r="I1363" s="5"/>
      <c r="J1363" s="4"/>
      <c r="K1363" s="5"/>
      <c r="L1363" s="6"/>
      <c r="M1363" s="5" t="str">
        <f aca="false">IF(AND(N(K1363)&gt;0,N(L1363)&gt;0),K1363/L1363,"")</f>
        <v/>
      </c>
      <c r="N1363" s="2" t="s">
        <v>1226</v>
      </c>
    </row>
    <row r="1364" customFormat="false" ht="15" hidden="false" customHeight="false" outlineLevel="0" collapsed="false">
      <c r="A1364" s="2" t="n">
        <v>1363</v>
      </c>
      <c r="B1364" s="2" t="s">
        <v>3035</v>
      </c>
      <c r="C1364" s="2" t="s">
        <v>3036</v>
      </c>
      <c r="D1364" s="2"/>
      <c r="E1364" s="2" t="s">
        <v>289</v>
      </c>
      <c r="F1364" s="3" t="n">
        <v>0.000118</v>
      </c>
      <c r="G1364" s="3" t="n">
        <f aca="false">SUM($F$2:F1364)</f>
        <v>0.876838</v>
      </c>
      <c r="H1364" s="4"/>
      <c r="I1364" s="5"/>
      <c r="J1364" s="4"/>
      <c r="K1364" s="5"/>
      <c r="L1364" s="6"/>
      <c r="M1364" s="5" t="str">
        <f aca="false">IF(AND(N(K1364)&gt;0,N(L1364)&gt;0),K1364/L1364,"")</f>
        <v/>
      </c>
      <c r="N1364" s="2" t="s">
        <v>1226</v>
      </c>
    </row>
    <row r="1365" customFormat="false" ht="15" hidden="false" customHeight="false" outlineLevel="0" collapsed="false">
      <c r="A1365" s="2" t="n">
        <v>1364</v>
      </c>
      <c r="B1365" s="2" t="s">
        <v>3037</v>
      </c>
      <c r="C1365" s="2" t="s">
        <v>3038</v>
      </c>
      <c r="D1365" s="2"/>
      <c r="E1365" s="2" t="s">
        <v>29</v>
      </c>
      <c r="F1365" s="3" t="n">
        <v>0.000118</v>
      </c>
      <c r="G1365" s="3" t="n">
        <f aca="false">SUM($F$2:F1365)</f>
        <v>0.876956</v>
      </c>
      <c r="H1365" s="4"/>
      <c r="I1365" s="5"/>
      <c r="J1365" s="4"/>
      <c r="K1365" s="5"/>
      <c r="L1365" s="6"/>
      <c r="M1365" s="5" t="str">
        <f aca="false">IF(AND(N(K1365)&gt;0,N(L1365)&gt;0),K1365/L1365,"")</f>
        <v/>
      </c>
      <c r="N1365" s="2" t="s">
        <v>1226</v>
      </c>
    </row>
    <row r="1366" customFormat="false" ht="15" hidden="false" customHeight="false" outlineLevel="0" collapsed="false">
      <c r="A1366" s="2" t="n">
        <v>1365</v>
      </c>
      <c r="B1366" s="2" t="s">
        <v>240</v>
      </c>
      <c r="C1366" s="2" t="s">
        <v>3039</v>
      </c>
      <c r="D1366" s="2"/>
      <c r="E1366" s="2" t="s">
        <v>48</v>
      </c>
      <c r="F1366" s="3" t="n">
        <v>0.000118</v>
      </c>
      <c r="G1366" s="3" t="n">
        <f aca="false">SUM($F$2:F1366)</f>
        <v>0.877074</v>
      </c>
      <c r="H1366" s="4"/>
      <c r="I1366" s="5"/>
      <c r="J1366" s="4"/>
      <c r="K1366" s="5"/>
      <c r="L1366" s="6"/>
      <c r="M1366" s="5" t="str">
        <f aca="false">IF(AND(N(K1366)&gt;0,N(L1366)&gt;0),K1366/L1366,"")</f>
        <v/>
      </c>
      <c r="N1366" s="2" t="s">
        <v>1226</v>
      </c>
    </row>
    <row r="1367" customFormat="false" ht="15" hidden="false" customHeight="false" outlineLevel="0" collapsed="false">
      <c r="A1367" s="2" t="n">
        <v>1366</v>
      </c>
      <c r="B1367" s="2" t="s">
        <v>3040</v>
      </c>
      <c r="C1367" s="2" t="s">
        <v>3041</v>
      </c>
      <c r="D1367" s="2"/>
      <c r="E1367" s="2" t="s">
        <v>52</v>
      </c>
      <c r="F1367" s="3" t="n">
        <v>0.000118</v>
      </c>
      <c r="G1367" s="3" t="n">
        <f aca="false">SUM($F$2:F1367)</f>
        <v>0.877192</v>
      </c>
      <c r="H1367" s="4"/>
      <c r="I1367" s="5"/>
      <c r="J1367" s="4"/>
      <c r="K1367" s="5"/>
      <c r="L1367" s="6"/>
      <c r="M1367" s="5" t="str">
        <f aca="false">IF(AND(N(K1367)&gt;0,N(L1367)&gt;0),K1367/L1367,"")</f>
        <v/>
      </c>
      <c r="N1367" s="2" t="s">
        <v>1226</v>
      </c>
    </row>
    <row r="1368" customFormat="false" ht="15" hidden="false" customHeight="false" outlineLevel="0" collapsed="false">
      <c r="A1368" s="2" t="n">
        <v>1367</v>
      </c>
      <c r="B1368" s="2" t="s">
        <v>3042</v>
      </c>
      <c r="C1368" s="2" t="s">
        <v>3043</v>
      </c>
      <c r="D1368" s="2"/>
      <c r="E1368" s="2" t="s">
        <v>29</v>
      </c>
      <c r="F1368" s="3" t="n">
        <v>0.000118</v>
      </c>
      <c r="G1368" s="3" t="n">
        <f aca="false">SUM($F$2:F1368)</f>
        <v>0.87731</v>
      </c>
      <c r="H1368" s="4"/>
      <c r="I1368" s="5"/>
      <c r="J1368" s="4"/>
      <c r="K1368" s="5"/>
      <c r="L1368" s="6"/>
      <c r="M1368" s="5" t="str">
        <f aca="false">IF(AND(N(K1368)&gt;0,N(L1368)&gt;0),K1368/L1368,"")</f>
        <v/>
      </c>
      <c r="N1368" s="2" t="s">
        <v>1226</v>
      </c>
    </row>
    <row r="1369" customFormat="false" ht="15" hidden="false" customHeight="false" outlineLevel="0" collapsed="false">
      <c r="A1369" s="2" t="n">
        <v>1368</v>
      </c>
      <c r="B1369" s="2" t="s">
        <v>3044</v>
      </c>
      <c r="C1369" s="2" t="s">
        <v>3045</v>
      </c>
      <c r="D1369" s="2"/>
      <c r="E1369" s="2" t="s">
        <v>48</v>
      </c>
      <c r="F1369" s="3" t="n">
        <v>0.000118</v>
      </c>
      <c r="G1369" s="3" t="n">
        <f aca="false">SUM($F$2:F1369)</f>
        <v>0.877428</v>
      </c>
      <c r="H1369" s="4"/>
      <c r="I1369" s="5"/>
      <c r="J1369" s="4"/>
      <c r="K1369" s="5"/>
      <c r="L1369" s="6"/>
      <c r="M1369" s="5" t="str">
        <f aca="false">IF(AND(N(K1369)&gt;0,N(L1369)&gt;0),K1369/L1369,"")</f>
        <v/>
      </c>
      <c r="N1369" s="2" t="s">
        <v>1226</v>
      </c>
    </row>
    <row r="1370" customFormat="false" ht="15" hidden="false" customHeight="false" outlineLevel="0" collapsed="false">
      <c r="A1370" s="2" t="n">
        <v>1369</v>
      </c>
      <c r="B1370" s="2" t="s">
        <v>3046</v>
      </c>
      <c r="C1370" s="2" t="s">
        <v>3047</v>
      </c>
      <c r="D1370" s="2"/>
      <c r="E1370" s="2" t="s">
        <v>52</v>
      </c>
      <c r="F1370" s="3" t="n">
        <v>0.000118</v>
      </c>
      <c r="G1370" s="3" t="n">
        <f aca="false">SUM($F$2:F1370)</f>
        <v>0.877546</v>
      </c>
      <c r="H1370" s="4"/>
      <c r="I1370" s="5"/>
      <c r="J1370" s="4"/>
      <c r="K1370" s="5"/>
      <c r="L1370" s="6"/>
      <c r="M1370" s="5" t="str">
        <f aca="false">IF(AND(N(K1370)&gt;0,N(L1370)&gt;0),K1370/L1370,"")</f>
        <v/>
      </c>
      <c r="N1370" s="2" t="s">
        <v>1226</v>
      </c>
    </row>
    <row r="1371" customFormat="false" ht="15" hidden="false" customHeight="false" outlineLevel="0" collapsed="false">
      <c r="A1371" s="2" t="n">
        <v>1370</v>
      </c>
      <c r="B1371" s="2" t="s">
        <v>3048</v>
      </c>
      <c r="C1371" s="2" t="s">
        <v>3049</v>
      </c>
      <c r="D1371" s="2"/>
      <c r="E1371" s="2" t="s">
        <v>29</v>
      </c>
      <c r="F1371" s="3" t="n">
        <v>0.000117</v>
      </c>
      <c r="G1371" s="3" t="n">
        <f aca="false">SUM($F$2:F1371)</f>
        <v>0.877663</v>
      </c>
      <c r="H1371" s="4"/>
      <c r="I1371" s="5"/>
      <c r="J1371" s="4"/>
      <c r="K1371" s="5"/>
      <c r="L1371" s="6"/>
      <c r="M1371" s="5" t="str">
        <f aca="false">IF(AND(N(K1371)&gt;0,N(L1371)&gt;0),K1371/L1371,"")</f>
        <v/>
      </c>
      <c r="N1371" s="2" t="s">
        <v>1226</v>
      </c>
    </row>
    <row r="1372" customFormat="false" ht="15" hidden="false" customHeight="false" outlineLevel="0" collapsed="false">
      <c r="A1372" s="2" t="n">
        <v>1371</v>
      </c>
      <c r="B1372" s="2" t="s">
        <v>3050</v>
      </c>
      <c r="C1372" s="2" t="s">
        <v>3051</v>
      </c>
      <c r="D1372" s="2"/>
      <c r="E1372" s="2" t="s">
        <v>52</v>
      </c>
      <c r="F1372" s="3" t="n">
        <v>0.000117</v>
      </c>
      <c r="G1372" s="3" t="n">
        <f aca="false">SUM($F$2:F1372)</f>
        <v>0.87778</v>
      </c>
      <c r="H1372" s="4"/>
      <c r="I1372" s="5"/>
      <c r="J1372" s="4"/>
      <c r="K1372" s="5"/>
      <c r="L1372" s="6"/>
      <c r="M1372" s="5" t="str">
        <f aca="false">IF(AND(N(K1372)&gt;0,N(L1372)&gt;0),K1372/L1372,"")</f>
        <v/>
      </c>
      <c r="N1372" s="2" t="s">
        <v>1226</v>
      </c>
    </row>
    <row r="1373" customFormat="false" ht="15" hidden="false" customHeight="false" outlineLevel="0" collapsed="false">
      <c r="A1373" s="2" t="n">
        <v>1372</v>
      </c>
      <c r="B1373" s="2" t="s">
        <v>3052</v>
      </c>
      <c r="C1373" s="2" t="s">
        <v>3053</v>
      </c>
      <c r="D1373" s="2"/>
      <c r="E1373" s="2" t="s">
        <v>43</v>
      </c>
      <c r="F1373" s="3" t="n">
        <v>0.000117</v>
      </c>
      <c r="G1373" s="3" t="n">
        <f aca="false">SUM($F$2:F1373)</f>
        <v>0.877897</v>
      </c>
      <c r="H1373" s="4"/>
      <c r="I1373" s="5"/>
      <c r="J1373" s="4"/>
      <c r="K1373" s="5"/>
      <c r="L1373" s="6"/>
      <c r="M1373" s="5" t="str">
        <f aca="false">IF(AND(N(K1373)&gt;0,N(L1373)&gt;0),K1373/L1373,"")</f>
        <v/>
      </c>
      <c r="N1373" s="2" t="s">
        <v>1226</v>
      </c>
    </row>
    <row r="1374" customFormat="false" ht="15" hidden="false" customHeight="false" outlineLevel="0" collapsed="false">
      <c r="A1374" s="2" t="n">
        <v>1373</v>
      </c>
      <c r="B1374" s="2" t="s">
        <v>3054</v>
      </c>
      <c r="C1374" s="2" t="s">
        <v>3055</v>
      </c>
      <c r="D1374" s="2"/>
      <c r="E1374" s="2" t="s">
        <v>614</v>
      </c>
      <c r="F1374" s="3" t="n">
        <v>0.000117</v>
      </c>
      <c r="G1374" s="3" t="n">
        <f aca="false">SUM($F$2:F1374)</f>
        <v>0.878014</v>
      </c>
      <c r="H1374" s="4"/>
      <c r="I1374" s="5"/>
      <c r="J1374" s="4"/>
      <c r="K1374" s="5"/>
      <c r="L1374" s="6"/>
      <c r="M1374" s="5" t="str">
        <f aca="false">IF(AND(N(K1374)&gt;0,N(L1374)&gt;0),K1374/L1374,"")</f>
        <v/>
      </c>
      <c r="N1374" s="2" t="s">
        <v>1226</v>
      </c>
    </row>
    <row r="1375" customFormat="false" ht="15" hidden="false" customHeight="false" outlineLevel="0" collapsed="false">
      <c r="A1375" s="2" t="n">
        <v>1374</v>
      </c>
      <c r="B1375" s="2" t="s">
        <v>3056</v>
      </c>
      <c r="C1375" s="2" t="s">
        <v>3057</v>
      </c>
      <c r="D1375" s="2"/>
      <c r="E1375" s="2" t="s">
        <v>29</v>
      </c>
      <c r="F1375" s="3" t="n">
        <v>0.000117</v>
      </c>
      <c r="G1375" s="3" t="n">
        <f aca="false">SUM($F$2:F1375)</f>
        <v>0.878131</v>
      </c>
      <c r="H1375" s="4"/>
      <c r="I1375" s="5"/>
      <c r="J1375" s="4"/>
      <c r="K1375" s="5"/>
      <c r="L1375" s="6"/>
      <c r="M1375" s="5" t="str">
        <f aca="false">IF(AND(N(K1375)&gt;0,N(L1375)&gt;0),K1375/L1375,"")</f>
        <v/>
      </c>
      <c r="N1375" s="2" t="s">
        <v>1226</v>
      </c>
    </row>
    <row r="1376" customFormat="false" ht="15" hidden="false" customHeight="false" outlineLevel="0" collapsed="false">
      <c r="A1376" s="2" t="n">
        <v>1375</v>
      </c>
      <c r="B1376" s="2" t="s">
        <v>3058</v>
      </c>
      <c r="C1376" s="2" t="s">
        <v>3059</v>
      </c>
      <c r="D1376" s="2"/>
      <c r="E1376" s="2" t="s">
        <v>52</v>
      </c>
      <c r="F1376" s="3" t="n">
        <v>0.000117</v>
      </c>
      <c r="G1376" s="3" t="n">
        <f aca="false">SUM($F$2:F1376)</f>
        <v>0.878248</v>
      </c>
      <c r="H1376" s="4"/>
      <c r="I1376" s="5"/>
      <c r="J1376" s="4"/>
      <c r="K1376" s="5"/>
      <c r="L1376" s="6"/>
      <c r="M1376" s="5" t="str">
        <f aca="false">IF(AND(N(K1376)&gt;0,N(L1376)&gt;0),K1376/L1376,"")</f>
        <v/>
      </c>
      <c r="N1376" s="2" t="s">
        <v>1226</v>
      </c>
    </row>
    <row r="1377" customFormat="false" ht="15" hidden="false" customHeight="false" outlineLevel="0" collapsed="false">
      <c r="A1377" s="2" t="n">
        <v>1376</v>
      </c>
      <c r="B1377" s="2" t="s">
        <v>3060</v>
      </c>
      <c r="C1377" s="2" t="s">
        <v>3061</v>
      </c>
      <c r="D1377" s="2"/>
      <c r="E1377" s="2" t="s">
        <v>29</v>
      </c>
      <c r="F1377" s="3" t="n">
        <v>0.000117</v>
      </c>
      <c r="G1377" s="3" t="n">
        <f aca="false">SUM($F$2:F1377)</f>
        <v>0.878365</v>
      </c>
      <c r="H1377" s="4"/>
      <c r="I1377" s="5"/>
      <c r="J1377" s="4"/>
      <c r="K1377" s="5"/>
      <c r="L1377" s="6"/>
      <c r="M1377" s="5" t="str">
        <f aca="false">IF(AND(N(K1377)&gt;0,N(L1377)&gt;0),K1377/L1377,"")</f>
        <v/>
      </c>
      <c r="N1377" s="2" t="s">
        <v>1226</v>
      </c>
    </row>
    <row r="1378" customFormat="false" ht="15" hidden="false" customHeight="false" outlineLevel="0" collapsed="false">
      <c r="A1378" s="2" t="n">
        <v>1377</v>
      </c>
      <c r="B1378" s="2" t="s">
        <v>3062</v>
      </c>
      <c r="C1378" s="2" t="s">
        <v>3063</v>
      </c>
      <c r="D1378" s="2"/>
      <c r="E1378" s="2" t="s">
        <v>52</v>
      </c>
      <c r="F1378" s="3" t="n">
        <v>0.000117</v>
      </c>
      <c r="G1378" s="3" t="n">
        <f aca="false">SUM($F$2:F1378)</f>
        <v>0.878482</v>
      </c>
      <c r="H1378" s="4"/>
      <c r="I1378" s="5"/>
      <c r="J1378" s="4"/>
      <c r="K1378" s="5"/>
      <c r="L1378" s="6"/>
      <c r="M1378" s="5" t="str">
        <f aca="false">IF(AND(N(K1378)&gt;0,N(L1378)&gt;0),K1378/L1378,"")</f>
        <v/>
      </c>
      <c r="N1378" s="2" t="s">
        <v>1226</v>
      </c>
    </row>
    <row r="1379" customFormat="false" ht="15" hidden="false" customHeight="false" outlineLevel="0" collapsed="false">
      <c r="A1379" s="2" t="n">
        <v>1378</v>
      </c>
      <c r="B1379" s="2" t="s">
        <v>3064</v>
      </c>
      <c r="C1379" s="2" t="s">
        <v>3065</v>
      </c>
      <c r="D1379" s="2"/>
      <c r="E1379" s="2" t="s">
        <v>1050</v>
      </c>
      <c r="F1379" s="3" t="n">
        <v>0.000117</v>
      </c>
      <c r="G1379" s="3" t="n">
        <f aca="false">SUM($F$2:F1379)</f>
        <v>0.878599</v>
      </c>
      <c r="H1379" s="4"/>
      <c r="I1379" s="5"/>
      <c r="J1379" s="4"/>
      <c r="K1379" s="5"/>
      <c r="L1379" s="6"/>
      <c r="M1379" s="5" t="str">
        <f aca="false">IF(AND(N(K1379)&gt;0,N(L1379)&gt;0),K1379/L1379,"")</f>
        <v/>
      </c>
      <c r="N1379" s="2" t="s">
        <v>1226</v>
      </c>
    </row>
    <row r="1380" customFormat="false" ht="15" hidden="false" customHeight="false" outlineLevel="0" collapsed="false">
      <c r="A1380" s="2" t="n">
        <v>1379</v>
      </c>
      <c r="B1380" s="2" t="s">
        <v>3066</v>
      </c>
      <c r="C1380" s="2" t="s">
        <v>3067</v>
      </c>
      <c r="D1380" s="2"/>
      <c r="E1380" s="2" t="s">
        <v>289</v>
      </c>
      <c r="F1380" s="3" t="n">
        <v>0.000116</v>
      </c>
      <c r="G1380" s="3" t="n">
        <f aca="false">SUM($F$2:F1380)</f>
        <v>0.878715</v>
      </c>
      <c r="H1380" s="4"/>
      <c r="I1380" s="5"/>
      <c r="J1380" s="4"/>
      <c r="K1380" s="5"/>
      <c r="L1380" s="6"/>
      <c r="M1380" s="5" t="str">
        <f aca="false">IF(AND(N(K1380)&gt;0,N(L1380)&gt;0),K1380/L1380,"")</f>
        <v/>
      </c>
      <c r="N1380" s="2" t="s">
        <v>1226</v>
      </c>
    </row>
    <row r="1381" customFormat="false" ht="15" hidden="false" customHeight="false" outlineLevel="0" collapsed="false">
      <c r="A1381" s="2" t="n">
        <v>1380</v>
      </c>
      <c r="B1381" s="2" t="s">
        <v>3068</v>
      </c>
      <c r="C1381" s="2" t="s">
        <v>3069</v>
      </c>
      <c r="D1381" s="2"/>
      <c r="E1381" s="2" t="s">
        <v>765</v>
      </c>
      <c r="F1381" s="3" t="n">
        <v>0.000116</v>
      </c>
      <c r="G1381" s="3" t="n">
        <f aca="false">SUM($F$2:F1381)</f>
        <v>0.878831</v>
      </c>
      <c r="H1381" s="4"/>
      <c r="I1381" s="5"/>
      <c r="J1381" s="4"/>
      <c r="K1381" s="5"/>
      <c r="L1381" s="6"/>
      <c r="M1381" s="5" t="str">
        <f aca="false">IF(AND(N(K1381)&gt;0,N(L1381)&gt;0),K1381/L1381,"")</f>
        <v/>
      </c>
      <c r="N1381" s="2" t="s">
        <v>1226</v>
      </c>
    </row>
    <row r="1382" customFormat="false" ht="15" hidden="false" customHeight="false" outlineLevel="0" collapsed="false">
      <c r="A1382" s="2" t="n">
        <v>1381</v>
      </c>
      <c r="B1382" s="2" t="s">
        <v>3070</v>
      </c>
      <c r="C1382" s="2" t="s">
        <v>3071</v>
      </c>
      <c r="D1382" s="2"/>
      <c r="E1382" s="2" t="s">
        <v>1295</v>
      </c>
      <c r="F1382" s="3" t="n">
        <v>0.000116</v>
      </c>
      <c r="G1382" s="3" t="n">
        <f aca="false">SUM($F$2:F1382)</f>
        <v>0.878947</v>
      </c>
      <c r="H1382" s="4"/>
      <c r="I1382" s="5"/>
      <c r="J1382" s="4"/>
      <c r="K1382" s="5"/>
      <c r="L1382" s="6"/>
      <c r="M1382" s="5" t="str">
        <f aca="false">IF(AND(N(K1382)&gt;0,N(L1382)&gt;0),K1382/L1382,"")</f>
        <v/>
      </c>
      <c r="N1382" s="2" t="s">
        <v>1226</v>
      </c>
    </row>
    <row r="1383" customFormat="false" ht="15" hidden="false" customHeight="false" outlineLevel="0" collapsed="false">
      <c r="A1383" s="2" t="n">
        <v>1382</v>
      </c>
      <c r="B1383" s="2" t="s">
        <v>3072</v>
      </c>
      <c r="C1383" s="2" t="s">
        <v>3073</v>
      </c>
      <c r="D1383" s="2"/>
      <c r="E1383" s="2" t="s">
        <v>1019</v>
      </c>
      <c r="F1383" s="3" t="n">
        <v>0.000116</v>
      </c>
      <c r="G1383" s="3" t="n">
        <f aca="false">SUM($F$2:F1383)</f>
        <v>0.879063</v>
      </c>
      <c r="H1383" s="4"/>
      <c r="I1383" s="5"/>
      <c r="J1383" s="4"/>
      <c r="K1383" s="5"/>
      <c r="L1383" s="6"/>
      <c r="M1383" s="5" t="str">
        <f aca="false">IF(AND(N(K1383)&gt;0,N(L1383)&gt;0),K1383/L1383,"")</f>
        <v/>
      </c>
      <c r="N1383" s="2" t="s">
        <v>1226</v>
      </c>
    </row>
    <row r="1384" customFormat="false" ht="15" hidden="false" customHeight="false" outlineLevel="0" collapsed="false">
      <c r="A1384" s="2" t="n">
        <v>1383</v>
      </c>
      <c r="B1384" s="2" t="s">
        <v>3074</v>
      </c>
      <c r="C1384" s="2" t="s">
        <v>3075</v>
      </c>
      <c r="D1384" s="2"/>
      <c r="E1384" s="2" t="s">
        <v>82</v>
      </c>
      <c r="F1384" s="3" t="n">
        <v>0.000116</v>
      </c>
      <c r="G1384" s="3" t="n">
        <f aca="false">SUM($F$2:F1384)</f>
        <v>0.879179</v>
      </c>
      <c r="H1384" s="4"/>
      <c r="I1384" s="5"/>
      <c r="J1384" s="4"/>
      <c r="K1384" s="5"/>
      <c r="L1384" s="6"/>
      <c r="M1384" s="5" t="str">
        <f aca="false">IF(AND(N(K1384)&gt;0,N(L1384)&gt;0),K1384/L1384,"")</f>
        <v/>
      </c>
      <c r="N1384" s="2" t="s">
        <v>1226</v>
      </c>
    </row>
    <row r="1385" customFormat="false" ht="15" hidden="false" customHeight="false" outlineLevel="0" collapsed="false">
      <c r="A1385" s="2" t="n">
        <v>1384</v>
      </c>
      <c r="B1385" s="2" t="s">
        <v>3076</v>
      </c>
      <c r="C1385" s="2" t="s">
        <v>3077</v>
      </c>
      <c r="D1385" s="2"/>
      <c r="E1385" s="2" t="s">
        <v>25</v>
      </c>
      <c r="F1385" s="3" t="n">
        <v>0.000116</v>
      </c>
      <c r="G1385" s="3" t="n">
        <f aca="false">SUM($F$2:F1385)</f>
        <v>0.879295</v>
      </c>
      <c r="H1385" s="4"/>
      <c r="I1385" s="5"/>
      <c r="J1385" s="4"/>
      <c r="K1385" s="5"/>
      <c r="L1385" s="6"/>
      <c r="M1385" s="5" t="str">
        <f aca="false">IF(AND(N(K1385)&gt;0,N(L1385)&gt;0),K1385/L1385,"")</f>
        <v/>
      </c>
      <c r="N1385" s="2" t="s">
        <v>1226</v>
      </c>
    </row>
    <row r="1386" customFormat="false" ht="15" hidden="false" customHeight="false" outlineLevel="0" collapsed="false">
      <c r="A1386" s="2" t="n">
        <v>1385</v>
      </c>
      <c r="B1386" s="2" t="s">
        <v>3078</v>
      </c>
      <c r="C1386" s="2" t="s">
        <v>3079</v>
      </c>
      <c r="D1386" s="2"/>
      <c r="E1386" s="2" t="s">
        <v>33</v>
      </c>
      <c r="F1386" s="3" t="n">
        <v>0.000115</v>
      </c>
      <c r="G1386" s="3" t="n">
        <f aca="false">SUM($F$2:F1386)</f>
        <v>0.87941</v>
      </c>
      <c r="H1386" s="4"/>
      <c r="I1386" s="5"/>
      <c r="J1386" s="4"/>
      <c r="K1386" s="5"/>
      <c r="L1386" s="6"/>
      <c r="M1386" s="5" t="str">
        <f aca="false">IF(AND(N(K1386)&gt;0,N(L1386)&gt;0),K1386/L1386,"")</f>
        <v/>
      </c>
      <c r="N1386" s="2" t="s">
        <v>1226</v>
      </c>
    </row>
    <row r="1387" customFormat="false" ht="15" hidden="false" customHeight="false" outlineLevel="0" collapsed="false">
      <c r="A1387" s="2" t="n">
        <v>1386</v>
      </c>
      <c r="B1387" s="2" t="s">
        <v>1304</v>
      </c>
      <c r="C1387" s="2" t="s">
        <v>3080</v>
      </c>
      <c r="D1387" s="2"/>
      <c r="E1387" s="2" t="s">
        <v>48</v>
      </c>
      <c r="F1387" s="3" t="n">
        <v>0.000115</v>
      </c>
      <c r="G1387" s="3" t="n">
        <f aca="false">SUM($F$2:F1387)</f>
        <v>0.879525</v>
      </c>
      <c r="H1387" s="4"/>
      <c r="I1387" s="5"/>
      <c r="J1387" s="4"/>
      <c r="K1387" s="5"/>
      <c r="L1387" s="6"/>
      <c r="M1387" s="5" t="str">
        <f aca="false">IF(AND(N(K1387)&gt;0,N(L1387)&gt;0),K1387/L1387,"")</f>
        <v/>
      </c>
      <c r="N1387" s="2" t="s">
        <v>1226</v>
      </c>
    </row>
    <row r="1388" customFormat="false" ht="15" hidden="false" customHeight="false" outlineLevel="0" collapsed="false">
      <c r="A1388" s="2" t="n">
        <v>1387</v>
      </c>
      <c r="B1388" s="2" t="s">
        <v>3081</v>
      </c>
      <c r="C1388" s="2" t="s">
        <v>3082</v>
      </c>
      <c r="D1388" s="2"/>
      <c r="E1388" s="2" t="s">
        <v>52</v>
      </c>
      <c r="F1388" s="3" t="n">
        <v>0.000115</v>
      </c>
      <c r="G1388" s="3" t="n">
        <f aca="false">SUM($F$2:F1388)</f>
        <v>0.87964</v>
      </c>
      <c r="H1388" s="4"/>
      <c r="I1388" s="5"/>
      <c r="J1388" s="4"/>
      <c r="K1388" s="5"/>
      <c r="L1388" s="6"/>
      <c r="M1388" s="5" t="str">
        <f aca="false">IF(AND(N(K1388)&gt;0,N(L1388)&gt;0),K1388/L1388,"")</f>
        <v/>
      </c>
      <c r="N1388" s="2" t="s">
        <v>1226</v>
      </c>
    </row>
    <row r="1389" customFormat="false" ht="15" hidden="false" customHeight="false" outlineLevel="0" collapsed="false">
      <c r="A1389" s="2" t="n">
        <v>1388</v>
      </c>
      <c r="B1389" s="2" t="s">
        <v>3083</v>
      </c>
      <c r="C1389" s="2" t="s">
        <v>3084</v>
      </c>
      <c r="D1389" s="2"/>
      <c r="E1389" s="2" t="s">
        <v>1050</v>
      </c>
      <c r="F1389" s="3" t="n">
        <v>0.000115</v>
      </c>
      <c r="G1389" s="3" t="n">
        <f aca="false">SUM($F$2:F1389)</f>
        <v>0.879755</v>
      </c>
      <c r="H1389" s="4"/>
      <c r="I1389" s="5"/>
      <c r="J1389" s="4"/>
      <c r="K1389" s="5"/>
      <c r="L1389" s="6"/>
      <c r="M1389" s="5" t="str">
        <f aca="false">IF(AND(N(K1389)&gt;0,N(L1389)&gt;0),K1389/L1389,"")</f>
        <v/>
      </c>
      <c r="N1389" s="2" t="s">
        <v>1226</v>
      </c>
    </row>
    <row r="1390" customFormat="false" ht="15" hidden="false" customHeight="false" outlineLevel="0" collapsed="false">
      <c r="A1390" s="2" t="n">
        <v>1389</v>
      </c>
      <c r="B1390" s="2" t="s">
        <v>3085</v>
      </c>
      <c r="C1390" s="2" t="s">
        <v>3086</v>
      </c>
      <c r="D1390" s="2"/>
      <c r="E1390" s="2" t="s">
        <v>29</v>
      </c>
      <c r="F1390" s="3" t="n">
        <v>0.000115</v>
      </c>
      <c r="G1390" s="3" t="n">
        <f aca="false">SUM($F$2:F1390)</f>
        <v>0.87987</v>
      </c>
      <c r="H1390" s="4"/>
      <c r="I1390" s="5"/>
      <c r="J1390" s="4"/>
      <c r="K1390" s="5"/>
      <c r="L1390" s="6"/>
      <c r="M1390" s="5" t="str">
        <f aca="false">IF(AND(N(K1390)&gt;0,N(L1390)&gt;0),K1390/L1390,"")</f>
        <v/>
      </c>
      <c r="N1390" s="2" t="s">
        <v>1226</v>
      </c>
    </row>
    <row r="1391" customFormat="false" ht="15" hidden="false" customHeight="false" outlineLevel="0" collapsed="false">
      <c r="A1391" s="2" t="n">
        <v>1390</v>
      </c>
      <c r="B1391" s="2" t="s">
        <v>3087</v>
      </c>
      <c r="C1391" s="2" t="s">
        <v>3088</v>
      </c>
      <c r="D1391" s="2"/>
      <c r="E1391" s="2" t="s">
        <v>167</v>
      </c>
      <c r="F1391" s="3" t="n">
        <v>0.000115</v>
      </c>
      <c r="G1391" s="3" t="n">
        <f aca="false">SUM($F$2:F1391)</f>
        <v>0.879985</v>
      </c>
      <c r="H1391" s="4"/>
      <c r="I1391" s="5"/>
      <c r="J1391" s="4"/>
      <c r="K1391" s="5"/>
      <c r="L1391" s="6"/>
      <c r="M1391" s="5" t="str">
        <f aca="false">IF(AND(N(K1391)&gt;0,N(L1391)&gt;0),K1391/L1391,"")</f>
        <v/>
      </c>
      <c r="N1391" s="2" t="s">
        <v>1226</v>
      </c>
    </row>
    <row r="1392" customFormat="false" ht="15" hidden="false" customHeight="false" outlineLevel="0" collapsed="false">
      <c r="A1392" s="2" t="n">
        <v>1391</v>
      </c>
      <c r="B1392" s="2" t="s">
        <v>3089</v>
      </c>
      <c r="C1392" s="2" t="s">
        <v>3090</v>
      </c>
      <c r="D1392" s="2"/>
      <c r="E1392" s="2" t="s">
        <v>52</v>
      </c>
      <c r="F1392" s="3" t="n">
        <v>0.000115</v>
      </c>
      <c r="G1392" s="3" t="n">
        <f aca="false">SUM($F$2:F1392)</f>
        <v>0.8801</v>
      </c>
      <c r="H1392" s="4"/>
      <c r="I1392" s="5"/>
      <c r="J1392" s="4"/>
      <c r="K1392" s="5"/>
      <c r="L1392" s="6"/>
      <c r="M1392" s="5" t="str">
        <f aca="false">IF(AND(N(K1392)&gt;0,N(L1392)&gt;0),K1392/L1392,"")</f>
        <v/>
      </c>
      <c r="N1392" s="2" t="s">
        <v>1226</v>
      </c>
    </row>
    <row r="1393" customFormat="false" ht="15" hidden="false" customHeight="false" outlineLevel="0" collapsed="false">
      <c r="A1393" s="2" t="n">
        <v>1392</v>
      </c>
      <c r="B1393" s="2" t="s">
        <v>3091</v>
      </c>
      <c r="C1393" s="2" t="s">
        <v>3092</v>
      </c>
      <c r="D1393" s="2"/>
      <c r="E1393" s="2" t="s">
        <v>52</v>
      </c>
      <c r="F1393" s="3" t="n">
        <v>0.000115</v>
      </c>
      <c r="G1393" s="3" t="n">
        <f aca="false">SUM($F$2:F1393)</f>
        <v>0.880215</v>
      </c>
      <c r="H1393" s="4"/>
      <c r="I1393" s="5"/>
      <c r="J1393" s="4"/>
      <c r="K1393" s="5"/>
      <c r="L1393" s="6"/>
      <c r="M1393" s="5" t="str">
        <f aca="false">IF(AND(N(K1393)&gt;0,N(L1393)&gt;0),K1393/L1393,"")</f>
        <v/>
      </c>
      <c r="N1393" s="2" t="s">
        <v>1226</v>
      </c>
    </row>
    <row r="1394" customFormat="false" ht="15" hidden="false" customHeight="false" outlineLevel="0" collapsed="false">
      <c r="A1394" s="2" t="n">
        <v>1393</v>
      </c>
      <c r="B1394" s="2" t="s">
        <v>3093</v>
      </c>
      <c r="C1394" s="2" t="s">
        <v>3094</v>
      </c>
      <c r="D1394" s="2"/>
      <c r="E1394" s="2" t="s">
        <v>48</v>
      </c>
      <c r="F1394" s="3" t="n">
        <v>0.000115</v>
      </c>
      <c r="G1394" s="3" t="n">
        <f aca="false">SUM($F$2:F1394)</f>
        <v>0.88033</v>
      </c>
      <c r="H1394" s="4"/>
      <c r="I1394" s="5"/>
      <c r="J1394" s="4"/>
      <c r="K1394" s="5"/>
      <c r="L1394" s="6"/>
      <c r="M1394" s="5" t="str">
        <f aca="false">IF(AND(N(K1394)&gt;0,N(L1394)&gt;0),K1394/L1394,"")</f>
        <v/>
      </c>
      <c r="N1394" s="2" t="s">
        <v>1226</v>
      </c>
    </row>
    <row r="1395" customFormat="false" ht="15" hidden="false" customHeight="false" outlineLevel="0" collapsed="false">
      <c r="A1395" s="2" t="n">
        <v>1394</v>
      </c>
      <c r="B1395" s="2" t="s">
        <v>3095</v>
      </c>
      <c r="C1395" s="2" t="s">
        <v>3096</v>
      </c>
      <c r="D1395" s="2"/>
      <c r="E1395" s="2" t="s">
        <v>289</v>
      </c>
      <c r="F1395" s="3" t="n">
        <v>0.000114</v>
      </c>
      <c r="G1395" s="3" t="n">
        <f aca="false">SUM($F$2:F1395)</f>
        <v>0.880444</v>
      </c>
      <c r="H1395" s="4"/>
      <c r="I1395" s="5"/>
      <c r="J1395" s="4"/>
      <c r="K1395" s="5"/>
      <c r="L1395" s="6"/>
      <c r="M1395" s="5" t="str">
        <f aca="false">IF(AND(N(K1395)&gt;0,N(L1395)&gt;0),K1395/L1395,"")</f>
        <v/>
      </c>
      <c r="N1395" s="2" t="s">
        <v>1226</v>
      </c>
    </row>
    <row r="1396" customFormat="false" ht="15" hidden="false" customHeight="false" outlineLevel="0" collapsed="false">
      <c r="A1396" s="2" t="n">
        <v>1395</v>
      </c>
      <c r="B1396" s="2" t="s">
        <v>3097</v>
      </c>
      <c r="C1396" s="2" t="s">
        <v>3098</v>
      </c>
      <c r="D1396" s="2"/>
      <c r="E1396" s="2" t="s">
        <v>29</v>
      </c>
      <c r="F1396" s="3" t="n">
        <v>0.000114</v>
      </c>
      <c r="G1396" s="3" t="n">
        <f aca="false">SUM($F$2:F1396)</f>
        <v>0.880558</v>
      </c>
      <c r="H1396" s="4"/>
      <c r="I1396" s="5"/>
      <c r="J1396" s="4"/>
      <c r="K1396" s="5"/>
      <c r="L1396" s="6"/>
      <c r="M1396" s="5" t="str">
        <f aca="false">IF(AND(N(K1396)&gt;0,N(L1396)&gt;0),K1396/L1396,"")</f>
        <v/>
      </c>
      <c r="N1396" s="2" t="s">
        <v>1226</v>
      </c>
    </row>
    <row r="1397" customFormat="false" ht="15" hidden="false" customHeight="false" outlineLevel="0" collapsed="false">
      <c r="A1397" s="2" t="n">
        <v>1396</v>
      </c>
      <c r="B1397" s="2" t="s">
        <v>3099</v>
      </c>
      <c r="C1397" s="2" t="s">
        <v>3100</v>
      </c>
      <c r="D1397" s="2"/>
      <c r="E1397" s="2" t="s">
        <v>52</v>
      </c>
      <c r="F1397" s="3" t="n">
        <v>0.000114</v>
      </c>
      <c r="G1397" s="3" t="n">
        <f aca="false">SUM($F$2:F1397)</f>
        <v>0.880672</v>
      </c>
      <c r="H1397" s="4"/>
      <c r="I1397" s="5"/>
      <c r="J1397" s="4"/>
      <c r="K1397" s="5"/>
      <c r="L1397" s="6"/>
      <c r="M1397" s="5" t="str">
        <f aca="false">IF(AND(N(K1397)&gt;0,N(L1397)&gt;0),K1397/L1397,"")</f>
        <v/>
      </c>
      <c r="N1397" s="2" t="s">
        <v>1226</v>
      </c>
    </row>
    <row r="1398" customFormat="false" ht="15" hidden="false" customHeight="false" outlineLevel="0" collapsed="false">
      <c r="A1398" s="2" t="n">
        <v>1397</v>
      </c>
      <c r="B1398" s="2" t="s">
        <v>3101</v>
      </c>
      <c r="C1398" s="2" t="s">
        <v>3102</v>
      </c>
      <c r="D1398" s="2"/>
      <c r="E1398" s="2" t="s">
        <v>43</v>
      </c>
      <c r="F1398" s="3" t="n">
        <v>0.000114</v>
      </c>
      <c r="G1398" s="3" t="n">
        <f aca="false">SUM($F$2:F1398)</f>
        <v>0.880786</v>
      </c>
      <c r="H1398" s="4"/>
      <c r="I1398" s="5"/>
      <c r="J1398" s="4"/>
      <c r="K1398" s="5"/>
      <c r="L1398" s="6"/>
      <c r="M1398" s="5" t="str">
        <f aca="false">IF(AND(N(K1398)&gt;0,N(L1398)&gt;0),K1398/L1398,"")</f>
        <v/>
      </c>
      <c r="N1398" s="2" t="s">
        <v>1226</v>
      </c>
    </row>
    <row r="1399" customFormat="false" ht="15" hidden="false" customHeight="false" outlineLevel="0" collapsed="false">
      <c r="A1399" s="2" t="n">
        <v>1398</v>
      </c>
      <c r="B1399" s="2" t="s">
        <v>3103</v>
      </c>
      <c r="C1399" s="2" t="s">
        <v>3104</v>
      </c>
      <c r="D1399" s="2"/>
      <c r="E1399" s="2" t="s">
        <v>33</v>
      </c>
      <c r="F1399" s="3" t="n">
        <v>0.000114</v>
      </c>
      <c r="G1399" s="3" t="n">
        <f aca="false">SUM($F$2:F1399)</f>
        <v>0.8809</v>
      </c>
      <c r="H1399" s="4"/>
      <c r="I1399" s="5"/>
      <c r="J1399" s="4"/>
      <c r="K1399" s="5"/>
      <c r="L1399" s="6"/>
      <c r="M1399" s="5" t="str">
        <f aca="false">IF(AND(N(K1399)&gt;0,N(L1399)&gt;0),K1399/L1399,"")</f>
        <v/>
      </c>
      <c r="N1399" s="2" t="s">
        <v>1226</v>
      </c>
    </row>
    <row r="1400" customFormat="false" ht="15" hidden="false" customHeight="false" outlineLevel="0" collapsed="false">
      <c r="A1400" s="2" t="n">
        <v>1399</v>
      </c>
      <c r="B1400" s="2" t="s">
        <v>3105</v>
      </c>
      <c r="C1400" s="2" t="s">
        <v>3106</v>
      </c>
      <c r="D1400" s="2"/>
      <c r="E1400" s="2" t="s">
        <v>48</v>
      </c>
      <c r="F1400" s="3" t="n">
        <v>0.000114</v>
      </c>
      <c r="G1400" s="3" t="n">
        <f aca="false">SUM($F$2:F1400)</f>
        <v>0.881014</v>
      </c>
      <c r="H1400" s="4"/>
      <c r="I1400" s="5"/>
      <c r="J1400" s="4"/>
      <c r="K1400" s="5"/>
      <c r="L1400" s="6"/>
      <c r="M1400" s="5" t="str">
        <f aca="false">IF(AND(N(K1400)&gt;0,N(L1400)&gt;0),K1400/L1400,"")</f>
        <v/>
      </c>
      <c r="N1400" s="2" t="s">
        <v>1226</v>
      </c>
    </row>
    <row r="1401" customFormat="false" ht="15" hidden="false" customHeight="false" outlineLevel="0" collapsed="false">
      <c r="A1401" s="2" t="n">
        <v>1400</v>
      </c>
      <c r="B1401" s="2" t="s">
        <v>3107</v>
      </c>
      <c r="C1401" s="2" t="s">
        <v>3108</v>
      </c>
      <c r="D1401" s="2"/>
      <c r="E1401" s="2" t="s">
        <v>52</v>
      </c>
      <c r="F1401" s="3" t="n">
        <v>0.000114</v>
      </c>
      <c r="G1401" s="3" t="n">
        <f aca="false">SUM($F$2:F1401)</f>
        <v>0.881128</v>
      </c>
      <c r="H1401" s="4"/>
      <c r="I1401" s="5"/>
      <c r="J1401" s="4"/>
      <c r="K1401" s="5"/>
      <c r="L1401" s="6"/>
      <c r="M1401" s="5" t="str">
        <f aca="false">IF(AND(N(K1401)&gt;0,N(L1401)&gt;0),K1401/L1401,"")</f>
        <v/>
      </c>
      <c r="N1401" s="2" t="s">
        <v>1226</v>
      </c>
    </row>
    <row r="1402" customFormat="false" ht="15" hidden="false" customHeight="false" outlineLevel="0" collapsed="false">
      <c r="A1402" s="2" t="n">
        <v>1401</v>
      </c>
      <c r="B1402" s="2" t="s">
        <v>3109</v>
      </c>
      <c r="C1402" s="2" t="s">
        <v>3110</v>
      </c>
      <c r="D1402" s="2"/>
      <c r="E1402" s="2" t="s">
        <v>17</v>
      </c>
      <c r="F1402" s="3" t="n">
        <v>0.000114</v>
      </c>
      <c r="G1402" s="3" t="n">
        <f aca="false">SUM($F$2:F1402)</f>
        <v>0.881242</v>
      </c>
      <c r="H1402" s="4"/>
      <c r="I1402" s="5"/>
      <c r="J1402" s="4"/>
      <c r="K1402" s="5"/>
      <c r="L1402" s="6"/>
      <c r="M1402" s="5" t="str">
        <f aca="false">IF(AND(N(K1402)&gt;0,N(L1402)&gt;0),K1402/L1402,"")</f>
        <v/>
      </c>
      <c r="N1402" s="2" t="s">
        <v>1226</v>
      </c>
    </row>
    <row r="1403" customFormat="false" ht="15" hidden="false" customHeight="false" outlineLevel="0" collapsed="false">
      <c r="A1403" s="2" t="n">
        <v>1402</v>
      </c>
      <c r="B1403" s="2" t="s">
        <v>3111</v>
      </c>
      <c r="C1403" s="2" t="s">
        <v>3112</v>
      </c>
      <c r="D1403" s="2"/>
      <c r="E1403" s="2" t="s">
        <v>43</v>
      </c>
      <c r="F1403" s="3" t="n">
        <v>0.000114</v>
      </c>
      <c r="G1403" s="3" t="n">
        <f aca="false">SUM($F$2:F1403)</f>
        <v>0.881356</v>
      </c>
      <c r="H1403" s="4"/>
      <c r="I1403" s="5"/>
      <c r="J1403" s="4"/>
      <c r="K1403" s="5"/>
      <c r="L1403" s="6"/>
      <c r="M1403" s="5" t="str">
        <f aca="false">IF(AND(N(K1403)&gt;0,N(L1403)&gt;0),K1403/L1403,"")</f>
        <v/>
      </c>
      <c r="N1403" s="2" t="s">
        <v>1226</v>
      </c>
    </row>
    <row r="1404" customFormat="false" ht="15" hidden="false" customHeight="false" outlineLevel="0" collapsed="false">
      <c r="A1404" s="2" t="n">
        <v>1403</v>
      </c>
      <c r="B1404" s="2" t="s">
        <v>3113</v>
      </c>
      <c r="C1404" s="2" t="s">
        <v>3114</v>
      </c>
      <c r="D1404" s="2"/>
      <c r="E1404" s="2" t="s">
        <v>48</v>
      </c>
      <c r="F1404" s="3" t="n">
        <v>0.000114</v>
      </c>
      <c r="G1404" s="3" t="n">
        <f aca="false">SUM($F$2:F1404)</f>
        <v>0.88147</v>
      </c>
      <c r="H1404" s="4"/>
      <c r="I1404" s="5"/>
      <c r="J1404" s="4"/>
      <c r="K1404" s="5"/>
      <c r="L1404" s="6"/>
      <c r="M1404" s="5" t="str">
        <f aca="false">IF(AND(N(K1404)&gt;0,N(L1404)&gt;0),K1404/L1404,"")</f>
        <v/>
      </c>
      <c r="N1404" s="2" t="s">
        <v>1226</v>
      </c>
    </row>
    <row r="1405" customFormat="false" ht="15" hidden="false" customHeight="false" outlineLevel="0" collapsed="false">
      <c r="A1405" s="2" t="n">
        <v>1404</v>
      </c>
      <c r="B1405" s="2" t="s">
        <v>3115</v>
      </c>
      <c r="C1405" s="2" t="s">
        <v>3116</v>
      </c>
      <c r="D1405" s="2"/>
      <c r="E1405" s="2" t="s">
        <v>2055</v>
      </c>
      <c r="F1405" s="3" t="n">
        <v>0.000114</v>
      </c>
      <c r="G1405" s="3" t="n">
        <f aca="false">SUM($F$2:F1405)</f>
        <v>0.881584</v>
      </c>
      <c r="H1405" s="4"/>
      <c r="I1405" s="5"/>
      <c r="J1405" s="4"/>
      <c r="K1405" s="5"/>
      <c r="L1405" s="6"/>
      <c r="M1405" s="5" t="str">
        <f aca="false">IF(AND(N(K1405)&gt;0,N(L1405)&gt;0),K1405/L1405,"")</f>
        <v/>
      </c>
      <c r="N1405" s="2" t="s">
        <v>1226</v>
      </c>
    </row>
    <row r="1406" customFormat="false" ht="15" hidden="false" customHeight="false" outlineLevel="0" collapsed="false">
      <c r="A1406" s="2" t="n">
        <v>1405</v>
      </c>
      <c r="B1406" s="2" t="s">
        <v>3117</v>
      </c>
      <c r="C1406" s="2" t="s">
        <v>3118</v>
      </c>
      <c r="D1406" s="2"/>
      <c r="E1406" s="2" t="s">
        <v>52</v>
      </c>
      <c r="F1406" s="3" t="n">
        <v>0.000114</v>
      </c>
      <c r="G1406" s="3" t="n">
        <f aca="false">SUM($F$2:F1406)</f>
        <v>0.881698</v>
      </c>
      <c r="H1406" s="4"/>
      <c r="I1406" s="5"/>
      <c r="J1406" s="4"/>
      <c r="K1406" s="5"/>
      <c r="L1406" s="6"/>
      <c r="M1406" s="5" t="str">
        <f aca="false">IF(AND(N(K1406)&gt;0,N(L1406)&gt;0),K1406/L1406,"")</f>
        <v/>
      </c>
      <c r="N1406" s="2" t="s">
        <v>1226</v>
      </c>
    </row>
    <row r="1407" customFormat="false" ht="15" hidden="false" customHeight="false" outlineLevel="0" collapsed="false">
      <c r="A1407" s="2" t="n">
        <v>1406</v>
      </c>
      <c r="B1407" s="2" t="s">
        <v>3119</v>
      </c>
      <c r="C1407" s="2" t="s">
        <v>3120</v>
      </c>
      <c r="D1407" s="2"/>
      <c r="E1407" s="2" t="s">
        <v>29</v>
      </c>
      <c r="F1407" s="3" t="n">
        <v>0.000113</v>
      </c>
      <c r="G1407" s="3" t="n">
        <f aca="false">SUM($F$2:F1407)</f>
        <v>0.881811</v>
      </c>
      <c r="H1407" s="4"/>
      <c r="I1407" s="5"/>
      <c r="J1407" s="4"/>
      <c r="K1407" s="5"/>
      <c r="L1407" s="6"/>
      <c r="M1407" s="5" t="str">
        <f aca="false">IF(AND(N(K1407)&gt;0,N(L1407)&gt;0),K1407/L1407,"")</f>
        <v/>
      </c>
      <c r="N1407" s="2" t="s">
        <v>1226</v>
      </c>
    </row>
    <row r="1408" customFormat="false" ht="15" hidden="false" customHeight="false" outlineLevel="0" collapsed="false">
      <c r="A1408" s="2" t="n">
        <v>1407</v>
      </c>
      <c r="B1408" s="2" t="s">
        <v>3121</v>
      </c>
      <c r="C1408" s="2" t="s">
        <v>3122</v>
      </c>
      <c r="D1408" s="2"/>
      <c r="E1408" s="2" t="s">
        <v>29</v>
      </c>
      <c r="F1408" s="3" t="n">
        <v>0.000113</v>
      </c>
      <c r="G1408" s="3" t="n">
        <f aca="false">SUM($F$2:F1408)</f>
        <v>0.881924</v>
      </c>
      <c r="H1408" s="4"/>
      <c r="I1408" s="5"/>
      <c r="J1408" s="4"/>
      <c r="K1408" s="5"/>
      <c r="L1408" s="6"/>
      <c r="M1408" s="5" t="str">
        <f aca="false">IF(AND(N(K1408)&gt;0,N(L1408)&gt;0),K1408/L1408,"")</f>
        <v/>
      </c>
      <c r="N1408" s="2" t="s">
        <v>1226</v>
      </c>
    </row>
    <row r="1409" customFormat="false" ht="15" hidden="false" customHeight="false" outlineLevel="0" collapsed="false">
      <c r="A1409" s="2" t="n">
        <v>1408</v>
      </c>
      <c r="B1409" s="2" t="s">
        <v>3123</v>
      </c>
      <c r="C1409" s="2" t="s">
        <v>3124</v>
      </c>
      <c r="D1409" s="2"/>
      <c r="E1409" s="2" t="s">
        <v>43</v>
      </c>
      <c r="F1409" s="3" t="n">
        <v>0.000113</v>
      </c>
      <c r="G1409" s="3" t="n">
        <f aca="false">SUM($F$2:F1409)</f>
        <v>0.882037</v>
      </c>
      <c r="H1409" s="4"/>
      <c r="I1409" s="5"/>
      <c r="J1409" s="4"/>
      <c r="K1409" s="5"/>
      <c r="L1409" s="6"/>
      <c r="M1409" s="5" t="str">
        <f aca="false">IF(AND(N(K1409)&gt;0,N(L1409)&gt;0),K1409/L1409,"")</f>
        <v/>
      </c>
      <c r="N1409" s="2" t="s">
        <v>1226</v>
      </c>
    </row>
    <row r="1410" customFormat="false" ht="15" hidden="false" customHeight="false" outlineLevel="0" collapsed="false">
      <c r="A1410" s="2" t="n">
        <v>1409</v>
      </c>
      <c r="B1410" s="2" t="s">
        <v>3125</v>
      </c>
      <c r="C1410" s="2" t="s">
        <v>3126</v>
      </c>
      <c r="D1410" s="2"/>
      <c r="E1410" s="2" t="s">
        <v>539</v>
      </c>
      <c r="F1410" s="3" t="n">
        <v>0.000113</v>
      </c>
      <c r="G1410" s="3" t="n">
        <f aca="false">SUM($F$2:F1410)</f>
        <v>0.88215</v>
      </c>
      <c r="H1410" s="4"/>
      <c r="I1410" s="5"/>
      <c r="J1410" s="4"/>
      <c r="K1410" s="5"/>
      <c r="L1410" s="6"/>
      <c r="M1410" s="5" t="str">
        <f aca="false">IF(AND(N(K1410)&gt;0,N(L1410)&gt;0),K1410/L1410,"")</f>
        <v/>
      </c>
      <c r="N1410" s="2" t="s">
        <v>1226</v>
      </c>
    </row>
    <row r="1411" customFormat="false" ht="15" hidden="false" customHeight="false" outlineLevel="0" collapsed="false">
      <c r="A1411" s="2" t="n">
        <v>1410</v>
      </c>
      <c r="B1411" s="2" t="s">
        <v>478</v>
      </c>
      <c r="C1411" s="2" t="s">
        <v>3127</v>
      </c>
      <c r="D1411" s="2"/>
      <c r="E1411" s="2" t="s">
        <v>82</v>
      </c>
      <c r="F1411" s="3" t="n">
        <v>0.000113</v>
      </c>
      <c r="G1411" s="3" t="n">
        <f aca="false">SUM($F$2:F1411)</f>
        <v>0.882263</v>
      </c>
      <c r="H1411" s="4"/>
      <c r="I1411" s="5"/>
      <c r="J1411" s="4"/>
      <c r="K1411" s="5"/>
      <c r="L1411" s="6"/>
      <c r="M1411" s="5" t="str">
        <f aca="false">IF(AND(N(K1411)&gt;0,N(L1411)&gt;0),K1411/L1411,"")</f>
        <v/>
      </c>
      <c r="N1411" s="2" t="s">
        <v>1226</v>
      </c>
    </row>
    <row r="1412" customFormat="false" ht="15" hidden="false" customHeight="false" outlineLevel="0" collapsed="false">
      <c r="A1412" s="2" t="n">
        <v>1411</v>
      </c>
      <c r="B1412" s="2" t="s">
        <v>3128</v>
      </c>
      <c r="C1412" s="2" t="s">
        <v>3129</v>
      </c>
      <c r="D1412" s="2"/>
      <c r="E1412" s="2" t="s">
        <v>289</v>
      </c>
      <c r="F1412" s="3" t="n">
        <v>0.000113</v>
      </c>
      <c r="G1412" s="3" t="n">
        <f aca="false">SUM($F$2:F1412)</f>
        <v>0.882376</v>
      </c>
      <c r="H1412" s="4"/>
      <c r="I1412" s="5"/>
      <c r="J1412" s="4"/>
      <c r="K1412" s="5"/>
      <c r="L1412" s="6"/>
      <c r="M1412" s="5" t="str">
        <f aca="false">IF(AND(N(K1412)&gt;0,N(L1412)&gt;0),K1412/L1412,"")</f>
        <v/>
      </c>
      <c r="N1412" s="2" t="s">
        <v>1226</v>
      </c>
    </row>
    <row r="1413" customFormat="false" ht="15" hidden="false" customHeight="false" outlineLevel="0" collapsed="false">
      <c r="A1413" s="2" t="n">
        <v>1412</v>
      </c>
      <c r="B1413" s="2" t="s">
        <v>3130</v>
      </c>
      <c r="C1413" s="2" t="s">
        <v>3131</v>
      </c>
      <c r="D1413" s="2"/>
      <c r="E1413" s="2" t="s">
        <v>700</v>
      </c>
      <c r="F1413" s="3" t="n">
        <v>0.000113</v>
      </c>
      <c r="G1413" s="3" t="n">
        <f aca="false">SUM($F$2:F1413)</f>
        <v>0.882489</v>
      </c>
      <c r="H1413" s="4"/>
      <c r="I1413" s="5"/>
      <c r="J1413" s="4"/>
      <c r="K1413" s="5"/>
      <c r="L1413" s="6"/>
      <c r="M1413" s="5" t="str">
        <f aca="false">IF(AND(N(K1413)&gt;0,N(L1413)&gt;0),K1413/L1413,"")</f>
        <v/>
      </c>
      <c r="N1413" s="2" t="s">
        <v>1226</v>
      </c>
    </row>
    <row r="1414" customFormat="false" ht="15" hidden="false" customHeight="false" outlineLevel="0" collapsed="false">
      <c r="A1414" s="2" t="n">
        <v>1413</v>
      </c>
      <c r="B1414" s="2" t="s">
        <v>3132</v>
      </c>
      <c r="C1414" s="2" t="s">
        <v>3133</v>
      </c>
      <c r="D1414" s="2"/>
      <c r="E1414" s="2" t="s">
        <v>52</v>
      </c>
      <c r="F1414" s="3" t="n">
        <v>0.000113</v>
      </c>
      <c r="G1414" s="3" t="n">
        <f aca="false">SUM($F$2:F1414)</f>
        <v>0.882602</v>
      </c>
      <c r="H1414" s="4"/>
      <c r="I1414" s="5"/>
      <c r="J1414" s="4"/>
      <c r="K1414" s="5"/>
      <c r="L1414" s="6"/>
      <c r="M1414" s="5" t="str">
        <f aca="false">IF(AND(N(K1414)&gt;0,N(L1414)&gt;0),K1414/L1414,"")</f>
        <v/>
      </c>
      <c r="N1414" s="2" t="s">
        <v>1226</v>
      </c>
    </row>
    <row r="1415" customFormat="false" ht="15" hidden="false" customHeight="false" outlineLevel="0" collapsed="false">
      <c r="A1415" s="2" t="n">
        <v>1414</v>
      </c>
      <c r="B1415" s="2" t="s">
        <v>3134</v>
      </c>
      <c r="C1415" s="2" t="s">
        <v>3135</v>
      </c>
      <c r="D1415" s="2"/>
      <c r="E1415" s="2" t="s">
        <v>52</v>
      </c>
      <c r="F1415" s="3" t="n">
        <v>0.000113</v>
      </c>
      <c r="G1415" s="3" t="n">
        <f aca="false">SUM($F$2:F1415)</f>
        <v>0.882715</v>
      </c>
      <c r="H1415" s="4"/>
      <c r="I1415" s="5"/>
      <c r="J1415" s="4"/>
      <c r="K1415" s="5"/>
      <c r="L1415" s="6"/>
      <c r="M1415" s="5" t="str">
        <f aca="false">IF(AND(N(K1415)&gt;0,N(L1415)&gt;0),K1415/L1415,"")</f>
        <v/>
      </c>
      <c r="N1415" s="2" t="s">
        <v>1226</v>
      </c>
    </row>
    <row r="1416" customFormat="false" ht="15" hidden="false" customHeight="false" outlineLevel="0" collapsed="false">
      <c r="A1416" s="2" t="n">
        <v>1415</v>
      </c>
      <c r="B1416" s="2" t="s">
        <v>3136</v>
      </c>
      <c r="C1416" s="2" t="s">
        <v>3137</v>
      </c>
      <c r="D1416" s="2"/>
      <c r="E1416" s="2" t="s">
        <v>43</v>
      </c>
      <c r="F1416" s="3" t="n">
        <v>0.000112</v>
      </c>
      <c r="G1416" s="3" t="n">
        <f aca="false">SUM($F$2:F1416)</f>
        <v>0.882827</v>
      </c>
      <c r="H1416" s="4"/>
      <c r="I1416" s="5"/>
      <c r="J1416" s="4"/>
      <c r="K1416" s="5"/>
      <c r="L1416" s="6"/>
      <c r="M1416" s="5" t="str">
        <f aca="false">IF(AND(N(K1416)&gt;0,N(L1416)&gt;0),K1416/L1416,"")</f>
        <v/>
      </c>
      <c r="N1416" s="2" t="s">
        <v>1226</v>
      </c>
    </row>
    <row r="1417" customFormat="false" ht="15" hidden="false" customHeight="false" outlineLevel="0" collapsed="false">
      <c r="A1417" s="2" t="n">
        <v>1416</v>
      </c>
      <c r="B1417" s="2" t="s">
        <v>3138</v>
      </c>
      <c r="C1417" s="2" t="s">
        <v>3139</v>
      </c>
      <c r="D1417" s="2"/>
      <c r="E1417" s="2" t="s">
        <v>82</v>
      </c>
      <c r="F1417" s="3" t="n">
        <v>0.000112</v>
      </c>
      <c r="G1417" s="3" t="n">
        <f aca="false">SUM($F$2:F1417)</f>
        <v>0.882939</v>
      </c>
      <c r="H1417" s="4"/>
      <c r="I1417" s="5"/>
      <c r="J1417" s="4"/>
      <c r="K1417" s="5"/>
      <c r="L1417" s="6"/>
      <c r="M1417" s="5" t="str">
        <f aca="false">IF(AND(N(K1417)&gt;0,N(L1417)&gt;0),K1417/L1417,"")</f>
        <v/>
      </c>
      <c r="N1417" s="2" t="s">
        <v>1226</v>
      </c>
    </row>
    <row r="1418" customFormat="false" ht="15" hidden="false" customHeight="false" outlineLevel="0" collapsed="false">
      <c r="A1418" s="2" t="n">
        <v>1417</v>
      </c>
      <c r="B1418" s="2" t="s">
        <v>3140</v>
      </c>
      <c r="C1418" s="2" t="s">
        <v>3141</v>
      </c>
      <c r="D1418" s="2"/>
      <c r="E1418" s="2" t="s">
        <v>43</v>
      </c>
      <c r="F1418" s="3" t="n">
        <v>0.000112</v>
      </c>
      <c r="G1418" s="3" t="n">
        <f aca="false">SUM($F$2:F1418)</f>
        <v>0.883051</v>
      </c>
      <c r="H1418" s="4"/>
      <c r="I1418" s="5"/>
      <c r="J1418" s="4"/>
      <c r="K1418" s="5"/>
      <c r="L1418" s="6"/>
      <c r="M1418" s="5" t="str">
        <f aca="false">IF(AND(N(K1418)&gt;0,N(L1418)&gt;0),K1418/L1418,"")</f>
        <v/>
      </c>
      <c r="N1418" s="2" t="s">
        <v>1226</v>
      </c>
    </row>
    <row r="1419" customFormat="false" ht="15" hidden="false" customHeight="false" outlineLevel="0" collapsed="false">
      <c r="A1419" s="2" t="n">
        <v>1418</v>
      </c>
      <c r="B1419" s="2" t="s">
        <v>3142</v>
      </c>
      <c r="C1419" s="2" t="s">
        <v>3143</v>
      </c>
      <c r="D1419" s="2"/>
      <c r="E1419" s="2" t="s">
        <v>25</v>
      </c>
      <c r="F1419" s="3" t="n">
        <v>0.000112</v>
      </c>
      <c r="G1419" s="3" t="n">
        <f aca="false">SUM($F$2:F1419)</f>
        <v>0.883163</v>
      </c>
      <c r="H1419" s="4"/>
      <c r="I1419" s="5"/>
      <c r="J1419" s="4"/>
      <c r="K1419" s="5"/>
      <c r="L1419" s="6"/>
      <c r="M1419" s="5" t="str">
        <f aca="false">IF(AND(N(K1419)&gt;0,N(L1419)&gt;0),K1419/L1419,"")</f>
        <v/>
      </c>
      <c r="N1419" s="2" t="s">
        <v>1226</v>
      </c>
    </row>
    <row r="1420" customFormat="false" ht="15" hidden="false" customHeight="false" outlineLevel="0" collapsed="false">
      <c r="A1420" s="2" t="n">
        <v>1419</v>
      </c>
      <c r="B1420" s="2" t="s">
        <v>3144</v>
      </c>
      <c r="C1420" s="2" t="s">
        <v>3145</v>
      </c>
      <c r="D1420" s="2"/>
      <c r="E1420" s="2" t="s">
        <v>17</v>
      </c>
      <c r="F1420" s="3" t="n">
        <v>0.000112</v>
      </c>
      <c r="G1420" s="3" t="n">
        <f aca="false">SUM($F$2:F1420)</f>
        <v>0.883275</v>
      </c>
      <c r="H1420" s="4"/>
      <c r="I1420" s="5"/>
      <c r="J1420" s="4"/>
      <c r="K1420" s="5"/>
      <c r="L1420" s="6"/>
      <c r="M1420" s="5" t="str">
        <f aca="false">IF(AND(N(K1420)&gt;0,N(L1420)&gt;0),K1420/L1420,"")</f>
        <v/>
      </c>
      <c r="N1420" s="2" t="s">
        <v>1226</v>
      </c>
    </row>
    <row r="1421" customFormat="false" ht="15" hidden="false" customHeight="false" outlineLevel="0" collapsed="false">
      <c r="A1421" s="2" t="n">
        <v>1420</v>
      </c>
      <c r="B1421" s="2" t="s">
        <v>3146</v>
      </c>
      <c r="C1421" s="2" t="s">
        <v>3147</v>
      </c>
      <c r="D1421" s="2"/>
      <c r="E1421" s="2" t="s">
        <v>25</v>
      </c>
      <c r="F1421" s="3" t="n">
        <v>0.000111</v>
      </c>
      <c r="G1421" s="3" t="n">
        <f aca="false">SUM($F$2:F1421)</f>
        <v>0.883386</v>
      </c>
      <c r="H1421" s="4"/>
      <c r="I1421" s="5"/>
      <c r="J1421" s="4"/>
      <c r="K1421" s="5"/>
      <c r="L1421" s="6"/>
      <c r="M1421" s="5" t="str">
        <f aca="false">IF(AND(N(K1421)&gt;0,N(L1421)&gt;0),K1421/L1421,"")</f>
        <v/>
      </c>
      <c r="N1421" s="2" t="s">
        <v>1226</v>
      </c>
    </row>
    <row r="1422" customFormat="false" ht="15" hidden="false" customHeight="false" outlineLevel="0" collapsed="false">
      <c r="A1422" s="2" t="n">
        <v>1421</v>
      </c>
      <c r="B1422" s="2" t="s">
        <v>3148</v>
      </c>
      <c r="C1422" s="2" t="s">
        <v>3149</v>
      </c>
      <c r="D1422" s="2"/>
      <c r="E1422" s="2" t="s">
        <v>48</v>
      </c>
      <c r="F1422" s="3" t="n">
        <v>0.000111</v>
      </c>
      <c r="G1422" s="3" t="n">
        <f aca="false">SUM($F$2:F1422)</f>
        <v>0.883497</v>
      </c>
      <c r="H1422" s="4"/>
      <c r="I1422" s="5"/>
      <c r="J1422" s="4"/>
      <c r="K1422" s="5"/>
      <c r="L1422" s="6"/>
      <c r="M1422" s="5" t="str">
        <f aca="false">IF(AND(N(K1422)&gt;0,N(L1422)&gt;0),K1422/L1422,"")</f>
        <v/>
      </c>
      <c r="N1422" s="2" t="s">
        <v>1226</v>
      </c>
    </row>
    <row r="1423" customFormat="false" ht="15" hidden="false" customHeight="false" outlineLevel="0" collapsed="false">
      <c r="A1423" s="2" t="n">
        <v>1422</v>
      </c>
      <c r="B1423" s="2" t="s">
        <v>3150</v>
      </c>
      <c r="C1423" s="2" t="s">
        <v>3151</v>
      </c>
      <c r="D1423" s="2"/>
      <c r="E1423" s="2" t="s">
        <v>614</v>
      </c>
      <c r="F1423" s="3" t="n">
        <v>0.000111</v>
      </c>
      <c r="G1423" s="3" t="n">
        <f aca="false">SUM($F$2:F1423)</f>
        <v>0.883608</v>
      </c>
      <c r="H1423" s="4"/>
      <c r="I1423" s="5"/>
      <c r="J1423" s="4"/>
      <c r="K1423" s="5"/>
      <c r="L1423" s="6"/>
      <c r="M1423" s="5" t="str">
        <f aca="false">IF(AND(N(K1423)&gt;0,N(L1423)&gt;0),K1423/L1423,"")</f>
        <v/>
      </c>
      <c r="N1423" s="2" t="s">
        <v>1226</v>
      </c>
    </row>
    <row r="1424" customFormat="false" ht="15" hidden="false" customHeight="false" outlineLevel="0" collapsed="false">
      <c r="A1424" s="2" t="n">
        <v>1423</v>
      </c>
      <c r="B1424" s="2" t="s">
        <v>3152</v>
      </c>
      <c r="C1424" s="2" t="s">
        <v>3153</v>
      </c>
      <c r="D1424" s="2"/>
      <c r="E1424" s="2" t="s">
        <v>289</v>
      </c>
      <c r="F1424" s="3" t="n">
        <v>0.000111</v>
      </c>
      <c r="G1424" s="3" t="n">
        <f aca="false">SUM($F$2:F1424)</f>
        <v>0.883719</v>
      </c>
      <c r="H1424" s="4"/>
      <c r="I1424" s="5"/>
      <c r="J1424" s="4"/>
      <c r="K1424" s="5"/>
      <c r="L1424" s="6"/>
      <c r="M1424" s="5" t="str">
        <f aca="false">IF(AND(N(K1424)&gt;0,N(L1424)&gt;0),K1424/L1424,"")</f>
        <v/>
      </c>
      <c r="N1424" s="2" t="s">
        <v>1226</v>
      </c>
    </row>
    <row r="1425" customFormat="false" ht="15" hidden="false" customHeight="false" outlineLevel="0" collapsed="false">
      <c r="A1425" s="2" t="n">
        <v>1424</v>
      </c>
      <c r="B1425" s="2" t="s">
        <v>3154</v>
      </c>
      <c r="C1425" s="2" t="s">
        <v>3155</v>
      </c>
      <c r="D1425" s="2"/>
      <c r="E1425" s="2" t="s">
        <v>25</v>
      </c>
      <c r="F1425" s="3" t="n">
        <v>0.000111</v>
      </c>
      <c r="G1425" s="3" t="n">
        <f aca="false">SUM($F$2:F1425)</f>
        <v>0.88383</v>
      </c>
      <c r="H1425" s="4"/>
      <c r="I1425" s="5"/>
      <c r="J1425" s="4"/>
      <c r="K1425" s="5"/>
      <c r="L1425" s="6"/>
      <c r="M1425" s="5" t="str">
        <f aca="false">IF(AND(N(K1425)&gt;0,N(L1425)&gt;0),K1425/L1425,"")</f>
        <v/>
      </c>
      <c r="N1425" s="2" t="s">
        <v>1226</v>
      </c>
    </row>
    <row r="1426" customFormat="false" ht="15" hidden="false" customHeight="false" outlineLevel="0" collapsed="false">
      <c r="A1426" s="2" t="n">
        <v>1425</v>
      </c>
      <c r="B1426" s="2" t="s">
        <v>3156</v>
      </c>
      <c r="C1426" s="2" t="s">
        <v>3157</v>
      </c>
      <c r="D1426" s="2"/>
      <c r="E1426" s="2" t="s">
        <v>296</v>
      </c>
      <c r="F1426" s="3" t="n">
        <v>0.000111</v>
      </c>
      <c r="G1426" s="3" t="n">
        <f aca="false">SUM($F$2:F1426)</f>
        <v>0.883941</v>
      </c>
      <c r="H1426" s="4"/>
      <c r="I1426" s="5"/>
      <c r="J1426" s="4"/>
      <c r="K1426" s="5"/>
      <c r="L1426" s="6"/>
      <c r="M1426" s="5" t="str">
        <f aca="false">IF(AND(N(K1426)&gt;0,N(L1426)&gt;0),K1426/L1426,"")</f>
        <v/>
      </c>
      <c r="N1426" s="2" t="s">
        <v>1226</v>
      </c>
    </row>
    <row r="1427" customFormat="false" ht="15" hidden="false" customHeight="false" outlineLevel="0" collapsed="false">
      <c r="A1427" s="2" t="n">
        <v>1426</v>
      </c>
      <c r="B1427" s="2" t="s">
        <v>3158</v>
      </c>
      <c r="C1427" s="2" t="s">
        <v>3159</v>
      </c>
      <c r="D1427" s="2"/>
      <c r="E1427" s="2" t="s">
        <v>52</v>
      </c>
      <c r="F1427" s="3" t="n">
        <v>0.000111</v>
      </c>
      <c r="G1427" s="3" t="n">
        <f aca="false">SUM($F$2:F1427)</f>
        <v>0.884052</v>
      </c>
      <c r="H1427" s="4"/>
      <c r="I1427" s="5"/>
      <c r="J1427" s="4"/>
      <c r="K1427" s="5"/>
      <c r="L1427" s="6"/>
      <c r="M1427" s="5" t="str">
        <f aca="false">IF(AND(N(K1427)&gt;0,N(L1427)&gt;0),K1427/L1427,"")</f>
        <v/>
      </c>
      <c r="N1427" s="2" t="s">
        <v>1226</v>
      </c>
    </row>
    <row r="1428" customFormat="false" ht="15" hidden="false" customHeight="false" outlineLevel="0" collapsed="false">
      <c r="A1428" s="2" t="n">
        <v>1427</v>
      </c>
      <c r="B1428" s="2" t="s">
        <v>3160</v>
      </c>
      <c r="C1428" s="2" t="s">
        <v>3161</v>
      </c>
      <c r="D1428" s="2"/>
      <c r="E1428" s="2" t="s">
        <v>17</v>
      </c>
      <c r="F1428" s="3" t="n">
        <v>0.000111</v>
      </c>
      <c r="G1428" s="3" t="n">
        <f aca="false">SUM($F$2:F1428)</f>
        <v>0.884163</v>
      </c>
      <c r="H1428" s="4"/>
      <c r="I1428" s="5"/>
      <c r="J1428" s="4"/>
      <c r="K1428" s="5"/>
      <c r="L1428" s="6"/>
      <c r="M1428" s="5" t="str">
        <f aca="false">IF(AND(N(K1428)&gt;0,N(L1428)&gt;0),K1428/L1428,"")</f>
        <v/>
      </c>
      <c r="N1428" s="2" t="s">
        <v>1226</v>
      </c>
    </row>
    <row r="1429" customFormat="false" ht="15" hidden="false" customHeight="false" outlineLevel="0" collapsed="false">
      <c r="A1429" s="2" t="n">
        <v>1428</v>
      </c>
      <c r="B1429" s="2" t="s">
        <v>3162</v>
      </c>
      <c r="C1429" s="2" t="s">
        <v>3163</v>
      </c>
      <c r="D1429" s="2"/>
      <c r="E1429" s="2" t="s">
        <v>1245</v>
      </c>
      <c r="F1429" s="3" t="n">
        <v>0.00011</v>
      </c>
      <c r="G1429" s="3" t="n">
        <f aca="false">SUM($F$2:F1429)</f>
        <v>0.884273</v>
      </c>
      <c r="H1429" s="4"/>
      <c r="I1429" s="5"/>
      <c r="J1429" s="4"/>
      <c r="K1429" s="5"/>
      <c r="L1429" s="6"/>
      <c r="M1429" s="5" t="str">
        <f aca="false">IF(AND(N(K1429)&gt;0,N(L1429)&gt;0),K1429/L1429,"")</f>
        <v/>
      </c>
      <c r="N1429" s="2" t="s">
        <v>1226</v>
      </c>
    </row>
    <row r="1430" customFormat="false" ht="15" hidden="false" customHeight="false" outlineLevel="0" collapsed="false">
      <c r="A1430" s="2" t="n">
        <v>1429</v>
      </c>
      <c r="B1430" s="2" t="s">
        <v>3164</v>
      </c>
      <c r="C1430" s="2" t="s">
        <v>3165</v>
      </c>
      <c r="D1430" s="2"/>
      <c r="E1430" s="2" t="s">
        <v>539</v>
      </c>
      <c r="F1430" s="3" t="n">
        <v>0.00011</v>
      </c>
      <c r="G1430" s="3" t="n">
        <f aca="false">SUM($F$2:F1430)</f>
        <v>0.884383</v>
      </c>
      <c r="H1430" s="4"/>
      <c r="I1430" s="5"/>
      <c r="J1430" s="4"/>
      <c r="K1430" s="5"/>
      <c r="L1430" s="6"/>
      <c r="M1430" s="5" t="str">
        <f aca="false">IF(AND(N(K1430)&gt;0,N(L1430)&gt;0),K1430/L1430,"")</f>
        <v/>
      </c>
      <c r="N1430" s="2" t="s">
        <v>1226</v>
      </c>
    </row>
    <row r="1431" customFormat="false" ht="15" hidden="false" customHeight="false" outlineLevel="0" collapsed="false">
      <c r="A1431" s="2" t="n">
        <v>1430</v>
      </c>
      <c r="B1431" s="2" t="s">
        <v>3166</v>
      </c>
      <c r="C1431" s="2" t="s">
        <v>3167</v>
      </c>
      <c r="D1431" s="2"/>
      <c r="E1431" s="2" t="s">
        <v>48</v>
      </c>
      <c r="F1431" s="3" t="n">
        <v>0.00011</v>
      </c>
      <c r="G1431" s="3" t="n">
        <f aca="false">SUM($F$2:F1431)</f>
        <v>0.884493</v>
      </c>
      <c r="H1431" s="4"/>
      <c r="I1431" s="5"/>
      <c r="J1431" s="4"/>
      <c r="K1431" s="5"/>
      <c r="L1431" s="6"/>
      <c r="M1431" s="5" t="str">
        <f aca="false">IF(AND(N(K1431)&gt;0,N(L1431)&gt;0),K1431/L1431,"")</f>
        <v/>
      </c>
      <c r="N1431" s="2" t="s">
        <v>1226</v>
      </c>
    </row>
    <row r="1432" customFormat="false" ht="15" hidden="false" customHeight="false" outlineLevel="0" collapsed="false">
      <c r="A1432" s="2" t="n">
        <v>1431</v>
      </c>
      <c r="B1432" s="2" t="s">
        <v>3168</v>
      </c>
      <c r="C1432" s="2" t="s">
        <v>3169</v>
      </c>
      <c r="D1432" s="2"/>
      <c r="E1432" s="2" t="s">
        <v>289</v>
      </c>
      <c r="F1432" s="3" t="n">
        <v>0.00011</v>
      </c>
      <c r="G1432" s="3" t="n">
        <f aca="false">SUM($F$2:F1432)</f>
        <v>0.884603</v>
      </c>
      <c r="H1432" s="4"/>
      <c r="I1432" s="5"/>
      <c r="J1432" s="4"/>
      <c r="K1432" s="5"/>
      <c r="L1432" s="6"/>
      <c r="M1432" s="5" t="str">
        <f aca="false">IF(AND(N(K1432)&gt;0,N(L1432)&gt;0),K1432/L1432,"")</f>
        <v/>
      </c>
      <c r="N1432" s="2" t="s">
        <v>1226</v>
      </c>
    </row>
    <row r="1433" customFormat="false" ht="15" hidden="false" customHeight="false" outlineLevel="0" collapsed="false">
      <c r="A1433" s="2" t="n">
        <v>1432</v>
      </c>
      <c r="B1433" s="2" t="s">
        <v>3170</v>
      </c>
      <c r="C1433" s="2" t="s">
        <v>3171</v>
      </c>
      <c r="D1433" s="2"/>
      <c r="E1433" s="2" t="s">
        <v>52</v>
      </c>
      <c r="F1433" s="3" t="n">
        <v>0.00011</v>
      </c>
      <c r="G1433" s="3" t="n">
        <f aca="false">SUM($F$2:F1433)</f>
        <v>0.884713</v>
      </c>
      <c r="H1433" s="4"/>
      <c r="I1433" s="5"/>
      <c r="J1433" s="4"/>
      <c r="K1433" s="5"/>
      <c r="L1433" s="6"/>
      <c r="M1433" s="5" t="str">
        <f aca="false">IF(AND(N(K1433)&gt;0,N(L1433)&gt;0),K1433/L1433,"")</f>
        <v/>
      </c>
      <c r="N1433" s="2" t="s">
        <v>1226</v>
      </c>
    </row>
    <row r="1434" customFormat="false" ht="15" hidden="false" customHeight="false" outlineLevel="0" collapsed="false">
      <c r="A1434" s="2" t="n">
        <v>1433</v>
      </c>
      <c r="B1434" s="2" t="s">
        <v>3172</v>
      </c>
      <c r="C1434" s="2" t="s">
        <v>3173</v>
      </c>
      <c r="D1434" s="2"/>
      <c r="E1434" s="2" t="s">
        <v>48</v>
      </c>
      <c r="F1434" s="3" t="n">
        <v>0.00011</v>
      </c>
      <c r="G1434" s="3" t="n">
        <f aca="false">SUM($F$2:F1434)</f>
        <v>0.884823</v>
      </c>
      <c r="H1434" s="4"/>
      <c r="I1434" s="5"/>
      <c r="J1434" s="4"/>
      <c r="K1434" s="5"/>
      <c r="L1434" s="6"/>
      <c r="M1434" s="5" t="str">
        <f aca="false">IF(AND(N(K1434)&gt;0,N(L1434)&gt;0),K1434/L1434,"")</f>
        <v/>
      </c>
      <c r="N1434" s="2" t="s">
        <v>1226</v>
      </c>
    </row>
    <row r="1435" customFormat="false" ht="15" hidden="false" customHeight="false" outlineLevel="0" collapsed="false">
      <c r="A1435" s="2" t="n">
        <v>1434</v>
      </c>
      <c r="B1435" s="2" t="s">
        <v>3174</v>
      </c>
      <c r="C1435" s="2" t="s">
        <v>3175</v>
      </c>
      <c r="D1435" s="2"/>
      <c r="E1435" s="2" t="s">
        <v>1345</v>
      </c>
      <c r="F1435" s="3" t="n">
        <v>0.00011</v>
      </c>
      <c r="G1435" s="3" t="n">
        <f aca="false">SUM($F$2:F1435)</f>
        <v>0.884933</v>
      </c>
      <c r="H1435" s="4"/>
      <c r="I1435" s="5"/>
      <c r="J1435" s="4"/>
      <c r="K1435" s="5"/>
      <c r="L1435" s="6"/>
      <c r="M1435" s="5" t="str">
        <f aca="false">IF(AND(N(K1435)&gt;0,N(L1435)&gt;0),K1435/L1435,"")</f>
        <v/>
      </c>
      <c r="N1435" s="2" t="s">
        <v>1226</v>
      </c>
    </row>
    <row r="1436" customFormat="false" ht="15" hidden="false" customHeight="false" outlineLevel="0" collapsed="false">
      <c r="A1436" s="2" t="n">
        <v>1435</v>
      </c>
      <c r="B1436" s="2" t="s">
        <v>3176</v>
      </c>
      <c r="C1436" s="2" t="s">
        <v>3177</v>
      </c>
      <c r="D1436" s="2"/>
      <c r="E1436" s="2" t="s">
        <v>1345</v>
      </c>
      <c r="F1436" s="3" t="n">
        <v>0.00011</v>
      </c>
      <c r="G1436" s="3" t="n">
        <f aca="false">SUM($F$2:F1436)</f>
        <v>0.885043</v>
      </c>
      <c r="H1436" s="4"/>
      <c r="I1436" s="5"/>
      <c r="J1436" s="4"/>
      <c r="K1436" s="5"/>
      <c r="L1436" s="6"/>
      <c r="M1436" s="5" t="str">
        <f aca="false">IF(AND(N(K1436)&gt;0,N(L1436)&gt;0),K1436/L1436,"")</f>
        <v/>
      </c>
      <c r="N1436" s="2" t="s">
        <v>1226</v>
      </c>
    </row>
    <row r="1437" customFormat="false" ht="15" hidden="false" customHeight="false" outlineLevel="0" collapsed="false">
      <c r="A1437" s="2" t="n">
        <v>1436</v>
      </c>
      <c r="B1437" s="2" t="s">
        <v>3178</v>
      </c>
      <c r="C1437" s="2" t="s">
        <v>3179</v>
      </c>
      <c r="D1437" s="2"/>
      <c r="E1437" s="2" t="s">
        <v>43</v>
      </c>
      <c r="F1437" s="3" t="n">
        <v>0.000109</v>
      </c>
      <c r="G1437" s="3" t="n">
        <f aca="false">SUM($F$2:F1437)</f>
        <v>0.885152</v>
      </c>
      <c r="H1437" s="4"/>
      <c r="I1437" s="5"/>
      <c r="J1437" s="4"/>
      <c r="K1437" s="5"/>
      <c r="L1437" s="6"/>
      <c r="M1437" s="5" t="str">
        <f aca="false">IF(AND(N(K1437)&gt;0,N(L1437)&gt;0),K1437/L1437,"")</f>
        <v/>
      </c>
      <c r="N1437" s="2" t="s">
        <v>1226</v>
      </c>
    </row>
    <row r="1438" customFormat="false" ht="15" hidden="false" customHeight="false" outlineLevel="0" collapsed="false">
      <c r="A1438" s="2" t="n">
        <v>1437</v>
      </c>
      <c r="B1438" s="2" t="s">
        <v>3180</v>
      </c>
      <c r="C1438" s="2" t="s">
        <v>3181</v>
      </c>
      <c r="D1438" s="2"/>
      <c r="E1438" s="2" t="s">
        <v>1295</v>
      </c>
      <c r="F1438" s="3" t="n">
        <v>0.000109</v>
      </c>
      <c r="G1438" s="3" t="n">
        <f aca="false">SUM($F$2:F1438)</f>
        <v>0.885261</v>
      </c>
      <c r="H1438" s="4"/>
      <c r="I1438" s="5"/>
      <c r="J1438" s="4"/>
      <c r="K1438" s="5"/>
      <c r="L1438" s="6"/>
      <c r="M1438" s="5" t="str">
        <f aca="false">IF(AND(N(K1438)&gt;0,N(L1438)&gt;0),K1438/L1438,"")</f>
        <v/>
      </c>
      <c r="N1438" s="2" t="s">
        <v>1226</v>
      </c>
    </row>
    <row r="1439" customFormat="false" ht="15" hidden="false" customHeight="false" outlineLevel="0" collapsed="false">
      <c r="A1439" s="2" t="n">
        <v>1438</v>
      </c>
      <c r="B1439" s="2" t="s">
        <v>3182</v>
      </c>
      <c r="C1439" s="2" t="s">
        <v>3183</v>
      </c>
      <c r="D1439" s="2"/>
      <c r="E1439" s="2" t="s">
        <v>52</v>
      </c>
      <c r="F1439" s="3" t="n">
        <v>0.000109</v>
      </c>
      <c r="G1439" s="3" t="n">
        <f aca="false">SUM($F$2:F1439)</f>
        <v>0.88537</v>
      </c>
      <c r="H1439" s="4"/>
      <c r="I1439" s="5"/>
      <c r="J1439" s="4"/>
      <c r="K1439" s="5"/>
      <c r="L1439" s="6"/>
      <c r="M1439" s="5" t="str">
        <f aca="false">IF(AND(N(K1439)&gt;0,N(L1439)&gt;0),K1439/L1439,"")</f>
        <v/>
      </c>
      <c r="N1439" s="2" t="s">
        <v>1226</v>
      </c>
    </row>
    <row r="1440" customFormat="false" ht="15" hidden="false" customHeight="false" outlineLevel="0" collapsed="false">
      <c r="A1440" s="2" t="n">
        <v>1439</v>
      </c>
      <c r="B1440" s="2" t="s">
        <v>3184</v>
      </c>
      <c r="C1440" s="2" t="s">
        <v>3185</v>
      </c>
      <c r="D1440" s="2"/>
      <c r="E1440" s="2" t="s">
        <v>33</v>
      </c>
      <c r="F1440" s="3" t="n">
        <v>0.000109</v>
      </c>
      <c r="G1440" s="3" t="n">
        <f aca="false">SUM($F$2:F1440)</f>
        <v>0.885479</v>
      </c>
      <c r="H1440" s="4"/>
      <c r="I1440" s="5"/>
      <c r="J1440" s="4"/>
      <c r="K1440" s="5"/>
      <c r="L1440" s="6"/>
      <c r="M1440" s="5" t="str">
        <f aca="false">IF(AND(N(K1440)&gt;0,N(L1440)&gt;0),K1440/L1440,"")</f>
        <v/>
      </c>
      <c r="N1440" s="2" t="s">
        <v>1226</v>
      </c>
    </row>
    <row r="1441" customFormat="false" ht="15" hidden="false" customHeight="false" outlineLevel="0" collapsed="false">
      <c r="A1441" s="2" t="n">
        <v>1440</v>
      </c>
      <c r="B1441" s="2" t="s">
        <v>3186</v>
      </c>
      <c r="C1441" s="2" t="s">
        <v>3187</v>
      </c>
      <c r="D1441" s="2"/>
      <c r="E1441" s="2" t="s">
        <v>48</v>
      </c>
      <c r="F1441" s="3" t="n">
        <v>0.000109</v>
      </c>
      <c r="G1441" s="3" t="n">
        <f aca="false">SUM($F$2:F1441)</f>
        <v>0.885588</v>
      </c>
      <c r="H1441" s="4"/>
      <c r="I1441" s="5"/>
      <c r="J1441" s="4"/>
      <c r="K1441" s="5"/>
      <c r="L1441" s="6"/>
      <c r="M1441" s="5" t="str">
        <f aca="false">IF(AND(N(K1441)&gt;0,N(L1441)&gt;0),K1441/L1441,"")</f>
        <v/>
      </c>
      <c r="N1441" s="2" t="s">
        <v>1226</v>
      </c>
    </row>
    <row r="1442" customFormat="false" ht="15" hidden="false" customHeight="false" outlineLevel="0" collapsed="false">
      <c r="A1442" s="2" t="n">
        <v>1441</v>
      </c>
      <c r="B1442" s="2" t="s">
        <v>3188</v>
      </c>
      <c r="C1442" s="2" t="s">
        <v>3189</v>
      </c>
      <c r="D1442" s="2"/>
      <c r="E1442" s="2" t="s">
        <v>296</v>
      </c>
      <c r="F1442" s="3" t="n">
        <v>0.000109</v>
      </c>
      <c r="G1442" s="3" t="n">
        <f aca="false">SUM($F$2:F1442)</f>
        <v>0.885697</v>
      </c>
      <c r="H1442" s="4"/>
      <c r="I1442" s="5"/>
      <c r="J1442" s="4"/>
      <c r="K1442" s="5"/>
      <c r="L1442" s="6"/>
      <c r="M1442" s="5" t="str">
        <f aca="false">IF(AND(N(K1442)&gt;0,N(L1442)&gt;0),K1442/L1442,"")</f>
        <v/>
      </c>
      <c r="N1442" s="2" t="s">
        <v>1226</v>
      </c>
    </row>
    <row r="1443" customFormat="false" ht="15" hidden="false" customHeight="false" outlineLevel="0" collapsed="false">
      <c r="A1443" s="2" t="n">
        <v>1442</v>
      </c>
      <c r="B1443" s="2" t="s">
        <v>3190</v>
      </c>
      <c r="C1443" s="2" t="s">
        <v>3191</v>
      </c>
      <c r="D1443" s="2"/>
      <c r="E1443" s="2" t="s">
        <v>679</v>
      </c>
      <c r="F1443" s="3" t="n">
        <v>0.000109</v>
      </c>
      <c r="G1443" s="3" t="n">
        <f aca="false">SUM($F$2:F1443)</f>
        <v>0.885806</v>
      </c>
      <c r="H1443" s="4"/>
      <c r="I1443" s="5"/>
      <c r="J1443" s="4"/>
      <c r="K1443" s="5"/>
      <c r="L1443" s="6"/>
      <c r="M1443" s="5" t="str">
        <f aca="false">IF(AND(N(K1443)&gt;0,N(L1443)&gt;0),K1443/L1443,"")</f>
        <v/>
      </c>
      <c r="N1443" s="2" t="s">
        <v>1226</v>
      </c>
    </row>
    <row r="1444" customFormat="false" ht="15" hidden="false" customHeight="false" outlineLevel="0" collapsed="false">
      <c r="A1444" s="2" t="n">
        <v>1443</v>
      </c>
      <c r="B1444" s="2" t="s">
        <v>3192</v>
      </c>
      <c r="C1444" s="2" t="s">
        <v>3193</v>
      </c>
      <c r="D1444" s="2"/>
      <c r="E1444" s="2" t="s">
        <v>33</v>
      </c>
      <c r="F1444" s="3" t="n">
        <v>0.000109</v>
      </c>
      <c r="G1444" s="3" t="n">
        <f aca="false">SUM($F$2:F1444)</f>
        <v>0.885915</v>
      </c>
      <c r="H1444" s="4"/>
      <c r="I1444" s="5"/>
      <c r="J1444" s="4"/>
      <c r="K1444" s="5"/>
      <c r="L1444" s="6"/>
      <c r="M1444" s="5" t="str">
        <f aca="false">IF(AND(N(K1444)&gt;0,N(L1444)&gt;0),K1444/L1444,"")</f>
        <v/>
      </c>
      <c r="N1444" s="2" t="s">
        <v>1226</v>
      </c>
    </row>
    <row r="1445" customFormat="false" ht="15" hidden="false" customHeight="false" outlineLevel="0" collapsed="false">
      <c r="A1445" s="2" t="n">
        <v>1444</v>
      </c>
      <c r="B1445" s="2" t="s">
        <v>3194</v>
      </c>
      <c r="C1445" s="2" t="s">
        <v>3195</v>
      </c>
      <c r="D1445" s="2"/>
      <c r="E1445" s="2" t="s">
        <v>25</v>
      </c>
      <c r="F1445" s="3" t="n">
        <v>0.000108</v>
      </c>
      <c r="G1445" s="3" t="n">
        <f aca="false">SUM($F$2:F1445)</f>
        <v>0.886023</v>
      </c>
      <c r="H1445" s="4"/>
      <c r="I1445" s="5"/>
      <c r="J1445" s="4"/>
      <c r="K1445" s="5"/>
      <c r="L1445" s="6"/>
      <c r="M1445" s="5" t="str">
        <f aca="false">IF(AND(N(K1445)&gt;0,N(L1445)&gt;0),K1445/L1445,"")</f>
        <v/>
      </c>
      <c r="N1445" s="2" t="s">
        <v>1226</v>
      </c>
    </row>
    <row r="1446" customFormat="false" ht="15" hidden="false" customHeight="false" outlineLevel="0" collapsed="false">
      <c r="A1446" s="2" t="n">
        <v>1445</v>
      </c>
      <c r="B1446" s="2" t="s">
        <v>3196</v>
      </c>
      <c r="C1446" s="2" t="s">
        <v>3197</v>
      </c>
      <c r="D1446" s="2"/>
      <c r="E1446" s="2" t="s">
        <v>25</v>
      </c>
      <c r="F1446" s="3" t="n">
        <v>0.000108</v>
      </c>
      <c r="G1446" s="3" t="n">
        <f aca="false">SUM($F$2:F1446)</f>
        <v>0.886131</v>
      </c>
      <c r="H1446" s="4"/>
      <c r="I1446" s="5"/>
      <c r="J1446" s="4"/>
      <c r="K1446" s="5"/>
      <c r="L1446" s="6"/>
      <c r="M1446" s="5" t="str">
        <f aca="false">IF(AND(N(K1446)&gt;0,N(L1446)&gt;0),K1446/L1446,"")</f>
        <v/>
      </c>
      <c r="N1446" s="2" t="s">
        <v>1226</v>
      </c>
    </row>
    <row r="1447" customFormat="false" ht="15" hidden="false" customHeight="false" outlineLevel="0" collapsed="false">
      <c r="A1447" s="2" t="n">
        <v>1446</v>
      </c>
      <c r="B1447" s="2" t="s">
        <v>3198</v>
      </c>
      <c r="C1447" s="2" t="s">
        <v>3199</v>
      </c>
      <c r="D1447" s="2"/>
      <c r="E1447" s="2" t="s">
        <v>33</v>
      </c>
      <c r="F1447" s="3" t="n">
        <v>0.000108</v>
      </c>
      <c r="G1447" s="3" t="n">
        <f aca="false">SUM($F$2:F1447)</f>
        <v>0.886239</v>
      </c>
      <c r="H1447" s="4"/>
      <c r="I1447" s="5"/>
      <c r="J1447" s="4"/>
      <c r="K1447" s="5"/>
      <c r="L1447" s="6"/>
      <c r="M1447" s="5" t="str">
        <f aca="false">IF(AND(N(K1447)&gt;0,N(L1447)&gt;0),K1447/L1447,"")</f>
        <v/>
      </c>
      <c r="N1447" s="2" t="s">
        <v>1226</v>
      </c>
    </row>
    <row r="1448" customFormat="false" ht="15" hidden="false" customHeight="false" outlineLevel="0" collapsed="false">
      <c r="A1448" s="2" t="n">
        <v>1447</v>
      </c>
      <c r="B1448" s="2" t="s">
        <v>3200</v>
      </c>
      <c r="C1448" s="2" t="s">
        <v>3201</v>
      </c>
      <c r="D1448" s="2"/>
      <c r="E1448" s="2" t="s">
        <v>38</v>
      </c>
      <c r="F1448" s="3" t="n">
        <v>0.000108</v>
      </c>
      <c r="G1448" s="3" t="n">
        <f aca="false">SUM($F$2:F1448)</f>
        <v>0.886347</v>
      </c>
      <c r="H1448" s="4"/>
      <c r="I1448" s="5"/>
      <c r="J1448" s="4"/>
      <c r="K1448" s="5"/>
      <c r="L1448" s="6"/>
      <c r="M1448" s="5" t="str">
        <f aca="false">IF(AND(N(K1448)&gt;0,N(L1448)&gt;0),K1448/L1448,"")</f>
        <v/>
      </c>
      <c r="N1448" s="2" t="s">
        <v>1226</v>
      </c>
    </row>
    <row r="1449" customFormat="false" ht="15" hidden="false" customHeight="false" outlineLevel="0" collapsed="false">
      <c r="A1449" s="2" t="n">
        <v>1448</v>
      </c>
      <c r="B1449" s="2" t="s">
        <v>3202</v>
      </c>
      <c r="C1449" s="2" t="s">
        <v>3203</v>
      </c>
      <c r="D1449" s="2"/>
      <c r="E1449" s="2" t="s">
        <v>48</v>
      </c>
      <c r="F1449" s="3" t="n">
        <v>0.000108</v>
      </c>
      <c r="G1449" s="3" t="n">
        <f aca="false">SUM($F$2:F1449)</f>
        <v>0.886455</v>
      </c>
      <c r="H1449" s="4"/>
      <c r="I1449" s="5"/>
      <c r="J1449" s="4"/>
      <c r="K1449" s="5"/>
      <c r="L1449" s="6"/>
      <c r="M1449" s="5" t="str">
        <f aca="false">IF(AND(N(K1449)&gt;0,N(L1449)&gt;0),K1449/L1449,"")</f>
        <v/>
      </c>
      <c r="N1449" s="2" t="s">
        <v>1226</v>
      </c>
    </row>
    <row r="1450" customFormat="false" ht="15" hidden="false" customHeight="false" outlineLevel="0" collapsed="false">
      <c r="A1450" s="2" t="n">
        <v>1449</v>
      </c>
      <c r="B1450" s="2" t="s">
        <v>3204</v>
      </c>
      <c r="C1450" s="2" t="s">
        <v>3205</v>
      </c>
      <c r="D1450" s="2"/>
      <c r="E1450" s="2" t="s">
        <v>29</v>
      </c>
      <c r="F1450" s="3" t="n">
        <v>0.000108</v>
      </c>
      <c r="G1450" s="3" t="n">
        <f aca="false">SUM($F$2:F1450)</f>
        <v>0.886563</v>
      </c>
      <c r="H1450" s="4"/>
      <c r="I1450" s="5"/>
      <c r="J1450" s="4"/>
      <c r="K1450" s="5"/>
      <c r="L1450" s="6"/>
      <c r="M1450" s="5" t="str">
        <f aca="false">IF(AND(N(K1450)&gt;0,N(L1450)&gt;0),K1450/L1450,"")</f>
        <v/>
      </c>
      <c r="N1450" s="2" t="s">
        <v>1226</v>
      </c>
    </row>
    <row r="1451" customFormat="false" ht="15" hidden="false" customHeight="false" outlineLevel="0" collapsed="false">
      <c r="A1451" s="2" t="n">
        <v>1450</v>
      </c>
      <c r="B1451" s="2" t="s">
        <v>3206</v>
      </c>
      <c r="C1451" s="2" t="s">
        <v>3207</v>
      </c>
      <c r="D1451" s="2"/>
      <c r="E1451" s="2" t="s">
        <v>1588</v>
      </c>
      <c r="F1451" s="3" t="n">
        <v>0.000108</v>
      </c>
      <c r="G1451" s="3" t="n">
        <f aca="false">SUM($F$2:F1451)</f>
        <v>0.886671</v>
      </c>
      <c r="H1451" s="4"/>
      <c r="I1451" s="5"/>
      <c r="J1451" s="4"/>
      <c r="K1451" s="5"/>
      <c r="L1451" s="6"/>
      <c r="M1451" s="5" t="str">
        <f aca="false">IF(AND(N(K1451)&gt;0,N(L1451)&gt;0),K1451/L1451,"")</f>
        <v/>
      </c>
      <c r="N1451" s="2" t="s">
        <v>1226</v>
      </c>
    </row>
    <row r="1452" customFormat="false" ht="15" hidden="false" customHeight="false" outlineLevel="0" collapsed="false">
      <c r="A1452" s="2" t="n">
        <v>1451</v>
      </c>
      <c r="B1452" s="2" t="s">
        <v>3208</v>
      </c>
      <c r="C1452" s="2" t="s">
        <v>3209</v>
      </c>
      <c r="D1452" s="2"/>
      <c r="E1452" s="2" t="s">
        <v>29</v>
      </c>
      <c r="F1452" s="3" t="n">
        <v>0.000108</v>
      </c>
      <c r="G1452" s="3" t="n">
        <f aca="false">SUM($F$2:F1452)</f>
        <v>0.886779</v>
      </c>
      <c r="H1452" s="4"/>
      <c r="I1452" s="5"/>
      <c r="J1452" s="4"/>
      <c r="K1452" s="5"/>
      <c r="L1452" s="6"/>
      <c r="M1452" s="5" t="str">
        <f aca="false">IF(AND(N(K1452)&gt;0,N(L1452)&gt;0),K1452/L1452,"")</f>
        <v/>
      </c>
      <c r="N1452" s="2" t="s">
        <v>1226</v>
      </c>
    </row>
    <row r="1453" customFormat="false" ht="15" hidden="false" customHeight="false" outlineLevel="0" collapsed="false">
      <c r="A1453" s="2" t="n">
        <v>1452</v>
      </c>
      <c r="B1453" s="2" t="s">
        <v>3210</v>
      </c>
      <c r="C1453" s="2" t="s">
        <v>3211</v>
      </c>
      <c r="D1453" s="2"/>
      <c r="E1453" s="2" t="s">
        <v>1245</v>
      </c>
      <c r="F1453" s="3" t="n">
        <v>0.000108</v>
      </c>
      <c r="G1453" s="3" t="n">
        <f aca="false">SUM($F$2:F1453)</f>
        <v>0.886887</v>
      </c>
      <c r="H1453" s="4"/>
      <c r="I1453" s="5"/>
      <c r="J1453" s="4"/>
      <c r="K1453" s="5"/>
      <c r="L1453" s="6"/>
      <c r="M1453" s="5" t="str">
        <f aca="false">IF(AND(N(K1453)&gt;0,N(L1453)&gt;0),K1453/L1453,"")</f>
        <v/>
      </c>
      <c r="N1453" s="2" t="s">
        <v>1226</v>
      </c>
    </row>
    <row r="1454" customFormat="false" ht="15" hidden="false" customHeight="false" outlineLevel="0" collapsed="false">
      <c r="A1454" s="2" t="n">
        <v>1453</v>
      </c>
      <c r="B1454" s="2" t="s">
        <v>3212</v>
      </c>
      <c r="C1454" s="2" t="s">
        <v>3213</v>
      </c>
      <c r="D1454" s="2"/>
      <c r="E1454" s="2" t="s">
        <v>52</v>
      </c>
      <c r="F1454" s="3" t="n">
        <v>0.000108</v>
      </c>
      <c r="G1454" s="3" t="n">
        <f aca="false">SUM($F$2:F1454)</f>
        <v>0.886995</v>
      </c>
      <c r="H1454" s="4"/>
      <c r="I1454" s="5"/>
      <c r="J1454" s="4"/>
      <c r="K1454" s="5"/>
      <c r="L1454" s="6"/>
      <c r="M1454" s="5" t="str">
        <f aca="false">IF(AND(N(K1454)&gt;0,N(L1454)&gt;0),K1454/L1454,"")</f>
        <v/>
      </c>
      <c r="N1454" s="2" t="s">
        <v>1226</v>
      </c>
    </row>
    <row r="1455" customFormat="false" ht="15" hidden="false" customHeight="false" outlineLevel="0" collapsed="false">
      <c r="A1455" s="2" t="n">
        <v>1454</v>
      </c>
      <c r="B1455" s="2" t="s">
        <v>3214</v>
      </c>
      <c r="C1455" s="2" t="s">
        <v>3215</v>
      </c>
      <c r="D1455" s="2"/>
      <c r="E1455" s="2" t="s">
        <v>29</v>
      </c>
      <c r="F1455" s="3" t="n">
        <v>0.000108</v>
      </c>
      <c r="G1455" s="3" t="n">
        <f aca="false">SUM($F$2:F1455)</f>
        <v>0.887103</v>
      </c>
      <c r="H1455" s="4"/>
      <c r="I1455" s="5"/>
      <c r="J1455" s="4"/>
      <c r="K1455" s="5"/>
      <c r="L1455" s="6"/>
      <c r="M1455" s="5" t="str">
        <f aca="false">IF(AND(N(K1455)&gt;0,N(L1455)&gt;0),K1455/L1455,"")</f>
        <v/>
      </c>
      <c r="N1455" s="2" t="s">
        <v>1226</v>
      </c>
    </row>
    <row r="1456" customFormat="false" ht="15" hidden="false" customHeight="false" outlineLevel="0" collapsed="false">
      <c r="A1456" s="2" t="n">
        <v>1455</v>
      </c>
      <c r="B1456" s="2" t="s">
        <v>3216</v>
      </c>
      <c r="C1456" s="2" t="s">
        <v>3217</v>
      </c>
      <c r="D1456" s="2"/>
      <c r="E1456" s="2" t="s">
        <v>173</v>
      </c>
      <c r="F1456" s="3" t="n">
        <v>0.000107</v>
      </c>
      <c r="G1456" s="3" t="n">
        <f aca="false">SUM($F$2:F1456)</f>
        <v>0.88721</v>
      </c>
      <c r="H1456" s="4"/>
      <c r="I1456" s="5"/>
      <c r="J1456" s="4"/>
      <c r="K1456" s="5"/>
      <c r="L1456" s="6"/>
      <c r="M1456" s="5" t="str">
        <f aca="false">IF(AND(N(K1456)&gt;0,N(L1456)&gt;0),K1456/L1456,"")</f>
        <v/>
      </c>
      <c r="N1456" s="2" t="s">
        <v>1226</v>
      </c>
    </row>
    <row r="1457" customFormat="false" ht="15" hidden="false" customHeight="false" outlineLevel="0" collapsed="false">
      <c r="A1457" s="2" t="n">
        <v>1456</v>
      </c>
      <c r="B1457" s="2" t="s">
        <v>3218</v>
      </c>
      <c r="C1457" s="2" t="s">
        <v>3219</v>
      </c>
      <c r="D1457" s="2"/>
      <c r="E1457" s="2" t="s">
        <v>17</v>
      </c>
      <c r="F1457" s="3" t="n">
        <v>0.000107</v>
      </c>
      <c r="G1457" s="3" t="n">
        <f aca="false">SUM($F$2:F1457)</f>
        <v>0.887317</v>
      </c>
      <c r="H1457" s="4"/>
      <c r="I1457" s="5"/>
      <c r="J1457" s="4"/>
      <c r="K1457" s="5"/>
      <c r="L1457" s="6"/>
      <c r="M1457" s="5" t="str">
        <f aca="false">IF(AND(N(K1457)&gt;0,N(L1457)&gt;0),K1457/L1457,"")</f>
        <v/>
      </c>
      <c r="N1457" s="2" t="s">
        <v>1226</v>
      </c>
    </row>
    <row r="1458" customFormat="false" ht="15" hidden="false" customHeight="false" outlineLevel="0" collapsed="false">
      <c r="A1458" s="2" t="n">
        <v>1457</v>
      </c>
      <c r="B1458" s="2" t="s">
        <v>3220</v>
      </c>
      <c r="C1458" s="2" t="s">
        <v>3221</v>
      </c>
      <c r="D1458" s="2"/>
      <c r="E1458" s="2" t="s">
        <v>679</v>
      </c>
      <c r="F1458" s="3" t="n">
        <v>0.000107</v>
      </c>
      <c r="G1458" s="3" t="n">
        <f aca="false">SUM($F$2:F1458)</f>
        <v>0.887424</v>
      </c>
      <c r="H1458" s="4"/>
      <c r="I1458" s="5"/>
      <c r="J1458" s="4"/>
      <c r="K1458" s="5"/>
      <c r="L1458" s="6"/>
      <c r="M1458" s="5" t="str">
        <f aca="false">IF(AND(N(K1458)&gt;0,N(L1458)&gt;0),K1458/L1458,"")</f>
        <v/>
      </c>
      <c r="N1458" s="2" t="s">
        <v>1226</v>
      </c>
    </row>
    <row r="1459" customFormat="false" ht="15" hidden="false" customHeight="false" outlineLevel="0" collapsed="false">
      <c r="A1459" s="2" t="n">
        <v>1458</v>
      </c>
      <c r="B1459" s="2" t="s">
        <v>3222</v>
      </c>
      <c r="C1459" s="2" t="s">
        <v>3223</v>
      </c>
      <c r="D1459" s="2"/>
      <c r="E1459" s="2" t="s">
        <v>33</v>
      </c>
      <c r="F1459" s="3" t="n">
        <v>0.000107</v>
      </c>
      <c r="G1459" s="3" t="n">
        <f aca="false">SUM($F$2:F1459)</f>
        <v>0.887531</v>
      </c>
      <c r="H1459" s="4"/>
      <c r="I1459" s="5"/>
      <c r="J1459" s="4"/>
      <c r="K1459" s="5"/>
      <c r="L1459" s="6"/>
      <c r="M1459" s="5" t="str">
        <f aca="false">IF(AND(N(K1459)&gt;0,N(L1459)&gt;0),K1459/L1459,"")</f>
        <v/>
      </c>
      <c r="N1459" s="2" t="s">
        <v>1226</v>
      </c>
    </row>
    <row r="1460" customFormat="false" ht="15" hidden="false" customHeight="false" outlineLevel="0" collapsed="false">
      <c r="A1460" s="2" t="n">
        <v>1459</v>
      </c>
      <c r="B1460" s="2" t="s">
        <v>3224</v>
      </c>
      <c r="C1460" s="2" t="s">
        <v>3225</v>
      </c>
      <c r="D1460" s="2"/>
      <c r="E1460" s="2" t="s">
        <v>82</v>
      </c>
      <c r="F1460" s="3" t="n">
        <v>0.000107</v>
      </c>
      <c r="G1460" s="3" t="n">
        <f aca="false">SUM($F$2:F1460)</f>
        <v>0.887638</v>
      </c>
      <c r="H1460" s="4"/>
      <c r="I1460" s="5"/>
      <c r="J1460" s="4"/>
      <c r="K1460" s="5"/>
      <c r="L1460" s="6"/>
      <c r="M1460" s="5" t="str">
        <f aca="false">IF(AND(N(K1460)&gt;0,N(L1460)&gt;0),K1460/L1460,"")</f>
        <v/>
      </c>
      <c r="N1460" s="2" t="s">
        <v>1226</v>
      </c>
    </row>
    <row r="1461" customFormat="false" ht="15" hidden="false" customHeight="false" outlineLevel="0" collapsed="false">
      <c r="A1461" s="2" t="n">
        <v>1460</v>
      </c>
      <c r="B1461" s="2" t="s">
        <v>3226</v>
      </c>
      <c r="C1461" s="2" t="s">
        <v>3227</v>
      </c>
      <c r="D1461" s="2"/>
      <c r="E1461" s="2" t="s">
        <v>52</v>
      </c>
      <c r="F1461" s="3" t="n">
        <v>0.000107</v>
      </c>
      <c r="G1461" s="3" t="n">
        <f aca="false">SUM($F$2:F1461)</f>
        <v>0.887745</v>
      </c>
      <c r="H1461" s="4"/>
      <c r="I1461" s="5"/>
      <c r="J1461" s="4"/>
      <c r="K1461" s="5"/>
      <c r="L1461" s="6"/>
      <c r="M1461" s="5" t="str">
        <f aca="false">IF(AND(N(K1461)&gt;0,N(L1461)&gt;0),K1461/L1461,"")</f>
        <v/>
      </c>
      <c r="N1461" s="2" t="s">
        <v>1226</v>
      </c>
    </row>
    <row r="1462" customFormat="false" ht="15" hidden="false" customHeight="false" outlineLevel="0" collapsed="false">
      <c r="A1462" s="2" t="n">
        <v>1461</v>
      </c>
      <c r="B1462" s="2" t="s">
        <v>3228</v>
      </c>
      <c r="C1462" s="2" t="s">
        <v>3229</v>
      </c>
      <c r="D1462" s="2"/>
      <c r="E1462" s="2" t="s">
        <v>29</v>
      </c>
      <c r="F1462" s="3" t="n">
        <v>0.000106</v>
      </c>
      <c r="G1462" s="3" t="n">
        <f aca="false">SUM($F$2:F1462)</f>
        <v>0.887851</v>
      </c>
      <c r="H1462" s="4"/>
      <c r="I1462" s="5"/>
      <c r="J1462" s="4"/>
      <c r="K1462" s="5"/>
      <c r="L1462" s="6"/>
      <c r="M1462" s="5" t="str">
        <f aca="false">IF(AND(N(K1462)&gt;0,N(L1462)&gt;0),K1462/L1462,"")</f>
        <v/>
      </c>
      <c r="N1462" s="2" t="s">
        <v>1226</v>
      </c>
    </row>
    <row r="1463" customFormat="false" ht="15" hidden="false" customHeight="false" outlineLevel="0" collapsed="false">
      <c r="A1463" s="2" t="n">
        <v>1462</v>
      </c>
      <c r="B1463" s="2" t="s">
        <v>3230</v>
      </c>
      <c r="C1463" s="2" t="s">
        <v>3231</v>
      </c>
      <c r="D1463" s="2"/>
      <c r="E1463" s="2" t="s">
        <v>21</v>
      </c>
      <c r="F1463" s="3" t="n">
        <v>0.000106</v>
      </c>
      <c r="G1463" s="3" t="n">
        <f aca="false">SUM($F$2:F1463)</f>
        <v>0.887957</v>
      </c>
      <c r="H1463" s="4"/>
      <c r="I1463" s="5"/>
      <c r="J1463" s="4"/>
      <c r="K1463" s="5"/>
      <c r="L1463" s="6"/>
      <c r="M1463" s="5" t="str">
        <f aca="false">IF(AND(N(K1463)&gt;0,N(L1463)&gt;0),K1463/L1463,"")</f>
        <v/>
      </c>
      <c r="N1463" s="2" t="s">
        <v>1226</v>
      </c>
    </row>
    <row r="1464" customFormat="false" ht="15" hidden="false" customHeight="false" outlineLevel="0" collapsed="false">
      <c r="A1464" s="2" t="n">
        <v>1463</v>
      </c>
      <c r="B1464" s="2" t="s">
        <v>3232</v>
      </c>
      <c r="C1464" s="2" t="s">
        <v>3233</v>
      </c>
      <c r="D1464" s="2"/>
      <c r="E1464" s="2" t="s">
        <v>82</v>
      </c>
      <c r="F1464" s="3" t="n">
        <v>0.000106</v>
      </c>
      <c r="G1464" s="3" t="n">
        <f aca="false">SUM($F$2:F1464)</f>
        <v>0.888063</v>
      </c>
      <c r="H1464" s="4"/>
      <c r="I1464" s="5"/>
      <c r="J1464" s="4"/>
      <c r="K1464" s="5"/>
      <c r="L1464" s="6"/>
      <c r="M1464" s="5" t="str">
        <f aca="false">IF(AND(N(K1464)&gt;0,N(L1464)&gt;0),K1464/L1464,"")</f>
        <v/>
      </c>
      <c r="N1464" s="2" t="s">
        <v>1226</v>
      </c>
    </row>
    <row r="1465" customFormat="false" ht="15" hidden="false" customHeight="false" outlineLevel="0" collapsed="false">
      <c r="A1465" s="2" t="n">
        <v>1464</v>
      </c>
      <c r="B1465" s="2" t="s">
        <v>3234</v>
      </c>
      <c r="C1465" s="2" t="s">
        <v>3235</v>
      </c>
      <c r="D1465" s="2"/>
      <c r="E1465" s="2" t="s">
        <v>17</v>
      </c>
      <c r="F1465" s="3" t="n">
        <v>0.000106</v>
      </c>
      <c r="G1465" s="3" t="n">
        <f aca="false">SUM($F$2:F1465)</f>
        <v>0.888169</v>
      </c>
      <c r="H1465" s="4"/>
      <c r="I1465" s="5"/>
      <c r="J1465" s="4"/>
      <c r="K1465" s="5"/>
      <c r="L1465" s="6"/>
      <c r="M1465" s="5" t="str">
        <f aca="false">IF(AND(N(K1465)&gt;0,N(L1465)&gt;0),K1465/L1465,"")</f>
        <v/>
      </c>
      <c r="N1465" s="2" t="s">
        <v>1226</v>
      </c>
    </row>
    <row r="1466" customFormat="false" ht="15" hidden="false" customHeight="false" outlineLevel="0" collapsed="false">
      <c r="A1466" s="2" t="n">
        <v>1465</v>
      </c>
      <c r="B1466" s="2" t="s">
        <v>3236</v>
      </c>
      <c r="C1466" s="2" t="s">
        <v>3237</v>
      </c>
      <c r="D1466" s="2"/>
      <c r="E1466" s="2" t="s">
        <v>25</v>
      </c>
      <c r="F1466" s="3" t="n">
        <v>0.000106</v>
      </c>
      <c r="G1466" s="3" t="n">
        <f aca="false">SUM($F$2:F1466)</f>
        <v>0.888275</v>
      </c>
      <c r="H1466" s="4"/>
      <c r="I1466" s="5"/>
      <c r="J1466" s="4"/>
      <c r="K1466" s="5"/>
      <c r="L1466" s="6"/>
      <c r="M1466" s="5" t="str">
        <f aca="false">IF(AND(N(K1466)&gt;0,N(L1466)&gt;0),K1466/L1466,"")</f>
        <v/>
      </c>
      <c r="N1466" s="2" t="s">
        <v>1226</v>
      </c>
    </row>
    <row r="1467" customFormat="false" ht="15" hidden="false" customHeight="false" outlineLevel="0" collapsed="false">
      <c r="A1467" s="2" t="n">
        <v>1466</v>
      </c>
      <c r="B1467" s="2" t="s">
        <v>3238</v>
      </c>
      <c r="C1467" s="2" t="s">
        <v>3239</v>
      </c>
      <c r="D1467" s="2"/>
      <c r="E1467" s="2" t="s">
        <v>43</v>
      </c>
      <c r="F1467" s="3" t="n">
        <v>0.000106</v>
      </c>
      <c r="G1467" s="3" t="n">
        <f aca="false">SUM($F$2:F1467)</f>
        <v>0.888381</v>
      </c>
      <c r="H1467" s="4"/>
      <c r="I1467" s="5"/>
      <c r="J1467" s="4"/>
      <c r="K1467" s="5"/>
      <c r="L1467" s="6"/>
      <c r="M1467" s="5" t="str">
        <f aca="false">IF(AND(N(K1467)&gt;0,N(L1467)&gt;0),K1467/L1467,"")</f>
        <v/>
      </c>
      <c r="N1467" s="2" t="s">
        <v>1226</v>
      </c>
    </row>
    <row r="1468" customFormat="false" ht="15" hidden="false" customHeight="false" outlineLevel="0" collapsed="false">
      <c r="A1468" s="2" t="n">
        <v>1467</v>
      </c>
      <c r="B1468" s="2" t="s">
        <v>3240</v>
      </c>
      <c r="C1468" s="2" t="s">
        <v>3241</v>
      </c>
      <c r="D1468" s="2"/>
      <c r="E1468" s="2" t="s">
        <v>29</v>
      </c>
      <c r="F1468" s="3" t="n">
        <v>0.000105</v>
      </c>
      <c r="G1468" s="3" t="n">
        <f aca="false">SUM($F$2:F1468)</f>
        <v>0.888486</v>
      </c>
      <c r="H1468" s="4"/>
      <c r="I1468" s="5"/>
      <c r="J1468" s="4"/>
      <c r="K1468" s="5"/>
      <c r="L1468" s="6"/>
      <c r="M1468" s="5" t="str">
        <f aca="false">IF(AND(N(K1468)&gt;0,N(L1468)&gt;0),K1468/L1468,"")</f>
        <v/>
      </c>
      <c r="N1468" s="2" t="s">
        <v>1226</v>
      </c>
    </row>
    <row r="1469" customFormat="false" ht="15" hidden="false" customHeight="false" outlineLevel="0" collapsed="false">
      <c r="A1469" s="2" t="n">
        <v>1468</v>
      </c>
      <c r="B1469" s="2" t="s">
        <v>3242</v>
      </c>
      <c r="C1469" s="2" t="s">
        <v>3243</v>
      </c>
      <c r="D1469" s="2"/>
      <c r="E1469" s="2" t="s">
        <v>82</v>
      </c>
      <c r="F1469" s="3" t="n">
        <v>0.000105</v>
      </c>
      <c r="G1469" s="3" t="n">
        <f aca="false">SUM($F$2:F1469)</f>
        <v>0.888591</v>
      </c>
      <c r="H1469" s="4"/>
      <c r="I1469" s="5"/>
      <c r="J1469" s="4"/>
      <c r="K1469" s="5"/>
      <c r="L1469" s="6"/>
      <c r="M1469" s="5" t="str">
        <f aca="false">IF(AND(N(K1469)&gt;0,N(L1469)&gt;0),K1469/L1469,"")</f>
        <v/>
      </c>
      <c r="N1469" s="2" t="s">
        <v>1226</v>
      </c>
    </row>
    <row r="1470" customFormat="false" ht="15" hidden="false" customHeight="false" outlineLevel="0" collapsed="false">
      <c r="A1470" s="2" t="n">
        <v>1469</v>
      </c>
      <c r="B1470" s="2" t="s">
        <v>3244</v>
      </c>
      <c r="C1470" s="2" t="s">
        <v>3245</v>
      </c>
      <c r="D1470" s="2"/>
      <c r="E1470" s="2" t="s">
        <v>29</v>
      </c>
      <c r="F1470" s="3" t="n">
        <v>0.000105</v>
      </c>
      <c r="G1470" s="3" t="n">
        <f aca="false">SUM($F$2:F1470)</f>
        <v>0.888696</v>
      </c>
      <c r="H1470" s="4"/>
      <c r="I1470" s="5"/>
      <c r="J1470" s="4"/>
      <c r="K1470" s="5"/>
      <c r="L1470" s="6"/>
      <c r="M1470" s="5" t="str">
        <f aca="false">IF(AND(N(K1470)&gt;0,N(L1470)&gt;0),K1470/L1470,"")</f>
        <v/>
      </c>
      <c r="N1470" s="2" t="s">
        <v>1226</v>
      </c>
    </row>
    <row r="1471" customFormat="false" ht="15" hidden="false" customHeight="false" outlineLevel="0" collapsed="false">
      <c r="A1471" s="2" t="n">
        <v>1470</v>
      </c>
      <c r="B1471" s="2" t="s">
        <v>3246</v>
      </c>
      <c r="C1471" s="2" t="s">
        <v>3247</v>
      </c>
      <c r="D1471" s="2"/>
      <c r="E1471" s="2" t="s">
        <v>43</v>
      </c>
      <c r="F1471" s="3" t="n">
        <v>0.000105</v>
      </c>
      <c r="G1471" s="3" t="n">
        <f aca="false">SUM($F$2:F1471)</f>
        <v>0.888801</v>
      </c>
      <c r="H1471" s="4"/>
      <c r="I1471" s="5"/>
      <c r="J1471" s="4"/>
      <c r="K1471" s="5"/>
      <c r="L1471" s="6"/>
      <c r="M1471" s="5" t="str">
        <f aca="false">IF(AND(N(K1471)&gt;0,N(L1471)&gt;0),K1471/L1471,"")</f>
        <v/>
      </c>
      <c r="N1471" s="2" t="s">
        <v>1226</v>
      </c>
    </row>
    <row r="1472" customFormat="false" ht="15" hidden="false" customHeight="false" outlineLevel="0" collapsed="false">
      <c r="A1472" s="2" t="n">
        <v>1471</v>
      </c>
      <c r="B1472" s="2" t="s">
        <v>3248</v>
      </c>
      <c r="C1472" s="2" t="s">
        <v>3249</v>
      </c>
      <c r="D1472" s="2"/>
      <c r="E1472" s="2" t="s">
        <v>29</v>
      </c>
      <c r="F1472" s="3" t="n">
        <v>0.000105</v>
      </c>
      <c r="G1472" s="3" t="n">
        <f aca="false">SUM($F$2:F1472)</f>
        <v>0.888906</v>
      </c>
      <c r="H1472" s="4"/>
      <c r="I1472" s="5"/>
      <c r="J1472" s="4"/>
      <c r="K1472" s="5"/>
      <c r="L1472" s="6"/>
      <c r="M1472" s="5" t="str">
        <f aca="false">IF(AND(N(K1472)&gt;0,N(L1472)&gt;0),K1472/L1472,"")</f>
        <v/>
      </c>
      <c r="N1472" s="2" t="s">
        <v>1226</v>
      </c>
    </row>
    <row r="1473" customFormat="false" ht="15" hidden="false" customHeight="false" outlineLevel="0" collapsed="false">
      <c r="A1473" s="2" t="n">
        <v>1472</v>
      </c>
      <c r="B1473" s="2" t="s">
        <v>3250</v>
      </c>
      <c r="C1473" s="2" t="s">
        <v>3251</v>
      </c>
      <c r="D1473" s="2"/>
      <c r="E1473" s="2" t="s">
        <v>52</v>
      </c>
      <c r="F1473" s="3" t="n">
        <v>0.000105</v>
      </c>
      <c r="G1473" s="3" t="n">
        <f aca="false">SUM($F$2:F1473)</f>
        <v>0.889011</v>
      </c>
      <c r="H1473" s="4"/>
      <c r="I1473" s="5"/>
      <c r="J1473" s="4"/>
      <c r="K1473" s="5"/>
      <c r="L1473" s="6"/>
      <c r="M1473" s="5" t="str">
        <f aca="false">IF(AND(N(K1473)&gt;0,N(L1473)&gt;0),K1473/L1473,"")</f>
        <v/>
      </c>
      <c r="N1473" s="2" t="s">
        <v>1226</v>
      </c>
    </row>
    <row r="1474" customFormat="false" ht="15" hidden="false" customHeight="false" outlineLevel="0" collapsed="false">
      <c r="A1474" s="2" t="n">
        <v>1473</v>
      </c>
      <c r="B1474" s="2" t="s">
        <v>3252</v>
      </c>
      <c r="C1474" s="2" t="s">
        <v>3253</v>
      </c>
      <c r="D1474" s="2"/>
      <c r="E1474" s="2" t="s">
        <v>52</v>
      </c>
      <c r="F1474" s="3" t="n">
        <v>0.000105</v>
      </c>
      <c r="G1474" s="3" t="n">
        <f aca="false">SUM($F$2:F1474)</f>
        <v>0.889116</v>
      </c>
      <c r="H1474" s="4"/>
      <c r="I1474" s="5"/>
      <c r="J1474" s="4"/>
      <c r="K1474" s="5"/>
      <c r="L1474" s="6"/>
      <c r="M1474" s="5" t="str">
        <f aca="false">IF(AND(N(K1474)&gt;0,N(L1474)&gt;0),K1474/L1474,"")</f>
        <v/>
      </c>
      <c r="N1474" s="2" t="s">
        <v>1226</v>
      </c>
    </row>
    <row r="1475" customFormat="false" ht="15" hidden="false" customHeight="false" outlineLevel="0" collapsed="false">
      <c r="A1475" s="2" t="n">
        <v>1474</v>
      </c>
      <c r="B1475" s="2" t="s">
        <v>3254</v>
      </c>
      <c r="C1475" s="2" t="s">
        <v>3255</v>
      </c>
      <c r="D1475" s="2"/>
      <c r="E1475" s="2" t="s">
        <v>1345</v>
      </c>
      <c r="F1475" s="3" t="n">
        <v>0.000105</v>
      </c>
      <c r="G1475" s="3" t="n">
        <f aca="false">SUM($F$2:F1475)</f>
        <v>0.889221</v>
      </c>
      <c r="H1475" s="4"/>
      <c r="I1475" s="5"/>
      <c r="J1475" s="4"/>
      <c r="K1475" s="5"/>
      <c r="L1475" s="6"/>
      <c r="M1475" s="5" t="str">
        <f aca="false">IF(AND(N(K1475)&gt;0,N(L1475)&gt;0),K1475/L1475,"")</f>
        <v/>
      </c>
      <c r="N1475" s="2" t="s">
        <v>1226</v>
      </c>
    </row>
    <row r="1476" customFormat="false" ht="15" hidden="false" customHeight="false" outlineLevel="0" collapsed="false">
      <c r="A1476" s="2" t="n">
        <v>1475</v>
      </c>
      <c r="B1476" s="2" t="s">
        <v>3256</v>
      </c>
      <c r="C1476" s="2" t="s">
        <v>3257</v>
      </c>
      <c r="D1476" s="2"/>
      <c r="E1476" s="2" t="s">
        <v>296</v>
      </c>
      <c r="F1476" s="3" t="n">
        <v>0.000104</v>
      </c>
      <c r="G1476" s="3" t="n">
        <f aca="false">SUM($F$2:F1476)</f>
        <v>0.889325</v>
      </c>
      <c r="H1476" s="4"/>
      <c r="I1476" s="5"/>
      <c r="J1476" s="4"/>
      <c r="K1476" s="5"/>
      <c r="L1476" s="6"/>
      <c r="M1476" s="5" t="str">
        <f aca="false">IF(AND(N(K1476)&gt;0,N(L1476)&gt;0),K1476/L1476,"")</f>
        <v/>
      </c>
      <c r="N1476" s="2" t="s">
        <v>1226</v>
      </c>
    </row>
    <row r="1477" customFormat="false" ht="15" hidden="false" customHeight="false" outlineLevel="0" collapsed="false">
      <c r="A1477" s="2" t="n">
        <v>1476</v>
      </c>
      <c r="B1477" s="2" t="s">
        <v>3258</v>
      </c>
      <c r="C1477" s="2" t="s">
        <v>3259</v>
      </c>
      <c r="D1477" s="2"/>
      <c r="E1477" s="2" t="s">
        <v>33</v>
      </c>
      <c r="F1477" s="3" t="n">
        <v>0.000104</v>
      </c>
      <c r="G1477" s="3" t="n">
        <f aca="false">SUM($F$2:F1477)</f>
        <v>0.889429</v>
      </c>
      <c r="H1477" s="4"/>
      <c r="I1477" s="5"/>
      <c r="J1477" s="4"/>
      <c r="K1477" s="5"/>
      <c r="L1477" s="6"/>
      <c r="M1477" s="5" t="str">
        <f aca="false">IF(AND(N(K1477)&gt;0,N(L1477)&gt;0),K1477/L1477,"")</f>
        <v/>
      </c>
      <c r="N1477" s="2" t="s">
        <v>1226</v>
      </c>
    </row>
    <row r="1478" customFormat="false" ht="15" hidden="false" customHeight="false" outlineLevel="0" collapsed="false">
      <c r="A1478" s="2" t="n">
        <v>1477</v>
      </c>
      <c r="B1478" s="2" t="s">
        <v>3260</v>
      </c>
      <c r="C1478" s="2" t="s">
        <v>3261</v>
      </c>
      <c r="D1478" s="2"/>
      <c r="E1478" s="2" t="s">
        <v>52</v>
      </c>
      <c r="F1478" s="3" t="n">
        <v>0.000104</v>
      </c>
      <c r="G1478" s="3" t="n">
        <f aca="false">SUM($F$2:F1478)</f>
        <v>0.889533</v>
      </c>
      <c r="H1478" s="4"/>
      <c r="I1478" s="5"/>
      <c r="J1478" s="4"/>
      <c r="K1478" s="5"/>
      <c r="L1478" s="6"/>
      <c r="M1478" s="5" t="str">
        <f aca="false">IF(AND(N(K1478)&gt;0,N(L1478)&gt;0),K1478/L1478,"")</f>
        <v/>
      </c>
      <c r="N1478" s="2" t="s">
        <v>1226</v>
      </c>
    </row>
    <row r="1479" customFormat="false" ht="15" hidden="false" customHeight="false" outlineLevel="0" collapsed="false">
      <c r="A1479" s="2" t="n">
        <v>1478</v>
      </c>
      <c r="B1479" s="2" t="s">
        <v>3262</v>
      </c>
      <c r="C1479" s="2" t="s">
        <v>3263</v>
      </c>
      <c r="D1479" s="2"/>
      <c r="E1479" s="2" t="s">
        <v>38</v>
      </c>
      <c r="F1479" s="3" t="n">
        <v>0.000104</v>
      </c>
      <c r="G1479" s="3" t="n">
        <f aca="false">SUM($F$2:F1479)</f>
        <v>0.889637</v>
      </c>
      <c r="H1479" s="4"/>
      <c r="I1479" s="5"/>
      <c r="J1479" s="4"/>
      <c r="K1479" s="5"/>
      <c r="L1479" s="6"/>
      <c r="M1479" s="5" t="str">
        <f aca="false">IF(AND(N(K1479)&gt;0,N(L1479)&gt;0),K1479/L1479,"")</f>
        <v/>
      </c>
      <c r="N1479" s="2" t="s">
        <v>1226</v>
      </c>
    </row>
    <row r="1480" customFormat="false" ht="15" hidden="false" customHeight="false" outlineLevel="0" collapsed="false">
      <c r="A1480" s="2" t="n">
        <v>1479</v>
      </c>
      <c r="B1480" s="2" t="s">
        <v>3264</v>
      </c>
      <c r="C1480" s="2" t="s">
        <v>3265</v>
      </c>
      <c r="D1480" s="2"/>
      <c r="E1480" s="2" t="s">
        <v>38</v>
      </c>
      <c r="F1480" s="3" t="n">
        <v>0.000104</v>
      </c>
      <c r="G1480" s="3" t="n">
        <f aca="false">SUM($F$2:F1480)</f>
        <v>0.889741</v>
      </c>
      <c r="H1480" s="4"/>
      <c r="I1480" s="5"/>
      <c r="J1480" s="4"/>
      <c r="K1480" s="5"/>
      <c r="L1480" s="6"/>
      <c r="M1480" s="5" t="str">
        <f aca="false">IF(AND(N(K1480)&gt;0,N(L1480)&gt;0),K1480/L1480,"")</f>
        <v/>
      </c>
      <c r="N1480" s="2" t="s">
        <v>1226</v>
      </c>
    </row>
    <row r="1481" customFormat="false" ht="15" hidden="false" customHeight="false" outlineLevel="0" collapsed="false">
      <c r="A1481" s="2" t="n">
        <v>1480</v>
      </c>
      <c r="B1481" s="2" t="s">
        <v>3266</v>
      </c>
      <c r="C1481" s="2" t="s">
        <v>3267</v>
      </c>
      <c r="D1481" s="2"/>
      <c r="E1481" s="2" t="s">
        <v>289</v>
      </c>
      <c r="F1481" s="3" t="n">
        <v>0.000104</v>
      </c>
      <c r="G1481" s="3" t="n">
        <f aca="false">SUM($F$2:F1481)</f>
        <v>0.889845</v>
      </c>
      <c r="H1481" s="4"/>
      <c r="I1481" s="5"/>
      <c r="J1481" s="4"/>
      <c r="K1481" s="5"/>
      <c r="L1481" s="6"/>
      <c r="M1481" s="5" t="str">
        <f aca="false">IF(AND(N(K1481)&gt;0,N(L1481)&gt;0),K1481/L1481,"")</f>
        <v/>
      </c>
      <c r="N1481" s="2" t="s">
        <v>1226</v>
      </c>
    </row>
    <row r="1482" customFormat="false" ht="15" hidden="false" customHeight="false" outlineLevel="0" collapsed="false">
      <c r="A1482" s="2" t="n">
        <v>1481</v>
      </c>
      <c r="B1482" s="2" t="s">
        <v>3268</v>
      </c>
      <c r="C1482" s="2" t="s">
        <v>3269</v>
      </c>
      <c r="D1482" s="2"/>
      <c r="E1482" s="2" t="s">
        <v>860</v>
      </c>
      <c r="F1482" s="3" t="n">
        <v>0.000104</v>
      </c>
      <c r="G1482" s="3" t="n">
        <f aca="false">SUM($F$2:F1482)</f>
        <v>0.889949</v>
      </c>
      <c r="H1482" s="4"/>
      <c r="I1482" s="5"/>
      <c r="J1482" s="4"/>
      <c r="K1482" s="5"/>
      <c r="L1482" s="6"/>
      <c r="M1482" s="5" t="str">
        <f aca="false">IF(AND(N(K1482)&gt;0,N(L1482)&gt;0),K1482/L1482,"")</f>
        <v/>
      </c>
      <c r="N1482" s="2" t="s">
        <v>1226</v>
      </c>
    </row>
    <row r="1483" customFormat="false" ht="15" hidden="false" customHeight="false" outlineLevel="0" collapsed="false">
      <c r="A1483" s="2" t="n">
        <v>1482</v>
      </c>
      <c r="B1483" s="2" t="s">
        <v>3270</v>
      </c>
      <c r="C1483" s="2" t="s">
        <v>3271</v>
      </c>
      <c r="D1483" s="2"/>
      <c r="E1483" s="2" t="s">
        <v>43</v>
      </c>
      <c r="F1483" s="3" t="n">
        <v>0.000103</v>
      </c>
      <c r="G1483" s="3" t="n">
        <f aca="false">SUM($F$2:F1483)</f>
        <v>0.890052</v>
      </c>
      <c r="H1483" s="4"/>
      <c r="I1483" s="5"/>
      <c r="J1483" s="4"/>
      <c r="K1483" s="5"/>
      <c r="L1483" s="6"/>
      <c r="M1483" s="5" t="str">
        <f aca="false">IF(AND(N(K1483)&gt;0,N(L1483)&gt;0),K1483/L1483,"")</f>
        <v/>
      </c>
      <c r="N1483" s="2" t="s">
        <v>1226</v>
      </c>
    </row>
    <row r="1484" customFormat="false" ht="15" hidden="false" customHeight="false" outlineLevel="0" collapsed="false">
      <c r="A1484" s="2" t="n">
        <v>1483</v>
      </c>
      <c r="B1484" s="2" t="s">
        <v>3272</v>
      </c>
      <c r="C1484" s="2" t="s">
        <v>3273</v>
      </c>
      <c r="D1484" s="2"/>
      <c r="E1484" s="2" t="s">
        <v>29</v>
      </c>
      <c r="F1484" s="3" t="n">
        <v>0.000103</v>
      </c>
      <c r="G1484" s="3" t="n">
        <f aca="false">SUM($F$2:F1484)</f>
        <v>0.890155</v>
      </c>
      <c r="H1484" s="4"/>
      <c r="I1484" s="5"/>
      <c r="J1484" s="4"/>
      <c r="K1484" s="5"/>
      <c r="L1484" s="6"/>
      <c r="M1484" s="5" t="str">
        <f aca="false">IF(AND(N(K1484)&gt;0,N(L1484)&gt;0),K1484/L1484,"")</f>
        <v/>
      </c>
      <c r="N1484" s="2" t="s">
        <v>1226</v>
      </c>
    </row>
    <row r="1485" customFormat="false" ht="15" hidden="false" customHeight="false" outlineLevel="0" collapsed="false">
      <c r="A1485" s="2" t="n">
        <v>1484</v>
      </c>
      <c r="B1485" s="2" t="s">
        <v>3274</v>
      </c>
      <c r="C1485" s="2" t="s">
        <v>3275</v>
      </c>
      <c r="D1485" s="2"/>
      <c r="E1485" s="2" t="s">
        <v>17</v>
      </c>
      <c r="F1485" s="3" t="n">
        <v>0.000103</v>
      </c>
      <c r="G1485" s="3" t="n">
        <f aca="false">SUM($F$2:F1485)</f>
        <v>0.890258</v>
      </c>
      <c r="H1485" s="4"/>
      <c r="I1485" s="5"/>
      <c r="J1485" s="4"/>
      <c r="K1485" s="5"/>
      <c r="L1485" s="6"/>
      <c r="M1485" s="5" t="str">
        <f aca="false">IF(AND(N(K1485)&gt;0,N(L1485)&gt;0),K1485/L1485,"")</f>
        <v/>
      </c>
      <c r="N1485" s="2" t="s">
        <v>1226</v>
      </c>
    </row>
    <row r="1486" customFormat="false" ht="15" hidden="false" customHeight="false" outlineLevel="0" collapsed="false">
      <c r="A1486" s="2" t="n">
        <v>1485</v>
      </c>
      <c r="B1486" s="2" t="s">
        <v>3276</v>
      </c>
      <c r="C1486" s="2" t="s">
        <v>3277</v>
      </c>
      <c r="D1486" s="2"/>
      <c r="E1486" s="2" t="s">
        <v>199</v>
      </c>
      <c r="F1486" s="3" t="n">
        <v>0.000103</v>
      </c>
      <c r="G1486" s="3" t="n">
        <f aca="false">SUM($F$2:F1486)</f>
        <v>0.890361</v>
      </c>
      <c r="H1486" s="4"/>
      <c r="I1486" s="5"/>
      <c r="J1486" s="4"/>
      <c r="K1486" s="5"/>
      <c r="L1486" s="6"/>
      <c r="M1486" s="5" t="str">
        <f aca="false">IF(AND(N(K1486)&gt;0,N(L1486)&gt;0),K1486/L1486,"")</f>
        <v/>
      </c>
      <c r="N1486" s="2" t="s">
        <v>1226</v>
      </c>
    </row>
    <row r="1487" customFormat="false" ht="15" hidden="false" customHeight="false" outlineLevel="0" collapsed="false">
      <c r="A1487" s="2" t="n">
        <v>1486</v>
      </c>
      <c r="B1487" s="2" t="s">
        <v>3278</v>
      </c>
      <c r="C1487" s="2" t="s">
        <v>3279</v>
      </c>
      <c r="D1487" s="2"/>
      <c r="E1487" s="2" t="s">
        <v>679</v>
      </c>
      <c r="F1487" s="3" t="n">
        <v>0.000103</v>
      </c>
      <c r="G1487" s="3" t="n">
        <f aca="false">SUM($F$2:F1487)</f>
        <v>0.890464</v>
      </c>
      <c r="H1487" s="4"/>
      <c r="I1487" s="5"/>
      <c r="J1487" s="4"/>
      <c r="K1487" s="5"/>
      <c r="L1487" s="6"/>
      <c r="M1487" s="5" t="str">
        <f aca="false">IF(AND(N(K1487)&gt;0,N(L1487)&gt;0),K1487/L1487,"")</f>
        <v/>
      </c>
      <c r="N1487" s="2" t="s">
        <v>1226</v>
      </c>
    </row>
    <row r="1488" customFormat="false" ht="15" hidden="false" customHeight="false" outlineLevel="0" collapsed="false">
      <c r="A1488" s="2" t="n">
        <v>1487</v>
      </c>
      <c r="B1488" s="2" t="s">
        <v>3280</v>
      </c>
      <c r="C1488" s="2" t="s">
        <v>3281</v>
      </c>
      <c r="D1488" s="2"/>
      <c r="E1488" s="2" t="s">
        <v>43</v>
      </c>
      <c r="F1488" s="3" t="n">
        <v>0.000103</v>
      </c>
      <c r="G1488" s="3" t="n">
        <f aca="false">SUM($F$2:F1488)</f>
        <v>0.890567</v>
      </c>
      <c r="H1488" s="4"/>
      <c r="I1488" s="5"/>
      <c r="J1488" s="4"/>
      <c r="K1488" s="5"/>
      <c r="L1488" s="6"/>
      <c r="M1488" s="5" t="str">
        <f aca="false">IF(AND(N(K1488)&gt;0,N(L1488)&gt;0),K1488/L1488,"")</f>
        <v/>
      </c>
      <c r="N1488" s="2" t="s">
        <v>1226</v>
      </c>
    </row>
    <row r="1489" customFormat="false" ht="15" hidden="false" customHeight="false" outlineLevel="0" collapsed="false">
      <c r="A1489" s="2" t="n">
        <v>1488</v>
      </c>
      <c r="B1489" s="2" t="s">
        <v>3282</v>
      </c>
      <c r="C1489" s="2" t="s">
        <v>3283</v>
      </c>
      <c r="D1489" s="2"/>
      <c r="E1489" s="2" t="s">
        <v>52</v>
      </c>
      <c r="F1489" s="3" t="n">
        <v>0.000103</v>
      </c>
      <c r="G1489" s="3" t="n">
        <f aca="false">SUM($F$2:F1489)</f>
        <v>0.89067</v>
      </c>
      <c r="H1489" s="4"/>
      <c r="I1489" s="5"/>
      <c r="J1489" s="4"/>
      <c r="K1489" s="5"/>
      <c r="L1489" s="6"/>
      <c r="M1489" s="5" t="str">
        <f aca="false">IF(AND(N(K1489)&gt;0,N(L1489)&gt;0),K1489/L1489,"")</f>
        <v/>
      </c>
      <c r="N1489" s="2" t="s">
        <v>1226</v>
      </c>
    </row>
    <row r="1490" customFormat="false" ht="15" hidden="false" customHeight="false" outlineLevel="0" collapsed="false">
      <c r="A1490" s="2" t="n">
        <v>1489</v>
      </c>
      <c r="B1490" s="2" t="s">
        <v>3284</v>
      </c>
      <c r="C1490" s="2" t="s">
        <v>3285</v>
      </c>
      <c r="D1490" s="2"/>
      <c r="E1490" s="2" t="s">
        <v>52</v>
      </c>
      <c r="F1490" s="3" t="n">
        <v>0.000103</v>
      </c>
      <c r="G1490" s="3" t="n">
        <f aca="false">SUM($F$2:F1490)</f>
        <v>0.890773</v>
      </c>
      <c r="H1490" s="4"/>
      <c r="I1490" s="5"/>
      <c r="J1490" s="4"/>
      <c r="K1490" s="5"/>
      <c r="L1490" s="6"/>
      <c r="M1490" s="5" t="str">
        <f aca="false">IF(AND(N(K1490)&gt;0,N(L1490)&gt;0),K1490/L1490,"")</f>
        <v/>
      </c>
      <c r="N1490" s="2" t="s">
        <v>1226</v>
      </c>
    </row>
    <row r="1491" customFormat="false" ht="15" hidden="false" customHeight="false" outlineLevel="0" collapsed="false">
      <c r="A1491" s="2" t="n">
        <v>1490</v>
      </c>
      <c r="B1491" s="2" t="s">
        <v>3286</v>
      </c>
      <c r="C1491" s="2" t="s">
        <v>3287</v>
      </c>
      <c r="D1491" s="2"/>
      <c r="E1491" s="2" t="s">
        <v>1345</v>
      </c>
      <c r="F1491" s="3" t="n">
        <v>0.000103</v>
      </c>
      <c r="G1491" s="3" t="n">
        <f aca="false">SUM($F$2:F1491)</f>
        <v>0.890876</v>
      </c>
      <c r="H1491" s="4"/>
      <c r="I1491" s="5"/>
      <c r="J1491" s="4"/>
      <c r="K1491" s="5"/>
      <c r="L1491" s="6"/>
      <c r="M1491" s="5" t="str">
        <f aca="false">IF(AND(N(K1491)&gt;0,N(L1491)&gt;0),K1491/L1491,"")</f>
        <v/>
      </c>
      <c r="N1491" s="2" t="s">
        <v>1226</v>
      </c>
    </row>
    <row r="1492" customFormat="false" ht="15" hidden="false" customHeight="false" outlineLevel="0" collapsed="false">
      <c r="A1492" s="2" t="n">
        <v>1491</v>
      </c>
      <c r="B1492" s="2" t="s">
        <v>3288</v>
      </c>
      <c r="C1492" s="2" t="s">
        <v>3289</v>
      </c>
      <c r="D1492" s="2"/>
      <c r="E1492" s="2" t="s">
        <v>29</v>
      </c>
      <c r="F1492" s="3" t="n">
        <v>0.000103</v>
      </c>
      <c r="G1492" s="3" t="n">
        <f aca="false">SUM($F$2:F1492)</f>
        <v>0.890979</v>
      </c>
      <c r="H1492" s="4"/>
      <c r="I1492" s="5"/>
      <c r="J1492" s="4"/>
      <c r="K1492" s="5"/>
      <c r="L1492" s="6"/>
      <c r="M1492" s="5" t="str">
        <f aca="false">IF(AND(N(K1492)&gt;0,N(L1492)&gt;0),K1492/L1492,"")</f>
        <v/>
      </c>
      <c r="N1492" s="2" t="s">
        <v>1226</v>
      </c>
    </row>
    <row r="1493" customFormat="false" ht="15" hidden="false" customHeight="false" outlineLevel="0" collapsed="false">
      <c r="A1493" s="2" t="n">
        <v>1492</v>
      </c>
      <c r="B1493" s="2" t="s">
        <v>3290</v>
      </c>
      <c r="C1493" s="2" t="s">
        <v>3291</v>
      </c>
      <c r="D1493" s="2"/>
      <c r="E1493" s="2" t="s">
        <v>82</v>
      </c>
      <c r="F1493" s="3" t="n">
        <v>0.000102</v>
      </c>
      <c r="G1493" s="3" t="n">
        <f aca="false">SUM($F$2:F1493)</f>
        <v>0.891081</v>
      </c>
      <c r="H1493" s="4"/>
      <c r="I1493" s="5"/>
      <c r="J1493" s="4"/>
      <c r="K1493" s="5"/>
      <c r="L1493" s="6"/>
      <c r="M1493" s="5" t="str">
        <f aca="false">IF(AND(N(K1493)&gt;0,N(L1493)&gt;0),K1493/L1493,"")</f>
        <v/>
      </c>
      <c r="N1493" s="2" t="s">
        <v>1226</v>
      </c>
    </row>
    <row r="1494" customFormat="false" ht="15" hidden="false" customHeight="false" outlineLevel="0" collapsed="false">
      <c r="A1494" s="2" t="n">
        <v>1493</v>
      </c>
      <c r="B1494" s="2" t="s">
        <v>3292</v>
      </c>
      <c r="C1494" s="2" t="s">
        <v>3293</v>
      </c>
      <c r="D1494" s="2"/>
      <c r="E1494" s="2" t="s">
        <v>25</v>
      </c>
      <c r="F1494" s="3" t="n">
        <v>0.000102</v>
      </c>
      <c r="G1494" s="3" t="n">
        <f aca="false">SUM($F$2:F1494)</f>
        <v>0.891183</v>
      </c>
      <c r="H1494" s="4"/>
      <c r="I1494" s="5"/>
      <c r="J1494" s="4"/>
      <c r="K1494" s="5"/>
      <c r="L1494" s="6"/>
      <c r="M1494" s="5" t="str">
        <f aca="false">IF(AND(N(K1494)&gt;0,N(L1494)&gt;0),K1494/L1494,"")</f>
        <v/>
      </c>
      <c r="N1494" s="2" t="s">
        <v>1226</v>
      </c>
    </row>
    <row r="1495" customFormat="false" ht="15" hidden="false" customHeight="false" outlineLevel="0" collapsed="false">
      <c r="A1495" s="2" t="n">
        <v>1494</v>
      </c>
      <c r="B1495" s="2" t="s">
        <v>3294</v>
      </c>
      <c r="C1495" s="2" t="s">
        <v>3295</v>
      </c>
      <c r="D1495" s="2"/>
      <c r="E1495" s="2" t="s">
        <v>539</v>
      </c>
      <c r="F1495" s="3" t="n">
        <v>0.000102</v>
      </c>
      <c r="G1495" s="3" t="n">
        <f aca="false">SUM($F$2:F1495)</f>
        <v>0.891285</v>
      </c>
      <c r="H1495" s="4"/>
      <c r="I1495" s="5"/>
      <c r="J1495" s="4"/>
      <c r="K1495" s="5"/>
      <c r="L1495" s="6"/>
      <c r="M1495" s="5" t="str">
        <f aca="false">IF(AND(N(K1495)&gt;0,N(L1495)&gt;0),K1495/L1495,"")</f>
        <v/>
      </c>
      <c r="N1495" s="2" t="s">
        <v>1226</v>
      </c>
    </row>
    <row r="1496" customFormat="false" ht="15" hidden="false" customHeight="false" outlineLevel="0" collapsed="false">
      <c r="A1496" s="2" t="n">
        <v>1495</v>
      </c>
      <c r="B1496" s="2" t="s">
        <v>3296</v>
      </c>
      <c r="C1496" s="2" t="s">
        <v>3297</v>
      </c>
      <c r="D1496" s="2"/>
      <c r="E1496" s="2" t="s">
        <v>43</v>
      </c>
      <c r="F1496" s="3" t="n">
        <v>0.000102</v>
      </c>
      <c r="G1496" s="3" t="n">
        <f aca="false">SUM($F$2:F1496)</f>
        <v>0.891387</v>
      </c>
      <c r="H1496" s="4"/>
      <c r="I1496" s="5"/>
      <c r="J1496" s="4"/>
      <c r="K1496" s="5"/>
      <c r="L1496" s="6"/>
      <c r="M1496" s="5" t="str">
        <f aca="false">IF(AND(N(K1496)&gt;0,N(L1496)&gt;0),K1496/L1496,"")</f>
        <v/>
      </c>
      <c r="N1496" s="2" t="s">
        <v>1226</v>
      </c>
    </row>
    <row r="1497" customFormat="false" ht="15" hidden="false" customHeight="false" outlineLevel="0" collapsed="false">
      <c r="A1497" s="2" t="n">
        <v>1496</v>
      </c>
      <c r="B1497" s="2" t="s">
        <v>3298</v>
      </c>
      <c r="C1497" s="2" t="s">
        <v>3299</v>
      </c>
      <c r="D1497" s="2"/>
      <c r="E1497" s="2" t="s">
        <v>43</v>
      </c>
      <c r="F1497" s="3" t="n">
        <v>0.000102</v>
      </c>
      <c r="G1497" s="3" t="n">
        <f aca="false">SUM($F$2:F1497)</f>
        <v>0.891489</v>
      </c>
      <c r="H1497" s="4"/>
      <c r="I1497" s="5"/>
      <c r="J1497" s="4"/>
      <c r="K1497" s="5"/>
      <c r="L1497" s="6"/>
      <c r="M1497" s="5" t="str">
        <f aca="false">IF(AND(N(K1497)&gt;0,N(L1497)&gt;0),K1497/L1497,"")</f>
        <v/>
      </c>
      <c r="N1497" s="2" t="s">
        <v>1226</v>
      </c>
    </row>
    <row r="1498" customFormat="false" ht="15" hidden="false" customHeight="false" outlineLevel="0" collapsed="false">
      <c r="A1498" s="2" t="n">
        <v>1497</v>
      </c>
      <c r="B1498" s="2" t="s">
        <v>3300</v>
      </c>
      <c r="C1498" s="2" t="s">
        <v>3301</v>
      </c>
      <c r="D1498" s="2"/>
      <c r="E1498" s="2" t="s">
        <v>52</v>
      </c>
      <c r="F1498" s="3" t="n">
        <v>0.000102</v>
      </c>
      <c r="G1498" s="3" t="n">
        <f aca="false">SUM($F$2:F1498)</f>
        <v>0.891591</v>
      </c>
      <c r="H1498" s="4"/>
      <c r="I1498" s="5"/>
      <c r="J1498" s="4"/>
      <c r="K1498" s="5"/>
      <c r="L1498" s="6"/>
      <c r="M1498" s="5" t="str">
        <f aca="false">IF(AND(N(K1498)&gt;0,N(L1498)&gt;0),K1498/L1498,"")</f>
        <v/>
      </c>
      <c r="N1498" s="2" t="s">
        <v>1226</v>
      </c>
    </row>
    <row r="1499" customFormat="false" ht="15" hidden="false" customHeight="false" outlineLevel="0" collapsed="false">
      <c r="A1499" s="2" t="n">
        <v>1498</v>
      </c>
      <c r="B1499" s="2" t="s">
        <v>3302</v>
      </c>
      <c r="C1499" s="2" t="s">
        <v>3303</v>
      </c>
      <c r="D1499" s="2"/>
      <c r="E1499" s="2" t="s">
        <v>52</v>
      </c>
      <c r="F1499" s="3" t="n">
        <v>0.000102</v>
      </c>
      <c r="G1499" s="3" t="n">
        <f aca="false">SUM($F$2:F1499)</f>
        <v>0.891693</v>
      </c>
      <c r="H1499" s="4"/>
      <c r="I1499" s="5"/>
      <c r="J1499" s="4"/>
      <c r="K1499" s="5"/>
      <c r="L1499" s="6"/>
      <c r="M1499" s="5" t="str">
        <f aca="false">IF(AND(N(K1499)&gt;0,N(L1499)&gt;0),K1499/L1499,"")</f>
        <v/>
      </c>
      <c r="N1499" s="2" t="s">
        <v>1226</v>
      </c>
    </row>
    <row r="1500" customFormat="false" ht="15" hidden="false" customHeight="false" outlineLevel="0" collapsed="false">
      <c r="A1500" s="2" t="n">
        <v>1499</v>
      </c>
      <c r="B1500" s="2" t="s">
        <v>3304</v>
      </c>
      <c r="C1500" s="2" t="s">
        <v>3305</v>
      </c>
      <c r="D1500" s="2"/>
      <c r="E1500" s="2" t="s">
        <v>289</v>
      </c>
      <c r="F1500" s="3" t="n">
        <v>0.000102</v>
      </c>
      <c r="G1500" s="3" t="n">
        <f aca="false">SUM($F$2:F1500)</f>
        <v>0.891795</v>
      </c>
      <c r="H1500" s="4"/>
      <c r="I1500" s="5"/>
      <c r="J1500" s="4"/>
      <c r="K1500" s="5"/>
      <c r="L1500" s="6"/>
      <c r="M1500" s="5" t="str">
        <f aca="false">IF(AND(N(K1500)&gt;0,N(L1500)&gt;0),K1500/L1500,"")</f>
        <v/>
      </c>
      <c r="N1500" s="2" t="s">
        <v>1226</v>
      </c>
    </row>
    <row r="1501" customFormat="false" ht="15" hidden="false" customHeight="false" outlineLevel="0" collapsed="false">
      <c r="A1501" s="2" t="n">
        <v>1500</v>
      </c>
      <c r="B1501" s="2" t="s">
        <v>3306</v>
      </c>
      <c r="C1501" s="2" t="s">
        <v>3307</v>
      </c>
      <c r="D1501" s="2"/>
      <c r="E1501" s="2" t="s">
        <v>82</v>
      </c>
      <c r="F1501" s="3" t="n">
        <v>0.000102</v>
      </c>
      <c r="G1501" s="3" t="n">
        <f aca="false">SUM($F$2:F1501)</f>
        <v>0.891897</v>
      </c>
      <c r="H1501" s="4"/>
      <c r="I1501" s="5"/>
      <c r="J1501" s="4"/>
      <c r="K1501" s="5"/>
      <c r="L1501" s="6"/>
      <c r="M1501" s="5" t="str">
        <f aca="false">IF(AND(N(K1501)&gt;0,N(L1501)&gt;0),K1501/L1501,"")</f>
        <v/>
      </c>
      <c r="N1501" s="2" t="s">
        <v>1226</v>
      </c>
    </row>
    <row r="1502" customFormat="false" ht="15" hidden="false" customHeight="false" outlineLevel="0" collapsed="false">
      <c r="A1502" s="2" t="n">
        <v>1501</v>
      </c>
      <c r="B1502" s="2" t="s">
        <v>3308</v>
      </c>
      <c r="C1502" s="2" t="s">
        <v>3309</v>
      </c>
      <c r="D1502" s="2"/>
      <c r="E1502" s="2" t="s">
        <v>29</v>
      </c>
      <c r="F1502" s="3" t="n">
        <v>0.000102</v>
      </c>
      <c r="G1502" s="3" t="n">
        <f aca="false">SUM($F$2:F1502)</f>
        <v>0.891999</v>
      </c>
      <c r="H1502" s="4"/>
      <c r="I1502" s="5"/>
      <c r="J1502" s="4"/>
      <c r="K1502" s="5"/>
      <c r="L1502" s="6"/>
      <c r="M1502" s="5" t="str">
        <f aca="false">IF(AND(N(K1502)&gt;0,N(L1502)&gt;0),K1502/L1502,"")</f>
        <v/>
      </c>
      <c r="N1502" s="2" t="s">
        <v>1226</v>
      </c>
    </row>
    <row r="1503" customFormat="false" ht="15" hidden="false" customHeight="false" outlineLevel="0" collapsed="false">
      <c r="A1503" s="2" t="n">
        <v>1502</v>
      </c>
      <c r="B1503" s="2" t="s">
        <v>3310</v>
      </c>
      <c r="C1503" s="2" t="s">
        <v>3311</v>
      </c>
      <c r="D1503" s="2"/>
      <c r="E1503" s="2" t="s">
        <v>52</v>
      </c>
      <c r="F1503" s="3" t="n">
        <v>0.000102</v>
      </c>
      <c r="G1503" s="3" t="n">
        <f aca="false">SUM($F$2:F1503)</f>
        <v>0.892101</v>
      </c>
      <c r="H1503" s="4"/>
      <c r="I1503" s="5"/>
      <c r="J1503" s="4"/>
      <c r="K1503" s="5"/>
      <c r="L1503" s="6"/>
      <c r="M1503" s="5" t="str">
        <f aca="false">IF(AND(N(K1503)&gt;0,N(L1503)&gt;0),K1503/L1503,"")</f>
        <v/>
      </c>
      <c r="N1503" s="2" t="s">
        <v>1226</v>
      </c>
    </row>
    <row r="1504" customFormat="false" ht="15" hidden="false" customHeight="false" outlineLevel="0" collapsed="false">
      <c r="A1504" s="2" t="n">
        <v>1503</v>
      </c>
      <c r="B1504" s="2" t="s">
        <v>3312</v>
      </c>
      <c r="C1504" s="2" t="s">
        <v>3313</v>
      </c>
      <c r="D1504" s="2"/>
      <c r="E1504" s="2" t="s">
        <v>33</v>
      </c>
      <c r="F1504" s="3" t="n">
        <v>0.000102</v>
      </c>
      <c r="G1504" s="3" t="n">
        <f aca="false">SUM($F$2:F1504)</f>
        <v>0.892203</v>
      </c>
      <c r="H1504" s="4"/>
      <c r="I1504" s="5"/>
      <c r="J1504" s="4"/>
      <c r="K1504" s="5"/>
      <c r="L1504" s="6"/>
      <c r="M1504" s="5" t="str">
        <f aca="false">IF(AND(N(K1504)&gt;0,N(L1504)&gt;0),K1504/L1504,"")</f>
        <v/>
      </c>
      <c r="N1504" s="2" t="s">
        <v>1226</v>
      </c>
    </row>
    <row r="1505" customFormat="false" ht="15" hidden="false" customHeight="false" outlineLevel="0" collapsed="false">
      <c r="A1505" s="2" t="n">
        <v>1504</v>
      </c>
      <c r="B1505" s="2" t="s">
        <v>3314</v>
      </c>
      <c r="C1505" s="2" t="s">
        <v>3315</v>
      </c>
      <c r="D1505" s="2"/>
      <c r="E1505" s="2" t="s">
        <v>29</v>
      </c>
      <c r="F1505" s="3" t="n">
        <v>0.000101</v>
      </c>
      <c r="G1505" s="3" t="n">
        <f aca="false">SUM($F$2:F1505)</f>
        <v>0.892304</v>
      </c>
      <c r="H1505" s="4"/>
      <c r="I1505" s="5"/>
      <c r="J1505" s="4"/>
      <c r="K1505" s="5"/>
      <c r="L1505" s="6"/>
      <c r="M1505" s="5" t="str">
        <f aca="false">IF(AND(N(K1505)&gt;0,N(L1505)&gt;0),K1505/L1505,"")</f>
        <v/>
      </c>
      <c r="N1505" s="2" t="s">
        <v>1226</v>
      </c>
    </row>
    <row r="1506" customFormat="false" ht="15" hidden="false" customHeight="false" outlineLevel="0" collapsed="false">
      <c r="A1506" s="2" t="n">
        <v>1505</v>
      </c>
      <c r="B1506" s="2" t="s">
        <v>3316</v>
      </c>
      <c r="C1506" s="2" t="s">
        <v>3317</v>
      </c>
      <c r="D1506" s="2"/>
      <c r="E1506" s="2" t="s">
        <v>199</v>
      </c>
      <c r="F1506" s="3" t="n">
        <v>0.000101</v>
      </c>
      <c r="G1506" s="3" t="n">
        <f aca="false">SUM($F$2:F1506)</f>
        <v>0.892405</v>
      </c>
      <c r="H1506" s="4"/>
      <c r="I1506" s="5"/>
      <c r="J1506" s="4"/>
      <c r="K1506" s="5"/>
      <c r="L1506" s="6"/>
      <c r="M1506" s="5" t="str">
        <f aca="false">IF(AND(N(K1506)&gt;0,N(L1506)&gt;0),K1506/L1506,"")</f>
        <v/>
      </c>
      <c r="N1506" s="2" t="s">
        <v>1226</v>
      </c>
    </row>
    <row r="1507" customFormat="false" ht="15" hidden="false" customHeight="false" outlineLevel="0" collapsed="false">
      <c r="A1507" s="2" t="n">
        <v>1506</v>
      </c>
      <c r="B1507" s="2" t="s">
        <v>301</v>
      </c>
      <c r="C1507" s="2" t="s">
        <v>3318</v>
      </c>
      <c r="D1507" s="2"/>
      <c r="E1507" s="2" t="s">
        <v>25</v>
      </c>
      <c r="F1507" s="3" t="n">
        <v>0.000101</v>
      </c>
      <c r="G1507" s="3" t="n">
        <f aca="false">SUM($F$2:F1507)</f>
        <v>0.892506</v>
      </c>
      <c r="H1507" s="4"/>
      <c r="I1507" s="5"/>
      <c r="J1507" s="4"/>
      <c r="K1507" s="5"/>
      <c r="L1507" s="6"/>
      <c r="M1507" s="5" t="str">
        <f aca="false">IF(AND(N(K1507)&gt;0,N(L1507)&gt;0),K1507/L1507,"")</f>
        <v/>
      </c>
      <c r="N1507" s="2" t="s">
        <v>34</v>
      </c>
    </row>
    <row r="1508" customFormat="false" ht="15" hidden="false" customHeight="false" outlineLevel="0" collapsed="false">
      <c r="A1508" s="2" t="n">
        <v>1507</v>
      </c>
      <c r="B1508" s="2" t="s">
        <v>3319</v>
      </c>
      <c r="C1508" s="2" t="s">
        <v>3320</v>
      </c>
      <c r="D1508" s="2"/>
      <c r="E1508" s="2" t="s">
        <v>17</v>
      </c>
      <c r="F1508" s="3" t="n">
        <v>0.000101</v>
      </c>
      <c r="G1508" s="3" t="n">
        <f aca="false">SUM($F$2:F1508)</f>
        <v>0.892607</v>
      </c>
      <c r="H1508" s="4"/>
      <c r="I1508" s="5"/>
      <c r="J1508" s="4"/>
      <c r="K1508" s="5"/>
      <c r="L1508" s="6"/>
      <c r="M1508" s="5" t="str">
        <f aca="false">IF(AND(N(K1508)&gt;0,N(L1508)&gt;0),K1508/L1508,"")</f>
        <v/>
      </c>
      <c r="N1508" s="2" t="s">
        <v>1226</v>
      </c>
    </row>
    <row r="1509" customFormat="false" ht="15" hidden="false" customHeight="false" outlineLevel="0" collapsed="false">
      <c r="A1509" s="2" t="n">
        <v>1508</v>
      </c>
      <c r="B1509" s="2" t="s">
        <v>3321</v>
      </c>
      <c r="C1509" s="2" t="s">
        <v>3322</v>
      </c>
      <c r="D1509" s="2"/>
      <c r="E1509" s="2" t="s">
        <v>43</v>
      </c>
      <c r="F1509" s="3" t="n">
        <v>0.000101</v>
      </c>
      <c r="G1509" s="3" t="n">
        <f aca="false">SUM($F$2:F1509)</f>
        <v>0.892708</v>
      </c>
      <c r="H1509" s="4"/>
      <c r="I1509" s="5"/>
      <c r="J1509" s="4"/>
      <c r="K1509" s="5"/>
      <c r="L1509" s="6"/>
      <c r="M1509" s="5" t="str">
        <f aca="false">IF(AND(N(K1509)&gt;0,N(L1509)&gt;0),K1509/L1509,"")</f>
        <v/>
      </c>
      <c r="N1509" s="2" t="s">
        <v>1226</v>
      </c>
    </row>
    <row r="1510" customFormat="false" ht="15" hidden="false" customHeight="false" outlineLevel="0" collapsed="false">
      <c r="A1510" s="2" t="n">
        <v>1509</v>
      </c>
      <c r="B1510" s="2" t="s">
        <v>3323</v>
      </c>
      <c r="C1510" s="2" t="s">
        <v>3324</v>
      </c>
      <c r="D1510" s="2"/>
      <c r="E1510" s="2" t="s">
        <v>289</v>
      </c>
      <c r="F1510" s="3" t="n">
        <v>0.000101</v>
      </c>
      <c r="G1510" s="3" t="n">
        <f aca="false">SUM($F$2:F1510)</f>
        <v>0.892809</v>
      </c>
      <c r="H1510" s="4"/>
      <c r="I1510" s="5"/>
      <c r="J1510" s="4"/>
      <c r="K1510" s="5"/>
      <c r="L1510" s="6"/>
      <c r="M1510" s="5" t="str">
        <f aca="false">IF(AND(N(K1510)&gt;0,N(L1510)&gt;0),K1510/L1510,"")</f>
        <v/>
      </c>
      <c r="N1510" s="2" t="s">
        <v>1226</v>
      </c>
    </row>
    <row r="1511" customFormat="false" ht="15" hidden="false" customHeight="false" outlineLevel="0" collapsed="false">
      <c r="A1511" s="2" t="n">
        <v>1510</v>
      </c>
      <c r="B1511" s="2" t="s">
        <v>3325</v>
      </c>
      <c r="C1511" s="2" t="s">
        <v>3326</v>
      </c>
      <c r="D1511" s="2"/>
      <c r="E1511" s="2" t="s">
        <v>29</v>
      </c>
      <c r="F1511" s="3" t="n">
        <v>0.000101</v>
      </c>
      <c r="G1511" s="3" t="n">
        <f aca="false">SUM($F$2:F1511)</f>
        <v>0.89291</v>
      </c>
      <c r="H1511" s="4"/>
      <c r="I1511" s="5"/>
      <c r="J1511" s="4"/>
      <c r="K1511" s="5"/>
      <c r="L1511" s="6"/>
      <c r="M1511" s="5" t="str">
        <f aca="false">IF(AND(N(K1511)&gt;0,N(L1511)&gt;0),K1511/L1511,"")</f>
        <v/>
      </c>
      <c r="N1511" s="2" t="s">
        <v>1226</v>
      </c>
    </row>
    <row r="1512" customFormat="false" ht="15" hidden="false" customHeight="false" outlineLevel="0" collapsed="false">
      <c r="A1512" s="2" t="n">
        <v>1511</v>
      </c>
      <c r="B1512" s="2" t="s">
        <v>3327</v>
      </c>
      <c r="C1512" s="2" t="s">
        <v>3328</v>
      </c>
      <c r="D1512" s="2"/>
      <c r="E1512" s="2" t="s">
        <v>1245</v>
      </c>
      <c r="F1512" s="3" t="n">
        <v>0.000101</v>
      </c>
      <c r="G1512" s="3" t="n">
        <f aca="false">SUM($F$2:F1512)</f>
        <v>0.893011</v>
      </c>
      <c r="H1512" s="4"/>
      <c r="I1512" s="5"/>
      <c r="J1512" s="4"/>
      <c r="K1512" s="5"/>
      <c r="L1512" s="6"/>
      <c r="M1512" s="5" t="str">
        <f aca="false">IF(AND(N(K1512)&gt;0,N(L1512)&gt;0),K1512/L1512,"")</f>
        <v/>
      </c>
      <c r="N1512" s="2" t="s">
        <v>1226</v>
      </c>
    </row>
    <row r="1513" customFormat="false" ht="15" hidden="false" customHeight="false" outlineLevel="0" collapsed="false">
      <c r="A1513" s="2" t="n">
        <v>1512</v>
      </c>
      <c r="B1513" s="2" t="s">
        <v>3329</v>
      </c>
      <c r="C1513" s="2" t="s">
        <v>3330</v>
      </c>
      <c r="D1513" s="2"/>
      <c r="E1513" s="2" t="s">
        <v>29</v>
      </c>
      <c r="F1513" s="3" t="n">
        <v>0.000101</v>
      </c>
      <c r="G1513" s="3" t="n">
        <f aca="false">SUM($F$2:F1513)</f>
        <v>0.893112</v>
      </c>
      <c r="H1513" s="4"/>
      <c r="I1513" s="5"/>
      <c r="J1513" s="4"/>
      <c r="K1513" s="5"/>
      <c r="L1513" s="6"/>
      <c r="M1513" s="5" t="str">
        <f aca="false">IF(AND(N(K1513)&gt;0,N(L1513)&gt;0),K1513/L1513,"")</f>
        <v/>
      </c>
      <c r="N1513" s="2" t="s">
        <v>1226</v>
      </c>
    </row>
    <row r="1514" customFormat="false" ht="15" hidden="false" customHeight="false" outlineLevel="0" collapsed="false">
      <c r="A1514" s="2" t="n">
        <v>1513</v>
      </c>
      <c r="B1514" s="2" t="s">
        <v>3331</v>
      </c>
      <c r="C1514" s="2" t="s">
        <v>3332</v>
      </c>
      <c r="D1514" s="2"/>
      <c r="E1514" s="2" t="s">
        <v>29</v>
      </c>
      <c r="F1514" s="3" t="n">
        <v>0.000101</v>
      </c>
      <c r="G1514" s="3" t="n">
        <f aca="false">SUM($F$2:F1514)</f>
        <v>0.893213</v>
      </c>
      <c r="H1514" s="4"/>
      <c r="I1514" s="5"/>
      <c r="J1514" s="4"/>
      <c r="K1514" s="5"/>
      <c r="L1514" s="6"/>
      <c r="M1514" s="5" t="str">
        <f aca="false">IF(AND(N(K1514)&gt;0,N(L1514)&gt;0),K1514/L1514,"")</f>
        <v/>
      </c>
      <c r="N1514" s="2" t="s">
        <v>1226</v>
      </c>
    </row>
    <row r="1515" customFormat="false" ht="15" hidden="false" customHeight="false" outlineLevel="0" collapsed="false">
      <c r="A1515" s="2" t="n">
        <v>1514</v>
      </c>
      <c r="B1515" s="2" t="s">
        <v>3333</v>
      </c>
      <c r="C1515" s="2" t="s">
        <v>3334</v>
      </c>
      <c r="D1515" s="2"/>
      <c r="E1515" s="2" t="s">
        <v>334</v>
      </c>
      <c r="F1515" s="3" t="n">
        <v>0.000101</v>
      </c>
      <c r="G1515" s="3" t="n">
        <f aca="false">SUM($F$2:F1515)</f>
        <v>0.893314</v>
      </c>
      <c r="H1515" s="4"/>
      <c r="I1515" s="5"/>
      <c r="J1515" s="4"/>
      <c r="K1515" s="5"/>
      <c r="L1515" s="6"/>
      <c r="M1515" s="5" t="str">
        <f aca="false">IF(AND(N(K1515)&gt;0,N(L1515)&gt;0),K1515/L1515,"")</f>
        <v/>
      </c>
      <c r="N1515" s="2" t="s">
        <v>1226</v>
      </c>
    </row>
    <row r="1516" customFormat="false" ht="15" hidden="false" customHeight="false" outlineLevel="0" collapsed="false">
      <c r="A1516" s="2" t="n">
        <v>1515</v>
      </c>
      <c r="B1516" s="2" t="s">
        <v>3335</v>
      </c>
      <c r="C1516" s="2" t="s">
        <v>3336</v>
      </c>
      <c r="D1516" s="2"/>
      <c r="E1516" s="2" t="s">
        <v>29</v>
      </c>
      <c r="F1516" s="3" t="n">
        <v>0.0001</v>
      </c>
      <c r="G1516" s="3" t="n">
        <f aca="false">SUM($F$2:F1516)</f>
        <v>0.893414</v>
      </c>
      <c r="H1516" s="4"/>
      <c r="I1516" s="5"/>
      <c r="J1516" s="4"/>
      <c r="K1516" s="5"/>
      <c r="L1516" s="6"/>
      <c r="M1516" s="5" t="str">
        <f aca="false">IF(AND(N(K1516)&gt;0,N(L1516)&gt;0),K1516/L1516,"")</f>
        <v/>
      </c>
      <c r="N1516" s="2" t="s">
        <v>1226</v>
      </c>
    </row>
    <row r="1517" customFormat="false" ht="15" hidden="false" customHeight="false" outlineLevel="0" collapsed="false">
      <c r="A1517" s="2" t="n">
        <v>1516</v>
      </c>
      <c r="B1517" s="2" t="s">
        <v>3337</v>
      </c>
      <c r="C1517" s="2" t="s">
        <v>3338</v>
      </c>
      <c r="D1517" s="2"/>
      <c r="E1517" s="2" t="s">
        <v>52</v>
      </c>
      <c r="F1517" s="3" t="n">
        <v>0.0001</v>
      </c>
      <c r="G1517" s="3" t="n">
        <f aca="false">SUM($F$2:F1517)</f>
        <v>0.893514</v>
      </c>
      <c r="H1517" s="4"/>
      <c r="I1517" s="5"/>
      <c r="J1517" s="4"/>
      <c r="K1517" s="5"/>
      <c r="L1517" s="6"/>
      <c r="M1517" s="5" t="str">
        <f aca="false">IF(AND(N(K1517)&gt;0,N(L1517)&gt;0),K1517/L1517,"")</f>
        <v/>
      </c>
      <c r="N1517" s="2" t="s">
        <v>1226</v>
      </c>
    </row>
    <row r="1518" customFormat="false" ht="15" hidden="false" customHeight="false" outlineLevel="0" collapsed="false">
      <c r="A1518" s="2" t="n">
        <v>1517</v>
      </c>
      <c r="B1518" s="2" t="s">
        <v>3339</v>
      </c>
      <c r="C1518" s="2" t="s">
        <v>3340</v>
      </c>
      <c r="D1518" s="2"/>
      <c r="E1518" s="2" t="s">
        <v>21</v>
      </c>
      <c r="F1518" s="3" t="n">
        <v>0.0001</v>
      </c>
      <c r="G1518" s="3" t="n">
        <f aca="false">SUM($F$2:F1518)</f>
        <v>0.893614</v>
      </c>
      <c r="H1518" s="4"/>
      <c r="I1518" s="5"/>
      <c r="J1518" s="4"/>
      <c r="K1518" s="5"/>
      <c r="L1518" s="6"/>
      <c r="M1518" s="5" t="str">
        <f aca="false">IF(AND(N(K1518)&gt;0,N(L1518)&gt;0),K1518/L1518,"")</f>
        <v/>
      </c>
      <c r="N1518" s="2" t="s">
        <v>1226</v>
      </c>
    </row>
    <row r="1519" customFormat="false" ht="15" hidden="false" customHeight="false" outlineLevel="0" collapsed="false">
      <c r="A1519" s="2" t="n">
        <v>1518</v>
      </c>
      <c r="B1519" s="2" t="s">
        <v>3341</v>
      </c>
      <c r="C1519" s="2" t="s">
        <v>3342</v>
      </c>
      <c r="D1519" s="2"/>
      <c r="E1519" s="2" t="s">
        <v>52</v>
      </c>
      <c r="F1519" s="3" t="n">
        <v>0.0001</v>
      </c>
      <c r="G1519" s="3" t="n">
        <f aca="false">SUM($F$2:F1519)</f>
        <v>0.893714</v>
      </c>
      <c r="H1519" s="4"/>
      <c r="I1519" s="5"/>
      <c r="J1519" s="4"/>
      <c r="K1519" s="5"/>
      <c r="L1519" s="6"/>
      <c r="M1519" s="5" t="str">
        <f aca="false">IF(AND(N(K1519)&gt;0,N(L1519)&gt;0),K1519/L1519,"")</f>
        <v/>
      </c>
      <c r="N1519" s="2" t="s">
        <v>1226</v>
      </c>
    </row>
    <row r="1520" customFormat="false" ht="15" hidden="false" customHeight="false" outlineLevel="0" collapsed="false">
      <c r="A1520" s="2" t="n">
        <v>1519</v>
      </c>
      <c r="B1520" s="2" t="s">
        <v>3343</v>
      </c>
      <c r="C1520" s="2" t="s">
        <v>3344</v>
      </c>
      <c r="D1520" s="2"/>
      <c r="E1520" s="2" t="s">
        <v>29</v>
      </c>
      <c r="F1520" s="3" t="n">
        <v>0.0001</v>
      </c>
      <c r="G1520" s="3" t="n">
        <f aca="false">SUM($F$2:F1520)</f>
        <v>0.893814</v>
      </c>
      <c r="H1520" s="4"/>
      <c r="I1520" s="5"/>
      <c r="J1520" s="4"/>
      <c r="K1520" s="5"/>
      <c r="L1520" s="6"/>
      <c r="M1520" s="5" t="str">
        <f aca="false">IF(AND(N(K1520)&gt;0,N(L1520)&gt;0),K1520/L1520,"")</f>
        <v/>
      </c>
      <c r="N1520" s="2" t="s">
        <v>1226</v>
      </c>
    </row>
    <row r="1521" customFormat="false" ht="15" hidden="false" customHeight="false" outlineLevel="0" collapsed="false">
      <c r="A1521" s="2" t="n">
        <v>1520</v>
      </c>
      <c r="B1521" s="2" t="s">
        <v>3345</v>
      </c>
      <c r="C1521" s="2" t="s">
        <v>3346</v>
      </c>
      <c r="D1521" s="2"/>
      <c r="E1521" s="2" t="s">
        <v>289</v>
      </c>
      <c r="F1521" s="3" t="n">
        <v>0.0001</v>
      </c>
      <c r="G1521" s="3" t="n">
        <f aca="false">SUM($F$2:F1521)</f>
        <v>0.893914</v>
      </c>
      <c r="H1521" s="4"/>
      <c r="I1521" s="5"/>
      <c r="J1521" s="4"/>
      <c r="K1521" s="5"/>
      <c r="L1521" s="6"/>
      <c r="M1521" s="5" t="str">
        <f aca="false">IF(AND(N(K1521)&gt;0,N(L1521)&gt;0),K1521/L1521,"")</f>
        <v/>
      </c>
      <c r="N1521" s="2" t="s">
        <v>1226</v>
      </c>
    </row>
    <row r="1522" customFormat="false" ht="15" hidden="false" customHeight="false" outlineLevel="0" collapsed="false">
      <c r="A1522" s="2" t="n">
        <v>1521</v>
      </c>
      <c r="B1522" s="2" t="s">
        <v>3347</v>
      </c>
      <c r="C1522" s="2" t="s">
        <v>3348</v>
      </c>
      <c r="D1522" s="2"/>
      <c r="E1522" s="2" t="s">
        <v>33</v>
      </c>
      <c r="F1522" s="3" t="n">
        <v>0.0001</v>
      </c>
      <c r="G1522" s="3" t="n">
        <f aca="false">SUM($F$2:F1522)</f>
        <v>0.894014</v>
      </c>
      <c r="H1522" s="4"/>
      <c r="I1522" s="5"/>
      <c r="J1522" s="4"/>
      <c r="K1522" s="5"/>
      <c r="L1522" s="6"/>
      <c r="M1522" s="5" t="str">
        <f aca="false">IF(AND(N(K1522)&gt;0,N(L1522)&gt;0),K1522/L1522,"")</f>
        <v/>
      </c>
      <c r="N1522" s="2" t="s">
        <v>1226</v>
      </c>
    </row>
    <row r="1523" customFormat="false" ht="15" hidden="false" customHeight="false" outlineLevel="0" collapsed="false">
      <c r="A1523" s="2" t="n">
        <v>1522</v>
      </c>
      <c r="B1523" s="2" t="s">
        <v>3349</v>
      </c>
      <c r="C1523" s="2" t="s">
        <v>3350</v>
      </c>
      <c r="D1523" s="2"/>
      <c r="E1523" s="2" t="s">
        <v>48</v>
      </c>
      <c r="F1523" s="3" t="n">
        <v>0.0001</v>
      </c>
      <c r="G1523" s="3" t="n">
        <f aca="false">SUM($F$2:F1523)</f>
        <v>0.894114</v>
      </c>
      <c r="H1523" s="4"/>
      <c r="I1523" s="5"/>
      <c r="J1523" s="4"/>
      <c r="K1523" s="5"/>
      <c r="L1523" s="6"/>
      <c r="M1523" s="5" t="str">
        <f aca="false">IF(AND(N(K1523)&gt;0,N(L1523)&gt;0),K1523/L1523,"")</f>
        <v/>
      </c>
      <c r="N1523" s="2" t="s">
        <v>1226</v>
      </c>
    </row>
    <row r="1524" customFormat="false" ht="15" hidden="false" customHeight="false" outlineLevel="0" collapsed="false">
      <c r="A1524" s="2" t="n">
        <v>1523</v>
      </c>
      <c r="B1524" s="2" t="s">
        <v>3351</v>
      </c>
      <c r="C1524" s="2" t="s">
        <v>3352</v>
      </c>
      <c r="D1524" s="2"/>
      <c r="E1524" s="2" t="s">
        <v>48</v>
      </c>
      <c r="F1524" s="3" t="n">
        <v>0.0001</v>
      </c>
      <c r="G1524" s="3" t="n">
        <f aca="false">SUM($F$2:F1524)</f>
        <v>0.894214</v>
      </c>
      <c r="H1524" s="4"/>
      <c r="I1524" s="5"/>
      <c r="J1524" s="4"/>
      <c r="K1524" s="5"/>
      <c r="L1524" s="6"/>
      <c r="M1524" s="5" t="str">
        <f aca="false">IF(AND(N(K1524)&gt;0,N(L1524)&gt;0),K1524/L1524,"")</f>
        <v/>
      </c>
      <c r="N1524" s="2" t="s">
        <v>1226</v>
      </c>
    </row>
    <row r="1525" customFormat="false" ht="15" hidden="false" customHeight="false" outlineLevel="0" collapsed="false">
      <c r="A1525" s="2" t="n">
        <v>1524</v>
      </c>
      <c r="B1525" s="2" t="s">
        <v>572</v>
      </c>
      <c r="C1525" s="2" t="s">
        <v>3353</v>
      </c>
      <c r="D1525" s="2"/>
      <c r="E1525" s="2" t="s">
        <v>765</v>
      </c>
      <c r="F1525" s="3" t="n">
        <v>0.0001</v>
      </c>
      <c r="G1525" s="3" t="n">
        <f aca="false">SUM($F$2:F1525)</f>
        <v>0.894314</v>
      </c>
      <c r="H1525" s="4"/>
      <c r="I1525" s="5"/>
      <c r="J1525" s="4"/>
      <c r="K1525" s="5"/>
      <c r="L1525" s="6"/>
      <c r="M1525" s="5" t="str">
        <f aca="false">IF(AND(N(K1525)&gt;0,N(L1525)&gt;0),K1525/L1525,"")</f>
        <v/>
      </c>
      <c r="N1525" s="2" t="s">
        <v>1226</v>
      </c>
    </row>
    <row r="1526" customFormat="false" ht="15" hidden="false" customHeight="false" outlineLevel="0" collapsed="false">
      <c r="A1526" s="2" t="n">
        <v>1525</v>
      </c>
      <c r="B1526" s="2" t="s">
        <v>3354</v>
      </c>
      <c r="C1526" s="2" t="s">
        <v>3355</v>
      </c>
      <c r="D1526" s="2"/>
      <c r="E1526" s="2" t="s">
        <v>43</v>
      </c>
      <c r="F1526" s="3" t="n">
        <v>9.9E-005</v>
      </c>
      <c r="G1526" s="3" t="n">
        <f aca="false">SUM($F$2:F1526)</f>
        <v>0.894413</v>
      </c>
      <c r="H1526" s="4"/>
      <c r="I1526" s="5"/>
      <c r="J1526" s="4"/>
      <c r="K1526" s="5"/>
      <c r="L1526" s="6"/>
      <c r="M1526" s="5" t="str">
        <f aca="false">IF(AND(N(K1526)&gt;0,N(L1526)&gt;0),K1526/L1526,"")</f>
        <v/>
      </c>
      <c r="N1526" s="2" t="s">
        <v>1226</v>
      </c>
    </row>
    <row r="1527" customFormat="false" ht="15" hidden="false" customHeight="false" outlineLevel="0" collapsed="false">
      <c r="A1527" s="2" t="n">
        <v>1526</v>
      </c>
      <c r="B1527" s="2" t="s">
        <v>3356</v>
      </c>
      <c r="C1527" s="2" t="s">
        <v>3357</v>
      </c>
      <c r="D1527" s="2"/>
      <c r="E1527" s="2" t="s">
        <v>52</v>
      </c>
      <c r="F1527" s="3" t="n">
        <v>9.9E-005</v>
      </c>
      <c r="G1527" s="3" t="n">
        <f aca="false">SUM($F$2:F1527)</f>
        <v>0.894512</v>
      </c>
      <c r="H1527" s="4"/>
      <c r="I1527" s="5"/>
      <c r="J1527" s="4"/>
      <c r="K1527" s="5"/>
      <c r="L1527" s="6"/>
      <c r="M1527" s="5" t="str">
        <f aca="false">IF(AND(N(K1527)&gt;0,N(L1527)&gt;0),K1527/L1527,"")</f>
        <v/>
      </c>
      <c r="N1527" s="2" t="s">
        <v>1226</v>
      </c>
    </row>
    <row r="1528" customFormat="false" ht="15" hidden="false" customHeight="false" outlineLevel="0" collapsed="false">
      <c r="A1528" s="2" t="n">
        <v>1527</v>
      </c>
      <c r="B1528" s="2" t="s">
        <v>3358</v>
      </c>
      <c r="C1528" s="2" t="s">
        <v>3359</v>
      </c>
      <c r="D1528" s="2"/>
      <c r="E1528" s="2" t="s">
        <v>17</v>
      </c>
      <c r="F1528" s="3" t="n">
        <v>9.9E-005</v>
      </c>
      <c r="G1528" s="3" t="n">
        <f aca="false">SUM($F$2:F1528)</f>
        <v>0.894611</v>
      </c>
      <c r="H1528" s="4"/>
      <c r="I1528" s="5"/>
      <c r="J1528" s="4"/>
      <c r="K1528" s="5"/>
      <c r="L1528" s="6"/>
      <c r="M1528" s="5" t="str">
        <f aca="false">IF(AND(N(K1528)&gt;0,N(L1528)&gt;0),K1528/L1528,"")</f>
        <v/>
      </c>
      <c r="N1528" s="2" t="s">
        <v>1226</v>
      </c>
    </row>
    <row r="1529" customFormat="false" ht="15" hidden="false" customHeight="false" outlineLevel="0" collapsed="false">
      <c r="A1529" s="2" t="n">
        <v>1528</v>
      </c>
      <c r="B1529" s="2" t="s">
        <v>3360</v>
      </c>
      <c r="C1529" s="2" t="s">
        <v>3361</v>
      </c>
      <c r="D1529" s="2"/>
      <c r="E1529" s="2" t="s">
        <v>33</v>
      </c>
      <c r="F1529" s="3" t="n">
        <v>9.9E-005</v>
      </c>
      <c r="G1529" s="3" t="n">
        <f aca="false">SUM($F$2:F1529)</f>
        <v>0.89471</v>
      </c>
      <c r="H1529" s="4"/>
      <c r="I1529" s="5"/>
      <c r="J1529" s="4"/>
      <c r="K1529" s="5"/>
      <c r="L1529" s="6"/>
      <c r="M1529" s="5" t="str">
        <f aca="false">IF(AND(N(K1529)&gt;0,N(L1529)&gt;0),K1529/L1529,"")</f>
        <v/>
      </c>
      <c r="N1529" s="2" t="s">
        <v>1226</v>
      </c>
    </row>
    <row r="1530" customFormat="false" ht="15" hidden="false" customHeight="false" outlineLevel="0" collapsed="false">
      <c r="A1530" s="2" t="n">
        <v>1529</v>
      </c>
      <c r="B1530" s="2" t="s">
        <v>3362</v>
      </c>
      <c r="C1530" s="2" t="s">
        <v>3363</v>
      </c>
      <c r="D1530" s="2"/>
      <c r="E1530" s="2" t="s">
        <v>52</v>
      </c>
      <c r="F1530" s="3" t="n">
        <v>9.9E-005</v>
      </c>
      <c r="G1530" s="3" t="n">
        <f aca="false">SUM($F$2:F1530)</f>
        <v>0.894809</v>
      </c>
      <c r="H1530" s="4"/>
      <c r="I1530" s="5"/>
      <c r="J1530" s="4"/>
      <c r="K1530" s="5"/>
      <c r="L1530" s="6"/>
      <c r="M1530" s="5" t="str">
        <f aca="false">IF(AND(N(K1530)&gt;0,N(L1530)&gt;0),K1530/L1530,"")</f>
        <v/>
      </c>
      <c r="N1530" s="2" t="s">
        <v>1226</v>
      </c>
    </row>
    <row r="1531" customFormat="false" ht="15" hidden="false" customHeight="false" outlineLevel="0" collapsed="false">
      <c r="A1531" s="2" t="n">
        <v>1530</v>
      </c>
      <c r="B1531" s="2" t="s">
        <v>3364</v>
      </c>
      <c r="C1531" s="2" t="s">
        <v>3365</v>
      </c>
      <c r="D1531" s="2"/>
      <c r="E1531" s="2" t="s">
        <v>52</v>
      </c>
      <c r="F1531" s="3" t="n">
        <v>9.9E-005</v>
      </c>
      <c r="G1531" s="3" t="n">
        <f aca="false">SUM($F$2:F1531)</f>
        <v>0.894908</v>
      </c>
      <c r="H1531" s="4"/>
      <c r="I1531" s="5"/>
      <c r="J1531" s="4"/>
      <c r="K1531" s="5"/>
      <c r="L1531" s="6"/>
      <c r="M1531" s="5" t="str">
        <f aca="false">IF(AND(N(K1531)&gt;0,N(L1531)&gt;0),K1531/L1531,"")</f>
        <v/>
      </c>
      <c r="N1531" s="2" t="s">
        <v>1226</v>
      </c>
    </row>
    <row r="1532" customFormat="false" ht="15" hidden="false" customHeight="false" outlineLevel="0" collapsed="false">
      <c r="A1532" s="2" t="n">
        <v>1531</v>
      </c>
      <c r="B1532" s="2" t="s">
        <v>3366</v>
      </c>
      <c r="C1532" s="2" t="s">
        <v>3367</v>
      </c>
      <c r="D1532" s="2"/>
      <c r="E1532" s="2" t="s">
        <v>38</v>
      </c>
      <c r="F1532" s="3" t="n">
        <v>9.9E-005</v>
      </c>
      <c r="G1532" s="3" t="n">
        <f aca="false">SUM($F$2:F1532)</f>
        <v>0.895007</v>
      </c>
      <c r="H1532" s="4"/>
      <c r="I1532" s="5"/>
      <c r="J1532" s="4"/>
      <c r="K1532" s="5"/>
      <c r="L1532" s="6"/>
      <c r="M1532" s="5" t="str">
        <f aca="false">IF(AND(N(K1532)&gt;0,N(L1532)&gt;0),K1532/L1532,"")</f>
        <v/>
      </c>
      <c r="N1532" s="2" t="s">
        <v>1226</v>
      </c>
    </row>
    <row r="1533" customFormat="false" ht="15" hidden="false" customHeight="false" outlineLevel="0" collapsed="false">
      <c r="A1533" s="2" t="n">
        <v>1532</v>
      </c>
      <c r="B1533" s="2" t="s">
        <v>3368</v>
      </c>
      <c r="C1533" s="2" t="s">
        <v>3369</v>
      </c>
      <c r="D1533" s="2"/>
      <c r="E1533" s="2" t="s">
        <v>29</v>
      </c>
      <c r="F1533" s="3" t="n">
        <v>9.9E-005</v>
      </c>
      <c r="G1533" s="3" t="n">
        <f aca="false">SUM($F$2:F1533)</f>
        <v>0.895106</v>
      </c>
      <c r="H1533" s="4"/>
      <c r="I1533" s="5"/>
      <c r="J1533" s="4"/>
      <c r="K1533" s="5"/>
      <c r="L1533" s="6"/>
      <c r="M1533" s="5" t="str">
        <f aca="false">IF(AND(N(K1533)&gt;0,N(L1533)&gt;0),K1533/L1533,"")</f>
        <v/>
      </c>
      <c r="N1533" s="2" t="s">
        <v>1226</v>
      </c>
    </row>
    <row r="1534" customFormat="false" ht="15" hidden="false" customHeight="false" outlineLevel="0" collapsed="false">
      <c r="A1534" s="2" t="n">
        <v>1533</v>
      </c>
      <c r="B1534" s="2" t="s">
        <v>3370</v>
      </c>
      <c r="C1534" s="2" t="s">
        <v>3371</v>
      </c>
      <c r="D1534" s="2"/>
      <c r="E1534" s="2" t="s">
        <v>52</v>
      </c>
      <c r="F1534" s="3" t="n">
        <v>9.9E-005</v>
      </c>
      <c r="G1534" s="3" t="n">
        <f aca="false">SUM($F$2:F1534)</f>
        <v>0.895205</v>
      </c>
      <c r="H1534" s="4"/>
      <c r="I1534" s="5"/>
      <c r="J1534" s="4"/>
      <c r="K1534" s="5"/>
      <c r="L1534" s="6"/>
      <c r="M1534" s="5" t="str">
        <f aca="false">IF(AND(N(K1534)&gt;0,N(L1534)&gt;0),K1534/L1534,"")</f>
        <v/>
      </c>
      <c r="N1534" s="2" t="s">
        <v>1226</v>
      </c>
    </row>
    <row r="1535" customFormat="false" ht="15" hidden="false" customHeight="false" outlineLevel="0" collapsed="false">
      <c r="A1535" s="2" t="n">
        <v>1534</v>
      </c>
      <c r="B1535" s="2" t="s">
        <v>3372</v>
      </c>
      <c r="C1535" s="2" t="s">
        <v>3373</v>
      </c>
      <c r="D1535" s="2"/>
      <c r="E1535" s="2" t="s">
        <v>29</v>
      </c>
      <c r="F1535" s="3" t="n">
        <v>9.9E-005</v>
      </c>
      <c r="G1535" s="3" t="n">
        <f aca="false">SUM($F$2:F1535)</f>
        <v>0.895304</v>
      </c>
      <c r="H1535" s="4"/>
      <c r="I1535" s="5"/>
      <c r="J1535" s="4"/>
      <c r="K1535" s="5"/>
      <c r="L1535" s="6"/>
      <c r="M1535" s="5" t="str">
        <f aca="false">IF(AND(N(K1535)&gt;0,N(L1535)&gt;0),K1535/L1535,"")</f>
        <v/>
      </c>
      <c r="N1535" s="2" t="s">
        <v>1226</v>
      </c>
    </row>
    <row r="1536" customFormat="false" ht="15" hidden="false" customHeight="false" outlineLevel="0" collapsed="false">
      <c r="A1536" s="2" t="n">
        <v>1535</v>
      </c>
      <c r="B1536" s="2" t="s">
        <v>3374</v>
      </c>
      <c r="C1536" s="2" t="s">
        <v>3375</v>
      </c>
      <c r="D1536" s="2"/>
      <c r="E1536" s="2" t="s">
        <v>38</v>
      </c>
      <c r="F1536" s="3" t="n">
        <v>9.9E-005</v>
      </c>
      <c r="G1536" s="3" t="n">
        <f aca="false">SUM($F$2:F1536)</f>
        <v>0.895403</v>
      </c>
      <c r="H1536" s="4"/>
      <c r="I1536" s="5"/>
      <c r="J1536" s="4"/>
      <c r="K1536" s="5"/>
      <c r="L1536" s="6"/>
      <c r="M1536" s="5" t="str">
        <f aca="false">IF(AND(N(K1536)&gt;0,N(L1536)&gt;0),K1536/L1536,"")</f>
        <v/>
      </c>
      <c r="N1536" s="2" t="s">
        <v>1226</v>
      </c>
    </row>
    <row r="1537" customFormat="false" ht="15" hidden="false" customHeight="false" outlineLevel="0" collapsed="false">
      <c r="A1537" s="2" t="n">
        <v>1536</v>
      </c>
      <c r="B1537" s="2" t="s">
        <v>3376</v>
      </c>
      <c r="C1537" s="2" t="s">
        <v>3377</v>
      </c>
      <c r="D1537" s="2"/>
      <c r="E1537" s="2" t="s">
        <v>765</v>
      </c>
      <c r="F1537" s="3" t="n">
        <v>9.8E-005</v>
      </c>
      <c r="G1537" s="3" t="n">
        <f aca="false">SUM($F$2:F1537)</f>
        <v>0.895501</v>
      </c>
      <c r="H1537" s="4"/>
      <c r="I1537" s="5"/>
      <c r="J1537" s="4"/>
      <c r="K1537" s="5"/>
      <c r="L1537" s="6"/>
      <c r="M1537" s="5" t="str">
        <f aca="false">IF(AND(N(K1537)&gt;0,N(L1537)&gt;0),K1537/L1537,"")</f>
        <v/>
      </c>
      <c r="N1537" s="2" t="s">
        <v>1226</v>
      </c>
    </row>
    <row r="1538" customFormat="false" ht="15" hidden="false" customHeight="false" outlineLevel="0" collapsed="false">
      <c r="A1538" s="2" t="n">
        <v>1537</v>
      </c>
      <c r="B1538" s="2" t="s">
        <v>3378</v>
      </c>
      <c r="C1538" s="2" t="s">
        <v>3379</v>
      </c>
      <c r="D1538" s="2"/>
      <c r="E1538" s="2" t="s">
        <v>289</v>
      </c>
      <c r="F1538" s="3" t="n">
        <v>9.8E-005</v>
      </c>
      <c r="G1538" s="3" t="n">
        <f aca="false">SUM($F$2:F1538)</f>
        <v>0.895599</v>
      </c>
      <c r="H1538" s="4"/>
      <c r="I1538" s="5"/>
      <c r="J1538" s="4"/>
      <c r="K1538" s="5"/>
      <c r="L1538" s="6"/>
      <c r="M1538" s="5" t="str">
        <f aca="false">IF(AND(N(K1538)&gt;0,N(L1538)&gt;0),K1538/L1538,"")</f>
        <v/>
      </c>
      <c r="N1538" s="2" t="s">
        <v>1226</v>
      </c>
    </row>
    <row r="1539" customFormat="false" ht="15" hidden="false" customHeight="false" outlineLevel="0" collapsed="false">
      <c r="A1539" s="2" t="n">
        <v>1538</v>
      </c>
      <c r="B1539" s="2" t="s">
        <v>3380</v>
      </c>
      <c r="C1539" s="2" t="s">
        <v>3381</v>
      </c>
      <c r="D1539" s="2"/>
      <c r="E1539" s="2" t="s">
        <v>43</v>
      </c>
      <c r="F1539" s="3" t="n">
        <v>9.8E-005</v>
      </c>
      <c r="G1539" s="3" t="n">
        <f aca="false">SUM($F$2:F1539)</f>
        <v>0.895697</v>
      </c>
      <c r="H1539" s="4"/>
      <c r="I1539" s="5"/>
      <c r="J1539" s="4"/>
      <c r="K1539" s="5"/>
      <c r="L1539" s="6"/>
      <c r="M1539" s="5" t="str">
        <f aca="false">IF(AND(N(K1539)&gt;0,N(L1539)&gt;0),K1539/L1539,"")</f>
        <v/>
      </c>
      <c r="N1539" s="2" t="s">
        <v>1226</v>
      </c>
    </row>
    <row r="1540" customFormat="false" ht="15" hidden="false" customHeight="false" outlineLevel="0" collapsed="false">
      <c r="A1540" s="2" t="n">
        <v>1539</v>
      </c>
      <c r="B1540" s="2" t="s">
        <v>3382</v>
      </c>
      <c r="C1540" s="2" t="s">
        <v>3383</v>
      </c>
      <c r="D1540" s="2"/>
      <c r="E1540" s="2" t="s">
        <v>17</v>
      </c>
      <c r="F1540" s="3" t="n">
        <v>9.8E-005</v>
      </c>
      <c r="G1540" s="3" t="n">
        <f aca="false">SUM($F$2:F1540)</f>
        <v>0.895795</v>
      </c>
      <c r="H1540" s="4"/>
      <c r="I1540" s="5"/>
      <c r="J1540" s="4"/>
      <c r="K1540" s="5"/>
      <c r="L1540" s="6"/>
      <c r="M1540" s="5" t="str">
        <f aca="false">IF(AND(N(K1540)&gt;0,N(L1540)&gt;0),K1540/L1540,"")</f>
        <v/>
      </c>
      <c r="N1540" s="2" t="s">
        <v>1226</v>
      </c>
    </row>
    <row r="1541" customFormat="false" ht="15" hidden="false" customHeight="false" outlineLevel="0" collapsed="false">
      <c r="A1541" s="2" t="n">
        <v>1540</v>
      </c>
      <c r="B1541" s="2" t="s">
        <v>3384</v>
      </c>
      <c r="C1541" s="2" t="s">
        <v>3385</v>
      </c>
      <c r="D1541" s="2"/>
      <c r="E1541" s="2" t="s">
        <v>25</v>
      </c>
      <c r="F1541" s="3" t="n">
        <v>9.8E-005</v>
      </c>
      <c r="G1541" s="3" t="n">
        <f aca="false">SUM($F$2:F1541)</f>
        <v>0.895893</v>
      </c>
      <c r="H1541" s="4"/>
      <c r="I1541" s="5"/>
      <c r="J1541" s="4"/>
      <c r="K1541" s="5"/>
      <c r="L1541" s="6"/>
      <c r="M1541" s="5" t="str">
        <f aca="false">IF(AND(N(K1541)&gt;0,N(L1541)&gt;0),K1541/L1541,"")</f>
        <v/>
      </c>
      <c r="N1541" s="2" t="s">
        <v>1226</v>
      </c>
    </row>
    <row r="1542" customFormat="false" ht="15" hidden="false" customHeight="false" outlineLevel="0" collapsed="false">
      <c r="A1542" s="2" t="n">
        <v>1541</v>
      </c>
      <c r="B1542" s="2" t="s">
        <v>301</v>
      </c>
      <c r="C1542" s="2" t="s">
        <v>3386</v>
      </c>
      <c r="D1542" s="2"/>
      <c r="E1542" s="2" t="s">
        <v>199</v>
      </c>
      <c r="F1542" s="3" t="n">
        <v>9.8E-005</v>
      </c>
      <c r="G1542" s="3" t="n">
        <f aca="false">SUM($F$2:F1542)</f>
        <v>0.895991</v>
      </c>
      <c r="H1542" s="4"/>
      <c r="I1542" s="5"/>
      <c r="J1542" s="4"/>
      <c r="K1542" s="5"/>
      <c r="L1542" s="6"/>
      <c r="M1542" s="5" t="str">
        <f aca="false">IF(AND(N(K1542)&gt;0,N(L1542)&gt;0),K1542/L1542,"")</f>
        <v/>
      </c>
      <c r="N1542" s="2" t="s">
        <v>34</v>
      </c>
    </row>
    <row r="1543" customFormat="false" ht="15" hidden="false" customHeight="false" outlineLevel="0" collapsed="false">
      <c r="A1543" s="2" t="n">
        <v>1542</v>
      </c>
      <c r="B1543" s="2" t="s">
        <v>3387</v>
      </c>
      <c r="C1543" s="2" t="s">
        <v>3388</v>
      </c>
      <c r="D1543" s="2"/>
      <c r="E1543" s="2" t="s">
        <v>82</v>
      </c>
      <c r="F1543" s="3" t="n">
        <v>9.8E-005</v>
      </c>
      <c r="G1543" s="3" t="n">
        <f aca="false">SUM($F$2:F1543)</f>
        <v>0.896089</v>
      </c>
      <c r="H1543" s="4"/>
      <c r="I1543" s="5"/>
      <c r="J1543" s="4"/>
      <c r="K1543" s="5"/>
      <c r="L1543" s="6"/>
      <c r="M1543" s="5" t="str">
        <f aca="false">IF(AND(N(K1543)&gt;0,N(L1543)&gt;0),K1543/L1543,"")</f>
        <v/>
      </c>
      <c r="N1543" s="2" t="s">
        <v>1226</v>
      </c>
    </row>
    <row r="1544" customFormat="false" ht="15" hidden="false" customHeight="false" outlineLevel="0" collapsed="false">
      <c r="A1544" s="2" t="n">
        <v>1543</v>
      </c>
      <c r="B1544" s="2" t="s">
        <v>3389</v>
      </c>
      <c r="C1544" s="2" t="s">
        <v>3390</v>
      </c>
      <c r="D1544" s="2"/>
      <c r="E1544" s="2" t="s">
        <v>33</v>
      </c>
      <c r="F1544" s="3" t="n">
        <v>9.8E-005</v>
      </c>
      <c r="G1544" s="3" t="n">
        <f aca="false">SUM($F$2:F1544)</f>
        <v>0.896187</v>
      </c>
      <c r="H1544" s="4"/>
      <c r="I1544" s="5"/>
      <c r="J1544" s="4"/>
      <c r="K1544" s="5"/>
      <c r="L1544" s="6"/>
      <c r="M1544" s="5" t="str">
        <f aca="false">IF(AND(N(K1544)&gt;0,N(L1544)&gt;0),K1544/L1544,"")</f>
        <v/>
      </c>
      <c r="N1544" s="2" t="s">
        <v>1226</v>
      </c>
    </row>
    <row r="1545" customFormat="false" ht="15" hidden="false" customHeight="false" outlineLevel="0" collapsed="false">
      <c r="A1545" s="2" t="n">
        <v>1544</v>
      </c>
      <c r="B1545" s="2" t="s">
        <v>3391</v>
      </c>
      <c r="C1545" s="2" t="s">
        <v>3392</v>
      </c>
      <c r="D1545" s="2"/>
      <c r="E1545" s="2" t="s">
        <v>52</v>
      </c>
      <c r="F1545" s="3" t="n">
        <v>9.8E-005</v>
      </c>
      <c r="G1545" s="3" t="n">
        <f aca="false">SUM($F$2:F1545)</f>
        <v>0.896285</v>
      </c>
      <c r="H1545" s="4"/>
      <c r="I1545" s="5"/>
      <c r="J1545" s="4"/>
      <c r="K1545" s="5"/>
      <c r="L1545" s="6"/>
      <c r="M1545" s="5" t="str">
        <f aca="false">IF(AND(N(K1545)&gt;0,N(L1545)&gt;0),K1545/L1545,"")</f>
        <v/>
      </c>
      <c r="N1545" s="2" t="s">
        <v>1226</v>
      </c>
    </row>
    <row r="1546" customFormat="false" ht="15" hidden="false" customHeight="false" outlineLevel="0" collapsed="false">
      <c r="A1546" s="2" t="n">
        <v>1545</v>
      </c>
      <c r="B1546" s="2" t="s">
        <v>3393</v>
      </c>
      <c r="C1546" s="2" t="s">
        <v>3394</v>
      </c>
      <c r="D1546" s="2"/>
      <c r="E1546" s="2" t="s">
        <v>289</v>
      </c>
      <c r="F1546" s="3" t="n">
        <v>9.7E-005</v>
      </c>
      <c r="G1546" s="3" t="n">
        <f aca="false">SUM($F$2:F1546)</f>
        <v>0.896382</v>
      </c>
      <c r="H1546" s="4"/>
      <c r="I1546" s="5"/>
      <c r="J1546" s="4"/>
      <c r="K1546" s="5"/>
      <c r="L1546" s="6"/>
      <c r="M1546" s="5" t="str">
        <f aca="false">IF(AND(N(K1546)&gt;0,N(L1546)&gt;0),K1546/L1546,"")</f>
        <v/>
      </c>
      <c r="N1546" s="2" t="s">
        <v>1226</v>
      </c>
    </row>
    <row r="1547" customFormat="false" ht="15" hidden="false" customHeight="false" outlineLevel="0" collapsed="false">
      <c r="A1547" s="2" t="n">
        <v>1546</v>
      </c>
      <c r="B1547" s="2" t="s">
        <v>3395</v>
      </c>
      <c r="C1547" s="2" t="s">
        <v>3396</v>
      </c>
      <c r="D1547" s="2"/>
      <c r="E1547" s="2" t="s">
        <v>52</v>
      </c>
      <c r="F1547" s="3" t="n">
        <v>9.7E-005</v>
      </c>
      <c r="G1547" s="3" t="n">
        <f aca="false">SUM($F$2:F1547)</f>
        <v>0.896479</v>
      </c>
      <c r="H1547" s="4"/>
      <c r="I1547" s="5"/>
      <c r="J1547" s="4"/>
      <c r="K1547" s="5"/>
      <c r="L1547" s="6"/>
      <c r="M1547" s="5" t="str">
        <f aca="false">IF(AND(N(K1547)&gt;0,N(L1547)&gt;0),K1547/L1547,"")</f>
        <v/>
      </c>
      <c r="N1547" s="2" t="s">
        <v>1226</v>
      </c>
    </row>
    <row r="1548" customFormat="false" ht="15" hidden="false" customHeight="false" outlineLevel="0" collapsed="false">
      <c r="A1548" s="2" t="n">
        <v>1547</v>
      </c>
      <c r="B1548" s="2" t="s">
        <v>3397</v>
      </c>
      <c r="C1548" s="2" t="s">
        <v>3398</v>
      </c>
      <c r="D1548" s="2"/>
      <c r="E1548" s="2" t="s">
        <v>25</v>
      </c>
      <c r="F1548" s="3" t="n">
        <v>9.7E-005</v>
      </c>
      <c r="G1548" s="3" t="n">
        <f aca="false">SUM($F$2:F1548)</f>
        <v>0.896576</v>
      </c>
      <c r="H1548" s="4"/>
      <c r="I1548" s="5"/>
      <c r="J1548" s="4"/>
      <c r="K1548" s="5"/>
      <c r="L1548" s="6"/>
      <c r="M1548" s="5" t="str">
        <f aca="false">IF(AND(N(K1548)&gt;0,N(L1548)&gt;0),K1548/L1548,"")</f>
        <v/>
      </c>
      <c r="N1548" s="2" t="s">
        <v>1226</v>
      </c>
    </row>
    <row r="1549" customFormat="false" ht="15" hidden="false" customHeight="false" outlineLevel="0" collapsed="false">
      <c r="A1549" s="2" t="n">
        <v>1548</v>
      </c>
      <c r="B1549" s="2" t="s">
        <v>3399</v>
      </c>
      <c r="C1549" s="2" t="s">
        <v>3400</v>
      </c>
      <c r="D1549" s="2"/>
      <c r="E1549" s="2" t="s">
        <v>33</v>
      </c>
      <c r="F1549" s="3" t="n">
        <v>9.7E-005</v>
      </c>
      <c r="G1549" s="3" t="n">
        <f aca="false">SUM($F$2:F1549)</f>
        <v>0.896673</v>
      </c>
      <c r="H1549" s="4"/>
      <c r="I1549" s="5"/>
      <c r="J1549" s="4"/>
      <c r="K1549" s="5"/>
      <c r="L1549" s="6"/>
      <c r="M1549" s="5" t="str">
        <f aca="false">IF(AND(N(K1549)&gt;0,N(L1549)&gt;0),K1549/L1549,"")</f>
        <v/>
      </c>
      <c r="N1549" s="2" t="s">
        <v>1226</v>
      </c>
    </row>
    <row r="1550" customFormat="false" ht="15" hidden="false" customHeight="false" outlineLevel="0" collapsed="false">
      <c r="A1550" s="2" t="n">
        <v>1549</v>
      </c>
      <c r="B1550" s="2" t="s">
        <v>3401</v>
      </c>
      <c r="C1550" s="2" t="s">
        <v>3402</v>
      </c>
      <c r="D1550" s="2"/>
      <c r="E1550" s="2" t="s">
        <v>1245</v>
      </c>
      <c r="F1550" s="3" t="n">
        <v>9.7E-005</v>
      </c>
      <c r="G1550" s="3" t="n">
        <f aca="false">SUM($F$2:F1550)</f>
        <v>0.89677</v>
      </c>
      <c r="H1550" s="4"/>
      <c r="I1550" s="5"/>
      <c r="J1550" s="4"/>
      <c r="K1550" s="5"/>
      <c r="L1550" s="6"/>
      <c r="M1550" s="5" t="str">
        <f aca="false">IF(AND(N(K1550)&gt;0,N(L1550)&gt;0),K1550/L1550,"")</f>
        <v/>
      </c>
      <c r="N1550" s="2" t="s">
        <v>1226</v>
      </c>
    </row>
    <row r="1551" customFormat="false" ht="15" hidden="false" customHeight="false" outlineLevel="0" collapsed="false">
      <c r="A1551" s="2" t="n">
        <v>1550</v>
      </c>
      <c r="B1551" s="2" t="s">
        <v>3403</v>
      </c>
      <c r="C1551" s="2" t="s">
        <v>3404</v>
      </c>
      <c r="D1551" s="2"/>
      <c r="E1551" s="2" t="s">
        <v>199</v>
      </c>
      <c r="F1551" s="3" t="n">
        <v>9.7E-005</v>
      </c>
      <c r="G1551" s="3" t="n">
        <f aca="false">SUM($F$2:F1551)</f>
        <v>0.896867</v>
      </c>
      <c r="H1551" s="4"/>
      <c r="I1551" s="5"/>
      <c r="J1551" s="4"/>
      <c r="K1551" s="5"/>
      <c r="L1551" s="6"/>
      <c r="M1551" s="5" t="str">
        <f aca="false">IF(AND(N(K1551)&gt;0,N(L1551)&gt;0),K1551/L1551,"")</f>
        <v/>
      </c>
      <c r="N1551" s="2" t="s">
        <v>1226</v>
      </c>
    </row>
    <row r="1552" customFormat="false" ht="15" hidden="false" customHeight="false" outlineLevel="0" collapsed="false">
      <c r="A1552" s="2" t="n">
        <v>1551</v>
      </c>
      <c r="B1552" s="2" t="s">
        <v>3405</v>
      </c>
      <c r="C1552" s="2" t="s">
        <v>3406</v>
      </c>
      <c r="D1552" s="2"/>
      <c r="E1552" s="2" t="s">
        <v>17</v>
      </c>
      <c r="F1552" s="3" t="n">
        <v>9.7E-005</v>
      </c>
      <c r="G1552" s="3" t="n">
        <f aca="false">SUM($F$2:F1552)</f>
        <v>0.896964</v>
      </c>
      <c r="H1552" s="4"/>
      <c r="I1552" s="5"/>
      <c r="J1552" s="4"/>
      <c r="K1552" s="5"/>
      <c r="L1552" s="6"/>
      <c r="M1552" s="5" t="str">
        <f aca="false">IF(AND(N(K1552)&gt;0,N(L1552)&gt;0),K1552/L1552,"")</f>
        <v/>
      </c>
      <c r="N1552" s="2" t="s">
        <v>1226</v>
      </c>
    </row>
    <row r="1553" customFormat="false" ht="15" hidden="false" customHeight="false" outlineLevel="0" collapsed="false">
      <c r="A1553" s="2" t="n">
        <v>1552</v>
      </c>
      <c r="B1553" s="2" t="s">
        <v>3407</v>
      </c>
      <c r="C1553" s="2" t="s">
        <v>3408</v>
      </c>
      <c r="D1553" s="2"/>
      <c r="E1553" s="2" t="s">
        <v>52</v>
      </c>
      <c r="F1553" s="3" t="n">
        <v>9.6E-005</v>
      </c>
      <c r="G1553" s="3" t="n">
        <f aca="false">SUM($F$2:F1553)</f>
        <v>0.89706</v>
      </c>
      <c r="H1553" s="4"/>
      <c r="I1553" s="5"/>
      <c r="J1553" s="4"/>
      <c r="K1553" s="5"/>
      <c r="L1553" s="6"/>
      <c r="M1553" s="5" t="str">
        <f aca="false">IF(AND(N(K1553)&gt;0,N(L1553)&gt;0),K1553/L1553,"")</f>
        <v/>
      </c>
      <c r="N1553" s="2" t="s">
        <v>1226</v>
      </c>
    </row>
    <row r="1554" customFormat="false" ht="15" hidden="false" customHeight="false" outlineLevel="0" collapsed="false">
      <c r="A1554" s="2" t="n">
        <v>1553</v>
      </c>
      <c r="B1554" s="2" t="s">
        <v>3409</v>
      </c>
      <c r="C1554" s="2" t="s">
        <v>3410</v>
      </c>
      <c r="D1554" s="2"/>
      <c r="E1554" s="2" t="s">
        <v>29</v>
      </c>
      <c r="F1554" s="3" t="n">
        <v>9.6E-005</v>
      </c>
      <c r="G1554" s="3" t="n">
        <f aca="false">SUM($F$2:F1554)</f>
        <v>0.897156</v>
      </c>
      <c r="H1554" s="4"/>
      <c r="I1554" s="5"/>
      <c r="J1554" s="4"/>
      <c r="K1554" s="5"/>
      <c r="L1554" s="6"/>
      <c r="M1554" s="5" t="str">
        <f aca="false">IF(AND(N(K1554)&gt;0,N(L1554)&gt;0),K1554/L1554,"")</f>
        <v/>
      </c>
      <c r="N1554" s="2" t="s">
        <v>1226</v>
      </c>
    </row>
    <row r="1555" customFormat="false" ht="15" hidden="false" customHeight="false" outlineLevel="0" collapsed="false">
      <c r="A1555" s="2" t="n">
        <v>1554</v>
      </c>
      <c r="B1555" s="2" t="s">
        <v>3411</v>
      </c>
      <c r="C1555" s="2" t="s">
        <v>3412</v>
      </c>
      <c r="D1555" s="2"/>
      <c r="E1555" s="2" t="s">
        <v>1345</v>
      </c>
      <c r="F1555" s="3" t="n">
        <v>9.6E-005</v>
      </c>
      <c r="G1555" s="3" t="n">
        <f aca="false">SUM($F$2:F1555)</f>
        <v>0.897252</v>
      </c>
      <c r="H1555" s="4"/>
      <c r="I1555" s="5"/>
      <c r="J1555" s="4"/>
      <c r="K1555" s="5"/>
      <c r="L1555" s="6"/>
      <c r="M1555" s="5" t="str">
        <f aca="false">IF(AND(N(K1555)&gt;0,N(L1555)&gt;0),K1555/L1555,"")</f>
        <v/>
      </c>
      <c r="N1555" s="2" t="s">
        <v>1226</v>
      </c>
    </row>
    <row r="1556" customFormat="false" ht="15" hidden="false" customHeight="false" outlineLevel="0" collapsed="false">
      <c r="A1556" s="2" t="n">
        <v>1555</v>
      </c>
      <c r="B1556" s="2" t="s">
        <v>383</v>
      </c>
      <c r="C1556" s="2" t="s">
        <v>3413</v>
      </c>
      <c r="D1556" s="2"/>
      <c r="E1556" s="2" t="s">
        <v>289</v>
      </c>
      <c r="F1556" s="3" t="n">
        <v>9.6E-005</v>
      </c>
      <c r="G1556" s="3" t="n">
        <f aca="false">SUM($F$2:F1556)</f>
        <v>0.897348</v>
      </c>
      <c r="H1556" s="4"/>
      <c r="I1556" s="5"/>
      <c r="J1556" s="4"/>
      <c r="K1556" s="5"/>
      <c r="L1556" s="6"/>
      <c r="M1556" s="5" t="str">
        <f aca="false">IF(AND(N(K1556)&gt;0,N(L1556)&gt;0),K1556/L1556,"")</f>
        <v/>
      </c>
      <c r="N1556" s="2" t="s">
        <v>1226</v>
      </c>
    </row>
    <row r="1557" customFormat="false" ht="15" hidden="false" customHeight="false" outlineLevel="0" collapsed="false">
      <c r="A1557" s="2" t="n">
        <v>1556</v>
      </c>
      <c r="B1557" s="2" t="s">
        <v>3414</v>
      </c>
      <c r="C1557" s="2" t="s">
        <v>3415</v>
      </c>
      <c r="D1557" s="2"/>
      <c r="E1557" s="2" t="s">
        <v>1295</v>
      </c>
      <c r="F1557" s="3" t="n">
        <v>9.6E-005</v>
      </c>
      <c r="G1557" s="3" t="n">
        <f aca="false">SUM($F$2:F1557)</f>
        <v>0.897444</v>
      </c>
      <c r="H1557" s="4"/>
      <c r="I1557" s="5"/>
      <c r="J1557" s="4"/>
      <c r="K1557" s="5"/>
      <c r="L1557" s="6"/>
      <c r="M1557" s="5" t="str">
        <f aca="false">IF(AND(N(K1557)&gt;0,N(L1557)&gt;0),K1557/L1557,"")</f>
        <v/>
      </c>
      <c r="N1557" s="2" t="s">
        <v>1226</v>
      </c>
    </row>
    <row r="1558" customFormat="false" ht="15" hidden="false" customHeight="false" outlineLevel="0" collapsed="false">
      <c r="A1558" s="2" t="n">
        <v>1557</v>
      </c>
      <c r="B1558" s="2" t="s">
        <v>3416</v>
      </c>
      <c r="C1558" s="2" t="s">
        <v>3417</v>
      </c>
      <c r="D1558" s="2"/>
      <c r="E1558" s="2" t="s">
        <v>17</v>
      </c>
      <c r="F1558" s="3" t="n">
        <v>9.6E-005</v>
      </c>
      <c r="G1558" s="3" t="n">
        <f aca="false">SUM($F$2:F1558)</f>
        <v>0.89754</v>
      </c>
      <c r="H1558" s="4"/>
      <c r="I1558" s="5"/>
      <c r="J1558" s="4"/>
      <c r="K1558" s="5"/>
      <c r="L1558" s="6"/>
      <c r="M1558" s="5" t="str">
        <f aca="false">IF(AND(N(K1558)&gt;0,N(L1558)&gt;0),K1558/L1558,"")</f>
        <v/>
      </c>
      <c r="N1558" s="2" t="s">
        <v>1226</v>
      </c>
    </row>
    <row r="1559" customFormat="false" ht="15" hidden="false" customHeight="false" outlineLevel="0" collapsed="false">
      <c r="A1559" s="2" t="n">
        <v>1558</v>
      </c>
      <c r="B1559" s="2" t="s">
        <v>3418</v>
      </c>
      <c r="C1559" s="2" t="s">
        <v>3419</v>
      </c>
      <c r="D1559" s="2"/>
      <c r="E1559" s="2" t="s">
        <v>199</v>
      </c>
      <c r="F1559" s="3" t="n">
        <v>9.6E-005</v>
      </c>
      <c r="G1559" s="3" t="n">
        <f aca="false">SUM($F$2:F1559)</f>
        <v>0.897636</v>
      </c>
      <c r="H1559" s="4"/>
      <c r="I1559" s="5"/>
      <c r="J1559" s="4"/>
      <c r="K1559" s="5"/>
      <c r="L1559" s="6"/>
      <c r="M1559" s="5" t="str">
        <f aca="false">IF(AND(N(K1559)&gt;0,N(L1559)&gt;0),K1559/L1559,"")</f>
        <v/>
      </c>
      <c r="N1559" s="2" t="s">
        <v>1226</v>
      </c>
    </row>
    <row r="1560" customFormat="false" ht="15" hidden="false" customHeight="false" outlineLevel="0" collapsed="false">
      <c r="A1560" s="2" t="n">
        <v>1559</v>
      </c>
      <c r="B1560" s="2" t="s">
        <v>3420</v>
      </c>
      <c r="C1560" s="2" t="s">
        <v>3421</v>
      </c>
      <c r="D1560" s="2"/>
      <c r="E1560" s="2" t="s">
        <v>29</v>
      </c>
      <c r="F1560" s="3" t="n">
        <v>9.6E-005</v>
      </c>
      <c r="G1560" s="3" t="n">
        <f aca="false">SUM($F$2:F1560)</f>
        <v>0.897732</v>
      </c>
      <c r="H1560" s="4"/>
      <c r="I1560" s="5"/>
      <c r="J1560" s="4"/>
      <c r="K1560" s="5"/>
      <c r="L1560" s="6"/>
      <c r="M1560" s="5" t="str">
        <f aca="false">IF(AND(N(K1560)&gt;0,N(L1560)&gt;0),K1560/L1560,"")</f>
        <v/>
      </c>
      <c r="N1560" s="2" t="s">
        <v>1226</v>
      </c>
    </row>
    <row r="1561" customFormat="false" ht="15" hidden="false" customHeight="false" outlineLevel="0" collapsed="false">
      <c r="A1561" s="2" t="n">
        <v>1560</v>
      </c>
      <c r="B1561" s="2" t="s">
        <v>3422</v>
      </c>
      <c r="C1561" s="2" t="s">
        <v>3423</v>
      </c>
      <c r="D1561" s="2"/>
      <c r="E1561" s="2" t="s">
        <v>52</v>
      </c>
      <c r="F1561" s="3" t="n">
        <v>9.6E-005</v>
      </c>
      <c r="G1561" s="3" t="n">
        <f aca="false">SUM($F$2:F1561)</f>
        <v>0.897828</v>
      </c>
      <c r="H1561" s="4"/>
      <c r="I1561" s="5"/>
      <c r="J1561" s="4"/>
      <c r="K1561" s="5"/>
      <c r="L1561" s="6"/>
      <c r="M1561" s="5" t="str">
        <f aca="false">IF(AND(N(K1561)&gt;0,N(L1561)&gt;0),K1561/L1561,"")</f>
        <v/>
      </c>
      <c r="N1561" s="2" t="s">
        <v>1226</v>
      </c>
    </row>
    <row r="1562" customFormat="false" ht="15" hidden="false" customHeight="false" outlineLevel="0" collapsed="false">
      <c r="A1562" s="2" t="n">
        <v>1561</v>
      </c>
      <c r="B1562" s="2" t="s">
        <v>3424</v>
      </c>
      <c r="C1562" s="2" t="s">
        <v>3425</v>
      </c>
      <c r="D1562" s="2"/>
      <c r="E1562" s="2" t="s">
        <v>29</v>
      </c>
      <c r="F1562" s="3" t="n">
        <v>9.6E-005</v>
      </c>
      <c r="G1562" s="3" t="n">
        <f aca="false">SUM($F$2:F1562)</f>
        <v>0.897924</v>
      </c>
      <c r="H1562" s="4"/>
      <c r="I1562" s="5"/>
      <c r="J1562" s="4"/>
      <c r="K1562" s="5"/>
      <c r="L1562" s="6"/>
      <c r="M1562" s="5" t="str">
        <f aca="false">IF(AND(N(K1562)&gt;0,N(L1562)&gt;0),K1562/L1562,"")</f>
        <v/>
      </c>
      <c r="N1562" s="2" t="s">
        <v>1226</v>
      </c>
    </row>
    <row r="1563" customFormat="false" ht="15" hidden="false" customHeight="false" outlineLevel="0" collapsed="false">
      <c r="A1563" s="2" t="n">
        <v>1562</v>
      </c>
      <c r="B1563" s="2" t="s">
        <v>3426</v>
      </c>
      <c r="C1563" s="2" t="s">
        <v>3427</v>
      </c>
      <c r="D1563" s="2"/>
      <c r="E1563" s="2" t="s">
        <v>1345</v>
      </c>
      <c r="F1563" s="3" t="n">
        <v>9.6E-005</v>
      </c>
      <c r="G1563" s="3" t="n">
        <f aca="false">SUM($F$2:F1563)</f>
        <v>0.89802</v>
      </c>
      <c r="H1563" s="4"/>
      <c r="I1563" s="5"/>
      <c r="J1563" s="4"/>
      <c r="K1563" s="5"/>
      <c r="L1563" s="6"/>
      <c r="M1563" s="5" t="str">
        <f aca="false">IF(AND(N(K1563)&gt;0,N(L1563)&gt;0),K1563/L1563,"")</f>
        <v/>
      </c>
      <c r="N1563" s="2" t="s">
        <v>1226</v>
      </c>
    </row>
    <row r="1564" customFormat="false" ht="15" hidden="false" customHeight="false" outlineLevel="0" collapsed="false">
      <c r="A1564" s="2" t="n">
        <v>1563</v>
      </c>
      <c r="B1564" s="2" t="s">
        <v>3428</v>
      </c>
      <c r="C1564" s="2" t="s">
        <v>3429</v>
      </c>
      <c r="D1564" s="2"/>
      <c r="E1564" s="2" t="s">
        <v>17</v>
      </c>
      <c r="F1564" s="3" t="n">
        <v>9.6E-005</v>
      </c>
      <c r="G1564" s="3" t="n">
        <f aca="false">SUM($F$2:F1564)</f>
        <v>0.898116</v>
      </c>
      <c r="H1564" s="4"/>
      <c r="I1564" s="5"/>
      <c r="J1564" s="4"/>
      <c r="K1564" s="5"/>
      <c r="L1564" s="6"/>
      <c r="M1564" s="5" t="str">
        <f aca="false">IF(AND(N(K1564)&gt;0,N(L1564)&gt;0),K1564/L1564,"")</f>
        <v/>
      </c>
      <c r="N1564" s="2" t="s">
        <v>1226</v>
      </c>
    </row>
    <row r="1565" customFormat="false" ht="15" hidden="false" customHeight="false" outlineLevel="0" collapsed="false">
      <c r="A1565" s="2" t="n">
        <v>1564</v>
      </c>
      <c r="B1565" s="2" t="s">
        <v>3430</v>
      </c>
      <c r="C1565" s="2" t="s">
        <v>3431</v>
      </c>
      <c r="D1565" s="2"/>
      <c r="E1565" s="2" t="s">
        <v>17</v>
      </c>
      <c r="F1565" s="3" t="n">
        <v>9.5E-005</v>
      </c>
      <c r="G1565" s="3" t="n">
        <f aca="false">SUM($F$2:F1565)</f>
        <v>0.898211</v>
      </c>
      <c r="H1565" s="4"/>
      <c r="I1565" s="5"/>
      <c r="J1565" s="4"/>
      <c r="K1565" s="5"/>
      <c r="L1565" s="6"/>
      <c r="M1565" s="5" t="str">
        <f aca="false">IF(AND(N(K1565)&gt;0,N(L1565)&gt;0),K1565/L1565,"")</f>
        <v/>
      </c>
      <c r="N1565" s="2" t="s">
        <v>1226</v>
      </c>
    </row>
    <row r="1566" customFormat="false" ht="15" hidden="false" customHeight="false" outlineLevel="0" collapsed="false">
      <c r="A1566" s="2" t="n">
        <v>1565</v>
      </c>
      <c r="B1566" s="2" t="s">
        <v>3432</v>
      </c>
      <c r="C1566" s="2" t="s">
        <v>3433</v>
      </c>
      <c r="D1566" s="2"/>
      <c r="E1566" s="2" t="s">
        <v>1345</v>
      </c>
      <c r="F1566" s="3" t="n">
        <v>9.5E-005</v>
      </c>
      <c r="G1566" s="3" t="n">
        <f aca="false">SUM($F$2:F1566)</f>
        <v>0.898306</v>
      </c>
      <c r="H1566" s="4"/>
      <c r="I1566" s="5"/>
      <c r="J1566" s="4"/>
      <c r="K1566" s="5"/>
      <c r="L1566" s="6"/>
      <c r="M1566" s="5" t="str">
        <f aca="false">IF(AND(N(K1566)&gt;0,N(L1566)&gt;0),K1566/L1566,"")</f>
        <v/>
      </c>
      <c r="N1566" s="2" t="s">
        <v>1226</v>
      </c>
    </row>
    <row r="1567" customFormat="false" ht="15" hidden="false" customHeight="false" outlineLevel="0" collapsed="false">
      <c r="A1567" s="2" t="n">
        <v>1566</v>
      </c>
      <c r="B1567" s="2" t="s">
        <v>3434</v>
      </c>
      <c r="C1567" s="2" t="s">
        <v>3435</v>
      </c>
      <c r="D1567" s="2"/>
      <c r="E1567" s="2" t="s">
        <v>29</v>
      </c>
      <c r="F1567" s="3" t="n">
        <v>9.5E-005</v>
      </c>
      <c r="G1567" s="3" t="n">
        <f aca="false">SUM($F$2:F1567)</f>
        <v>0.898401</v>
      </c>
      <c r="H1567" s="4"/>
      <c r="I1567" s="5"/>
      <c r="J1567" s="4"/>
      <c r="K1567" s="5"/>
      <c r="L1567" s="6"/>
      <c r="M1567" s="5" t="str">
        <f aca="false">IF(AND(N(K1567)&gt;0,N(L1567)&gt;0),K1567/L1567,"")</f>
        <v/>
      </c>
      <c r="N1567" s="2" t="s">
        <v>1226</v>
      </c>
    </row>
    <row r="1568" customFormat="false" ht="15" hidden="false" customHeight="false" outlineLevel="0" collapsed="false">
      <c r="A1568" s="2" t="n">
        <v>1567</v>
      </c>
      <c r="B1568" s="2" t="s">
        <v>3436</v>
      </c>
      <c r="C1568" s="2" t="s">
        <v>3437</v>
      </c>
      <c r="D1568" s="2"/>
      <c r="E1568" s="2" t="s">
        <v>765</v>
      </c>
      <c r="F1568" s="3" t="n">
        <v>9.5E-005</v>
      </c>
      <c r="G1568" s="3" t="n">
        <f aca="false">SUM($F$2:F1568)</f>
        <v>0.898496</v>
      </c>
      <c r="H1568" s="4"/>
      <c r="I1568" s="5"/>
      <c r="J1568" s="4"/>
      <c r="K1568" s="5"/>
      <c r="L1568" s="6"/>
      <c r="M1568" s="5" t="str">
        <f aca="false">IF(AND(N(K1568)&gt;0,N(L1568)&gt;0),K1568/L1568,"")</f>
        <v/>
      </c>
      <c r="N1568" s="2" t="s">
        <v>1226</v>
      </c>
    </row>
    <row r="1569" customFormat="false" ht="15" hidden="false" customHeight="false" outlineLevel="0" collapsed="false">
      <c r="A1569" s="2" t="n">
        <v>1568</v>
      </c>
      <c r="B1569" s="2" t="s">
        <v>3438</v>
      </c>
      <c r="C1569" s="2" t="s">
        <v>3439</v>
      </c>
      <c r="D1569" s="2"/>
      <c r="E1569" s="2" t="s">
        <v>29</v>
      </c>
      <c r="F1569" s="3" t="n">
        <v>9.5E-005</v>
      </c>
      <c r="G1569" s="3" t="n">
        <f aca="false">SUM($F$2:F1569)</f>
        <v>0.898591</v>
      </c>
      <c r="H1569" s="4"/>
      <c r="I1569" s="5"/>
      <c r="J1569" s="4"/>
      <c r="K1569" s="5"/>
      <c r="L1569" s="6"/>
      <c r="M1569" s="5" t="str">
        <f aca="false">IF(AND(N(K1569)&gt;0,N(L1569)&gt;0),K1569/L1569,"")</f>
        <v/>
      </c>
      <c r="N1569" s="2" t="s">
        <v>1226</v>
      </c>
    </row>
    <row r="1570" customFormat="false" ht="15" hidden="false" customHeight="false" outlineLevel="0" collapsed="false">
      <c r="A1570" s="2" t="n">
        <v>1569</v>
      </c>
      <c r="B1570" s="2" t="s">
        <v>3440</v>
      </c>
      <c r="C1570" s="2" t="s">
        <v>3441</v>
      </c>
      <c r="D1570" s="2"/>
      <c r="E1570" s="2" t="s">
        <v>199</v>
      </c>
      <c r="F1570" s="3" t="n">
        <v>9.5E-005</v>
      </c>
      <c r="G1570" s="3" t="n">
        <f aca="false">SUM($F$2:F1570)</f>
        <v>0.898686</v>
      </c>
      <c r="H1570" s="4"/>
      <c r="I1570" s="5"/>
      <c r="J1570" s="4"/>
      <c r="K1570" s="5"/>
      <c r="L1570" s="6"/>
      <c r="M1570" s="5" t="str">
        <f aca="false">IF(AND(N(K1570)&gt;0,N(L1570)&gt;0),K1570/L1570,"")</f>
        <v/>
      </c>
      <c r="N1570" s="2" t="s">
        <v>1226</v>
      </c>
    </row>
    <row r="1571" customFormat="false" ht="15" hidden="false" customHeight="false" outlineLevel="0" collapsed="false">
      <c r="A1571" s="2" t="n">
        <v>1570</v>
      </c>
      <c r="B1571" s="2" t="s">
        <v>3442</v>
      </c>
      <c r="C1571" s="2" t="s">
        <v>3443</v>
      </c>
      <c r="D1571" s="2"/>
      <c r="E1571" s="2" t="s">
        <v>173</v>
      </c>
      <c r="F1571" s="3" t="n">
        <v>9.5E-005</v>
      </c>
      <c r="G1571" s="3" t="n">
        <f aca="false">SUM($F$2:F1571)</f>
        <v>0.898781</v>
      </c>
      <c r="H1571" s="4"/>
      <c r="I1571" s="5"/>
      <c r="J1571" s="4"/>
      <c r="K1571" s="5"/>
      <c r="L1571" s="6"/>
      <c r="M1571" s="5" t="str">
        <f aca="false">IF(AND(N(K1571)&gt;0,N(L1571)&gt;0),K1571/L1571,"")</f>
        <v/>
      </c>
      <c r="N1571" s="2" t="s">
        <v>1226</v>
      </c>
    </row>
    <row r="1572" customFormat="false" ht="15" hidden="false" customHeight="false" outlineLevel="0" collapsed="false">
      <c r="A1572" s="2" t="n">
        <v>1571</v>
      </c>
      <c r="B1572" s="2" t="s">
        <v>301</v>
      </c>
      <c r="C1572" s="2" t="s">
        <v>3444</v>
      </c>
      <c r="D1572" s="2"/>
      <c r="E1572" s="2" t="s">
        <v>289</v>
      </c>
      <c r="F1572" s="3" t="n">
        <v>9.5E-005</v>
      </c>
      <c r="G1572" s="3" t="n">
        <f aca="false">SUM($F$2:F1572)</f>
        <v>0.898876</v>
      </c>
      <c r="H1572" s="4"/>
      <c r="I1572" s="5"/>
      <c r="J1572" s="4"/>
      <c r="K1572" s="5"/>
      <c r="L1572" s="6"/>
      <c r="M1572" s="5" t="str">
        <f aca="false">IF(AND(N(K1572)&gt;0,N(L1572)&gt;0),K1572/L1572,"")</f>
        <v/>
      </c>
      <c r="N1572" s="2" t="s">
        <v>34</v>
      </c>
    </row>
    <row r="1573" customFormat="false" ht="15" hidden="false" customHeight="false" outlineLevel="0" collapsed="false">
      <c r="A1573" s="2" t="n">
        <v>1572</v>
      </c>
      <c r="B1573" s="2" t="s">
        <v>3445</v>
      </c>
      <c r="C1573" s="2" t="s">
        <v>3446</v>
      </c>
      <c r="D1573" s="2"/>
      <c r="E1573" s="2" t="s">
        <v>1334</v>
      </c>
      <c r="F1573" s="3" t="n">
        <v>9.5E-005</v>
      </c>
      <c r="G1573" s="3" t="n">
        <f aca="false">SUM($F$2:F1573)</f>
        <v>0.898971</v>
      </c>
      <c r="H1573" s="4"/>
      <c r="I1573" s="5"/>
      <c r="J1573" s="4"/>
      <c r="K1573" s="5"/>
      <c r="L1573" s="6"/>
      <c r="M1573" s="5" t="str">
        <f aca="false">IF(AND(N(K1573)&gt;0,N(L1573)&gt;0),K1573/L1573,"")</f>
        <v/>
      </c>
      <c r="N1573" s="2" t="s">
        <v>1226</v>
      </c>
    </row>
    <row r="1574" customFormat="false" ht="15" hidden="false" customHeight="false" outlineLevel="0" collapsed="false">
      <c r="A1574" s="2" t="n">
        <v>1573</v>
      </c>
      <c r="B1574" s="2" t="s">
        <v>3447</v>
      </c>
      <c r="C1574" s="2" t="s">
        <v>3448</v>
      </c>
      <c r="D1574" s="2"/>
      <c r="E1574" s="2" t="s">
        <v>289</v>
      </c>
      <c r="F1574" s="3" t="n">
        <v>9.5E-005</v>
      </c>
      <c r="G1574" s="3" t="n">
        <f aca="false">SUM($F$2:F1574)</f>
        <v>0.899066</v>
      </c>
      <c r="H1574" s="4"/>
      <c r="I1574" s="5"/>
      <c r="J1574" s="4"/>
      <c r="K1574" s="5"/>
      <c r="L1574" s="6"/>
      <c r="M1574" s="5" t="str">
        <f aca="false">IF(AND(N(K1574)&gt;0,N(L1574)&gt;0),K1574/L1574,"")</f>
        <v/>
      </c>
      <c r="N1574" s="2" t="s">
        <v>1226</v>
      </c>
    </row>
    <row r="1575" customFormat="false" ht="15" hidden="false" customHeight="false" outlineLevel="0" collapsed="false">
      <c r="A1575" s="2" t="n">
        <v>1574</v>
      </c>
      <c r="B1575" s="2" t="s">
        <v>3449</v>
      </c>
      <c r="C1575" s="2" t="s">
        <v>3450</v>
      </c>
      <c r="D1575" s="2"/>
      <c r="E1575" s="2" t="s">
        <v>43</v>
      </c>
      <c r="F1575" s="3" t="n">
        <v>9.4E-005</v>
      </c>
      <c r="G1575" s="3" t="n">
        <f aca="false">SUM($F$2:F1575)</f>
        <v>0.89916</v>
      </c>
      <c r="H1575" s="4"/>
      <c r="I1575" s="5"/>
      <c r="J1575" s="4"/>
      <c r="K1575" s="5"/>
      <c r="L1575" s="6"/>
      <c r="M1575" s="5" t="str">
        <f aca="false">IF(AND(N(K1575)&gt;0,N(L1575)&gt;0),K1575/L1575,"")</f>
        <v/>
      </c>
      <c r="N1575" s="2" t="s">
        <v>1226</v>
      </c>
    </row>
    <row r="1576" customFormat="false" ht="15" hidden="false" customHeight="false" outlineLevel="0" collapsed="false">
      <c r="A1576" s="2" t="n">
        <v>1575</v>
      </c>
      <c r="B1576" s="2" t="s">
        <v>3451</v>
      </c>
      <c r="C1576" s="2" t="s">
        <v>3452</v>
      </c>
      <c r="D1576" s="2"/>
      <c r="E1576" s="2" t="s">
        <v>334</v>
      </c>
      <c r="F1576" s="3" t="n">
        <v>9.4E-005</v>
      </c>
      <c r="G1576" s="3" t="n">
        <f aca="false">SUM($F$2:F1576)</f>
        <v>0.899254</v>
      </c>
      <c r="H1576" s="4"/>
      <c r="I1576" s="5"/>
      <c r="J1576" s="4"/>
      <c r="K1576" s="5"/>
      <c r="L1576" s="6"/>
      <c r="M1576" s="5" t="str">
        <f aca="false">IF(AND(N(K1576)&gt;0,N(L1576)&gt;0),K1576/L1576,"")</f>
        <v/>
      </c>
      <c r="N1576" s="2" t="s">
        <v>1226</v>
      </c>
    </row>
    <row r="1577" customFormat="false" ht="15" hidden="false" customHeight="false" outlineLevel="0" collapsed="false">
      <c r="A1577" s="2" t="n">
        <v>1576</v>
      </c>
      <c r="B1577" s="2" t="s">
        <v>3453</v>
      </c>
      <c r="C1577" s="2" t="s">
        <v>3454</v>
      </c>
      <c r="D1577" s="2"/>
      <c r="E1577" s="2" t="s">
        <v>43</v>
      </c>
      <c r="F1577" s="3" t="n">
        <v>9.4E-005</v>
      </c>
      <c r="G1577" s="3" t="n">
        <f aca="false">SUM($F$2:F1577)</f>
        <v>0.899348</v>
      </c>
      <c r="H1577" s="4"/>
      <c r="I1577" s="5"/>
      <c r="J1577" s="4"/>
      <c r="K1577" s="5"/>
      <c r="L1577" s="6"/>
      <c r="M1577" s="5" t="str">
        <f aca="false">IF(AND(N(K1577)&gt;0,N(L1577)&gt;0),K1577/L1577,"")</f>
        <v/>
      </c>
      <c r="N1577" s="2" t="s">
        <v>1226</v>
      </c>
    </row>
    <row r="1578" customFormat="false" ht="15" hidden="false" customHeight="false" outlineLevel="0" collapsed="false">
      <c r="A1578" s="2" t="n">
        <v>1577</v>
      </c>
      <c r="B1578" s="2" t="s">
        <v>3455</v>
      </c>
      <c r="C1578" s="2" t="s">
        <v>3456</v>
      </c>
      <c r="D1578" s="2"/>
      <c r="E1578" s="2" t="s">
        <v>52</v>
      </c>
      <c r="F1578" s="3" t="n">
        <v>9.4E-005</v>
      </c>
      <c r="G1578" s="3" t="n">
        <f aca="false">SUM($F$2:F1578)</f>
        <v>0.899442</v>
      </c>
      <c r="H1578" s="4"/>
      <c r="I1578" s="5"/>
      <c r="J1578" s="4"/>
      <c r="K1578" s="5"/>
      <c r="L1578" s="6"/>
      <c r="M1578" s="5" t="str">
        <f aca="false">IF(AND(N(K1578)&gt;0,N(L1578)&gt;0),K1578/L1578,"")</f>
        <v/>
      </c>
      <c r="N1578" s="2" t="s">
        <v>1226</v>
      </c>
    </row>
    <row r="1579" customFormat="false" ht="15" hidden="false" customHeight="false" outlineLevel="0" collapsed="false">
      <c r="A1579" s="2" t="n">
        <v>1578</v>
      </c>
      <c r="B1579" s="2" t="s">
        <v>3457</v>
      </c>
      <c r="C1579" s="2" t="s">
        <v>3458</v>
      </c>
      <c r="D1579" s="2"/>
      <c r="E1579" s="2" t="s">
        <v>52</v>
      </c>
      <c r="F1579" s="3" t="n">
        <v>9.4E-005</v>
      </c>
      <c r="G1579" s="3" t="n">
        <f aca="false">SUM($F$2:F1579)</f>
        <v>0.899536</v>
      </c>
      <c r="H1579" s="4"/>
      <c r="I1579" s="5"/>
      <c r="J1579" s="4"/>
      <c r="K1579" s="5"/>
      <c r="L1579" s="6"/>
      <c r="M1579" s="5" t="str">
        <f aca="false">IF(AND(N(K1579)&gt;0,N(L1579)&gt;0),K1579/L1579,"")</f>
        <v/>
      </c>
      <c r="N1579" s="2" t="s">
        <v>1226</v>
      </c>
    </row>
    <row r="1580" customFormat="false" ht="15" hidden="false" customHeight="false" outlineLevel="0" collapsed="false">
      <c r="A1580" s="2" t="n">
        <v>1579</v>
      </c>
      <c r="B1580" s="2" t="s">
        <v>3459</v>
      </c>
      <c r="C1580" s="2" t="s">
        <v>3460</v>
      </c>
      <c r="D1580" s="2"/>
      <c r="E1580" s="2" t="s">
        <v>52</v>
      </c>
      <c r="F1580" s="3" t="n">
        <v>9.4E-005</v>
      </c>
      <c r="G1580" s="3" t="n">
        <f aca="false">SUM($F$2:F1580)</f>
        <v>0.89963</v>
      </c>
      <c r="H1580" s="4"/>
      <c r="I1580" s="5"/>
      <c r="J1580" s="4"/>
      <c r="K1580" s="5"/>
      <c r="L1580" s="6"/>
      <c r="M1580" s="5" t="str">
        <f aca="false">IF(AND(N(K1580)&gt;0,N(L1580)&gt;0),K1580/L1580,"")</f>
        <v/>
      </c>
      <c r="N1580" s="2" t="s">
        <v>1226</v>
      </c>
    </row>
    <row r="1581" customFormat="false" ht="15" hidden="false" customHeight="false" outlineLevel="0" collapsed="false">
      <c r="A1581" s="2" t="n">
        <v>1580</v>
      </c>
      <c r="B1581" s="2" t="s">
        <v>3461</v>
      </c>
      <c r="C1581" s="2" t="s">
        <v>3462</v>
      </c>
      <c r="D1581" s="2"/>
      <c r="E1581" s="2" t="s">
        <v>539</v>
      </c>
      <c r="F1581" s="3" t="n">
        <v>9.4E-005</v>
      </c>
      <c r="G1581" s="3" t="n">
        <f aca="false">SUM($F$2:F1581)</f>
        <v>0.899724</v>
      </c>
      <c r="H1581" s="4"/>
      <c r="I1581" s="5"/>
      <c r="J1581" s="4"/>
      <c r="K1581" s="5"/>
      <c r="L1581" s="6"/>
      <c r="M1581" s="5" t="str">
        <f aca="false">IF(AND(N(K1581)&gt;0,N(L1581)&gt;0),K1581/L1581,"")</f>
        <v/>
      </c>
      <c r="N1581" s="2" t="s">
        <v>1226</v>
      </c>
    </row>
    <row r="1582" customFormat="false" ht="15" hidden="false" customHeight="false" outlineLevel="0" collapsed="false">
      <c r="A1582" s="2" t="n">
        <v>1581</v>
      </c>
      <c r="B1582" s="2" t="s">
        <v>3463</v>
      </c>
      <c r="C1582" s="2" t="s">
        <v>3464</v>
      </c>
      <c r="D1582" s="2"/>
      <c r="E1582" s="2" t="s">
        <v>25</v>
      </c>
      <c r="F1582" s="3" t="n">
        <v>9.4E-005</v>
      </c>
      <c r="G1582" s="3" t="n">
        <f aca="false">SUM($F$2:F1582)</f>
        <v>0.899818</v>
      </c>
      <c r="H1582" s="4"/>
      <c r="I1582" s="5"/>
      <c r="J1582" s="4"/>
      <c r="K1582" s="5"/>
      <c r="L1582" s="6"/>
      <c r="M1582" s="5" t="str">
        <f aca="false">IF(AND(N(K1582)&gt;0,N(L1582)&gt;0),K1582/L1582,"")</f>
        <v/>
      </c>
      <c r="N1582" s="2" t="s">
        <v>1226</v>
      </c>
    </row>
    <row r="1583" customFormat="false" ht="15" hidden="false" customHeight="false" outlineLevel="0" collapsed="false">
      <c r="A1583" s="2" t="n">
        <v>1582</v>
      </c>
      <c r="B1583" s="2" t="s">
        <v>3465</v>
      </c>
      <c r="C1583" s="2" t="s">
        <v>3466</v>
      </c>
      <c r="D1583" s="2"/>
      <c r="E1583" s="2" t="s">
        <v>33</v>
      </c>
      <c r="F1583" s="3" t="n">
        <v>9.4E-005</v>
      </c>
      <c r="G1583" s="3" t="n">
        <f aca="false">SUM($F$2:F1583)</f>
        <v>0.899912</v>
      </c>
      <c r="H1583" s="4"/>
      <c r="I1583" s="5"/>
      <c r="J1583" s="4"/>
      <c r="K1583" s="5"/>
      <c r="L1583" s="6"/>
      <c r="M1583" s="5" t="str">
        <f aca="false">IF(AND(N(K1583)&gt;0,N(L1583)&gt;0),K1583/L1583,"")</f>
        <v/>
      </c>
      <c r="N1583" s="2" t="s">
        <v>1226</v>
      </c>
    </row>
    <row r="1584" customFormat="false" ht="15" hidden="false" customHeight="false" outlineLevel="0" collapsed="false">
      <c r="A1584" s="2" t="n">
        <v>1583</v>
      </c>
      <c r="B1584" s="2" t="s">
        <v>3467</v>
      </c>
      <c r="C1584" s="2" t="s">
        <v>3468</v>
      </c>
      <c r="D1584" s="2"/>
      <c r="E1584" s="2" t="s">
        <v>614</v>
      </c>
      <c r="F1584" s="3" t="n">
        <v>9.4E-005</v>
      </c>
      <c r="G1584" s="3" t="n">
        <f aca="false">SUM($F$2:F1584)</f>
        <v>0.900006</v>
      </c>
      <c r="H1584" s="4"/>
      <c r="I1584" s="5"/>
      <c r="J1584" s="4"/>
      <c r="K1584" s="5"/>
      <c r="L1584" s="6"/>
      <c r="M1584" s="5" t="str">
        <f aca="false">IF(AND(N(K1584)&gt;0,N(L1584)&gt;0),K1584/L1584,"")</f>
        <v/>
      </c>
      <c r="N1584" s="2" t="s">
        <v>1226</v>
      </c>
    </row>
    <row r="1585" customFormat="false" ht="15" hidden="false" customHeight="false" outlineLevel="0" collapsed="false">
      <c r="A1585" s="2" t="n">
        <v>1584</v>
      </c>
      <c r="B1585" s="2" t="s">
        <v>3469</v>
      </c>
      <c r="C1585" s="2" t="s">
        <v>3470</v>
      </c>
      <c r="D1585" s="2"/>
      <c r="E1585" s="2" t="s">
        <v>539</v>
      </c>
      <c r="F1585" s="3" t="n">
        <v>9.4E-005</v>
      </c>
      <c r="G1585" s="3" t="n">
        <f aca="false">SUM($F$2:F1585)</f>
        <v>0.9001</v>
      </c>
      <c r="H1585" s="4"/>
      <c r="I1585" s="5"/>
      <c r="J1585" s="4"/>
      <c r="K1585" s="5"/>
      <c r="L1585" s="6"/>
      <c r="M1585" s="5" t="str">
        <f aca="false">IF(AND(N(K1585)&gt;0,N(L1585)&gt;0),K1585/L1585,"")</f>
        <v/>
      </c>
      <c r="N1585" s="2" t="s">
        <v>1226</v>
      </c>
    </row>
    <row r="1586" customFormat="false" ht="15" hidden="false" customHeight="false" outlineLevel="0" collapsed="false">
      <c r="A1586" s="2" t="n">
        <v>1585</v>
      </c>
      <c r="B1586" s="2" t="s">
        <v>3471</v>
      </c>
      <c r="C1586" s="2" t="s">
        <v>3472</v>
      </c>
      <c r="D1586" s="2"/>
      <c r="E1586" s="2" t="s">
        <v>25</v>
      </c>
      <c r="F1586" s="3" t="n">
        <v>9.4E-005</v>
      </c>
      <c r="G1586" s="3" t="n">
        <f aca="false">SUM($F$2:F1586)</f>
        <v>0.900194</v>
      </c>
      <c r="H1586" s="4"/>
      <c r="I1586" s="5"/>
      <c r="J1586" s="4"/>
      <c r="K1586" s="5"/>
      <c r="L1586" s="6"/>
      <c r="M1586" s="5" t="str">
        <f aca="false">IF(AND(N(K1586)&gt;0,N(L1586)&gt;0),K1586/L1586,"")</f>
        <v/>
      </c>
      <c r="N1586" s="2" t="s">
        <v>1226</v>
      </c>
    </row>
    <row r="1587" customFormat="false" ht="15" hidden="false" customHeight="false" outlineLevel="0" collapsed="false">
      <c r="A1587" s="2" t="n">
        <v>1586</v>
      </c>
      <c r="B1587" s="2" t="s">
        <v>3473</v>
      </c>
      <c r="C1587" s="2" t="s">
        <v>3474</v>
      </c>
      <c r="D1587" s="2"/>
      <c r="E1587" s="2" t="s">
        <v>82</v>
      </c>
      <c r="F1587" s="3" t="n">
        <v>9.3E-005</v>
      </c>
      <c r="G1587" s="3" t="n">
        <f aca="false">SUM($F$2:F1587)</f>
        <v>0.900287</v>
      </c>
      <c r="H1587" s="4"/>
      <c r="I1587" s="5"/>
      <c r="J1587" s="4"/>
      <c r="K1587" s="5"/>
      <c r="L1587" s="6"/>
      <c r="M1587" s="5" t="str">
        <f aca="false">IF(AND(N(K1587)&gt;0,N(L1587)&gt;0),K1587/L1587,"")</f>
        <v/>
      </c>
      <c r="N1587" s="2" t="s">
        <v>1226</v>
      </c>
    </row>
    <row r="1588" customFormat="false" ht="15" hidden="false" customHeight="false" outlineLevel="0" collapsed="false">
      <c r="A1588" s="2" t="n">
        <v>1587</v>
      </c>
      <c r="B1588" s="2" t="s">
        <v>3475</v>
      </c>
      <c r="C1588" s="2" t="s">
        <v>3476</v>
      </c>
      <c r="D1588" s="2"/>
      <c r="E1588" s="2" t="s">
        <v>1215</v>
      </c>
      <c r="F1588" s="3" t="n">
        <v>9.3E-005</v>
      </c>
      <c r="G1588" s="3" t="n">
        <f aca="false">SUM($F$2:F1588)</f>
        <v>0.90038</v>
      </c>
      <c r="H1588" s="4"/>
      <c r="I1588" s="5"/>
      <c r="J1588" s="4"/>
      <c r="K1588" s="5"/>
      <c r="L1588" s="6"/>
      <c r="M1588" s="5" t="str">
        <f aca="false">IF(AND(N(K1588)&gt;0,N(L1588)&gt;0),K1588/L1588,"")</f>
        <v/>
      </c>
      <c r="N1588" s="2" t="s">
        <v>1226</v>
      </c>
    </row>
    <row r="1589" customFormat="false" ht="15" hidden="false" customHeight="false" outlineLevel="0" collapsed="false">
      <c r="A1589" s="2" t="n">
        <v>1588</v>
      </c>
      <c r="B1589" s="2" t="s">
        <v>3477</v>
      </c>
      <c r="C1589" s="2" t="s">
        <v>3478</v>
      </c>
      <c r="D1589" s="2"/>
      <c r="E1589" s="2" t="s">
        <v>82</v>
      </c>
      <c r="F1589" s="3" t="n">
        <v>9.3E-005</v>
      </c>
      <c r="G1589" s="3" t="n">
        <f aca="false">SUM($F$2:F1589)</f>
        <v>0.900473</v>
      </c>
      <c r="H1589" s="4"/>
      <c r="I1589" s="5"/>
      <c r="J1589" s="4"/>
      <c r="K1589" s="5"/>
      <c r="L1589" s="6"/>
      <c r="M1589" s="5" t="str">
        <f aca="false">IF(AND(N(K1589)&gt;0,N(L1589)&gt;0),K1589/L1589,"")</f>
        <v/>
      </c>
      <c r="N1589" s="2" t="s">
        <v>1226</v>
      </c>
    </row>
    <row r="1590" customFormat="false" ht="15" hidden="false" customHeight="false" outlineLevel="0" collapsed="false">
      <c r="A1590" s="2" t="n">
        <v>1589</v>
      </c>
      <c r="B1590" s="2" t="s">
        <v>3479</v>
      </c>
      <c r="C1590" s="2" t="s">
        <v>3480</v>
      </c>
      <c r="D1590" s="2"/>
      <c r="E1590" s="2" t="s">
        <v>199</v>
      </c>
      <c r="F1590" s="3" t="n">
        <v>9.3E-005</v>
      </c>
      <c r="G1590" s="3" t="n">
        <f aca="false">SUM($F$2:F1590)</f>
        <v>0.900566</v>
      </c>
      <c r="H1590" s="4"/>
      <c r="I1590" s="5"/>
      <c r="J1590" s="4"/>
      <c r="K1590" s="5"/>
      <c r="L1590" s="6"/>
      <c r="M1590" s="5" t="str">
        <f aca="false">IF(AND(N(K1590)&gt;0,N(L1590)&gt;0),K1590/L1590,"")</f>
        <v/>
      </c>
      <c r="N1590" s="2" t="s">
        <v>1226</v>
      </c>
    </row>
    <row r="1591" customFormat="false" ht="15" hidden="false" customHeight="false" outlineLevel="0" collapsed="false">
      <c r="A1591" s="2" t="n">
        <v>1590</v>
      </c>
      <c r="B1591" s="2" t="s">
        <v>3481</v>
      </c>
      <c r="C1591" s="2" t="s">
        <v>3482</v>
      </c>
      <c r="D1591" s="2"/>
      <c r="E1591" s="2" t="s">
        <v>167</v>
      </c>
      <c r="F1591" s="3" t="n">
        <v>9.3E-005</v>
      </c>
      <c r="G1591" s="3" t="n">
        <f aca="false">SUM($F$2:F1591)</f>
        <v>0.900659</v>
      </c>
      <c r="H1591" s="4"/>
      <c r="I1591" s="5"/>
      <c r="J1591" s="4"/>
      <c r="K1591" s="5"/>
      <c r="L1591" s="6"/>
      <c r="M1591" s="5" t="str">
        <f aca="false">IF(AND(N(K1591)&gt;0,N(L1591)&gt;0),K1591/L1591,"")</f>
        <v/>
      </c>
      <c r="N1591" s="2" t="s">
        <v>1226</v>
      </c>
    </row>
    <row r="1592" customFormat="false" ht="15" hidden="false" customHeight="false" outlineLevel="0" collapsed="false">
      <c r="A1592" s="2" t="n">
        <v>1591</v>
      </c>
      <c r="B1592" s="2" t="s">
        <v>3483</v>
      </c>
      <c r="C1592" s="2" t="s">
        <v>3484</v>
      </c>
      <c r="D1592" s="2"/>
      <c r="E1592" s="2" t="s">
        <v>2264</v>
      </c>
      <c r="F1592" s="3" t="n">
        <v>9.3E-005</v>
      </c>
      <c r="G1592" s="3" t="n">
        <f aca="false">SUM($F$2:F1592)</f>
        <v>0.900752</v>
      </c>
      <c r="H1592" s="4"/>
      <c r="I1592" s="5"/>
      <c r="J1592" s="4"/>
      <c r="K1592" s="5"/>
      <c r="L1592" s="6"/>
      <c r="M1592" s="5" t="str">
        <f aca="false">IF(AND(N(K1592)&gt;0,N(L1592)&gt;0),K1592/L1592,"")</f>
        <v/>
      </c>
      <c r="N1592" s="2" t="s">
        <v>1226</v>
      </c>
    </row>
    <row r="1593" customFormat="false" ht="15" hidden="false" customHeight="false" outlineLevel="0" collapsed="false">
      <c r="A1593" s="2" t="n">
        <v>1592</v>
      </c>
      <c r="B1593" s="2" t="s">
        <v>3485</v>
      </c>
      <c r="C1593" s="2" t="s">
        <v>3486</v>
      </c>
      <c r="D1593" s="2"/>
      <c r="E1593" s="2" t="s">
        <v>82</v>
      </c>
      <c r="F1593" s="3" t="n">
        <v>9.3E-005</v>
      </c>
      <c r="G1593" s="3" t="n">
        <f aca="false">SUM($F$2:F1593)</f>
        <v>0.900845</v>
      </c>
      <c r="H1593" s="4"/>
      <c r="I1593" s="5"/>
      <c r="J1593" s="4"/>
      <c r="K1593" s="5"/>
      <c r="L1593" s="6"/>
      <c r="M1593" s="5" t="str">
        <f aca="false">IF(AND(N(K1593)&gt;0,N(L1593)&gt;0),K1593/L1593,"")</f>
        <v/>
      </c>
      <c r="N1593" s="2" t="s">
        <v>1226</v>
      </c>
    </row>
    <row r="1594" customFormat="false" ht="15" hidden="false" customHeight="false" outlineLevel="0" collapsed="false">
      <c r="A1594" s="2" t="n">
        <v>1593</v>
      </c>
      <c r="B1594" s="2" t="s">
        <v>3487</v>
      </c>
      <c r="C1594" s="2" t="s">
        <v>3488</v>
      </c>
      <c r="D1594" s="2"/>
      <c r="E1594" s="2" t="s">
        <v>29</v>
      </c>
      <c r="F1594" s="3" t="n">
        <v>9.3E-005</v>
      </c>
      <c r="G1594" s="3" t="n">
        <f aca="false">SUM($F$2:F1594)</f>
        <v>0.900938</v>
      </c>
      <c r="H1594" s="4"/>
      <c r="I1594" s="5"/>
      <c r="J1594" s="4"/>
      <c r="K1594" s="5"/>
      <c r="L1594" s="6"/>
      <c r="M1594" s="5" t="str">
        <f aca="false">IF(AND(N(K1594)&gt;0,N(L1594)&gt;0),K1594/L1594,"")</f>
        <v/>
      </c>
      <c r="N1594" s="2" t="s">
        <v>1226</v>
      </c>
    </row>
    <row r="1595" customFormat="false" ht="15" hidden="false" customHeight="false" outlineLevel="0" collapsed="false">
      <c r="A1595" s="2" t="n">
        <v>1594</v>
      </c>
      <c r="B1595" s="2" t="s">
        <v>3489</v>
      </c>
      <c r="C1595" s="2" t="s">
        <v>3490</v>
      </c>
      <c r="D1595" s="2"/>
      <c r="E1595" s="2" t="s">
        <v>289</v>
      </c>
      <c r="F1595" s="3" t="n">
        <v>9.3E-005</v>
      </c>
      <c r="G1595" s="3" t="n">
        <f aca="false">SUM($F$2:F1595)</f>
        <v>0.901031</v>
      </c>
      <c r="H1595" s="4"/>
      <c r="I1595" s="5"/>
      <c r="J1595" s="4"/>
      <c r="K1595" s="5"/>
      <c r="L1595" s="6"/>
      <c r="M1595" s="5" t="str">
        <f aca="false">IF(AND(N(K1595)&gt;0,N(L1595)&gt;0),K1595/L1595,"")</f>
        <v/>
      </c>
      <c r="N1595" s="2" t="s">
        <v>1226</v>
      </c>
    </row>
    <row r="1596" customFormat="false" ht="15" hidden="false" customHeight="false" outlineLevel="0" collapsed="false">
      <c r="A1596" s="2" t="n">
        <v>1595</v>
      </c>
      <c r="B1596" s="2" t="s">
        <v>3491</v>
      </c>
      <c r="C1596" s="2" t="s">
        <v>3492</v>
      </c>
      <c r="D1596" s="2"/>
      <c r="E1596" s="2" t="s">
        <v>29</v>
      </c>
      <c r="F1596" s="3" t="n">
        <v>9.3E-005</v>
      </c>
      <c r="G1596" s="3" t="n">
        <f aca="false">SUM($F$2:F1596)</f>
        <v>0.901124</v>
      </c>
      <c r="H1596" s="4"/>
      <c r="I1596" s="5"/>
      <c r="J1596" s="4"/>
      <c r="K1596" s="5"/>
      <c r="L1596" s="6"/>
      <c r="M1596" s="5" t="str">
        <f aca="false">IF(AND(N(K1596)&gt;0,N(L1596)&gt;0),K1596/L1596,"")</f>
        <v/>
      </c>
      <c r="N1596" s="2" t="s">
        <v>1226</v>
      </c>
    </row>
    <row r="1597" customFormat="false" ht="15" hidden="false" customHeight="false" outlineLevel="0" collapsed="false">
      <c r="A1597" s="2" t="n">
        <v>1596</v>
      </c>
      <c r="B1597" s="2" t="s">
        <v>3493</v>
      </c>
      <c r="C1597" s="2" t="s">
        <v>3494</v>
      </c>
      <c r="D1597" s="2"/>
      <c r="E1597" s="2" t="s">
        <v>1345</v>
      </c>
      <c r="F1597" s="3" t="n">
        <v>9.2E-005</v>
      </c>
      <c r="G1597" s="3" t="n">
        <f aca="false">SUM($F$2:F1597)</f>
        <v>0.901216</v>
      </c>
      <c r="H1597" s="4"/>
      <c r="I1597" s="5"/>
      <c r="J1597" s="4"/>
      <c r="K1597" s="5"/>
      <c r="L1597" s="6"/>
      <c r="M1597" s="5" t="str">
        <f aca="false">IF(AND(N(K1597)&gt;0,N(L1597)&gt;0),K1597/L1597,"")</f>
        <v/>
      </c>
      <c r="N1597" s="2" t="s">
        <v>1226</v>
      </c>
    </row>
    <row r="1598" customFormat="false" ht="15" hidden="false" customHeight="false" outlineLevel="0" collapsed="false">
      <c r="A1598" s="2" t="n">
        <v>1597</v>
      </c>
      <c r="B1598" s="2" t="s">
        <v>3495</v>
      </c>
      <c r="C1598" s="2" t="s">
        <v>3496</v>
      </c>
      <c r="D1598" s="2"/>
      <c r="E1598" s="2" t="s">
        <v>52</v>
      </c>
      <c r="F1598" s="3" t="n">
        <v>9.2E-005</v>
      </c>
      <c r="G1598" s="3" t="n">
        <f aca="false">SUM($F$2:F1598)</f>
        <v>0.901308</v>
      </c>
      <c r="H1598" s="4"/>
      <c r="I1598" s="5"/>
      <c r="J1598" s="4"/>
      <c r="K1598" s="5"/>
      <c r="L1598" s="6"/>
      <c r="M1598" s="5" t="str">
        <f aca="false">IF(AND(N(K1598)&gt;0,N(L1598)&gt;0),K1598/L1598,"")</f>
        <v/>
      </c>
      <c r="N1598" s="2" t="s">
        <v>1226</v>
      </c>
    </row>
    <row r="1599" customFormat="false" ht="15" hidden="false" customHeight="false" outlineLevel="0" collapsed="false">
      <c r="A1599" s="2" t="n">
        <v>1598</v>
      </c>
      <c r="B1599" s="2" t="s">
        <v>3497</v>
      </c>
      <c r="C1599" s="2" t="s">
        <v>3498</v>
      </c>
      <c r="D1599" s="2"/>
      <c r="E1599" s="2" t="s">
        <v>1345</v>
      </c>
      <c r="F1599" s="3" t="n">
        <v>9.2E-005</v>
      </c>
      <c r="G1599" s="3" t="n">
        <f aca="false">SUM($F$2:F1599)</f>
        <v>0.9014</v>
      </c>
      <c r="H1599" s="4"/>
      <c r="I1599" s="5"/>
      <c r="J1599" s="4"/>
      <c r="K1599" s="5"/>
      <c r="L1599" s="6"/>
      <c r="M1599" s="5" t="str">
        <f aca="false">IF(AND(N(K1599)&gt;0,N(L1599)&gt;0),K1599/L1599,"")</f>
        <v/>
      </c>
      <c r="N1599" s="2" t="s">
        <v>1226</v>
      </c>
    </row>
    <row r="1600" customFormat="false" ht="15" hidden="false" customHeight="false" outlineLevel="0" collapsed="false">
      <c r="A1600" s="2" t="n">
        <v>1599</v>
      </c>
      <c r="B1600" s="2" t="s">
        <v>3499</v>
      </c>
      <c r="C1600" s="2" t="s">
        <v>3500</v>
      </c>
      <c r="D1600" s="2"/>
      <c r="E1600" s="2" t="s">
        <v>48</v>
      </c>
      <c r="F1600" s="3" t="n">
        <v>9.2E-005</v>
      </c>
      <c r="G1600" s="3" t="n">
        <f aca="false">SUM($F$2:F1600)</f>
        <v>0.901492</v>
      </c>
      <c r="H1600" s="4"/>
      <c r="I1600" s="5"/>
      <c r="J1600" s="4"/>
      <c r="K1600" s="5"/>
      <c r="L1600" s="6"/>
      <c r="M1600" s="5" t="str">
        <f aca="false">IF(AND(N(K1600)&gt;0,N(L1600)&gt;0),K1600/L1600,"")</f>
        <v/>
      </c>
      <c r="N1600" s="2" t="s">
        <v>1226</v>
      </c>
    </row>
    <row r="1601" customFormat="false" ht="15" hidden="false" customHeight="false" outlineLevel="0" collapsed="false">
      <c r="A1601" s="2" t="n">
        <v>1600</v>
      </c>
      <c r="B1601" s="2" t="s">
        <v>3501</v>
      </c>
      <c r="C1601" s="2" t="s">
        <v>3502</v>
      </c>
      <c r="D1601" s="2"/>
      <c r="E1601" s="2" t="s">
        <v>289</v>
      </c>
      <c r="F1601" s="3" t="n">
        <v>9.2E-005</v>
      </c>
      <c r="G1601" s="3" t="n">
        <f aca="false">SUM($F$2:F1601)</f>
        <v>0.901584</v>
      </c>
      <c r="H1601" s="4"/>
      <c r="I1601" s="5"/>
      <c r="J1601" s="4"/>
      <c r="K1601" s="5"/>
      <c r="L1601" s="6"/>
      <c r="M1601" s="5" t="str">
        <f aca="false">IF(AND(N(K1601)&gt;0,N(L1601)&gt;0),K1601/L1601,"")</f>
        <v/>
      </c>
      <c r="N1601" s="2" t="s">
        <v>1226</v>
      </c>
    </row>
    <row r="1602" customFormat="false" ht="15" hidden="false" customHeight="false" outlineLevel="0" collapsed="false">
      <c r="A1602" s="2" t="n">
        <v>1601</v>
      </c>
      <c r="B1602" s="2" t="s">
        <v>3503</v>
      </c>
      <c r="C1602" s="2" t="s">
        <v>3504</v>
      </c>
      <c r="D1602" s="2"/>
      <c r="E1602" s="2" t="s">
        <v>52</v>
      </c>
      <c r="F1602" s="3" t="n">
        <v>9.2E-005</v>
      </c>
      <c r="G1602" s="3" t="n">
        <f aca="false">SUM($F$2:F1602)</f>
        <v>0.901676</v>
      </c>
      <c r="H1602" s="4"/>
      <c r="I1602" s="5"/>
      <c r="J1602" s="4"/>
      <c r="K1602" s="5"/>
      <c r="L1602" s="6"/>
      <c r="M1602" s="5" t="str">
        <f aca="false">IF(AND(N(K1602)&gt;0,N(L1602)&gt;0),K1602/L1602,"")</f>
        <v/>
      </c>
      <c r="N1602" s="2" t="s">
        <v>1226</v>
      </c>
    </row>
    <row r="1603" customFormat="false" ht="15" hidden="false" customHeight="false" outlineLevel="0" collapsed="false">
      <c r="A1603" s="2" t="n">
        <v>1602</v>
      </c>
      <c r="B1603" s="2" t="s">
        <v>3505</v>
      </c>
      <c r="C1603" s="2" t="s">
        <v>3506</v>
      </c>
      <c r="D1603" s="2"/>
      <c r="E1603" s="2" t="s">
        <v>289</v>
      </c>
      <c r="F1603" s="3" t="n">
        <v>9.2E-005</v>
      </c>
      <c r="G1603" s="3" t="n">
        <f aca="false">SUM($F$2:F1603)</f>
        <v>0.901768</v>
      </c>
      <c r="H1603" s="4"/>
      <c r="I1603" s="5"/>
      <c r="J1603" s="4"/>
      <c r="K1603" s="5"/>
      <c r="L1603" s="6"/>
      <c r="M1603" s="5" t="str">
        <f aca="false">IF(AND(N(K1603)&gt;0,N(L1603)&gt;0),K1603/L1603,"")</f>
        <v/>
      </c>
      <c r="N1603" s="2" t="s">
        <v>1226</v>
      </c>
    </row>
    <row r="1604" customFormat="false" ht="15" hidden="false" customHeight="false" outlineLevel="0" collapsed="false">
      <c r="A1604" s="2" t="n">
        <v>1603</v>
      </c>
      <c r="B1604" s="2" t="s">
        <v>3507</v>
      </c>
      <c r="C1604" s="2" t="s">
        <v>3508</v>
      </c>
      <c r="D1604" s="2"/>
      <c r="E1604" s="2" t="s">
        <v>289</v>
      </c>
      <c r="F1604" s="3" t="n">
        <v>9.2E-005</v>
      </c>
      <c r="G1604" s="3" t="n">
        <f aca="false">SUM($F$2:F1604)</f>
        <v>0.90186</v>
      </c>
      <c r="H1604" s="4"/>
      <c r="I1604" s="5"/>
      <c r="J1604" s="4"/>
      <c r="K1604" s="5"/>
      <c r="L1604" s="6"/>
      <c r="M1604" s="5" t="str">
        <f aca="false">IF(AND(N(K1604)&gt;0,N(L1604)&gt;0),K1604/L1604,"")</f>
        <v/>
      </c>
      <c r="N1604" s="2" t="s">
        <v>1226</v>
      </c>
    </row>
    <row r="1605" customFormat="false" ht="15" hidden="false" customHeight="false" outlineLevel="0" collapsed="false">
      <c r="A1605" s="2" t="n">
        <v>1604</v>
      </c>
      <c r="B1605" s="2" t="s">
        <v>3509</v>
      </c>
      <c r="C1605" s="2" t="s">
        <v>3510</v>
      </c>
      <c r="D1605" s="2"/>
      <c r="E1605" s="2" t="s">
        <v>48</v>
      </c>
      <c r="F1605" s="3" t="n">
        <v>9.2E-005</v>
      </c>
      <c r="G1605" s="3" t="n">
        <f aca="false">SUM($F$2:F1605)</f>
        <v>0.901952</v>
      </c>
      <c r="H1605" s="4"/>
      <c r="I1605" s="5"/>
      <c r="J1605" s="4"/>
      <c r="K1605" s="5"/>
      <c r="L1605" s="6"/>
      <c r="M1605" s="5" t="str">
        <f aca="false">IF(AND(N(K1605)&gt;0,N(L1605)&gt;0),K1605/L1605,"")</f>
        <v/>
      </c>
      <c r="N1605" s="2" t="s">
        <v>1226</v>
      </c>
    </row>
    <row r="1606" customFormat="false" ht="15" hidden="false" customHeight="false" outlineLevel="0" collapsed="false">
      <c r="A1606" s="2" t="n">
        <v>1605</v>
      </c>
      <c r="B1606" s="2" t="s">
        <v>3511</v>
      </c>
      <c r="C1606" s="2" t="s">
        <v>3512</v>
      </c>
      <c r="D1606" s="2"/>
      <c r="E1606" s="2" t="s">
        <v>52</v>
      </c>
      <c r="F1606" s="3" t="n">
        <v>9.2E-005</v>
      </c>
      <c r="G1606" s="3" t="n">
        <f aca="false">SUM($F$2:F1606)</f>
        <v>0.902044</v>
      </c>
      <c r="H1606" s="4"/>
      <c r="I1606" s="5"/>
      <c r="J1606" s="4"/>
      <c r="K1606" s="5"/>
      <c r="L1606" s="6"/>
      <c r="M1606" s="5" t="str">
        <f aca="false">IF(AND(N(K1606)&gt;0,N(L1606)&gt;0),K1606/L1606,"")</f>
        <v/>
      </c>
      <c r="N1606" s="2" t="s">
        <v>1226</v>
      </c>
    </row>
    <row r="1607" customFormat="false" ht="15" hidden="false" customHeight="false" outlineLevel="0" collapsed="false">
      <c r="A1607" s="2" t="n">
        <v>1606</v>
      </c>
      <c r="B1607" s="2" t="s">
        <v>3513</v>
      </c>
      <c r="C1607" s="2" t="s">
        <v>3514</v>
      </c>
      <c r="D1607" s="2"/>
      <c r="E1607" s="2" t="s">
        <v>765</v>
      </c>
      <c r="F1607" s="3" t="n">
        <v>9.2E-005</v>
      </c>
      <c r="G1607" s="3" t="n">
        <f aca="false">SUM($F$2:F1607)</f>
        <v>0.902136</v>
      </c>
      <c r="H1607" s="4"/>
      <c r="I1607" s="5"/>
      <c r="J1607" s="4"/>
      <c r="K1607" s="5"/>
      <c r="L1607" s="6"/>
      <c r="M1607" s="5" t="str">
        <f aca="false">IF(AND(N(K1607)&gt;0,N(L1607)&gt;0),K1607/L1607,"")</f>
        <v/>
      </c>
      <c r="N1607" s="2" t="s">
        <v>1226</v>
      </c>
    </row>
    <row r="1608" customFormat="false" ht="15" hidden="false" customHeight="false" outlineLevel="0" collapsed="false">
      <c r="A1608" s="2" t="n">
        <v>1607</v>
      </c>
      <c r="B1608" s="2" t="s">
        <v>3515</v>
      </c>
      <c r="C1608" s="2" t="s">
        <v>3516</v>
      </c>
      <c r="D1608" s="2"/>
      <c r="E1608" s="2" t="s">
        <v>33</v>
      </c>
      <c r="F1608" s="3" t="n">
        <v>9.2E-005</v>
      </c>
      <c r="G1608" s="3" t="n">
        <f aca="false">SUM($F$2:F1608)</f>
        <v>0.902228</v>
      </c>
      <c r="H1608" s="4"/>
      <c r="I1608" s="5"/>
      <c r="J1608" s="4"/>
      <c r="K1608" s="5"/>
      <c r="L1608" s="6"/>
      <c r="M1608" s="5" t="str">
        <f aca="false">IF(AND(N(K1608)&gt;0,N(L1608)&gt;0),K1608/L1608,"")</f>
        <v/>
      </c>
      <c r="N1608" s="2" t="s">
        <v>1226</v>
      </c>
    </row>
    <row r="1609" customFormat="false" ht="15" hidden="false" customHeight="false" outlineLevel="0" collapsed="false">
      <c r="A1609" s="2" t="n">
        <v>1608</v>
      </c>
      <c r="B1609" s="2" t="s">
        <v>3517</v>
      </c>
      <c r="C1609" s="2" t="s">
        <v>3518</v>
      </c>
      <c r="D1609" s="2"/>
      <c r="E1609" s="2" t="s">
        <v>33</v>
      </c>
      <c r="F1609" s="3" t="n">
        <v>9.2E-005</v>
      </c>
      <c r="G1609" s="3" t="n">
        <f aca="false">SUM($F$2:F1609)</f>
        <v>0.90232</v>
      </c>
      <c r="H1609" s="4"/>
      <c r="I1609" s="5"/>
      <c r="J1609" s="4"/>
      <c r="K1609" s="5"/>
      <c r="L1609" s="6"/>
      <c r="M1609" s="5" t="str">
        <f aca="false">IF(AND(N(K1609)&gt;0,N(L1609)&gt;0),K1609/L1609,"")</f>
        <v/>
      </c>
      <c r="N1609" s="2" t="s">
        <v>1226</v>
      </c>
    </row>
    <row r="1610" customFormat="false" ht="15" hidden="false" customHeight="false" outlineLevel="0" collapsed="false">
      <c r="A1610" s="2" t="n">
        <v>1609</v>
      </c>
      <c r="B1610" s="2" t="s">
        <v>3519</v>
      </c>
      <c r="C1610" s="2" t="s">
        <v>3520</v>
      </c>
      <c r="D1610" s="2"/>
      <c r="E1610" s="2" t="s">
        <v>52</v>
      </c>
      <c r="F1610" s="3" t="n">
        <v>9.2E-005</v>
      </c>
      <c r="G1610" s="3" t="n">
        <f aca="false">SUM($F$2:F1610)</f>
        <v>0.902412</v>
      </c>
      <c r="H1610" s="4"/>
      <c r="I1610" s="5"/>
      <c r="J1610" s="4"/>
      <c r="K1610" s="5"/>
      <c r="L1610" s="6"/>
      <c r="M1610" s="5" t="str">
        <f aca="false">IF(AND(N(K1610)&gt;0,N(L1610)&gt;0),K1610/L1610,"")</f>
        <v/>
      </c>
      <c r="N1610" s="2" t="s">
        <v>1226</v>
      </c>
    </row>
    <row r="1611" customFormat="false" ht="15" hidden="false" customHeight="false" outlineLevel="0" collapsed="false">
      <c r="A1611" s="2" t="n">
        <v>1610</v>
      </c>
      <c r="B1611" s="2" t="s">
        <v>3521</v>
      </c>
      <c r="C1611" s="2" t="s">
        <v>3522</v>
      </c>
      <c r="D1611" s="2"/>
      <c r="E1611" s="2" t="s">
        <v>52</v>
      </c>
      <c r="F1611" s="3" t="n">
        <v>9.2E-005</v>
      </c>
      <c r="G1611" s="3" t="n">
        <f aca="false">SUM($F$2:F1611)</f>
        <v>0.902504</v>
      </c>
      <c r="H1611" s="4"/>
      <c r="I1611" s="5"/>
      <c r="J1611" s="4"/>
      <c r="K1611" s="5"/>
      <c r="L1611" s="6"/>
      <c r="M1611" s="5" t="str">
        <f aca="false">IF(AND(N(K1611)&gt;0,N(L1611)&gt;0),K1611/L1611,"")</f>
        <v/>
      </c>
      <c r="N1611" s="2" t="s">
        <v>1226</v>
      </c>
    </row>
    <row r="1612" customFormat="false" ht="15" hidden="false" customHeight="false" outlineLevel="0" collapsed="false">
      <c r="A1612" s="2" t="n">
        <v>1611</v>
      </c>
      <c r="B1612" s="2" t="s">
        <v>3523</v>
      </c>
      <c r="C1612" s="2" t="s">
        <v>3524</v>
      </c>
      <c r="D1612" s="2"/>
      <c r="E1612" s="2" t="s">
        <v>289</v>
      </c>
      <c r="F1612" s="3" t="n">
        <v>9.1E-005</v>
      </c>
      <c r="G1612" s="3" t="n">
        <f aca="false">SUM($F$2:F1612)</f>
        <v>0.902595</v>
      </c>
      <c r="H1612" s="4"/>
      <c r="I1612" s="5"/>
      <c r="J1612" s="4"/>
      <c r="K1612" s="5"/>
      <c r="L1612" s="6"/>
      <c r="M1612" s="5" t="str">
        <f aca="false">IF(AND(N(K1612)&gt;0,N(L1612)&gt;0),K1612/L1612,"")</f>
        <v/>
      </c>
      <c r="N1612" s="2" t="s">
        <v>1226</v>
      </c>
    </row>
    <row r="1613" customFormat="false" ht="15" hidden="false" customHeight="false" outlineLevel="0" collapsed="false">
      <c r="A1613" s="2" t="n">
        <v>1612</v>
      </c>
      <c r="B1613" s="2" t="s">
        <v>3525</v>
      </c>
      <c r="C1613" s="2" t="s">
        <v>3526</v>
      </c>
      <c r="D1613" s="2"/>
      <c r="E1613" s="2" t="s">
        <v>25</v>
      </c>
      <c r="F1613" s="3" t="n">
        <v>9.1E-005</v>
      </c>
      <c r="G1613" s="3" t="n">
        <f aca="false">SUM($F$2:F1613)</f>
        <v>0.902686</v>
      </c>
      <c r="H1613" s="4"/>
      <c r="I1613" s="5"/>
      <c r="J1613" s="4"/>
      <c r="K1613" s="5"/>
      <c r="L1613" s="6"/>
      <c r="M1613" s="5" t="str">
        <f aca="false">IF(AND(N(K1613)&gt;0,N(L1613)&gt;0),K1613/L1613,"")</f>
        <v/>
      </c>
      <c r="N1613" s="2" t="s">
        <v>1226</v>
      </c>
    </row>
    <row r="1614" customFormat="false" ht="15" hidden="false" customHeight="false" outlineLevel="0" collapsed="false">
      <c r="A1614" s="2" t="n">
        <v>1613</v>
      </c>
      <c r="B1614" s="2" t="s">
        <v>3527</v>
      </c>
      <c r="C1614" s="2" t="s">
        <v>3528</v>
      </c>
      <c r="D1614" s="2"/>
      <c r="E1614" s="2" t="s">
        <v>289</v>
      </c>
      <c r="F1614" s="3" t="n">
        <v>9.1E-005</v>
      </c>
      <c r="G1614" s="3" t="n">
        <f aca="false">SUM($F$2:F1614)</f>
        <v>0.902777</v>
      </c>
      <c r="H1614" s="4"/>
      <c r="I1614" s="5"/>
      <c r="J1614" s="4"/>
      <c r="K1614" s="5"/>
      <c r="L1614" s="6"/>
      <c r="M1614" s="5" t="str">
        <f aca="false">IF(AND(N(K1614)&gt;0,N(L1614)&gt;0),K1614/L1614,"")</f>
        <v/>
      </c>
      <c r="N1614" s="2" t="s">
        <v>1226</v>
      </c>
    </row>
    <row r="1615" customFormat="false" ht="15" hidden="false" customHeight="false" outlineLevel="0" collapsed="false">
      <c r="A1615" s="2" t="n">
        <v>1614</v>
      </c>
      <c r="B1615" s="2" t="s">
        <v>3529</v>
      </c>
      <c r="C1615" s="2" t="s">
        <v>3530</v>
      </c>
      <c r="D1615" s="2"/>
      <c r="E1615" s="2" t="s">
        <v>82</v>
      </c>
      <c r="F1615" s="3" t="n">
        <v>9.1E-005</v>
      </c>
      <c r="G1615" s="3" t="n">
        <f aca="false">SUM($F$2:F1615)</f>
        <v>0.902868</v>
      </c>
      <c r="H1615" s="4"/>
      <c r="I1615" s="5"/>
      <c r="J1615" s="4"/>
      <c r="K1615" s="5"/>
      <c r="L1615" s="6"/>
      <c r="M1615" s="5" t="str">
        <f aca="false">IF(AND(N(K1615)&gt;0,N(L1615)&gt;0),K1615/L1615,"")</f>
        <v/>
      </c>
      <c r="N1615" s="2" t="s">
        <v>1226</v>
      </c>
    </row>
    <row r="1616" customFormat="false" ht="15" hidden="false" customHeight="false" outlineLevel="0" collapsed="false">
      <c r="A1616" s="2" t="n">
        <v>1615</v>
      </c>
      <c r="B1616" s="2" t="s">
        <v>3531</v>
      </c>
      <c r="C1616" s="2" t="s">
        <v>3532</v>
      </c>
      <c r="D1616" s="2"/>
      <c r="E1616" s="2" t="s">
        <v>52</v>
      </c>
      <c r="F1616" s="3" t="n">
        <v>9.1E-005</v>
      </c>
      <c r="G1616" s="3" t="n">
        <f aca="false">SUM($F$2:F1616)</f>
        <v>0.902959</v>
      </c>
      <c r="H1616" s="4"/>
      <c r="I1616" s="5"/>
      <c r="J1616" s="4"/>
      <c r="K1616" s="5"/>
      <c r="L1616" s="6"/>
      <c r="M1616" s="5" t="str">
        <f aca="false">IF(AND(N(K1616)&gt;0,N(L1616)&gt;0),K1616/L1616,"")</f>
        <v/>
      </c>
      <c r="N1616" s="2" t="s">
        <v>1226</v>
      </c>
    </row>
    <row r="1617" customFormat="false" ht="15" hidden="false" customHeight="false" outlineLevel="0" collapsed="false">
      <c r="A1617" s="2" t="n">
        <v>1616</v>
      </c>
      <c r="B1617" s="2" t="s">
        <v>3533</v>
      </c>
      <c r="C1617" s="2" t="s">
        <v>3534</v>
      </c>
      <c r="D1617" s="2"/>
      <c r="E1617" s="2" t="s">
        <v>17</v>
      </c>
      <c r="F1617" s="3" t="n">
        <v>9.1E-005</v>
      </c>
      <c r="G1617" s="3" t="n">
        <f aca="false">SUM($F$2:F1617)</f>
        <v>0.90305</v>
      </c>
      <c r="H1617" s="4"/>
      <c r="I1617" s="5"/>
      <c r="J1617" s="4"/>
      <c r="K1617" s="5"/>
      <c r="L1617" s="6"/>
      <c r="M1617" s="5" t="str">
        <f aca="false">IF(AND(N(K1617)&gt;0,N(L1617)&gt;0),K1617/L1617,"")</f>
        <v/>
      </c>
      <c r="N1617" s="2" t="s">
        <v>1226</v>
      </c>
    </row>
    <row r="1618" customFormat="false" ht="15" hidden="false" customHeight="false" outlineLevel="0" collapsed="false">
      <c r="A1618" s="2" t="n">
        <v>1617</v>
      </c>
      <c r="B1618" s="2" t="s">
        <v>3535</v>
      </c>
      <c r="C1618" s="2" t="s">
        <v>3536</v>
      </c>
      <c r="D1618" s="2"/>
      <c r="E1618" s="2" t="s">
        <v>826</v>
      </c>
      <c r="F1618" s="3" t="n">
        <v>9.1E-005</v>
      </c>
      <c r="G1618" s="3" t="n">
        <f aca="false">SUM($F$2:F1618)</f>
        <v>0.903141</v>
      </c>
      <c r="H1618" s="4"/>
      <c r="I1618" s="5"/>
      <c r="J1618" s="4"/>
      <c r="K1618" s="5"/>
      <c r="L1618" s="6"/>
      <c r="M1618" s="5" t="str">
        <f aca="false">IF(AND(N(K1618)&gt;0,N(L1618)&gt;0),K1618/L1618,"")</f>
        <v/>
      </c>
      <c r="N1618" s="2" t="s">
        <v>1226</v>
      </c>
    </row>
    <row r="1619" customFormat="false" ht="15" hidden="false" customHeight="false" outlineLevel="0" collapsed="false">
      <c r="A1619" s="2" t="n">
        <v>1618</v>
      </c>
      <c r="B1619" s="2" t="s">
        <v>3537</v>
      </c>
      <c r="C1619" s="2" t="s">
        <v>3538</v>
      </c>
      <c r="D1619" s="2"/>
      <c r="E1619" s="2" t="s">
        <v>289</v>
      </c>
      <c r="F1619" s="3" t="n">
        <v>9.1E-005</v>
      </c>
      <c r="G1619" s="3" t="n">
        <f aca="false">SUM($F$2:F1619)</f>
        <v>0.903232</v>
      </c>
      <c r="H1619" s="4"/>
      <c r="I1619" s="5"/>
      <c r="J1619" s="4"/>
      <c r="K1619" s="5"/>
      <c r="L1619" s="6"/>
      <c r="M1619" s="5" t="str">
        <f aca="false">IF(AND(N(K1619)&gt;0,N(L1619)&gt;0),K1619/L1619,"")</f>
        <v/>
      </c>
      <c r="N1619" s="2" t="s">
        <v>1226</v>
      </c>
    </row>
    <row r="1620" customFormat="false" ht="15" hidden="false" customHeight="false" outlineLevel="0" collapsed="false">
      <c r="A1620" s="2" t="n">
        <v>1619</v>
      </c>
      <c r="B1620" s="2" t="s">
        <v>3539</v>
      </c>
      <c r="C1620" s="2" t="s">
        <v>3540</v>
      </c>
      <c r="D1620" s="2"/>
      <c r="E1620" s="2" t="s">
        <v>52</v>
      </c>
      <c r="F1620" s="3" t="n">
        <v>9.1E-005</v>
      </c>
      <c r="G1620" s="3" t="n">
        <f aca="false">SUM($F$2:F1620)</f>
        <v>0.903323</v>
      </c>
      <c r="H1620" s="4"/>
      <c r="I1620" s="5"/>
      <c r="J1620" s="4"/>
      <c r="K1620" s="5"/>
      <c r="L1620" s="6"/>
      <c r="M1620" s="5" t="str">
        <f aca="false">IF(AND(N(K1620)&gt;0,N(L1620)&gt;0),K1620/L1620,"")</f>
        <v/>
      </c>
      <c r="N1620" s="2" t="s">
        <v>1226</v>
      </c>
    </row>
    <row r="1621" customFormat="false" ht="15" hidden="false" customHeight="false" outlineLevel="0" collapsed="false">
      <c r="A1621" s="2" t="n">
        <v>1620</v>
      </c>
      <c r="B1621" s="2" t="s">
        <v>3541</v>
      </c>
      <c r="C1621" s="2" t="s">
        <v>3542</v>
      </c>
      <c r="D1621" s="2"/>
      <c r="E1621" s="2" t="s">
        <v>17</v>
      </c>
      <c r="F1621" s="3" t="n">
        <v>9.1E-005</v>
      </c>
      <c r="G1621" s="3" t="n">
        <f aca="false">SUM($F$2:F1621)</f>
        <v>0.903414</v>
      </c>
      <c r="H1621" s="4"/>
      <c r="I1621" s="5"/>
      <c r="J1621" s="4"/>
      <c r="K1621" s="5"/>
      <c r="L1621" s="6"/>
      <c r="M1621" s="5" t="str">
        <f aca="false">IF(AND(N(K1621)&gt;0,N(L1621)&gt;0),K1621/L1621,"")</f>
        <v/>
      </c>
      <c r="N1621" s="2" t="s">
        <v>1226</v>
      </c>
    </row>
    <row r="1622" customFormat="false" ht="15" hidden="false" customHeight="false" outlineLevel="0" collapsed="false">
      <c r="A1622" s="2" t="n">
        <v>1621</v>
      </c>
      <c r="B1622" s="2" t="s">
        <v>3543</v>
      </c>
      <c r="C1622" s="2" t="s">
        <v>3544</v>
      </c>
      <c r="D1622" s="2"/>
      <c r="E1622" s="2" t="s">
        <v>52</v>
      </c>
      <c r="F1622" s="3" t="n">
        <v>9E-005</v>
      </c>
      <c r="G1622" s="3" t="n">
        <f aca="false">SUM($F$2:F1622)</f>
        <v>0.903504</v>
      </c>
      <c r="H1622" s="4"/>
      <c r="I1622" s="5"/>
      <c r="J1622" s="4"/>
      <c r="K1622" s="5"/>
      <c r="L1622" s="6"/>
      <c r="M1622" s="5" t="str">
        <f aca="false">IF(AND(N(K1622)&gt;0,N(L1622)&gt;0),K1622/L1622,"")</f>
        <v/>
      </c>
      <c r="N1622" s="2" t="s">
        <v>1226</v>
      </c>
    </row>
    <row r="1623" customFormat="false" ht="15" hidden="false" customHeight="false" outlineLevel="0" collapsed="false">
      <c r="A1623" s="2" t="n">
        <v>1622</v>
      </c>
      <c r="B1623" s="2" t="s">
        <v>3545</v>
      </c>
      <c r="C1623" s="2" t="s">
        <v>3546</v>
      </c>
      <c r="D1623" s="2"/>
      <c r="E1623" s="2" t="s">
        <v>289</v>
      </c>
      <c r="F1623" s="3" t="n">
        <v>9E-005</v>
      </c>
      <c r="G1623" s="3" t="n">
        <f aca="false">SUM($F$2:F1623)</f>
        <v>0.903594</v>
      </c>
      <c r="H1623" s="4"/>
      <c r="I1623" s="5"/>
      <c r="J1623" s="4"/>
      <c r="K1623" s="5"/>
      <c r="L1623" s="6"/>
      <c r="M1623" s="5" t="str">
        <f aca="false">IF(AND(N(K1623)&gt;0,N(L1623)&gt;0),K1623/L1623,"")</f>
        <v/>
      </c>
      <c r="N1623" s="2" t="s">
        <v>1226</v>
      </c>
    </row>
    <row r="1624" customFormat="false" ht="15" hidden="false" customHeight="false" outlineLevel="0" collapsed="false">
      <c r="A1624" s="2" t="n">
        <v>1623</v>
      </c>
      <c r="B1624" s="2" t="s">
        <v>3547</v>
      </c>
      <c r="C1624" s="2" t="s">
        <v>3548</v>
      </c>
      <c r="D1624" s="2"/>
      <c r="E1624" s="2" t="s">
        <v>289</v>
      </c>
      <c r="F1624" s="3" t="n">
        <v>9E-005</v>
      </c>
      <c r="G1624" s="3" t="n">
        <f aca="false">SUM($F$2:F1624)</f>
        <v>0.903684</v>
      </c>
      <c r="H1624" s="4"/>
      <c r="I1624" s="5"/>
      <c r="J1624" s="4"/>
      <c r="K1624" s="5"/>
      <c r="L1624" s="6"/>
      <c r="M1624" s="5" t="str">
        <f aca="false">IF(AND(N(K1624)&gt;0,N(L1624)&gt;0),K1624/L1624,"")</f>
        <v/>
      </c>
      <c r="N1624" s="2" t="s">
        <v>1226</v>
      </c>
    </row>
    <row r="1625" customFormat="false" ht="15" hidden="false" customHeight="false" outlineLevel="0" collapsed="false">
      <c r="A1625" s="2" t="n">
        <v>1624</v>
      </c>
      <c r="B1625" s="2" t="s">
        <v>3549</v>
      </c>
      <c r="C1625" s="2" t="s">
        <v>3550</v>
      </c>
      <c r="D1625" s="2"/>
      <c r="E1625" s="2" t="s">
        <v>29</v>
      </c>
      <c r="F1625" s="3" t="n">
        <v>9E-005</v>
      </c>
      <c r="G1625" s="3" t="n">
        <f aca="false">SUM($F$2:F1625)</f>
        <v>0.903774</v>
      </c>
      <c r="H1625" s="4"/>
      <c r="I1625" s="5"/>
      <c r="J1625" s="4"/>
      <c r="K1625" s="5"/>
      <c r="L1625" s="6"/>
      <c r="M1625" s="5" t="str">
        <f aca="false">IF(AND(N(K1625)&gt;0,N(L1625)&gt;0),K1625/L1625,"")</f>
        <v/>
      </c>
      <c r="N1625" s="2" t="s">
        <v>1226</v>
      </c>
    </row>
    <row r="1626" customFormat="false" ht="15" hidden="false" customHeight="false" outlineLevel="0" collapsed="false">
      <c r="A1626" s="2" t="n">
        <v>1625</v>
      </c>
      <c r="B1626" s="2" t="s">
        <v>3551</v>
      </c>
      <c r="C1626" s="2" t="s">
        <v>3552</v>
      </c>
      <c r="D1626" s="2"/>
      <c r="E1626" s="2" t="s">
        <v>679</v>
      </c>
      <c r="F1626" s="3" t="n">
        <v>9E-005</v>
      </c>
      <c r="G1626" s="3" t="n">
        <f aca="false">SUM($F$2:F1626)</f>
        <v>0.903864</v>
      </c>
      <c r="H1626" s="4"/>
      <c r="I1626" s="5"/>
      <c r="J1626" s="4"/>
      <c r="K1626" s="5"/>
      <c r="L1626" s="6"/>
      <c r="M1626" s="5" t="str">
        <f aca="false">IF(AND(N(K1626)&gt;0,N(L1626)&gt;0),K1626/L1626,"")</f>
        <v/>
      </c>
      <c r="N1626" s="2" t="s">
        <v>1226</v>
      </c>
    </row>
    <row r="1627" customFormat="false" ht="15" hidden="false" customHeight="false" outlineLevel="0" collapsed="false">
      <c r="A1627" s="2" t="n">
        <v>1626</v>
      </c>
      <c r="B1627" s="2" t="s">
        <v>3553</v>
      </c>
      <c r="C1627" s="2" t="s">
        <v>3554</v>
      </c>
      <c r="D1627" s="2"/>
      <c r="E1627" s="2" t="s">
        <v>48</v>
      </c>
      <c r="F1627" s="3" t="n">
        <v>9E-005</v>
      </c>
      <c r="G1627" s="3" t="n">
        <f aca="false">SUM($F$2:F1627)</f>
        <v>0.903954</v>
      </c>
      <c r="H1627" s="4"/>
      <c r="I1627" s="5"/>
      <c r="J1627" s="4"/>
      <c r="K1627" s="5"/>
      <c r="L1627" s="6"/>
      <c r="M1627" s="5" t="str">
        <f aca="false">IF(AND(N(K1627)&gt;0,N(L1627)&gt;0),K1627/L1627,"")</f>
        <v/>
      </c>
      <c r="N1627" s="2" t="s">
        <v>1226</v>
      </c>
    </row>
    <row r="1628" customFormat="false" ht="15" hidden="false" customHeight="false" outlineLevel="0" collapsed="false">
      <c r="A1628" s="2" t="n">
        <v>1627</v>
      </c>
      <c r="B1628" s="2" t="s">
        <v>3555</v>
      </c>
      <c r="C1628" s="2" t="s">
        <v>3556</v>
      </c>
      <c r="D1628" s="2"/>
      <c r="E1628" s="2" t="s">
        <v>199</v>
      </c>
      <c r="F1628" s="3" t="n">
        <v>9E-005</v>
      </c>
      <c r="G1628" s="3" t="n">
        <f aca="false">SUM($F$2:F1628)</f>
        <v>0.904044</v>
      </c>
      <c r="H1628" s="4"/>
      <c r="I1628" s="5"/>
      <c r="J1628" s="4"/>
      <c r="K1628" s="5"/>
      <c r="L1628" s="6"/>
      <c r="M1628" s="5" t="str">
        <f aca="false">IF(AND(N(K1628)&gt;0,N(L1628)&gt;0),K1628/L1628,"")</f>
        <v/>
      </c>
      <c r="N1628" s="2" t="s">
        <v>1226</v>
      </c>
    </row>
    <row r="1629" customFormat="false" ht="15" hidden="false" customHeight="false" outlineLevel="0" collapsed="false">
      <c r="A1629" s="2" t="n">
        <v>1628</v>
      </c>
      <c r="B1629" s="2" t="s">
        <v>3557</v>
      </c>
      <c r="C1629" s="2" t="s">
        <v>3558</v>
      </c>
      <c r="D1629" s="2"/>
      <c r="E1629" s="2" t="s">
        <v>289</v>
      </c>
      <c r="F1629" s="3" t="n">
        <v>9E-005</v>
      </c>
      <c r="G1629" s="3" t="n">
        <f aca="false">SUM($F$2:F1629)</f>
        <v>0.904134</v>
      </c>
      <c r="H1629" s="4"/>
      <c r="I1629" s="5"/>
      <c r="J1629" s="4"/>
      <c r="K1629" s="5"/>
      <c r="L1629" s="6"/>
      <c r="M1629" s="5" t="str">
        <f aca="false">IF(AND(N(K1629)&gt;0,N(L1629)&gt;0),K1629/L1629,"")</f>
        <v/>
      </c>
      <c r="N1629" s="2" t="s">
        <v>1226</v>
      </c>
    </row>
    <row r="1630" customFormat="false" ht="15" hidden="false" customHeight="false" outlineLevel="0" collapsed="false">
      <c r="A1630" s="2" t="n">
        <v>1629</v>
      </c>
      <c r="B1630" s="2" t="s">
        <v>3559</v>
      </c>
      <c r="C1630" s="2" t="s">
        <v>3560</v>
      </c>
      <c r="D1630" s="2"/>
      <c r="E1630" s="2" t="s">
        <v>52</v>
      </c>
      <c r="F1630" s="3" t="n">
        <v>9E-005</v>
      </c>
      <c r="G1630" s="3" t="n">
        <f aca="false">SUM($F$2:F1630)</f>
        <v>0.904224</v>
      </c>
      <c r="H1630" s="4"/>
      <c r="I1630" s="5"/>
      <c r="J1630" s="4"/>
      <c r="K1630" s="5"/>
      <c r="L1630" s="6"/>
      <c r="M1630" s="5" t="str">
        <f aca="false">IF(AND(N(K1630)&gt;0,N(L1630)&gt;0),K1630/L1630,"")</f>
        <v/>
      </c>
      <c r="N1630" s="2" t="s">
        <v>1226</v>
      </c>
    </row>
    <row r="1631" customFormat="false" ht="15" hidden="false" customHeight="false" outlineLevel="0" collapsed="false">
      <c r="A1631" s="2" t="n">
        <v>1630</v>
      </c>
      <c r="B1631" s="2" t="s">
        <v>3561</v>
      </c>
      <c r="C1631" s="2" t="s">
        <v>3562</v>
      </c>
      <c r="D1631" s="2"/>
      <c r="E1631" s="2" t="s">
        <v>826</v>
      </c>
      <c r="F1631" s="3" t="n">
        <v>9E-005</v>
      </c>
      <c r="G1631" s="3" t="n">
        <f aca="false">SUM($F$2:F1631)</f>
        <v>0.904314</v>
      </c>
      <c r="H1631" s="4"/>
      <c r="I1631" s="5"/>
      <c r="J1631" s="4"/>
      <c r="K1631" s="5"/>
      <c r="L1631" s="6"/>
      <c r="M1631" s="5" t="str">
        <f aca="false">IF(AND(N(K1631)&gt;0,N(L1631)&gt;0),K1631/L1631,"")</f>
        <v/>
      </c>
      <c r="N1631" s="2" t="s">
        <v>1226</v>
      </c>
    </row>
    <row r="1632" customFormat="false" ht="15" hidden="false" customHeight="false" outlineLevel="0" collapsed="false">
      <c r="A1632" s="2" t="n">
        <v>1631</v>
      </c>
      <c r="B1632" s="2" t="s">
        <v>3563</v>
      </c>
      <c r="C1632" s="2" t="s">
        <v>3564</v>
      </c>
      <c r="D1632" s="2"/>
      <c r="E1632" s="2" t="s">
        <v>52</v>
      </c>
      <c r="F1632" s="3" t="n">
        <v>9E-005</v>
      </c>
      <c r="G1632" s="3" t="n">
        <f aca="false">SUM($F$2:F1632)</f>
        <v>0.904404</v>
      </c>
      <c r="H1632" s="4"/>
      <c r="I1632" s="5"/>
      <c r="J1632" s="4"/>
      <c r="K1632" s="5"/>
      <c r="L1632" s="6"/>
      <c r="M1632" s="5" t="str">
        <f aca="false">IF(AND(N(K1632)&gt;0,N(L1632)&gt;0),K1632/L1632,"")</f>
        <v/>
      </c>
      <c r="N1632" s="2" t="s">
        <v>1226</v>
      </c>
    </row>
    <row r="1633" customFormat="false" ht="15" hidden="false" customHeight="false" outlineLevel="0" collapsed="false">
      <c r="A1633" s="2" t="n">
        <v>1632</v>
      </c>
      <c r="B1633" s="2" t="s">
        <v>3565</v>
      </c>
      <c r="C1633" s="2" t="s">
        <v>3566</v>
      </c>
      <c r="D1633" s="2"/>
      <c r="E1633" s="2" t="s">
        <v>167</v>
      </c>
      <c r="F1633" s="3" t="n">
        <v>9E-005</v>
      </c>
      <c r="G1633" s="3" t="n">
        <f aca="false">SUM($F$2:F1633)</f>
        <v>0.904494</v>
      </c>
      <c r="H1633" s="4"/>
      <c r="I1633" s="5"/>
      <c r="J1633" s="4"/>
      <c r="K1633" s="5"/>
      <c r="L1633" s="6"/>
      <c r="M1633" s="5" t="str">
        <f aca="false">IF(AND(N(K1633)&gt;0,N(L1633)&gt;0),K1633/L1633,"")</f>
        <v/>
      </c>
      <c r="N1633" s="2" t="s">
        <v>1226</v>
      </c>
    </row>
    <row r="1634" customFormat="false" ht="15" hidden="false" customHeight="false" outlineLevel="0" collapsed="false">
      <c r="A1634" s="2" t="n">
        <v>1633</v>
      </c>
      <c r="B1634" s="2" t="s">
        <v>3567</v>
      </c>
      <c r="C1634" s="2" t="s">
        <v>3568</v>
      </c>
      <c r="D1634" s="2"/>
      <c r="E1634" s="2" t="s">
        <v>25</v>
      </c>
      <c r="F1634" s="3" t="n">
        <v>9E-005</v>
      </c>
      <c r="G1634" s="3" t="n">
        <f aca="false">SUM($F$2:F1634)</f>
        <v>0.904584</v>
      </c>
      <c r="H1634" s="4"/>
      <c r="I1634" s="5"/>
      <c r="J1634" s="4"/>
      <c r="K1634" s="5"/>
      <c r="L1634" s="6"/>
      <c r="M1634" s="5" t="str">
        <f aca="false">IF(AND(N(K1634)&gt;0,N(L1634)&gt;0),K1634/L1634,"")</f>
        <v/>
      </c>
      <c r="N1634" s="2" t="s">
        <v>1226</v>
      </c>
    </row>
    <row r="1635" customFormat="false" ht="15" hidden="false" customHeight="false" outlineLevel="0" collapsed="false">
      <c r="A1635" s="2" t="n">
        <v>1634</v>
      </c>
      <c r="B1635" s="2" t="s">
        <v>3569</v>
      </c>
      <c r="C1635" s="2" t="s">
        <v>3570</v>
      </c>
      <c r="D1635" s="2"/>
      <c r="E1635" s="2" t="s">
        <v>48</v>
      </c>
      <c r="F1635" s="3" t="n">
        <v>9E-005</v>
      </c>
      <c r="G1635" s="3" t="n">
        <f aca="false">SUM($F$2:F1635)</f>
        <v>0.904674</v>
      </c>
      <c r="H1635" s="4"/>
      <c r="I1635" s="5"/>
      <c r="J1635" s="4"/>
      <c r="K1635" s="5"/>
      <c r="L1635" s="6"/>
      <c r="M1635" s="5" t="str">
        <f aca="false">IF(AND(N(K1635)&gt;0,N(L1635)&gt;0),K1635/L1635,"")</f>
        <v/>
      </c>
      <c r="N1635" s="2" t="s">
        <v>1226</v>
      </c>
    </row>
    <row r="1636" customFormat="false" ht="15" hidden="false" customHeight="false" outlineLevel="0" collapsed="false">
      <c r="A1636" s="2" t="n">
        <v>1635</v>
      </c>
      <c r="B1636" s="2" t="s">
        <v>3571</v>
      </c>
      <c r="C1636" s="2" t="s">
        <v>3572</v>
      </c>
      <c r="D1636" s="2"/>
      <c r="E1636" s="2" t="s">
        <v>1345</v>
      </c>
      <c r="F1636" s="3" t="n">
        <v>9E-005</v>
      </c>
      <c r="G1636" s="3" t="n">
        <f aca="false">SUM($F$2:F1636)</f>
        <v>0.904764</v>
      </c>
      <c r="H1636" s="4"/>
      <c r="I1636" s="5"/>
      <c r="J1636" s="4"/>
      <c r="K1636" s="5"/>
      <c r="L1636" s="6"/>
      <c r="M1636" s="5" t="str">
        <f aca="false">IF(AND(N(K1636)&gt;0,N(L1636)&gt;0),K1636/L1636,"")</f>
        <v/>
      </c>
      <c r="N1636" s="2" t="s">
        <v>1226</v>
      </c>
    </row>
    <row r="1637" customFormat="false" ht="15" hidden="false" customHeight="false" outlineLevel="0" collapsed="false">
      <c r="A1637" s="2" t="n">
        <v>1636</v>
      </c>
      <c r="B1637" s="2" t="s">
        <v>3573</v>
      </c>
      <c r="C1637" s="2" t="s">
        <v>3574</v>
      </c>
      <c r="D1637" s="2"/>
      <c r="E1637" s="2" t="s">
        <v>48</v>
      </c>
      <c r="F1637" s="3" t="n">
        <v>9E-005</v>
      </c>
      <c r="G1637" s="3" t="n">
        <f aca="false">SUM($F$2:F1637)</f>
        <v>0.904854</v>
      </c>
      <c r="H1637" s="4"/>
      <c r="I1637" s="5"/>
      <c r="J1637" s="4"/>
      <c r="K1637" s="5"/>
      <c r="L1637" s="6"/>
      <c r="M1637" s="5" t="str">
        <f aca="false">IF(AND(N(K1637)&gt;0,N(L1637)&gt;0),K1637/L1637,"")</f>
        <v/>
      </c>
      <c r="N1637" s="2" t="s">
        <v>1226</v>
      </c>
    </row>
    <row r="1638" customFormat="false" ht="15" hidden="false" customHeight="false" outlineLevel="0" collapsed="false">
      <c r="A1638" s="2" t="n">
        <v>1637</v>
      </c>
      <c r="B1638" s="2" t="s">
        <v>3575</v>
      </c>
      <c r="C1638" s="2" t="s">
        <v>3576</v>
      </c>
      <c r="D1638" s="2"/>
      <c r="E1638" s="2" t="s">
        <v>43</v>
      </c>
      <c r="F1638" s="3" t="n">
        <v>9E-005</v>
      </c>
      <c r="G1638" s="3" t="n">
        <f aca="false">SUM($F$2:F1638)</f>
        <v>0.904944</v>
      </c>
      <c r="H1638" s="4"/>
      <c r="I1638" s="5"/>
      <c r="J1638" s="4"/>
      <c r="K1638" s="5"/>
      <c r="L1638" s="6"/>
      <c r="M1638" s="5" t="str">
        <f aca="false">IF(AND(N(K1638)&gt;0,N(L1638)&gt;0),K1638/L1638,"")</f>
        <v/>
      </c>
      <c r="N1638" s="2" t="s">
        <v>1226</v>
      </c>
    </row>
    <row r="1639" customFormat="false" ht="15" hidden="false" customHeight="false" outlineLevel="0" collapsed="false">
      <c r="A1639" s="2" t="n">
        <v>1638</v>
      </c>
      <c r="B1639" s="2" t="s">
        <v>3577</v>
      </c>
      <c r="C1639" s="2" t="s">
        <v>3578</v>
      </c>
      <c r="D1639" s="2"/>
      <c r="E1639" s="2" t="s">
        <v>173</v>
      </c>
      <c r="F1639" s="3" t="n">
        <v>9E-005</v>
      </c>
      <c r="G1639" s="3" t="n">
        <f aca="false">SUM($F$2:F1639)</f>
        <v>0.905034</v>
      </c>
      <c r="H1639" s="4"/>
      <c r="I1639" s="5"/>
      <c r="J1639" s="4"/>
      <c r="K1639" s="5"/>
      <c r="L1639" s="6"/>
      <c r="M1639" s="5" t="str">
        <f aca="false">IF(AND(N(K1639)&gt;0,N(L1639)&gt;0),K1639/L1639,"")</f>
        <v/>
      </c>
      <c r="N1639" s="2" t="s">
        <v>1226</v>
      </c>
    </row>
    <row r="1640" customFormat="false" ht="15" hidden="false" customHeight="false" outlineLevel="0" collapsed="false">
      <c r="A1640" s="2" t="n">
        <v>1639</v>
      </c>
      <c r="B1640" s="2" t="s">
        <v>3579</v>
      </c>
      <c r="C1640" s="2" t="s">
        <v>3580</v>
      </c>
      <c r="D1640" s="2"/>
      <c r="E1640" s="2" t="s">
        <v>82</v>
      </c>
      <c r="F1640" s="3" t="n">
        <v>9E-005</v>
      </c>
      <c r="G1640" s="3" t="n">
        <f aca="false">SUM($F$2:F1640)</f>
        <v>0.905124</v>
      </c>
      <c r="H1640" s="4"/>
      <c r="I1640" s="5"/>
      <c r="J1640" s="4"/>
      <c r="K1640" s="5"/>
      <c r="L1640" s="6"/>
      <c r="M1640" s="5" t="str">
        <f aca="false">IF(AND(N(K1640)&gt;0,N(L1640)&gt;0),K1640/L1640,"")</f>
        <v/>
      </c>
      <c r="N1640" s="2" t="s">
        <v>1226</v>
      </c>
    </row>
    <row r="1641" customFormat="false" ht="15" hidden="false" customHeight="false" outlineLevel="0" collapsed="false">
      <c r="A1641" s="2" t="n">
        <v>1640</v>
      </c>
      <c r="B1641" s="2" t="s">
        <v>3581</v>
      </c>
      <c r="C1641" s="2" t="s">
        <v>3582</v>
      </c>
      <c r="D1641" s="2"/>
      <c r="E1641" s="2" t="s">
        <v>1345</v>
      </c>
      <c r="F1641" s="3" t="n">
        <v>9E-005</v>
      </c>
      <c r="G1641" s="3" t="n">
        <f aca="false">SUM($F$2:F1641)</f>
        <v>0.905214</v>
      </c>
      <c r="H1641" s="4"/>
      <c r="I1641" s="5"/>
      <c r="J1641" s="4"/>
      <c r="K1641" s="5"/>
      <c r="L1641" s="6"/>
      <c r="M1641" s="5" t="str">
        <f aca="false">IF(AND(N(K1641)&gt;0,N(L1641)&gt;0),K1641/L1641,"")</f>
        <v/>
      </c>
      <c r="N1641" s="2" t="s">
        <v>1226</v>
      </c>
    </row>
    <row r="1642" customFormat="false" ht="15" hidden="false" customHeight="false" outlineLevel="0" collapsed="false">
      <c r="A1642" s="2" t="n">
        <v>1641</v>
      </c>
      <c r="B1642" s="2" t="s">
        <v>3583</v>
      </c>
      <c r="C1642" s="2" t="s">
        <v>3584</v>
      </c>
      <c r="D1642" s="2"/>
      <c r="E1642" s="2" t="s">
        <v>48</v>
      </c>
      <c r="F1642" s="3" t="n">
        <v>9E-005</v>
      </c>
      <c r="G1642" s="3" t="n">
        <f aca="false">SUM($F$2:F1642)</f>
        <v>0.905304</v>
      </c>
      <c r="H1642" s="4"/>
      <c r="I1642" s="5"/>
      <c r="J1642" s="4"/>
      <c r="K1642" s="5"/>
      <c r="L1642" s="6"/>
      <c r="M1642" s="5" t="str">
        <f aca="false">IF(AND(N(K1642)&gt;0,N(L1642)&gt;0),K1642/L1642,"")</f>
        <v/>
      </c>
      <c r="N1642" s="2" t="s">
        <v>1226</v>
      </c>
    </row>
    <row r="1643" customFormat="false" ht="15" hidden="false" customHeight="false" outlineLevel="0" collapsed="false">
      <c r="A1643" s="2" t="n">
        <v>1642</v>
      </c>
      <c r="B1643" s="2" t="s">
        <v>3585</v>
      </c>
      <c r="C1643" s="2" t="s">
        <v>3586</v>
      </c>
      <c r="D1643" s="2"/>
      <c r="E1643" s="2" t="s">
        <v>1245</v>
      </c>
      <c r="F1643" s="3" t="n">
        <v>8.9E-005</v>
      </c>
      <c r="G1643" s="3" t="n">
        <f aca="false">SUM($F$2:F1643)</f>
        <v>0.905393</v>
      </c>
      <c r="H1643" s="4"/>
      <c r="I1643" s="5"/>
      <c r="J1643" s="4"/>
      <c r="K1643" s="5"/>
      <c r="L1643" s="6"/>
      <c r="M1643" s="5" t="str">
        <f aca="false">IF(AND(N(K1643)&gt;0,N(L1643)&gt;0),K1643/L1643,"")</f>
        <v/>
      </c>
      <c r="N1643" s="2" t="s">
        <v>1226</v>
      </c>
    </row>
    <row r="1644" customFormat="false" ht="15" hidden="false" customHeight="false" outlineLevel="0" collapsed="false">
      <c r="A1644" s="2" t="n">
        <v>1643</v>
      </c>
      <c r="B1644" s="2" t="s">
        <v>3587</v>
      </c>
      <c r="C1644" s="2" t="s">
        <v>3588</v>
      </c>
      <c r="D1644" s="2"/>
      <c r="E1644" s="2" t="s">
        <v>1284</v>
      </c>
      <c r="F1644" s="3" t="n">
        <v>8.9E-005</v>
      </c>
      <c r="G1644" s="3" t="n">
        <f aca="false">SUM($F$2:F1644)</f>
        <v>0.905482</v>
      </c>
      <c r="H1644" s="4"/>
      <c r="I1644" s="5"/>
      <c r="J1644" s="4"/>
      <c r="K1644" s="5"/>
      <c r="L1644" s="6"/>
      <c r="M1644" s="5" t="str">
        <f aca="false">IF(AND(N(K1644)&gt;0,N(L1644)&gt;0),K1644/L1644,"")</f>
        <v/>
      </c>
      <c r="N1644" s="2" t="s">
        <v>1226</v>
      </c>
    </row>
    <row r="1645" customFormat="false" ht="15" hidden="false" customHeight="false" outlineLevel="0" collapsed="false">
      <c r="A1645" s="2" t="n">
        <v>1644</v>
      </c>
      <c r="B1645" s="2" t="s">
        <v>3589</v>
      </c>
      <c r="C1645" s="2" t="s">
        <v>3590</v>
      </c>
      <c r="D1645" s="2"/>
      <c r="E1645" s="2" t="s">
        <v>334</v>
      </c>
      <c r="F1645" s="3" t="n">
        <v>8.9E-005</v>
      </c>
      <c r="G1645" s="3" t="n">
        <f aca="false">SUM($F$2:F1645)</f>
        <v>0.905571</v>
      </c>
      <c r="H1645" s="4"/>
      <c r="I1645" s="5"/>
      <c r="J1645" s="4"/>
      <c r="K1645" s="5"/>
      <c r="L1645" s="6"/>
      <c r="M1645" s="5" t="str">
        <f aca="false">IF(AND(N(K1645)&gt;0,N(L1645)&gt;0),K1645/L1645,"")</f>
        <v/>
      </c>
      <c r="N1645" s="2" t="s">
        <v>1226</v>
      </c>
    </row>
    <row r="1646" customFormat="false" ht="15" hidden="false" customHeight="false" outlineLevel="0" collapsed="false">
      <c r="A1646" s="2" t="n">
        <v>1645</v>
      </c>
      <c r="B1646" s="2" t="s">
        <v>3591</v>
      </c>
      <c r="C1646" s="2" t="s">
        <v>3592</v>
      </c>
      <c r="D1646" s="2"/>
      <c r="E1646" s="2" t="s">
        <v>17</v>
      </c>
      <c r="F1646" s="3" t="n">
        <v>8.9E-005</v>
      </c>
      <c r="G1646" s="3" t="n">
        <f aca="false">SUM($F$2:F1646)</f>
        <v>0.90566</v>
      </c>
      <c r="H1646" s="4"/>
      <c r="I1646" s="5"/>
      <c r="J1646" s="4"/>
      <c r="K1646" s="5"/>
      <c r="L1646" s="6"/>
      <c r="M1646" s="5" t="str">
        <f aca="false">IF(AND(N(K1646)&gt;0,N(L1646)&gt;0),K1646/L1646,"")</f>
        <v/>
      </c>
      <c r="N1646" s="2" t="s">
        <v>1226</v>
      </c>
    </row>
    <row r="1647" customFormat="false" ht="15" hidden="false" customHeight="false" outlineLevel="0" collapsed="false">
      <c r="A1647" s="2" t="n">
        <v>1646</v>
      </c>
      <c r="B1647" s="2" t="s">
        <v>2698</v>
      </c>
      <c r="C1647" s="2" t="s">
        <v>3593</v>
      </c>
      <c r="D1647" s="2"/>
      <c r="E1647" s="2" t="s">
        <v>289</v>
      </c>
      <c r="F1647" s="3" t="n">
        <v>8.9E-005</v>
      </c>
      <c r="G1647" s="3" t="n">
        <f aca="false">SUM($F$2:F1647)</f>
        <v>0.905749</v>
      </c>
      <c r="H1647" s="4"/>
      <c r="I1647" s="5"/>
      <c r="J1647" s="4"/>
      <c r="K1647" s="5"/>
      <c r="L1647" s="6"/>
      <c r="M1647" s="5" t="str">
        <f aca="false">IF(AND(N(K1647)&gt;0,N(L1647)&gt;0),K1647/L1647,"")</f>
        <v/>
      </c>
      <c r="N1647" s="2" t="s">
        <v>1226</v>
      </c>
    </row>
    <row r="1648" customFormat="false" ht="15" hidden="false" customHeight="false" outlineLevel="0" collapsed="false">
      <c r="A1648" s="2" t="n">
        <v>1647</v>
      </c>
      <c r="B1648" s="2" t="s">
        <v>3594</v>
      </c>
      <c r="C1648" s="2" t="s">
        <v>3595</v>
      </c>
      <c r="D1648" s="2"/>
      <c r="E1648" s="2" t="s">
        <v>289</v>
      </c>
      <c r="F1648" s="3" t="n">
        <v>8.9E-005</v>
      </c>
      <c r="G1648" s="3" t="n">
        <f aca="false">SUM($F$2:F1648)</f>
        <v>0.905838</v>
      </c>
      <c r="H1648" s="4"/>
      <c r="I1648" s="5"/>
      <c r="J1648" s="4"/>
      <c r="K1648" s="5"/>
      <c r="L1648" s="6"/>
      <c r="M1648" s="5" t="str">
        <f aca="false">IF(AND(N(K1648)&gt;0,N(L1648)&gt;0),K1648/L1648,"")</f>
        <v/>
      </c>
      <c r="N1648" s="2" t="s">
        <v>1226</v>
      </c>
    </row>
    <row r="1649" customFormat="false" ht="15" hidden="false" customHeight="false" outlineLevel="0" collapsed="false">
      <c r="A1649" s="2" t="n">
        <v>1648</v>
      </c>
      <c r="B1649" s="2" t="s">
        <v>3596</v>
      </c>
      <c r="C1649" s="2" t="s">
        <v>3597</v>
      </c>
      <c r="D1649" s="2"/>
      <c r="E1649" s="2" t="s">
        <v>1345</v>
      </c>
      <c r="F1649" s="3" t="n">
        <v>8.9E-005</v>
      </c>
      <c r="G1649" s="3" t="n">
        <f aca="false">SUM($F$2:F1649)</f>
        <v>0.905927</v>
      </c>
      <c r="H1649" s="4"/>
      <c r="I1649" s="5"/>
      <c r="J1649" s="4"/>
      <c r="K1649" s="5"/>
      <c r="L1649" s="6"/>
      <c r="M1649" s="5" t="str">
        <f aca="false">IF(AND(N(K1649)&gt;0,N(L1649)&gt;0),K1649/L1649,"")</f>
        <v/>
      </c>
      <c r="N1649" s="2" t="s">
        <v>1226</v>
      </c>
    </row>
    <row r="1650" customFormat="false" ht="15" hidden="false" customHeight="false" outlineLevel="0" collapsed="false">
      <c r="A1650" s="2" t="n">
        <v>1649</v>
      </c>
      <c r="B1650" s="2" t="s">
        <v>3598</v>
      </c>
      <c r="C1650" s="2" t="s">
        <v>3599</v>
      </c>
      <c r="D1650" s="2"/>
      <c r="E1650" s="2" t="s">
        <v>29</v>
      </c>
      <c r="F1650" s="3" t="n">
        <v>8.9E-005</v>
      </c>
      <c r="G1650" s="3" t="n">
        <f aca="false">SUM($F$2:F1650)</f>
        <v>0.906016</v>
      </c>
      <c r="H1650" s="4"/>
      <c r="I1650" s="5"/>
      <c r="J1650" s="4"/>
      <c r="K1650" s="5"/>
      <c r="L1650" s="6"/>
      <c r="M1650" s="5" t="str">
        <f aca="false">IF(AND(N(K1650)&gt;0,N(L1650)&gt;0),K1650/L1650,"")</f>
        <v/>
      </c>
      <c r="N1650" s="2" t="s">
        <v>1226</v>
      </c>
    </row>
    <row r="1651" customFormat="false" ht="15" hidden="false" customHeight="false" outlineLevel="0" collapsed="false">
      <c r="A1651" s="2" t="n">
        <v>1650</v>
      </c>
      <c r="B1651" s="2" t="s">
        <v>3600</v>
      </c>
      <c r="C1651" s="2" t="s">
        <v>3601</v>
      </c>
      <c r="D1651" s="2"/>
      <c r="E1651" s="2" t="s">
        <v>25</v>
      </c>
      <c r="F1651" s="3" t="n">
        <v>8.9E-005</v>
      </c>
      <c r="G1651" s="3" t="n">
        <f aca="false">SUM($F$2:F1651)</f>
        <v>0.906105</v>
      </c>
      <c r="H1651" s="4"/>
      <c r="I1651" s="5"/>
      <c r="J1651" s="4"/>
      <c r="K1651" s="5"/>
      <c r="L1651" s="6"/>
      <c r="M1651" s="5" t="str">
        <f aca="false">IF(AND(N(K1651)&gt;0,N(L1651)&gt;0),K1651/L1651,"")</f>
        <v/>
      </c>
      <c r="N1651" s="2" t="s">
        <v>1226</v>
      </c>
    </row>
    <row r="1652" customFormat="false" ht="15" hidden="false" customHeight="false" outlineLevel="0" collapsed="false">
      <c r="A1652" s="2" t="n">
        <v>1651</v>
      </c>
      <c r="B1652" s="2" t="s">
        <v>3602</v>
      </c>
      <c r="C1652" s="2" t="s">
        <v>3603</v>
      </c>
      <c r="D1652" s="2"/>
      <c r="E1652" s="2" t="s">
        <v>1284</v>
      </c>
      <c r="F1652" s="3" t="n">
        <v>8.9E-005</v>
      </c>
      <c r="G1652" s="3" t="n">
        <f aca="false">SUM($F$2:F1652)</f>
        <v>0.906194</v>
      </c>
      <c r="H1652" s="4"/>
      <c r="I1652" s="5"/>
      <c r="J1652" s="4"/>
      <c r="K1652" s="5"/>
      <c r="L1652" s="6"/>
      <c r="M1652" s="5" t="str">
        <f aca="false">IF(AND(N(K1652)&gt;0,N(L1652)&gt;0),K1652/L1652,"")</f>
        <v/>
      </c>
      <c r="N1652" s="2" t="s">
        <v>1226</v>
      </c>
    </row>
    <row r="1653" customFormat="false" ht="15" hidden="false" customHeight="false" outlineLevel="0" collapsed="false">
      <c r="A1653" s="2" t="n">
        <v>1652</v>
      </c>
      <c r="B1653" s="2" t="s">
        <v>3604</v>
      </c>
      <c r="C1653" s="2" t="s">
        <v>3605</v>
      </c>
      <c r="D1653" s="2"/>
      <c r="E1653" s="2" t="s">
        <v>29</v>
      </c>
      <c r="F1653" s="3" t="n">
        <v>8.9E-005</v>
      </c>
      <c r="G1653" s="3" t="n">
        <f aca="false">SUM($F$2:F1653)</f>
        <v>0.906283</v>
      </c>
      <c r="H1653" s="4"/>
      <c r="I1653" s="5"/>
      <c r="J1653" s="4"/>
      <c r="K1653" s="5"/>
      <c r="L1653" s="6"/>
      <c r="M1653" s="5" t="str">
        <f aca="false">IF(AND(N(K1653)&gt;0,N(L1653)&gt;0),K1653/L1653,"")</f>
        <v/>
      </c>
      <c r="N1653" s="2" t="s">
        <v>1226</v>
      </c>
    </row>
    <row r="1654" customFormat="false" ht="15" hidden="false" customHeight="false" outlineLevel="0" collapsed="false">
      <c r="A1654" s="2" t="n">
        <v>1653</v>
      </c>
      <c r="B1654" s="2" t="s">
        <v>3606</v>
      </c>
      <c r="C1654" s="2" t="s">
        <v>3607</v>
      </c>
      <c r="D1654" s="2"/>
      <c r="E1654" s="2" t="s">
        <v>21</v>
      </c>
      <c r="F1654" s="3" t="n">
        <v>8.9E-005</v>
      </c>
      <c r="G1654" s="3" t="n">
        <f aca="false">SUM($F$2:F1654)</f>
        <v>0.906372</v>
      </c>
      <c r="H1654" s="4"/>
      <c r="I1654" s="5"/>
      <c r="J1654" s="4"/>
      <c r="K1654" s="5"/>
      <c r="L1654" s="6"/>
      <c r="M1654" s="5" t="str">
        <f aca="false">IF(AND(N(K1654)&gt;0,N(L1654)&gt;0),K1654/L1654,"")</f>
        <v/>
      </c>
      <c r="N1654" s="2" t="s">
        <v>1226</v>
      </c>
    </row>
    <row r="1655" customFormat="false" ht="15" hidden="false" customHeight="false" outlineLevel="0" collapsed="false">
      <c r="A1655" s="2" t="n">
        <v>1654</v>
      </c>
      <c r="B1655" s="2" t="s">
        <v>3608</v>
      </c>
      <c r="C1655" s="2" t="s">
        <v>3609</v>
      </c>
      <c r="D1655" s="2"/>
      <c r="E1655" s="2" t="s">
        <v>29</v>
      </c>
      <c r="F1655" s="3" t="n">
        <v>8.8E-005</v>
      </c>
      <c r="G1655" s="3" t="n">
        <f aca="false">SUM($F$2:F1655)</f>
        <v>0.90646</v>
      </c>
      <c r="H1655" s="4"/>
      <c r="I1655" s="5"/>
      <c r="J1655" s="4"/>
      <c r="K1655" s="5"/>
      <c r="L1655" s="6"/>
      <c r="M1655" s="5" t="str">
        <f aca="false">IF(AND(N(K1655)&gt;0,N(L1655)&gt;0),K1655/L1655,"")</f>
        <v/>
      </c>
      <c r="N1655" s="2" t="s">
        <v>1226</v>
      </c>
    </row>
    <row r="1656" customFormat="false" ht="15" hidden="false" customHeight="false" outlineLevel="0" collapsed="false">
      <c r="A1656" s="2" t="n">
        <v>1655</v>
      </c>
      <c r="B1656" s="2" t="s">
        <v>3610</v>
      </c>
      <c r="C1656" s="2" t="s">
        <v>3611</v>
      </c>
      <c r="D1656" s="2"/>
      <c r="E1656" s="2" t="s">
        <v>52</v>
      </c>
      <c r="F1656" s="3" t="n">
        <v>8.8E-005</v>
      </c>
      <c r="G1656" s="3" t="n">
        <f aca="false">SUM($F$2:F1656)</f>
        <v>0.906548</v>
      </c>
      <c r="H1656" s="4"/>
      <c r="I1656" s="5"/>
      <c r="J1656" s="4"/>
      <c r="K1656" s="5"/>
      <c r="L1656" s="6"/>
      <c r="M1656" s="5" t="str">
        <f aca="false">IF(AND(N(K1656)&gt;0,N(L1656)&gt;0),K1656/L1656,"")</f>
        <v/>
      </c>
      <c r="N1656" s="2" t="s">
        <v>1226</v>
      </c>
    </row>
    <row r="1657" customFormat="false" ht="15" hidden="false" customHeight="false" outlineLevel="0" collapsed="false">
      <c r="A1657" s="2" t="n">
        <v>1656</v>
      </c>
      <c r="B1657" s="2" t="s">
        <v>3612</v>
      </c>
      <c r="C1657" s="2" t="s">
        <v>3613</v>
      </c>
      <c r="D1657" s="2"/>
      <c r="E1657" s="2" t="s">
        <v>48</v>
      </c>
      <c r="F1657" s="3" t="n">
        <v>8.8E-005</v>
      </c>
      <c r="G1657" s="3" t="n">
        <f aca="false">SUM($F$2:F1657)</f>
        <v>0.906636</v>
      </c>
      <c r="H1657" s="4"/>
      <c r="I1657" s="5"/>
      <c r="J1657" s="4"/>
      <c r="K1657" s="5"/>
      <c r="L1657" s="6"/>
      <c r="M1657" s="5" t="str">
        <f aca="false">IF(AND(N(K1657)&gt;0,N(L1657)&gt;0),K1657/L1657,"")</f>
        <v/>
      </c>
      <c r="N1657" s="2" t="s">
        <v>1226</v>
      </c>
    </row>
    <row r="1658" customFormat="false" ht="15" hidden="false" customHeight="false" outlineLevel="0" collapsed="false">
      <c r="A1658" s="2" t="n">
        <v>1657</v>
      </c>
      <c r="B1658" s="2" t="s">
        <v>3614</v>
      </c>
      <c r="C1658" s="2" t="s">
        <v>3615</v>
      </c>
      <c r="D1658" s="2"/>
      <c r="E1658" s="2" t="s">
        <v>52</v>
      </c>
      <c r="F1658" s="3" t="n">
        <v>8.8E-005</v>
      </c>
      <c r="G1658" s="3" t="n">
        <f aca="false">SUM($F$2:F1658)</f>
        <v>0.906724</v>
      </c>
      <c r="H1658" s="4"/>
      <c r="I1658" s="5"/>
      <c r="J1658" s="4"/>
      <c r="K1658" s="5"/>
      <c r="L1658" s="6"/>
      <c r="M1658" s="5" t="str">
        <f aca="false">IF(AND(N(K1658)&gt;0,N(L1658)&gt;0),K1658/L1658,"")</f>
        <v/>
      </c>
      <c r="N1658" s="2" t="s">
        <v>1226</v>
      </c>
    </row>
    <row r="1659" customFormat="false" ht="15" hidden="false" customHeight="false" outlineLevel="0" collapsed="false">
      <c r="A1659" s="2" t="n">
        <v>1658</v>
      </c>
      <c r="B1659" s="2" t="s">
        <v>3616</v>
      </c>
      <c r="C1659" s="2" t="s">
        <v>3617</v>
      </c>
      <c r="D1659" s="2"/>
      <c r="E1659" s="2" t="s">
        <v>334</v>
      </c>
      <c r="F1659" s="3" t="n">
        <v>8.8E-005</v>
      </c>
      <c r="G1659" s="3" t="n">
        <f aca="false">SUM($F$2:F1659)</f>
        <v>0.906812</v>
      </c>
      <c r="H1659" s="4"/>
      <c r="I1659" s="5"/>
      <c r="J1659" s="4"/>
      <c r="K1659" s="5"/>
      <c r="L1659" s="6"/>
      <c r="M1659" s="5" t="str">
        <f aca="false">IF(AND(N(K1659)&gt;0,N(L1659)&gt;0),K1659/L1659,"")</f>
        <v/>
      </c>
      <c r="N1659" s="2" t="s">
        <v>1226</v>
      </c>
    </row>
    <row r="1660" customFormat="false" ht="15" hidden="false" customHeight="false" outlineLevel="0" collapsed="false">
      <c r="A1660" s="2" t="n">
        <v>1659</v>
      </c>
      <c r="B1660" s="2" t="s">
        <v>3618</v>
      </c>
      <c r="C1660" s="2" t="s">
        <v>3619</v>
      </c>
      <c r="D1660" s="2"/>
      <c r="E1660" s="2" t="s">
        <v>17</v>
      </c>
      <c r="F1660" s="3" t="n">
        <v>8.8E-005</v>
      </c>
      <c r="G1660" s="3" t="n">
        <f aca="false">SUM($F$2:F1660)</f>
        <v>0.9069</v>
      </c>
      <c r="H1660" s="4"/>
      <c r="I1660" s="5"/>
      <c r="J1660" s="4"/>
      <c r="K1660" s="5"/>
      <c r="L1660" s="6"/>
      <c r="M1660" s="5" t="str">
        <f aca="false">IF(AND(N(K1660)&gt;0,N(L1660)&gt;0),K1660/L1660,"")</f>
        <v/>
      </c>
      <c r="N1660" s="2" t="s">
        <v>1226</v>
      </c>
    </row>
    <row r="1661" customFormat="false" ht="15" hidden="false" customHeight="false" outlineLevel="0" collapsed="false">
      <c r="A1661" s="2" t="n">
        <v>1660</v>
      </c>
      <c r="B1661" s="2" t="s">
        <v>3620</v>
      </c>
      <c r="C1661" s="2" t="s">
        <v>3621</v>
      </c>
      <c r="D1661" s="2"/>
      <c r="E1661" s="2" t="s">
        <v>52</v>
      </c>
      <c r="F1661" s="3" t="n">
        <v>8.8E-005</v>
      </c>
      <c r="G1661" s="3" t="n">
        <f aca="false">SUM($F$2:F1661)</f>
        <v>0.906988</v>
      </c>
      <c r="H1661" s="4"/>
      <c r="I1661" s="5"/>
      <c r="J1661" s="4"/>
      <c r="K1661" s="5"/>
      <c r="L1661" s="6"/>
      <c r="M1661" s="5" t="str">
        <f aca="false">IF(AND(N(K1661)&gt;0,N(L1661)&gt;0),K1661/L1661,"")</f>
        <v/>
      </c>
      <c r="N1661" s="2" t="s">
        <v>1226</v>
      </c>
    </row>
    <row r="1662" customFormat="false" ht="15" hidden="false" customHeight="false" outlineLevel="0" collapsed="false">
      <c r="A1662" s="2" t="n">
        <v>1661</v>
      </c>
      <c r="B1662" s="2" t="s">
        <v>3622</v>
      </c>
      <c r="C1662" s="2" t="s">
        <v>3623</v>
      </c>
      <c r="D1662" s="2"/>
      <c r="E1662" s="2" t="s">
        <v>52</v>
      </c>
      <c r="F1662" s="3" t="n">
        <v>8.8E-005</v>
      </c>
      <c r="G1662" s="3" t="n">
        <f aca="false">SUM($F$2:F1662)</f>
        <v>0.907076</v>
      </c>
      <c r="H1662" s="4"/>
      <c r="I1662" s="5"/>
      <c r="J1662" s="4"/>
      <c r="K1662" s="5"/>
      <c r="L1662" s="6"/>
      <c r="M1662" s="5" t="str">
        <f aca="false">IF(AND(N(K1662)&gt;0,N(L1662)&gt;0),K1662/L1662,"")</f>
        <v/>
      </c>
      <c r="N1662" s="2" t="s">
        <v>1226</v>
      </c>
    </row>
    <row r="1663" customFormat="false" ht="15" hidden="false" customHeight="false" outlineLevel="0" collapsed="false">
      <c r="A1663" s="2" t="n">
        <v>1662</v>
      </c>
      <c r="B1663" s="2" t="s">
        <v>3624</v>
      </c>
      <c r="C1663" s="2" t="s">
        <v>3625</v>
      </c>
      <c r="D1663" s="2"/>
      <c r="E1663" s="2" t="s">
        <v>52</v>
      </c>
      <c r="F1663" s="3" t="n">
        <v>8.8E-005</v>
      </c>
      <c r="G1663" s="3" t="n">
        <f aca="false">SUM($F$2:F1663)</f>
        <v>0.907164</v>
      </c>
      <c r="H1663" s="4"/>
      <c r="I1663" s="5"/>
      <c r="J1663" s="4"/>
      <c r="K1663" s="5"/>
      <c r="L1663" s="6"/>
      <c r="M1663" s="5" t="str">
        <f aca="false">IF(AND(N(K1663)&gt;0,N(L1663)&gt;0),K1663/L1663,"")</f>
        <v/>
      </c>
      <c r="N1663" s="2" t="s">
        <v>1226</v>
      </c>
    </row>
    <row r="1664" customFormat="false" ht="15" hidden="false" customHeight="false" outlineLevel="0" collapsed="false">
      <c r="A1664" s="2" t="n">
        <v>1663</v>
      </c>
      <c r="B1664" s="2" t="s">
        <v>3626</v>
      </c>
      <c r="C1664" s="2" t="s">
        <v>3627</v>
      </c>
      <c r="D1664" s="2"/>
      <c r="E1664" s="2" t="s">
        <v>334</v>
      </c>
      <c r="F1664" s="3" t="n">
        <v>8.8E-005</v>
      </c>
      <c r="G1664" s="3" t="n">
        <f aca="false">SUM($F$2:F1664)</f>
        <v>0.907252</v>
      </c>
      <c r="H1664" s="4"/>
      <c r="I1664" s="5"/>
      <c r="J1664" s="4"/>
      <c r="K1664" s="5"/>
      <c r="L1664" s="6"/>
      <c r="M1664" s="5" t="str">
        <f aca="false">IF(AND(N(K1664)&gt;0,N(L1664)&gt;0),K1664/L1664,"")</f>
        <v/>
      </c>
      <c r="N1664" s="2" t="s">
        <v>1226</v>
      </c>
    </row>
    <row r="1665" customFormat="false" ht="15" hidden="false" customHeight="false" outlineLevel="0" collapsed="false">
      <c r="A1665" s="2" t="n">
        <v>1664</v>
      </c>
      <c r="B1665" s="2" t="s">
        <v>3628</v>
      </c>
      <c r="C1665" s="2" t="s">
        <v>3629</v>
      </c>
      <c r="D1665" s="2"/>
      <c r="E1665" s="2" t="s">
        <v>52</v>
      </c>
      <c r="F1665" s="3" t="n">
        <v>8.8E-005</v>
      </c>
      <c r="G1665" s="3" t="n">
        <f aca="false">SUM($F$2:F1665)</f>
        <v>0.90734</v>
      </c>
      <c r="H1665" s="4"/>
      <c r="I1665" s="5"/>
      <c r="J1665" s="4"/>
      <c r="K1665" s="5"/>
      <c r="L1665" s="6"/>
      <c r="M1665" s="5" t="str">
        <f aca="false">IF(AND(N(K1665)&gt;0,N(L1665)&gt;0),K1665/L1665,"")</f>
        <v/>
      </c>
      <c r="N1665" s="2" t="s">
        <v>1226</v>
      </c>
    </row>
    <row r="1666" customFormat="false" ht="15" hidden="false" customHeight="false" outlineLevel="0" collapsed="false">
      <c r="A1666" s="2" t="n">
        <v>1665</v>
      </c>
      <c r="B1666" s="2" t="s">
        <v>3630</v>
      </c>
      <c r="C1666" s="2" t="s">
        <v>3631</v>
      </c>
      <c r="D1666" s="2"/>
      <c r="E1666" s="2" t="s">
        <v>1295</v>
      </c>
      <c r="F1666" s="3" t="n">
        <v>8.8E-005</v>
      </c>
      <c r="G1666" s="3" t="n">
        <f aca="false">SUM($F$2:F1666)</f>
        <v>0.907428</v>
      </c>
      <c r="H1666" s="4"/>
      <c r="I1666" s="5"/>
      <c r="J1666" s="4"/>
      <c r="K1666" s="5"/>
      <c r="L1666" s="6"/>
      <c r="M1666" s="5" t="str">
        <f aca="false">IF(AND(N(K1666)&gt;0,N(L1666)&gt;0),K1666/L1666,"")</f>
        <v/>
      </c>
      <c r="N1666" s="2" t="s">
        <v>1226</v>
      </c>
    </row>
    <row r="1667" customFormat="false" ht="15" hidden="false" customHeight="false" outlineLevel="0" collapsed="false">
      <c r="A1667" s="2" t="n">
        <v>1666</v>
      </c>
      <c r="B1667" s="2" t="s">
        <v>3632</v>
      </c>
      <c r="C1667" s="2" t="s">
        <v>3633</v>
      </c>
      <c r="D1667" s="2"/>
      <c r="E1667" s="2" t="s">
        <v>43</v>
      </c>
      <c r="F1667" s="3" t="n">
        <v>8.8E-005</v>
      </c>
      <c r="G1667" s="3" t="n">
        <f aca="false">SUM($F$2:F1667)</f>
        <v>0.907516</v>
      </c>
      <c r="H1667" s="4"/>
      <c r="I1667" s="5"/>
      <c r="J1667" s="4"/>
      <c r="K1667" s="5"/>
      <c r="L1667" s="6"/>
      <c r="M1667" s="5" t="str">
        <f aca="false">IF(AND(N(K1667)&gt;0,N(L1667)&gt;0),K1667/L1667,"")</f>
        <v/>
      </c>
      <c r="N1667" s="2" t="s">
        <v>1226</v>
      </c>
    </row>
    <row r="1668" customFormat="false" ht="15" hidden="false" customHeight="false" outlineLevel="0" collapsed="false">
      <c r="A1668" s="2" t="n">
        <v>1667</v>
      </c>
      <c r="B1668" s="2" t="s">
        <v>3634</v>
      </c>
      <c r="C1668" s="2" t="s">
        <v>3635</v>
      </c>
      <c r="D1668" s="2"/>
      <c r="E1668" s="2" t="s">
        <v>21</v>
      </c>
      <c r="F1668" s="3" t="n">
        <v>8.8E-005</v>
      </c>
      <c r="G1668" s="3" t="n">
        <f aca="false">SUM($F$2:F1668)</f>
        <v>0.907604</v>
      </c>
      <c r="H1668" s="4"/>
      <c r="I1668" s="5"/>
      <c r="J1668" s="4"/>
      <c r="K1668" s="5"/>
      <c r="L1668" s="6"/>
      <c r="M1668" s="5" t="str">
        <f aca="false">IF(AND(N(K1668)&gt;0,N(L1668)&gt;0),K1668/L1668,"")</f>
        <v/>
      </c>
      <c r="N1668" s="2" t="s">
        <v>1226</v>
      </c>
    </row>
    <row r="1669" customFormat="false" ht="15" hidden="false" customHeight="false" outlineLevel="0" collapsed="false">
      <c r="A1669" s="2" t="n">
        <v>1668</v>
      </c>
      <c r="B1669" s="2" t="s">
        <v>3636</v>
      </c>
      <c r="C1669" s="2" t="s">
        <v>3636</v>
      </c>
      <c r="D1669" s="2"/>
      <c r="E1669" s="2" t="s">
        <v>29</v>
      </c>
      <c r="F1669" s="3" t="n">
        <v>8.7E-005</v>
      </c>
      <c r="G1669" s="3" t="n">
        <f aca="false">SUM($F$2:F1669)</f>
        <v>0.907691</v>
      </c>
      <c r="H1669" s="4"/>
      <c r="I1669" s="5"/>
      <c r="J1669" s="4"/>
      <c r="K1669" s="5"/>
      <c r="L1669" s="6"/>
      <c r="M1669" s="5" t="str">
        <f aca="false">IF(AND(N(K1669)&gt;0,N(L1669)&gt;0),K1669/L1669,"")</f>
        <v/>
      </c>
      <c r="N1669" s="2" t="s">
        <v>1226</v>
      </c>
    </row>
    <row r="1670" customFormat="false" ht="15" hidden="false" customHeight="false" outlineLevel="0" collapsed="false">
      <c r="A1670" s="2" t="n">
        <v>1669</v>
      </c>
      <c r="B1670" s="2" t="s">
        <v>3637</v>
      </c>
      <c r="C1670" s="2" t="s">
        <v>3638</v>
      </c>
      <c r="D1670" s="2"/>
      <c r="E1670" s="2" t="s">
        <v>199</v>
      </c>
      <c r="F1670" s="3" t="n">
        <v>8.7E-005</v>
      </c>
      <c r="G1670" s="3" t="n">
        <f aca="false">SUM($F$2:F1670)</f>
        <v>0.907778</v>
      </c>
      <c r="H1670" s="4"/>
      <c r="I1670" s="5"/>
      <c r="J1670" s="4"/>
      <c r="K1670" s="5"/>
      <c r="L1670" s="6"/>
      <c r="M1670" s="5" t="str">
        <f aca="false">IF(AND(N(K1670)&gt;0,N(L1670)&gt;0),K1670/L1670,"")</f>
        <v/>
      </c>
      <c r="N1670" s="2" t="s">
        <v>1226</v>
      </c>
    </row>
    <row r="1671" customFormat="false" ht="15" hidden="false" customHeight="false" outlineLevel="0" collapsed="false">
      <c r="A1671" s="2" t="n">
        <v>1670</v>
      </c>
      <c r="B1671" s="2" t="s">
        <v>3639</v>
      </c>
      <c r="C1671" s="2" t="s">
        <v>3640</v>
      </c>
      <c r="D1671" s="2"/>
      <c r="E1671" s="2" t="s">
        <v>679</v>
      </c>
      <c r="F1671" s="3" t="n">
        <v>8.7E-005</v>
      </c>
      <c r="G1671" s="3" t="n">
        <f aca="false">SUM($F$2:F1671)</f>
        <v>0.907865</v>
      </c>
      <c r="H1671" s="4"/>
      <c r="I1671" s="5"/>
      <c r="J1671" s="4"/>
      <c r="K1671" s="5"/>
      <c r="L1671" s="6"/>
      <c r="M1671" s="5" t="str">
        <f aca="false">IF(AND(N(K1671)&gt;0,N(L1671)&gt;0),K1671/L1671,"")</f>
        <v/>
      </c>
      <c r="N1671" s="2" t="s">
        <v>1226</v>
      </c>
    </row>
    <row r="1672" customFormat="false" ht="15" hidden="false" customHeight="false" outlineLevel="0" collapsed="false">
      <c r="A1672" s="2" t="n">
        <v>1671</v>
      </c>
      <c r="B1672" s="2" t="s">
        <v>3641</v>
      </c>
      <c r="C1672" s="2" t="s">
        <v>3642</v>
      </c>
      <c r="D1672" s="2"/>
      <c r="E1672" s="2" t="s">
        <v>52</v>
      </c>
      <c r="F1672" s="3" t="n">
        <v>8.7E-005</v>
      </c>
      <c r="G1672" s="3" t="n">
        <f aca="false">SUM($F$2:F1672)</f>
        <v>0.907952</v>
      </c>
      <c r="H1672" s="4"/>
      <c r="I1672" s="5"/>
      <c r="J1672" s="4"/>
      <c r="K1672" s="5"/>
      <c r="L1672" s="6"/>
      <c r="M1672" s="5" t="str">
        <f aca="false">IF(AND(N(K1672)&gt;0,N(L1672)&gt;0),K1672/L1672,"")</f>
        <v/>
      </c>
      <c r="N1672" s="2" t="s">
        <v>1226</v>
      </c>
    </row>
    <row r="1673" customFormat="false" ht="15" hidden="false" customHeight="false" outlineLevel="0" collapsed="false">
      <c r="A1673" s="2" t="n">
        <v>1672</v>
      </c>
      <c r="B1673" s="2" t="s">
        <v>3643</v>
      </c>
      <c r="C1673" s="2" t="s">
        <v>3644</v>
      </c>
      <c r="D1673" s="2"/>
      <c r="E1673" s="2" t="s">
        <v>29</v>
      </c>
      <c r="F1673" s="3" t="n">
        <v>8.7E-005</v>
      </c>
      <c r="G1673" s="3" t="n">
        <f aca="false">SUM($F$2:F1673)</f>
        <v>0.908039</v>
      </c>
      <c r="H1673" s="4"/>
      <c r="I1673" s="5"/>
      <c r="J1673" s="4"/>
      <c r="K1673" s="5"/>
      <c r="L1673" s="6"/>
      <c r="M1673" s="5" t="str">
        <f aca="false">IF(AND(N(K1673)&gt;0,N(L1673)&gt;0),K1673/L1673,"")</f>
        <v/>
      </c>
      <c r="N1673" s="2" t="s">
        <v>1226</v>
      </c>
    </row>
    <row r="1674" customFormat="false" ht="15" hidden="false" customHeight="false" outlineLevel="0" collapsed="false">
      <c r="A1674" s="2" t="n">
        <v>1673</v>
      </c>
      <c r="B1674" s="2" t="s">
        <v>3645</v>
      </c>
      <c r="C1674" s="2" t="s">
        <v>3646</v>
      </c>
      <c r="D1674" s="2"/>
      <c r="E1674" s="2" t="s">
        <v>43</v>
      </c>
      <c r="F1674" s="3" t="n">
        <v>8.7E-005</v>
      </c>
      <c r="G1674" s="3" t="n">
        <f aca="false">SUM($F$2:F1674)</f>
        <v>0.908126</v>
      </c>
      <c r="H1674" s="4"/>
      <c r="I1674" s="5"/>
      <c r="J1674" s="4"/>
      <c r="K1674" s="5"/>
      <c r="L1674" s="6"/>
      <c r="M1674" s="5" t="str">
        <f aca="false">IF(AND(N(K1674)&gt;0,N(L1674)&gt;0),K1674/L1674,"")</f>
        <v/>
      </c>
      <c r="N1674" s="2" t="s">
        <v>1226</v>
      </c>
    </row>
    <row r="1675" customFormat="false" ht="15" hidden="false" customHeight="false" outlineLevel="0" collapsed="false">
      <c r="A1675" s="2" t="n">
        <v>1674</v>
      </c>
      <c r="B1675" s="2" t="s">
        <v>3647</v>
      </c>
      <c r="C1675" s="2" t="s">
        <v>3648</v>
      </c>
      <c r="D1675" s="2"/>
      <c r="E1675" s="2" t="s">
        <v>52</v>
      </c>
      <c r="F1675" s="3" t="n">
        <v>8.7E-005</v>
      </c>
      <c r="G1675" s="3" t="n">
        <f aca="false">SUM($F$2:F1675)</f>
        <v>0.908213</v>
      </c>
      <c r="H1675" s="4"/>
      <c r="I1675" s="5"/>
      <c r="J1675" s="4"/>
      <c r="K1675" s="5"/>
      <c r="L1675" s="6"/>
      <c r="M1675" s="5" t="str">
        <f aca="false">IF(AND(N(K1675)&gt;0,N(L1675)&gt;0),K1675/L1675,"")</f>
        <v/>
      </c>
      <c r="N1675" s="2" t="s">
        <v>1226</v>
      </c>
    </row>
    <row r="1676" customFormat="false" ht="15" hidden="false" customHeight="false" outlineLevel="0" collapsed="false">
      <c r="A1676" s="2" t="n">
        <v>1675</v>
      </c>
      <c r="B1676" s="2" t="s">
        <v>3649</v>
      </c>
      <c r="C1676" s="2" t="s">
        <v>3650</v>
      </c>
      <c r="D1676" s="2"/>
      <c r="E1676" s="2" t="s">
        <v>43</v>
      </c>
      <c r="F1676" s="3" t="n">
        <v>8.7E-005</v>
      </c>
      <c r="G1676" s="3" t="n">
        <f aca="false">SUM($F$2:F1676)</f>
        <v>0.9083</v>
      </c>
      <c r="H1676" s="4"/>
      <c r="I1676" s="5"/>
      <c r="J1676" s="4"/>
      <c r="K1676" s="5"/>
      <c r="L1676" s="6"/>
      <c r="M1676" s="5" t="str">
        <f aca="false">IF(AND(N(K1676)&gt;0,N(L1676)&gt;0),K1676/L1676,"")</f>
        <v/>
      </c>
      <c r="N1676" s="2" t="s">
        <v>1226</v>
      </c>
    </row>
    <row r="1677" customFormat="false" ht="15" hidden="false" customHeight="false" outlineLevel="0" collapsed="false">
      <c r="A1677" s="2" t="n">
        <v>1676</v>
      </c>
      <c r="B1677" s="2" t="s">
        <v>3651</v>
      </c>
      <c r="C1677" s="2" t="s">
        <v>3652</v>
      </c>
      <c r="D1677" s="2"/>
      <c r="E1677" s="2" t="s">
        <v>25</v>
      </c>
      <c r="F1677" s="3" t="n">
        <v>8.7E-005</v>
      </c>
      <c r="G1677" s="3" t="n">
        <f aca="false">SUM($F$2:F1677)</f>
        <v>0.908387</v>
      </c>
      <c r="H1677" s="4"/>
      <c r="I1677" s="5"/>
      <c r="J1677" s="4"/>
      <c r="K1677" s="5"/>
      <c r="L1677" s="6"/>
      <c r="M1677" s="5" t="str">
        <f aca="false">IF(AND(N(K1677)&gt;0,N(L1677)&gt;0),K1677/L1677,"")</f>
        <v/>
      </c>
      <c r="N1677" s="2" t="s">
        <v>1226</v>
      </c>
    </row>
    <row r="1678" customFormat="false" ht="15" hidden="false" customHeight="false" outlineLevel="0" collapsed="false">
      <c r="A1678" s="2" t="n">
        <v>1677</v>
      </c>
      <c r="B1678" s="2" t="s">
        <v>3653</v>
      </c>
      <c r="C1678" s="2" t="s">
        <v>3654</v>
      </c>
      <c r="D1678" s="2"/>
      <c r="E1678" s="2" t="s">
        <v>52</v>
      </c>
      <c r="F1678" s="3" t="n">
        <v>8.7E-005</v>
      </c>
      <c r="G1678" s="3" t="n">
        <f aca="false">SUM($F$2:F1678)</f>
        <v>0.908474</v>
      </c>
      <c r="H1678" s="4"/>
      <c r="I1678" s="5"/>
      <c r="J1678" s="4"/>
      <c r="K1678" s="5"/>
      <c r="L1678" s="6"/>
      <c r="M1678" s="5" t="str">
        <f aca="false">IF(AND(N(K1678)&gt;0,N(L1678)&gt;0),K1678/L1678,"")</f>
        <v/>
      </c>
      <c r="N1678" s="2" t="s">
        <v>1226</v>
      </c>
    </row>
    <row r="1679" customFormat="false" ht="15" hidden="false" customHeight="false" outlineLevel="0" collapsed="false">
      <c r="A1679" s="2" t="n">
        <v>1678</v>
      </c>
      <c r="B1679" s="2" t="s">
        <v>1621</v>
      </c>
      <c r="C1679" s="2" t="s">
        <v>3655</v>
      </c>
      <c r="D1679" s="2"/>
      <c r="E1679" s="2" t="s">
        <v>199</v>
      </c>
      <c r="F1679" s="3" t="n">
        <v>8.7E-005</v>
      </c>
      <c r="G1679" s="3" t="n">
        <f aca="false">SUM($F$2:F1679)</f>
        <v>0.908561</v>
      </c>
      <c r="H1679" s="4"/>
      <c r="I1679" s="5"/>
      <c r="J1679" s="4"/>
      <c r="K1679" s="5"/>
      <c r="L1679" s="6"/>
      <c r="M1679" s="5" t="str">
        <f aca="false">IF(AND(N(K1679)&gt;0,N(L1679)&gt;0),K1679/L1679,"")</f>
        <v/>
      </c>
      <c r="N1679" s="2" t="s">
        <v>1226</v>
      </c>
    </row>
    <row r="1680" customFormat="false" ht="15" hidden="false" customHeight="false" outlineLevel="0" collapsed="false">
      <c r="A1680" s="2" t="n">
        <v>1679</v>
      </c>
      <c r="B1680" s="2" t="s">
        <v>3656</v>
      </c>
      <c r="C1680" s="2" t="s">
        <v>3657</v>
      </c>
      <c r="D1680" s="2"/>
      <c r="E1680" s="2" t="s">
        <v>52</v>
      </c>
      <c r="F1680" s="3" t="n">
        <v>8.7E-005</v>
      </c>
      <c r="G1680" s="3" t="n">
        <f aca="false">SUM($F$2:F1680)</f>
        <v>0.908648</v>
      </c>
      <c r="H1680" s="4"/>
      <c r="I1680" s="5"/>
      <c r="J1680" s="4"/>
      <c r="K1680" s="5"/>
      <c r="L1680" s="6"/>
      <c r="M1680" s="5" t="str">
        <f aca="false">IF(AND(N(K1680)&gt;0,N(L1680)&gt;0),K1680/L1680,"")</f>
        <v/>
      </c>
      <c r="N1680" s="2" t="s">
        <v>1226</v>
      </c>
    </row>
    <row r="1681" customFormat="false" ht="15" hidden="false" customHeight="false" outlineLevel="0" collapsed="false">
      <c r="A1681" s="2" t="n">
        <v>1680</v>
      </c>
      <c r="B1681" s="2" t="s">
        <v>3658</v>
      </c>
      <c r="C1681" s="2" t="s">
        <v>3659</v>
      </c>
      <c r="D1681" s="2"/>
      <c r="E1681" s="2" t="s">
        <v>1345</v>
      </c>
      <c r="F1681" s="3" t="n">
        <v>8.7E-005</v>
      </c>
      <c r="G1681" s="3" t="n">
        <f aca="false">SUM($F$2:F1681)</f>
        <v>0.908735</v>
      </c>
      <c r="H1681" s="4"/>
      <c r="I1681" s="5"/>
      <c r="J1681" s="4"/>
      <c r="K1681" s="5"/>
      <c r="L1681" s="6"/>
      <c r="M1681" s="5" t="str">
        <f aca="false">IF(AND(N(K1681)&gt;0,N(L1681)&gt;0),K1681/L1681,"")</f>
        <v/>
      </c>
      <c r="N1681" s="2" t="s">
        <v>1226</v>
      </c>
    </row>
    <row r="1682" customFormat="false" ht="15" hidden="false" customHeight="false" outlineLevel="0" collapsed="false">
      <c r="A1682" s="2" t="n">
        <v>1681</v>
      </c>
      <c r="B1682" s="2" t="s">
        <v>3660</v>
      </c>
      <c r="C1682" s="2" t="s">
        <v>3661</v>
      </c>
      <c r="D1682" s="2"/>
      <c r="E1682" s="2" t="s">
        <v>29</v>
      </c>
      <c r="F1682" s="3" t="n">
        <v>8.7E-005</v>
      </c>
      <c r="G1682" s="3" t="n">
        <f aca="false">SUM($F$2:F1682)</f>
        <v>0.908822</v>
      </c>
      <c r="H1682" s="4"/>
      <c r="I1682" s="5"/>
      <c r="J1682" s="4"/>
      <c r="K1682" s="5"/>
      <c r="L1682" s="6"/>
      <c r="M1682" s="5" t="str">
        <f aca="false">IF(AND(N(K1682)&gt;0,N(L1682)&gt;0),K1682/L1682,"")</f>
        <v/>
      </c>
      <c r="N1682" s="2" t="s">
        <v>1226</v>
      </c>
    </row>
    <row r="1683" customFormat="false" ht="15" hidden="false" customHeight="false" outlineLevel="0" collapsed="false">
      <c r="A1683" s="2" t="n">
        <v>1682</v>
      </c>
      <c r="B1683" s="2" t="s">
        <v>3662</v>
      </c>
      <c r="C1683" s="2" t="s">
        <v>3663</v>
      </c>
      <c r="D1683" s="2"/>
      <c r="E1683" s="2" t="s">
        <v>21</v>
      </c>
      <c r="F1683" s="3" t="n">
        <v>8.7E-005</v>
      </c>
      <c r="G1683" s="3" t="n">
        <f aca="false">SUM($F$2:F1683)</f>
        <v>0.908909</v>
      </c>
      <c r="H1683" s="4"/>
      <c r="I1683" s="5"/>
      <c r="J1683" s="4"/>
      <c r="K1683" s="5"/>
      <c r="L1683" s="6"/>
      <c r="M1683" s="5" t="str">
        <f aca="false">IF(AND(N(K1683)&gt;0,N(L1683)&gt;0),K1683/L1683,"")</f>
        <v/>
      </c>
      <c r="N1683" s="2" t="s">
        <v>1226</v>
      </c>
    </row>
    <row r="1684" customFormat="false" ht="15" hidden="false" customHeight="false" outlineLevel="0" collapsed="false">
      <c r="A1684" s="2" t="n">
        <v>1683</v>
      </c>
      <c r="B1684" s="2" t="s">
        <v>3664</v>
      </c>
      <c r="C1684" s="2" t="s">
        <v>3665</v>
      </c>
      <c r="D1684" s="2"/>
      <c r="E1684" s="2" t="s">
        <v>289</v>
      </c>
      <c r="F1684" s="3" t="n">
        <v>8.7E-005</v>
      </c>
      <c r="G1684" s="3" t="n">
        <f aca="false">SUM($F$2:F1684)</f>
        <v>0.908996</v>
      </c>
      <c r="H1684" s="4"/>
      <c r="I1684" s="5"/>
      <c r="J1684" s="4"/>
      <c r="K1684" s="5"/>
      <c r="L1684" s="6"/>
      <c r="M1684" s="5" t="str">
        <f aca="false">IF(AND(N(K1684)&gt;0,N(L1684)&gt;0),K1684/L1684,"")</f>
        <v/>
      </c>
      <c r="N1684" s="2" t="s">
        <v>1226</v>
      </c>
    </row>
    <row r="1685" customFormat="false" ht="15" hidden="false" customHeight="false" outlineLevel="0" collapsed="false">
      <c r="A1685" s="2" t="n">
        <v>1684</v>
      </c>
      <c r="B1685" s="2" t="s">
        <v>3666</v>
      </c>
      <c r="C1685" s="2" t="s">
        <v>3667</v>
      </c>
      <c r="D1685" s="2"/>
      <c r="E1685" s="2" t="s">
        <v>52</v>
      </c>
      <c r="F1685" s="3" t="n">
        <v>8.7E-005</v>
      </c>
      <c r="G1685" s="3" t="n">
        <f aca="false">SUM($F$2:F1685)</f>
        <v>0.909083</v>
      </c>
      <c r="H1685" s="4"/>
      <c r="I1685" s="5"/>
      <c r="J1685" s="4"/>
      <c r="K1685" s="5"/>
      <c r="L1685" s="6"/>
      <c r="M1685" s="5" t="str">
        <f aca="false">IF(AND(N(K1685)&gt;0,N(L1685)&gt;0),K1685/L1685,"")</f>
        <v/>
      </c>
      <c r="N1685" s="2" t="s">
        <v>1226</v>
      </c>
    </row>
    <row r="1686" customFormat="false" ht="15" hidden="false" customHeight="false" outlineLevel="0" collapsed="false">
      <c r="A1686" s="2" t="n">
        <v>1685</v>
      </c>
      <c r="B1686" s="2" t="s">
        <v>3668</v>
      </c>
      <c r="C1686" s="2" t="s">
        <v>3669</v>
      </c>
      <c r="D1686" s="2"/>
      <c r="E1686" s="2" t="s">
        <v>765</v>
      </c>
      <c r="F1686" s="3" t="n">
        <v>8.7E-005</v>
      </c>
      <c r="G1686" s="3" t="n">
        <f aca="false">SUM($F$2:F1686)</f>
        <v>0.90917</v>
      </c>
      <c r="H1686" s="4"/>
      <c r="I1686" s="5"/>
      <c r="J1686" s="4"/>
      <c r="K1686" s="5"/>
      <c r="L1686" s="6"/>
      <c r="M1686" s="5" t="str">
        <f aca="false">IF(AND(N(K1686)&gt;0,N(L1686)&gt;0),K1686/L1686,"")</f>
        <v/>
      </c>
      <c r="N1686" s="2" t="s">
        <v>1226</v>
      </c>
    </row>
    <row r="1687" customFormat="false" ht="15" hidden="false" customHeight="false" outlineLevel="0" collapsed="false">
      <c r="A1687" s="2" t="n">
        <v>1686</v>
      </c>
      <c r="B1687" s="2" t="s">
        <v>3670</v>
      </c>
      <c r="C1687" s="2" t="s">
        <v>3671</v>
      </c>
      <c r="D1687" s="2"/>
      <c r="E1687" s="2" t="s">
        <v>82</v>
      </c>
      <c r="F1687" s="3" t="n">
        <v>8.6E-005</v>
      </c>
      <c r="G1687" s="3" t="n">
        <f aca="false">SUM($F$2:F1687)</f>
        <v>0.909256</v>
      </c>
      <c r="H1687" s="4"/>
      <c r="I1687" s="5"/>
      <c r="J1687" s="4"/>
      <c r="K1687" s="5"/>
      <c r="L1687" s="6"/>
      <c r="M1687" s="5" t="str">
        <f aca="false">IF(AND(N(K1687)&gt;0,N(L1687)&gt;0),K1687/L1687,"")</f>
        <v/>
      </c>
      <c r="N1687" s="2" t="s">
        <v>1226</v>
      </c>
    </row>
    <row r="1688" customFormat="false" ht="15" hidden="false" customHeight="false" outlineLevel="0" collapsed="false">
      <c r="A1688" s="2" t="n">
        <v>1687</v>
      </c>
      <c r="B1688" s="2" t="s">
        <v>3672</v>
      </c>
      <c r="C1688" s="2" t="s">
        <v>3673</v>
      </c>
      <c r="D1688" s="2"/>
      <c r="E1688" s="2" t="s">
        <v>48</v>
      </c>
      <c r="F1688" s="3" t="n">
        <v>8.6E-005</v>
      </c>
      <c r="G1688" s="3" t="n">
        <f aca="false">SUM($F$2:F1688)</f>
        <v>0.909342</v>
      </c>
      <c r="H1688" s="4"/>
      <c r="I1688" s="5"/>
      <c r="J1688" s="4"/>
      <c r="K1688" s="5"/>
      <c r="L1688" s="6"/>
      <c r="M1688" s="5" t="str">
        <f aca="false">IF(AND(N(K1688)&gt;0,N(L1688)&gt;0),K1688/L1688,"")</f>
        <v/>
      </c>
      <c r="N1688" s="2" t="s">
        <v>1226</v>
      </c>
    </row>
    <row r="1689" customFormat="false" ht="15" hidden="false" customHeight="false" outlineLevel="0" collapsed="false">
      <c r="A1689" s="2" t="n">
        <v>1688</v>
      </c>
      <c r="B1689" s="2" t="s">
        <v>3674</v>
      </c>
      <c r="C1689" s="2" t="s">
        <v>3675</v>
      </c>
      <c r="D1689" s="2"/>
      <c r="E1689" s="2" t="s">
        <v>17</v>
      </c>
      <c r="F1689" s="3" t="n">
        <v>8.6E-005</v>
      </c>
      <c r="G1689" s="3" t="n">
        <f aca="false">SUM($F$2:F1689)</f>
        <v>0.909428</v>
      </c>
      <c r="H1689" s="4"/>
      <c r="I1689" s="5"/>
      <c r="J1689" s="4"/>
      <c r="K1689" s="5"/>
      <c r="L1689" s="6"/>
      <c r="M1689" s="5" t="str">
        <f aca="false">IF(AND(N(K1689)&gt;0,N(L1689)&gt;0),K1689/L1689,"")</f>
        <v/>
      </c>
      <c r="N1689" s="2" t="s">
        <v>1226</v>
      </c>
    </row>
    <row r="1690" customFormat="false" ht="15" hidden="false" customHeight="false" outlineLevel="0" collapsed="false">
      <c r="A1690" s="2" t="n">
        <v>1689</v>
      </c>
      <c r="B1690" s="2" t="s">
        <v>3676</v>
      </c>
      <c r="C1690" s="2" t="s">
        <v>3677</v>
      </c>
      <c r="D1690" s="2"/>
      <c r="E1690" s="2" t="s">
        <v>52</v>
      </c>
      <c r="F1690" s="3" t="n">
        <v>8.6E-005</v>
      </c>
      <c r="G1690" s="3" t="n">
        <f aca="false">SUM($F$2:F1690)</f>
        <v>0.909514</v>
      </c>
      <c r="H1690" s="4"/>
      <c r="I1690" s="5"/>
      <c r="J1690" s="4"/>
      <c r="K1690" s="5"/>
      <c r="L1690" s="6"/>
      <c r="M1690" s="5" t="str">
        <f aca="false">IF(AND(N(K1690)&gt;0,N(L1690)&gt;0),K1690/L1690,"")</f>
        <v/>
      </c>
      <c r="N1690" s="2" t="s">
        <v>1226</v>
      </c>
    </row>
    <row r="1691" customFormat="false" ht="15" hidden="false" customHeight="false" outlineLevel="0" collapsed="false">
      <c r="A1691" s="2" t="n">
        <v>1690</v>
      </c>
      <c r="B1691" s="2" t="s">
        <v>3678</v>
      </c>
      <c r="C1691" s="2" t="s">
        <v>3679</v>
      </c>
      <c r="D1691" s="2"/>
      <c r="E1691" s="2" t="s">
        <v>1284</v>
      </c>
      <c r="F1691" s="3" t="n">
        <v>8.6E-005</v>
      </c>
      <c r="G1691" s="3" t="n">
        <f aca="false">SUM($F$2:F1691)</f>
        <v>0.9096</v>
      </c>
      <c r="H1691" s="4"/>
      <c r="I1691" s="5"/>
      <c r="J1691" s="4"/>
      <c r="K1691" s="5"/>
      <c r="L1691" s="6"/>
      <c r="M1691" s="5" t="str">
        <f aca="false">IF(AND(N(K1691)&gt;0,N(L1691)&gt;0),K1691/L1691,"")</f>
        <v/>
      </c>
      <c r="N1691" s="2" t="s">
        <v>1226</v>
      </c>
    </row>
    <row r="1692" customFormat="false" ht="15" hidden="false" customHeight="false" outlineLevel="0" collapsed="false">
      <c r="A1692" s="2" t="n">
        <v>1691</v>
      </c>
      <c r="B1692" s="2" t="s">
        <v>3680</v>
      </c>
      <c r="C1692" s="2" t="s">
        <v>3681</v>
      </c>
      <c r="D1692" s="2"/>
      <c r="E1692" s="2" t="s">
        <v>52</v>
      </c>
      <c r="F1692" s="3" t="n">
        <v>8.6E-005</v>
      </c>
      <c r="G1692" s="3" t="n">
        <f aca="false">SUM($F$2:F1692)</f>
        <v>0.909686</v>
      </c>
      <c r="H1692" s="4"/>
      <c r="I1692" s="5"/>
      <c r="J1692" s="4"/>
      <c r="K1692" s="5"/>
      <c r="L1692" s="6"/>
      <c r="M1692" s="5" t="str">
        <f aca="false">IF(AND(N(K1692)&gt;0,N(L1692)&gt;0),K1692/L1692,"")</f>
        <v/>
      </c>
      <c r="N1692" s="2" t="s">
        <v>1226</v>
      </c>
    </row>
    <row r="1693" customFormat="false" ht="15" hidden="false" customHeight="false" outlineLevel="0" collapsed="false">
      <c r="A1693" s="2" t="n">
        <v>1692</v>
      </c>
      <c r="B1693" s="2" t="s">
        <v>3682</v>
      </c>
      <c r="C1693" s="2" t="s">
        <v>3683</v>
      </c>
      <c r="D1693" s="2"/>
      <c r="E1693" s="2" t="s">
        <v>52</v>
      </c>
      <c r="F1693" s="3" t="n">
        <v>8.6E-005</v>
      </c>
      <c r="G1693" s="3" t="n">
        <f aca="false">SUM($F$2:F1693)</f>
        <v>0.909772</v>
      </c>
      <c r="H1693" s="4"/>
      <c r="I1693" s="5"/>
      <c r="J1693" s="4"/>
      <c r="K1693" s="5"/>
      <c r="L1693" s="6"/>
      <c r="M1693" s="5" t="str">
        <f aca="false">IF(AND(N(K1693)&gt;0,N(L1693)&gt;0),K1693/L1693,"")</f>
        <v/>
      </c>
      <c r="N1693" s="2" t="s">
        <v>1226</v>
      </c>
    </row>
    <row r="1694" customFormat="false" ht="15" hidden="false" customHeight="false" outlineLevel="0" collapsed="false">
      <c r="A1694" s="2" t="n">
        <v>1693</v>
      </c>
      <c r="B1694" s="2" t="s">
        <v>3684</v>
      </c>
      <c r="C1694" s="2" t="s">
        <v>3685</v>
      </c>
      <c r="D1694" s="2"/>
      <c r="E1694" s="2" t="s">
        <v>29</v>
      </c>
      <c r="F1694" s="3" t="n">
        <v>8.6E-005</v>
      </c>
      <c r="G1694" s="3" t="n">
        <f aca="false">SUM($F$2:F1694)</f>
        <v>0.909858</v>
      </c>
      <c r="H1694" s="4"/>
      <c r="I1694" s="5"/>
      <c r="J1694" s="4"/>
      <c r="K1694" s="5"/>
      <c r="L1694" s="6"/>
      <c r="M1694" s="5" t="str">
        <f aca="false">IF(AND(N(K1694)&gt;0,N(L1694)&gt;0),K1694/L1694,"")</f>
        <v/>
      </c>
      <c r="N1694" s="2" t="s">
        <v>1226</v>
      </c>
    </row>
    <row r="1695" customFormat="false" ht="15" hidden="false" customHeight="false" outlineLevel="0" collapsed="false">
      <c r="A1695" s="2" t="n">
        <v>1694</v>
      </c>
      <c r="B1695" s="2" t="s">
        <v>3686</v>
      </c>
      <c r="C1695" s="2" t="s">
        <v>3687</v>
      </c>
      <c r="D1695" s="2"/>
      <c r="E1695" s="2" t="s">
        <v>82</v>
      </c>
      <c r="F1695" s="3" t="n">
        <v>8.6E-005</v>
      </c>
      <c r="G1695" s="3" t="n">
        <f aca="false">SUM($F$2:F1695)</f>
        <v>0.909944</v>
      </c>
      <c r="H1695" s="4"/>
      <c r="I1695" s="5"/>
      <c r="J1695" s="4"/>
      <c r="K1695" s="5"/>
      <c r="L1695" s="6"/>
      <c r="M1695" s="5" t="str">
        <f aca="false">IF(AND(N(K1695)&gt;0,N(L1695)&gt;0),K1695/L1695,"")</f>
        <v/>
      </c>
      <c r="N1695" s="2" t="s">
        <v>1226</v>
      </c>
    </row>
    <row r="1696" customFormat="false" ht="15" hidden="false" customHeight="false" outlineLevel="0" collapsed="false">
      <c r="A1696" s="2" t="n">
        <v>1695</v>
      </c>
      <c r="B1696" s="2" t="s">
        <v>3688</v>
      </c>
      <c r="C1696" s="2" t="s">
        <v>3689</v>
      </c>
      <c r="D1696" s="2"/>
      <c r="E1696" s="2" t="s">
        <v>289</v>
      </c>
      <c r="F1696" s="3" t="n">
        <v>8.6E-005</v>
      </c>
      <c r="G1696" s="3" t="n">
        <f aca="false">SUM($F$2:F1696)</f>
        <v>0.91003</v>
      </c>
      <c r="H1696" s="4"/>
      <c r="I1696" s="5"/>
      <c r="J1696" s="4"/>
      <c r="K1696" s="5"/>
      <c r="L1696" s="6"/>
      <c r="M1696" s="5" t="str">
        <f aca="false">IF(AND(N(K1696)&gt;0,N(L1696)&gt;0),K1696/L1696,"")</f>
        <v/>
      </c>
      <c r="N1696" s="2" t="s">
        <v>1226</v>
      </c>
    </row>
    <row r="1697" customFormat="false" ht="15" hidden="false" customHeight="false" outlineLevel="0" collapsed="false">
      <c r="A1697" s="2" t="n">
        <v>1696</v>
      </c>
      <c r="B1697" s="2" t="s">
        <v>3690</v>
      </c>
      <c r="C1697" s="2" t="s">
        <v>3691</v>
      </c>
      <c r="D1697" s="2"/>
      <c r="E1697" s="2" t="s">
        <v>29</v>
      </c>
      <c r="F1697" s="3" t="n">
        <v>8.6E-005</v>
      </c>
      <c r="G1697" s="3" t="n">
        <f aca="false">SUM($F$2:F1697)</f>
        <v>0.910116</v>
      </c>
      <c r="H1697" s="4"/>
      <c r="I1697" s="5"/>
      <c r="J1697" s="4"/>
      <c r="K1697" s="5"/>
      <c r="L1697" s="6"/>
      <c r="M1697" s="5" t="str">
        <f aca="false">IF(AND(N(K1697)&gt;0,N(L1697)&gt;0),K1697/L1697,"")</f>
        <v/>
      </c>
      <c r="N1697" s="2" t="s">
        <v>1226</v>
      </c>
    </row>
    <row r="1698" customFormat="false" ht="15" hidden="false" customHeight="false" outlineLevel="0" collapsed="false">
      <c r="A1698" s="2" t="n">
        <v>1697</v>
      </c>
      <c r="B1698" s="2" t="s">
        <v>3692</v>
      </c>
      <c r="C1698" s="2" t="s">
        <v>3693</v>
      </c>
      <c r="D1698" s="2"/>
      <c r="E1698" s="2" t="s">
        <v>29</v>
      </c>
      <c r="F1698" s="3" t="n">
        <v>8.6E-005</v>
      </c>
      <c r="G1698" s="3" t="n">
        <f aca="false">SUM($F$2:F1698)</f>
        <v>0.910202</v>
      </c>
      <c r="H1698" s="4"/>
      <c r="I1698" s="5"/>
      <c r="J1698" s="4"/>
      <c r="K1698" s="5"/>
      <c r="L1698" s="6"/>
      <c r="M1698" s="5" t="str">
        <f aca="false">IF(AND(N(K1698)&gt;0,N(L1698)&gt;0),K1698/L1698,"")</f>
        <v/>
      </c>
      <c r="N1698" s="2" t="s">
        <v>1226</v>
      </c>
    </row>
    <row r="1699" customFormat="false" ht="15" hidden="false" customHeight="false" outlineLevel="0" collapsed="false">
      <c r="A1699" s="2" t="n">
        <v>1698</v>
      </c>
      <c r="B1699" s="2" t="s">
        <v>3694</v>
      </c>
      <c r="C1699" s="2" t="s">
        <v>3695</v>
      </c>
      <c r="D1699" s="2"/>
      <c r="E1699" s="2" t="s">
        <v>17</v>
      </c>
      <c r="F1699" s="3" t="n">
        <v>8.6E-005</v>
      </c>
      <c r="G1699" s="3" t="n">
        <f aca="false">SUM($F$2:F1699)</f>
        <v>0.910288</v>
      </c>
      <c r="H1699" s="4"/>
      <c r="I1699" s="5"/>
      <c r="J1699" s="4"/>
      <c r="K1699" s="5"/>
      <c r="L1699" s="6"/>
      <c r="M1699" s="5" t="str">
        <f aca="false">IF(AND(N(K1699)&gt;0,N(L1699)&gt;0),K1699/L1699,"")</f>
        <v/>
      </c>
      <c r="N1699" s="2" t="s">
        <v>1226</v>
      </c>
    </row>
    <row r="1700" customFormat="false" ht="15" hidden="false" customHeight="false" outlineLevel="0" collapsed="false">
      <c r="A1700" s="2" t="n">
        <v>1699</v>
      </c>
      <c r="B1700" s="2" t="s">
        <v>3696</v>
      </c>
      <c r="C1700" s="2" t="s">
        <v>3697</v>
      </c>
      <c r="D1700" s="2"/>
      <c r="E1700" s="2" t="s">
        <v>29</v>
      </c>
      <c r="F1700" s="3" t="n">
        <v>8.5E-005</v>
      </c>
      <c r="G1700" s="3" t="n">
        <f aca="false">SUM($F$2:F1700)</f>
        <v>0.910373</v>
      </c>
      <c r="H1700" s="4"/>
      <c r="I1700" s="5"/>
      <c r="J1700" s="4"/>
      <c r="K1700" s="5"/>
      <c r="L1700" s="6"/>
      <c r="M1700" s="5" t="str">
        <f aca="false">IF(AND(N(K1700)&gt;0,N(L1700)&gt;0),K1700/L1700,"")</f>
        <v/>
      </c>
      <c r="N1700" s="2" t="s">
        <v>1226</v>
      </c>
    </row>
    <row r="1701" customFormat="false" ht="15" hidden="false" customHeight="false" outlineLevel="0" collapsed="false">
      <c r="A1701" s="2" t="n">
        <v>1700</v>
      </c>
      <c r="B1701" s="2" t="s">
        <v>3698</v>
      </c>
      <c r="C1701" s="2" t="s">
        <v>3699</v>
      </c>
      <c r="D1701" s="2"/>
      <c r="E1701" s="2" t="s">
        <v>82</v>
      </c>
      <c r="F1701" s="3" t="n">
        <v>8.5E-005</v>
      </c>
      <c r="G1701" s="3" t="n">
        <f aca="false">SUM($F$2:F1701)</f>
        <v>0.910458</v>
      </c>
      <c r="H1701" s="4"/>
      <c r="I1701" s="5"/>
      <c r="J1701" s="4"/>
      <c r="K1701" s="5"/>
      <c r="L1701" s="6"/>
      <c r="M1701" s="5" t="str">
        <f aca="false">IF(AND(N(K1701)&gt;0,N(L1701)&gt;0),K1701/L1701,"")</f>
        <v/>
      </c>
      <c r="N1701" s="2" t="s">
        <v>1226</v>
      </c>
    </row>
    <row r="1702" customFormat="false" ht="15" hidden="false" customHeight="false" outlineLevel="0" collapsed="false">
      <c r="A1702" s="2" t="n">
        <v>1701</v>
      </c>
      <c r="B1702" s="2" t="s">
        <v>3700</v>
      </c>
      <c r="C1702" s="2" t="s">
        <v>3701</v>
      </c>
      <c r="D1702" s="2"/>
      <c r="E1702" s="2" t="s">
        <v>29</v>
      </c>
      <c r="F1702" s="3" t="n">
        <v>8.5E-005</v>
      </c>
      <c r="G1702" s="3" t="n">
        <f aca="false">SUM($F$2:F1702)</f>
        <v>0.910543</v>
      </c>
      <c r="H1702" s="4"/>
      <c r="I1702" s="5"/>
      <c r="J1702" s="4"/>
      <c r="K1702" s="5"/>
      <c r="L1702" s="6"/>
      <c r="M1702" s="5" t="str">
        <f aca="false">IF(AND(N(K1702)&gt;0,N(L1702)&gt;0),K1702/L1702,"")</f>
        <v/>
      </c>
      <c r="N1702" s="2" t="s">
        <v>1226</v>
      </c>
    </row>
    <row r="1703" customFormat="false" ht="15" hidden="false" customHeight="false" outlineLevel="0" collapsed="false">
      <c r="A1703" s="2" t="n">
        <v>1702</v>
      </c>
      <c r="B1703" s="2" t="s">
        <v>3702</v>
      </c>
      <c r="C1703" s="2" t="s">
        <v>3703</v>
      </c>
      <c r="D1703" s="2"/>
      <c r="E1703" s="2" t="s">
        <v>48</v>
      </c>
      <c r="F1703" s="3" t="n">
        <v>8.5E-005</v>
      </c>
      <c r="G1703" s="3" t="n">
        <f aca="false">SUM($F$2:F1703)</f>
        <v>0.910628</v>
      </c>
      <c r="H1703" s="4"/>
      <c r="I1703" s="5"/>
      <c r="J1703" s="4"/>
      <c r="K1703" s="5"/>
      <c r="L1703" s="6"/>
      <c r="M1703" s="5" t="str">
        <f aca="false">IF(AND(N(K1703)&gt;0,N(L1703)&gt;0),K1703/L1703,"")</f>
        <v/>
      </c>
      <c r="N1703" s="2" t="s">
        <v>1226</v>
      </c>
    </row>
    <row r="1704" customFormat="false" ht="15" hidden="false" customHeight="false" outlineLevel="0" collapsed="false">
      <c r="A1704" s="2" t="n">
        <v>1703</v>
      </c>
      <c r="B1704" s="2" t="s">
        <v>3704</v>
      </c>
      <c r="C1704" s="2" t="s">
        <v>3705</v>
      </c>
      <c r="D1704" s="2"/>
      <c r="E1704" s="2" t="s">
        <v>1245</v>
      </c>
      <c r="F1704" s="3" t="n">
        <v>8.5E-005</v>
      </c>
      <c r="G1704" s="3" t="n">
        <f aca="false">SUM($F$2:F1704)</f>
        <v>0.910713</v>
      </c>
      <c r="H1704" s="4"/>
      <c r="I1704" s="5"/>
      <c r="J1704" s="4"/>
      <c r="K1704" s="5"/>
      <c r="L1704" s="6"/>
      <c r="M1704" s="5" t="str">
        <f aca="false">IF(AND(N(K1704)&gt;0,N(L1704)&gt;0),K1704/L1704,"")</f>
        <v/>
      </c>
      <c r="N1704" s="2" t="s">
        <v>1226</v>
      </c>
    </row>
    <row r="1705" customFormat="false" ht="15" hidden="false" customHeight="false" outlineLevel="0" collapsed="false">
      <c r="A1705" s="2" t="n">
        <v>1704</v>
      </c>
      <c r="B1705" s="2" t="s">
        <v>3706</v>
      </c>
      <c r="C1705" s="2" t="s">
        <v>3707</v>
      </c>
      <c r="D1705" s="2"/>
      <c r="E1705" s="2" t="s">
        <v>289</v>
      </c>
      <c r="F1705" s="3" t="n">
        <v>8.5E-005</v>
      </c>
      <c r="G1705" s="3" t="n">
        <f aca="false">SUM($F$2:F1705)</f>
        <v>0.910798</v>
      </c>
      <c r="H1705" s="4"/>
      <c r="I1705" s="5"/>
      <c r="J1705" s="4"/>
      <c r="K1705" s="5"/>
      <c r="L1705" s="6"/>
      <c r="M1705" s="5" t="str">
        <f aca="false">IF(AND(N(K1705)&gt;0,N(L1705)&gt;0),K1705/L1705,"")</f>
        <v/>
      </c>
      <c r="N1705" s="2" t="s">
        <v>1226</v>
      </c>
    </row>
    <row r="1706" customFormat="false" ht="15" hidden="false" customHeight="false" outlineLevel="0" collapsed="false">
      <c r="A1706" s="2" t="n">
        <v>1705</v>
      </c>
      <c r="B1706" s="2" t="s">
        <v>3670</v>
      </c>
      <c r="C1706" s="2" t="s">
        <v>3708</v>
      </c>
      <c r="D1706" s="2"/>
      <c r="E1706" s="2" t="s">
        <v>29</v>
      </c>
      <c r="F1706" s="3" t="n">
        <v>8.5E-005</v>
      </c>
      <c r="G1706" s="3" t="n">
        <f aca="false">SUM($F$2:F1706)</f>
        <v>0.910883</v>
      </c>
      <c r="H1706" s="4"/>
      <c r="I1706" s="5"/>
      <c r="J1706" s="4"/>
      <c r="K1706" s="5"/>
      <c r="L1706" s="6"/>
      <c r="M1706" s="5" t="str">
        <f aca="false">IF(AND(N(K1706)&gt;0,N(L1706)&gt;0),K1706/L1706,"")</f>
        <v/>
      </c>
      <c r="N1706" s="2" t="s">
        <v>1226</v>
      </c>
    </row>
    <row r="1707" customFormat="false" ht="15" hidden="false" customHeight="false" outlineLevel="0" collapsed="false">
      <c r="A1707" s="2" t="n">
        <v>1706</v>
      </c>
      <c r="B1707" s="2" t="s">
        <v>3709</v>
      </c>
      <c r="C1707" s="2" t="s">
        <v>3710</v>
      </c>
      <c r="D1707" s="2"/>
      <c r="E1707" s="2" t="s">
        <v>17</v>
      </c>
      <c r="F1707" s="3" t="n">
        <v>8.5E-005</v>
      </c>
      <c r="G1707" s="3" t="n">
        <f aca="false">SUM($F$2:F1707)</f>
        <v>0.910968</v>
      </c>
      <c r="H1707" s="4"/>
      <c r="I1707" s="5"/>
      <c r="J1707" s="4"/>
      <c r="K1707" s="5"/>
      <c r="L1707" s="6"/>
      <c r="M1707" s="5" t="str">
        <f aca="false">IF(AND(N(K1707)&gt;0,N(L1707)&gt;0),K1707/L1707,"")</f>
        <v/>
      </c>
      <c r="N1707" s="2" t="s">
        <v>1226</v>
      </c>
    </row>
    <row r="1708" customFormat="false" ht="15" hidden="false" customHeight="false" outlineLevel="0" collapsed="false">
      <c r="A1708" s="2" t="n">
        <v>1707</v>
      </c>
      <c r="B1708" s="2" t="s">
        <v>3711</v>
      </c>
      <c r="C1708" s="2" t="s">
        <v>3712</v>
      </c>
      <c r="D1708" s="2"/>
      <c r="E1708" s="2" t="s">
        <v>52</v>
      </c>
      <c r="F1708" s="3" t="n">
        <v>8.5E-005</v>
      </c>
      <c r="G1708" s="3" t="n">
        <f aca="false">SUM($F$2:F1708)</f>
        <v>0.911053</v>
      </c>
      <c r="H1708" s="4"/>
      <c r="I1708" s="5"/>
      <c r="J1708" s="4"/>
      <c r="K1708" s="5"/>
      <c r="L1708" s="6"/>
      <c r="M1708" s="5" t="str">
        <f aca="false">IF(AND(N(K1708)&gt;0,N(L1708)&gt;0),K1708/L1708,"")</f>
        <v/>
      </c>
      <c r="N1708" s="2" t="s">
        <v>1226</v>
      </c>
    </row>
    <row r="1709" customFormat="false" ht="15" hidden="false" customHeight="false" outlineLevel="0" collapsed="false">
      <c r="A1709" s="2" t="n">
        <v>1708</v>
      </c>
      <c r="B1709" s="2" t="s">
        <v>3713</v>
      </c>
      <c r="C1709" s="2" t="s">
        <v>3714</v>
      </c>
      <c r="D1709" s="2"/>
      <c r="E1709" s="2" t="s">
        <v>1334</v>
      </c>
      <c r="F1709" s="3" t="n">
        <v>8.5E-005</v>
      </c>
      <c r="G1709" s="3" t="n">
        <f aca="false">SUM($F$2:F1709)</f>
        <v>0.911138</v>
      </c>
      <c r="H1709" s="4"/>
      <c r="I1709" s="5"/>
      <c r="J1709" s="4"/>
      <c r="K1709" s="5"/>
      <c r="L1709" s="6"/>
      <c r="M1709" s="5" t="str">
        <f aca="false">IF(AND(N(K1709)&gt;0,N(L1709)&gt;0),K1709/L1709,"")</f>
        <v/>
      </c>
      <c r="N1709" s="2" t="s">
        <v>1226</v>
      </c>
    </row>
    <row r="1710" customFormat="false" ht="15" hidden="false" customHeight="false" outlineLevel="0" collapsed="false">
      <c r="A1710" s="2" t="n">
        <v>1709</v>
      </c>
      <c r="B1710" s="2" t="s">
        <v>3715</v>
      </c>
      <c r="C1710" s="2" t="s">
        <v>3716</v>
      </c>
      <c r="D1710" s="2"/>
      <c r="E1710" s="2" t="s">
        <v>1345</v>
      </c>
      <c r="F1710" s="3" t="n">
        <v>8.5E-005</v>
      </c>
      <c r="G1710" s="3" t="n">
        <f aca="false">SUM($F$2:F1710)</f>
        <v>0.911223</v>
      </c>
      <c r="H1710" s="4"/>
      <c r="I1710" s="5"/>
      <c r="J1710" s="4"/>
      <c r="K1710" s="5"/>
      <c r="L1710" s="6"/>
      <c r="M1710" s="5" t="str">
        <f aca="false">IF(AND(N(K1710)&gt;0,N(L1710)&gt;0),K1710/L1710,"")</f>
        <v/>
      </c>
      <c r="N1710" s="2" t="s">
        <v>1226</v>
      </c>
    </row>
    <row r="1711" customFormat="false" ht="15" hidden="false" customHeight="false" outlineLevel="0" collapsed="false">
      <c r="A1711" s="2" t="n">
        <v>1710</v>
      </c>
      <c r="B1711" s="2" t="s">
        <v>3717</v>
      </c>
      <c r="C1711" s="2" t="s">
        <v>3718</v>
      </c>
      <c r="D1711" s="2"/>
      <c r="E1711" s="2" t="s">
        <v>334</v>
      </c>
      <c r="F1711" s="3" t="n">
        <v>8.5E-005</v>
      </c>
      <c r="G1711" s="3" t="n">
        <f aca="false">SUM($F$2:F1711)</f>
        <v>0.911308</v>
      </c>
      <c r="H1711" s="4"/>
      <c r="I1711" s="5"/>
      <c r="J1711" s="4"/>
      <c r="K1711" s="5"/>
      <c r="L1711" s="6"/>
      <c r="M1711" s="5" t="str">
        <f aca="false">IF(AND(N(K1711)&gt;0,N(L1711)&gt;0),K1711/L1711,"")</f>
        <v/>
      </c>
      <c r="N1711" s="2" t="s">
        <v>1226</v>
      </c>
    </row>
    <row r="1712" customFormat="false" ht="15" hidden="false" customHeight="false" outlineLevel="0" collapsed="false">
      <c r="A1712" s="2" t="n">
        <v>1711</v>
      </c>
      <c r="B1712" s="2" t="s">
        <v>3719</v>
      </c>
      <c r="C1712" s="2" t="s">
        <v>3720</v>
      </c>
      <c r="D1712" s="2"/>
      <c r="E1712" s="2" t="s">
        <v>52</v>
      </c>
      <c r="F1712" s="3" t="n">
        <v>8.4E-005</v>
      </c>
      <c r="G1712" s="3" t="n">
        <f aca="false">SUM($F$2:F1712)</f>
        <v>0.911392</v>
      </c>
      <c r="H1712" s="4"/>
      <c r="I1712" s="5"/>
      <c r="J1712" s="4"/>
      <c r="K1712" s="5"/>
      <c r="L1712" s="6"/>
      <c r="M1712" s="5" t="str">
        <f aca="false">IF(AND(N(K1712)&gt;0,N(L1712)&gt;0),K1712/L1712,"")</f>
        <v/>
      </c>
      <c r="N1712" s="2" t="s">
        <v>1226</v>
      </c>
    </row>
    <row r="1713" customFormat="false" ht="15" hidden="false" customHeight="false" outlineLevel="0" collapsed="false">
      <c r="A1713" s="2" t="n">
        <v>1712</v>
      </c>
      <c r="B1713" s="2" t="s">
        <v>3721</v>
      </c>
      <c r="C1713" s="2" t="s">
        <v>3722</v>
      </c>
      <c r="D1713" s="2"/>
      <c r="E1713" s="2" t="s">
        <v>1345</v>
      </c>
      <c r="F1713" s="3" t="n">
        <v>8.4E-005</v>
      </c>
      <c r="G1713" s="3" t="n">
        <f aca="false">SUM($F$2:F1713)</f>
        <v>0.911476</v>
      </c>
      <c r="H1713" s="4"/>
      <c r="I1713" s="5"/>
      <c r="J1713" s="4"/>
      <c r="K1713" s="5"/>
      <c r="L1713" s="6"/>
      <c r="M1713" s="5" t="str">
        <f aca="false">IF(AND(N(K1713)&gt;0,N(L1713)&gt;0),K1713/L1713,"")</f>
        <v/>
      </c>
      <c r="N1713" s="2" t="s">
        <v>1226</v>
      </c>
    </row>
    <row r="1714" customFormat="false" ht="15" hidden="false" customHeight="false" outlineLevel="0" collapsed="false">
      <c r="A1714" s="2" t="n">
        <v>1713</v>
      </c>
      <c r="B1714" s="2" t="s">
        <v>3723</v>
      </c>
      <c r="C1714" s="2" t="s">
        <v>3724</v>
      </c>
      <c r="D1714" s="2"/>
      <c r="E1714" s="2" t="s">
        <v>43</v>
      </c>
      <c r="F1714" s="3" t="n">
        <v>8.4E-005</v>
      </c>
      <c r="G1714" s="3" t="n">
        <f aca="false">SUM($F$2:F1714)</f>
        <v>0.91156</v>
      </c>
      <c r="H1714" s="4"/>
      <c r="I1714" s="5"/>
      <c r="J1714" s="4"/>
      <c r="K1714" s="5"/>
      <c r="L1714" s="6"/>
      <c r="M1714" s="5" t="str">
        <f aca="false">IF(AND(N(K1714)&gt;0,N(L1714)&gt;0),K1714/L1714,"")</f>
        <v/>
      </c>
      <c r="N1714" s="2" t="s">
        <v>1226</v>
      </c>
    </row>
    <row r="1715" customFormat="false" ht="15" hidden="false" customHeight="false" outlineLevel="0" collapsed="false">
      <c r="A1715" s="2" t="n">
        <v>1714</v>
      </c>
      <c r="B1715" s="2" t="s">
        <v>3725</v>
      </c>
      <c r="C1715" s="2" t="s">
        <v>3726</v>
      </c>
      <c r="D1715" s="2"/>
      <c r="E1715" s="2" t="s">
        <v>29</v>
      </c>
      <c r="F1715" s="3" t="n">
        <v>8.4E-005</v>
      </c>
      <c r="G1715" s="3" t="n">
        <f aca="false">SUM($F$2:F1715)</f>
        <v>0.911644</v>
      </c>
      <c r="H1715" s="4"/>
      <c r="I1715" s="5"/>
      <c r="J1715" s="4"/>
      <c r="K1715" s="5"/>
      <c r="L1715" s="6"/>
      <c r="M1715" s="5" t="str">
        <f aca="false">IF(AND(N(K1715)&gt;0,N(L1715)&gt;0),K1715/L1715,"")</f>
        <v/>
      </c>
      <c r="N1715" s="2" t="s">
        <v>1226</v>
      </c>
    </row>
    <row r="1716" customFormat="false" ht="15" hidden="false" customHeight="false" outlineLevel="0" collapsed="false">
      <c r="A1716" s="2" t="n">
        <v>1715</v>
      </c>
      <c r="B1716" s="2" t="s">
        <v>3727</v>
      </c>
      <c r="C1716" s="2" t="s">
        <v>3728</v>
      </c>
      <c r="D1716" s="2"/>
      <c r="E1716" s="2" t="s">
        <v>48</v>
      </c>
      <c r="F1716" s="3" t="n">
        <v>8.4E-005</v>
      </c>
      <c r="G1716" s="3" t="n">
        <f aca="false">SUM($F$2:F1716)</f>
        <v>0.911728</v>
      </c>
      <c r="H1716" s="4"/>
      <c r="I1716" s="5"/>
      <c r="J1716" s="4"/>
      <c r="K1716" s="5"/>
      <c r="L1716" s="6"/>
      <c r="M1716" s="5" t="str">
        <f aca="false">IF(AND(N(K1716)&gt;0,N(L1716)&gt;0),K1716/L1716,"")</f>
        <v/>
      </c>
      <c r="N1716" s="2" t="s">
        <v>1226</v>
      </c>
    </row>
    <row r="1717" customFormat="false" ht="15" hidden="false" customHeight="false" outlineLevel="0" collapsed="false">
      <c r="A1717" s="2" t="n">
        <v>1716</v>
      </c>
      <c r="B1717" s="2" t="s">
        <v>3729</v>
      </c>
      <c r="C1717" s="2" t="s">
        <v>3730</v>
      </c>
      <c r="D1717" s="2"/>
      <c r="E1717" s="2" t="s">
        <v>334</v>
      </c>
      <c r="F1717" s="3" t="n">
        <v>8.4E-005</v>
      </c>
      <c r="G1717" s="3" t="n">
        <f aca="false">SUM($F$2:F1717)</f>
        <v>0.911812</v>
      </c>
      <c r="H1717" s="4"/>
      <c r="I1717" s="5"/>
      <c r="J1717" s="4"/>
      <c r="K1717" s="5"/>
      <c r="L1717" s="6"/>
      <c r="M1717" s="5" t="str">
        <f aca="false">IF(AND(N(K1717)&gt;0,N(L1717)&gt;0),K1717/L1717,"")</f>
        <v/>
      </c>
      <c r="N1717" s="2" t="s">
        <v>1226</v>
      </c>
    </row>
    <row r="1718" customFormat="false" ht="15" hidden="false" customHeight="false" outlineLevel="0" collapsed="false">
      <c r="A1718" s="2" t="n">
        <v>1717</v>
      </c>
      <c r="B1718" s="2" t="s">
        <v>3731</v>
      </c>
      <c r="C1718" s="2" t="s">
        <v>3732</v>
      </c>
      <c r="D1718" s="2"/>
      <c r="E1718" s="2" t="s">
        <v>539</v>
      </c>
      <c r="F1718" s="3" t="n">
        <v>8.4E-005</v>
      </c>
      <c r="G1718" s="3" t="n">
        <f aca="false">SUM($F$2:F1718)</f>
        <v>0.911896</v>
      </c>
      <c r="H1718" s="4"/>
      <c r="I1718" s="5"/>
      <c r="J1718" s="4"/>
      <c r="K1718" s="5"/>
      <c r="L1718" s="6"/>
      <c r="M1718" s="5" t="str">
        <f aca="false">IF(AND(N(K1718)&gt;0,N(L1718)&gt;0),K1718/L1718,"")</f>
        <v/>
      </c>
      <c r="N1718" s="2" t="s">
        <v>1226</v>
      </c>
    </row>
    <row r="1719" customFormat="false" ht="15" hidden="false" customHeight="false" outlineLevel="0" collapsed="false">
      <c r="A1719" s="2" t="n">
        <v>1718</v>
      </c>
      <c r="B1719" s="2" t="s">
        <v>3733</v>
      </c>
      <c r="C1719" s="2" t="s">
        <v>3734</v>
      </c>
      <c r="D1719" s="2"/>
      <c r="E1719" s="2" t="s">
        <v>52</v>
      </c>
      <c r="F1719" s="3" t="n">
        <v>8.4E-005</v>
      </c>
      <c r="G1719" s="3" t="n">
        <f aca="false">SUM($F$2:F1719)</f>
        <v>0.91198</v>
      </c>
      <c r="H1719" s="4"/>
      <c r="I1719" s="5"/>
      <c r="J1719" s="4"/>
      <c r="K1719" s="5"/>
      <c r="L1719" s="6"/>
      <c r="M1719" s="5" t="str">
        <f aca="false">IF(AND(N(K1719)&gt;0,N(L1719)&gt;0),K1719/L1719,"")</f>
        <v/>
      </c>
      <c r="N1719" s="2" t="s">
        <v>1226</v>
      </c>
    </row>
    <row r="1720" customFormat="false" ht="15" hidden="false" customHeight="false" outlineLevel="0" collapsed="false">
      <c r="A1720" s="2" t="n">
        <v>1719</v>
      </c>
      <c r="B1720" s="2" t="s">
        <v>3735</v>
      </c>
      <c r="C1720" s="2" t="s">
        <v>3736</v>
      </c>
      <c r="D1720" s="2"/>
      <c r="E1720" s="2" t="s">
        <v>289</v>
      </c>
      <c r="F1720" s="3" t="n">
        <v>8.4E-005</v>
      </c>
      <c r="G1720" s="3" t="n">
        <f aca="false">SUM($F$2:F1720)</f>
        <v>0.912064</v>
      </c>
      <c r="H1720" s="4"/>
      <c r="I1720" s="5"/>
      <c r="J1720" s="4"/>
      <c r="K1720" s="5"/>
      <c r="L1720" s="6"/>
      <c r="M1720" s="5" t="str">
        <f aca="false">IF(AND(N(K1720)&gt;0,N(L1720)&gt;0),K1720/L1720,"")</f>
        <v/>
      </c>
      <c r="N1720" s="2" t="s">
        <v>1226</v>
      </c>
    </row>
    <row r="1721" customFormat="false" ht="15" hidden="false" customHeight="false" outlineLevel="0" collapsed="false">
      <c r="A1721" s="2" t="n">
        <v>1720</v>
      </c>
      <c r="B1721" s="2" t="s">
        <v>3737</v>
      </c>
      <c r="C1721" s="2" t="s">
        <v>3738</v>
      </c>
      <c r="D1721" s="2"/>
      <c r="E1721" s="2" t="s">
        <v>17</v>
      </c>
      <c r="F1721" s="3" t="n">
        <v>8.3E-005</v>
      </c>
      <c r="G1721" s="3" t="n">
        <f aca="false">SUM($F$2:F1721)</f>
        <v>0.912147</v>
      </c>
      <c r="H1721" s="4"/>
      <c r="I1721" s="5"/>
      <c r="J1721" s="4"/>
      <c r="K1721" s="5"/>
      <c r="L1721" s="6"/>
      <c r="M1721" s="5" t="str">
        <f aca="false">IF(AND(N(K1721)&gt;0,N(L1721)&gt;0),K1721/L1721,"")</f>
        <v/>
      </c>
      <c r="N1721" s="2" t="s">
        <v>1226</v>
      </c>
    </row>
    <row r="1722" customFormat="false" ht="15" hidden="false" customHeight="false" outlineLevel="0" collapsed="false">
      <c r="A1722" s="2" t="n">
        <v>1721</v>
      </c>
      <c r="B1722" s="2" t="s">
        <v>3739</v>
      </c>
      <c r="C1722" s="2" t="s">
        <v>3740</v>
      </c>
      <c r="D1722" s="2"/>
      <c r="E1722" s="2" t="s">
        <v>48</v>
      </c>
      <c r="F1722" s="3" t="n">
        <v>8.3E-005</v>
      </c>
      <c r="G1722" s="3" t="n">
        <f aca="false">SUM($F$2:F1722)</f>
        <v>0.91223</v>
      </c>
      <c r="H1722" s="4"/>
      <c r="I1722" s="5"/>
      <c r="J1722" s="4"/>
      <c r="K1722" s="5"/>
      <c r="L1722" s="6"/>
      <c r="M1722" s="5" t="str">
        <f aca="false">IF(AND(N(K1722)&gt;0,N(L1722)&gt;0),K1722/L1722,"")</f>
        <v/>
      </c>
      <c r="N1722" s="2" t="s">
        <v>1226</v>
      </c>
    </row>
    <row r="1723" customFormat="false" ht="15" hidden="false" customHeight="false" outlineLevel="0" collapsed="false">
      <c r="A1723" s="2" t="n">
        <v>1722</v>
      </c>
      <c r="B1723" s="2" t="s">
        <v>3741</v>
      </c>
      <c r="C1723" s="2" t="s">
        <v>3742</v>
      </c>
      <c r="D1723" s="2"/>
      <c r="E1723" s="2" t="s">
        <v>52</v>
      </c>
      <c r="F1723" s="3" t="n">
        <v>8.3E-005</v>
      </c>
      <c r="G1723" s="3" t="n">
        <f aca="false">SUM($F$2:F1723)</f>
        <v>0.912313</v>
      </c>
      <c r="H1723" s="4"/>
      <c r="I1723" s="5"/>
      <c r="J1723" s="4"/>
      <c r="K1723" s="5"/>
      <c r="L1723" s="6"/>
      <c r="M1723" s="5" t="str">
        <f aca="false">IF(AND(N(K1723)&gt;0,N(L1723)&gt;0),K1723/L1723,"")</f>
        <v/>
      </c>
      <c r="N1723" s="2" t="s">
        <v>1226</v>
      </c>
    </row>
    <row r="1724" customFormat="false" ht="15" hidden="false" customHeight="false" outlineLevel="0" collapsed="false">
      <c r="A1724" s="2" t="n">
        <v>1723</v>
      </c>
      <c r="B1724" s="2" t="s">
        <v>3743</v>
      </c>
      <c r="C1724" s="2" t="s">
        <v>3744</v>
      </c>
      <c r="D1724" s="2"/>
      <c r="E1724" s="2" t="s">
        <v>52</v>
      </c>
      <c r="F1724" s="3" t="n">
        <v>8.3E-005</v>
      </c>
      <c r="G1724" s="3" t="n">
        <f aca="false">SUM($F$2:F1724)</f>
        <v>0.912396</v>
      </c>
      <c r="H1724" s="4"/>
      <c r="I1724" s="5"/>
      <c r="J1724" s="4"/>
      <c r="K1724" s="5"/>
      <c r="L1724" s="6"/>
      <c r="M1724" s="5" t="str">
        <f aca="false">IF(AND(N(K1724)&gt;0,N(L1724)&gt;0),K1724/L1724,"")</f>
        <v/>
      </c>
      <c r="N1724" s="2" t="s">
        <v>1226</v>
      </c>
    </row>
    <row r="1725" customFormat="false" ht="15" hidden="false" customHeight="false" outlineLevel="0" collapsed="false">
      <c r="A1725" s="2" t="n">
        <v>1724</v>
      </c>
      <c r="B1725" s="2" t="s">
        <v>3745</v>
      </c>
      <c r="C1725" s="2" t="s">
        <v>3746</v>
      </c>
      <c r="D1725" s="2"/>
      <c r="E1725" s="2" t="s">
        <v>48</v>
      </c>
      <c r="F1725" s="3" t="n">
        <v>8.3E-005</v>
      </c>
      <c r="G1725" s="3" t="n">
        <f aca="false">SUM($F$2:F1725)</f>
        <v>0.912479</v>
      </c>
      <c r="H1725" s="4"/>
      <c r="I1725" s="5"/>
      <c r="J1725" s="4"/>
      <c r="K1725" s="5"/>
      <c r="L1725" s="6"/>
      <c r="M1725" s="5" t="str">
        <f aca="false">IF(AND(N(K1725)&gt;0,N(L1725)&gt;0),K1725/L1725,"")</f>
        <v/>
      </c>
      <c r="N1725" s="2" t="s">
        <v>1226</v>
      </c>
    </row>
    <row r="1726" customFormat="false" ht="15" hidden="false" customHeight="false" outlineLevel="0" collapsed="false">
      <c r="A1726" s="2" t="n">
        <v>1725</v>
      </c>
      <c r="B1726" s="2" t="s">
        <v>3747</v>
      </c>
      <c r="C1726" s="2" t="s">
        <v>3748</v>
      </c>
      <c r="D1726" s="2"/>
      <c r="E1726" s="2" t="s">
        <v>1345</v>
      </c>
      <c r="F1726" s="3" t="n">
        <v>8.3E-005</v>
      </c>
      <c r="G1726" s="3" t="n">
        <f aca="false">SUM($F$2:F1726)</f>
        <v>0.912562</v>
      </c>
      <c r="H1726" s="4"/>
      <c r="I1726" s="5"/>
      <c r="J1726" s="4"/>
      <c r="K1726" s="5"/>
      <c r="L1726" s="6"/>
      <c r="M1726" s="5" t="str">
        <f aca="false">IF(AND(N(K1726)&gt;0,N(L1726)&gt;0),K1726/L1726,"")</f>
        <v/>
      </c>
      <c r="N1726" s="2" t="s">
        <v>1226</v>
      </c>
    </row>
    <row r="1727" customFormat="false" ht="15" hidden="false" customHeight="false" outlineLevel="0" collapsed="false">
      <c r="A1727" s="2" t="n">
        <v>1726</v>
      </c>
      <c r="B1727" s="2" t="s">
        <v>3749</v>
      </c>
      <c r="C1727" s="2" t="s">
        <v>3750</v>
      </c>
      <c r="D1727" s="2"/>
      <c r="E1727" s="2" t="s">
        <v>82</v>
      </c>
      <c r="F1727" s="3" t="n">
        <v>8.3E-005</v>
      </c>
      <c r="G1727" s="3" t="n">
        <f aca="false">SUM($F$2:F1727)</f>
        <v>0.912645</v>
      </c>
      <c r="H1727" s="4"/>
      <c r="I1727" s="5"/>
      <c r="J1727" s="4"/>
      <c r="K1727" s="5"/>
      <c r="L1727" s="6"/>
      <c r="M1727" s="5" t="str">
        <f aca="false">IF(AND(N(K1727)&gt;0,N(L1727)&gt;0),K1727/L1727,"")</f>
        <v/>
      </c>
      <c r="N1727" s="2" t="s">
        <v>1226</v>
      </c>
    </row>
    <row r="1728" customFormat="false" ht="15" hidden="false" customHeight="false" outlineLevel="0" collapsed="false">
      <c r="A1728" s="2" t="n">
        <v>1727</v>
      </c>
      <c r="B1728" s="2" t="s">
        <v>3751</v>
      </c>
      <c r="C1728" s="2" t="s">
        <v>3752</v>
      </c>
      <c r="D1728" s="2"/>
      <c r="E1728" s="2" t="s">
        <v>17</v>
      </c>
      <c r="F1728" s="3" t="n">
        <v>8.3E-005</v>
      </c>
      <c r="G1728" s="3" t="n">
        <f aca="false">SUM($F$2:F1728)</f>
        <v>0.912728</v>
      </c>
      <c r="H1728" s="4"/>
      <c r="I1728" s="5"/>
      <c r="J1728" s="4"/>
      <c r="K1728" s="5"/>
      <c r="L1728" s="6"/>
      <c r="M1728" s="5" t="str">
        <f aca="false">IF(AND(N(K1728)&gt;0,N(L1728)&gt;0),K1728/L1728,"")</f>
        <v/>
      </c>
      <c r="N1728" s="2" t="s">
        <v>1226</v>
      </c>
    </row>
    <row r="1729" customFormat="false" ht="15" hidden="false" customHeight="false" outlineLevel="0" collapsed="false">
      <c r="A1729" s="2" t="n">
        <v>1728</v>
      </c>
      <c r="B1729" s="2" t="s">
        <v>3753</v>
      </c>
      <c r="C1729" s="2" t="s">
        <v>3754</v>
      </c>
      <c r="D1729" s="2"/>
      <c r="E1729" s="2" t="s">
        <v>17</v>
      </c>
      <c r="F1729" s="3" t="n">
        <v>8.3E-005</v>
      </c>
      <c r="G1729" s="3" t="n">
        <f aca="false">SUM($F$2:F1729)</f>
        <v>0.912811</v>
      </c>
      <c r="H1729" s="4"/>
      <c r="I1729" s="5"/>
      <c r="J1729" s="4"/>
      <c r="K1729" s="5"/>
      <c r="L1729" s="6"/>
      <c r="M1729" s="5" t="str">
        <f aca="false">IF(AND(N(K1729)&gt;0,N(L1729)&gt;0),K1729/L1729,"")</f>
        <v/>
      </c>
      <c r="N1729" s="2" t="s">
        <v>1226</v>
      </c>
    </row>
    <row r="1730" customFormat="false" ht="15" hidden="false" customHeight="false" outlineLevel="0" collapsed="false">
      <c r="A1730" s="2" t="n">
        <v>1729</v>
      </c>
      <c r="B1730" s="2" t="s">
        <v>3755</v>
      </c>
      <c r="C1730" s="2" t="s">
        <v>3756</v>
      </c>
      <c r="D1730" s="2"/>
      <c r="E1730" s="2" t="s">
        <v>38</v>
      </c>
      <c r="F1730" s="3" t="n">
        <v>8.3E-005</v>
      </c>
      <c r="G1730" s="3" t="n">
        <f aca="false">SUM($F$2:F1730)</f>
        <v>0.912894</v>
      </c>
      <c r="H1730" s="4"/>
      <c r="I1730" s="5"/>
      <c r="J1730" s="4"/>
      <c r="K1730" s="5"/>
      <c r="L1730" s="6"/>
      <c r="M1730" s="5" t="str">
        <f aca="false">IF(AND(N(K1730)&gt;0,N(L1730)&gt;0),K1730/L1730,"")</f>
        <v/>
      </c>
      <c r="N1730" s="2" t="s">
        <v>1226</v>
      </c>
    </row>
    <row r="1731" customFormat="false" ht="15" hidden="false" customHeight="false" outlineLevel="0" collapsed="false">
      <c r="A1731" s="2" t="n">
        <v>1730</v>
      </c>
      <c r="B1731" s="2" t="s">
        <v>3757</v>
      </c>
      <c r="C1731" s="2" t="s">
        <v>3758</v>
      </c>
      <c r="D1731" s="2"/>
      <c r="E1731" s="2" t="s">
        <v>52</v>
      </c>
      <c r="F1731" s="3" t="n">
        <v>8.3E-005</v>
      </c>
      <c r="G1731" s="3" t="n">
        <f aca="false">SUM($F$2:F1731)</f>
        <v>0.912977</v>
      </c>
      <c r="H1731" s="4"/>
      <c r="I1731" s="5"/>
      <c r="J1731" s="4"/>
      <c r="K1731" s="5"/>
      <c r="L1731" s="6"/>
      <c r="M1731" s="5" t="str">
        <f aca="false">IF(AND(N(K1731)&gt;0,N(L1731)&gt;0),K1731/L1731,"")</f>
        <v/>
      </c>
      <c r="N1731" s="2" t="s">
        <v>1226</v>
      </c>
    </row>
    <row r="1732" customFormat="false" ht="15" hidden="false" customHeight="false" outlineLevel="0" collapsed="false">
      <c r="A1732" s="2" t="n">
        <v>1731</v>
      </c>
      <c r="B1732" s="2" t="s">
        <v>3759</v>
      </c>
      <c r="C1732" s="2" t="s">
        <v>3760</v>
      </c>
      <c r="D1732" s="2"/>
      <c r="E1732" s="2" t="s">
        <v>43</v>
      </c>
      <c r="F1732" s="3" t="n">
        <v>8.3E-005</v>
      </c>
      <c r="G1732" s="3" t="n">
        <f aca="false">SUM($F$2:F1732)</f>
        <v>0.91306</v>
      </c>
      <c r="H1732" s="4"/>
      <c r="I1732" s="5"/>
      <c r="J1732" s="4"/>
      <c r="K1732" s="5"/>
      <c r="L1732" s="6"/>
      <c r="M1732" s="5" t="str">
        <f aca="false">IF(AND(N(K1732)&gt;0,N(L1732)&gt;0),K1732/L1732,"")</f>
        <v/>
      </c>
      <c r="N1732" s="2" t="s">
        <v>1226</v>
      </c>
    </row>
    <row r="1733" customFormat="false" ht="15" hidden="false" customHeight="false" outlineLevel="0" collapsed="false">
      <c r="A1733" s="2" t="n">
        <v>1732</v>
      </c>
      <c r="B1733" s="2" t="s">
        <v>3761</v>
      </c>
      <c r="C1733" s="2" t="s">
        <v>3762</v>
      </c>
      <c r="D1733" s="2"/>
      <c r="E1733" s="2" t="s">
        <v>289</v>
      </c>
      <c r="F1733" s="3" t="n">
        <v>8.3E-005</v>
      </c>
      <c r="G1733" s="3" t="n">
        <f aca="false">SUM($F$2:F1733)</f>
        <v>0.913143</v>
      </c>
      <c r="H1733" s="4"/>
      <c r="I1733" s="5"/>
      <c r="J1733" s="4"/>
      <c r="K1733" s="5"/>
      <c r="L1733" s="6"/>
      <c r="M1733" s="5" t="str">
        <f aca="false">IF(AND(N(K1733)&gt;0,N(L1733)&gt;0),K1733/L1733,"")</f>
        <v/>
      </c>
      <c r="N1733" s="2" t="s">
        <v>1226</v>
      </c>
    </row>
    <row r="1734" customFormat="false" ht="15" hidden="false" customHeight="false" outlineLevel="0" collapsed="false">
      <c r="A1734" s="2" t="n">
        <v>1733</v>
      </c>
      <c r="B1734" s="2" t="s">
        <v>3763</v>
      </c>
      <c r="C1734" s="2" t="s">
        <v>3764</v>
      </c>
      <c r="D1734" s="2"/>
      <c r="E1734" s="2" t="s">
        <v>82</v>
      </c>
      <c r="F1734" s="3" t="n">
        <v>8.3E-005</v>
      </c>
      <c r="G1734" s="3" t="n">
        <f aca="false">SUM($F$2:F1734)</f>
        <v>0.913226</v>
      </c>
      <c r="H1734" s="4"/>
      <c r="I1734" s="5"/>
      <c r="J1734" s="4"/>
      <c r="K1734" s="5"/>
      <c r="L1734" s="6"/>
      <c r="M1734" s="5" t="str">
        <f aca="false">IF(AND(N(K1734)&gt;0,N(L1734)&gt;0),K1734/L1734,"")</f>
        <v/>
      </c>
      <c r="N1734" s="2" t="s">
        <v>1226</v>
      </c>
    </row>
    <row r="1735" customFormat="false" ht="15" hidden="false" customHeight="false" outlineLevel="0" collapsed="false">
      <c r="A1735" s="2" t="n">
        <v>1734</v>
      </c>
      <c r="B1735" s="2" t="s">
        <v>3765</v>
      </c>
      <c r="C1735" s="2" t="s">
        <v>3766</v>
      </c>
      <c r="D1735" s="2"/>
      <c r="E1735" s="2" t="s">
        <v>29</v>
      </c>
      <c r="F1735" s="3" t="n">
        <v>8.3E-005</v>
      </c>
      <c r="G1735" s="3" t="n">
        <f aca="false">SUM($F$2:F1735)</f>
        <v>0.913309</v>
      </c>
      <c r="H1735" s="4"/>
      <c r="I1735" s="5"/>
      <c r="J1735" s="4"/>
      <c r="K1735" s="5"/>
      <c r="L1735" s="6"/>
      <c r="M1735" s="5" t="str">
        <f aca="false">IF(AND(N(K1735)&gt;0,N(L1735)&gt;0),K1735/L1735,"")</f>
        <v/>
      </c>
      <c r="N1735" s="2" t="s">
        <v>1226</v>
      </c>
    </row>
    <row r="1736" customFormat="false" ht="15" hidden="false" customHeight="false" outlineLevel="0" collapsed="false">
      <c r="A1736" s="2" t="n">
        <v>1735</v>
      </c>
      <c r="B1736" s="2" t="s">
        <v>3767</v>
      </c>
      <c r="C1736" s="2" t="s">
        <v>3768</v>
      </c>
      <c r="D1736" s="2"/>
      <c r="E1736" s="2" t="s">
        <v>52</v>
      </c>
      <c r="F1736" s="3" t="n">
        <v>8.3E-005</v>
      </c>
      <c r="G1736" s="3" t="n">
        <f aca="false">SUM($F$2:F1736)</f>
        <v>0.913392</v>
      </c>
      <c r="H1736" s="4"/>
      <c r="I1736" s="5"/>
      <c r="J1736" s="4"/>
      <c r="K1736" s="5"/>
      <c r="L1736" s="6"/>
      <c r="M1736" s="5" t="str">
        <f aca="false">IF(AND(N(K1736)&gt;0,N(L1736)&gt;0),K1736/L1736,"")</f>
        <v/>
      </c>
      <c r="N1736" s="2" t="s">
        <v>1226</v>
      </c>
    </row>
    <row r="1737" customFormat="false" ht="15" hidden="false" customHeight="false" outlineLevel="0" collapsed="false">
      <c r="A1737" s="2" t="n">
        <v>1736</v>
      </c>
      <c r="B1737" s="2" t="s">
        <v>3769</v>
      </c>
      <c r="C1737" s="2" t="s">
        <v>3770</v>
      </c>
      <c r="D1737" s="2"/>
      <c r="E1737" s="2" t="s">
        <v>82</v>
      </c>
      <c r="F1737" s="3" t="n">
        <v>8.2E-005</v>
      </c>
      <c r="G1737" s="3" t="n">
        <f aca="false">SUM($F$2:F1737)</f>
        <v>0.913474</v>
      </c>
      <c r="H1737" s="4"/>
      <c r="I1737" s="5"/>
      <c r="J1737" s="4"/>
      <c r="K1737" s="5"/>
      <c r="L1737" s="6"/>
      <c r="M1737" s="5" t="str">
        <f aca="false">IF(AND(N(K1737)&gt;0,N(L1737)&gt;0),K1737/L1737,"")</f>
        <v/>
      </c>
      <c r="N1737" s="2" t="s">
        <v>1226</v>
      </c>
    </row>
    <row r="1738" customFormat="false" ht="15" hidden="false" customHeight="false" outlineLevel="0" collapsed="false">
      <c r="A1738" s="2" t="n">
        <v>1737</v>
      </c>
      <c r="B1738" s="2" t="s">
        <v>3771</v>
      </c>
      <c r="C1738" s="2" t="s">
        <v>3772</v>
      </c>
      <c r="D1738" s="2"/>
      <c r="E1738" s="2" t="s">
        <v>43</v>
      </c>
      <c r="F1738" s="3" t="n">
        <v>8.2E-005</v>
      </c>
      <c r="G1738" s="3" t="n">
        <f aca="false">SUM($F$2:F1738)</f>
        <v>0.913556</v>
      </c>
      <c r="H1738" s="4"/>
      <c r="I1738" s="5"/>
      <c r="J1738" s="4"/>
      <c r="K1738" s="5"/>
      <c r="L1738" s="6"/>
      <c r="M1738" s="5" t="str">
        <f aca="false">IF(AND(N(K1738)&gt;0,N(L1738)&gt;0),K1738/L1738,"")</f>
        <v/>
      </c>
      <c r="N1738" s="2" t="s">
        <v>1226</v>
      </c>
    </row>
    <row r="1739" customFormat="false" ht="15" hidden="false" customHeight="false" outlineLevel="0" collapsed="false">
      <c r="A1739" s="2" t="n">
        <v>1738</v>
      </c>
      <c r="B1739" s="2" t="s">
        <v>3773</v>
      </c>
      <c r="C1739" s="2" t="s">
        <v>3774</v>
      </c>
      <c r="D1739" s="2"/>
      <c r="E1739" s="2" t="s">
        <v>1019</v>
      </c>
      <c r="F1739" s="3" t="n">
        <v>8.2E-005</v>
      </c>
      <c r="G1739" s="3" t="n">
        <f aca="false">SUM($F$2:F1739)</f>
        <v>0.913638</v>
      </c>
      <c r="H1739" s="4"/>
      <c r="I1739" s="5"/>
      <c r="J1739" s="4"/>
      <c r="K1739" s="5"/>
      <c r="L1739" s="6"/>
      <c r="M1739" s="5" t="str">
        <f aca="false">IF(AND(N(K1739)&gt;0,N(L1739)&gt;0),K1739/L1739,"")</f>
        <v/>
      </c>
      <c r="N1739" s="2" t="s">
        <v>1226</v>
      </c>
    </row>
    <row r="1740" customFormat="false" ht="15" hidden="false" customHeight="false" outlineLevel="0" collapsed="false">
      <c r="A1740" s="2" t="n">
        <v>1739</v>
      </c>
      <c r="B1740" s="2" t="s">
        <v>3775</v>
      </c>
      <c r="C1740" s="2" t="s">
        <v>3776</v>
      </c>
      <c r="D1740" s="2"/>
      <c r="E1740" s="2" t="s">
        <v>43</v>
      </c>
      <c r="F1740" s="3" t="n">
        <v>8.2E-005</v>
      </c>
      <c r="G1740" s="3" t="n">
        <f aca="false">SUM($F$2:F1740)</f>
        <v>0.91372</v>
      </c>
      <c r="H1740" s="4"/>
      <c r="I1740" s="5"/>
      <c r="J1740" s="4"/>
      <c r="K1740" s="5"/>
      <c r="L1740" s="6"/>
      <c r="M1740" s="5" t="str">
        <f aca="false">IF(AND(N(K1740)&gt;0,N(L1740)&gt;0),K1740/L1740,"")</f>
        <v/>
      </c>
      <c r="N1740" s="2" t="s">
        <v>1226</v>
      </c>
    </row>
    <row r="1741" customFormat="false" ht="15" hidden="false" customHeight="false" outlineLevel="0" collapsed="false">
      <c r="A1741" s="2" t="n">
        <v>1740</v>
      </c>
      <c r="B1741" s="2" t="s">
        <v>3777</v>
      </c>
      <c r="C1741" s="2" t="s">
        <v>3778</v>
      </c>
      <c r="D1741" s="2"/>
      <c r="E1741" s="2" t="s">
        <v>173</v>
      </c>
      <c r="F1741" s="3" t="n">
        <v>8.2E-005</v>
      </c>
      <c r="G1741" s="3" t="n">
        <f aca="false">SUM($F$2:F1741)</f>
        <v>0.913802</v>
      </c>
      <c r="H1741" s="4"/>
      <c r="I1741" s="5"/>
      <c r="J1741" s="4"/>
      <c r="K1741" s="5"/>
      <c r="L1741" s="6"/>
      <c r="M1741" s="5" t="str">
        <f aca="false">IF(AND(N(K1741)&gt;0,N(L1741)&gt;0),K1741/L1741,"")</f>
        <v/>
      </c>
      <c r="N1741" s="2" t="s">
        <v>1226</v>
      </c>
    </row>
    <row r="1742" customFormat="false" ht="15" hidden="false" customHeight="false" outlineLevel="0" collapsed="false">
      <c r="A1742" s="2" t="n">
        <v>1741</v>
      </c>
      <c r="B1742" s="2" t="s">
        <v>3779</v>
      </c>
      <c r="C1742" s="2" t="s">
        <v>3780</v>
      </c>
      <c r="D1742" s="2"/>
      <c r="E1742" s="2" t="s">
        <v>43</v>
      </c>
      <c r="F1742" s="3" t="n">
        <v>8.2E-005</v>
      </c>
      <c r="G1742" s="3" t="n">
        <f aca="false">SUM($F$2:F1742)</f>
        <v>0.913884</v>
      </c>
      <c r="H1742" s="4"/>
      <c r="I1742" s="5"/>
      <c r="J1742" s="4"/>
      <c r="K1742" s="5"/>
      <c r="L1742" s="6"/>
      <c r="M1742" s="5" t="str">
        <f aca="false">IF(AND(N(K1742)&gt;0,N(L1742)&gt;0),K1742/L1742,"")</f>
        <v/>
      </c>
      <c r="N1742" s="2" t="s">
        <v>1226</v>
      </c>
    </row>
    <row r="1743" customFormat="false" ht="15" hidden="false" customHeight="false" outlineLevel="0" collapsed="false">
      <c r="A1743" s="2" t="n">
        <v>1742</v>
      </c>
      <c r="B1743" s="2" t="s">
        <v>3781</v>
      </c>
      <c r="C1743" s="2" t="s">
        <v>3782</v>
      </c>
      <c r="D1743" s="2"/>
      <c r="E1743" s="2" t="s">
        <v>860</v>
      </c>
      <c r="F1743" s="3" t="n">
        <v>8.2E-005</v>
      </c>
      <c r="G1743" s="3" t="n">
        <f aca="false">SUM($F$2:F1743)</f>
        <v>0.913966</v>
      </c>
      <c r="H1743" s="4"/>
      <c r="I1743" s="5"/>
      <c r="J1743" s="4"/>
      <c r="K1743" s="5"/>
      <c r="L1743" s="6"/>
      <c r="M1743" s="5" t="str">
        <f aca="false">IF(AND(N(K1743)&gt;0,N(L1743)&gt;0),K1743/L1743,"")</f>
        <v/>
      </c>
      <c r="N1743" s="2" t="s">
        <v>1226</v>
      </c>
    </row>
    <row r="1744" customFormat="false" ht="15" hidden="false" customHeight="false" outlineLevel="0" collapsed="false">
      <c r="A1744" s="2" t="n">
        <v>1743</v>
      </c>
      <c r="B1744" s="2" t="s">
        <v>3783</v>
      </c>
      <c r="C1744" s="2" t="s">
        <v>3784</v>
      </c>
      <c r="D1744" s="2"/>
      <c r="E1744" s="2" t="s">
        <v>700</v>
      </c>
      <c r="F1744" s="3" t="n">
        <v>8.2E-005</v>
      </c>
      <c r="G1744" s="3" t="n">
        <f aca="false">SUM($F$2:F1744)</f>
        <v>0.914048</v>
      </c>
      <c r="H1744" s="4"/>
      <c r="I1744" s="5"/>
      <c r="J1744" s="4"/>
      <c r="K1744" s="5"/>
      <c r="L1744" s="6"/>
      <c r="M1744" s="5" t="str">
        <f aca="false">IF(AND(N(K1744)&gt;0,N(L1744)&gt;0),K1744/L1744,"")</f>
        <v/>
      </c>
      <c r="N1744" s="2" t="s">
        <v>1226</v>
      </c>
    </row>
    <row r="1745" customFormat="false" ht="15" hidden="false" customHeight="false" outlineLevel="0" collapsed="false">
      <c r="A1745" s="2" t="n">
        <v>1744</v>
      </c>
      <c r="B1745" s="2" t="s">
        <v>3785</v>
      </c>
      <c r="C1745" s="2" t="s">
        <v>3786</v>
      </c>
      <c r="D1745" s="2"/>
      <c r="E1745" s="2" t="s">
        <v>33</v>
      </c>
      <c r="F1745" s="3" t="n">
        <v>8.2E-005</v>
      </c>
      <c r="G1745" s="3" t="n">
        <f aca="false">SUM($F$2:F1745)</f>
        <v>0.91413</v>
      </c>
      <c r="H1745" s="4"/>
      <c r="I1745" s="5"/>
      <c r="J1745" s="4"/>
      <c r="K1745" s="5"/>
      <c r="L1745" s="6"/>
      <c r="M1745" s="5" t="str">
        <f aca="false">IF(AND(N(K1745)&gt;0,N(L1745)&gt;0),K1745/L1745,"")</f>
        <v/>
      </c>
      <c r="N1745" s="2" t="s">
        <v>1226</v>
      </c>
    </row>
    <row r="1746" customFormat="false" ht="15" hidden="false" customHeight="false" outlineLevel="0" collapsed="false">
      <c r="A1746" s="2" t="n">
        <v>1745</v>
      </c>
      <c r="B1746" s="2" t="s">
        <v>3787</v>
      </c>
      <c r="C1746" s="2" t="s">
        <v>3788</v>
      </c>
      <c r="D1746" s="2"/>
      <c r="E1746" s="2" t="s">
        <v>48</v>
      </c>
      <c r="F1746" s="3" t="n">
        <v>8.2E-005</v>
      </c>
      <c r="G1746" s="3" t="n">
        <f aca="false">SUM($F$2:F1746)</f>
        <v>0.914212</v>
      </c>
      <c r="H1746" s="4"/>
      <c r="I1746" s="5"/>
      <c r="J1746" s="4"/>
      <c r="K1746" s="5"/>
      <c r="L1746" s="6"/>
      <c r="M1746" s="5" t="str">
        <f aca="false">IF(AND(N(K1746)&gt;0,N(L1746)&gt;0),K1746/L1746,"")</f>
        <v/>
      </c>
      <c r="N1746" s="2" t="s">
        <v>1226</v>
      </c>
    </row>
    <row r="1747" customFormat="false" ht="15" hidden="false" customHeight="false" outlineLevel="0" collapsed="false">
      <c r="A1747" s="2" t="n">
        <v>1746</v>
      </c>
      <c r="B1747" s="2" t="s">
        <v>3789</v>
      </c>
      <c r="C1747" s="2" t="s">
        <v>3790</v>
      </c>
      <c r="D1747" s="2"/>
      <c r="E1747" s="2" t="s">
        <v>82</v>
      </c>
      <c r="F1747" s="3" t="n">
        <v>8.1E-005</v>
      </c>
      <c r="G1747" s="3" t="n">
        <f aca="false">SUM($F$2:F1747)</f>
        <v>0.914293</v>
      </c>
      <c r="H1747" s="4"/>
      <c r="I1747" s="5"/>
      <c r="J1747" s="4"/>
      <c r="K1747" s="5"/>
      <c r="L1747" s="6"/>
      <c r="M1747" s="5" t="str">
        <f aca="false">IF(AND(N(K1747)&gt;0,N(L1747)&gt;0),K1747/L1747,"")</f>
        <v/>
      </c>
      <c r="N1747" s="2" t="s">
        <v>1226</v>
      </c>
    </row>
    <row r="1748" customFormat="false" ht="15" hidden="false" customHeight="false" outlineLevel="0" collapsed="false">
      <c r="A1748" s="2" t="n">
        <v>1747</v>
      </c>
      <c r="B1748" s="2" t="s">
        <v>3791</v>
      </c>
      <c r="C1748" s="2" t="s">
        <v>3792</v>
      </c>
      <c r="D1748" s="2"/>
      <c r="E1748" s="2" t="s">
        <v>43</v>
      </c>
      <c r="F1748" s="3" t="n">
        <v>8.1E-005</v>
      </c>
      <c r="G1748" s="3" t="n">
        <f aca="false">SUM($F$2:F1748)</f>
        <v>0.914374</v>
      </c>
      <c r="H1748" s="4"/>
      <c r="I1748" s="5"/>
      <c r="J1748" s="4"/>
      <c r="K1748" s="5"/>
      <c r="L1748" s="6"/>
      <c r="M1748" s="5" t="str">
        <f aca="false">IF(AND(N(K1748)&gt;0,N(L1748)&gt;0),K1748/L1748,"")</f>
        <v/>
      </c>
      <c r="N1748" s="2" t="s">
        <v>1226</v>
      </c>
    </row>
    <row r="1749" customFormat="false" ht="15" hidden="false" customHeight="false" outlineLevel="0" collapsed="false">
      <c r="A1749" s="2" t="n">
        <v>1748</v>
      </c>
      <c r="B1749" s="2" t="s">
        <v>3793</v>
      </c>
      <c r="C1749" s="2" t="s">
        <v>3794</v>
      </c>
      <c r="D1749" s="2"/>
      <c r="E1749" s="2" t="s">
        <v>33</v>
      </c>
      <c r="F1749" s="3" t="n">
        <v>8.1E-005</v>
      </c>
      <c r="G1749" s="3" t="n">
        <f aca="false">SUM($F$2:F1749)</f>
        <v>0.914455</v>
      </c>
      <c r="H1749" s="4"/>
      <c r="I1749" s="5"/>
      <c r="J1749" s="4"/>
      <c r="K1749" s="5"/>
      <c r="L1749" s="6"/>
      <c r="M1749" s="5" t="str">
        <f aca="false">IF(AND(N(K1749)&gt;0,N(L1749)&gt;0),K1749/L1749,"")</f>
        <v/>
      </c>
      <c r="N1749" s="2" t="s">
        <v>1226</v>
      </c>
    </row>
    <row r="1750" customFormat="false" ht="15" hidden="false" customHeight="false" outlineLevel="0" collapsed="false">
      <c r="A1750" s="2" t="n">
        <v>1749</v>
      </c>
      <c r="B1750" s="2" t="s">
        <v>3795</v>
      </c>
      <c r="C1750" s="2" t="s">
        <v>3796</v>
      </c>
      <c r="D1750" s="2"/>
      <c r="E1750" s="2" t="s">
        <v>17</v>
      </c>
      <c r="F1750" s="3" t="n">
        <v>8.1E-005</v>
      </c>
      <c r="G1750" s="3" t="n">
        <f aca="false">SUM($F$2:F1750)</f>
        <v>0.914536</v>
      </c>
      <c r="H1750" s="4"/>
      <c r="I1750" s="5"/>
      <c r="J1750" s="4"/>
      <c r="K1750" s="5"/>
      <c r="L1750" s="6"/>
      <c r="M1750" s="5" t="str">
        <f aca="false">IF(AND(N(K1750)&gt;0,N(L1750)&gt;0),K1750/L1750,"")</f>
        <v/>
      </c>
      <c r="N1750" s="2" t="s">
        <v>1226</v>
      </c>
    </row>
    <row r="1751" customFormat="false" ht="15" hidden="false" customHeight="false" outlineLevel="0" collapsed="false">
      <c r="A1751" s="2" t="n">
        <v>1750</v>
      </c>
      <c r="B1751" s="2" t="s">
        <v>3797</v>
      </c>
      <c r="C1751" s="2" t="s">
        <v>3798</v>
      </c>
      <c r="D1751" s="2"/>
      <c r="E1751" s="2" t="s">
        <v>679</v>
      </c>
      <c r="F1751" s="3" t="n">
        <v>8.1E-005</v>
      </c>
      <c r="G1751" s="3" t="n">
        <f aca="false">SUM($F$2:F1751)</f>
        <v>0.914617</v>
      </c>
      <c r="H1751" s="4"/>
      <c r="I1751" s="5"/>
      <c r="J1751" s="4"/>
      <c r="K1751" s="5"/>
      <c r="L1751" s="6"/>
      <c r="M1751" s="5" t="str">
        <f aca="false">IF(AND(N(K1751)&gt;0,N(L1751)&gt;0),K1751/L1751,"")</f>
        <v/>
      </c>
      <c r="N1751" s="2" t="s">
        <v>1226</v>
      </c>
    </row>
    <row r="1752" customFormat="false" ht="15" hidden="false" customHeight="false" outlineLevel="0" collapsed="false">
      <c r="A1752" s="2" t="n">
        <v>1751</v>
      </c>
      <c r="B1752" s="2" t="s">
        <v>3799</v>
      </c>
      <c r="C1752" s="2" t="s">
        <v>3800</v>
      </c>
      <c r="D1752" s="2"/>
      <c r="E1752" s="2" t="s">
        <v>29</v>
      </c>
      <c r="F1752" s="3" t="n">
        <v>8.1E-005</v>
      </c>
      <c r="G1752" s="3" t="n">
        <f aca="false">SUM($F$2:F1752)</f>
        <v>0.914698</v>
      </c>
      <c r="H1752" s="4"/>
      <c r="I1752" s="5"/>
      <c r="J1752" s="4"/>
      <c r="K1752" s="5"/>
      <c r="L1752" s="6"/>
      <c r="M1752" s="5" t="str">
        <f aca="false">IF(AND(N(K1752)&gt;0,N(L1752)&gt;0),K1752/L1752,"")</f>
        <v/>
      </c>
      <c r="N1752" s="2" t="s">
        <v>1226</v>
      </c>
    </row>
    <row r="1753" customFormat="false" ht="15" hidden="false" customHeight="false" outlineLevel="0" collapsed="false">
      <c r="A1753" s="2" t="n">
        <v>1752</v>
      </c>
      <c r="B1753" s="2" t="s">
        <v>3801</v>
      </c>
      <c r="C1753" s="2" t="s">
        <v>3802</v>
      </c>
      <c r="D1753" s="2"/>
      <c r="E1753" s="2" t="s">
        <v>52</v>
      </c>
      <c r="F1753" s="3" t="n">
        <v>8.1E-005</v>
      </c>
      <c r="G1753" s="3" t="n">
        <f aca="false">SUM($F$2:F1753)</f>
        <v>0.914779</v>
      </c>
      <c r="H1753" s="4"/>
      <c r="I1753" s="5"/>
      <c r="J1753" s="4"/>
      <c r="K1753" s="5"/>
      <c r="L1753" s="6"/>
      <c r="M1753" s="5" t="str">
        <f aca="false">IF(AND(N(K1753)&gt;0,N(L1753)&gt;0),K1753/L1753,"")</f>
        <v/>
      </c>
      <c r="N1753" s="2" t="s">
        <v>1226</v>
      </c>
    </row>
    <row r="1754" customFormat="false" ht="15" hidden="false" customHeight="false" outlineLevel="0" collapsed="false">
      <c r="A1754" s="2" t="n">
        <v>1753</v>
      </c>
      <c r="B1754" s="2" t="s">
        <v>3803</v>
      </c>
      <c r="C1754" s="2" t="s">
        <v>3804</v>
      </c>
      <c r="D1754" s="2"/>
      <c r="E1754" s="2" t="s">
        <v>33</v>
      </c>
      <c r="F1754" s="3" t="n">
        <v>8.1E-005</v>
      </c>
      <c r="G1754" s="3" t="n">
        <f aca="false">SUM($F$2:F1754)</f>
        <v>0.91486</v>
      </c>
      <c r="H1754" s="4"/>
      <c r="I1754" s="5"/>
      <c r="J1754" s="4"/>
      <c r="K1754" s="5"/>
      <c r="L1754" s="6"/>
      <c r="M1754" s="5" t="str">
        <f aca="false">IF(AND(N(K1754)&gt;0,N(L1754)&gt;0),K1754/L1754,"")</f>
        <v/>
      </c>
      <c r="N1754" s="2" t="s">
        <v>1226</v>
      </c>
    </row>
    <row r="1755" customFormat="false" ht="15" hidden="false" customHeight="false" outlineLevel="0" collapsed="false">
      <c r="A1755" s="2" t="n">
        <v>1754</v>
      </c>
      <c r="B1755" s="2" t="s">
        <v>3805</v>
      </c>
      <c r="C1755" s="2" t="s">
        <v>3806</v>
      </c>
      <c r="D1755" s="2"/>
      <c r="E1755" s="2" t="s">
        <v>38</v>
      </c>
      <c r="F1755" s="3" t="n">
        <v>8.1E-005</v>
      </c>
      <c r="G1755" s="3" t="n">
        <f aca="false">SUM($F$2:F1755)</f>
        <v>0.914941</v>
      </c>
      <c r="H1755" s="4"/>
      <c r="I1755" s="5"/>
      <c r="J1755" s="4"/>
      <c r="K1755" s="5"/>
      <c r="L1755" s="6"/>
      <c r="M1755" s="5" t="str">
        <f aca="false">IF(AND(N(K1755)&gt;0,N(L1755)&gt;0),K1755/L1755,"")</f>
        <v/>
      </c>
      <c r="N1755" s="2" t="s">
        <v>1226</v>
      </c>
    </row>
    <row r="1756" customFormat="false" ht="15" hidden="false" customHeight="false" outlineLevel="0" collapsed="false">
      <c r="A1756" s="2" t="n">
        <v>1755</v>
      </c>
      <c r="B1756" s="2" t="s">
        <v>3807</v>
      </c>
      <c r="C1756" s="2" t="s">
        <v>3808</v>
      </c>
      <c r="D1756" s="2"/>
      <c r="E1756" s="2" t="s">
        <v>289</v>
      </c>
      <c r="F1756" s="3" t="n">
        <v>8E-005</v>
      </c>
      <c r="G1756" s="3" t="n">
        <f aca="false">SUM($F$2:F1756)</f>
        <v>0.915021</v>
      </c>
      <c r="H1756" s="4"/>
      <c r="I1756" s="5"/>
      <c r="J1756" s="4"/>
      <c r="K1756" s="5"/>
      <c r="L1756" s="6"/>
      <c r="M1756" s="5" t="str">
        <f aca="false">IF(AND(N(K1756)&gt;0,N(L1756)&gt;0),K1756/L1756,"")</f>
        <v/>
      </c>
      <c r="N1756" s="2" t="s">
        <v>1226</v>
      </c>
    </row>
    <row r="1757" customFormat="false" ht="15" hidden="false" customHeight="false" outlineLevel="0" collapsed="false">
      <c r="A1757" s="2" t="n">
        <v>1756</v>
      </c>
      <c r="B1757" s="2" t="s">
        <v>3809</v>
      </c>
      <c r="C1757" s="2" t="s">
        <v>3810</v>
      </c>
      <c r="D1757" s="2"/>
      <c r="E1757" s="2" t="s">
        <v>29</v>
      </c>
      <c r="F1757" s="3" t="n">
        <v>8E-005</v>
      </c>
      <c r="G1757" s="3" t="n">
        <f aca="false">SUM($F$2:F1757)</f>
        <v>0.915101</v>
      </c>
      <c r="H1757" s="4"/>
      <c r="I1757" s="5"/>
      <c r="J1757" s="4"/>
      <c r="K1757" s="5"/>
      <c r="L1757" s="6"/>
      <c r="M1757" s="5" t="str">
        <f aca="false">IF(AND(N(K1757)&gt;0,N(L1757)&gt;0),K1757/L1757,"")</f>
        <v/>
      </c>
      <c r="N1757" s="2" t="s">
        <v>1226</v>
      </c>
    </row>
    <row r="1758" customFormat="false" ht="15" hidden="false" customHeight="false" outlineLevel="0" collapsed="false">
      <c r="A1758" s="2" t="n">
        <v>1757</v>
      </c>
      <c r="B1758" s="2" t="s">
        <v>3811</v>
      </c>
      <c r="C1758" s="2" t="s">
        <v>3812</v>
      </c>
      <c r="D1758" s="2"/>
      <c r="E1758" s="2" t="s">
        <v>2055</v>
      </c>
      <c r="F1758" s="3" t="n">
        <v>8E-005</v>
      </c>
      <c r="G1758" s="3" t="n">
        <f aca="false">SUM($F$2:F1758)</f>
        <v>0.915181</v>
      </c>
      <c r="H1758" s="4"/>
      <c r="I1758" s="5"/>
      <c r="J1758" s="4"/>
      <c r="K1758" s="5"/>
      <c r="L1758" s="6"/>
      <c r="M1758" s="5" t="str">
        <f aca="false">IF(AND(N(K1758)&gt;0,N(L1758)&gt;0),K1758/L1758,"")</f>
        <v/>
      </c>
      <c r="N1758" s="2" t="s">
        <v>1226</v>
      </c>
    </row>
    <row r="1759" customFormat="false" ht="15" hidden="false" customHeight="false" outlineLevel="0" collapsed="false">
      <c r="A1759" s="2" t="n">
        <v>1758</v>
      </c>
      <c r="B1759" s="2" t="s">
        <v>3813</v>
      </c>
      <c r="C1759" s="2" t="s">
        <v>3814</v>
      </c>
      <c r="D1759" s="2"/>
      <c r="E1759" s="2" t="s">
        <v>52</v>
      </c>
      <c r="F1759" s="3" t="n">
        <v>8E-005</v>
      </c>
      <c r="G1759" s="3" t="n">
        <f aca="false">SUM($F$2:F1759)</f>
        <v>0.915261</v>
      </c>
      <c r="H1759" s="4"/>
      <c r="I1759" s="5"/>
      <c r="J1759" s="4"/>
      <c r="K1759" s="5"/>
      <c r="L1759" s="6"/>
      <c r="M1759" s="5" t="str">
        <f aca="false">IF(AND(N(K1759)&gt;0,N(L1759)&gt;0),K1759/L1759,"")</f>
        <v/>
      </c>
      <c r="N1759" s="2" t="s">
        <v>1226</v>
      </c>
    </row>
    <row r="1760" customFormat="false" ht="15" hidden="false" customHeight="false" outlineLevel="0" collapsed="false">
      <c r="A1760" s="2" t="n">
        <v>1759</v>
      </c>
      <c r="B1760" s="2" t="s">
        <v>3815</v>
      </c>
      <c r="C1760" s="2" t="s">
        <v>3816</v>
      </c>
      <c r="D1760" s="2"/>
      <c r="E1760" s="2" t="s">
        <v>167</v>
      </c>
      <c r="F1760" s="3" t="n">
        <v>8E-005</v>
      </c>
      <c r="G1760" s="3" t="n">
        <f aca="false">SUM($F$2:F1760)</f>
        <v>0.915341</v>
      </c>
      <c r="H1760" s="4"/>
      <c r="I1760" s="5"/>
      <c r="J1760" s="4"/>
      <c r="K1760" s="5"/>
      <c r="L1760" s="6"/>
      <c r="M1760" s="5" t="str">
        <f aca="false">IF(AND(N(K1760)&gt;0,N(L1760)&gt;0),K1760/L1760,"")</f>
        <v/>
      </c>
      <c r="N1760" s="2" t="s">
        <v>1226</v>
      </c>
    </row>
    <row r="1761" customFormat="false" ht="15" hidden="false" customHeight="false" outlineLevel="0" collapsed="false">
      <c r="A1761" s="2" t="n">
        <v>1760</v>
      </c>
      <c r="B1761" s="2" t="s">
        <v>3817</v>
      </c>
      <c r="C1761" s="2" t="s">
        <v>3818</v>
      </c>
      <c r="D1761" s="2"/>
      <c r="E1761" s="2" t="s">
        <v>17</v>
      </c>
      <c r="F1761" s="3" t="n">
        <v>8E-005</v>
      </c>
      <c r="G1761" s="3" t="n">
        <f aca="false">SUM($F$2:F1761)</f>
        <v>0.915421</v>
      </c>
      <c r="H1761" s="4"/>
      <c r="I1761" s="5"/>
      <c r="J1761" s="4"/>
      <c r="K1761" s="5"/>
      <c r="L1761" s="6"/>
      <c r="M1761" s="5" t="str">
        <f aca="false">IF(AND(N(K1761)&gt;0,N(L1761)&gt;0),K1761/L1761,"")</f>
        <v/>
      </c>
      <c r="N1761" s="2" t="s">
        <v>1226</v>
      </c>
    </row>
    <row r="1762" customFormat="false" ht="15" hidden="false" customHeight="false" outlineLevel="0" collapsed="false">
      <c r="A1762" s="2" t="n">
        <v>1761</v>
      </c>
      <c r="B1762" s="2" t="s">
        <v>3819</v>
      </c>
      <c r="C1762" s="2" t="s">
        <v>3820</v>
      </c>
      <c r="D1762" s="2"/>
      <c r="E1762" s="2" t="s">
        <v>29</v>
      </c>
      <c r="F1762" s="3" t="n">
        <v>8E-005</v>
      </c>
      <c r="G1762" s="3" t="n">
        <f aca="false">SUM($F$2:F1762)</f>
        <v>0.915501</v>
      </c>
      <c r="H1762" s="4"/>
      <c r="I1762" s="5"/>
      <c r="J1762" s="4"/>
      <c r="K1762" s="5"/>
      <c r="L1762" s="6"/>
      <c r="M1762" s="5" t="str">
        <f aca="false">IF(AND(N(K1762)&gt;0,N(L1762)&gt;0),K1762/L1762,"")</f>
        <v/>
      </c>
      <c r="N1762" s="2" t="s">
        <v>1226</v>
      </c>
    </row>
    <row r="1763" customFormat="false" ht="15" hidden="false" customHeight="false" outlineLevel="0" collapsed="false">
      <c r="A1763" s="2" t="n">
        <v>1762</v>
      </c>
      <c r="B1763" s="2" t="s">
        <v>3821</v>
      </c>
      <c r="C1763" s="2" t="s">
        <v>3822</v>
      </c>
      <c r="D1763" s="2"/>
      <c r="E1763" s="2" t="s">
        <v>52</v>
      </c>
      <c r="F1763" s="3" t="n">
        <v>8E-005</v>
      </c>
      <c r="G1763" s="3" t="n">
        <f aca="false">SUM($F$2:F1763)</f>
        <v>0.915581</v>
      </c>
      <c r="H1763" s="4"/>
      <c r="I1763" s="5"/>
      <c r="J1763" s="4"/>
      <c r="K1763" s="5"/>
      <c r="L1763" s="6"/>
      <c r="M1763" s="5" t="str">
        <f aca="false">IF(AND(N(K1763)&gt;0,N(L1763)&gt;0),K1763/L1763,"")</f>
        <v/>
      </c>
      <c r="N1763" s="2" t="s">
        <v>1226</v>
      </c>
    </row>
    <row r="1764" customFormat="false" ht="15" hidden="false" customHeight="false" outlineLevel="0" collapsed="false">
      <c r="A1764" s="2" t="n">
        <v>1763</v>
      </c>
      <c r="B1764" s="2" t="s">
        <v>3823</v>
      </c>
      <c r="C1764" s="2" t="s">
        <v>3824</v>
      </c>
      <c r="D1764" s="2"/>
      <c r="E1764" s="2" t="s">
        <v>289</v>
      </c>
      <c r="F1764" s="3" t="n">
        <v>8E-005</v>
      </c>
      <c r="G1764" s="3" t="n">
        <f aca="false">SUM($F$2:F1764)</f>
        <v>0.915661</v>
      </c>
      <c r="H1764" s="4"/>
      <c r="I1764" s="5"/>
      <c r="J1764" s="4"/>
      <c r="K1764" s="5"/>
      <c r="L1764" s="6"/>
      <c r="M1764" s="5" t="str">
        <f aca="false">IF(AND(N(K1764)&gt;0,N(L1764)&gt;0),K1764/L1764,"")</f>
        <v/>
      </c>
      <c r="N1764" s="2" t="s">
        <v>1226</v>
      </c>
    </row>
    <row r="1765" customFormat="false" ht="15" hidden="false" customHeight="false" outlineLevel="0" collapsed="false">
      <c r="A1765" s="2" t="n">
        <v>1764</v>
      </c>
      <c r="B1765" s="2" t="s">
        <v>3825</v>
      </c>
      <c r="C1765" s="2" t="s">
        <v>3826</v>
      </c>
      <c r="D1765" s="2"/>
      <c r="E1765" s="2" t="s">
        <v>1345</v>
      </c>
      <c r="F1765" s="3" t="n">
        <v>8E-005</v>
      </c>
      <c r="G1765" s="3" t="n">
        <f aca="false">SUM($F$2:F1765)</f>
        <v>0.915741</v>
      </c>
      <c r="H1765" s="4"/>
      <c r="I1765" s="5"/>
      <c r="J1765" s="4"/>
      <c r="K1765" s="5"/>
      <c r="L1765" s="6"/>
      <c r="M1765" s="5" t="str">
        <f aca="false">IF(AND(N(K1765)&gt;0,N(L1765)&gt;0),K1765/L1765,"")</f>
        <v/>
      </c>
      <c r="N1765" s="2" t="s">
        <v>1226</v>
      </c>
    </row>
    <row r="1766" customFormat="false" ht="15" hidden="false" customHeight="false" outlineLevel="0" collapsed="false">
      <c r="A1766" s="2" t="n">
        <v>1765</v>
      </c>
      <c r="B1766" s="2" t="s">
        <v>301</v>
      </c>
      <c r="C1766" s="2" t="s">
        <v>3827</v>
      </c>
      <c r="D1766" s="2"/>
      <c r="E1766" s="2" t="s">
        <v>38</v>
      </c>
      <c r="F1766" s="3" t="n">
        <v>8E-005</v>
      </c>
      <c r="G1766" s="3" t="n">
        <f aca="false">SUM($F$2:F1766)</f>
        <v>0.915821</v>
      </c>
      <c r="H1766" s="4"/>
      <c r="I1766" s="5"/>
      <c r="J1766" s="4"/>
      <c r="K1766" s="5"/>
      <c r="L1766" s="6"/>
      <c r="M1766" s="5" t="str">
        <f aca="false">IF(AND(N(K1766)&gt;0,N(L1766)&gt;0),K1766/L1766,"")</f>
        <v/>
      </c>
      <c r="N1766" s="2" t="s">
        <v>34</v>
      </c>
    </row>
    <row r="1767" customFormat="false" ht="15" hidden="false" customHeight="false" outlineLevel="0" collapsed="false">
      <c r="A1767" s="2" t="n">
        <v>1766</v>
      </c>
      <c r="B1767" s="2" t="s">
        <v>3828</v>
      </c>
      <c r="C1767" s="2" t="s">
        <v>3829</v>
      </c>
      <c r="D1767" s="2"/>
      <c r="E1767" s="2" t="s">
        <v>679</v>
      </c>
      <c r="F1767" s="3" t="n">
        <v>8E-005</v>
      </c>
      <c r="G1767" s="3" t="n">
        <f aca="false">SUM($F$2:F1767)</f>
        <v>0.915901</v>
      </c>
      <c r="H1767" s="4"/>
      <c r="I1767" s="5"/>
      <c r="J1767" s="4"/>
      <c r="K1767" s="5"/>
      <c r="L1767" s="6"/>
      <c r="M1767" s="5" t="str">
        <f aca="false">IF(AND(N(K1767)&gt;0,N(L1767)&gt;0),K1767/L1767,"")</f>
        <v/>
      </c>
      <c r="N1767" s="2" t="s">
        <v>1226</v>
      </c>
    </row>
    <row r="1768" customFormat="false" ht="15" hidden="false" customHeight="false" outlineLevel="0" collapsed="false">
      <c r="A1768" s="2" t="n">
        <v>1767</v>
      </c>
      <c r="B1768" s="2" t="s">
        <v>3830</v>
      </c>
      <c r="C1768" s="2" t="s">
        <v>3831</v>
      </c>
      <c r="D1768" s="2"/>
      <c r="E1768" s="2" t="s">
        <v>289</v>
      </c>
      <c r="F1768" s="3" t="n">
        <v>8E-005</v>
      </c>
      <c r="G1768" s="3" t="n">
        <f aca="false">SUM($F$2:F1768)</f>
        <v>0.915981</v>
      </c>
      <c r="H1768" s="4"/>
      <c r="I1768" s="5"/>
      <c r="J1768" s="4"/>
      <c r="K1768" s="5"/>
      <c r="L1768" s="6"/>
      <c r="M1768" s="5" t="str">
        <f aca="false">IF(AND(N(K1768)&gt;0,N(L1768)&gt;0),K1768/L1768,"")</f>
        <v/>
      </c>
      <c r="N1768" s="2" t="s">
        <v>1226</v>
      </c>
    </row>
    <row r="1769" customFormat="false" ht="15" hidden="false" customHeight="false" outlineLevel="0" collapsed="false">
      <c r="A1769" s="2" t="n">
        <v>1768</v>
      </c>
      <c r="B1769" s="2" t="s">
        <v>3832</v>
      </c>
      <c r="C1769" s="2" t="s">
        <v>3833</v>
      </c>
      <c r="D1769" s="2"/>
      <c r="E1769" s="2" t="s">
        <v>289</v>
      </c>
      <c r="F1769" s="3" t="n">
        <v>8E-005</v>
      </c>
      <c r="G1769" s="3" t="n">
        <f aca="false">SUM($F$2:F1769)</f>
        <v>0.916061</v>
      </c>
      <c r="H1769" s="4"/>
      <c r="I1769" s="5"/>
      <c r="J1769" s="4"/>
      <c r="K1769" s="5"/>
      <c r="L1769" s="6"/>
      <c r="M1769" s="5" t="str">
        <f aca="false">IF(AND(N(K1769)&gt;0,N(L1769)&gt;0),K1769/L1769,"")</f>
        <v/>
      </c>
      <c r="N1769" s="2" t="s">
        <v>1226</v>
      </c>
    </row>
    <row r="1770" customFormat="false" ht="15" hidden="false" customHeight="false" outlineLevel="0" collapsed="false">
      <c r="A1770" s="2" t="n">
        <v>1769</v>
      </c>
      <c r="B1770" s="2" t="s">
        <v>901</v>
      </c>
      <c r="C1770" s="2" t="s">
        <v>3834</v>
      </c>
      <c r="D1770" s="2"/>
      <c r="E1770" s="2" t="s">
        <v>43</v>
      </c>
      <c r="F1770" s="3" t="n">
        <v>7.9E-005</v>
      </c>
      <c r="G1770" s="3" t="n">
        <f aca="false">SUM($F$2:F1770)</f>
        <v>0.91614</v>
      </c>
      <c r="H1770" s="4"/>
      <c r="I1770" s="5"/>
      <c r="J1770" s="4"/>
      <c r="K1770" s="5"/>
      <c r="L1770" s="6"/>
      <c r="M1770" s="5" t="str">
        <f aca="false">IF(AND(N(K1770)&gt;0,N(L1770)&gt;0),K1770/L1770,"")</f>
        <v/>
      </c>
      <c r="N1770" s="2" t="s">
        <v>1226</v>
      </c>
    </row>
    <row r="1771" customFormat="false" ht="15" hidden="false" customHeight="false" outlineLevel="0" collapsed="false">
      <c r="A1771" s="2" t="n">
        <v>1770</v>
      </c>
      <c r="B1771" s="2" t="s">
        <v>3835</v>
      </c>
      <c r="C1771" s="2" t="s">
        <v>3836</v>
      </c>
      <c r="D1771" s="2"/>
      <c r="E1771" s="2" t="s">
        <v>52</v>
      </c>
      <c r="F1771" s="3" t="n">
        <v>7.9E-005</v>
      </c>
      <c r="G1771" s="3" t="n">
        <f aca="false">SUM($F$2:F1771)</f>
        <v>0.916219</v>
      </c>
      <c r="H1771" s="4"/>
      <c r="I1771" s="5"/>
      <c r="J1771" s="4"/>
      <c r="K1771" s="5"/>
      <c r="L1771" s="6"/>
      <c r="M1771" s="5" t="str">
        <f aca="false">IF(AND(N(K1771)&gt;0,N(L1771)&gt;0),K1771/L1771,"")</f>
        <v/>
      </c>
      <c r="N1771" s="2" t="s">
        <v>1226</v>
      </c>
    </row>
    <row r="1772" customFormat="false" ht="15" hidden="false" customHeight="false" outlineLevel="0" collapsed="false">
      <c r="A1772" s="2" t="n">
        <v>1771</v>
      </c>
      <c r="B1772" s="2" t="s">
        <v>3837</v>
      </c>
      <c r="C1772" s="2" t="s">
        <v>3838</v>
      </c>
      <c r="D1772" s="2"/>
      <c r="E1772" s="2" t="s">
        <v>29</v>
      </c>
      <c r="F1772" s="3" t="n">
        <v>7.9E-005</v>
      </c>
      <c r="G1772" s="3" t="n">
        <f aca="false">SUM($F$2:F1772)</f>
        <v>0.916298</v>
      </c>
      <c r="H1772" s="4"/>
      <c r="I1772" s="5"/>
      <c r="J1772" s="4"/>
      <c r="K1772" s="5"/>
      <c r="L1772" s="6"/>
      <c r="M1772" s="5" t="str">
        <f aca="false">IF(AND(N(K1772)&gt;0,N(L1772)&gt;0),K1772/L1772,"")</f>
        <v/>
      </c>
      <c r="N1772" s="2" t="s">
        <v>1226</v>
      </c>
    </row>
    <row r="1773" customFormat="false" ht="15" hidden="false" customHeight="false" outlineLevel="0" collapsed="false">
      <c r="A1773" s="2" t="n">
        <v>1772</v>
      </c>
      <c r="B1773" s="2" t="s">
        <v>3839</v>
      </c>
      <c r="C1773" s="2" t="s">
        <v>3840</v>
      </c>
      <c r="D1773" s="2"/>
      <c r="E1773" s="2" t="s">
        <v>25</v>
      </c>
      <c r="F1773" s="3" t="n">
        <v>7.9E-005</v>
      </c>
      <c r="G1773" s="3" t="n">
        <f aca="false">SUM($F$2:F1773)</f>
        <v>0.916377</v>
      </c>
      <c r="H1773" s="4"/>
      <c r="I1773" s="5"/>
      <c r="J1773" s="4"/>
      <c r="K1773" s="5"/>
      <c r="L1773" s="6"/>
      <c r="M1773" s="5" t="str">
        <f aca="false">IF(AND(N(K1773)&gt;0,N(L1773)&gt;0),K1773/L1773,"")</f>
        <v/>
      </c>
      <c r="N1773" s="2" t="s">
        <v>1226</v>
      </c>
    </row>
    <row r="1774" customFormat="false" ht="15" hidden="false" customHeight="false" outlineLevel="0" collapsed="false">
      <c r="A1774" s="2" t="n">
        <v>1773</v>
      </c>
      <c r="B1774" s="2" t="s">
        <v>3841</v>
      </c>
      <c r="C1774" s="2" t="s">
        <v>3842</v>
      </c>
      <c r="D1774" s="2"/>
      <c r="E1774" s="2" t="s">
        <v>29</v>
      </c>
      <c r="F1774" s="3" t="n">
        <v>7.9E-005</v>
      </c>
      <c r="G1774" s="3" t="n">
        <f aca="false">SUM($F$2:F1774)</f>
        <v>0.916456</v>
      </c>
      <c r="H1774" s="4"/>
      <c r="I1774" s="5"/>
      <c r="J1774" s="4"/>
      <c r="K1774" s="5"/>
      <c r="L1774" s="6"/>
      <c r="M1774" s="5" t="str">
        <f aca="false">IF(AND(N(K1774)&gt;0,N(L1774)&gt;0),K1774/L1774,"")</f>
        <v/>
      </c>
      <c r="N1774" s="2" t="s">
        <v>1226</v>
      </c>
    </row>
    <row r="1775" customFormat="false" ht="15" hidden="false" customHeight="false" outlineLevel="0" collapsed="false">
      <c r="A1775" s="2" t="n">
        <v>1774</v>
      </c>
      <c r="B1775" s="2" t="s">
        <v>3843</v>
      </c>
      <c r="C1775" s="2" t="s">
        <v>3844</v>
      </c>
      <c r="D1775" s="2"/>
      <c r="E1775" s="2" t="s">
        <v>52</v>
      </c>
      <c r="F1775" s="3" t="n">
        <v>7.9E-005</v>
      </c>
      <c r="G1775" s="3" t="n">
        <f aca="false">SUM($F$2:F1775)</f>
        <v>0.916535</v>
      </c>
      <c r="H1775" s="4"/>
      <c r="I1775" s="5"/>
      <c r="J1775" s="4"/>
      <c r="K1775" s="5"/>
      <c r="L1775" s="6"/>
      <c r="M1775" s="5" t="str">
        <f aca="false">IF(AND(N(K1775)&gt;0,N(L1775)&gt;0),K1775/L1775,"")</f>
        <v/>
      </c>
      <c r="N1775" s="2" t="s">
        <v>1226</v>
      </c>
    </row>
    <row r="1776" customFormat="false" ht="15" hidden="false" customHeight="false" outlineLevel="0" collapsed="false">
      <c r="A1776" s="2" t="n">
        <v>1775</v>
      </c>
      <c r="B1776" s="2" t="s">
        <v>3845</v>
      </c>
      <c r="C1776" s="2" t="s">
        <v>3846</v>
      </c>
      <c r="D1776" s="2"/>
      <c r="E1776" s="2" t="s">
        <v>289</v>
      </c>
      <c r="F1776" s="3" t="n">
        <v>7.9E-005</v>
      </c>
      <c r="G1776" s="3" t="n">
        <f aca="false">SUM($F$2:F1776)</f>
        <v>0.916614</v>
      </c>
      <c r="H1776" s="4"/>
      <c r="I1776" s="5"/>
      <c r="J1776" s="4"/>
      <c r="K1776" s="5"/>
      <c r="L1776" s="6"/>
      <c r="M1776" s="5" t="str">
        <f aca="false">IF(AND(N(K1776)&gt;0,N(L1776)&gt;0),K1776/L1776,"")</f>
        <v/>
      </c>
      <c r="N1776" s="2" t="s">
        <v>1226</v>
      </c>
    </row>
    <row r="1777" customFormat="false" ht="15" hidden="false" customHeight="false" outlineLevel="0" collapsed="false">
      <c r="A1777" s="2" t="n">
        <v>1776</v>
      </c>
      <c r="B1777" s="2" t="s">
        <v>3847</v>
      </c>
      <c r="C1777" s="2" t="s">
        <v>3848</v>
      </c>
      <c r="D1777" s="2"/>
      <c r="E1777" s="2" t="s">
        <v>52</v>
      </c>
      <c r="F1777" s="3" t="n">
        <v>7.9E-005</v>
      </c>
      <c r="G1777" s="3" t="n">
        <f aca="false">SUM($F$2:F1777)</f>
        <v>0.916693</v>
      </c>
      <c r="H1777" s="4"/>
      <c r="I1777" s="5"/>
      <c r="J1777" s="4"/>
      <c r="K1777" s="5"/>
      <c r="L1777" s="6"/>
      <c r="M1777" s="5" t="str">
        <f aca="false">IF(AND(N(K1777)&gt;0,N(L1777)&gt;0),K1777/L1777,"")</f>
        <v/>
      </c>
      <c r="N1777" s="2" t="s">
        <v>1226</v>
      </c>
    </row>
    <row r="1778" customFormat="false" ht="15" hidden="false" customHeight="false" outlineLevel="0" collapsed="false">
      <c r="A1778" s="2" t="n">
        <v>1777</v>
      </c>
      <c r="B1778" s="2" t="s">
        <v>3849</v>
      </c>
      <c r="C1778" s="2" t="s">
        <v>3850</v>
      </c>
      <c r="D1778" s="2"/>
      <c r="E1778" s="2" t="s">
        <v>334</v>
      </c>
      <c r="F1778" s="3" t="n">
        <v>7.9E-005</v>
      </c>
      <c r="G1778" s="3" t="n">
        <f aca="false">SUM($F$2:F1778)</f>
        <v>0.916772</v>
      </c>
      <c r="H1778" s="4"/>
      <c r="I1778" s="5"/>
      <c r="J1778" s="4"/>
      <c r="K1778" s="5"/>
      <c r="L1778" s="6"/>
      <c r="M1778" s="5" t="str">
        <f aca="false">IF(AND(N(K1778)&gt;0,N(L1778)&gt;0),K1778/L1778,"")</f>
        <v/>
      </c>
      <c r="N1778" s="2" t="s">
        <v>1226</v>
      </c>
    </row>
    <row r="1779" customFormat="false" ht="15" hidden="false" customHeight="false" outlineLevel="0" collapsed="false">
      <c r="A1779" s="2" t="n">
        <v>1778</v>
      </c>
      <c r="B1779" s="2" t="s">
        <v>3851</v>
      </c>
      <c r="C1779" s="2" t="s">
        <v>3852</v>
      </c>
      <c r="D1779" s="2"/>
      <c r="E1779" s="2" t="s">
        <v>43</v>
      </c>
      <c r="F1779" s="3" t="n">
        <v>7.9E-005</v>
      </c>
      <c r="G1779" s="3" t="n">
        <f aca="false">SUM($F$2:F1779)</f>
        <v>0.916851</v>
      </c>
      <c r="H1779" s="4"/>
      <c r="I1779" s="5"/>
      <c r="J1779" s="4"/>
      <c r="K1779" s="5"/>
      <c r="L1779" s="6"/>
      <c r="M1779" s="5" t="str">
        <f aca="false">IF(AND(N(K1779)&gt;0,N(L1779)&gt;0),K1779/L1779,"")</f>
        <v/>
      </c>
      <c r="N1779" s="2" t="s">
        <v>1226</v>
      </c>
    </row>
    <row r="1780" customFormat="false" ht="15" hidden="false" customHeight="false" outlineLevel="0" collapsed="false">
      <c r="A1780" s="2" t="n">
        <v>1779</v>
      </c>
      <c r="B1780" s="2" t="s">
        <v>3853</v>
      </c>
      <c r="C1780" s="2" t="s">
        <v>3854</v>
      </c>
      <c r="D1780" s="2"/>
      <c r="E1780" s="2" t="s">
        <v>29</v>
      </c>
      <c r="F1780" s="3" t="n">
        <v>7.9E-005</v>
      </c>
      <c r="G1780" s="3" t="n">
        <f aca="false">SUM($F$2:F1780)</f>
        <v>0.91693</v>
      </c>
      <c r="H1780" s="4"/>
      <c r="I1780" s="5"/>
      <c r="J1780" s="4"/>
      <c r="K1780" s="5"/>
      <c r="L1780" s="6"/>
      <c r="M1780" s="5" t="str">
        <f aca="false">IF(AND(N(K1780)&gt;0,N(L1780)&gt;0),K1780/L1780,"")</f>
        <v/>
      </c>
      <c r="N1780" s="2" t="s">
        <v>1226</v>
      </c>
    </row>
    <row r="1781" customFormat="false" ht="15" hidden="false" customHeight="false" outlineLevel="0" collapsed="false">
      <c r="A1781" s="2" t="n">
        <v>1780</v>
      </c>
      <c r="B1781" s="2" t="s">
        <v>3855</v>
      </c>
      <c r="C1781" s="2" t="s">
        <v>3856</v>
      </c>
      <c r="D1781" s="2"/>
      <c r="E1781" s="2" t="s">
        <v>52</v>
      </c>
      <c r="F1781" s="3" t="n">
        <v>7.9E-005</v>
      </c>
      <c r="G1781" s="3" t="n">
        <f aca="false">SUM($F$2:F1781)</f>
        <v>0.917009</v>
      </c>
      <c r="H1781" s="4"/>
      <c r="I1781" s="5"/>
      <c r="J1781" s="4"/>
      <c r="K1781" s="5"/>
      <c r="L1781" s="6"/>
      <c r="M1781" s="5" t="str">
        <f aca="false">IF(AND(N(K1781)&gt;0,N(L1781)&gt;0),K1781/L1781,"")</f>
        <v/>
      </c>
      <c r="N1781" s="2" t="s">
        <v>1226</v>
      </c>
    </row>
    <row r="1782" customFormat="false" ht="15" hidden="false" customHeight="false" outlineLevel="0" collapsed="false">
      <c r="A1782" s="2" t="n">
        <v>1781</v>
      </c>
      <c r="B1782" s="2" t="s">
        <v>3857</v>
      </c>
      <c r="C1782" s="2" t="s">
        <v>3858</v>
      </c>
      <c r="D1782" s="2"/>
      <c r="E1782" s="2" t="s">
        <v>17</v>
      </c>
      <c r="F1782" s="3" t="n">
        <v>7.8E-005</v>
      </c>
      <c r="G1782" s="3" t="n">
        <f aca="false">SUM($F$2:F1782)</f>
        <v>0.917087</v>
      </c>
      <c r="H1782" s="4"/>
      <c r="I1782" s="5"/>
      <c r="J1782" s="4"/>
      <c r="K1782" s="5"/>
      <c r="L1782" s="6"/>
      <c r="M1782" s="5" t="str">
        <f aca="false">IF(AND(N(K1782)&gt;0,N(L1782)&gt;0),K1782/L1782,"")</f>
        <v/>
      </c>
      <c r="N1782" s="2" t="s">
        <v>1226</v>
      </c>
    </row>
    <row r="1783" customFormat="false" ht="15" hidden="false" customHeight="false" outlineLevel="0" collapsed="false">
      <c r="A1783" s="2" t="n">
        <v>1782</v>
      </c>
      <c r="B1783" s="2" t="s">
        <v>3859</v>
      </c>
      <c r="C1783" s="2" t="s">
        <v>3860</v>
      </c>
      <c r="D1783" s="2"/>
      <c r="E1783" s="2" t="s">
        <v>25</v>
      </c>
      <c r="F1783" s="3" t="n">
        <v>7.8E-005</v>
      </c>
      <c r="G1783" s="3" t="n">
        <f aca="false">SUM($F$2:F1783)</f>
        <v>0.917165</v>
      </c>
      <c r="H1783" s="4"/>
      <c r="I1783" s="5"/>
      <c r="J1783" s="4"/>
      <c r="K1783" s="5"/>
      <c r="L1783" s="6"/>
      <c r="M1783" s="5" t="str">
        <f aca="false">IF(AND(N(K1783)&gt;0,N(L1783)&gt;0),K1783/L1783,"")</f>
        <v/>
      </c>
      <c r="N1783" s="2" t="s">
        <v>1226</v>
      </c>
    </row>
    <row r="1784" customFormat="false" ht="15" hidden="false" customHeight="false" outlineLevel="0" collapsed="false">
      <c r="A1784" s="2" t="n">
        <v>1783</v>
      </c>
      <c r="B1784" s="2" t="s">
        <v>3861</v>
      </c>
      <c r="C1784" s="2" t="s">
        <v>3862</v>
      </c>
      <c r="D1784" s="2"/>
      <c r="E1784" s="2" t="s">
        <v>43</v>
      </c>
      <c r="F1784" s="3" t="n">
        <v>7.8E-005</v>
      </c>
      <c r="G1784" s="3" t="n">
        <f aca="false">SUM($F$2:F1784)</f>
        <v>0.917243</v>
      </c>
      <c r="H1784" s="4"/>
      <c r="I1784" s="5"/>
      <c r="J1784" s="4"/>
      <c r="K1784" s="5"/>
      <c r="L1784" s="6"/>
      <c r="M1784" s="5" t="str">
        <f aca="false">IF(AND(N(K1784)&gt;0,N(L1784)&gt;0),K1784/L1784,"")</f>
        <v/>
      </c>
      <c r="N1784" s="2" t="s">
        <v>1226</v>
      </c>
    </row>
    <row r="1785" customFormat="false" ht="15" hidden="false" customHeight="false" outlineLevel="0" collapsed="false">
      <c r="A1785" s="2" t="n">
        <v>1784</v>
      </c>
      <c r="B1785" s="2" t="s">
        <v>3863</v>
      </c>
      <c r="C1785" s="2" t="s">
        <v>3864</v>
      </c>
      <c r="D1785" s="2"/>
      <c r="E1785" s="2" t="s">
        <v>296</v>
      </c>
      <c r="F1785" s="3" t="n">
        <v>7.8E-005</v>
      </c>
      <c r="G1785" s="3" t="n">
        <f aca="false">SUM($F$2:F1785)</f>
        <v>0.917321</v>
      </c>
      <c r="H1785" s="4"/>
      <c r="I1785" s="5"/>
      <c r="J1785" s="4"/>
      <c r="K1785" s="5"/>
      <c r="L1785" s="6"/>
      <c r="M1785" s="5" t="str">
        <f aca="false">IF(AND(N(K1785)&gt;0,N(L1785)&gt;0),K1785/L1785,"")</f>
        <v/>
      </c>
      <c r="N1785" s="2" t="s">
        <v>1226</v>
      </c>
    </row>
    <row r="1786" customFormat="false" ht="15" hidden="false" customHeight="false" outlineLevel="0" collapsed="false">
      <c r="A1786" s="2" t="n">
        <v>1785</v>
      </c>
      <c r="B1786" s="2" t="s">
        <v>3865</v>
      </c>
      <c r="C1786" s="2" t="s">
        <v>3866</v>
      </c>
      <c r="D1786" s="2"/>
      <c r="E1786" s="2" t="s">
        <v>25</v>
      </c>
      <c r="F1786" s="3" t="n">
        <v>7.8E-005</v>
      </c>
      <c r="G1786" s="3" t="n">
        <f aca="false">SUM($F$2:F1786)</f>
        <v>0.917399</v>
      </c>
      <c r="H1786" s="4"/>
      <c r="I1786" s="5"/>
      <c r="J1786" s="4"/>
      <c r="K1786" s="5"/>
      <c r="L1786" s="6"/>
      <c r="M1786" s="5" t="str">
        <f aca="false">IF(AND(N(K1786)&gt;0,N(L1786)&gt;0),K1786/L1786,"")</f>
        <v/>
      </c>
      <c r="N1786" s="2" t="s">
        <v>1226</v>
      </c>
    </row>
    <row r="1787" customFormat="false" ht="15" hidden="false" customHeight="false" outlineLevel="0" collapsed="false">
      <c r="A1787" s="2" t="n">
        <v>1786</v>
      </c>
      <c r="B1787" s="2" t="s">
        <v>3867</v>
      </c>
      <c r="C1787" s="2" t="s">
        <v>3868</v>
      </c>
      <c r="D1787" s="2"/>
      <c r="E1787" s="2" t="s">
        <v>82</v>
      </c>
      <c r="F1787" s="3" t="n">
        <v>7.8E-005</v>
      </c>
      <c r="G1787" s="3" t="n">
        <f aca="false">SUM($F$2:F1787)</f>
        <v>0.917477</v>
      </c>
      <c r="H1787" s="4"/>
      <c r="I1787" s="5"/>
      <c r="J1787" s="4"/>
      <c r="K1787" s="5"/>
      <c r="L1787" s="6"/>
      <c r="M1787" s="5" t="str">
        <f aca="false">IF(AND(N(K1787)&gt;0,N(L1787)&gt;0),K1787/L1787,"")</f>
        <v/>
      </c>
      <c r="N1787" s="2" t="s">
        <v>1226</v>
      </c>
    </row>
    <row r="1788" customFormat="false" ht="15" hidden="false" customHeight="false" outlineLevel="0" collapsed="false">
      <c r="A1788" s="2" t="n">
        <v>1787</v>
      </c>
      <c r="B1788" s="2" t="s">
        <v>3869</v>
      </c>
      <c r="C1788" s="2" t="s">
        <v>3870</v>
      </c>
      <c r="D1788" s="2"/>
      <c r="E1788" s="2" t="s">
        <v>334</v>
      </c>
      <c r="F1788" s="3" t="n">
        <v>7.8E-005</v>
      </c>
      <c r="G1788" s="3" t="n">
        <f aca="false">SUM($F$2:F1788)</f>
        <v>0.917555</v>
      </c>
      <c r="H1788" s="4"/>
      <c r="I1788" s="5"/>
      <c r="J1788" s="4"/>
      <c r="K1788" s="5"/>
      <c r="L1788" s="6"/>
      <c r="M1788" s="5" t="str">
        <f aca="false">IF(AND(N(K1788)&gt;0,N(L1788)&gt;0),K1788/L1788,"")</f>
        <v/>
      </c>
      <c r="N1788" s="2" t="s">
        <v>1226</v>
      </c>
    </row>
    <row r="1789" customFormat="false" ht="15" hidden="false" customHeight="false" outlineLevel="0" collapsed="false">
      <c r="A1789" s="2" t="n">
        <v>1788</v>
      </c>
      <c r="B1789" s="2" t="s">
        <v>3871</v>
      </c>
      <c r="C1789" s="2" t="s">
        <v>3872</v>
      </c>
      <c r="D1789" s="2"/>
      <c r="E1789" s="2" t="s">
        <v>17</v>
      </c>
      <c r="F1789" s="3" t="n">
        <v>7.8E-005</v>
      </c>
      <c r="G1789" s="3" t="n">
        <f aca="false">SUM($F$2:F1789)</f>
        <v>0.917633</v>
      </c>
      <c r="H1789" s="4"/>
      <c r="I1789" s="5"/>
      <c r="J1789" s="4"/>
      <c r="K1789" s="5"/>
      <c r="L1789" s="6"/>
      <c r="M1789" s="5" t="str">
        <f aca="false">IF(AND(N(K1789)&gt;0,N(L1789)&gt;0),K1789/L1789,"")</f>
        <v/>
      </c>
      <c r="N1789" s="2" t="s">
        <v>1226</v>
      </c>
    </row>
    <row r="1790" customFormat="false" ht="15" hidden="false" customHeight="false" outlineLevel="0" collapsed="false">
      <c r="A1790" s="2" t="n">
        <v>1789</v>
      </c>
      <c r="B1790" s="2" t="s">
        <v>3873</v>
      </c>
      <c r="C1790" s="2" t="s">
        <v>3874</v>
      </c>
      <c r="D1790" s="2"/>
      <c r="E1790" s="2" t="s">
        <v>43</v>
      </c>
      <c r="F1790" s="3" t="n">
        <v>7.8E-005</v>
      </c>
      <c r="G1790" s="3" t="n">
        <f aca="false">SUM($F$2:F1790)</f>
        <v>0.917711</v>
      </c>
      <c r="H1790" s="4"/>
      <c r="I1790" s="5"/>
      <c r="J1790" s="4"/>
      <c r="K1790" s="5"/>
      <c r="L1790" s="6"/>
      <c r="M1790" s="5" t="str">
        <f aca="false">IF(AND(N(K1790)&gt;0,N(L1790)&gt;0),K1790/L1790,"")</f>
        <v/>
      </c>
      <c r="N1790" s="2" t="s">
        <v>1226</v>
      </c>
    </row>
    <row r="1791" customFormat="false" ht="15" hidden="false" customHeight="false" outlineLevel="0" collapsed="false">
      <c r="A1791" s="2" t="n">
        <v>1790</v>
      </c>
      <c r="B1791" s="2" t="s">
        <v>3875</v>
      </c>
      <c r="C1791" s="2" t="s">
        <v>3876</v>
      </c>
      <c r="D1791" s="2"/>
      <c r="E1791" s="2" t="s">
        <v>1345</v>
      </c>
      <c r="F1791" s="3" t="n">
        <v>7.8E-005</v>
      </c>
      <c r="G1791" s="3" t="n">
        <f aca="false">SUM($F$2:F1791)</f>
        <v>0.917789</v>
      </c>
      <c r="H1791" s="4"/>
      <c r="I1791" s="5"/>
      <c r="J1791" s="4"/>
      <c r="K1791" s="5"/>
      <c r="L1791" s="6"/>
      <c r="M1791" s="5" t="str">
        <f aca="false">IF(AND(N(K1791)&gt;0,N(L1791)&gt;0),K1791/L1791,"")</f>
        <v/>
      </c>
      <c r="N1791" s="2" t="s">
        <v>1226</v>
      </c>
    </row>
    <row r="1792" customFormat="false" ht="15" hidden="false" customHeight="false" outlineLevel="0" collapsed="false">
      <c r="A1792" s="2" t="n">
        <v>1791</v>
      </c>
      <c r="B1792" s="2" t="s">
        <v>3877</v>
      </c>
      <c r="C1792" s="2" t="s">
        <v>3878</v>
      </c>
      <c r="D1792" s="2"/>
      <c r="E1792" s="2" t="s">
        <v>1345</v>
      </c>
      <c r="F1792" s="3" t="n">
        <v>7.8E-005</v>
      </c>
      <c r="G1792" s="3" t="n">
        <f aca="false">SUM($F$2:F1792)</f>
        <v>0.917867</v>
      </c>
      <c r="H1792" s="4"/>
      <c r="I1792" s="5"/>
      <c r="J1792" s="4"/>
      <c r="K1792" s="5"/>
      <c r="L1792" s="6"/>
      <c r="M1792" s="5" t="str">
        <f aca="false">IF(AND(N(K1792)&gt;0,N(L1792)&gt;0),K1792/L1792,"")</f>
        <v/>
      </c>
      <c r="N1792" s="2" t="s">
        <v>1226</v>
      </c>
    </row>
    <row r="1793" customFormat="false" ht="15" hidden="false" customHeight="false" outlineLevel="0" collapsed="false">
      <c r="A1793" s="2" t="n">
        <v>1792</v>
      </c>
      <c r="B1793" s="2" t="s">
        <v>3358</v>
      </c>
      <c r="C1793" s="2" t="s">
        <v>3879</v>
      </c>
      <c r="D1793" s="2"/>
      <c r="E1793" s="2" t="s">
        <v>43</v>
      </c>
      <c r="F1793" s="3" t="n">
        <v>7.8E-005</v>
      </c>
      <c r="G1793" s="3" t="n">
        <f aca="false">SUM($F$2:F1793)</f>
        <v>0.917945</v>
      </c>
      <c r="H1793" s="4"/>
      <c r="I1793" s="5"/>
      <c r="J1793" s="4"/>
      <c r="K1793" s="5"/>
      <c r="L1793" s="6"/>
      <c r="M1793" s="5" t="str">
        <f aca="false">IF(AND(N(K1793)&gt;0,N(L1793)&gt;0),K1793/L1793,"")</f>
        <v/>
      </c>
      <c r="N1793" s="2" t="s">
        <v>1226</v>
      </c>
    </row>
    <row r="1794" customFormat="false" ht="15" hidden="false" customHeight="false" outlineLevel="0" collapsed="false">
      <c r="A1794" s="2" t="n">
        <v>1793</v>
      </c>
      <c r="B1794" s="2" t="s">
        <v>3880</v>
      </c>
      <c r="C1794" s="2" t="s">
        <v>3881</v>
      </c>
      <c r="D1794" s="2"/>
      <c r="E1794" s="2" t="s">
        <v>29</v>
      </c>
      <c r="F1794" s="3" t="n">
        <v>7.7E-005</v>
      </c>
      <c r="G1794" s="3" t="n">
        <f aca="false">SUM($F$2:F1794)</f>
        <v>0.918022</v>
      </c>
      <c r="H1794" s="4"/>
      <c r="I1794" s="5"/>
      <c r="J1794" s="4"/>
      <c r="K1794" s="5"/>
      <c r="L1794" s="6"/>
      <c r="M1794" s="5" t="str">
        <f aca="false">IF(AND(N(K1794)&gt;0,N(L1794)&gt;0),K1794/L1794,"")</f>
        <v/>
      </c>
      <c r="N1794" s="2" t="s">
        <v>1226</v>
      </c>
    </row>
    <row r="1795" customFormat="false" ht="15" hidden="false" customHeight="false" outlineLevel="0" collapsed="false">
      <c r="A1795" s="2" t="n">
        <v>1794</v>
      </c>
      <c r="B1795" s="2" t="s">
        <v>3882</v>
      </c>
      <c r="C1795" s="2" t="s">
        <v>3883</v>
      </c>
      <c r="D1795" s="2"/>
      <c r="E1795" s="2" t="s">
        <v>199</v>
      </c>
      <c r="F1795" s="3" t="n">
        <v>7.7E-005</v>
      </c>
      <c r="G1795" s="3" t="n">
        <f aca="false">SUM($F$2:F1795)</f>
        <v>0.918099</v>
      </c>
      <c r="H1795" s="4"/>
      <c r="I1795" s="5"/>
      <c r="J1795" s="4"/>
      <c r="K1795" s="5"/>
      <c r="L1795" s="6"/>
      <c r="M1795" s="5" t="str">
        <f aca="false">IF(AND(N(K1795)&gt;0,N(L1795)&gt;0),K1795/L1795,"")</f>
        <v/>
      </c>
      <c r="N1795" s="2" t="s">
        <v>1226</v>
      </c>
    </row>
    <row r="1796" customFormat="false" ht="15" hidden="false" customHeight="false" outlineLevel="0" collapsed="false">
      <c r="A1796" s="2" t="n">
        <v>1795</v>
      </c>
      <c r="B1796" s="2" t="s">
        <v>3884</v>
      </c>
      <c r="C1796" s="2" t="s">
        <v>3885</v>
      </c>
      <c r="D1796" s="2"/>
      <c r="E1796" s="2" t="s">
        <v>17</v>
      </c>
      <c r="F1796" s="3" t="n">
        <v>7.7E-005</v>
      </c>
      <c r="G1796" s="3" t="n">
        <f aca="false">SUM($F$2:F1796)</f>
        <v>0.918176</v>
      </c>
      <c r="H1796" s="4"/>
      <c r="I1796" s="5"/>
      <c r="J1796" s="4"/>
      <c r="K1796" s="5"/>
      <c r="L1796" s="6"/>
      <c r="M1796" s="5" t="str">
        <f aca="false">IF(AND(N(K1796)&gt;0,N(L1796)&gt;0),K1796/L1796,"")</f>
        <v/>
      </c>
      <c r="N1796" s="2" t="s">
        <v>1226</v>
      </c>
    </row>
    <row r="1797" customFormat="false" ht="15" hidden="false" customHeight="false" outlineLevel="0" collapsed="false">
      <c r="A1797" s="2" t="n">
        <v>1796</v>
      </c>
      <c r="B1797" s="2" t="s">
        <v>3886</v>
      </c>
      <c r="C1797" s="2" t="s">
        <v>3887</v>
      </c>
      <c r="D1797" s="2"/>
      <c r="E1797" s="2" t="s">
        <v>52</v>
      </c>
      <c r="F1797" s="3" t="n">
        <v>7.7E-005</v>
      </c>
      <c r="G1797" s="3" t="n">
        <f aca="false">SUM($F$2:F1797)</f>
        <v>0.918253</v>
      </c>
      <c r="H1797" s="4"/>
      <c r="I1797" s="5"/>
      <c r="J1797" s="4"/>
      <c r="K1797" s="5"/>
      <c r="L1797" s="6"/>
      <c r="M1797" s="5" t="str">
        <f aca="false">IF(AND(N(K1797)&gt;0,N(L1797)&gt;0),K1797/L1797,"")</f>
        <v/>
      </c>
      <c r="N1797" s="2" t="s">
        <v>1226</v>
      </c>
    </row>
    <row r="1798" customFormat="false" ht="15" hidden="false" customHeight="false" outlineLevel="0" collapsed="false">
      <c r="A1798" s="2" t="n">
        <v>1797</v>
      </c>
      <c r="B1798" s="2" t="s">
        <v>3888</v>
      </c>
      <c r="C1798" s="2" t="s">
        <v>3889</v>
      </c>
      <c r="D1798" s="2"/>
      <c r="E1798" s="2" t="s">
        <v>52</v>
      </c>
      <c r="F1798" s="3" t="n">
        <v>7.7E-005</v>
      </c>
      <c r="G1798" s="3" t="n">
        <f aca="false">SUM($F$2:F1798)</f>
        <v>0.91833</v>
      </c>
      <c r="H1798" s="4"/>
      <c r="I1798" s="5"/>
      <c r="J1798" s="4"/>
      <c r="K1798" s="5"/>
      <c r="L1798" s="6"/>
      <c r="M1798" s="5" t="str">
        <f aca="false">IF(AND(N(K1798)&gt;0,N(L1798)&gt;0),K1798/L1798,"")</f>
        <v/>
      </c>
      <c r="N1798" s="2" t="s">
        <v>1226</v>
      </c>
    </row>
    <row r="1799" customFormat="false" ht="15" hidden="false" customHeight="false" outlineLevel="0" collapsed="false">
      <c r="A1799" s="2" t="n">
        <v>1798</v>
      </c>
      <c r="B1799" s="2" t="s">
        <v>3890</v>
      </c>
      <c r="C1799" s="2" t="s">
        <v>3891</v>
      </c>
      <c r="D1799" s="2"/>
      <c r="E1799" s="2" t="s">
        <v>29</v>
      </c>
      <c r="F1799" s="3" t="n">
        <v>7.7E-005</v>
      </c>
      <c r="G1799" s="3" t="n">
        <f aca="false">SUM($F$2:F1799)</f>
        <v>0.918407</v>
      </c>
      <c r="H1799" s="4"/>
      <c r="I1799" s="5"/>
      <c r="J1799" s="4"/>
      <c r="K1799" s="5"/>
      <c r="L1799" s="6"/>
      <c r="M1799" s="5" t="str">
        <f aca="false">IF(AND(N(K1799)&gt;0,N(L1799)&gt;0),K1799/L1799,"")</f>
        <v/>
      </c>
      <c r="N1799" s="2" t="s">
        <v>1226</v>
      </c>
    </row>
    <row r="1800" customFormat="false" ht="15" hidden="false" customHeight="false" outlineLevel="0" collapsed="false">
      <c r="A1800" s="2" t="n">
        <v>1799</v>
      </c>
      <c r="B1800" s="2" t="s">
        <v>3892</v>
      </c>
      <c r="C1800" s="2" t="s">
        <v>3893</v>
      </c>
      <c r="D1800" s="2"/>
      <c r="E1800" s="2" t="s">
        <v>1245</v>
      </c>
      <c r="F1800" s="3" t="n">
        <v>7.7E-005</v>
      </c>
      <c r="G1800" s="3" t="n">
        <f aca="false">SUM($F$2:F1800)</f>
        <v>0.918484</v>
      </c>
      <c r="H1800" s="4"/>
      <c r="I1800" s="5"/>
      <c r="J1800" s="4"/>
      <c r="K1800" s="5"/>
      <c r="L1800" s="6"/>
      <c r="M1800" s="5" t="str">
        <f aca="false">IF(AND(N(K1800)&gt;0,N(L1800)&gt;0),K1800/L1800,"")</f>
        <v/>
      </c>
      <c r="N1800" s="2" t="s">
        <v>1226</v>
      </c>
    </row>
    <row r="1801" customFormat="false" ht="15" hidden="false" customHeight="false" outlineLevel="0" collapsed="false">
      <c r="A1801" s="2" t="n">
        <v>1800</v>
      </c>
      <c r="B1801" s="2" t="s">
        <v>3894</v>
      </c>
      <c r="C1801" s="2" t="s">
        <v>3895</v>
      </c>
      <c r="D1801" s="2"/>
      <c r="E1801" s="2" t="s">
        <v>29</v>
      </c>
      <c r="F1801" s="3" t="n">
        <v>7.7E-005</v>
      </c>
      <c r="G1801" s="3" t="n">
        <f aca="false">SUM($F$2:F1801)</f>
        <v>0.918561</v>
      </c>
      <c r="H1801" s="4"/>
      <c r="I1801" s="5"/>
      <c r="J1801" s="4"/>
      <c r="K1801" s="5"/>
      <c r="L1801" s="6"/>
      <c r="M1801" s="5" t="str">
        <f aca="false">IF(AND(N(K1801)&gt;0,N(L1801)&gt;0),K1801/L1801,"")</f>
        <v/>
      </c>
      <c r="N1801" s="2" t="s">
        <v>1226</v>
      </c>
    </row>
    <row r="1802" customFormat="false" ht="15" hidden="false" customHeight="false" outlineLevel="0" collapsed="false">
      <c r="A1802" s="2" t="n">
        <v>1801</v>
      </c>
      <c r="B1802" s="2" t="s">
        <v>3896</v>
      </c>
      <c r="C1802" s="2" t="s">
        <v>3897</v>
      </c>
      <c r="D1802" s="2"/>
      <c r="E1802" s="2" t="s">
        <v>82</v>
      </c>
      <c r="F1802" s="3" t="n">
        <v>7.6E-005</v>
      </c>
      <c r="G1802" s="3" t="n">
        <f aca="false">SUM($F$2:F1802)</f>
        <v>0.918637</v>
      </c>
      <c r="H1802" s="4"/>
      <c r="I1802" s="5"/>
      <c r="J1802" s="4"/>
      <c r="K1802" s="5"/>
      <c r="L1802" s="6"/>
      <c r="M1802" s="5" t="str">
        <f aca="false">IF(AND(N(K1802)&gt;0,N(L1802)&gt;0),K1802/L1802,"")</f>
        <v/>
      </c>
      <c r="N1802" s="2" t="s">
        <v>1226</v>
      </c>
    </row>
    <row r="1803" customFormat="false" ht="15" hidden="false" customHeight="false" outlineLevel="0" collapsed="false">
      <c r="A1803" s="2" t="n">
        <v>1802</v>
      </c>
      <c r="B1803" s="2" t="s">
        <v>3898</v>
      </c>
      <c r="C1803" s="2" t="s">
        <v>3899</v>
      </c>
      <c r="D1803" s="2"/>
      <c r="E1803" s="2" t="s">
        <v>52</v>
      </c>
      <c r="F1803" s="3" t="n">
        <v>7.6E-005</v>
      </c>
      <c r="G1803" s="3" t="n">
        <f aca="false">SUM($F$2:F1803)</f>
        <v>0.918713</v>
      </c>
      <c r="H1803" s="4"/>
      <c r="I1803" s="5"/>
      <c r="J1803" s="4"/>
      <c r="K1803" s="5"/>
      <c r="L1803" s="6"/>
      <c r="M1803" s="5" t="str">
        <f aca="false">IF(AND(N(K1803)&gt;0,N(L1803)&gt;0),K1803/L1803,"")</f>
        <v/>
      </c>
      <c r="N1803" s="2" t="s">
        <v>1226</v>
      </c>
    </row>
    <row r="1804" customFormat="false" ht="15" hidden="false" customHeight="false" outlineLevel="0" collapsed="false">
      <c r="A1804" s="2" t="n">
        <v>1803</v>
      </c>
      <c r="B1804" s="2" t="s">
        <v>3900</v>
      </c>
      <c r="C1804" s="2" t="s">
        <v>3901</v>
      </c>
      <c r="D1804" s="2"/>
      <c r="E1804" s="2" t="s">
        <v>25</v>
      </c>
      <c r="F1804" s="3" t="n">
        <v>7.6E-005</v>
      </c>
      <c r="G1804" s="3" t="n">
        <f aca="false">SUM($F$2:F1804)</f>
        <v>0.918789</v>
      </c>
      <c r="H1804" s="4"/>
      <c r="I1804" s="5"/>
      <c r="J1804" s="4"/>
      <c r="K1804" s="5"/>
      <c r="L1804" s="6"/>
      <c r="M1804" s="5" t="str">
        <f aca="false">IF(AND(N(K1804)&gt;0,N(L1804)&gt;0),K1804/L1804,"")</f>
        <v/>
      </c>
      <c r="N1804" s="2" t="s">
        <v>1226</v>
      </c>
    </row>
    <row r="1805" customFormat="false" ht="15" hidden="false" customHeight="false" outlineLevel="0" collapsed="false">
      <c r="A1805" s="2" t="n">
        <v>1804</v>
      </c>
      <c r="B1805" s="2" t="s">
        <v>3902</v>
      </c>
      <c r="C1805" s="2" t="s">
        <v>3903</v>
      </c>
      <c r="D1805" s="2"/>
      <c r="E1805" s="2" t="s">
        <v>1345</v>
      </c>
      <c r="F1805" s="3" t="n">
        <v>7.6E-005</v>
      </c>
      <c r="G1805" s="3" t="n">
        <f aca="false">SUM($F$2:F1805)</f>
        <v>0.918865</v>
      </c>
      <c r="H1805" s="4"/>
      <c r="I1805" s="5"/>
      <c r="J1805" s="4"/>
      <c r="K1805" s="5"/>
      <c r="L1805" s="6"/>
      <c r="M1805" s="5" t="str">
        <f aca="false">IF(AND(N(K1805)&gt;0,N(L1805)&gt;0),K1805/L1805,"")</f>
        <v/>
      </c>
      <c r="N1805" s="2" t="s">
        <v>1226</v>
      </c>
    </row>
    <row r="1806" customFormat="false" ht="15" hidden="false" customHeight="false" outlineLevel="0" collapsed="false">
      <c r="A1806" s="2" t="n">
        <v>1805</v>
      </c>
      <c r="B1806" s="2" t="s">
        <v>3904</v>
      </c>
      <c r="C1806" s="2" t="s">
        <v>3905</v>
      </c>
      <c r="D1806" s="2"/>
      <c r="E1806" s="2" t="s">
        <v>29</v>
      </c>
      <c r="F1806" s="3" t="n">
        <v>7.6E-005</v>
      </c>
      <c r="G1806" s="3" t="n">
        <f aca="false">SUM($F$2:F1806)</f>
        <v>0.918941</v>
      </c>
      <c r="H1806" s="4"/>
      <c r="I1806" s="5"/>
      <c r="J1806" s="4"/>
      <c r="K1806" s="5"/>
      <c r="L1806" s="6"/>
      <c r="M1806" s="5" t="str">
        <f aca="false">IF(AND(N(K1806)&gt;0,N(L1806)&gt;0),K1806/L1806,"")</f>
        <v/>
      </c>
      <c r="N1806" s="2" t="s">
        <v>1226</v>
      </c>
    </row>
    <row r="1807" customFormat="false" ht="15" hidden="false" customHeight="false" outlineLevel="0" collapsed="false">
      <c r="A1807" s="2" t="n">
        <v>1806</v>
      </c>
      <c r="B1807" s="2" t="s">
        <v>3906</v>
      </c>
      <c r="C1807" s="2" t="s">
        <v>3907</v>
      </c>
      <c r="D1807" s="2"/>
      <c r="E1807" s="2" t="s">
        <v>289</v>
      </c>
      <c r="F1807" s="3" t="n">
        <v>7.6E-005</v>
      </c>
      <c r="G1807" s="3" t="n">
        <f aca="false">SUM($F$2:F1807)</f>
        <v>0.919017</v>
      </c>
      <c r="H1807" s="4"/>
      <c r="I1807" s="5"/>
      <c r="J1807" s="4"/>
      <c r="K1807" s="5"/>
      <c r="L1807" s="6"/>
      <c r="M1807" s="5" t="str">
        <f aca="false">IF(AND(N(K1807)&gt;0,N(L1807)&gt;0),K1807/L1807,"")</f>
        <v/>
      </c>
      <c r="N1807" s="2" t="s">
        <v>1226</v>
      </c>
    </row>
    <row r="1808" customFormat="false" ht="15" hidden="false" customHeight="false" outlineLevel="0" collapsed="false">
      <c r="A1808" s="2" t="n">
        <v>1807</v>
      </c>
      <c r="B1808" s="2" t="s">
        <v>3908</v>
      </c>
      <c r="C1808" s="2" t="s">
        <v>3909</v>
      </c>
      <c r="D1808" s="2"/>
      <c r="E1808" s="2" t="s">
        <v>679</v>
      </c>
      <c r="F1808" s="3" t="n">
        <v>7.6E-005</v>
      </c>
      <c r="G1808" s="3" t="n">
        <f aca="false">SUM($F$2:F1808)</f>
        <v>0.919093</v>
      </c>
      <c r="H1808" s="4"/>
      <c r="I1808" s="5"/>
      <c r="J1808" s="4"/>
      <c r="K1808" s="5"/>
      <c r="L1808" s="6"/>
      <c r="M1808" s="5" t="str">
        <f aca="false">IF(AND(N(K1808)&gt;0,N(L1808)&gt;0),K1808/L1808,"")</f>
        <v/>
      </c>
      <c r="N1808" s="2" t="s">
        <v>1226</v>
      </c>
    </row>
    <row r="1809" customFormat="false" ht="15" hidden="false" customHeight="false" outlineLevel="0" collapsed="false">
      <c r="A1809" s="2" t="n">
        <v>1808</v>
      </c>
      <c r="B1809" s="2" t="s">
        <v>3910</v>
      </c>
      <c r="C1809" s="2" t="s">
        <v>3911</v>
      </c>
      <c r="D1809" s="2"/>
      <c r="E1809" s="2" t="s">
        <v>48</v>
      </c>
      <c r="F1809" s="3" t="n">
        <v>7.6E-005</v>
      </c>
      <c r="G1809" s="3" t="n">
        <f aca="false">SUM($F$2:F1809)</f>
        <v>0.919169</v>
      </c>
      <c r="H1809" s="4"/>
      <c r="I1809" s="5"/>
      <c r="J1809" s="4"/>
      <c r="K1809" s="5"/>
      <c r="L1809" s="6"/>
      <c r="M1809" s="5" t="str">
        <f aca="false">IF(AND(N(K1809)&gt;0,N(L1809)&gt;0),K1809/L1809,"")</f>
        <v/>
      </c>
      <c r="N1809" s="2" t="s">
        <v>1226</v>
      </c>
    </row>
    <row r="1810" customFormat="false" ht="15" hidden="false" customHeight="false" outlineLevel="0" collapsed="false">
      <c r="A1810" s="2" t="n">
        <v>1809</v>
      </c>
      <c r="B1810" s="2" t="s">
        <v>3912</v>
      </c>
      <c r="C1810" s="2" t="s">
        <v>3913</v>
      </c>
      <c r="D1810" s="2"/>
      <c r="E1810" s="2" t="s">
        <v>82</v>
      </c>
      <c r="F1810" s="3" t="n">
        <v>7.6E-005</v>
      </c>
      <c r="G1810" s="3" t="n">
        <f aca="false">SUM($F$2:F1810)</f>
        <v>0.919245</v>
      </c>
      <c r="H1810" s="4"/>
      <c r="I1810" s="5"/>
      <c r="J1810" s="4"/>
      <c r="K1810" s="5"/>
      <c r="L1810" s="6"/>
      <c r="M1810" s="5" t="str">
        <f aca="false">IF(AND(N(K1810)&gt;0,N(L1810)&gt;0),K1810/L1810,"")</f>
        <v/>
      </c>
      <c r="N1810" s="2" t="s">
        <v>1226</v>
      </c>
    </row>
    <row r="1811" customFormat="false" ht="15" hidden="false" customHeight="false" outlineLevel="0" collapsed="false">
      <c r="A1811" s="2" t="n">
        <v>1810</v>
      </c>
      <c r="B1811" s="2" t="s">
        <v>3914</v>
      </c>
      <c r="C1811" s="2" t="s">
        <v>3915</v>
      </c>
      <c r="D1811" s="2"/>
      <c r="E1811" s="2" t="s">
        <v>25</v>
      </c>
      <c r="F1811" s="3" t="n">
        <v>7.6E-005</v>
      </c>
      <c r="G1811" s="3" t="n">
        <f aca="false">SUM($F$2:F1811)</f>
        <v>0.919321</v>
      </c>
      <c r="H1811" s="4"/>
      <c r="I1811" s="5"/>
      <c r="J1811" s="4"/>
      <c r="K1811" s="5"/>
      <c r="L1811" s="6"/>
      <c r="M1811" s="5" t="str">
        <f aca="false">IF(AND(N(K1811)&gt;0,N(L1811)&gt;0),K1811/L1811,"")</f>
        <v/>
      </c>
      <c r="N1811" s="2" t="s">
        <v>1226</v>
      </c>
    </row>
    <row r="1812" customFormat="false" ht="15" hidden="false" customHeight="false" outlineLevel="0" collapsed="false">
      <c r="A1812" s="2" t="n">
        <v>1811</v>
      </c>
      <c r="B1812" s="2" t="s">
        <v>3916</v>
      </c>
      <c r="C1812" s="2" t="s">
        <v>3917</v>
      </c>
      <c r="D1812" s="2"/>
      <c r="E1812" s="2" t="s">
        <v>25</v>
      </c>
      <c r="F1812" s="3" t="n">
        <v>7.6E-005</v>
      </c>
      <c r="G1812" s="3" t="n">
        <f aca="false">SUM($F$2:F1812)</f>
        <v>0.919397</v>
      </c>
      <c r="H1812" s="4"/>
      <c r="I1812" s="5"/>
      <c r="J1812" s="4"/>
      <c r="K1812" s="5"/>
      <c r="L1812" s="6"/>
      <c r="M1812" s="5" t="str">
        <f aca="false">IF(AND(N(K1812)&gt;0,N(L1812)&gt;0),K1812/L1812,"")</f>
        <v/>
      </c>
      <c r="N1812" s="2" t="s">
        <v>1226</v>
      </c>
    </row>
    <row r="1813" customFormat="false" ht="15" hidden="false" customHeight="false" outlineLevel="0" collapsed="false">
      <c r="A1813" s="2" t="n">
        <v>1812</v>
      </c>
      <c r="B1813" s="2" t="s">
        <v>3918</v>
      </c>
      <c r="C1813" s="2" t="s">
        <v>3919</v>
      </c>
      <c r="D1813" s="2"/>
      <c r="E1813" s="2" t="s">
        <v>25</v>
      </c>
      <c r="F1813" s="3" t="n">
        <v>7.5E-005</v>
      </c>
      <c r="G1813" s="3" t="n">
        <f aca="false">SUM($F$2:F1813)</f>
        <v>0.919472</v>
      </c>
      <c r="H1813" s="4"/>
      <c r="I1813" s="5"/>
      <c r="J1813" s="4"/>
      <c r="K1813" s="5"/>
      <c r="L1813" s="6"/>
      <c r="M1813" s="5" t="str">
        <f aca="false">IF(AND(N(K1813)&gt;0,N(L1813)&gt;0),K1813/L1813,"")</f>
        <v/>
      </c>
      <c r="N1813" s="2" t="s">
        <v>1226</v>
      </c>
    </row>
    <row r="1814" customFormat="false" ht="15" hidden="false" customHeight="false" outlineLevel="0" collapsed="false">
      <c r="A1814" s="2" t="n">
        <v>1813</v>
      </c>
      <c r="B1814" s="2" t="s">
        <v>3920</v>
      </c>
      <c r="C1814" s="2" t="s">
        <v>3921</v>
      </c>
      <c r="D1814" s="2"/>
      <c r="E1814" s="2" t="s">
        <v>25</v>
      </c>
      <c r="F1814" s="3" t="n">
        <v>7.5E-005</v>
      </c>
      <c r="G1814" s="3" t="n">
        <f aca="false">SUM($F$2:F1814)</f>
        <v>0.919547</v>
      </c>
      <c r="H1814" s="4"/>
      <c r="I1814" s="5"/>
      <c r="J1814" s="4"/>
      <c r="K1814" s="5"/>
      <c r="L1814" s="6"/>
      <c r="M1814" s="5" t="str">
        <f aca="false">IF(AND(N(K1814)&gt;0,N(L1814)&gt;0),K1814/L1814,"")</f>
        <v/>
      </c>
      <c r="N1814" s="2" t="s">
        <v>1226</v>
      </c>
    </row>
    <row r="1815" customFormat="false" ht="15" hidden="false" customHeight="false" outlineLevel="0" collapsed="false">
      <c r="A1815" s="2" t="n">
        <v>1814</v>
      </c>
      <c r="B1815" s="2" t="s">
        <v>3922</v>
      </c>
      <c r="C1815" s="2" t="s">
        <v>3923</v>
      </c>
      <c r="D1815" s="2"/>
      <c r="E1815" s="2" t="s">
        <v>52</v>
      </c>
      <c r="F1815" s="3" t="n">
        <v>7.5E-005</v>
      </c>
      <c r="G1815" s="3" t="n">
        <f aca="false">SUM($F$2:F1815)</f>
        <v>0.919622</v>
      </c>
      <c r="H1815" s="4"/>
      <c r="I1815" s="5"/>
      <c r="J1815" s="4"/>
      <c r="K1815" s="5"/>
      <c r="L1815" s="6"/>
      <c r="M1815" s="5" t="str">
        <f aca="false">IF(AND(N(K1815)&gt;0,N(L1815)&gt;0),K1815/L1815,"")</f>
        <v/>
      </c>
      <c r="N1815" s="2" t="s">
        <v>1226</v>
      </c>
    </row>
    <row r="1816" customFormat="false" ht="15" hidden="false" customHeight="false" outlineLevel="0" collapsed="false">
      <c r="A1816" s="2" t="n">
        <v>1815</v>
      </c>
      <c r="B1816" s="2" t="s">
        <v>3924</v>
      </c>
      <c r="C1816" s="2" t="s">
        <v>3925</v>
      </c>
      <c r="D1816" s="2"/>
      <c r="E1816" s="2" t="s">
        <v>199</v>
      </c>
      <c r="F1816" s="3" t="n">
        <v>7.5E-005</v>
      </c>
      <c r="G1816" s="3" t="n">
        <f aca="false">SUM($F$2:F1816)</f>
        <v>0.919697</v>
      </c>
      <c r="H1816" s="4"/>
      <c r="I1816" s="5"/>
      <c r="J1816" s="4"/>
      <c r="K1816" s="5"/>
      <c r="L1816" s="6"/>
      <c r="M1816" s="5" t="str">
        <f aca="false">IF(AND(N(K1816)&gt;0,N(L1816)&gt;0),K1816/L1816,"")</f>
        <v/>
      </c>
      <c r="N1816" s="2" t="s">
        <v>1226</v>
      </c>
    </row>
    <row r="1817" customFormat="false" ht="15" hidden="false" customHeight="false" outlineLevel="0" collapsed="false">
      <c r="A1817" s="2" t="n">
        <v>1816</v>
      </c>
      <c r="B1817" s="2" t="s">
        <v>3926</v>
      </c>
      <c r="C1817" s="2" t="s">
        <v>3927</v>
      </c>
      <c r="D1817" s="2"/>
      <c r="E1817" s="2" t="s">
        <v>33</v>
      </c>
      <c r="F1817" s="3" t="n">
        <v>7.5E-005</v>
      </c>
      <c r="G1817" s="3" t="n">
        <f aca="false">SUM($F$2:F1817)</f>
        <v>0.919772</v>
      </c>
      <c r="H1817" s="4"/>
      <c r="I1817" s="5"/>
      <c r="J1817" s="4"/>
      <c r="K1817" s="5"/>
      <c r="L1817" s="6"/>
      <c r="M1817" s="5" t="str">
        <f aca="false">IF(AND(N(K1817)&gt;0,N(L1817)&gt;0),K1817/L1817,"")</f>
        <v/>
      </c>
      <c r="N1817" s="2" t="s">
        <v>1226</v>
      </c>
    </row>
    <row r="1818" customFormat="false" ht="15" hidden="false" customHeight="false" outlineLevel="0" collapsed="false">
      <c r="A1818" s="2" t="n">
        <v>1817</v>
      </c>
      <c r="B1818" s="2" t="s">
        <v>3928</v>
      </c>
      <c r="C1818" s="2" t="s">
        <v>3929</v>
      </c>
      <c r="D1818" s="2"/>
      <c r="E1818" s="2" t="s">
        <v>52</v>
      </c>
      <c r="F1818" s="3" t="n">
        <v>7.5E-005</v>
      </c>
      <c r="G1818" s="3" t="n">
        <f aca="false">SUM($F$2:F1818)</f>
        <v>0.919847</v>
      </c>
      <c r="H1818" s="4"/>
      <c r="I1818" s="5"/>
      <c r="J1818" s="4"/>
      <c r="K1818" s="5"/>
      <c r="L1818" s="6"/>
      <c r="M1818" s="5" t="str">
        <f aca="false">IF(AND(N(K1818)&gt;0,N(L1818)&gt;0),K1818/L1818,"")</f>
        <v/>
      </c>
      <c r="N1818" s="2" t="s">
        <v>1226</v>
      </c>
    </row>
    <row r="1819" customFormat="false" ht="15" hidden="false" customHeight="false" outlineLevel="0" collapsed="false">
      <c r="A1819" s="2" t="n">
        <v>1818</v>
      </c>
      <c r="B1819" s="2" t="s">
        <v>3930</v>
      </c>
      <c r="C1819" s="2" t="s">
        <v>3931</v>
      </c>
      <c r="D1819" s="2"/>
      <c r="E1819" s="2" t="s">
        <v>52</v>
      </c>
      <c r="F1819" s="3" t="n">
        <v>7.5E-005</v>
      </c>
      <c r="G1819" s="3" t="n">
        <f aca="false">SUM($F$2:F1819)</f>
        <v>0.919922</v>
      </c>
      <c r="H1819" s="4"/>
      <c r="I1819" s="5"/>
      <c r="J1819" s="4"/>
      <c r="K1819" s="5"/>
      <c r="L1819" s="6"/>
      <c r="M1819" s="5" t="str">
        <f aca="false">IF(AND(N(K1819)&gt;0,N(L1819)&gt;0),K1819/L1819,"")</f>
        <v/>
      </c>
      <c r="N1819" s="2" t="s">
        <v>1226</v>
      </c>
    </row>
    <row r="1820" customFormat="false" ht="15" hidden="false" customHeight="false" outlineLevel="0" collapsed="false">
      <c r="A1820" s="2" t="n">
        <v>1819</v>
      </c>
      <c r="B1820" s="2" t="s">
        <v>3932</v>
      </c>
      <c r="C1820" s="2" t="s">
        <v>3933</v>
      </c>
      <c r="D1820" s="2"/>
      <c r="E1820" s="2" t="s">
        <v>334</v>
      </c>
      <c r="F1820" s="3" t="n">
        <v>7.5E-005</v>
      </c>
      <c r="G1820" s="3" t="n">
        <f aca="false">SUM($F$2:F1820)</f>
        <v>0.919997</v>
      </c>
      <c r="H1820" s="4"/>
      <c r="I1820" s="5"/>
      <c r="J1820" s="4"/>
      <c r="K1820" s="5"/>
      <c r="L1820" s="6"/>
      <c r="M1820" s="5" t="str">
        <f aca="false">IF(AND(N(K1820)&gt;0,N(L1820)&gt;0),K1820/L1820,"")</f>
        <v/>
      </c>
      <c r="N1820" s="2" t="s">
        <v>1226</v>
      </c>
    </row>
    <row r="1821" customFormat="false" ht="15" hidden="false" customHeight="false" outlineLevel="0" collapsed="false">
      <c r="A1821" s="2" t="n">
        <v>1820</v>
      </c>
      <c r="B1821" s="2" t="s">
        <v>3934</v>
      </c>
      <c r="C1821" s="2" t="s">
        <v>3935</v>
      </c>
      <c r="D1821" s="2"/>
      <c r="E1821" s="2" t="s">
        <v>539</v>
      </c>
      <c r="F1821" s="3" t="n">
        <v>7.5E-005</v>
      </c>
      <c r="G1821" s="3" t="n">
        <f aca="false">SUM($F$2:F1821)</f>
        <v>0.920072</v>
      </c>
      <c r="H1821" s="4"/>
      <c r="I1821" s="5"/>
      <c r="J1821" s="4"/>
      <c r="K1821" s="5"/>
      <c r="L1821" s="6"/>
      <c r="M1821" s="5" t="str">
        <f aca="false">IF(AND(N(K1821)&gt;0,N(L1821)&gt;0),K1821/L1821,"")</f>
        <v/>
      </c>
      <c r="N1821" s="2" t="s">
        <v>1226</v>
      </c>
    </row>
    <row r="1822" customFormat="false" ht="15" hidden="false" customHeight="false" outlineLevel="0" collapsed="false">
      <c r="A1822" s="2" t="n">
        <v>1821</v>
      </c>
      <c r="B1822" s="2" t="s">
        <v>3936</v>
      </c>
      <c r="C1822" s="2" t="s">
        <v>3937</v>
      </c>
      <c r="D1822" s="2"/>
      <c r="E1822" s="2" t="s">
        <v>1345</v>
      </c>
      <c r="F1822" s="3" t="n">
        <v>7.5E-005</v>
      </c>
      <c r="G1822" s="3" t="n">
        <f aca="false">SUM($F$2:F1822)</f>
        <v>0.920147</v>
      </c>
      <c r="H1822" s="4"/>
      <c r="I1822" s="5"/>
      <c r="J1822" s="4"/>
      <c r="K1822" s="5"/>
      <c r="L1822" s="6"/>
      <c r="M1822" s="5" t="str">
        <f aca="false">IF(AND(N(K1822)&gt;0,N(L1822)&gt;0),K1822/L1822,"")</f>
        <v/>
      </c>
      <c r="N1822" s="2" t="s">
        <v>1226</v>
      </c>
    </row>
    <row r="1823" customFormat="false" ht="15" hidden="false" customHeight="false" outlineLevel="0" collapsed="false">
      <c r="A1823" s="2" t="n">
        <v>1822</v>
      </c>
      <c r="B1823" s="2" t="s">
        <v>3938</v>
      </c>
      <c r="C1823" s="2" t="s">
        <v>3939</v>
      </c>
      <c r="D1823" s="2"/>
      <c r="E1823" s="2" t="s">
        <v>25</v>
      </c>
      <c r="F1823" s="3" t="n">
        <v>7.5E-005</v>
      </c>
      <c r="G1823" s="3" t="n">
        <f aca="false">SUM($F$2:F1823)</f>
        <v>0.920222</v>
      </c>
      <c r="H1823" s="4"/>
      <c r="I1823" s="5"/>
      <c r="J1823" s="4"/>
      <c r="K1823" s="5"/>
      <c r="L1823" s="6"/>
      <c r="M1823" s="5" t="str">
        <f aca="false">IF(AND(N(K1823)&gt;0,N(L1823)&gt;0),K1823/L1823,"")</f>
        <v/>
      </c>
      <c r="N1823" s="2" t="s">
        <v>1226</v>
      </c>
    </row>
    <row r="1824" customFormat="false" ht="15" hidden="false" customHeight="false" outlineLevel="0" collapsed="false">
      <c r="A1824" s="2" t="n">
        <v>1823</v>
      </c>
      <c r="B1824" s="2" t="s">
        <v>3940</v>
      </c>
      <c r="C1824" s="2" t="s">
        <v>3941</v>
      </c>
      <c r="D1824" s="2"/>
      <c r="E1824" s="2" t="s">
        <v>1295</v>
      </c>
      <c r="F1824" s="3" t="n">
        <v>7.4E-005</v>
      </c>
      <c r="G1824" s="3" t="n">
        <f aca="false">SUM($F$2:F1824)</f>
        <v>0.920296</v>
      </c>
      <c r="H1824" s="4"/>
      <c r="I1824" s="5"/>
      <c r="J1824" s="4"/>
      <c r="K1824" s="5"/>
      <c r="L1824" s="6"/>
      <c r="M1824" s="5" t="str">
        <f aca="false">IF(AND(N(K1824)&gt;0,N(L1824)&gt;0),K1824/L1824,"")</f>
        <v/>
      </c>
      <c r="N1824" s="2" t="s">
        <v>1226</v>
      </c>
    </row>
    <row r="1825" customFormat="false" ht="15" hidden="false" customHeight="false" outlineLevel="0" collapsed="false">
      <c r="A1825" s="2" t="n">
        <v>1824</v>
      </c>
      <c r="B1825" s="2" t="s">
        <v>3942</v>
      </c>
      <c r="C1825" s="2" t="s">
        <v>3943</v>
      </c>
      <c r="D1825" s="2"/>
      <c r="E1825" s="2" t="s">
        <v>52</v>
      </c>
      <c r="F1825" s="3" t="n">
        <v>7.4E-005</v>
      </c>
      <c r="G1825" s="3" t="n">
        <f aca="false">SUM($F$2:F1825)</f>
        <v>0.92037</v>
      </c>
      <c r="H1825" s="4"/>
      <c r="I1825" s="5"/>
      <c r="J1825" s="4"/>
      <c r="K1825" s="5"/>
      <c r="L1825" s="6"/>
      <c r="M1825" s="5" t="str">
        <f aca="false">IF(AND(N(K1825)&gt;0,N(L1825)&gt;0),K1825/L1825,"")</f>
        <v/>
      </c>
      <c r="N1825" s="2" t="s">
        <v>1226</v>
      </c>
    </row>
    <row r="1826" customFormat="false" ht="15" hidden="false" customHeight="false" outlineLevel="0" collapsed="false">
      <c r="A1826" s="2" t="n">
        <v>1825</v>
      </c>
      <c r="B1826" s="2" t="s">
        <v>3944</v>
      </c>
      <c r="C1826" s="2" t="s">
        <v>3945</v>
      </c>
      <c r="D1826" s="2"/>
      <c r="E1826" s="2" t="s">
        <v>1050</v>
      </c>
      <c r="F1826" s="3" t="n">
        <v>7.4E-005</v>
      </c>
      <c r="G1826" s="3" t="n">
        <f aca="false">SUM($F$2:F1826)</f>
        <v>0.920444</v>
      </c>
      <c r="H1826" s="4"/>
      <c r="I1826" s="5"/>
      <c r="J1826" s="4"/>
      <c r="K1826" s="5"/>
      <c r="L1826" s="6"/>
      <c r="M1826" s="5" t="str">
        <f aca="false">IF(AND(N(K1826)&gt;0,N(L1826)&gt;0),K1826/L1826,"")</f>
        <v/>
      </c>
      <c r="N1826" s="2" t="s">
        <v>1226</v>
      </c>
    </row>
    <row r="1827" customFormat="false" ht="15" hidden="false" customHeight="false" outlineLevel="0" collapsed="false">
      <c r="A1827" s="2" t="n">
        <v>1826</v>
      </c>
      <c r="B1827" s="2" t="s">
        <v>3946</v>
      </c>
      <c r="C1827" s="2" t="s">
        <v>3947</v>
      </c>
      <c r="D1827" s="2"/>
      <c r="E1827" s="2" t="s">
        <v>52</v>
      </c>
      <c r="F1827" s="3" t="n">
        <v>7.4E-005</v>
      </c>
      <c r="G1827" s="3" t="n">
        <f aca="false">SUM($F$2:F1827)</f>
        <v>0.920518</v>
      </c>
      <c r="H1827" s="4"/>
      <c r="I1827" s="5"/>
      <c r="J1827" s="4"/>
      <c r="K1827" s="5"/>
      <c r="L1827" s="6"/>
      <c r="M1827" s="5" t="str">
        <f aca="false">IF(AND(N(K1827)&gt;0,N(L1827)&gt;0),K1827/L1827,"")</f>
        <v/>
      </c>
      <c r="N1827" s="2" t="s">
        <v>1226</v>
      </c>
    </row>
    <row r="1828" customFormat="false" ht="15" hidden="false" customHeight="false" outlineLevel="0" collapsed="false">
      <c r="A1828" s="2" t="n">
        <v>1827</v>
      </c>
      <c r="B1828" s="2" t="s">
        <v>3948</v>
      </c>
      <c r="C1828" s="2" t="s">
        <v>3949</v>
      </c>
      <c r="D1828" s="2"/>
      <c r="E1828" s="2" t="s">
        <v>25</v>
      </c>
      <c r="F1828" s="3" t="n">
        <v>7.4E-005</v>
      </c>
      <c r="G1828" s="3" t="n">
        <f aca="false">SUM($F$2:F1828)</f>
        <v>0.920592</v>
      </c>
      <c r="H1828" s="4"/>
      <c r="I1828" s="5"/>
      <c r="J1828" s="4"/>
      <c r="K1828" s="5"/>
      <c r="L1828" s="6"/>
      <c r="M1828" s="5" t="str">
        <f aca="false">IF(AND(N(K1828)&gt;0,N(L1828)&gt;0),K1828/L1828,"")</f>
        <v/>
      </c>
      <c r="N1828" s="2" t="s">
        <v>1226</v>
      </c>
    </row>
    <row r="1829" customFormat="false" ht="15" hidden="false" customHeight="false" outlineLevel="0" collapsed="false">
      <c r="A1829" s="2" t="n">
        <v>1828</v>
      </c>
      <c r="B1829" s="2" t="s">
        <v>3950</v>
      </c>
      <c r="C1829" s="2" t="s">
        <v>3951</v>
      </c>
      <c r="D1829" s="2"/>
      <c r="E1829" s="2" t="s">
        <v>48</v>
      </c>
      <c r="F1829" s="3" t="n">
        <v>7.4E-005</v>
      </c>
      <c r="G1829" s="3" t="n">
        <f aca="false">SUM($F$2:F1829)</f>
        <v>0.920666</v>
      </c>
      <c r="H1829" s="4"/>
      <c r="I1829" s="5"/>
      <c r="J1829" s="4"/>
      <c r="K1829" s="5"/>
      <c r="L1829" s="6"/>
      <c r="M1829" s="5" t="str">
        <f aca="false">IF(AND(N(K1829)&gt;0,N(L1829)&gt;0),K1829/L1829,"")</f>
        <v/>
      </c>
      <c r="N1829" s="2" t="s">
        <v>1226</v>
      </c>
    </row>
    <row r="1830" customFormat="false" ht="15" hidden="false" customHeight="false" outlineLevel="0" collapsed="false">
      <c r="A1830" s="2" t="n">
        <v>1829</v>
      </c>
      <c r="B1830" s="2" t="s">
        <v>1175</v>
      </c>
      <c r="C1830" s="2" t="s">
        <v>3952</v>
      </c>
      <c r="D1830" s="2"/>
      <c r="E1830" s="2" t="s">
        <v>52</v>
      </c>
      <c r="F1830" s="3" t="n">
        <v>7.4E-005</v>
      </c>
      <c r="G1830" s="3" t="n">
        <f aca="false">SUM($F$2:F1830)</f>
        <v>0.92074</v>
      </c>
      <c r="H1830" s="4"/>
      <c r="I1830" s="5"/>
      <c r="J1830" s="4"/>
      <c r="K1830" s="5"/>
      <c r="L1830" s="6"/>
      <c r="M1830" s="5" t="str">
        <f aca="false">IF(AND(N(K1830)&gt;0,N(L1830)&gt;0),K1830/L1830,"")</f>
        <v/>
      </c>
      <c r="N1830" s="2" t="s">
        <v>1226</v>
      </c>
    </row>
    <row r="1831" customFormat="false" ht="15" hidden="false" customHeight="false" outlineLevel="0" collapsed="false">
      <c r="A1831" s="2" t="n">
        <v>1830</v>
      </c>
      <c r="B1831" s="2" t="s">
        <v>3953</v>
      </c>
      <c r="C1831" s="2" t="s">
        <v>3954</v>
      </c>
      <c r="D1831" s="2"/>
      <c r="E1831" s="2" t="s">
        <v>765</v>
      </c>
      <c r="F1831" s="3" t="n">
        <v>7.4E-005</v>
      </c>
      <c r="G1831" s="3" t="n">
        <f aca="false">SUM($F$2:F1831)</f>
        <v>0.920814</v>
      </c>
      <c r="H1831" s="4"/>
      <c r="I1831" s="5"/>
      <c r="J1831" s="4"/>
      <c r="K1831" s="5"/>
      <c r="L1831" s="6"/>
      <c r="M1831" s="5" t="str">
        <f aca="false">IF(AND(N(K1831)&gt;0,N(L1831)&gt;0),K1831/L1831,"")</f>
        <v/>
      </c>
      <c r="N1831" s="2" t="s">
        <v>1226</v>
      </c>
    </row>
    <row r="1832" customFormat="false" ht="15" hidden="false" customHeight="false" outlineLevel="0" collapsed="false">
      <c r="A1832" s="2" t="n">
        <v>1831</v>
      </c>
      <c r="B1832" s="2" t="s">
        <v>3955</v>
      </c>
      <c r="C1832" s="2" t="s">
        <v>3956</v>
      </c>
      <c r="D1832" s="2"/>
      <c r="E1832" s="2" t="s">
        <v>289</v>
      </c>
      <c r="F1832" s="3" t="n">
        <v>7.4E-005</v>
      </c>
      <c r="G1832" s="3" t="n">
        <f aca="false">SUM($F$2:F1832)</f>
        <v>0.920888</v>
      </c>
      <c r="H1832" s="4"/>
      <c r="I1832" s="5"/>
      <c r="J1832" s="4"/>
      <c r="K1832" s="5"/>
      <c r="L1832" s="6"/>
      <c r="M1832" s="5" t="str">
        <f aca="false">IF(AND(N(K1832)&gt;0,N(L1832)&gt;0),K1832/L1832,"")</f>
        <v/>
      </c>
      <c r="N1832" s="2" t="s">
        <v>1226</v>
      </c>
    </row>
    <row r="1833" customFormat="false" ht="15" hidden="false" customHeight="false" outlineLevel="0" collapsed="false">
      <c r="A1833" s="2" t="n">
        <v>1832</v>
      </c>
      <c r="B1833" s="2" t="s">
        <v>3957</v>
      </c>
      <c r="C1833" s="2" t="s">
        <v>3958</v>
      </c>
      <c r="D1833" s="2"/>
      <c r="E1833" s="2" t="s">
        <v>1588</v>
      </c>
      <c r="F1833" s="3" t="n">
        <v>7.4E-005</v>
      </c>
      <c r="G1833" s="3" t="n">
        <f aca="false">SUM($F$2:F1833)</f>
        <v>0.920962</v>
      </c>
      <c r="H1833" s="4"/>
      <c r="I1833" s="5"/>
      <c r="J1833" s="4"/>
      <c r="K1833" s="5"/>
      <c r="L1833" s="6"/>
      <c r="M1833" s="5" t="str">
        <f aca="false">IF(AND(N(K1833)&gt;0,N(L1833)&gt;0),K1833/L1833,"")</f>
        <v/>
      </c>
      <c r="N1833" s="2" t="s">
        <v>1226</v>
      </c>
    </row>
    <row r="1834" customFormat="false" ht="15" hidden="false" customHeight="false" outlineLevel="0" collapsed="false">
      <c r="A1834" s="2" t="n">
        <v>1833</v>
      </c>
      <c r="B1834" s="2" t="s">
        <v>3959</v>
      </c>
      <c r="C1834" s="2" t="s">
        <v>3960</v>
      </c>
      <c r="D1834" s="2"/>
      <c r="E1834" s="2" t="s">
        <v>29</v>
      </c>
      <c r="F1834" s="3" t="n">
        <v>7.4E-005</v>
      </c>
      <c r="G1834" s="3" t="n">
        <f aca="false">SUM($F$2:F1834)</f>
        <v>0.921036</v>
      </c>
      <c r="H1834" s="4"/>
      <c r="I1834" s="5"/>
      <c r="J1834" s="4"/>
      <c r="K1834" s="5"/>
      <c r="L1834" s="6"/>
      <c r="M1834" s="5" t="str">
        <f aca="false">IF(AND(N(K1834)&gt;0,N(L1834)&gt;0),K1834/L1834,"")</f>
        <v/>
      </c>
      <c r="N1834" s="2" t="s">
        <v>1226</v>
      </c>
    </row>
    <row r="1835" customFormat="false" ht="15" hidden="false" customHeight="false" outlineLevel="0" collapsed="false">
      <c r="A1835" s="2" t="n">
        <v>1834</v>
      </c>
      <c r="B1835" s="2" t="s">
        <v>3961</v>
      </c>
      <c r="C1835" s="2" t="s">
        <v>3962</v>
      </c>
      <c r="D1835" s="2"/>
      <c r="E1835" s="2" t="s">
        <v>17</v>
      </c>
      <c r="F1835" s="3" t="n">
        <v>7.4E-005</v>
      </c>
      <c r="G1835" s="3" t="n">
        <f aca="false">SUM($F$2:F1835)</f>
        <v>0.92111</v>
      </c>
      <c r="H1835" s="4"/>
      <c r="I1835" s="5"/>
      <c r="J1835" s="4"/>
      <c r="K1835" s="5"/>
      <c r="L1835" s="6"/>
      <c r="M1835" s="5" t="str">
        <f aca="false">IF(AND(N(K1835)&gt;0,N(L1835)&gt;0),K1835/L1835,"")</f>
        <v/>
      </c>
      <c r="N1835" s="2" t="s">
        <v>1226</v>
      </c>
    </row>
    <row r="1836" customFormat="false" ht="15" hidden="false" customHeight="false" outlineLevel="0" collapsed="false">
      <c r="A1836" s="2" t="n">
        <v>1835</v>
      </c>
      <c r="B1836" s="2" t="s">
        <v>3963</v>
      </c>
      <c r="C1836" s="2" t="s">
        <v>3964</v>
      </c>
      <c r="D1836" s="2"/>
      <c r="E1836" s="2" t="s">
        <v>167</v>
      </c>
      <c r="F1836" s="3" t="n">
        <v>7.4E-005</v>
      </c>
      <c r="G1836" s="3" t="n">
        <f aca="false">SUM($F$2:F1836)</f>
        <v>0.921184</v>
      </c>
      <c r="H1836" s="4"/>
      <c r="I1836" s="5"/>
      <c r="J1836" s="4"/>
      <c r="K1836" s="5"/>
      <c r="L1836" s="6"/>
      <c r="M1836" s="5" t="str">
        <f aca="false">IF(AND(N(K1836)&gt;0,N(L1836)&gt;0),K1836/L1836,"")</f>
        <v/>
      </c>
      <c r="N1836" s="2" t="s">
        <v>1226</v>
      </c>
    </row>
    <row r="1837" customFormat="false" ht="15" hidden="false" customHeight="false" outlineLevel="0" collapsed="false">
      <c r="A1837" s="2" t="n">
        <v>1836</v>
      </c>
      <c r="B1837" s="2" t="s">
        <v>3965</v>
      </c>
      <c r="C1837" s="2" t="s">
        <v>3966</v>
      </c>
      <c r="D1837" s="2"/>
      <c r="E1837" s="2" t="s">
        <v>33</v>
      </c>
      <c r="F1837" s="3" t="n">
        <v>7.4E-005</v>
      </c>
      <c r="G1837" s="3" t="n">
        <f aca="false">SUM($F$2:F1837)</f>
        <v>0.921258</v>
      </c>
      <c r="H1837" s="4"/>
      <c r="I1837" s="5"/>
      <c r="J1837" s="4"/>
      <c r="K1837" s="5"/>
      <c r="L1837" s="6"/>
      <c r="M1837" s="5" t="str">
        <f aca="false">IF(AND(N(K1837)&gt;0,N(L1837)&gt;0),K1837/L1837,"")</f>
        <v/>
      </c>
      <c r="N1837" s="2" t="s">
        <v>1226</v>
      </c>
    </row>
    <row r="1838" customFormat="false" ht="15" hidden="false" customHeight="false" outlineLevel="0" collapsed="false">
      <c r="A1838" s="2" t="n">
        <v>1837</v>
      </c>
      <c r="B1838" s="2" t="s">
        <v>3967</v>
      </c>
      <c r="C1838" s="2" t="s">
        <v>3968</v>
      </c>
      <c r="D1838" s="2"/>
      <c r="E1838" s="2" t="s">
        <v>52</v>
      </c>
      <c r="F1838" s="3" t="n">
        <v>7.4E-005</v>
      </c>
      <c r="G1838" s="3" t="n">
        <f aca="false">SUM($F$2:F1838)</f>
        <v>0.921332</v>
      </c>
      <c r="H1838" s="4"/>
      <c r="I1838" s="5"/>
      <c r="J1838" s="4"/>
      <c r="K1838" s="5"/>
      <c r="L1838" s="6"/>
      <c r="M1838" s="5" t="str">
        <f aca="false">IF(AND(N(K1838)&gt;0,N(L1838)&gt;0),K1838/L1838,"")</f>
        <v/>
      </c>
      <c r="N1838" s="2" t="s">
        <v>1226</v>
      </c>
    </row>
    <row r="1839" customFormat="false" ht="15" hidden="false" customHeight="false" outlineLevel="0" collapsed="false">
      <c r="A1839" s="2" t="n">
        <v>1838</v>
      </c>
      <c r="B1839" s="2" t="s">
        <v>3969</v>
      </c>
      <c r="C1839" s="2" t="s">
        <v>3970</v>
      </c>
      <c r="D1839" s="2"/>
      <c r="E1839" s="2" t="s">
        <v>765</v>
      </c>
      <c r="F1839" s="3" t="n">
        <v>7.4E-005</v>
      </c>
      <c r="G1839" s="3" t="n">
        <f aca="false">SUM($F$2:F1839)</f>
        <v>0.921406</v>
      </c>
      <c r="H1839" s="4"/>
      <c r="I1839" s="5"/>
      <c r="J1839" s="4"/>
      <c r="K1839" s="5"/>
      <c r="L1839" s="6"/>
      <c r="M1839" s="5" t="str">
        <f aca="false">IF(AND(N(K1839)&gt;0,N(L1839)&gt;0),K1839/L1839,"")</f>
        <v/>
      </c>
      <c r="N1839" s="2" t="s">
        <v>1226</v>
      </c>
    </row>
    <row r="1840" customFormat="false" ht="15" hidden="false" customHeight="false" outlineLevel="0" collapsed="false">
      <c r="A1840" s="2" t="n">
        <v>1839</v>
      </c>
      <c r="B1840" s="2" t="s">
        <v>3971</v>
      </c>
      <c r="C1840" s="2" t="s">
        <v>3972</v>
      </c>
      <c r="D1840" s="2"/>
      <c r="E1840" s="2" t="s">
        <v>52</v>
      </c>
      <c r="F1840" s="3" t="n">
        <v>7.4E-005</v>
      </c>
      <c r="G1840" s="3" t="n">
        <f aca="false">SUM($F$2:F1840)</f>
        <v>0.92148</v>
      </c>
      <c r="H1840" s="4"/>
      <c r="I1840" s="5"/>
      <c r="J1840" s="4"/>
      <c r="K1840" s="5"/>
      <c r="L1840" s="6"/>
      <c r="M1840" s="5" t="str">
        <f aca="false">IF(AND(N(K1840)&gt;0,N(L1840)&gt;0),K1840/L1840,"")</f>
        <v/>
      </c>
      <c r="N1840" s="2" t="s">
        <v>1226</v>
      </c>
    </row>
    <row r="1841" customFormat="false" ht="15" hidden="false" customHeight="false" outlineLevel="0" collapsed="false">
      <c r="A1841" s="2" t="n">
        <v>1840</v>
      </c>
      <c r="B1841" s="2" t="s">
        <v>3973</v>
      </c>
      <c r="C1841" s="2" t="s">
        <v>3974</v>
      </c>
      <c r="D1841" s="2"/>
      <c r="E1841" s="2" t="s">
        <v>52</v>
      </c>
      <c r="F1841" s="3" t="n">
        <v>7.4E-005</v>
      </c>
      <c r="G1841" s="3" t="n">
        <f aca="false">SUM($F$2:F1841)</f>
        <v>0.921554</v>
      </c>
      <c r="H1841" s="4"/>
      <c r="I1841" s="5"/>
      <c r="J1841" s="4"/>
      <c r="K1841" s="5"/>
      <c r="L1841" s="6"/>
      <c r="M1841" s="5" t="str">
        <f aca="false">IF(AND(N(K1841)&gt;0,N(L1841)&gt;0),K1841/L1841,"")</f>
        <v/>
      </c>
      <c r="N1841" s="2" t="s">
        <v>1226</v>
      </c>
    </row>
    <row r="1842" customFormat="false" ht="15" hidden="false" customHeight="false" outlineLevel="0" collapsed="false">
      <c r="A1842" s="2" t="n">
        <v>1841</v>
      </c>
      <c r="B1842" s="2" t="s">
        <v>3975</v>
      </c>
      <c r="C1842" s="2" t="s">
        <v>3976</v>
      </c>
      <c r="D1842" s="2"/>
      <c r="E1842" s="2" t="s">
        <v>48</v>
      </c>
      <c r="F1842" s="3" t="n">
        <v>7.4E-005</v>
      </c>
      <c r="G1842" s="3" t="n">
        <f aca="false">SUM($F$2:F1842)</f>
        <v>0.921628</v>
      </c>
      <c r="H1842" s="4"/>
      <c r="I1842" s="5"/>
      <c r="J1842" s="4"/>
      <c r="K1842" s="5"/>
      <c r="L1842" s="6"/>
      <c r="M1842" s="5" t="str">
        <f aca="false">IF(AND(N(K1842)&gt;0,N(L1842)&gt;0),K1842/L1842,"")</f>
        <v/>
      </c>
      <c r="N1842" s="2" t="s">
        <v>1226</v>
      </c>
    </row>
    <row r="1843" customFormat="false" ht="15" hidden="false" customHeight="false" outlineLevel="0" collapsed="false">
      <c r="A1843" s="2" t="n">
        <v>1842</v>
      </c>
      <c r="B1843" s="2" t="s">
        <v>3977</v>
      </c>
      <c r="C1843" s="2" t="s">
        <v>3978</v>
      </c>
      <c r="D1843" s="2"/>
      <c r="E1843" s="2" t="s">
        <v>1215</v>
      </c>
      <c r="F1843" s="3" t="n">
        <v>7.3E-005</v>
      </c>
      <c r="G1843" s="3" t="n">
        <f aca="false">SUM($F$2:F1843)</f>
        <v>0.921701</v>
      </c>
      <c r="H1843" s="4"/>
      <c r="I1843" s="5"/>
      <c r="J1843" s="4"/>
      <c r="K1843" s="5"/>
      <c r="L1843" s="6"/>
      <c r="M1843" s="5" t="str">
        <f aca="false">IF(AND(N(K1843)&gt;0,N(L1843)&gt;0),K1843/L1843,"")</f>
        <v/>
      </c>
      <c r="N1843" s="2" t="s">
        <v>1226</v>
      </c>
    </row>
    <row r="1844" customFormat="false" ht="15" hidden="false" customHeight="false" outlineLevel="0" collapsed="false">
      <c r="A1844" s="2" t="n">
        <v>1843</v>
      </c>
      <c r="B1844" s="2" t="s">
        <v>3979</v>
      </c>
      <c r="C1844" s="2" t="s">
        <v>3980</v>
      </c>
      <c r="D1844" s="2"/>
      <c r="E1844" s="2" t="s">
        <v>52</v>
      </c>
      <c r="F1844" s="3" t="n">
        <v>7.3E-005</v>
      </c>
      <c r="G1844" s="3" t="n">
        <f aca="false">SUM($F$2:F1844)</f>
        <v>0.921774</v>
      </c>
      <c r="H1844" s="4"/>
      <c r="I1844" s="5"/>
      <c r="J1844" s="4"/>
      <c r="K1844" s="5"/>
      <c r="L1844" s="6"/>
      <c r="M1844" s="5" t="str">
        <f aca="false">IF(AND(N(K1844)&gt;0,N(L1844)&gt;0),K1844/L1844,"")</f>
        <v/>
      </c>
      <c r="N1844" s="2" t="s">
        <v>1226</v>
      </c>
    </row>
    <row r="1845" customFormat="false" ht="15" hidden="false" customHeight="false" outlineLevel="0" collapsed="false">
      <c r="A1845" s="2" t="n">
        <v>1844</v>
      </c>
      <c r="B1845" s="2" t="s">
        <v>3981</v>
      </c>
      <c r="C1845" s="2" t="s">
        <v>3982</v>
      </c>
      <c r="D1845" s="2"/>
      <c r="E1845" s="2" t="s">
        <v>52</v>
      </c>
      <c r="F1845" s="3" t="n">
        <v>7.3E-005</v>
      </c>
      <c r="G1845" s="3" t="n">
        <f aca="false">SUM($F$2:F1845)</f>
        <v>0.921847</v>
      </c>
      <c r="H1845" s="4"/>
      <c r="I1845" s="5"/>
      <c r="J1845" s="4"/>
      <c r="K1845" s="5"/>
      <c r="L1845" s="6"/>
      <c r="M1845" s="5" t="str">
        <f aca="false">IF(AND(N(K1845)&gt;0,N(L1845)&gt;0),K1845/L1845,"")</f>
        <v/>
      </c>
      <c r="N1845" s="2" t="s">
        <v>1226</v>
      </c>
    </row>
    <row r="1846" customFormat="false" ht="15" hidden="false" customHeight="false" outlineLevel="0" collapsed="false">
      <c r="A1846" s="2" t="n">
        <v>1845</v>
      </c>
      <c r="B1846" s="2" t="s">
        <v>3983</v>
      </c>
      <c r="C1846" s="2" t="s">
        <v>3984</v>
      </c>
      <c r="D1846" s="2"/>
      <c r="E1846" s="2" t="s">
        <v>29</v>
      </c>
      <c r="F1846" s="3" t="n">
        <v>7.3E-005</v>
      </c>
      <c r="G1846" s="3" t="n">
        <f aca="false">SUM($F$2:F1846)</f>
        <v>0.92192</v>
      </c>
      <c r="H1846" s="4"/>
      <c r="I1846" s="5"/>
      <c r="J1846" s="4"/>
      <c r="K1846" s="5"/>
      <c r="L1846" s="6"/>
      <c r="M1846" s="5" t="str">
        <f aca="false">IF(AND(N(K1846)&gt;0,N(L1846)&gt;0),K1846/L1846,"")</f>
        <v/>
      </c>
      <c r="N1846" s="2" t="s">
        <v>1226</v>
      </c>
    </row>
    <row r="1847" customFormat="false" ht="15" hidden="false" customHeight="false" outlineLevel="0" collapsed="false">
      <c r="A1847" s="2" t="n">
        <v>1846</v>
      </c>
      <c r="B1847" s="2" t="s">
        <v>1794</v>
      </c>
      <c r="C1847" s="2" t="s">
        <v>3985</v>
      </c>
      <c r="D1847" s="2"/>
      <c r="E1847" s="2" t="s">
        <v>2763</v>
      </c>
      <c r="F1847" s="3" t="n">
        <v>7.3E-005</v>
      </c>
      <c r="G1847" s="3" t="n">
        <f aca="false">SUM($F$2:F1847)</f>
        <v>0.921993</v>
      </c>
      <c r="H1847" s="4"/>
      <c r="I1847" s="5"/>
      <c r="J1847" s="4"/>
      <c r="K1847" s="5"/>
      <c r="L1847" s="6"/>
      <c r="M1847" s="5" t="str">
        <f aca="false">IF(AND(N(K1847)&gt;0,N(L1847)&gt;0),K1847/L1847,"")</f>
        <v/>
      </c>
      <c r="N1847" s="2" t="s">
        <v>1226</v>
      </c>
    </row>
    <row r="1848" customFormat="false" ht="15" hidden="false" customHeight="false" outlineLevel="0" collapsed="false">
      <c r="A1848" s="2" t="n">
        <v>1847</v>
      </c>
      <c r="B1848" s="2" t="s">
        <v>3986</v>
      </c>
      <c r="C1848" s="2" t="s">
        <v>3987</v>
      </c>
      <c r="D1848" s="2"/>
      <c r="E1848" s="2" t="s">
        <v>679</v>
      </c>
      <c r="F1848" s="3" t="n">
        <v>7.3E-005</v>
      </c>
      <c r="G1848" s="3" t="n">
        <f aca="false">SUM($F$2:F1848)</f>
        <v>0.922066</v>
      </c>
      <c r="H1848" s="4"/>
      <c r="I1848" s="5"/>
      <c r="J1848" s="4"/>
      <c r="K1848" s="5"/>
      <c r="L1848" s="6"/>
      <c r="M1848" s="5" t="str">
        <f aca="false">IF(AND(N(K1848)&gt;0,N(L1848)&gt;0),K1848/L1848,"")</f>
        <v/>
      </c>
      <c r="N1848" s="2" t="s">
        <v>1226</v>
      </c>
    </row>
    <row r="1849" customFormat="false" ht="15" hidden="false" customHeight="false" outlineLevel="0" collapsed="false">
      <c r="A1849" s="2" t="n">
        <v>1848</v>
      </c>
      <c r="B1849" s="2" t="s">
        <v>3988</v>
      </c>
      <c r="C1849" s="2" t="s">
        <v>3989</v>
      </c>
      <c r="D1849" s="2"/>
      <c r="E1849" s="2" t="s">
        <v>25</v>
      </c>
      <c r="F1849" s="3" t="n">
        <v>7.3E-005</v>
      </c>
      <c r="G1849" s="3" t="n">
        <f aca="false">SUM($F$2:F1849)</f>
        <v>0.922139</v>
      </c>
      <c r="H1849" s="4"/>
      <c r="I1849" s="5"/>
      <c r="J1849" s="4"/>
      <c r="K1849" s="5"/>
      <c r="L1849" s="6"/>
      <c r="M1849" s="5" t="str">
        <f aca="false">IF(AND(N(K1849)&gt;0,N(L1849)&gt;0),K1849/L1849,"")</f>
        <v/>
      </c>
      <c r="N1849" s="2" t="s">
        <v>1226</v>
      </c>
    </row>
    <row r="1850" customFormat="false" ht="15" hidden="false" customHeight="false" outlineLevel="0" collapsed="false">
      <c r="A1850" s="2" t="n">
        <v>1849</v>
      </c>
      <c r="B1850" s="2" t="s">
        <v>3990</v>
      </c>
      <c r="C1850" s="2" t="s">
        <v>3991</v>
      </c>
      <c r="D1850" s="2"/>
      <c r="E1850" s="2" t="s">
        <v>29</v>
      </c>
      <c r="F1850" s="3" t="n">
        <v>7.3E-005</v>
      </c>
      <c r="G1850" s="3" t="n">
        <f aca="false">SUM($F$2:F1850)</f>
        <v>0.922212</v>
      </c>
      <c r="H1850" s="4"/>
      <c r="I1850" s="5"/>
      <c r="J1850" s="4"/>
      <c r="K1850" s="5"/>
      <c r="L1850" s="6"/>
      <c r="M1850" s="5" t="str">
        <f aca="false">IF(AND(N(K1850)&gt;0,N(L1850)&gt;0),K1850/L1850,"")</f>
        <v/>
      </c>
      <c r="N1850" s="2" t="s">
        <v>1226</v>
      </c>
    </row>
    <row r="1851" customFormat="false" ht="15" hidden="false" customHeight="false" outlineLevel="0" collapsed="false">
      <c r="A1851" s="2" t="n">
        <v>1850</v>
      </c>
      <c r="B1851" s="2" t="s">
        <v>3992</v>
      </c>
      <c r="C1851" s="2" t="s">
        <v>3993</v>
      </c>
      <c r="D1851" s="2"/>
      <c r="E1851" s="2" t="s">
        <v>29</v>
      </c>
      <c r="F1851" s="3" t="n">
        <v>7.3E-005</v>
      </c>
      <c r="G1851" s="3" t="n">
        <f aca="false">SUM($F$2:F1851)</f>
        <v>0.922285</v>
      </c>
      <c r="H1851" s="4"/>
      <c r="I1851" s="5"/>
      <c r="J1851" s="4"/>
      <c r="K1851" s="5"/>
      <c r="L1851" s="6"/>
      <c r="M1851" s="5" t="str">
        <f aca="false">IF(AND(N(K1851)&gt;0,N(L1851)&gt;0),K1851/L1851,"")</f>
        <v/>
      </c>
      <c r="N1851" s="2" t="s">
        <v>1226</v>
      </c>
    </row>
    <row r="1852" customFormat="false" ht="15" hidden="false" customHeight="false" outlineLevel="0" collapsed="false">
      <c r="A1852" s="2" t="n">
        <v>1851</v>
      </c>
      <c r="B1852" s="2" t="s">
        <v>3994</v>
      </c>
      <c r="C1852" s="2" t="s">
        <v>3995</v>
      </c>
      <c r="D1852" s="2"/>
      <c r="E1852" s="2" t="s">
        <v>17</v>
      </c>
      <c r="F1852" s="3" t="n">
        <v>7.3E-005</v>
      </c>
      <c r="G1852" s="3" t="n">
        <f aca="false">SUM($F$2:F1852)</f>
        <v>0.922358</v>
      </c>
      <c r="H1852" s="4"/>
      <c r="I1852" s="5"/>
      <c r="J1852" s="4"/>
      <c r="K1852" s="5"/>
      <c r="L1852" s="6"/>
      <c r="M1852" s="5" t="str">
        <f aca="false">IF(AND(N(K1852)&gt;0,N(L1852)&gt;0),K1852/L1852,"")</f>
        <v/>
      </c>
      <c r="N1852" s="2" t="s">
        <v>1226</v>
      </c>
    </row>
    <row r="1853" customFormat="false" ht="15" hidden="false" customHeight="false" outlineLevel="0" collapsed="false">
      <c r="A1853" s="2" t="n">
        <v>1852</v>
      </c>
      <c r="B1853" s="2" t="s">
        <v>3996</v>
      </c>
      <c r="C1853" s="2" t="s">
        <v>3997</v>
      </c>
      <c r="D1853" s="2"/>
      <c r="E1853" s="2" t="s">
        <v>52</v>
      </c>
      <c r="F1853" s="3" t="n">
        <v>7.3E-005</v>
      </c>
      <c r="G1853" s="3" t="n">
        <f aca="false">SUM($F$2:F1853)</f>
        <v>0.922431</v>
      </c>
      <c r="H1853" s="4"/>
      <c r="I1853" s="5"/>
      <c r="J1853" s="4"/>
      <c r="K1853" s="5"/>
      <c r="L1853" s="6"/>
      <c r="M1853" s="5" t="str">
        <f aca="false">IF(AND(N(K1853)&gt;0,N(L1853)&gt;0),K1853/L1853,"")</f>
        <v/>
      </c>
      <c r="N1853" s="2" t="s">
        <v>1226</v>
      </c>
    </row>
    <row r="1854" customFormat="false" ht="15" hidden="false" customHeight="false" outlineLevel="0" collapsed="false">
      <c r="A1854" s="2" t="n">
        <v>1853</v>
      </c>
      <c r="B1854" s="2" t="s">
        <v>3998</v>
      </c>
      <c r="C1854" s="2" t="s">
        <v>3999</v>
      </c>
      <c r="D1854" s="2"/>
      <c r="E1854" s="2" t="s">
        <v>289</v>
      </c>
      <c r="F1854" s="3" t="n">
        <v>7.3E-005</v>
      </c>
      <c r="G1854" s="3" t="n">
        <f aca="false">SUM($F$2:F1854)</f>
        <v>0.922504</v>
      </c>
      <c r="H1854" s="4"/>
      <c r="I1854" s="5"/>
      <c r="J1854" s="4"/>
      <c r="K1854" s="5"/>
      <c r="L1854" s="6"/>
      <c r="M1854" s="5" t="str">
        <f aca="false">IF(AND(N(K1854)&gt;0,N(L1854)&gt;0),K1854/L1854,"")</f>
        <v/>
      </c>
      <c r="N1854" s="2" t="s">
        <v>1226</v>
      </c>
    </row>
    <row r="1855" customFormat="false" ht="15" hidden="false" customHeight="false" outlineLevel="0" collapsed="false">
      <c r="A1855" s="2" t="n">
        <v>1854</v>
      </c>
      <c r="B1855" s="2" t="s">
        <v>4000</v>
      </c>
      <c r="C1855" s="2" t="s">
        <v>4001</v>
      </c>
      <c r="D1855" s="2"/>
      <c r="E1855" s="2" t="s">
        <v>1295</v>
      </c>
      <c r="F1855" s="3" t="n">
        <v>7.3E-005</v>
      </c>
      <c r="G1855" s="3" t="n">
        <f aca="false">SUM($F$2:F1855)</f>
        <v>0.922577</v>
      </c>
      <c r="H1855" s="4"/>
      <c r="I1855" s="5"/>
      <c r="J1855" s="4"/>
      <c r="K1855" s="5"/>
      <c r="L1855" s="6"/>
      <c r="M1855" s="5" t="str">
        <f aca="false">IF(AND(N(K1855)&gt;0,N(L1855)&gt;0),K1855/L1855,"")</f>
        <v/>
      </c>
      <c r="N1855" s="2" t="s">
        <v>1226</v>
      </c>
    </row>
    <row r="1856" customFormat="false" ht="15" hidden="false" customHeight="false" outlineLevel="0" collapsed="false">
      <c r="A1856" s="2" t="n">
        <v>1855</v>
      </c>
      <c r="B1856" s="2" t="s">
        <v>4002</v>
      </c>
      <c r="C1856" s="2" t="s">
        <v>4003</v>
      </c>
      <c r="D1856" s="2"/>
      <c r="E1856" s="2" t="s">
        <v>33</v>
      </c>
      <c r="F1856" s="3" t="n">
        <v>7.3E-005</v>
      </c>
      <c r="G1856" s="3" t="n">
        <f aca="false">SUM($F$2:F1856)</f>
        <v>0.92265</v>
      </c>
      <c r="H1856" s="4"/>
      <c r="I1856" s="5"/>
      <c r="J1856" s="4"/>
      <c r="K1856" s="5"/>
      <c r="L1856" s="6"/>
      <c r="M1856" s="5" t="str">
        <f aca="false">IF(AND(N(K1856)&gt;0,N(L1856)&gt;0),K1856/L1856,"")</f>
        <v/>
      </c>
      <c r="N1856" s="2" t="s">
        <v>1226</v>
      </c>
    </row>
    <row r="1857" customFormat="false" ht="15" hidden="false" customHeight="false" outlineLevel="0" collapsed="false">
      <c r="A1857" s="2" t="n">
        <v>1856</v>
      </c>
      <c r="B1857" s="2" t="s">
        <v>4004</v>
      </c>
      <c r="C1857" s="2" t="s">
        <v>4005</v>
      </c>
      <c r="D1857" s="2"/>
      <c r="E1857" s="2" t="s">
        <v>33</v>
      </c>
      <c r="F1857" s="3" t="n">
        <v>7.3E-005</v>
      </c>
      <c r="G1857" s="3" t="n">
        <f aca="false">SUM($F$2:F1857)</f>
        <v>0.922723</v>
      </c>
      <c r="H1857" s="4"/>
      <c r="I1857" s="5"/>
      <c r="J1857" s="4"/>
      <c r="K1857" s="5"/>
      <c r="L1857" s="6"/>
      <c r="M1857" s="5" t="str">
        <f aca="false">IF(AND(N(K1857)&gt;0,N(L1857)&gt;0),K1857/L1857,"")</f>
        <v/>
      </c>
      <c r="N1857" s="2" t="s">
        <v>1226</v>
      </c>
    </row>
    <row r="1858" customFormat="false" ht="15" hidden="false" customHeight="false" outlineLevel="0" collapsed="false">
      <c r="A1858" s="2" t="n">
        <v>1857</v>
      </c>
      <c r="B1858" s="2" t="s">
        <v>4006</v>
      </c>
      <c r="C1858" s="2" t="s">
        <v>4007</v>
      </c>
      <c r="D1858" s="2"/>
      <c r="E1858" s="2" t="s">
        <v>679</v>
      </c>
      <c r="F1858" s="3" t="n">
        <v>7.2E-005</v>
      </c>
      <c r="G1858" s="3" t="n">
        <f aca="false">SUM($F$2:F1858)</f>
        <v>0.922795</v>
      </c>
      <c r="H1858" s="4"/>
      <c r="I1858" s="5"/>
      <c r="J1858" s="4"/>
      <c r="K1858" s="5"/>
      <c r="L1858" s="6"/>
      <c r="M1858" s="5" t="str">
        <f aca="false">IF(AND(N(K1858)&gt;0,N(L1858)&gt;0),K1858/L1858,"")</f>
        <v/>
      </c>
      <c r="N1858" s="2" t="s">
        <v>1226</v>
      </c>
    </row>
    <row r="1859" customFormat="false" ht="15" hidden="false" customHeight="false" outlineLevel="0" collapsed="false">
      <c r="A1859" s="2" t="n">
        <v>1858</v>
      </c>
      <c r="B1859" s="2" t="s">
        <v>4008</v>
      </c>
      <c r="C1859" s="2" t="s">
        <v>4009</v>
      </c>
      <c r="D1859" s="2"/>
      <c r="E1859" s="2" t="s">
        <v>52</v>
      </c>
      <c r="F1859" s="3" t="n">
        <v>7.2E-005</v>
      </c>
      <c r="G1859" s="3" t="n">
        <f aca="false">SUM($F$2:F1859)</f>
        <v>0.922867</v>
      </c>
      <c r="H1859" s="4"/>
      <c r="I1859" s="5"/>
      <c r="J1859" s="4"/>
      <c r="K1859" s="5"/>
      <c r="L1859" s="6"/>
      <c r="M1859" s="5" t="str">
        <f aca="false">IF(AND(N(K1859)&gt;0,N(L1859)&gt;0),K1859/L1859,"")</f>
        <v/>
      </c>
      <c r="N1859" s="2" t="s">
        <v>1226</v>
      </c>
    </row>
    <row r="1860" customFormat="false" ht="15" hidden="false" customHeight="false" outlineLevel="0" collapsed="false">
      <c r="A1860" s="2" t="n">
        <v>1859</v>
      </c>
      <c r="B1860" s="2" t="s">
        <v>4010</v>
      </c>
      <c r="C1860" s="2" t="s">
        <v>4011</v>
      </c>
      <c r="D1860" s="2"/>
      <c r="E1860" s="2" t="s">
        <v>17</v>
      </c>
      <c r="F1860" s="3" t="n">
        <v>7.2E-005</v>
      </c>
      <c r="G1860" s="3" t="n">
        <f aca="false">SUM($F$2:F1860)</f>
        <v>0.922939</v>
      </c>
      <c r="H1860" s="4"/>
      <c r="I1860" s="5"/>
      <c r="J1860" s="4"/>
      <c r="K1860" s="5"/>
      <c r="L1860" s="6"/>
      <c r="M1860" s="5" t="str">
        <f aca="false">IF(AND(N(K1860)&gt;0,N(L1860)&gt;0),K1860/L1860,"")</f>
        <v/>
      </c>
      <c r="N1860" s="2" t="s">
        <v>1226</v>
      </c>
    </row>
    <row r="1861" customFormat="false" ht="15" hidden="false" customHeight="false" outlineLevel="0" collapsed="false">
      <c r="A1861" s="2" t="n">
        <v>1860</v>
      </c>
      <c r="B1861" s="2" t="s">
        <v>4012</v>
      </c>
      <c r="C1861" s="2" t="s">
        <v>4013</v>
      </c>
      <c r="D1861" s="2"/>
      <c r="E1861" s="2" t="s">
        <v>29</v>
      </c>
      <c r="F1861" s="3" t="n">
        <v>7.2E-005</v>
      </c>
      <c r="G1861" s="3" t="n">
        <f aca="false">SUM($F$2:F1861)</f>
        <v>0.923011</v>
      </c>
      <c r="H1861" s="4"/>
      <c r="I1861" s="5"/>
      <c r="J1861" s="4"/>
      <c r="K1861" s="5"/>
      <c r="L1861" s="6"/>
      <c r="M1861" s="5" t="str">
        <f aca="false">IF(AND(N(K1861)&gt;0,N(L1861)&gt;0),K1861/L1861,"")</f>
        <v/>
      </c>
      <c r="N1861" s="2" t="s">
        <v>1226</v>
      </c>
    </row>
    <row r="1862" customFormat="false" ht="15" hidden="false" customHeight="false" outlineLevel="0" collapsed="false">
      <c r="A1862" s="2" t="n">
        <v>1861</v>
      </c>
      <c r="B1862" s="2" t="s">
        <v>4014</v>
      </c>
      <c r="C1862" s="2" t="s">
        <v>4015</v>
      </c>
      <c r="D1862" s="2"/>
      <c r="E1862" s="2" t="s">
        <v>48</v>
      </c>
      <c r="F1862" s="3" t="n">
        <v>7.2E-005</v>
      </c>
      <c r="G1862" s="3" t="n">
        <f aca="false">SUM($F$2:F1862)</f>
        <v>0.923083</v>
      </c>
      <c r="H1862" s="4"/>
      <c r="I1862" s="5"/>
      <c r="J1862" s="4"/>
      <c r="K1862" s="5"/>
      <c r="L1862" s="6"/>
      <c r="M1862" s="5" t="str">
        <f aca="false">IF(AND(N(K1862)&gt;0,N(L1862)&gt;0),K1862/L1862,"")</f>
        <v/>
      </c>
      <c r="N1862" s="2" t="s">
        <v>1226</v>
      </c>
    </row>
    <row r="1863" customFormat="false" ht="15" hidden="false" customHeight="false" outlineLevel="0" collapsed="false">
      <c r="A1863" s="2" t="n">
        <v>1862</v>
      </c>
      <c r="B1863" s="2" t="s">
        <v>4016</v>
      </c>
      <c r="C1863" s="2" t="s">
        <v>4017</v>
      </c>
      <c r="D1863" s="2"/>
      <c r="E1863" s="2" t="s">
        <v>765</v>
      </c>
      <c r="F1863" s="3" t="n">
        <v>7.2E-005</v>
      </c>
      <c r="G1863" s="3" t="n">
        <f aca="false">SUM($F$2:F1863)</f>
        <v>0.923155</v>
      </c>
      <c r="H1863" s="4"/>
      <c r="I1863" s="5"/>
      <c r="J1863" s="4"/>
      <c r="K1863" s="5"/>
      <c r="L1863" s="6"/>
      <c r="M1863" s="5" t="str">
        <f aca="false">IF(AND(N(K1863)&gt;0,N(L1863)&gt;0),K1863/L1863,"")</f>
        <v/>
      </c>
      <c r="N1863" s="2" t="s">
        <v>1226</v>
      </c>
    </row>
    <row r="1864" customFormat="false" ht="15" hidden="false" customHeight="false" outlineLevel="0" collapsed="false">
      <c r="A1864" s="2" t="n">
        <v>1863</v>
      </c>
      <c r="B1864" s="2" t="s">
        <v>4018</v>
      </c>
      <c r="C1864" s="2" t="s">
        <v>4019</v>
      </c>
      <c r="D1864" s="2"/>
      <c r="E1864" s="2" t="s">
        <v>296</v>
      </c>
      <c r="F1864" s="3" t="n">
        <v>7.2E-005</v>
      </c>
      <c r="G1864" s="3" t="n">
        <f aca="false">SUM($F$2:F1864)</f>
        <v>0.923227</v>
      </c>
      <c r="H1864" s="4"/>
      <c r="I1864" s="5"/>
      <c r="J1864" s="4"/>
      <c r="K1864" s="5"/>
      <c r="L1864" s="6"/>
      <c r="M1864" s="5" t="str">
        <f aca="false">IF(AND(N(K1864)&gt;0,N(L1864)&gt;0),K1864/L1864,"")</f>
        <v/>
      </c>
      <c r="N1864" s="2" t="s">
        <v>1226</v>
      </c>
    </row>
    <row r="1865" customFormat="false" ht="15" hidden="false" customHeight="false" outlineLevel="0" collapsed="false">
      <c r="A1865" s="2" t="n">
        <v>1864</v>
      </c>
      <c r="B1865" s="2" t="s">
        <v>4020</v>
      </c>
      <c r="C1865" s="2" t="s">
        <v>4021</v>
      </c>
      <c r="D1865" s="2"/>
      <c r="E1865" s="2" t="s">
        <v>614</v>
      </c>
      <c r="F1865" s="3" t="n">
        <v>7.2E-005</v>
      </c>
      <c r="G1865" s="3" t="n">
        <f aca="false">SUM($F$2:F1865)</f>
        <v>0.923299</v>
      </c>
      <c r="H1865" s="4"/>
      <c r="I1865" s="5"/>
      <c r="J1865" s="4"/>
      <c r="K1865" s="5"/>
      <c r="L1865" s="6"/>
      <c r="M1865" s="5" t="str">
        <f aca="false">IF(AND(N(K1865)&gt;0,N(L1865)&gt;0),K1865/L1865,"")</f>
        <v/>
      </c>
      <c r="N1865" s="2" t="s">
        <v>1226</v>
      </c>
    </row>
    <row r="1866" customFormat="false" ht="15" hidden="false" customHeight="false" outlineLevel="0" collapsed="false">
      <c r="A1866" s="2" t="n">
        <v>1865</v>
      </c>
      <c r="B1866" s="2" t="s">
        <v>4022</v>
      </c>
      <c r="C1866" s="2" t="s">
        <v>4023</v>
      </c>
      <c r="D1866" s="2"/>
      <c r="E1866" s="2" t="s">
        <v>289</v>
      </c>
      <c r="F1866" s="3" t="n">
        <v>7.2E-005</v>
      </c>
      <c r="G1866" s="3" t="n">
        <f aca="false">SUM($F$2:F1866)</f>
        <v>0.923371</v>
      </c>
      <c r="H1866" s="4"/>
      <c r="I1866" s="5"/>
      <c r="J1866" s="4"/>
      <c r="K1866" s="5"/>
      <c r="L1866" s="6"/>
      <c r="M1866" s="5" t="str">
        <f aca="false">IF(AND(N(K1866)&gt;0,N(L1866)&gt;0),K1866/L1866,"")</f>
        <v/>
      </c>
      <c r="N1866" s="2" t="s">
        <v>1226</v>
      </c>
    </row>
    <row r="1867" customFormat="false" ht="15" hidden="false" customHeight="false" outlineLevel="0" collapsed="false">
      <c r="A1867" s="2" t="n">
        <v>1866</v>
      </c>
      <c r="B1867" s="2" t="s">
        <v>4024</v>
      </c>
      <c r="C1867" s="2" t="s">
        <v>4025</v>
      </c>
      <c r="D1867" s="2"/>
      <c r="E1867" s="2" t="s">
        <v>173</v>
      </c>
      <c r="F1867" s="3" t="n">
        <v>7.2E-005</v>
      </c>
      <c r="G1867" s="3" t="n">
        <f aca="false">SUM($F$2:F1867)</f>
        <v>0.923443</v>
      </c>
      <c r="H1867" s="4"/>
      <c r="I1867" s="5"/>
      <c r="J1867" s="4"/>
      <c r="K1867" s="5"/>
      <c r="L1867" s="6"/>
      <c r="M1867" s="5" t="str">
        <f aca="false">IF(AND(N(K1867)&gt;0,N(L1867)&gt;0),K1867/L1867,"")</f>
        <v/>
      </c>
      <c r="N1867" s="2" t="s">
        <v>1226</v>
      </c>
    </row>
    <row r="1868" customFormat="false" ht="15" hidden="false" customHeight="false" outlineLevel="0" collapsed="false">
      <c r="A1868" s="2" t="n">
        <v>1867</v>
      </c>
      <c r="B1868" s="2" t="s">
        <v>4026</v>
      </c>
      <c r="C1868" s="2" t="s">
        <v>4027</v>
      </c>
      <c r="D1868" s="2"/>
      <c r="E1868" s="2" t="s">
        <v>296</v>
      </c>
      <c r="F1868" s="3" t="n">
        <v>7.2E-005</v>
      </c>
      <c r="G1868" s="3" t="n">
        <f aca="false">SUM($F$2:F1868)</f>
        <v>0.923515</v>
      </c>
      <c r="H1868" s="4"/>
      <c r="I1868" s="5"/>
      <c r="J1868" s="4"/>
      <c r="K1868" s="5"/>
      <c r="L1868" s="6"/>
      <c r="M1868" s="5" t="str">
        <f aca="false">IF(AND(N(K1868)&gt;0,N(L1868)&gt;0),K1868/L1868,"")</f>
        <v/>
      </c>
      <c r="N1868" s="2" t="s">
        <v>1226</v>
      </c>
    </row>
    <row r="1869" customFormat="false" ht="15" hidden="false" customHeight="false" outlineLevel="0" collapsed="false">
      <c r="A1869" s="2" t="n">
        <v>1868</v>
      </c>
      <c r="B1869" s="2" t="s">
        <v>4028</v>
      </c>
      <c r="C1869" s="2" t="s">
        <v>4029</v>
      </c>
      <c r="D1869" s="2"/>
      <c r="E1869" s="2" t="s">
        <v>52</v>
      </c>
      <c r="F1869" s="3" t="n">
        <v>7.2E-005</v>
      </c>
      <c r="G1869" s="3" t="n">
        <f aca="false">SUM($F$2:F1869)</f>
        <v>0.923587</v>
      </c>
      <c r="H1869" s="4"/>
      <c r="I1869" s="5"/>
      <c r="J1869" s="4"/>
      <c r="K1869" s="5"/>
      <c r="L1869" s="6"/>
      <c r="M1869" s="5" t="str">
        <f aca="false">IF(AND(N(K1869)&gt;0,N(L1869)&gt;0),K1869/L1869,"")</f>
        <v/>
      </c>
      <c r="N1869" s="2" t="s">
        <v>1226</v>
      </c>
    </row>
    <row r="1870" customFormat="false" ht="15" hidden="false" customHeight="false" outlineLevel="0" collapsed="false">
      <c r="A1870" s="2" t="n">
        <v>1869</v>
      </c>
      <c r="B1870" s="2" t="s">
        <v>4030</v>
      </c>
      <c r="C1870" s="2" t="s">
        <v>4031</v>
      </c>
      <c r="D1870" s="2"/>
      <c r="E1870" s="2" t="s">
        <v>296</v>
      </c>
      <c r="F1870" s="3" t="n">
        <v>7.2E-005</v>
      </c>
      <c r="G1870" s="3" t="n">
        <f aca="false">SUM($F$2:F1870)</f>
        <v>0.923659</v>
      </c>
      <c r="H1870" s="4"/>
      <c r="I1870" s="5"/>
      <c r="J1870" s="4"/>
      <c r="K1870" s="5"/>
      <c r="L1870" s="6"/>
      <c r="M1870" s="5" t="str">
        <f aca="false">IF(AND(N(K1870)&gt;0,N(L1870)&gt;0),K1870/L1870,"")</f>
        <v/>
      </c>
      <c r="N1870" s="2" t="s">
        <v>1226</v>
      </c>
    </row>
    <row r="1871" customFormat="false" ht="15" hidden="false" customHeight="false" outlineLevel="0" collapsed="false">
      <c r="A1871" s="2" t="n">
        <v>1870</v>
      </c>
      <c r="B1871" s="2" t="s">
        <v>4032</v>
      </c>
      <c r="C1871" s="2" t="s">
        <v>4033</v>
      </c>
      <c r="D1871" s="2"/>
      <c r="E1871" s="2" t="s">
        <v>43</v>
      </c>
      <c r="F1871" s="3" t="n">
        <v>7.2E-005</v>
      </c>
      <c r="G1871" s="3" t="n">
        <f aca="false">SUM($F$2:F1871)</f>
        <v>0.923731</v>
      </c>
      <c r="H1871" s="4"/>
      <c r="I1871" s="5"/>
      <c r="J1871" s="4"/>
      <c r="K1871" s="5"/>
      <c r="L1871" s="6"/>
      <c r="M1871" s="5" t="str">
        <f aca="false">IF(AND(N(K1871)&gt;0,N(L1871)&gt;0),K1871/L1871,"")</f>
        <v/>
      </c>
      <c r="N1871" s="2" t="s">
        <v>1226</v>
      </c>
    </row>
    <row r="1872" customFormat="false" ht="15" hidden="false" customHeight="false" outlineLevel="0" collapsed="false">
      <c r="A1872" s="2" t="n">
        <v>1871</v>
      </c>
      <c r="B1872" s="2" t="s">
        <v>4034</v>
      </c>
      <c r="C1872" s="2" t="s">
        <v>4035</v>
      </c>
      <c r="D1872" s="2"/>
      <c r="E1872" s="2" t="s">
        <v>38</v>
      </c>
      <c r="F1872" s="3" t="n">
        <v>7.1E-005</v>
      </c>
      <c r="G1872" s="3" t="n">
        <f aca="false">SUM($F$2:F1872)</f>
        <v>0.923802</v>
      </c>
      <c r="H1872" s="4"/>
      <c r="I1872" s="5"/>
      <c r="J1872" s="4"/>
      <c r="K1872" s="5"/>
      <c r="L1872" s="6"/>
      <c r="M1872" s="5" t="str">
        <f aca="false">IF(AND(N(K1872)&gt;0,N(L1872)&gt;0),K1872/L1872,"")</f>
        <v/>
      </c>
      <c r="N1872" s="2" t="s">
        <v>1226</v>
      </c>
    </row>
    <row r="1873" customFormat="false" ht="15" hidden="false" customHeight="false" outlineLevel="0" collapsed="false">
      <c r="A1873" s="2" t="n">
        <v>1872</v>
      </c>
      <c r="B1873" s="2" t="s">
        <v>4036</v>
      </c>
      <c r="C1873" s="2" t="s">
        <v>4037</v>
      </c>
      <c r="D1873" s="2"/>
      <c r="E1873" s="2" t="s">
        <v>1345</v>
      </c>
      <c r="F1873" s="3" t="n">
        <v>7.1E-005</v>
      </c>
      <c r="G1873" s="3" t="n">
        <f aca="false">SUM($F$2:F1873)</f>
        <v>0.923873</v>
      </c>
      <c r="H1873" s="4"/>
      <c r="I1873" s="5"/>
      <c r="J1873" s="4"/>
      <c r="K1873" s="5"/>
      <c r="L1873" s="6"/>
      <c r="M1873" s="5" t="str">
        <f aca="false">IF(AND(N(K1873)&gt;0,N(L1873)&gt;0),K1873/L1873,"")</f>
        <v/>
      </c>
      <c r="N1873" s="2" t="s">
        <v>1226</v>
      </c>
    </row>
    <row r="1874" customFormat="false" ht="15" hidden="false" customHeight="false" outlineLevel="0" collapsed="false">
      <c r="A1874" s="2" t="n">
        <v>1873</v>
      </c>
      <c r="B1874" s="2" t="s">
        <v>4038</v>
      </c>
      <c r="C1874" s="2" t="s">
        <v>4039</v>
      </c>
      <c r="D1874" s="2"/>
      <c r="E1874" s="2" t="s">
        <v>17</v>
      </c>
      <c r="F1874" s="3" t="n">
        <v>7.1E-005</v>
      </c>
      <c r="G1874" s="3" t="n">
        <f aca="false">SUM($F$2:F1874)</f>
        <v>0.923944</v>
      </c>
      <c r="H1874" s="4"/>
      <c r="I1874" s="5"/>
      <c r="J1874" s="4"/>
      <c r="K1874" s="5"/>
      <c r="L1874" s="6"/>
      <c r="M1874" s="5" t="str">
        <f aca="false">IF(AND(N(K1874)&gt;0,N(L1874)&gt;0),K1874/L1874,"")</f>
        <v/>
      </c>
      <c r="N1874" s="2" t="s">
        <v>1226</v>
      </c>
    </row>
    <row r="1875" customFormat="false" ht="15" hidden="false" customHeight="false" outlineLevel="0" collapsed="false">
      <c r="A1875" s="2" t="n">
        <v>1874</v>
      </c>
      <c r="B1875" s="2" t="s">
        <v>4040</v>
      </c>
      <c r="C1875" s="2" t="s">
        <v>4041</v>
      </c>
      <c r="D1875" s="2"/>
      <c r="E1875" s="2" t="s">
        <v>48</v>
      </c>
      <c r="F1875" s="3" t="n">
        <v>7.1E-005</v>
      </c>
      <c r="G1875" s="3" t="n">
        <f aca="false">SUM($F$2:F1875)</f>
        <v>0.924015</v>
      </c>
      <c r="H1875" s="4"/>
      <c r="I1875" s="5"/>
      <c r="J1875" s="4"/>
      <c r="K1875" s="5"/>
      <c r="L1875" s="6"/>
      <c r="M1875" s="5" t="str">
        <f aca="false">IF(AND(N(K1875)&gt;0,N(L1875)&gt;0),K1875/L1875,"")</f>
        <v/>
      </c>
      <c r="N1875" s="2" t="s">
        <v>1226</v>
      </c>
    </row>
    <row r="1876" customFormat="false" ht="15" hidden="false" customHeight="false" outlineLevel="0" collapsed="false">
      <c r="A1876" s="2" t="n">
        <v>1875</v>
      </c>
      <c r="B1876" s="2" t="s">
        <v>4042</v>
      </c>
      <c r="C1876" s="2" t="s">
        <v>4043</v>
      </c>
      <c r="D1876" s="2"/>
      <c r="E1876" s="2" t="s">
        <v>17</v>
      </c>
      <c r="F1876" s="3" t="n">
        <v>7.1E-005</v>
      </c>
      <c r="G1876" s="3" t="n">
        <f aca="false">SUM($F$2:F1876)</f>
        <v>0.924086</v>
      </c>
      <c r="H1876" s="4"/>
      <c r="I1876" s="5"/>
      <c r="J1876" s="4"/>
      <c r="K1876" s="5"/>
      <c r="L1876" s="6"/>
      <c r="M1876" s="5" t="str">
        <f aca="false">IF(AND(N(K1876)&gt;0,N(L1876)&gt;0),K1876/L1876,"")</f>
        <v/>
      </c>
      <c r="N1876" s="2" t="s">
        <v>1226</v>
      </c>
    </row>
    <row r="1877" customFormat="false" ht="15" hidden="false" customHeight="false" outlineLevel="0" collapsed="false">
      <c r="A1877" s="2" t="n">
        <v>1876</v>
      </c>
      <c r="B1877" s="2" t="s">
        <v>4044</v>
      </c>
      <c r="C1877" s="2" t="s">
        <v>4045</v>
      </c>
      <c r="D1877" s="2"/>
      <c r="E1877" s="2" t="s">
        <v>52</v>
      </c>
      <c r="F1877" s="3" t="n">
        <v>7.1E-005</v>
      </c>
      <c r="G1877" s="3" t="n">
        <f aca="false">SUM($F$2:F1877)</f>
        <v>0.924157</v>
      </c>
      <c r="H1877" s="4"/>
      <c r="I1877" s="5"/>
      <c r="J1877" s="4"/>
      <c r="K1877" s="5"/>
      <c r="L1877" s="6"/>
      <c r="M1877" s="5" t="str">
        <f aca="false">IF(AND(N(K1877)&gt;0,N(L1877)&gt;0),K1877/L1877,"")</f>
        <v/>
      </c>
      <c r="N1877" s="2" t="s">
        <v>1226</v>
      </c>
    </row>
    <row r="1878" customFormat="false" ht="15" hidden="false" customHeight="false" outlineLevel="0" collapsed="false">
      <c r="A1878" s="2" t="n">
        <v>1877</v>
      </c>
      <c r="B1878" s="2" t="s">
        <v>4046</v>
      </c>
      <c r="C1878" s="2" t="s">
        <v>4047</v>
      </c>
      <c r="D1878" s="2"/>
      <c r="E1878" s="2" t="s">
        <v>17</v>
      </c>
      <c r="F1878" s="3" t="n">
        <v>7.1E-005</v>
      </c>
      <c r="G1878" s="3" t="n">
        <f aca="false">SUM($F$2:F1878)</f>
        <v>0.924228</v>
      </c>
      <c r="H1878" s="4"/>
      <c r="I1878" s="5"/>
      <c r="J1878" s="4"/>
      <c r="K1878" s="5"/>
      <c r="L1878" s="6"/>
      <c r="M1878" s="5" t="str">
        <f aca="false">IF(AND(N(K1878)&gt;0,N(L1878)&gt;0),K1878/L1878,"")</f>
        <v/>
      </c>
      <c r="N1878" s="2" t="s">
        <v>1226</v>
      </c>
    </row>
    <row r="1879" customFormat="false" ht="15" hidden="false" customHeight="false" outlineLevel="0" collapsed="false">
      <c r="A1879" s="2" t="n">
        <v>1878</v>
      </c>
      <c r="B1879" s="2" t="s">
        <v>4048</v>
      </c>
      <c r="C1879" s="2" t="s">
        <v>4049</v>
      </c>
      <c r="D1879" s="2"/>
      <c r="E1879" s="2" t="s">
        <v>2055</v>
      </c>
      <c r="F1879" s="3" t="n">
        <v>7.1E-005</v>
      </c>
      <c r="G1879" s="3" t="n">
        <f aca="false">SUM($F$2:F1879)</f>
        <v>0.924299</v>
      </c>
      <c r="H1879" s="4"/>
      <c r="I1879" s="5"/>
      <c r="J1879" s="4"/>
      <c r="K1879" s="5"/>
      <c r="L1879" s="6"/>
      <c r="M1879" s="5" t="str">
        <f aca="false">IF(AND(N(K1879)&gt;0,N(L1879)&gt;0),K1879/L1879,"")</f>
        <v/>
      </c>
      <c r="N1879" s="2" t="s">
        <v>1226</v>
      </c>
    </row>
    <row r="1880" customFormat="false" ht="15" hidden="false" customHeight="false" outlineLevel="0" collapsed="false">
      <c r="A1880" s="2" t="n">
        <v>1879</v>
      </c>
      <c r="B1880" s="2" t="s">
        <v>4050</v>
      </c>
      <c r="C1880" s="2" t="s">
        <v>4051</v>
      </c>
      <c r="D1880" s="2"/>
      <c r="E1880" s="2" t="s">
        <v>52</v>
      </c>
      <c r="F1880" s="3" t="n">
        <v>7.1E-005</v>
      </c>
      <c r="G1880" s="3" t="n">
        <f aca="false">SUM($F$2:F1880)</f>
        <v>0.92437</v>
      </c>
      <c r="H1880" s="4"/>
      <c r="I1880" s="5"/>
      <c r="J1880" s="4"/>
      <c r="K1880" s="5"/>
      <c r="L1880" s="6"/>
      <c r="M1880" s="5" t="str">
        <f aca="false">IF(AND(N(K1880)&gt;0,N(L1880)&gt;0),K1880/L1880,"")</f>
        <v/>
      </c>
      <c r="N1880" s="2" t="s">
        <v>1226</v>
      </c>
    </row>
    <row r="1881" customFormat="false" ht="15" hidden="false" customHeight="false" outlineLevel="0" collapsed="false">
      <c r="A1881" s="2" t="n">
        <v>1880</v>
      </c>
      <c r="B1881" s="2" t="s">
        <v>4052</v>
      </c>
      <c r="C1881" s="2" t="s">
        <v>4053</v>
      </c>
      <c r="D1881" s="2"/>
      <c r="E1881" s="2" t="s">
        <v>52</v>
      </c>
      <c r="F1881" s="3" t="n">
        <v>7.1E-005</v>
      </c>
      <c r="G1881" s="3" t="n">
        <f aca="false">SUM($F$2:F1881)</f>
        <v>0.924441</v>
      </c>
      <c r="H1881" s="4"/>
      <c r="I1881" s="5"/>
      <c r="J1881" s="4"/>
      <c r="K1881" s="5"/>
      <c r="L1881" s="6"/>
      <c r="M1881" s="5" t="str">
        <f aca="false">IF(AND(N(K1881)&gt;0,N(L1881)&gt;0),K1881/L1881,"")</f>
        <v/>
      </c>
      <c r="N1881" s="2" t="s">
        <v>1226</v>
      </c>
    </row>
    <row r="1882" customFormat="false" ht="15" hidden="false" customHeight="false" outlineLevel="0" collapsed="false">
      <c r="A1882" s="2" t="n">
        <v>1881</v>
      </c>
      <c r="B1882" s="2" t="s">
        <v>4054</v>
      </c>
      <c r="C1882" s="2" t="s">
        <v>4055</v>
      </c>
      <c r="D1882" s="2"/>
      <c r="E1882" s="2" t="s">
        <v>1345</v>
      </c>
      <c r="F1882" s="3" t="n">
        <v>7.1E-005</v>
      </c>
      <c r="G1882" s="3" t="n">
        <f aca="false">SUM($F$2:F1882)</f>
        <v>0.924512</v>
      </c>
      <c r="H1882" s="4"/>
      <c r="I1882" s="5"/>
      <c r="J1882" s="4"/>
      <c r="K1882" s="5"/>
      <c r="L1882" s="6"/>
      <c r="M1882" s="5" t="str">
        <f aca="false">IF(AND(N(K1882)&gt;0,N(L1882)&gt;0),K1882/L1882,"")</f>
        <v/>
      </c>
      <c r="N1882" s="2" t="s">
        <v>1226</v>
      </c>
    </row>
    <row r="1883" customFormat="false" ht="15" hidden="false" customHeight="false" outlineLevel="0" collapsed="false">
      <c r="A1883" s="2" t="n">
        <v>1882</v>
      </c>
      <c r="B1883" s="2" t="s">
        <v>4056</v>
      </c>
      <c r="C1883" s="2" t="s">
        <v>4057</v>
      </c>
      <c r="D1883" s="2"/>
      <c r="E1883" s="2" t="s">
        <v>52</v>
      </c>
      <c r="F1883" s="3" t="n">
        <v>7.1E-005</v>
      </c>
      <c r="G1883" s="3" t="n">
        <f aca="false">SUM($F$2:F1883)</f>
        <v>0.924583</v>
      </c>
      <c r="H1883" s="4"/>
      <c r="I1883" s="5"/>
      <c r="J1883" s="4"/>
      <c r="K1883" s="5"/>
      <c r="L1883" s="6"/>
      <c r="M1883" s="5" t="str">
        <f aca="false">IF(AND(N(K1883)&gt;0,N(L1883)&gt;0),K1883/L1883,"")</f>
        <v/>
      </c>
      <c r="N1883" s="2" t="s">
        <v>1226</v>
      </c>
    </row>
    <row r="1884" customFormat="false" ht="15" hidden="false" customHeight="false" outlineLevel="0" collapsed="false">
      <c r="A1884" s="2" t="n">
        <v>1883</v>
      </c>
      <c r="B1884" s="2" t="s">
        <v>4058</v>
      </c>
      <c r="C1884" s="2" t="s">
        <v>4059</v>
      </c>
      <c r="D1884" s="2"/>
      <c r="E1884" s="2" t="s">
        <v>43</v>
      </c>
      <c r="F1884" s="3" t="n">
        <v>7.1E-005</v>
      </c>
      <c r="G1884" s="3" t="n">
        <f aca="false">SUM($F$2:F1884)</f>
        <v>0.924654</v>
      </c>
      <c r="H1884" s="4"/>
      <c r="I1884" s="5"/>
      <c r="J1884" s="4"/>
      <c r="K1884" s="5"/>
      <c r="L1884" s="6"/>
      <c r="M1884" s="5" t="str">
        <f aca="false">IF(AND(N(K1884)&gt;0,N(L1884)&gt;0),K1884/L1884,"")</f>
        <v/>
      </c>
      <c r="N1884" s="2" t="s">
        <v>1226</v>
      </c>
    </row>
    <row r="1885" customFormat="false" ht="15" hidden="false" customHeight="false" outlineLevel="0" collapsed="false">
      <c r="A1885" s="2" t="n">
        <v>1884</v>
      </c>
      <c r="B1885" s="2" t="s">
        <v>4060</v>
      </c>
      <c r="C1885" s="2" t="s">
        <v>4061</v>
      </c>
      <c r="D1885" s="2"/>
      <c r="E1885" s="2" t="s">
        <v>21</v>
      </c>
      <c r="F1885" s="3" t="n">
        <v>7.1E-005</v>
      </c>
      <c r="G1885" s="3" t="n">
        <f aca="false">SUM($F$2:F1885)</f>
        <v>0.924725</v>
      </c>
      <c r="H1885" s="4"/>
      <c r="I1885" s="5"/>
      <c r="J1885" s="4"/>
      <c r="K1885" s="5"/>
      <c r="L1885" s="6"/>
      <c r="M1885" s="5" t="str">
        <f aca="false">IF(AND(N(K1885)&gt;0,N(L1885)&gt;0),K1885/L1885,"")</f>
        <v/>
      </c>
      <c r="N1885" s="2" t="s">
        <v>1226</v>
      </c>
    </row>
    <row r="1886" customFormat="false" ht="15" hidden="false" customHeight="false" outlineLevel="0" collapsed="false">
      <c r="A1886" s="2" t="n">
        <v>1885</v>
      </c>
      <c r="B1886" s="2" t="s">
        <v>4062</v>
      </c>
      <c r="C1886" s="2" t="s">
        <v>4063</v>
      </c>
      <c r="D1886" s="2"/>
      <c r="E1886" s="2" t="s">
        <v>289</v>
      </c>
      <c r="F1886" s="3" t="n">
        <v>7.1E-005</v>
      </c>
      <c r="G1886" s="3" t="n">
        <f aca="false">SUM($F$2:F1886)</f>
        <v>0.924796</v>
      </c>
      <c r="H1886" s="4"/>
      <c r="I1886" s="5"/>
      <c r="J1886" s="4"/>
      <c r="K1886" s="5"/>
      <c r="L1886" s="6"/>
      <c r="M1886" s="5" t="str">
        <f aca="false">IF(AND(N(K1886)&gt;0,N(L1886)&gt;0),K1886/L1886,"")</f>
        <v/>
      </c>
      <c r="N1886" s="2" t="s">
        <v>1226</v>
      </c>
    </row>
    <row r="1887" customFormat="false" ht="15" hidden="false" customHeight="false" outlineLevel="0" collapsed="false">
      <c r="A1887" s="2" t="n">
        <v>1886</v>
      </c>
      <c r="B1887" s="2" t="s">
        <v>4064</v>
      </c>
      <c r="C1887" s="2" t="s">
        <v>4065</v>
      </c>
      <c r="D1887" s="2"/>
      <c r="E1887" s="2" t="s">
        <v>33</v>
      </c>
      <c r="F1887" s="3" t="n">
        <v>7.1E-005</v>
      </c>
      <c r="G1887" s="3" t="n">
        <f aca="false">SUM($F$2:F1887)</f>
        <v>0.924867</v>
      </c>
      <c r="H1887" s="4"/>
      <c r="I1887" s="5"/>
      <c r="J1887" s="4"/>
      <c r="K1887" s="5"/>
      <c r="L1887" s="6"/>
      <c r="M1887" s="5" t="str">
        <f aca="false">IF(AND(N(K1887)&gt;0,N(L1887)&gt;0),K1887/L1887,"")</f>
        <v/>
      </c>
      <c r="N1887" s="2" t="s">
        <v>1226</v>
      </c>
    </row>
    <row r="1888" customFormat="false" ht="15" hidden="false" customHeight="false" outlineLevel="0" collapsed="false">
      <c r="A1888" s="2" t="n">
        <v>1887</v>
      </c>
      <c r="B1888" s="2" t="s">
        <v>4066</v>
      </c>
      <c r="C1888" s="2" t="s">
        <v>4067</v>
      </c>
      <c r="D1888" s="2"/>
      <c r="E1888" s="2" t="s">
        <v>33</v>
      </c>
      <c r="F1888" s="3" t="n">
        <v>7.1E-005</v>
      </c>
      <c r="G1888" s="3" t="n">
        <f aca="false">SUM($F$2:F1888)</f>
        <v>0.924938</v>
      </c>
      <c r="H1888" s="4"/>
      <c r="I1888" s="5"/>
      <c r="J1888" s="4"/>
      <c r="K1888" s="5"/>
      <c r="L1888" s="6"/>
      <c r="M1888" s="5" t="str">
        <f aca="false">IF(AND(N(K1888)&gt;0,N(L1888)&gt;0),K1888/L1888,"")</f>
        <v/>
      </c>
      <c r="N1888" s="2" t="s">
        <v>1226</v>
      </c>
    </row>
    <row r="1889" customFormat="false" ht="15" hidden="false" customHeight="false" outlineLevel="0" collapsed="false">
      <c r="A1889" s="2" t="n">
        <v>1888</v>
      </c>
      <c r="B1889" s="2" t="s">
        <v>4068</v>
      </c>
      <c r="C1889" s="2" t="s">
        <v>4069</v>
      </c>
      <c r="D1889" s="2"/>
      <c r="E1889" s="2" t="s">
        <v>1295</v>
      </c>
      <c r="F1889" s="3" t="n">
        <v>7.1E-005</v>
      </c>
      <c r="G1889" s="3" t="n">
        <f aca="false">SUM($F$2:F1889)</f>
        <v>0.925009</v>
      </c>
      <c r="H1889" s="4"/>
      <c r="I1889" s="5"/>
      <c r="J1889" s="4"/>
      <c r="K1889" s="5"/>
      <c r="L1889" s="6"/>
      <c r="M1889" s="5" t="str">
        <f aca="false">IF(AND(N(K1889)&gt;0,N(L1889)&gt;0),K1889/L1889,"")</f>
        <v/>
      </c>
      <c r="N1889" s="2" t="s">
        <v>1226</v>
      </c>
    </row>
    <row r="1890" customFormat="false" ht="15" hidden="false" customHeight="false" outlineLevel="0" collapsed="false">
      <c r="A1890" s="2" t="n">
        <v>1889</v>
      </c>
      <c r="B1890" s="2" t="s">
        <v>4070</v>
      </c>
      <c r="C1890" s="2" t="s">
        <v>4071</v>
      </c>
      <c r="D1890" s="2"/>
      <c r="E1890" s="2" t="s">
        <v>29</v>
      </c>
      <c r="F1890" s="3" t="n">
        <v>7.1E-005</v>
      </c>
      <c r="G1890" s="3" t="n">
        <f aca="false">SUM($F$2:F1890)</f>
        <v>0.92508</v>
      </c>
      <c r="H1890" s="4"/>
      <c r="I1890" s="5"/>
      <c r="J1890" s="4"/>
      <c r="K1890" s="5"/>
      <c r="L1890" s="6"/>
      <c r="M1890" s="5" t="str">
        <f aca="false">IF(AND(N(K1890)&gt;0,N(L1890)&gt;0),K1890/L1890,"")</f>
        <v/>
      </c>
      <c r="N1890" s="2" t="s">
        <v>1226</v>
      </c>
    </row>
    <row r="1891" customFormat="false" ht="15" hidden="false" customHeight="false" outlineLevel="0" collapsed="false">
      <c r="A1891" s="2" t="n">
        <v>1890</v>
      </c>
      <c r="B1891" s="2" t="s">
        <v>4072</v>
      </c>
      <c r="C1891" s="2" t="s">
        <v>4073</v>
      </c>
      <c r="D1891" s="2"/>
      <c r="E1891" s="2" t="s">
        <v>29</v>
      </c>
      <c r="F1891" s="3" t="n">
        <v>7.1E-005</v>
      </c>
      <c r="G1891" s="3" t="n">
        <f aca="false">SUM($F$2:F1891)</f>
        <v>0.925151</v>
      </c>
      <c r="H1891" s="4"/>
      <c r="I1891" s="5"/>
      <c r="J1891" s="4"/>
      <c r="K1891" s="5"/>
      <c r="L1891" s="6"/>
      <c r="M1891" s="5" t="str">
        <f aca="false">IF(AND(N(K1891)&gt;0,N(L1891)&gt;0),K1891/L1891,"")</f>
        <v/>
      </c>
      <c r="N1891" s="2" t="s">
        <v>1226</v>
      </c>
    </row>
    <row r="1892" customFormat="false" ht="15" hidden="false" customHeight="false" outlineLevel="0" collapsed="false">
      <c r="A1892" s="2" t="n">
        <v>1891</v>
      </c>
      <c r="B1892" s="2" t="s">
        <v>4074</v>
      </c>
      <c r="C1892" s="2" t="s">
        <v>4075</v>
      </c>
      <c r="D1892" s="2"/>
      <c r="E1892" s="2" t="s">
        <v>289</v>
      </c>
      <c r="F1892" s="3" t="n">
        <v>7.1E-005</v>
      </c>
      <c r="G1892" s="3" t="n">
        <f aca="false">SUM($F$2:F1892)</f>
        <v>0.925222</v>
      </c>
      <c r="H1892" s="4"/>
      <c r="I1892" s="5"/>
      <c r="J1892" s="4"/>
      <c r="K1892" s="5"/>
      <c r="L1892" s="6"/>
      <c r="M1892" s="5" t="str">
        <f aca="false">IF(AND(N(K1892)&gt;0,N(L1892)&gt;0),K1892/L1892,"")</f>
        <v/>
      </c>
      <c r="N1892" s="2" t="s">
        <v>1226</v>
      </c>
    </row>
    <row r="1893" customFormat="false" ht="15" hidden="false" customHeight="false" outlineLevel="0" collapsed="false">
      <c r="A1893" s="2" t="n">
        <v>1892</v>
      </c>
      <c r="B1893" s="2" t="s">
        <v>4076</v>
      </c>
      <c r="C1893" s="2" t="s">
        <v>4077</v>
      </c>
      <c r="D1893" s="2"/>
      <c r="E1893" s="2" t="s">
        <v>25</v>
      </c>
      <c r="F1893" s="3" t="n">
        <v>7.1E-005</v>
      </c>
      <c r="G1893" s="3" t="n">
        <f aca="false">SUM($F$2:F1893)</f>
        <v>0.925293</v>
      </c>
      <c r="H1893" s="4"/>
      <c r="I1893" s="5"/>
      <c r="J1893" s="4"/>
      <c r="K1893" s="5"/>
      <c r="L1893" s="6"/>
      <c r="M1893" s="5" t="str">
        <f aca="false">IF(AND(N(K1893)&gt;0,N(L1893)&gt;0),K1893/L1893,"")</f>
        <v/>
      </c>
      <c r="N1893" s="2" t="s">
        <v>1226</v>
      </c>
    </row>
    <row r="1894" customFormat="false" ht="15" hidden="false" customHeight="false" outlineLevel="0" collapsed="false">
      <c r="A1894" s="2" t="n">
        <v>1893</v>
      </c>
      <c r="B1894" s="2" t="s">
        <v>4078</v>
      </c>
      <c r="C1894" s="2" t="s">
        <v>4079</v>
      </c>
      <c r="D1894" s="2"/>
      <c r="E1894" s="2" t="s">
        <v>826</v>
      </c>
      <c r="F1894" s="3" t="n">
        <v>7.1E-005</v>
      </c>
      <c r="G1894" s="3" t="n">
        <f aca="false">SUM($F$2:F1894)</f>
        <v>0.925364</v>
      </c>
      <c r="H1894" s="4"/>
      <c r="I1894" s="5"/>
      <c r="J1894" s="4"/>
      <c r="K1894" s="5"/>
      <c r="L1894" s="6"/>
      <c r="M1894" s="5" t="str">
        <f aca="false">IF(AND(N(K1894)&gt;0,N(L1894)&gt;0),K1894/L1894,"")</f>
        <v/>
      </c>
      <c r="N1894" s="2" t="s">
        <v>1226</v>
      </c>
    </row>
    <row r="1895" customFormat="false" ht="15" hidden="false" customHeight="false" outlineLevel="0" collapsed="false">
      <c r="A1895" s="2" t="n">
        <v>1894</v>
      </c>
      <c r="B1895" s="2" t="s">
        <v>4080</v>
      </c>
      <c r="C1895" s="2" t="s">
        <v>4081</v>
      </c>
      <c r="D1895" s="2"/>
      <c r="E1895" s="2" t="s">
        <v>1345</v>
      </c>
      <c r="F1895" s="3" t="n">
        <v>7.1E-005</v>
      </c>
      <c r="G1895" s="3" t="n">
        <f aca="false">SUM($F$2:F1895)</f>
        <v>0.925435</v>
      </c>
      <c r="H1895" s="4"/>
      <c r="I1895" s="5"/>
      <c r="J1895" s="4"/>
      <c r="K1895" s="5"/>
      <c r="L1895" s="6"/>
      <c r="M1895" s="5" t="str">
        <f aca="false">IF(AND(N(K1895)&gt;0,N(L1895)&gt;0),K1895/L1895,"")</f>
        <v/>
      </c>
      <c r="N1895" s="2" t="s">
        <v>1226</v>
      </c>
    </row>
    <row r="1896" customFormat="false" ht="15" hidden="false" customHeight="false" outlineLevel="0" collapsed="false">
      <c r="A1896" s="2" t="n">
        <v>1895</v>
      </c>
      <c r="B1896" s="2" t="s">
        <v>4082</v>
      </c>
      <c r="C1896" s="2" t="s">
        <v>4083</v>
      </c>
      <c r="D1896" s="2"/>
      <c r="E1896" s="2" t="s">
        <v>52</v>
      </c>
      <c r="F1896" s="3" t="n">
        <v>7E-005</v>
      </c>
      <c r="G1896" s="3" t="n">
        <f aca="false">SUM($F$2:F1896)</f>
        <v>0.925505</v>
      </c>
      <c r="H1896" s="4"/>
      <c r="I1896" s="5"/>
      <c r="J1896" s="4"/>
      <c r="K1896" s="5"/>
      <c r="L1896" s="6"/>
      <c r="M1896" s="5" t="str">
        <f aca="false">IF(AND(N(K1896)&gt;0,N(L1896)&gt;0),K1896/L1896,"")</f>
        <v/>
      </c>
      <c r="N1896" s="2" t="s">
        <v>1226</v>
      </c>
    </row>
    <row r="1897" customFormat="false" ht="15" hidden="false" customHeight="false" outlineLevel="0" collapsed="false">
      <c r="A1897" s="2" t="n">
        <v>1896</v>
      </c>
      <c r="B1897" s="2" t="s">
        <v>4084</v>
      </c>
      <c r="C1897" s="2" t="s">
        <v>4085</v>
      </c>
      <c r="D1897" s="2"/>
      <c r="E1897" s="2" t="s">
        <v>334</v>
      </c>
      <c r="F1897" s="3" t="n">
        <v>7E-005</v>
      </c>
      <c r="G1897" s="3" t="n">
        <f aca="false">SUM($F$2:F1897)</f>
        <v>0.925575</v>
      </c>
      <c r="H1897" s="4"/>
      <c r="I1897" s="5"/>
      <c r="J1897" s="4"/>
      <c r="K1897" s="5"/>
      <c r="L1897" s="6"/>
      <c r="M1897" s="5" t="str">
        <f aca="false">IF(AND(N(K1897)&gt;0,N(L1897)&gt;0),K1897/L1897,"")</f>
        <v/>
      </c>
      <c r="N1897" s="2" t="s">
        <v>1226</v>
      </c>
    </row>
    <row r="1898" customFormat="false" ht="15" hidden="false" customHeight="false" outlineLevel="0" collapsed="false">
      <c r="A1898" s="2" t="n">
        <v>1897</v>
      </c>
      <c r="B1898" s="2" t="s">
        <v>4086</v>
      </c>
      <c r="C1898" s="2" t="s">
        <v>4087</v>
      </c>
      <c r="D1898" s="2"/>
      <c r="E1898" s="2" t="s">
        <v>289</v>
      </c>
      <c r="F1898" s="3" t="n">
        <v>7E-005</v>
      </c>
      <c r="G1898" s="3" t="n">
        <f aca="false">SUM($F$2:F1898)</f>
        <v>0.925645</v>
      </c>
      <c r="H1898" s="4"/>
      <c r="I1898" s="5"/>
      <c r="J1898" s="4"/>
      <c r="K1898" s="5"/>
      <c r="L1898" s="6"/>
      <c r="M1898" s="5" t="str">
        <f aca="false">IF(AND(N(K1898)&gt;0,N(L1898)&gt;0),K1898/L1898,"")</f>
        <v/>
      </c>
      <c r="N1898" s="2" t="s">
        <v>1226</v>
      </c>
    </row>
    <row r="1899" customFormat="false" ht="15" hidden="false" customHeight="false" outlineLevel="0" collapsed="false">
      <c r="A1899" s="2" t="n">
        <v>1898</v>
      </c>
      <c r="B1899" s="2" t="s">
        <v>4088</v>
      </c>
      <c r="C1899" s="2" t="s">
        <v>4089</v>
      </c>
      <c r="D1899" s="2"/>
      <c r="E1899" s="2" t="s">
        <v>334</v>
      </c>
      <c r="F1899" s="3" t="n">
        <v>7E-005</v>
      </c>
      <c r="G1899" s="3" t="n">
        <f aca="false">SUM($F$2:F1899)</f>
        <v>0.925715</v>
      </c>
      <c r="H1899" s="4"/>
      <c r="I1899" s="5"/>
      <c r="J1899" s="4"/>
      <c r="K1899" s="5"/>
      <c r="L1899" s="6"/>
      <c r="M1899" s="5" t="str">
        <f aca="false">IF(AND(N(K1899)&gt;0,N(L1899)&gt;0),K1899/L1899,"")</f>
        <v/>
      </c>
      <c r="N1899" s="2" t="s">
        <v>1226</v>
      </c>
    </row>
    <row r="1900" customFormat="false" ht="15" hidden="false" customHeight="false" outlineLevel="0" collapsed="false">
      <c r="A1900" s="2" t="n">
        <v>1899</v>
      </c>
      <c r="B1900" s="2" t="s">
        <v>4090</v>
      </c>
      <c r="C1900" s="2" t="s">
        <v>4091</v>
      </c>
      <c r="D1900" s="2"/>
      <c r="E1900" s="2" t="s">
        <v>29</v>
      </c>
      <c r="F1900" s="3" t="n">
        <v>7E-005</v>
      </c>
      <c r="G1900" s="3" t="n">
        <f aca="false">SUM($F$2:F1900)</f>
        <v>0.925785</v>
      </c>
      <c r="H1900" s="4"/>
      <c r="I1900" s="5"/>
      <c r="J1900" s="4"/>
      <c r="K1900" s="5"/>
      <c r="L1900" s="6"/>
      <c r="M1900" s="5" t="str">
        <f aca="false">IF(AND(N(K1900)&gt;0,N(L1900)&gt;0),K1900/L1900,"")</f>
        <v/>
      </c>
      <c r="N1900" s="2" t="s">
        <v>1226</v>
      </c>
    </row>
    <row r="1901" customFormat="false" ht="15" hidden="false" customHeight="false" outlineLevel="0" collapsed="false">
      <c r="A1901" s="2" t="n">
        <v>1900</v>
      </c>
      <c r="B1901" s="2" t="s">
        <v>4092</v>
      </c>
      <c r="C1901" s="2" t="s">
        <v>4093</v>
      </c>
      <c r="D1901" s="2"/>
      <c r="E1901" s="2" t="s">
        <v>43</v>
      </c>
      <c r="F1901" s="3" t="n">
        <v>7E-005</v>
      </c>
      <c r="G1901" s="3" t="n">
        <f aca="false">SUM($F$2:F1901)</f>
        <v>0.925855</v>
      </c>
      <c r="H1901" s="4"/>
      <c r="I1901" s="5"/>
      <c r="J1901" s="4"/>
      <c r="K1901" s="5"/>
      <c r="L1901" s="6"/>
      <c r="M1901" s="5" t="str">
        <f aca="false">IF(AND(N(K1901)&gt;0,N(L1901)&gt;0),K1901/L1901,"")</f>
        <v/>
      </c>
      <c r="N1901" s="2" t="s">
        <v>1226</v>
      </c>
    </row>
    <row r="1902" customFormat="false" ht="15" hidden="false" customHeight="false" outlineLevel="0" collapsed="false">
      <c r="A1902" s="2" t="n">
        <v>1901</v>
      </c>
      <c r="B1902" s="2" t="s">
        <v>4094</v>
      </c>
      <c r="C1902" s="2" t="s">
        <v>4095</v>
      </c>
      <c r="D1902" s="2"/>
      <c r="E1902" s="2" t="s">
        <v>334</v>
      </c>
      <c r="F1902" s="3" t="n">
        <v>7E-005</v>
      </c>
      <c r="G1902" s="3" t="n">
        <f aca="false">SUM($F$2:F1902)</f>
        <v>0.925925</v>
      </c>
      <c r="H1902" s="4"/>
      <c r="I1902" s="5"/>
      <c r="J1902" s="4"/>
      <c r="K1902" s="5"/>
      <c r="L1902" s="6"/>
      <c r="M1902" s="5" t="str">
        <f aca="false">IF(AND(N(K1902)&gt;0,N(L1902)&gt;0),K1902/L1902,"")</f>
        <v/>
      </c>
      <c r="N1902" s="2" t="s">
        <v>1226</v>
      </c>
    </row>
    <row r="1903" customFormat="false" ht="15" hidden="false" customHeight="false" outlineLevel="0" collapsed="false">
      <c r="A1903" s="2" t="n">
        <v>1902</v>
      </c>
      <c r="B1903" s="2" t="s">
        <v>4096</v>
      </c>
      <c r="C1903" s="2" t="s">
        <v>4097</v>
      </c>
      <c r="D1903" s="2"/>
      <c r="E1903" s="2" t="s">
        <v>82</v>
      </c>
      <c r="F1903" s="3" t="n">
        <v>7E-005</v>
      </c>
      <c r="G1903" s="3" t="n">
        <f aca="false">SUM($F$2:F1903)</f>
        <v>0.925995</v>
      </c>
      <c r="H1903" s="4"/>
      <c r="I1903" s="5"/>
      <c r="J1903" s="4"/>
      <c r="K1903" s="5"/>
      <c r="L1903" s="6"/>
      <c r="M1903" s="5" t="str">
        <f aca="false">IF(AND(N(K1903)&gt;0,N(L1903)&gt;0),K1903/L1903,"")</f>
        <v/>
      </c>
      <c r="N1903" s="2" t="s">
        <v>1226</v>
      </c>
    </row>
    <row r="1904" customFormat="false" ht="15" hidden="false" customHeight="false" outlineLevel="0" collapsed="false">
      <c r="A1904" s="2" t="n">
        <v>1903</v>
      </c>
      <c r="B1904" s="2" t="s">
        <v>4098</v>
      </c>
      <c r="C1904" s="2" t="s">
        <v>4099</v>
      </c>
      <c r="D1904" s="2"/>
      <c r="E1904" s="2" t="s">
        <v>29</v>
      </c>
      <c r="F1904" s="3" t="n">
        <v>7E-005</v>
      </c>
      <c r="G1904" s="3" t="n">
        <f aca="false">SUM($F$2:F1904)</f>
        <v>0.926065</v>
      </c>
      <c r="H1904" s="4"/>
      <c r="I1904" s="5"/>
      <c r="J1904" s="4"/>
      <c r="K1904" s="5"/>
      <c r="L1904" s="6"/>
      <c r="M1904" s="5" t="str">
        <f aca="false">IF(AND(N(K1904)&gt;0,N(L1904)&gt;0),K1904/L1904,"")</f>
        <v/>
      </c>
      <c r="N1904" s="2" t="s">
        <v>1226</v>
      </c>
    </row>
    <row r="1905" customFormat="false" ht="15" hidden="false" customHeight="false" outlineLevel="0" collapsed="false">
      <c r="A1905" s="2" t="n">
        <v>1904</v>
      </c>
      <c r="B1905" s="2" t="s">
        <v>4100</v>
      </c>
      <c r="C1905" s="2" t="s">
        <v>4101</v>
      </c>
      <c r="D1905" s="2"/>
      <c r="E1905" s="2" t="s">
        <v>82</v>
      </c>
      <c r="F1905" s="3" t="n">
        <v>7E-005</v>
      </c>
      <c r="G1905" s="3" t="n">
        <f aca="false">SUM($F$2:F1905)</f>
        <v>0.926135</v>
      </c>
      <c r="H1905" s="4"/>
      <c r="I1905" s="5"/>
      <c r="J1905" s="4"/>
      <c r="K1905" s="5"/>
      <c r="L1905" s="6"/>
      <c r="M1905" s="5" t="str">
        <f aca="false">IF(AND(N(K1905)&gt;0,N(L1905)&gt;0),K1905/L1905,"")</f>
        <v/>
      </c>
      <c r="N1905" s="2" t="s">
        <v>1226</v>
      </c>
    </row>
    <row r="1906" customFormat="false" ht="15" hidden="false" customHeight="false" outlineLevel="0" collapsed="false">
      <c r="A1906" s="2" t="n">
        <v>1905</v>
      </c>
      <c r="B1906" s="2" t="s">
        <v>4102</v>
      </c>
      <c r="C1906" s="2" t="s">
        <v>4103</v>
      </c>
      <c r="D1906" s="2"/>
      <c r="E1906" s="2" t="s">
        <v>1345</v>
      </c>
      <c r="F1906" s="3" t="n">
        <v>7E-005</v>
      </c>
      <c r="G1906" s="3" t="n">
        <f aca="false">SUM($F$2:F1906)</f>
        <v>0.926205</v>
      </c>
      <c r="H1906" s="4"/>
      <c r="I1906" s="5"/>
      <c r="J1906" s="4"/>
      <c r="K1906" s="5"/>
      <c r="L1906" s="6"/>
      <c r="M1906" s="5" t="str">
        <f aca="false">IF(AND(N(K1906)&gt;0,N(L1906)&gt;0),K1906/L1906,"")</f>
        <v/>
      </c>
      <c r="N1906" s="2" t="s">
        <v>1226</v>
      </c>
    </row>
    <row r="1907" customFormat="false" ht="15" hidden="false" customHeight="false" outlineLevel="0" collapsed="false">
      <c r="A1907" s="2" t="n">
        <v>1906</v>
      </c>
      <c r="B1907" s="2" t="s">
        <v>4104</v>
      </c>
      <c r="C1907" s="2" t="s">
        <v>4105</v>
      </c>
      <c r="D1907" s="2"/>
      <c r="E1907" s="2" t="s">
        <v>25</v>
      </c>
      <c r="F1907" s="3" t="n">
        <v>7E-005</v>
      </c>
      <c r="G1907" s="3" t="n">
        <f aca="false">SUM($F$2:F1907)</f>
        <v>0.926275</v>
      </c>
      <c r="H1907" s="4"/>
      <c r="I1907" s="5"/>
      <c r="J1907" s="4"/>
      <c r="K1907" s="5"/>
      <c r="L1907" s="6"/>
      <c r="M1907" s="5" t="str">
        <f aca="false">IF(AND(N(K1907)&gt;0,N(L1907)&gt;0),K1907/L1907,"")</f>
        <v/>
      </c>
      <c r="N1907" s="2" t="s">
        <v>1226</v>
      </c>
    </row>
    <row r="1908" customFormat="false" ht="15" hidden="false" customHeight="false" outlineLevel="0" collapsed="false">
      <c r="A1908" s="2" t="n">
        <v>1907</v>
      </c>
      <c r="B1908" s="2" t="s">
        <v>4106</v>
      </c>
      <c r="C1908" s="2" t="s">
        <v>4107</v>
      </c>
      <c r="D1908" s="2"/>
      <c r="E1908" s="2" t="s">
        <v>289</v>
      </c>
      <c r="F1908" s="3" t="n">
        <v>7E-005</v>
      </c>
      <c r="G1908" s="3" t="n">
        <f aca="false">SUM($F$2:F1908)</f>
        <v>0.926345</v>
      </c>
      <c r="H1908" s="4"/>
      <c r="I1908" s="5"/>
      <c r="J1908" s="4"/>
      <c r="K1908" s="5"/>
      <c r="L1908" s="6"/>
      <c r="M1908" s="5" t="str">
        <f aca="false">IF(AND(N(K1908)&gt;0,N(L1908)&gt;0),K1908/L1908,"")</f>
        <v/>
      </c>
      <c r="N1908" s="2" t="s">
        <v>1226</v>
      </c>
    </row>
    <row r="1909" customFormat="false" ht="15" hidden="false" customHeight="false" outlineLevel="0" collapsed="false">
      <c r="A1909" s="2" t="n">
        <v>1908</v>
      </c>
      <c r="B1909" s="2" t="s">
        <v>4108</v>
      </c>
      <c r="C1909" s="2" t="s">
        <v>4109</v>
      </c>
      <c r="D1909" s="2"/>
      <c r="E1909" s="2" t="s">
        <v>173</v>
      </c>
      <c r="F1909" s="3" t="n">
        <v>7E-005</v>
      </c>
      <c r="G1909" s="3" t="n">
        <f aca="false">SUM($F$2:F1909)</f>
        <v>0.926415</v>
      </c>
      <c r="H1909" s="4"/>
      <c r="I1909" s="5"/>
      <c r="J1909" s="4"/>
      <c r="K1909" s="5"/>
      <c r="L1909" s="6"/>
      <c r="M1909" s="5" t="str">
        <f aca="false">IF(AND(N(K1909)&gt;0,N(L1909)&gt;0),K1909/L1909,"")</f>
        <v/>
      </c>
      <c r="N1909" s="2" t="s">
        <v>1226</v>
      </c>
    </row>
    <row r="1910" customFormat="false" ht="15" hidden="false" customHeight="false" outlineLevel="0" collapsed="false">
      <c r="A1910" s="2" t="n">
        <v>1909</v>
      </c>
      <c r="B1910" s="2" t="s">
        <v>4110</v>
      </c>
      <c r="C1910" s="2" t="s">
        <v>4111</v>
      </c>
      <c r="D1910" s="2"/>
      <c r="E1910" s="2" t="s">
        <v>1345</v>
      </c>
      <c r="F1910" s="3" t="n">
        <v>7E-005</v>
      </c>
      <c r="G1910" s="3" t="n">
        <f aca="false">SUM($F$2:F1910)</f>
        <v>0.926485</v>
      </c>
      <c r="H1910" s="4"/>
      <c r="I1910" s="5"/>
      <c r="J1910" s="4"/>
      <c r="K1910" s="5"/>
      <c r="L1910" s="6"/>
      <c r="M1910" s="5" t="str">
        <f aca="false">IF(AND(N(K1910)&gt;0,N(L1910)&gt;0),K1910/L1910,"")</f>
        <v/>
      </c>
      <c r="N1910" s="2" t="s">
        <v>1226</v>
      </c>
    </row>
    <row r="1911" customFormat="false" ht="15" hidden="false" customHeight="false" outlineLevel="0" collapsed="false">
      <c r="A1911" s="2" t="n">
        <v>1910</v>
      </c>
      <c r="B1911" s="2" t="s">
        <v>4112</v>
      </c>
      <c r="C1911" s="2" t="s">
        <v>4113</v>
      </c>
      <c r="D1911" s="2"/>
      <c r="E1911" s="2" t="s">
        <v>1245</v>
      </c>
      <c r="F1911" s="3" t="n">
        <v>7E-005</v>
      </c>
      <c r="G1911" s="3" t="n">
        <f aca="false">SUM($F$2:F1911)</f>
        <v>0.926555</v>
      </c>
      <c r="H1911" s="4"/>
      <c r="I1911" s="5"/>
      <c r="J1911" s="4"/>
      <c r="K1911" s="5"/>
      <c r="L1911" s="6"/>
      <c r="M1911" s="5" t="str">
        <f aca="false">IF(AND(N(K1911)&gt;0,N(L1911)&gt;0),K1911/L1911,"")</f>
        <v/>
      </c>
      <c r="N1911" s="2" t="s">
        <v>1226</v>
      </c>
    </row>
    <row r="1912" customFormat="false" ht="15" hidden="false" customHeight="false" outlineLevel="0" collapsed="false">
      <c r="A1912" s="2" t="n">
        <v>1911</v>
      </c>
      <c r="B1912" s="2" t="s">
        <v>4114</v>
      </c>
      <c r="C1912" s="2" t="s">
        <v>4115</v>
      </c>
      <c r="D1912" s="2"/>
      <c r="E1912" s="2" t="s">
        <v>43</v>
      </c>
      <c r="F1912" s="3" t="n">
        <v>6.9E-005</v>
      </c>
      <c r="G1912" s="3" t="n">
        <f aca="false">SUM($F$2:F1912)</f>
        <v>0.926624</v>
      </c>
      <c r="H1912" s="4"/>
      <c r="I1912" s="5"/>
      <c r="J1912" s="4"/>
      <c r="K1912" s="5"/>
      <c r="L1912" s="6"/>
      <c r="M1912" s="5" t="str">
        <f aca="false">IF(AND(N(K1912)&gt;0,N(L1912)&gt;0),K1912/L1912,"")</f>
        <v/>
      </c>
      <c r="N1912" s="2" t="s">
        <v>1226</v>
      </c>
    </row>
    <row r="1913" customFormat="false" ht="15" hidden="false" customHeight="false" outlineLevel="0" collapsed="false">
      <c r="A1913" s="2" t="n">
        <v>1912</v>
      </c>
      <c r="B1913" s="2" t="s">
        <v>4116</v>
      </c>
      <c r="C1913" s="2" t="s">
        <v>4117</v>
      </c>
      <c r="D1913" s="2"/>
      <c r="E1913" s="2" t="s">
        <v>48</v>
      </c>
      <c r="F1913" s="3" t="n">
        <v>6.9E-005</v>
      </c>
      <c r="G1913" s="3" t="n">
        <f aca="false">SUM($F$2:F1913)</f>
        <v>0.926693</v>
      </c>
      <c r="H1913" s="4"/>
      <c r="I1913" s="5"/>
      <c r="J1913" s="4"/>
      <c r="K1913" s="5"/>
      <c r="L1913" s="6"/>
      <c r="M1913" s="5" t="str">
        <f aca="false">IF(AND(N(K1913)&gt;0,N(L1913)&gt;0),K1913/L1913,"")</f>
        <v/>
      </c>
      <c r="N1913" s="2" t="s">
        <v>1226</v>
      </c>
    </row>
    <row r="1914" customFormat="false" ht="15" hidden="false" customHeight="false" outlineLevel="0" collapsed="false">
      <c r="A1914" s="2" t="n">
        <v>1913</v>
      </c>
      <c r="B1914" s="2" t="s">
        <v>4118</v>
      </c>
      <c r="C1914" s="2" t="s">
        <v>4119</v>
      </c>
      <c r="D1914" s="2"/>
      <c r="E1914" s="2" t="s">
        <v>289</v>
      </c>
      <c r="F1914" s="3" t="n">
        <v>6.9E-005</v>
      </c>
      <c r="G1914" s="3" t="n">
        <f aca="false">SUM($F$2:F1914)</f>
        <v>0.926762</v>
      </c>
      <c r="H1914" s="4"/>
      <c r="I1914" s="5"/>
      <c r="J1914" s="4"/>
      <c r="K1914" s="5"/>
      <c r="L1914" s="6"/>
      <c r="M1914" s="5" t="str">
        <f aca="false">IF(AND(N(K1914)&gt;0,N(L1914)&gt;0),K1914/L1914,"")</f>
        <v/>
      </c>
      <c r="N1914" s="2" t="s">
        <v>1226</v>
      </c>
    </row>
    <row r="1915" customFormat="false" ht="15" hidden="false" customHeight="false" outlineLevel="0" collapsed="false">
      <c r="A1915" s="2" t="n">
        <v>1914</v>
      </c>
      <c r="B1915" s="2" t="s">
        <v>4120</v>
      </c>
      <c r="C1915" s="2" t="s">
        <v>4121</v>
      </c>
      <c r="D1915" s="2"/>
      <c r="E1915" s="2" t="s">
        <v>43</v>
      </c>
      <c r="F1915" s="3" t="n">
        <v>6.9E-005</v>
      </c>
      <c r="G1915" s="3" t="n">
        <f aca="false">SUM($F$2:F1915)</f>
        <v>0.926831</v>
      </c>
      <c r="H1915" s="4"/>
      <c r="I1915" s="5"/>
      <c r="J1915" s="4"/>
      <c r="K1915" s="5"/>
      <c r="L1915" s="6"/>
      <c r="M1915" s="5" t="str">
        <f aca="false">IF(AND(N(K1915)&gt;0,N(L1915)&gt;0),K1915/L1915,"")</f>
        <v/>
      </c>
      <c r="N1915" s="2" t="s">
        <v>1226</v>
      </c>
    </row>
    <row r="1916" customFormat="false" ht="15" hidden="false" customHeight="false" outlineLevel="0" collapsed="false">
      <c r="A1916" s="2" t="n">
        <v>1915</v>
      </c>
      <c r="B1916" s="2" t="s">
        <v>4122</v>
      </c>
      <c r="C1916" s="2" t="s">
        <v>4123</v>
      </c>
      <c r="D1916" s="2"/>
      <c r="E1916" s="2" t="s">
        <v>29</v>
      </c>
      <c r="F1916" s="3" t="n">
        <v>6.9E-005</v>
      </c>
      <c r="G1916" s="3" t="n">
        <f aca="false">SUM($F$2:F1916)</f>
        <v>0.9269</v>
      </c>
      <c r="H1916" s="4"/>
      <c r="I1916" s="5"/>
      <c r="J1916" s="4"/>
      <c r="K1916" s="5"/>
      <c r="L1916" s="6"/>
      <c r="M1916" s="5" t="str">
        <f aca="false">IF(AND(N(K1916)&gt;0,N(L1916)&gt;0),K1916/L1916,"")</f>
        <v/>
      </c>
      <c r="N1916" s="2" t="s">
        <v>1226</v>
      </c>
    </row>
    <row r="1917" customFormat="false" ht="15" hidden="false" customHeight="false" outlineLevel="0" collapsed="false">
      <c r="A1917" s="2" t="n">
        <v>1916</v>
      </c>
      <c r="B1917" s="2" t="s">
        <v>4124</v>
      </c>
      <c r="C1917" s="2" t="s">
        <v>4125</v>
      </c>
      <c r="D1917" s="2"/>
      <c r="E1917" s="2" t="s">
        <v>289</v>
      </c>
      <c r="F1917" s="3" t="n">
        <v>6.9E-005</v>
      </c>
      <c r="G1917" s="3" t="n">
        <f aca="false">SUM($F$2:F1917)</f>
        <v>0.926969</v>
      </c>
      <c r="H1917" s="4"/>
      <c r="I1917" s="5"/>
      <c r="J1917" s="4"/>
      <c r="K1917" s="5"/>
      <c r="L1917" s="6"/>
      <c r="M1917" s="5" t="str">
        <f aca="false">IF(AND(N(K1917)&gt;0,N(L1917)&gt;0),K1917/L1917,"")</f>
        <v/>
      </c>
      <c r="N1917" s="2" t="s">
        <v>1226</v>
      </c>
    </row>
    <row r="1918" customFormat="false" ht="15" hidden="false" customHeight="false" outlineLevel="0" collapsed="false">
      <c r="A1918" s="2" t="n">
        <v>1917</v>
      </c>
      <c r="B1918" s="2" t="s">
        <v>4126</v>
      </c>
      <c r="C1918" s="2" t="s">
        <v>4127</v>
      </c>
      <c r="D1918" s="2"/>
      <c r="E1918" s="2" t="s">
        <v>17</v>
      </c>
      <c r="F1918" s="3" t="n">
        <v>6.9E-005</v>
      </c>
      <c r="G1918" s="3" t="n">
        <f aca="false">SUM($F$2:F1918)</f>
        <v>0.927038</v>
      </c>
      <c r="H1918" s="4"/>
      <c r="I1918" s="5"/>
      <c r="J1918" s="4"/>
      <c r="K1918" s="5"/>
      <c r="L1918" s="6"/>
      <c r="M1918" s="5" t="str">
        <f aca="false">IF(AND(N(K1918)&gt;0,N(L1918)&gt;0),K1918/L1918,"")</f>
        <v/>
      </c>
      <c r="N1918" s="2" t="s">
        <v>1226</v>
      </c>
    </row>
    <row r="1919" customFormat="false" ht="15" hidden="false" customHeight="false" outlineLevel="0" collapsed="false">
      <c r="A1919" s="2" t="n">
        <v>1918</v>
      </c>
      <c r="B1919" s="2" t="s">
        <v>4128</v>
      </c>
      <c r="C1919" s="2" t="s">
        <v>4129</v>
      </c>
      <c r="D1919" s="2"/>
      <c r="E1919" s="2" t="s">
        <v>52</v>
      </c>
      <c r="F1919" s="3" t="n">
        <v>6.9E-005</v>
      </c>
      <c r="G1919" s="3" t="n">
        <f aca="false">SUM($F$2:F1919)</f>
        <v>0.927107</v>
      </c>
      <c r="H1919" s="4"/>
      <c r="I1919" s="5"/>
      <c r="J1919" s="4"/>
      <c r="K1919" s="5"/>
      <c r="L1919" s="6"/>
      <c r="M1919" s="5" t="str">
        <f aca="false">IF(AND(N(K1919)&gt;0,N(L1919)&gt;0),K1919/L1919,"")</f>
        <v/>
      </c>
      <c r="N1919" s="2" t="s">
        <v>1226</v>
      </c>
    </row>
    <row r="1920" customFormat="false" ht="15" hidden="false" customHeight="false" outlineLevel="0" collapsed="false">
      <c r="A1920" s="2" t="n">
        <v>1919</v>
      </c>
      <c r="B1920" s="2" t="s">
        <v>4130</v>
      </c>
      <c r="C1920" s="2" t="s">
        <v>4131</v>
      </c>
      <c r="D1920" s="2"/>
      <c r="E1920" s="2" t="s">
        <v>29</v>
      </c>
      <c r="F1920" s="3" t="n">
        <v>6.9E-005</v>
      </c>
      <c r="G1920" s="3" t="n">
        <f aca="false">SUM($F$2:F1920)</f>
        <v>0.927176</v>
      </c>
      <c r="H1920" s="4"/>
      <c r="I1920" s="5"/>
      <c r="J1920" s="4"/>
      <c r="K1920" s="5"/>
      <c r="L1920" s="6"/>
      <c r="M1920" s="5" t="str">
        <f aca="false">IF(AND(N(K1920)&gt;0,N(L1920)&gt;0),K1920/L1920,"")</f>
        <v/>
      </c>
      <c r="N1920" s="2" t="s">
        <v>1226</v>
      </c>
    </row>
    <row r="1921" customFormat="false" ht="15" hidden="false" customHeight="false" outlineLevel="0" collapsed="false">
      <c r="A1921" s="2" t="n">
        <v>1920</v>
      </c>
      <c r="B1921" s="2" t="s">
        <v>4132</v>
      </c>
      <c r="C1921" s="2" t="s">
        <v>4133</v>
      </c>
      <c r="D1921" s="2"/>
      <c r="E1921" s="2" t="s">
        <v>289</v>
      </c>
      <c r="F1921" s="3" t="n">
        <v>6.9E-005</v>
      </c>
      <c r="G1921" s="3" t="n">
        <f aca="false">SUM($F$2:F1921)</f>
        <v>0.927245</v>
      </c>
      <c r="H1921" s="4"/>
      <c r="I1921" s="5"/>
      <c r="J1921" s="4"/>
      <c r="K1921" s="5"/>
      <c r="L1921" s="6"/>
      <c r="M1921" s="5" t="str">
        <f aca="false">IF(AND(N(K1921)&gt;0,N(L1921)&gt;0),K1921/L1921,"")</f>
        <v/>
      </c>
      <c r="N1921" s="2" t="s">
        <v>1226</v>
      </c>
    </row>
    <row r="1922" customFormat="false" ht="15" hidden="false" customHeight="false" outlineLevel="0" collapsed="false">
      <c r="A1922" s="2" t="n">
        <v>1921</v>
      </c>
      <c r="B1922" s="2" t="s">
        <v>4134</v>
      </c>
      <c r="C1922" s="2" t="s">
        <v>4135</v>
      </c>
      <c r="D1922" s="2"/>
      <c r="E1922" s="2" t="s">
        <v>29</v>
      </c>
      <c r="F1922" s="3" t="n">
        <v>6.9E-005</v>
      </c>
      <c r="G1922" s="3" t="n">
        <f aca="false">SUM($F$2:F1922)</f>
        <v>0.927314</v>
      </c>
      <c r="H1922" s="4"/>
      <c r="I1922" s="5"/>
      <c r="J1922" s="4"/>
      <c r="K1922" s="5"/>
      <c r="L1922" s="6"/>
      <c r="M1922" s="5" t="str">
        <f aca="false">IF(AND(N(K1922)&gt;0,N(L1922)&gt;0),K1922/L1922,"")</f>
        <v/>
      </c>
      <c r="N1922" s="2" t="s">
        <v>1226</v>
      </c>
    </row>
    <row r="1923" customFormat="false" ht="15" hidden="false" customHeight="false" outlineLevel="0" collapsed="false">
      <c r="A1923" s="2" t="n">
        <v>1922</v>
      </c>
      <c r="B1923" s="2" t="s">
        <v>4136</v>
      </c>
      <c r="C1923" s="2" t="s">
        <v>4137</v>
      </c>
      <c r="D1923" s="2"/>
      <c r="E1923" s="2" t="s">
        <v>43</v>
      </c>
      <c r="F1923" s="3" t="n">
        <v>6.9E-005</v>
      </c>
      <c r="G1923" s="3" t="n">
        <f aca="false">SUM($F$2:F1923)</f>
        <v>0.927383</v>
      </c>
      <c r="H1923" s="4"/>
      <c r="I1923" s="5"/>
      <c r="J1923" s="4"/>
      <c r="K1923" s="5"/>
      <c r="L1923" s="6"/>
      <c r="M1923" s="5" t="str">
        <f aca="false">IF(AND(N(K1923)&gt;0,N(L1923)&gt;0),K1923/L1923,"")</f>
        <v/>
      </c>
      <c r="N1923" s="2" t="s">
        <v>1226</v>
      </c>
    </row>
    <row r="1924" customFormat="false" ht="15" hidden="false" customHeight="false" outlineLevel="0" collapsed="false">
      <c r="A1924" s="2" t="n">
        <v>1923</v>
      </c>
      <c r="B1924" s="2" t="s">
        <v>4138</v>
      </c>
      <c r="C1924" s="2" t="s">
        <v>4139</v>
      </c>
      <c r="D1924" s="2"/>
      <c r="E1924" s="2" t="s">
        <v>52</v>
      </c>
      <c r="F1924" s="3" t="n">
        <v>6.9E-005</v>
      </c>
      <c r="G1924" s="3" t="n">
        <f aca="false">SUM($F$2:F1924)</f>
        <v>0.927452</v>
      </c>
      <c r="H1924" s="4"/>
      <c r="I1924" s="5"/>
      <c r="J1924" s="4"/>
      <c r="K1924" s="5"/>
      <c r="L1924" s="6"/>
      <c r="M1924" s="5" t="str">
        <f aca="false">IF(AND(N(K1924)&gt;0,N(L1924)&gt;0),K1924/L1924,"")</f>
        <v/>
      </c>
      <c r="N1924" s="2" t="s">
        <v>1226</v>
      </c>
    </row>
    <row r="1925" customFormat="false" ht="15" hidden="false" customHeight="false" outlineLevel="0" collapsed="false">
      <c r="A1925" s="2" t="n">
        <v>1924</v>
      </c>
      <c r="B1925" s="2" t="s">
        <v>4140</v>
      </c>
      <c r="C1925" s="2" t="s">
        <v>4141</v>
      </c>
      <c r="D1925" s="2"/>
      <c r="E1925" s="2" t="s">
        <v>29</v>
      </c>
      <c r="F1925" s="3" t="n">
        <v>6.9E-005</v>
      </c>
      <c r="G1925" s="3" t="n">
        <f aca="false">SUM($F$2:F1925)</f>
        <v>0.927521</v>
      </c>
      <c r="H1925" s="4"/>
      <c r="I1925" s="5"/>
      <c r="J1925" s="4"/>
      <c r="K1925" s="5"/>
      <c r="L1925" s="6"/>
      <c r="M1925" s="5" t="str">
        <f aca="false">IF(AND(N(K1925)&gt;0,N(L1925)&gt;0),K1925/L1925,"")</f>
        <v/>
      </c>
      <c r="N1925" s="2" t="s">
        <v>1226</v>
      </c>
    </row>
    <row r="1926" customFormat="false" ht="15" hidden="false" customHeight="false" outlineLevel="0" collapsed="false">
      <c r="A1926" s="2" t="n">
        <v>1925</v>
      </c>
      <c r="B1926" s="2" t="s">
        <v>4142</v>
      </c>
      <c r="C1926" s="2" t="s">
        <v>4143</v>
      </c>
      <c r="D1926" s="2"/>
      <c r="E1926" s="2" t="s">
        <v>82</v>
      </c>
      <c r="F1926" s="3" t="n">
        <v>6.9E-005</v>
      </c>
      <c r="G1926" s="3" t="n">
        <f aca="false">SUM($F$2:F1926)</f>
        <v>0.92759</v>
      </c>
      <c r="H1926" s="4"/>
      <c r="I1926" s="5"/>
      <c r="J1926" s="4"/>
      <c r="K1926" s="5"/>
      <c r="L1926" s="6"/>
      <c r="M1926" s="5" t="str">
        <f aca="false">IF(AND(N(K1926)&gt;0,N(L1926)&gt;0),K1926/L1926,"")</f>
        <v/>
      </c>
      <c r="N1926" s="2" t="s">
        <v>1226</v>
      </c>
    </row>
    <row r="1927" customFormat="false" ht="15" hidden="false" customHeight="false" outlineLevel="0" collapsed="false">
      <c r="A1927" s="2" t="n">
        <v>1926</v>
      </c>
      <c r="B1927" s="2" t="s">
        <v>4144</v>
      </c>
      <c r="C1927" s="2" t="s">
        <v>4145</v>
      </c>
      <c r="D1927" s="2"/>
      <c r="E1927" s="2" t="s">
        <v>43</v>
      </c>
      <c r="F1927" s="3" t="n">
        <v>6.9E-005</v>
      </c>
      <c r="G1927" s="3" t="n">
        <f aca="false">SUM($F$2:F1927)</f>
        <v>0.927659</v>
      </c>
      <c r="H1927" s="4"/>
      <c r="I1927" s="5"/>
      <c r="J1927" s="4"/>
      <c r="K1927" s="5"/>
      <c r="L1927" s="6"/>
      <c r="M1927" s="5" t="str">
        <f aca="false">IF(AND(N(K1927)&gt;0,N(L1927)&gt;0),K1927/L1927,"")</f>
        <v/>
      </c>
      <c r="N1927" s="2" t="s">
        <v>1226</v>
      </c>
    </row>
    <row r="1928" customFormat="false" ht="15" hidden="false" customHeight="false" outlineLevel="0" collapsed="false">
      <c r="A1928" s="2" t="n">
        <v>1927</v>
      </c>
      <c r="B1928" s="2" t="s">
        <v>4146</v>
      </c>
      <c r="C1928" s="2" t="s">
        <v>4147</v>
      </c>
      <c r="D1928" s="2"/>
      <c r="E1928" s="2" t="s">
        <v>38</v>
      </c>
      <c r="F1928" s="3" t="n">
        <v>6.9E-005</v>
      </c>
      <c r="G1928" s="3" t="n">
        <f aca="false">SUM($F$2:F1928)</f>
        <v>0.927728</v>
      </c>
      <c r="H1928" s="4"/>
      <c r="I1928" s="5"/>
      <c r="J1928" s="4"/>
      <c r="K1928" s="5"/>
      <c r="L1928" s="6"/>
      <c r="M1928" s="5" t="str">
        <f aca="false">IF(AND(N(K1928)&gt;0,N(L1928)&gt;0),K1928/L1928,"")</f>
        <v/>
      </c>
      <c r="N1928" s="2" t="s">
        <v>1226</v>
      </c>
    </row>
    <row r="1929" customFormat="false" ht="15" hidden="false" customHeight="false" outlineLevel="0" collapsed="false">
      <c r="A1929" s="2" t="n">
        <v>1928</v>
      </c>
      <c r="B1929" s="2" t="s">
        <v>4148</v>
      </c>
      <c r="C1929" s="2" t="s">
        <v>4149</v>
      </c>
      <c r="D1929" s="2"/>
      <c r="E1929" s="2" t="s">
        <v>43</v>
      </c>
      <c r="F1929" s="3" t="n">
        <v>6.9E-005</v>
      </c>
      <c r="G1929" s="3" t="n">
        <f aca="false">SUM($F$2:F1929)</f>
        <v>0.927797</v>
      </c>
      <c r="H1929" s="4"/>
      <c r="I1929" s="5"/>
      <c r="J1929" s="4"/>
      <c r="K1929" s="5"/>
      <c r="L1929" s="6"/>
      <c r="M1929" s="5" t="str">
        <f aca="false">IF(AND(N(K1929)&gt;0,N(L1929)&gt;0),K1929/L1929,"")</f>
        <v/>
      </c>
      <c r="N1929" s="2" t="s">
        <v>1226</v>
      </c>
    </row>
    <row r="1930" customFormat="false" ht="15" hidden="false" customHeight="false" outlineLevel="0" collapsed="false">
      <c r="A1930" s="2" t="n">
        <v>1929</v>
      </c>
      <c r="B1930" s="2" t="s">
        <v>4150</v>
      </c>
      <c r="C1930" s="2" t="s">
        <v>4151</v>
      </c>
      <c r="D1930" s="2"/>
      <c r="E1930" s="2" t="s">
        <v>82</v>
      </c>
      <c r="F1930" s="3" t="n">
        <v>6.9E-005</v>
      </c>
      <c r="G1930" s="3" t="n">
        <f aca="false">SUM($F$2:F1930)</f>
        <v>0.927866</v>
      </c>
      <c r="H1930" s="4"/>
      <c r="I1930" s="5"/>
      <c r="J1930" s="4"/>
      <c r="K1930" s="5"/>
      <c r="L1930" s="6"/>
      <c r="M1930" s="5" t="str">
        <f aca="false">IF(AND(N(K1930)&gt;0,N(L1930)&gt;0),K1930/L1930,"")</f>
        <v/>
      </c>
      <c r="N1930" s="2" t="s">
        <v>1226</v>
      </c>
    </row>
    <row r="1931" customFormat="false" ht="15" hidden="false" customHeight="false" outlineLevel="0" collapsed="false">
      <c r="A1931" s="2" t="n">
        <v>1930</v>
      </c>
      <c r="B1931" s="2" t="s">
        <v>4152</v>
      </c>
      <c r="C1931" s="2" t="s">
        <v>4153</v>
      </c>
      <c r="D1931" s="2"/>
      <c r="E1931" s="2" t="s">
        <v>173</v>
      </c>
      <c r="F1931" s="3" t="n">
        <v>6.9E-005</v>
      </c>
      <c r="G1931" s="3" t="n">
        <f aca="false">SUM($F$2:F1931)</f>
        <v>0.927935</v>
      </c>
      <c r="H1931" s="4"/>
      <c r="I1931" s="5"/>
      <c r="J1931" s="4"/>
      <c r="K1931" s="5"/>
      <c r="L1931" s="6"/>
      <c r="M1931" s="5" t="str">
        <f aca="false">IF(AND(N(K1931)&gt;0,N(L1931)&gt;0),K1931/L1931,"")</f>
        <v/>
      </c>
      <c r="N1931" s="2" t="s">
        <v>1226</v>
      </c>
    </row>
    <row r="1932" customFormat="false" ht="15" hidden="false" customHeight="false" outlineLevel="0" collapsed="false">
      <c r="A1932" s="2" t="n">
        <v>1931</v>
      </c>
      <c r="B1932" s="2" t="s">
        <v>4154</v>
      </c>
      <c r="C1932" s="2" t="s">
        <v>4155</v>
      </c>
      <c r="D1932" s="2"/>
      <c r="E1932" s="2" t="s">
        <v>1345</v>
      </c>
      <c r="F1932" s="3" t="n">
        <v>6.9E-005</v>
      </c>
      <c r="G1932" s="3" t="n">
        <f aca="false">SUM($F$2:F1932)</f>
        <v>0.928004</v>
      </c>
      <c r="H1932" s="4"/>
      <c r="I1932" s="5"/>
      <c r="J1932" s="4"/>
      <c r="K1932" s="5"/>
      <c r="L1932" s="6"/>
      <c r="M1932" s="5" t="str">
        <f aca="false">IF(AND(N(K1932)&gt;0,N(L1932)&gt;0),K1932/L1932,"")</f>
        <v/>
      </c>
      <c r="N1932" s="2" t="s">
        <v>1226</v>
      </c>
    </row>
    <row r="1933" customFormat="false" ht="15" hidden="false" customHeight="false" outlineLevel="0" collapsed="false">
      <c r="A1933" s="2" t="n">
        <v>1932</v>
      </c>
      <c r="B1933" s="2" t="s">
        <v>4156</v>
      </c>
      <c r="C1933" s="2" t="s">
        <v>4157</v>
      </c>
      <c r="D1933" s="2"/>
      <c r="E1933" s="2" t="s">
        <v>29</v>
      </c>
      <c r="F1933" s="3" t="n">
        <v>6.9E-005</v>
      </c>
      <c r="G1933" s="3" t="n">
        <f aca="false">SUM($F$2:F1933)</f>
        <v>0.928073</v>
      </c>
      <c r="H1933" s="4"/>
      <c r="I1933" s="5"/>
      <c r="J1933" s="4"/>
      <c r="K1933" s="5"/>
      <c r="L1933" s="6"/>
      <c r="M1933" s="5" t="str">
        <f aca="false">IF(AND(N(K1933)&gt;0,N(L1933)&gt;0),K1933/L1933,"")</f>
        <v/>
      </c>
      <c r="N1933" s="2" t="s">
        <v>1226</v>
      </c>
    </row>
    <row r="1934" customFormat="false" ht="15" hidden="false" customHeight="false" outlineLevel="0" collapsed="false">
      <c r="A1934" s="2" t="n">
        <v>1933</v>
      </c>
      <c r="B1934" s="2" t="s">
        <v>4158</v>
      </c>
      <c r="C1934" s="2" t="s">
        <v>4159</v>
      </c>
      <c r="D1934" s="2"/>
      <c r="E1934" s="2" t="s">
        <v>48</v>
      </c>
      <c r="F1934" s="3" t="n">
        <v>6.9E-005</v>
      </c>
      <c r="G1934" s="3" t="n">
        <f aca="false">SUM($F$2:F1934)</f>
        <v>0.928142</v>
      </c>
      <c r="H1934" s="4"/>
      <c r="I1934" s="5"/>
      <c r="J1934" s="4"/>
      <c r="K1934" s="5"/>
      <c r="L1934" s="6"/>
      <c r="M1934" s="5" t="str">
        <f aca="false">IF(AND(N(K1934)&gt;0,N(L1934)&gt;0),K1934/L1934,"")</f>
        <v/>
      </c>
      <c r="N1934" s="2" t="s">
        <v>1226</v>
      </c>
    </row>
    <row r="1935" customFormat="false" ht="15" hidden="false" customHeight="false" outlineLevel="0" collapsed="false">
      <c r="A1935" s="2" t="n">
        <v>1934</v>
      </c>
      <c r="B1935" s="2" t="s">
        <v>4160</v>
      </c>
      <c r="C1935" s="2" t="s">
        <v>4161</v>
      </c>
      <c r="D1935" s="2"/>
      <c r="E1935" s="2" t="s">
        <v>1345</v>
      </c>
      <c r="F1935" s="3" t="n">
        <v>6.9E-005</v>
      </c>
      <c r="G1935" s="3" t="n">
        <f aca="false">SUM($F$2:F1935)</f>
        <v>0.928211</v>
      </c>
      <c r="H1935" s="4"/>
      <c r="I1935" s="5"/>
      <c r="J1935" s="4"/>
      <c r="K1935" s="5"/>
      <c r="L1935" s="6"/>
      <c r="M1935" s="5" t="str">
        <f aca="false">IF(AND(N(K1935)&gt;0,N(L1935)&gt;0),K1935/L1935,"")</f>
        <v/>
      </c>
      <c r="N1935" s="2" t="s">
        <v>1226</v>
      </c>
    </row>
    <row r="1936" customFormat="false" ht="15" hidden="false" customHeight="false" outlineLevel="0" collapsed="false">
      <c r="A1936" s="2" t="n">
        <v>1935</v>
      </c>
      <c r="B1936" s="2" t="s">
        <v>4162</v>
      </c>
      <c r="C1936" s="2" t="s">
        <v>4163</v>
      </c>
      <c r="D1936" s="2"/>
      <c r="E1936" s="2" t="s">
        <v>52</v>
      </c>
      <c r="F1936" s="3" t="n">
        <v>6.9E-005</v>
      </c>
      <c r="G1936" s="3" t="n">
        <f aca="false">SUM($F$2:F1936)</f>
        <v>0.92828</v>
      </c>
      <c r="H1936" s="4"/>
      <c r="I1936" s="5"/>
      <c r="J1936" s="4"/>
      <c r="K1936" s="5"/>
      <c r="L1936" s="6"/>
      <c r="M1936" s="5" t="str">
        <f aca="false">IF(AND(N(K1936)&gt;0,N(L1936)&gt;0),K1936/L1936,"")</f>
        <v/>
      </c>
      <c r="N1936" s="2" t="s">
        <v>1226</v>
      </c>
    </row>
    <row r="1937" customFormat="false" ht="15" hidden="false" customHeight="false" outlineLevel="0" collapsed="false">
      <c r="A1937" s="2" t="n">
        <v>1936</v>
      </c>
      <c r="B1937" s="2" t="s">
        <v>4164</v>
      </c>
      <c r="C1937" s="2" t="s">
        <v>4165</v>
      </c>
      <c r="D1937" s="2"/>
      <c r="E1937" s="2" t="s">
        <v>38</v>
      </c>
      <c r="F1937" s="3" t="n">
        <v>6.8E-005</v>
      </c>
      <c r="G1937" s="3" t="n">
        <f aca="false">SUM($F$2:F1937)</f>
        <v>0.928348</v>
      </c>
      <c r="H1937" s="4"/>
      <c r="I1937" s="5"/>
      <c r="J1937" s="4"/>
      <c r="K1937" s="5"/>
      <c r="L1937" s="6"/>
      <c r="M1937" s="5" t="str">
        <f aca="false">IF(AND(N(K1937)&gt;0,N(L1937)&gt;0),K1937/L1937,"")</f>
        <v/>
      </c>
      <c r="N1937" s="2" t="s">
        <v>1226</v>
      </c>
    </row>
    <row r="1938" customFormat="false" ht="15" hidden="false" customHeight="false" outlineLevel="0" collapsed="false">
      <c r="A1938" s="2" t="n">
        <v>1937</v>
      </c>
      <c r="B1938" s="2" t="s">
        <v>4166</v>
      </c>
      <c r="C1938" s="2" t="s">
        <v>4167</v>
      </c>
      <c r="D1938" s="2"/>
      <c r="E1938" s="2" t="s">
        <v>289</v>
      </c>
      <c r="F1938" s="3" t="n">
        <v>6.8E-005</v>
      </c>
      <c r="G1938" s="3" t="n">
        <f aca="false">SUM($F$2:F1938)</f>
        <v>0.928416</v>
      </c>
      <c r="H1938" s="4"/>
      <c r="I1938" s="5"/>
      <c r="J1938" s="4"/>
      <c r="K1938" s="5"/>
      <c r="L1938" s="6"/>
      <c r="M1938" s="5" t="str">
        <f aca="false">IF(AND(N(K1938)&gt;0,N(L1938)&gt;0),K1938/L1938,"")</f>
        <v/>
      </c>
      <c r="N1938" s="2" t="s">
        <v>1226</v>
      </c>
    </row>
    <row r="1939" customFormat="false" ht="15" hidden="false" customHeight="false" outlineLevel="0" collapsed="false">
      <c r="A1939" s="2" t="n">
        <v>1938</v>
      </c>
      <c r="B1939" s="2" t="s">
        <v>4168</v>
      </c>
      <c r="C1939" s="2" t="s">
        <v>4169</v>
      </c>
      <c r="D1939" s="2"/>
      <c r="E1939" s="2" t="s">
        <v>52</v>
      </c>
      <c r="F1939" s="3" t="n">
        <v>6.8E-005</v>
      </c>
      <c r="G1939" s="3" t="n">
        <f aca="false">SUM($F$2:F1939)</f>
        <v>0.928484</v>
      </c>
      <c r="H1939" s="4"/>
      <c r="I1939" s="5"/>
      <c r="J1939" s="4"/>
      <c r="K1939" s="5"/>
      <c r="L1939" s="6"/>
      <c r="M1939" s="5" t="str">
        <f aca="false">IF(AND(N(K1939)&gt;0,N(L1939)&gt;0),K1939/L1939,"")</f>
        <v/>
      </c>
      <c r="N1939" s="2" t="s">
        <v>1226</v>
      </c>
    </row>
    <row r="1940" customFormat="false" ht="15" hidden="false" customHeight="false" outlineLevel="0" collapsed="false">
      <c r="A1940" s="2" t="n">
        <v>1939</v>
      </c>
      <c r="B1940" s="2" t="s">
        <v>4170</v>
      </c>
      <c r="C1940" s="2" t="s">
        <v>4171</v>
      </c>
      <c r="D1940" s="2"/>
      <c r="E1940" s="2" t="s">
        <v>289</v>
      </c>
      <c r="F1940" s="3" t="n">
        <v>6.8E-005</v>
      </c>
      <c r="G1940" s="3" t="n">
        <f aca="false">SUM($F$2:F1940)</f>
        <v>0.928552</v>
      </c>
      <c r="H1940" s="4"/>
      <c r="I1940" s="5"/>
      <c r="J1940" s="4"/>
      <c r="K1940" s="5"/>
      <c r="L1940" s="6"/>
      <c r="M1940" s="5" t="str">
        <f aca="false">IF(AND(N(K1940)&gt;0,N(L1940)&gt;0),K1940/L1940,"")</f>
        <v/>
      </c>
      <c r="N1940" s="2" t="s">
        <v>1226</v>
      </c>
    </row>
    <row r="1941" customFormat="false" ht="15" hidden="false" customHeight="false" outlineLevel="0" collapsed="false">
      <c r="A1941" s="2" t="n">
        <v>1940</v>
      </c>
      <c r="B1941" s="2" t="s">
        <v>4172</v>
      </c>
      <c r="C1941" s="2" t="s">
        <v>4173</v>
      </c>
      <c r="D1941" s="2"/>
      <c r="E1941" s="2" t="s">
        <v>1345</v>
      </c>
      <c r="F1941" s="3" t="n">
        <v>6.8E-005</v>
      </c>
      <c r="G1941" s="3" t="n">
        <f aca="false">SUM($F$2:F1941)</f>
        <v>0.92862</v>
      </c>
      <c r="H1941" s="4"/>
      <c r="I1941" s="5"/>
      <c r="J1941" s="4"/>
      <c r="K1941" s="5"/>
      <c r="L1941" s="6"/>
      <c r="M1941" s="5" t="str">
        <f aca="false">IF(AND(N(K1941)&gt;0,N(L1941)&gt;0),K1941/L1941,"")</f>
        <v/>
      </c>
      <c r="N1941" s="2" t="s">
        <v>1226</v>
      </c>
    </row>
    <row r="1942" customFormat="false" ht="15" hidden="false" customHeight="false" outlineLevel="0" collapsed="false">
      <c r="A1942" s="2" t="n">
        <v>1941</v>
      </c>
      <c r="B1942" s="2" t="s">
        <v>4174</v>
      </c>
      <c r="C1942" s="2" t="s">
        <v>4175</v>
      </c>
      <c r="D1942" s="2"/>
      <c r="E1942" s="2" t="s">
        <v>289</v>
      </c>
      <c r="F1942" s="3" t="n">
        <v>6.8E-005</v>
      </c>
      <c r="G1942" s="3" t="n">
        <f aca="false">SUM($F$2:F1942)</f>
        <v>0.928688</v>
      </c>
      <c r="H1942" s="4"/>
      <c r="I1942" s="5"/>
      <c r="J1942" s="4"/>
      <c r="K1942" s="5"/>
      <c r="L1942" s="6"/>
      <c r="M1942" s="5" t="str">
        <f aca="false">IF(AND(N(K1942)&gt;0,N(L1942)&gt;0),K1942/L1942,"")</f>
        <v/>
      </c>
      <c r="N1942" s="2" t="s">
        <v>1226</v>
      </c>
    </row>
    <row r="1943" customFormat="false" ht="15" hidden="false" customHeight="false" outlineLevel="0" collapsed="false">
      <c r="A1943" s="2" t="n">
        <v>1942</v>
      </c>
      <c r="B1943" s="2" t="s">
        <v>4176</v>
      </c>
      <c r="C1943" s="2" t="s">
        <v>4177</v>
      </c>
      <c r="D1943" s="2"/>
      <c r="E1943" s="2" t="s">
        <v>43</v>
      </c>
      <c r="F1943" s="3" t="n">
        <v>6.8E-005</v>
      </c>
      <c r="G1943" s="3" t="n">
        <f aca="false">SUM($F$2:F1943)</f>
        <v>0.928756</v>
      </c>
      <c r="H1943" s="4"/>
      <c r="I1943" s="5"/>
      <c r="J1943" s="4"/>
      <c r="K1943" s="5"/>
      <c r="L1943" s="6"/>
      <c r="M1943" s="5" t="str">
        <f aca="false">IF(AND(N(K1943)&gt;0,N(L1943)&gt;0),K1943/L1943,"")</f>
        <v/>
      </c>
      <c r="N1943" s="2" t="s">
        <v>1226</v>
      </c>
    </row>
    <row r="1944" customFormat="false" ht="15" hidden="false" customHeight="false" outlineLevel="0" collapsed="false">
      <c r="A1944" s="2" t="n">
        <v>1943</v>
      </c>
      <c r="B1944" s="2" t="s">
        <v>4178</v>
      </c>
      <c r="C1944" s="2" t="s">
        <v>4179</v>
      </c>
      <c r="D1944" s="2"/>
      <c r="E1944" s="2" t="s">
        <v>2055</v>
      </c>
      <c r="F1944" s="3" t="n">
        <v>6.8E-005</v>
      </c>
      <c r="G1944" s="3" t="n">
        <f aca="false">SUM($F$2:F1944)</f>
        <v>0.928824</v>
      </c>
      <c r="H1944" s="4"/>
      <c r="I1944" s="5"/>
      <c r="J1944" s="4"/>
      <c r="K1944" s="5"/>
      <c r="L1944" s="6"/>
      <c r="M1944" s="5" t="str">
        <f aca="false">IF(AND(N(K1944)&gt;0,N(L1944)&gt;0),K1944/L1944,"")</f>
        <v/>
      </c>
      <c r="N1944" s="2" t="s">
        <v>1226</v>
      </c>
    </row>
    <row r="1945" customFormat="false" ht="15" hidden="false" customHeight="false" outlineLevel="0" collapsed="false">
      <c r="A1945" s="2" t="n">
        <v>1944</v>
      </c>
      <c r="B1945" s="2" t="s">
        <v>4180</v>
      </c>
      <c r="C1945" s="2" t="s">
        <v>4181</v>
      </c>
      <c r="D1945" s="2"/>
      <c r="E1945" s="2" t="s">
        <v>33</v>
      </c>
      <c r="F1945" s="3" t="n">
        <v>6.8E-005</v>
      </c>
      <c r="G1945" s="3" t="n">
        <f aca="false">SUM($F$2:F1945)</f>
        <v>0.928892</v>
      </c>
      <c r="H1945" s="4"/>
      <c r="I1945" s="5"/>
      <c r="J1945" s="4"/>
      <c r="K1945" s="5"/>
      <c r="L1945" s="6"/>
      <c r="M1945" s="5" t="str">
        <f aca="false">IF(AND(N(K1945)&gt;0,N(L1945)&gt;0),K1945/L1945,"")</f>
        <v/>
      </c>
      <c r="N1945" s="2" t="s">
        <v>1226</v>
      </c>
    </row>
    <row r="1946" customFormat="false" ht="15" hidden="false" customHeight="false" outlineLevel="0" collapsed="false">
      <c r="A1946" s="2" t="n">
        <v>1945</v>
      </c>
      <c r="B1946" s="2" t="s">
        <v>4182</v>
      </c>
      <c r="C1946" s="2" t="s">
        <v>4183</v>
      </c>
      <c r="D1946" s="2"/>
      <c r="E1946" s="2" t="s">
        <v>52</v>
      </c>
      <c r="F1946" s="3" t="n">
        <v>6.8E-005</v>
      </c>
      <c r="G1946" s="3" t="n">
        <f aca="false">SUM($F$2:F1946)</f>
        <v>0.92896</v>
      </c>
      <c r="H1946" s="4"/>
      <c r="I1946" s="5"/>
      <c r="J1946" s="4"/>
      <c r="K1946" s="5"/>
      <c r="L1946" s="6"/>
      <c r="M1946" s="5" t="str">
        <f aca="false">IF(AND(N(K1946)&gt;0,N(L1946)&gt;0),K1946/L1946,"")</f>
        <v/>
      </c>
      <c r="N1946" s="2" t="s">
        <v>1226</v>
      </c>
    </row>
    <row r="1947" customFormat="false" ht="15" hidden="false" customHeight="false" outlineLevel="0" collapsed="false">
      <c r="A1947" s="2" t="n">
        <v>1946</v>
      </c>
      <c r="B1947" s="2" t="s">
        <v>4184</v>
      </c>
      <c r="C1947" s="2" t="s">
        <v>4185</v>
      </c>
      <c r="D1947" s="2"/>
      <c r="E1947" s="2" t="s">
        <v>21</v>
      </c>
      <c r="F1947" s="3" t="n">
        <v>6.8E-005</v>
      </c>
      <c r="G1947" s="3" t="n">
        <f aca="false">SUM($F$2:F1947)</f>
        <v>0.929028</v>
      </c>
      <c r="H1947" s="4"/>
      <c r="I1947" s="5"/>
      <c r="J1947" s="4"/>
      <c r="K1947" s="5"/>
      <c r="L1947" s="6"/>
      <c r="M1947" s="5" t="str">
        <f aca="false">IF(AND(N(K1947)&gt;0,N(L1947)&gt;0),K1947/L1947,"")</f>
        <v/>
      </c>
      <c r="N1947" s="2" t="s">
        <v>1226</v>
      </c>
    </row>
    <row r="1948" customFormat="false" ht="15" hidden="false" customHeight="false" outlineLevel="0" collapsed="false">
      <c r="A1948" s="2" t="n">
        <v>1947</v>
      </c>
      <c r="B1948" s="2" t="s">
        <v>4186</v>
      </c>
      <c r="C1948" s="2" t="s">
        <v>4187</v>
      </c>
      <c r="D1948" s="2"/>
      <c r="E1948" s="2" t="s">
        <v>679</v>
      </c>
      <c r="F1948" s="3" t="n">
        <v>6.8E-005</v>
      </c>
      <c r="G1948" s="3" t="n">
        <f aca="false">SUM($F$2:F1948)</f>
        <v>0.929096</v>
      </c>
      <c r="H1948" s="4"/>
      <c r="I1948" s="5"/>
      <c r="J1948" s="4"/>
      <c r="K1948" s="5"/>
      <c r="L1948" s="6"/>
      <c r="M1948" s="5" t="str">
        <f aca="false">IF(AND(N(K1948)&gt;0,N(L1948)&gt;0),K1948/L1948,"")</f>
        <v/>
      </c>
      <c r="N1948" s="2" t="s">
        <v>1226</v>
      </c>
    </row>
    <row r="1949" customFormat="false" ht="15" hidden="false" customHeight="false" outlineLevel="0" collapsed="false">
      <c r="A1949" s="2" t="n">
        <v>1948</v>
      </c>
      <c r="B1949" s="2" t="s">
        <v>4188</v>
      </c>
      <c r="C1949" s="2" t="s">
        <v>4189</v>
      </c>
      <c r="D1949" s="2"/>
      <c r="E1949" s="2" t="s">
        <v>1345</v>
      </c>
      <c r="F1949" s="3" t="n">
        <v>6.7E-005</v>
      </c>
      <c r="G1949" s="3" t="n">
        <f aca="false">SUM($F$2:F1949)</f>
        <v>0.929163</v>
      </c>
      <c r="H1949" s="4"/>
      <c r="I1949" s="5"/>
      <c r="J1949" s="4"/>
      <c r="K1949" s="5"/>
      <c r="L1949" s="6"/>
      <c r="M1949" s="5" t="str">
        <f aca="false">IF(AND(N(K1949)&gt;0,N(L1949)&gt;0),K1949/L1949,"")</f>
        <v/>
      </c>
      <c r="N1949" s="2" t="s">
        <v>1226</v>
      </c>
    </row>
    <row r="1950" customFormat="false" ht="15" hidden="false" customHeight="false" outlineLevel="0" collapsed="false">
      <c r="A1950" s="2" t="n">
        <v>1949</v>
      </c>
      <c r="B1950" s="2" t="s">
        <v>4190</v>
      </c>
      <c r="C1950" s="2" t="s">
        <v>4191</v>
      </c>
      <c r="D1950" s="2"/>
      <c r="E1950" s="2" t="s">
        <v>52</v>
      </c>
      <c r="F1950" s="3" t="n">
        <v>6.7E-005</v>
      </c>
      <c r="G1950" s="3" t="n">
        <f aca="false">SUM($F$2:F1950)</f>
        <v>0.92923</v>
      </c>
      <c r="H1950" s="4"/>
      <c r="I1950" s="5"/>
      <c r="J1950" s="4"/>
      <c r="K1950" s="5"/>
      <c r="L1950" s="6"/>
      <c r="M1950" s="5" t="str">
        <f aca="false">IF(AND(N(K1950)&gt;0,N(L1950)&gt;0),K1950/L1950,"")</f>
        <v/>
      </c>
      <c r="N1950" s="2" t="s">
        <v>1226</v>
      </c>
    </row>
    <row r="1951" customFormat="false" ht="15" hidden="false" customHeight="false" outlineLevel="0" collapsed="false">
      <c r="A1951" s="2" t="n">
        <v>1950</v>
      </c>
      <c r="B1951" s="2" t="s">
        <v>4192</v>
      </c>
      <c r="C1951" s="2" t="s">
        <v>4193</v>
      </c>
      <c r="D1951" s="2"/>
      <c r="E1951" s="2" t="s">
        <v>52</v>
      </c>
      <c r="F1951" s="3" t="n">
        <v>6.7E-005</v>
      </c>
      <c r="G1951" s="3" t="n">
        <f aca="false">SUM($F$2:F1951)</f>
        <v>0.929297</v>
      </c>
      <c r="H1951" s="4"/>
      <c r="I1951" s="5"/>
      <c r="J1951" s="4"/>
      <c r="K1951" s="5"/>
      <c r="L1951" s="6"/>
      <c r="M1951" s="5" t="str">
        <f aca="false">IF(AND(N(K1951)&gt;0,N(L1951)&gt;0),K1951/L1951,"")</f>
        <v/>
      </c>
      <c r="N1951" s="2" t="s">
        <v>1226</v>
      </c>
    </row>
    <row r="1952" customFormat="false" ht="15" hidden="false" customHeight="false" outlineLevel="0" collapsed="false">
      <c r="A1952" s="2" t="n">
        <v>1951</v>
      </c>
      <c r="B1952" s="2" t="s">
        <v>4194</v>
      </c>
      <c r="C1952" s="2" t="s">
        <v>4195</v>
      </c>
      <c r="D1952" s="2"/>
      <c r="E1952" s="2" t="s">
        <v>43</v>
      </c>
      <c r="F1952" s="3" t="n">
        <v>6.7E-005</v>
      </c>
      <c r="G1952" s="3" t="n">
        <f aca="false">SUM($F$2:F1952)</f>
        <v>0.929364</v>
      </c>
      <c r="H1952" s="4"/>
      <c r="I1952" s="5"/>
      <c r="J1952" s="4"/>
      <c r="K1952" s="5"/>
      <c r="L1952" s="6"/>
      <c r="M1952" s="5" t="str">
        <f aca="false">IF(AND(N(K1952)&gt;0,N(L1952)&gt;0),K1952/L1952,"")</f>
        <v/>
      </c>
      <c r="N1952" s="2" t="s">
        <v>1226</v>
      </c>
    </row>
    <row r="1953" customFormat="false" ht="15" hidden="false" customHeight="false" outlineLevel="0" collapsed="false">
      <c r="A1953" s="2" t="n">
        <v>1952</v>
      </c>
      <c r="B1953" s="2" t="s">
        <v>4196</v>
      </c>
      <c r="C1953" s="2" t="s">
        <v>4197</v>
      </c>
      <c r="D1953" s="2"/>
      <c r="E1953" s="2" t="s">
        <v>82</v>
      </c>
      <c r="F1953" s="3" t="n">
        <v>6.7E-005</v>
      </c>
      <c r="G1953" s="3" t="n">
        <f aca="false">SUM($F$2:F1953)</f>
        <v>0.929431</v>
      </c>
      <c r="H1953" s="4"/>
      <c r="I1953" s="5"/>
      <c r="J1953" s="4"/>
      <c r="K1953" s="5"/>
      <c r="L1953" s="6"/>
      <c r="M1953" s="5" t="str">
        <f aca="false">IF(AND(N(K1953)&gt;0,N(L1953)&gt;0),K1953/L1953,"")</f>
        <v/>
      </c>
      <c r="N1953" s="2" t="s">
        <v>1226</v>
      </c>
    </row>
    <row r="1954" customFormat="false" ht="15" hidden="false" customHeight="false" outlineLevel="0" collapsed="false">
      <c r="A1954" s="2" t="n">
        <v>1953</v>
      </c>
      <c r="B1954" s="2" t="s">
        <v>4198</v>
      </c>
      <c r="C1954" s="2" t="s">
        <v>4199</v>
      </c>
      <c r="D1954" s="2"/>
      <c r="E1954" s="2" t="s">
        <v>17</v>
      </c>
      <c r="F1954" s="3" t="n">
        <v>6.7E-005</v>
      </c>
      <c r="G1954" s="3" t="n">
        <f aca="false">SUM($F$2:F1954)</f>
        <v>0.929498</v>
      </c>
      <c r="H1954" s="4"/>
      <c r="I1954" s="5"/>
      <c r="J1954" s="4"/>
      <c r="K1954" s="5"/>
      <c r="L1954" s="6"/>
      <c r="M1954" s="5" t="str">
        <f aca="false">IF(AND(N(K1954)&gt;0,N(L1954)&gt;0),K1954/L1954,"")</f>
        <v/>
      </c>
      <c r="N1954" s="2" t="s">
        <v>1226</v>
      </c>
    </row>
    <row r="1955" customFormat="false" ht="15" hidden="false" customHeight="false" outlineLevel="0" collapsed="false">
      <c r="A1955" s="2" t="n">
        <v>1954</v>
      </c>
      <c r="B1955" s="2" t="s">
        <v>4200</v>
      </c>
      <c r="C1955" s="2" t="s">
        <v>4201</v>
      </c>
      <c r="D1955" s="2"/>
      <c r="E1955" s="2" t="s">
        <v>25</v>
      </c>
      <c r="F1955" s="3" t="n">
        <v>6.7E-005</v>
      </c>
      <c r="G1955" s="3" t="n">
        <f aca="false">SUM($F$2:F1955)</f>
        <v>0.929565</v>
      </c>
      <c r="H1955" s="4"/>
      <c r="I1955" s="5"/>
      <c r="J1955" s="4"/>
      <c r="K1955" s="5"/>
      <c r="L1955" s="6"/>
      <c r="M1955" s="5" t="str">
        <f aca="false">IF(AND(N(K1955)&gt;0,N(L1955)&gt;0),K1955/L1955,"")</f>
        <v/>
      </c>
      <c r="N1955" s="2" t="s">
        <v>1226</v>
      </c>
    </row>
    <row r="1956" customFormat="false" ht="15" hidden="false" customHeight="false" outlineLevel="0" collapsed="false">
      <c r="A1956" s="2" t="n">
        <v>1955</v>
      </c>
      <c r="B1956" s="2" t="s">
        <v>4202</v>
      </c>
      <c r="C1956" s="2" t="s">
        <v>4203</v>
      </c>
      <c r="D1956" s="2"/>
      <c r="E1956" s="2" t="s">
        <v>1345</v>
      </c>
      <c r="F1956" s="3" t="n">
        <v>6.7E-005</v>
      </c>
      <c r="G1956" s="3" t="n">
        <f aca="false">SUM($F$2:F1956)</f>
        <v>0.929632</v>
      </c>
      <c r="H1956" s="4"/>
      <c r="I1956" s="5"/>
      <c r="J1956" s="4"/>
      <c r="K1956" s="5"/>
      <c r="L1956" s="6"/>
      <c r="M1956" s="5" t="str">
        <f aca="false">IF(AND(N(K1956)&gt;0,N(L1956)&gt;0),K1956/L1956,"")</f>
        <v/>
      </c>
      <c r="N1956" s="2" t="s">
        <v>1226</v>
      </c>
    </row>
    <row r="1957" customFormat="false" ht="15" hidden="false" customHeight="false" outlineLevel="0" collapsed="false">
      <c r="A1957" s="2" t="n">
        <v>1956</v>
      </c>
      <c r="B1957" s="2" t="s">
        <v>3791</v>
      </c>
      <c r="C1957" s="2" t="s">
        <v>4204</v>
      </c>
      <c r="D1957" s="2"/>
      <c r="E1957" s="2" t="s">
        <v>52</v>
      </c>
      <c r="F1957" s="3" t="n">
        <v>6.7E-005</v>
      </c>
      <c r="G1957" s="3" t="n">
        <f aca="false">SUM($F$2:F1957)</f>
        <v>0.929699</v>
      </c>
      <c r="H1957" s="4"/>
      <c r="I1957" s="5"/>
      <c r="J1957" s="4"/>
      <c r="K1957" s="5"/>
      <c r="L1957" s="6"/>
      <c r="M1957" s="5" t="str">
        <f aca="false">IF(AND(N(K1957)&gt;0,N(L1957)&gt;0),K1957/L1957,"")</f>
        <v/>
      </c>
      <c r="N1957" s="2" t="s">
        <v>1226</v>
      </c>
    </row>
    <row r="1958" customFormat="false" ht="15" hidden="false" customHeight="false" outlineLevel="0" collapsed="false">
      <c r="A1958" s="2" t="n">
        <v>1957</v>
      </c>
      <c r="B1958" s="2" t="s">
        <v>4205</v>
      </c>
      <c r="C1958" s="2" t="s">
        <v>4206</v>
      </c>
      <c r="D1958" s="2"/>
      <c r="E1958" s="2" t="s">
        <v>2055</v>
      </c>
      <c r="F1958" s="3" t="n">
        <v>6.7E-005</v>
      </c>
      <c r="G1958" s="3" t="n">
        <f aca="false">SUM($F$2:F1958)</f>
        <v>0.929766</v>
      </c>
      <c r="H1958" s="4"/>
      <c r="I1958" s="5"/>
      <c r="J1958" s="4"/>
      <c r="K1958" s="5"/>
      <c r="L1958" s="6"/>
      <c r="M1958" s="5" t="str">
        <f aca="false">IF(AND(N(K1958)&gt;0,N(L1958)&gt;0),K1958/L1958,"")</f>
        <v/>
      </c>
      <c r="N1958" s="2" t="s">
        <v>1226</v>
      </c>
    </row>
    <row r="1959" customFormat="false" ht="15" hidden="false" customHeight="false" outlineLevel="0" collapsed="false">
      <c r="A1959" s="2" t="n">
        <v>1958</v>
      </c>
      <c r="B1959" s="2" t="s">
        <v>4207</v>
      </c>
      <c r="C1959" s="2" t="s">
        <v>4208</v>
      </c>
      <c r="D1959" s="2"/>
      <c r="E1959" s="2" t="s">
        <v>52</v>
      </c>
      <c r="F1959" s="3" t="n">
        <v>6.7E-005</v>
      </c>
      <c r="G1959" s="3" t="n">
        <f aca="false">SUM($F$2:F1959)</f>
        <v>0.929833</v>
      </c>
      <c r="H1959" s="4"/>
      <c r="I1959" s="5"/>
      <c r="J1959" s="4"/>
      <c r="K1959" s="5"/>
      <c r="L1959" s="6"/>
      <c r="M1959" s="5" t="str">
        <f aca="false">IF(AND(N(K1959)&gt;0,N(L1959)&gt;0),K1959/L1959,"")</f>
        <v/>
      </c>
      <c r="N1959" s="2" t="s">
        <v>1226</v>
      </c>
    </row>
    <row r="1960" customFormat="false" ht="15" hidden="false" customHeight="false" outlineLevel="0" collapsed="false">
      <c r="A1960" s="2" t="n">
        <v>1959</v>
      </c>
      <c r="B1960" s="2" t="s">
        <v>4209</v>
      </c>
      <c r="C1960" s="2" t="s">
        <v>4210</v>
      </c>
      <c r="D1960" s="2"/>
      <c r="E1960" s="2" t="s">
        <v>43</v>
      </c>
      <c r="F1960" s="3" t="n">
        <v>6.7E-005</v>
      </c>
      <c r="G1960" s="3" t="n">
        <f aca="false">SUM($F$2:F1960)</f>
        <v>0.9299</v>
      </c>
      <c r="H1960" s="4"/>
      <c r="I1960" s="5"/>
      <c r="J1960" s="4"/>
      <c r="K1960" s="5"/>
      <c r="L1960" s="6"/>
      <c r="M1960" s="5" t="str">
        <f aca="false">IF(AND(N(K1960)&gt;0,N(L1960)&gt;0),K1960/L1960,"")</f>
        <v/>
      </c>
      <c r="N1960" s="2" t="s">
        <v>1226</v>
      </c>
    </row>
    <row r="1961" customFormat="false" ht="15" hidden="false" customHeight="false" outlineLevel="0" collapsed="false">
      <c r="A1961" s="2" t="n">
        <v>1960</v>
      </c>
      <c r="B1961" s="2" t="s">
        <v>4211</v>
      </c>
      <c r="C1961" s="2" t="s">
        <v>4212</v>
      </c>
      <c r="D1961" s="2"/>
      <c r="E1961" s="2" t="s">
        <v>29</v>
      </c>
      <c r="F1961" s="3" t="n">
        <v>6.7E-005</v>
      </c>
      <c r="G1961" s="3" t="n">
        <f aca="false">SUM($F$2:F1961)</f>
        <v>0.929967</v>
      </c>
      <c r="H1961" s="4"/>
      <c r="I1961" s="5"/>
      <c r="J1961" s="4"/>
      <c r="K1961" s="5"/>
      <c r="L1961" s="6"/>
      <c r="M1961" s="5" t="str">
        <f aca="false">IF(AND(N(K1961)&gt;0,N(L1961)&gt;0),K1961/L1961,"")</f>
        <v/>
      </c>
      <c r="N1961" s="2" t="s">
        <v>1226</v>
      </c>
    </row>
    <row r="1962" customFormat="false" ht="15" hidden="false" customHeight="false" outlineLevel="0" collapsed="false">
      <c r="A1962" s="2" t="n">
        <v>1961</v>
      </c>
      <c r="B1962" s="2" t="s">
        <v>4213</v>
      </c>
      <c r="C1962" s="2" t="s">
        <v>4214</v>
      </c>
      <c r="D1962" s="2"/>
      <c r="E1962" s="2" t="s">
        <v>52</v>
      </c>
      <c r="F1962" s="3" t="n">
        <v>6.7E-005</v>
      </c>
      <c r="G1962" s="3" t="n">
        <f aca="false">SUM($F$2:F1962)</f>
        <v>0.930034</v>
      </c>
      <c r="H1962" s="4"/>
      <c r="I1962" s="5"/>
      <c r="J1962" s="4"/>
      <c r="K1962" s="5"/>
      <c r="L1962" s="6"/>
      <c r="M1962" s="5" t="str">
        <f aca="false">IF(AND(N(K1962)&gt;0,N(L1962)&gt;0),K1962/L1962,"")</f>
        <v/>
      </c>
      <c r="N1962" s="2" t="s">
        <v>1226</v>
      </c>
    </row>
    <row r="1963" customFormat="false" ht="15" hidden="false" customHeight="false" outlineLevel="0" collapsed="false">
      <c r="A1963" s="2" t="n">
        <v>1962</v>
      </c>
      <c r="B1963" s="2" t="s">
        <v>4215</v>
      </c>
      <c r="C1963" s="2" t="s">
        <v>4216</v>
      </c>
      <c r="D1963" s="2"/>
      <c r="E1963" s="2" t="s">
        <v>4217</v>
      </c>
      <c r="F1963" s="3" t="n">
        <v>6.7E-005</v>
      </c>
      <c r="G1963" s="3" t="n">
        <f aca="false">SUM($F$2:F1963)</f>
        <v>0.930101</v>
      </c>
      <c r="H1963" s="4"/>
      <c r="I1963" s="5"/>
      <c r="J1963" s="4"/>
      <c r="K1963" s="5"/>
      <c r="L1963" s="6"/>
      <c r="M1963" s="5" t="str">
        <f aca="false">IF(AND(N(K1963)&gt;0,N(L1963)&gt;0),K1963/L1963,"")</f>
        <v/>
      </c>
      <c r="N1963" s="2" t="s">
        <v>1226</v>
      </c>
    </row>
    <row r="1964" customFormat="false" ht="15" hidden="false" customHeight="false" outlineLevel="0" collapsed="false">
      <c r="A1964" s="2" t="n">
        <v>1963</v>
      </c>
      <c r="B1964" s="2" t="s">
        <v>4218</v>
      </c>
      <c r="C1964" s="2" t="s">
        <v>4219</v>
      </c>
      <c r="D1964" s="2"/>
      <c r="E1964" s="2" t="s">
        <v>1345</v>
      </c>
      <c r="F1964" s="3" t="n">
        <v>6.7E-005</v>
      </c>
      <c r="G1964" s="3" t="n">
        <f aca="false">SUM($F$2:F1964)</f>
        <v>0.930168</v>
      </c>
      <c r="H1964" s="4"/>
      <c r="I1964" s="5"/>
      <c r="J1964" s="4"/>
      <c r="K1964" s="5"/>
      <c r="L1964" s="6"/>
      <c r="M1964" s="5" t="str">
        <f aca="false">IF(AND(N(K1964)&gt;0,N(L1964)&gt;0),K1964/L1964,"")</f>
        <v/>
      </c>
      <c r="N1964" s="2" t="s">
        <v>1226</v>
      </c>
    </row>
    <row r="1965" customFormat="false" ht="15" hidden="false" customHeight="false" outlineLevel="0" collapsed="false">
      <c r="A1965" s="2" t="n">
        <v>1964</v>
      </c>
      <c r="B1965" s="2" t="s">
        <v>760</v>
      </c>
      <c r="C1965" s="2" t="s">
        <v>4220</v>
      </c>
      <c r="D1965" s="2"/>
      <c r="E1965" s="2" t="s">
        <v>48</v>
      </c>
      <c r="F1965" s="3" t="n">
        <v>6.7E-005</v>
      </c>
      <c r="G1965" s="3" t="n">
        <f aca="false">SUM($F$2:F1965)</f>
        <v>0.930235</v>
      </c>
      <c r="H1965" s="4"/>
      <c r="I1965" s="5"/>
      <c r="J1965" s="4"/>
      <c r="K1965" s="5"/>
      <c r="L1965" s="6"/>
      <c r="M1965" s="5" t="str">
        <f aca="false">IF(AND(N(K1965)&gt;0,N(L1965)&gt;0),K1965/L1965,"")</f>
        <v/>
      </c>
      <c r="N1965" s="2" t="s">
        <v>1226</v>
      </c>
    </row>
    <row r="1966" customFormat="false" ht="15" hidden="false" customHeight="false" outlineLevel="0" collapsed="false">
      <c r="A1966" s="2" t="n">
        <v>1965</v>
      </c>
      <c r="B1966" s="2" t="s">
        <v>4221</v>
      </c>
      <c r="C1966" s="2" t="s">
        <v>4222</v>
      </c>
      <c r="D1966" s="2"/>
      <c r="E1966" s="2" t="s">
        <v>52</v>
      </c>
      <c r="F1966" s="3" t="n">
        <v>6.7E-005</v>
      </c>
      <c r="G1966" s="3" t="n">
        <f aca="false">SUM($F$2:F1966)</f>
        <v>0.930302</v>
      </c>
      <c r="H1966" s="4"/>
      <c r="I1966" s="5"/>
      <c r="J1966" s="4"/>
      <c r="K1966" s="5"/>
      <c r="L1966" s="6"/>
      <c r="M1966" s="5" t="str">
        <f aca="false">IF(AND(N(K1966)&gt;0,N(L1966)&gt;0),K1966/L1966,"")</f>
        <v/>
      </c>
      <c r="N1966" s="2" t="s">
        <v>1226</v>
      </c>
    </row>
    <row r="1967" customFormat="false" ht="15" hidden="false" customHeight="false" outlineLevel="0" collapsed="false">
      <c r="A1967" s="2" t="n">
        <v>1966</v>
      </c>
      <c r="B1967" s="2" t="s">
        <v>4223</v>
      </c>
      <c r="C1967" s="2" t="s">
        <v>4224</v>
      </c>
      <c r="D1967" s="2"/>
      <c r="E1967" s="2" t="s">
        <v>334</v>
      </c>
      <c r="F1967" s="3" t="n">
        <v>6.6E-005</v>
      </c>
      <c r="G1967" s="3" t="n">
        <f aca="false">SUM($F$2:F1967)</f>
        <v>0.930368</v>
      </c>
      <c r="H1967" s="4"/>
      <c r="I1967" s="5"/>
      <c r="J1967" s="4"/>
      <c r="K1967" s="5"/>
      <c r="L1967" s="6"/>
      <c r="M1967" s="5" t="str">
        <f aca="false">IF(AND(N(K1967)&gt;0,N(L1967)&gt;0),K1967/L1967,"")</f>
        <v/>
      </c>
      <c r="N1967" s="2" t="s">
        <v>1226</v>
      </c>
    </row>
    <row r="1968" customFormat="false" ht="15" hidden="false" customHeight="false" outlineLevel="0" collapsed="false">
      <c r="A1968" s="2" t="n">
        <v>1967</v>
      </c>
      <c r="B1968" s="2" t="s">
        <v>4225</v>
      </c>
      <c r="C1968" s="2" t="s">
        <v>4226</v>
      </c>
      <c r="D1968" s="2"/>
      <c r="E1968" s="2" t="s">
        <v>29</v>
      </c>
      <c r="F1968" s="3" t="n">
        <v>6.6E-005</v>
      </c>
      <c r="G1968" s="3" t="n">
        <f aca="false">SUM($F$2:F1968)</f>
        <v>0.930434</v>
      </c>
      <c r="H1968" s="4"/>
      <c r="I1968" s="5"/>
      <c r="J1968" s="4"/>
      <c r="K1968" s="5"/>
      <c r="L1968" s="6"/>
      <c r="M1968" s="5" t="str">
        <f aca="false">IF(AND(N(K1968)&gt;0,N(L1968)&gt;0),K1968/L1968,"")</f>
        <v/>
      </c>
      <c r="N1968" s="2" t="s">
        <v>1226</v>
      </c>
    </row>
    <row r="1969" customFormat="false" ht="15" hidden="false" customHeight="false" outlineLevel="0" collapsed="false">
      <c r="A1969" s="2" t="n">
        <v>1968</v>
      </c>
      <c r="B1969" s="2" t="s">
        <v>4227</v>
      </c>
      <c r="C1969" s="2" t="s">
        <v>4228</v>
      </c>
      <c r="D1969" s="2"/>
      <c r="E1969" s="2" t="s">
        <v>52</v>
      </c>
      <c r="F1969" s="3" t="n">
        <v>6.6E-005</v>
      </c>
      <c r="G1969" s="3" t="n">
        <f aca="false">SUM($F$2:F1969)</f>
        <v>0.9305</v>
      </c>
      <c r="H1969" s="4"/>
      <c r="I1969" s="5"/>
      <c r="J1969" s="4"/>
      <c r="K1969" s="5"/>
      <c r="L1969" s="6"/>
      <c r="M1969" s="5" t="str">
        <f aca="false">IF(AND(N(K1969)&gt;0,N(L1969)&gt;0),K1969/L1969,"")</f>
        <v/>
      </c>
      <c r="N1969" s="2" t="s">
        <v>1226</v>
      </c>
    </row>
    <row r="1970" customFormat="false" ht="15" hidden="false" customHeight="false" outlineLevel="0" collapsed="false">
      <c r="A1970" s="2" t="n">
        <v>1969</v>
      </c>
      <c r="B1970" s="2" t="s">
        <v>4229</v>
      </c>
      <c r="C1970" s="2" t="s">
        <v>4230</v>
      </c>
      <c r="D1970" s="2"/>
      <c r="E1970" s="2" t="s">
        <v>17</v>
      </c>
      <c r="F1970" s="3" t="n">
        <v>6.6E-005</v>
      </c>
      <c r="G1970" s="3" t="n">
        <f aca="false">SUM($F$2:F1970)</f>
        <v>0.930566</v>
      </c>
      <c r="H1970" s="4"/>
      <c r="I1970" s="5"/>
      <c r="J1970" s="4"/>
      <c r="K1970" s="5"/>
      <c r="L1970" s="6"/>
      <c r="M1970" s="5" t="str">
        <f aca="false">IF(AND(N(K1970)&gt;0,N(L1970)&gt;0),K1970/L1970,"")</f>
        <v/>
      </c>
      <c r="N1970" s="2" t="s">
        <v>1226</v>
      </c>
    </row>
    <row r="1971" customFormat="false" ht="15" hidden="false" customHeight="false" outlineLevel="0" collapsed="false">
      <c r="A1971" s="2" t="n">
        <v>1970</v>
      </c>
      <c r="B1971" s="2" t="s">
        <v>4231</v>
      </c>
      <c r="C1971" s="2" t="s">
        <v>4232</v>
      </c>
      <c r="D1971" s="2"/>
      <c r="E1971" s="2" t="s">
        <v>1345</v>
      </c>
      <c r="F1971" s="3" t="n">
        <v>6.6E-005</v>
      </c>
      <c r="G1971" s="3" t="n">
        <f aca="false">SUM($F$2:F1971)</f>
        <v>0.930632</v>
      </c>
      <c r="H1971" s="4"/>
      <c r="I1971" s="5"/>
      <c r="J1971" s="4"/>
      <c r="K1971" s="5"/>
      <c r="L1971" s="6"/>
      <c r="M1971" s="5" t="str">
        <f aca="false">IF(AND(N(K1971)&gt;0,N(L1971)&gt;0),K1971/L1971,"")</f>
        <v/>
      </c>
      <c r="N1971" s="2" t="s">
        <v>1226</v>
      </c>
    </row>
    <row r="1972" customFormat="false" ht="15" hidden="false" customHeight="false" outlineLevel="0" collapsed="false">
      <c r="A1972" s="2" t="n">
        <v>1971</v>
      </c>
      <c r="B1972" s="2" t="s">
        <v>4233</v>
      </c>
      <c r="C1972" s="2" t="s">
        <v>4234</v>
      </c>
      <c r="D1972" s="2"/>
      <c r="E1972" s="2" t="s">
        <v>1345</v>
      </c>
      <c r="F1972" s="3" t="n">
        <v>6.6E-005</v>
      </c>
      <c r="G1972" s="3" t="n">
        <f aca="false">SUM($F$2:F1972)</f>
        <v>0.930698</v>
      </c>
      <c r="H1972" s="4"/>
      <c r="I1972" s="5"/>
      <c r="J1972" s="4"/>
      <c r="K1972" s="5"/>
      <c r="L1972" s="6"/>
      <c r="M1972" s="5" t="str">
        <f aca="false">IF(AND(N(K1972)&gt;0,N(L1972)&gt;0),K1972/L1972,"")</f>
        <v/>
      </c>
      <c r="N1972" s="2" t="s">
        <v>1226</v>
      </c>
    </row>
    <row r="1973" customFormat="false" ht="15" hidden="false" customHeight="false" outlineLevel="0" collapsed="false">
      <c r="A1973" s="2" t="n">
        <v>1972</v>
      </c>
      <c r="B1973" s="2" t="s">
        <v>4235</v>
      </c>
      <c r="C1973" s="2" t="s">
        <v>4236</v>
      </c>
      <c r="D1973" s="2"/>
      <c r="E1973" s="2" t="s">
        <v>52</v>
      </c>
      <c r="F1973" s="3" t="n">
        <v>6.6E-005</v>
      </c>
      <c r="G1973" s="3" t="n">
        <f aca="false">SUM($F$2:F1973)</f>
        <v>0.930764</v>
      </c>
      <c r="H1973" s="4"/>
      <c r="I1973" s="5"/>
      <c r="J1973" s="4"/>
      <c r="K1973" s="5"/>
      <c r="L1973" s="6"/>
      <c r="M1973" s="5" t="str">
        <f aca="false">IF(AND(N(K1973)&gt;0,N(L1973)&gt;0),K1973/L1973,"")</f>
        <v/>
      </c>
      <c r="N1973" s="2" t="s">
        <v>1226</v>
      </c>
    </row>
    <row r="1974" customFormat="false" ht="15" hidden="false" customHeight="false" outlineLevel="0" collapsed="false">
      <c r="A1974" s="2" t="n">
        <v>1973</v>
      </c>
      <c r="B1974" s="2" t="s">
        <v>4237</v>
      </c>
      <c r="C1974" s="2" t="s">
        <v>4238</v>
      </c>
      <c r="D1974" s="2"/>
      <c r="E1974" s="2" t="s">
        <v>296</v>
      </c>
      <c r="F1974" s="3" t="n">
        <v>6.6E-005</v>
      </c>
      <c r="G1974" s="3" t="n">
        <f aca="false">SUM($F$2:F1974)</f>
        <v>0.93083</v>
      </c>
      <c r="H1974" s="4"/>
      <c r="I1974" s="5"/>
      <c r="J1974" s="4"/>
      <c r="K1974" s="5"/>
      <c r="L1974" s="6"/>
      <c r="M1974" s="5" t="str">
        <f aca="false">IF(AND(N(K1974)&gt;0,N(L1974)&gt;0),K1974/L1974,"")</f>
        <v/>
      </c>
      <c r="N1974" s="2" t="s">
        <v>1226</v>
      </c>
    </row>
    <row r="1975" customFormat="false" ht="15" hidden="false" customHeight="false" outlineLevel="0" collapsed="false">
      <c r="A1975" s="2" t="n">
        <v>1974</v>
      </c>
      <c r="B1975" s="2" t="s">
        <v>4239</v>
      </c>
      <c r="C1975" s="2" t="s">
        <v>4240</v>
      </c>
      <c r="D1975" s="2"/>
      <c r="E1975" s="2" t="s">
        <v>1245</v>
      </c>
      <c r="F1975" s="3" t="n">
        <v>6.6E-005</v>
      </c>
      <c r="G1975" s="3" t="n">
        <f aca="false">SUM($F$2:F1975)</f>
        <v>0.930896</v>
      </c>
      <c r="H1975" s="4"/>
      <c r="I1975" s="5"/>
      <c r="J1975" s="4"/>
      <c r="K1975" s="5"/>
      <c r="L1975" s="6"/>
      <c r="M1975" s="5" t="str">
        <f aca="false">IF(AND(N(K1975)&gt;0,N(L1975)&gt;0),K1975/L1975,"")</f>
        <v/>
      </c>
      <c r="N1975" s="2" t="s">
        <v>1226</v>
      </c>
    </row>
    <row r="1976" customFormat="false" ht="15" hidden="false" customHeight="false" outlineLevel="0" collapsed="false">
      <c r="A1976" s="2" t="n">
        <v>1975</v>
      </c>
      <c r="B1976" s="2" t="s">
        <v>4241</v>
      </c>
      <c r="C1976" s="2" t="s">
        <v>4242</v>
      </c>
      <c r="D1976" s="2"/>
      <c r="E1976" s="2" t="s">
        <v>334</v>
      </c>
      <c r="F1976" s="3" t="n">
        <v>6.6E-005</v>
      </c>
      <c r="G1976" s="3" t="n">
        <f aca="false">SUM($F$2:F1976)</f>
        <v>0.930962</v>
      </c>
      <c r="H1976" s="4"/>
      <c r="I1976" s="5"/>
      <c r="J1976" s="4"/>
      <c r="K1976" s="5"/>
      <c r="L1976" s="6"/>
      <c r="M1976" s="5" t="str">
        <f aca="false">IF(AND(N(K1976)&gt;0,N(L1976)&gt;0),K1976/L1976,"")</f>
        <v/>
      </c>
      <c r="N1976" s="2" t="s">
        <v>1226</v>
      </c>
    </row>
    <row r="1977" customFormat="false" ht="15" hidden="false" customHeight="false" outlineLevel="0" collapsed="false">
      <c r="A1977" s="2" t="n">
        <v>1976</v>
      </c>
      <c r="B1977" s="2" t="s">
        <v>4243</v>
      </c>
      <c r="C1977" s="2" t="s">
        <v>4244</v>
      </c>
      <c r="D1977" s="2"/>
      <c r="E1977" s="2" t="s">
        <v>52</v>
      </c>
      <c r="F1977" s="3" t="n">
        <v>6.6E-005</v>
      </c>
      <c r="G1977" s="3" t="n">
        <f aca="false">SUM($F$2:F1977)</f>
        <v>0.931028</v>
      </c>
      <c r="H1977" s="4"/>
      <c r="I1977" s="5"/>
      <c r="J1977" s="4"/>
      <c r="K1977" s="5"/>
      <c r="L1977" s="6"/>
      <c r="M1977" s="5" t="str">
        <f aca="false">IF(AND(N(K1977)&gt;0,N(L1977)&gt;0),K1977/L1977,"")</f>
        <v/>
      </c>
      <c r="N1977" s="2" t="s">
        <v>1226</v>
      </c>
    </row>
    <row r="1978" customFormat="false" ht="15" hidden="false" customHeight="false" outlineLevel="0" collapsed="false">
      <c r="A1978" s="2" t="n">
        <v>1977</v>
      </c>
      <c r="B1978" s="2" t="s">
        <v>4245</v>
      </c>
      <c r="C1978" s="2" t="s">
        <v>4246</v>
      </c>
      <c r="D1978" s="2"/>
      <c r="E1978" s="2" t="s">
        <v>679</v>
      </c>
      <c r="F1978" s="3" t="n">
        <v>6.6E-005</v>
      </c>
      <c r="G1978" s="3" t="n">
        <f aca="false">SUM($F$2:F1978)</f>
        <v>0.931094</v>
      </c>
      <c r="H1978" s="4"/>
      <c r="I1978" s="5"/>
      <c r="J1978" s="4"/>
      <c r="K1978" s="5"/>
      <c r="L1978" s="6"/>
      <c r="M1978" s="5" t="str">
        <f aca="false">IF(AND(N(K1978)&gt;0,N(L1978)&gt;0),K1978/L1978,"")</f>
        <v/>
      </c>
      <c r="N1978" s="2" t="s">
        <v>1226</v>
      </c>
    </row>
    <row r="1979" customFormat="false" ht="15" hidden="false" customHeight="false" outlineLevel="0" collapsed="false">
      <c r="A1979" s="2" t="n">
        <v>1978</v>
      </c>
      <c r="B1979" s="2" t="s">
        <v>4247</v>
      </c>
      <c r="C1979" s="2" t="s">
        <v>4248</v>
      </c>
      <c r="D1979" s="2"/>
      <c r="E1979" s="2" t="s">
        <v>52</v>
      </c>
      <c r="F1979" s="3" t="n">
        <v>6.6E-005</v>
      </c>
      <c r="G1979" s="3" t="n">
        <f aca="false">SUM($F$2:F1979)</f>
        <v>0.93116</v>
      </c>
      <c r="H1979" s="4"/>
      <c r="I1979" s="5"/>
      <c r="J1979" s="4"/>
      <c r="K1979" s="5"/>
      <c r="L1979" s="6"/>
      <c r="M1979" s="5" t="str">
        <f aca="false">IF(AND(N(K1979)&gt;0,N(L1979)&gt;0),K1979/L1979,"")</f>
        <v/>
      </c>
      <c r="N1979" s="2" t="s">
        <v>1226</v>
      </c>
    </row>
    <row r="1980" customFormat="false" ht="15" hidden="false" customHeight="false" outlineLevel="0" collapsed="false">
      <c r="A1980" s="2" t="n">
        <v>1979</v>
      </c>
      <c r="B1980" s="2" t="s">
        <v>460</v>
      </c>
      <c r="C1980" s="2" t="s">
        <v>4249</v>
      </c>
      <c r="D1980" s="2"/>
      <c r="E1980" s="2" t="s">
        <v>17</v>
      </c>
      <c r="F1980" s="3" t="n">
        <v>6.6E-005</v>
      </c>
      <c r="G1980" s="3" t="n">
        <f aca="false">SUM($F$2:F1980)</f>
        <v>0.931226</v>
      </c>
      <c r="H1980" s="4"/>
      <c r="I1980" s="5"/>
      <c r="J1980" s="4"/>
      <c r="K1980" s="5"/>
      <c r="L1980" s="6"/>
      <c r="M1980" s="5" t="str">
        <f aca="false">IF(AND(N(K1980)&gt;0,N(L1980)&gt;0),K1980/L1980,"")</f>
        <v/>
      </c>
      <c r="N1980" s="2" t="s">
        <v>1226</v>
      </c>
    </row>
    <row r="1981" customFormat="false" ht="15" hidden="false" customHeight="false" outlineLevel="0" collapsed="false">
      <c r="A1981" s="2" t="n">
        <v>1980</v>
      </c>
      <c r="B1981" s="2" t="s">
        <v>4250</v>
      </c>
      <c r="C1981" s="2" t="s">
        <v>4251</v>
      </c>
      <c r="D1981" s="2"/>
      <c r="E1981" s="2" t="s">
        <v>38</v>
      </c>
      <c r="F1981" s="3" t="n">
        <v>6.6E-005</v>
      </c>
      <c r="G1981" s="3" t="n">
        <f aca="false">SUM($F$2:F1981)</f>
        <v>0.931292</v>
      </c>
      <c r="H1981" s="4"/>
      <c r="I1981" s="5"/>
      <c r="J1981" s="4"/>
      <c r="K1981" s="5"/>
      <c r="L1981" s="6"/>
      <c r="M1981" s="5" t="str">
        <f aca="false">IF(AND(N(K1981)&gt;0,N(L1981)&gt;0),K1981/L1981,"")</f>
        <v/>
      </c>
      <c r="N1981" s="2" t="s">
        <v>1226</v>
      </c>
    </row>
    <row r="1982" customFormat="false" ht="15" hidden="false" customHeight="false" outlineLevel="0" collapsed="false">
      <c r="A1982" s="2" t="n">
        <v>1981</v>
      </c>
      <c r="B1982" s="2" t="s">
        <v>4252</v>
      </c>
      <c r="C1982" s="2" t="s">
        <v>4253</v>
      </c>
      <c r="D1982" s="2"/>
      <c r="E1982" s="2" t="s">
        <v>199</v>
      </c>
      <c r="F1982" s="3" t="n">
        <v>6.6E-005</v>
      </c>
      <c r="G1982" s="3" t="n">
        <f aca="false">SUM($F$2:F1982)</f>
        <v>0.931358</v>
      </c>
      <c r="H1982" s="4"/>
      <c r="I1982" s="5"/>
      <c r="J1982" s="4"/>
      <c r="K1982" s="5"/>
      <c r="L1982" s="6"/>
      <c r="M1982" s="5" t="str">
        <f aca="false">IF(AND(N(K1982)&gt;0,N(L1982)&gt;0),K1982/L1982,"")</f>
        <v/>
      </c>
      <c r="N1982" s="2" t="s">
        <v>1226</v>
      </c>
    </row>
    <row r="1983" customFormat="false" ht="15" hidden="false" customHeight="false" outlineLevel="0" collapsed="false">
      <c r="A1983" s="2" t="n">
        <v>1982</v>
      </c>
      <c r="B1983" s="2" t="s">
        <v>4254</v>
      </c>
      <c r="C1983" s="2" t="s">
        <v>4255</v>
      </c>
      <c r="D1983" s="2"/>
      <c r="E1983" s="2" t="s">
        <v>1345</v>
      </c>
      <c r="F1983" s="3" t="n">
        <v>6.6E-005</v>
      </c>
      <c r="G1983" s="3" t="n">
        <f aca="false">SUM($F$2:F1983)</f>
        <v>0.931424</v>
      </c>
      <c r="H1983" s="4"/>
      <c r="I1983" s="5"/>
      <c r="J1983" s="4"/>
      <c r="K1983" s="5"/>
      <c r="L1983" s="6"/>
      <c r="M1983" s="5" t="str">
        <f aca="false">IF(AND(N(K1983)&gt;0,N(L1983)&gt;0),K1983/L1983,"")</f>
        <v/>
      </c>
      <c r="N1983" s="2" t="s">
        <v>1226</v>
      </c>
    </row>
    <row r="1984" customFormat="false" ht="15" hidden="false" customHeight="false" outlineLevel="0" collapsed="false">
      <c r="A1984" s="2" t="n">
        <v>1983</v>
      </c>
      <c r="B1984" s="2" t="s">
        <v>4256</v>
      </c>
      <c r="C1984" s="2" t="s">
        <v>4257</v>
      </c>
      <c r="D1984" s="2"/>
      <c r="E1984" s="2" t="s">
        <v>52</v>
      </c>
      <c r="F1984" s="3" t="n">
        <v>6.6E-005</v>
      </c>
      <c r="G1984" s="3" t="n">
        <f aca="false">SUM($F$2:F1984)</f>
        <v>0.93149</v>
      </c>
      <c r="H1984" s="4"/>
      <c r="I1984" s="5"/>
      <c r="J1984" s="4"/>
      <c r="K1984" s="5"/>
      <c r="L1984" s="6"/>
      <c r="M1984" s="5" t="str">
        <f aca="false">IF(AND(N(K1984)&gt;0,N(L1984)&gt;0),K1984/L1984,"")</f>
        <v/>
      </c>
      <c r="N1984" s="2" t="s">
        <v>1226</v>
      </c>
    </row>
    <row r="1985" customFormat="false" ht="15" hidden="false" customHeight="false" outlineLevel="0" collapsed="false">
      <c r="A1985" s="2" t="n">
        <v>1984</v>
      </c>
      <c r="B1985" s="2" t="s">
        <v>4258</v>
      </c>
      <c r="C1985" s="2" t="s">
        <v>4259</v>
      </c>
      <c r="D1985" s="2"/>
      <c r="E1985" s="2" t="s">
        <v>29</v>
      </c>
      <c r="F1985" s="3" t="n">
        <v>6.6E-005</v>
      </c>
      <c r="G1985" s="3" t="n">
        <f aca="false">SUM($F$2:F1985)</f>
        <v>0.931556</v>
      </c>
      <c r="H1985" s="4"/>
      <c r="I1985" s="5"/>
      <c r="J1985" s="4"/>
      <c r="K1985" s="5"/>
      <c r="L1985" s="6"/>
      <c r="M1985" s="5" t="str">
        <f aca="false">IF(AND(N(K1985)&gt;0,N(L1985)&gt;0),K1985/L1985,"")</f>
        <v/>
      </c>
      <c r="N1985" s="2" t="s">
        <v>1226</v>
      </c>
    </row>
    <row r="1986" customFormat="false" ht="15" hidden="false" customHeight="false" outlineLevel="0" collapsed="false">
      <c r="A1986" s="2" t="n">
        <v>1985</v>
      </c>
      <c r="B1986" s="2" t="s">
        <v>4260</v>
      </c>
      <c r="C1986" s="2" t="s">
        <v>4261</v>
      </c>
      <c r="D1986" s="2"/>
      <c r="E1986" s="2" t="s">
        <v>289</v>
      </c>
      <c r="F1986" s="3" t="n">
        <v>6.6E-005</v>
      </c>
      <c r="G1986" s="3" t="n">
        <f aca="false">SUM($F$2:F1986)</f>
        <v>0.931622</v>
      </c>
      <c r="H1986" s="4"/>
      <c r="I1986" s="5"/>
      <c r="J1986" s="4"/>
      <c r="K1986" s="5"/>
      <c r="L1986" s="6"/>
      <c r="M1986" s="5" t="str">
        <f aca="false">IF(AND(N(K1986)&gt;0,N(L1986)&gt;0),K1986/L1986,"")</f>
        <v/>
      </c>
      <c r="N1986" s="2" t="s">
        <v>1226</v>
      </c>
    </row>
    <row r="1987" customFormat="false" ht="15" hidden="false" customHeight="false" outlineLevel="0" collapsed="false">
      <c r="A1987" s="2" t="n">
        <v>1986</v>
      </c>
      <c r="B1987" s="2" t="s">
        <v>4262</v>
      </c>
      <c r="C1987" s="2" t="s">
        <v>4263</v>
      </c>
      <c r="D1987" s="2"/>
      <c r="E1987" s="2" t="s">
        <v>82</v>
      </c>
      <c r="F1987" s="3" t="n">
        <v>6.6E-005</v>
      </c>
      <c r="G1987" s="3" t="n">
        <f aca="false">SUM($F$2:F1987)</f>
        <v>0.931688</v>
      </c>
      <c r="H1987" s="4"/>
      <c r="I1987" s="5"/>
      <c r="J1987" s="4"/>
      <c r="K1987" s="5"/>
      <c r="L1987" s="6"/>
      <c r="M1987" s="5" t="str">
        <f aca="false">IF(AND(N(K1987)&gt;0,N(L1987)&gt;0),K1987/L1987,"")</f>
        <v/>
      </c>
      <c r="N1987" s="2" t="s">
        <v>1226</v>
      </c>
    </row>
    <row r="1988" customFormat="false" ht="15" hidden="false" customHeight="false" outlineLevel="0" collapsed="false">
      <c r="A1988" s="2" t="n">
        <v>1987</v>
      </c>
      <c r="B1988" s="2" t="s">
        <v>4264</v>
      </c>
      <c r="C1988" s="2" t="s">
        <v>4265</v>
      </c>
      <c r="D1988" s="2"/>
      <c r="E1988" s="2" t="s">
        <v>765</v>
      </c>
      <c r="F1988" s="3" t="n">
        <v>6.6E-005</v>
      </c>
      <c r="G1988" s="3" t="n">
        <f aca="false">SUM($F$2:F1988)</f>
        <v>0.931754</v>
      </c>
      <c r="H1988" s="4"/>
      <c r="I1988" s="5"/>
      <c r="J1988" s="4"/>
      <c r="K1988" s="5"/>
      <c r="L1988" s="6"/>
      <c r="M1988" s="5" t="str">
        <f aca="false">IF(AND(N(K1988)&gt;0,N(L1988)&gt;0),K1988/L1988,"")</f>
        <v/>
      </c>
      <c r="N1988" s="2" t="s">
        <v>1226</v>
      </c>
    </row>
    <row r="1989" customFormat="false" ht="15" hidden="false" customHeight="false" outlineLevel="0" collapsed="false">
      <c r="A1989" s="2" t="n">
        <v>1988</v>
      </c>
      <c r="B1989" s="2" t="s">
        <v>4266</v>
      </c>
      <c r="C1989" s="2" t="s">
        <v>4267</v>
      </c>
      <c r="D1989" s="2"/>
      <c r="E1989" s="2" t="s">
        <v>1345</v>
      </c>
      <c r="F1989" s="3" t="n">
        <v>6.6E-005</v>
      </c>
      <c r="G1989" s="3" t="n">
        <f aca="false">SUM($F$2:F1989)</f>
        <v>0.93182</v>
      </c>
      <c r="H1989" s="4"/>
      <c r="I1989" s="5"/>
      <c r="J1989" s="4"/>
      <c r="K1989" s="5"/>
      <c r="L1989" s="6"/>
      <c r="M1989" s="5" t="str">
        <f aca="false">IF(AND(N(K1989)&gt;0,N(L1989)&gt;0),K1989/L1989,"")</f>
        <v/>
      </c>
      <c r="N1989" s="2" t="s">
        <v>1226</v>
      </c>
    </row>
    <row r="1990" customFormat="false" ht="15" hidden="false" customHeight="false" outlineLevel="0" collapsed="false">
      <c r="A1990" s="2" t="n">
        <v>1989</v>
      </c>
      <c r="B1990" s="2" t="s">
        <v>4268</v>
      </c>
      <c r="C1990" s="2" t="s">
        <v>4269</v>
      </c>
      <c r="D1990" s="2"/>
      <c r="E1990" s="2" t="s">
        <v>17</v>
      </c>
      <c r="F1990" s="3" t="n">
        <v>6.5E-005</v>
      </c>
      <c r="G1990" s="3" t="n">
        <f aca="false">SUM($F$2:F1990)</f>
        <v>0.931885</v>
      </c>
      <c r="H1990" s="4"/>
      <c r="I1990" s="5"/>
      <c r="J1990" s="4"/>
      <c r="K1990" s="5"/>
      <c r="L1990" s="6"/>
      <c r="M1990" s="5" t="str">
        <f aca="false">IF(AND(N(K1990)&gt;0,N(L1990)&gt;0),K1990/L1990,"")</f>
        <v/>
      </c>
      <c r="N1990" s="2" t="s">
        <v>1226</v>
      </c>
    </row>
    <row r="1991" customFormat="false" ht="15" hidden="false" customHeight="false" outlineLevel="0" collapsed="false">
      <c r="A1991" s="2" t="n">
        <v>1990</v>
      </c>
      <c r="B1991" s="2" t="s">
        <v>4270</v>
      </c>
      <c r="C1991" s="2" t="s">
        <v>4271</v>
      </c>
      <c r="D1991" s="2"/>
      <c r="E1991" s="2" t="s">
        <v>43</v>
      </c>
      <c r="F1991" s="3" t="n">
        <v>6.5E-005</v>
      </c>
      <c r="G1991" s="3" t="n">
        <f aca="false">SUM($F$2:F1991)</f>
        <v>0.93195</v>
      </c>
      <c r="H1991" s="4"/>
      <c r="I1991" s="5"/>
      <c r="J1991" s="4"/>
      <c r="K1991" s="5"/>
      <c r="L1991" s="6"/>
      <c r="M1991" s="5" t="str">
        <f aca="false">IF(AND(N(K1991)&gt;0,N(L1991)&gt;0),K1991/L1991,"")</f>
        <v/>
      </c>
      <c r="N1991" s="2" t="s">
        <v>1226</v>
      </c>
    </row>
    <row r="1992" customFormat="false" ht="15" hidden="false" customHeight="false" outlineLevel="0" collapsed="false">
      <c r="A1992" s="2" t="n">
        <v>1991</v>
      </c>
      <c r="B1992" s="2" t="s">
        <v>4272</v>
      </c>
      <c r="C1992" s="2" t="s">
        <v>4273</v>
      </c>
      <c r="D1992" s="2"/>
      <c r="E1992" s="2" t="s">
        <v>29</v>
      </c>
      <c r="F1992" s="3" t="n">
        <v>6.5E-005</v>
      </c>
      <c r="G1992" s="3" t="n">
        <f aca="false">SUM($F$2:F1992)</f>
        <v>0.932015</v>
      </c>
      <c r="H1992" s="4"/>
      <c r="I1992" s="5"/>
      <c r="J1992" s="4"/>
      <c r="K1992" s="5"/>
      <c r="L1992" s="6"/>
      <c r="M1992" s="5" t="str">
        <f aca="false">IF(AND(N(K1992)&gt;0,N(L1992)&gt;0),K1992/L1992,"")</f>
        <v/>
      </c>
      <c r="N1992" s="2" t="s">
        <v>1226</v>
      </c>
    </row>
    <row r="1993" customFormat="false" ht="15" hidden="false" customHeight="false" outlineLevel="0" collapsed="false">
      <c r="A1993" s="2" t="n">
        <v>1992</v>
      </c>
      <c r="B1993" s="2" t="s">
        <v>4274</v>
      </c>
      <c r="C1993" s="2" t="s">
        <v>4275</v>
      </c>
      <c r="D1993" s="2"/>
      <c r="E1993" s="2" t="s">
        <v>1019</v>
      </c>
      <c r="F1993" s="3" t="n">
        <v>6.5E-005</v>
      </c>
      <c r="G1993" s="3" t="n">
        <f aca="false">SUM($F$2:F1993)</f>
        <v>0.93208</v>
      </c>
      <c r="H1993" s="4"/>
      <c r="I1993" s="5"/>
      <c r="J1993" s="4"/>
      <c r="K1993" s="5"/>
      <c r="L1993" s="6"/>
      <c r="M1993" s="5" t="str">
        <f aca="false">IF(AND(N(K1993)&gt;0,N(L1993)&gt;0),K1993/L1993,"")</f>
        <v/>
      </c>
      <c r="N1993" s="2" t="s">
        <v>1226</v>
      </c>
    </row>
    <row r="1994" customFormat="false" ht="15" hidden="false" customHeight="false" outlineLevel="0" collapsed="false">
      <c r="A1994" s="2" t="n">
        <v>1993</v>
      </c>
      <c r="B1994" s="2" t="s">
        <v>4276</v>
      </c>
      <c r="C1994" s="2" t="s">
        <v>4277</v>
      </c>
      <c r="D1994" s="2"/>
      <c r="E1994" s="2" t="s">
        <v>43</v>
      </c>
      <c r="F1994" s="3" t="n">
        <v>6.5E-005</v>
      </c>
      <c r="G1994" s="3" t="n">
        <f aca="false">SUM($F$2:F1994)</f>
        <v>0.932145</v>
      </c>
      <c r="H1994" s="4"/>
      <c r="I1994" s="5"/>
      <c r="J1994" s="4"/>
      <c r="K1994" s="5"/>
      <c r="L1994" s="6"/>
      <c r="M1994" s="5" t="str">
        <f aca="false">IF(AND(N(K1994)&gt;0,N(L1994)&gt;0),K1994/L1994,"")</f>
        <v/>
      </c>
      <c r="N1994" s="2" t="s">
        <v>1226</v>
      </c>
    </row>
    <row r="1995" customFormat="false" ht="15" hidden="false" customHeight="false" outlineLevel="0" collapsed="false">
      <c r="A1995" s="2" t="n">
        <v>1994</v>
      </c>
      <c r="B1995" s="2" t="s">
        <v>4278</v>
      </c>
      <c r="C1995" s="2" t="s">
        <v>4279</v>
      </c>
      <c r="D1995" s="2"/>
      <c r="E1995" s="2" t="s">
        <v>17</v>
      </c>
      <c r="F1995" s="3" t="n">
        <v>6.5E-005</v>
      </c>
      <c r="G1995" s="3" t="n">
        <f aca="false">SUM($F$2:F1995)</f>
        <v>0.93221</v>
      </c>
      <c r="H1995" s="4"/>
      <c r="I1995" s="5"/>
      <c r="J1995" s="4"/>
      <c r="K1995" s="5"/>
      <c r="L1995" s="6"/>
      <c r="M1995" s="5" t="str">
        <f aca="false">IF(AND(N(K1995)&gt;0,N(L1995)&gt;0),K1995/L1995,"")</f>
        <v/>
      </c>
      <c r="N1995" s="2" t="s">
        <v>1226</v>
      </c>
    </row>
    <row r="1996" customFormat="false" ht="15" hidden="false" customHeight="false" outlineLevel="0" collapsed="false">
      <c r="A1996" s="2" t="n">
        <v>1995</v>
      </c>
      <c r="B1996" s="2" t="s">
        <v>4280</v>
      </c>
      <c r="C1996" s="2" t="s">
        <v>4281</v>
      </c>
      <c r="D1996" s="2"/>
      <c r="E1996" s="2" t="s">
        <v>289</v>
      </c>
      <c r="F1996" s="3" t="n">
        <v>6.5E-005</v>
      </c>
      <c r="G1996" s="3" t="n">
        <f aca="false">SUM($F$2:F1996)</f>
        <v>0.932275</v>
      </c>
      <c r="H1996" s="4"/>
      <c r="I1996" s="5"/>
      <c r="J1996" s="4"/>
      <c r="K1996" s="5"/>
      <c r="L1996" s="6"/>
      <c r="M1996" s="5" t="str">
        <f aca="false">IF(AND(N(K1996)&gt;0,N(L1996)&gt;0),K1996/L1996,"")</f>
        <v/>
      </c>
      <c r="N1996" s="2" t="s">
        <v>1226</v>
      </c>
    </row>
    <row r="1997" customFormat="false" ht="15" hidden="false" customHeight="false" outlineLevel="0" collapsed="false">
      <c r="A1997" s="2" t="n">
        <v>1996</v>
      </c>
      <c r="B1997" s="2" t="s">
        <v>4282</v>
      </c>
      <c r="C1997" s="2" t="s">
        <v>4283</v>
      </c>
      <c r="D1997" s="2"/>
      <c r="E1997" s="2" t="s">
        <v>33</v>
      </c>
      <c r="F1997" s="3" t="n">
        <v>6.5E-005</v>
      </c>
      <c r="G1997" s="3" t="n">
        <f aca="false">SUM($F$2:F1997)</f>
        <v>0.93234</v>
      </c>
      <c r="H1997" s="4"/>
      <c r="I1997" s="5"/>
      <c r="J1997" s="4"/>
      <c r="K1997" s="5"/>
      <c r="L1997" s="6"/>
      <c r="M1997" s="5" t="str">
        <f aca="false">IF(AND(N(K1997)&gt;0,N(L1997)&gt;0),K1997/L1997,"")</f>
        <v/>
      </c>
      <c r="N1997" s="2" t="s">
        <v>1226</v>
      </c>
    </row>
    <row r="1998" customFormat="false" ht="15" hidden="false" customHeight="false" outlineLevel="0" collapsed="false">
      <c r="A1998" s="2" t="n">
        <v>1997</v>
      </c>
      <c r="B1998" s="2" t="s">
        <v>4284</v>
      </c>
      <c r="C1998" s="2" t="s">
        <v>4285</v>
      </c>
      <c r="D1998" s="2"/>
      <c r="E1998" s="2" t="s">
        <v>29</v>
      </c>
      <c r="F1998" s="3" t="n">
        <v>6.5E-005</v>
      </c>
      <c r="G1998" s="3" t="n">
        <f aca="false">SUM($F$2:F1998)</f>
        <v>0.932405</v>
      </c>
      <c r="H1998" s="4"/>
      <c r="I1998" s="5"/>
      <c r="J1998" s="4"/>
      <c r="K1998" s="5"/>
      <c r="L1998" s="6"/>
      <c r="M1998" s="5" t="str">
        <f aca="false">IF(AND(N(K1998)&gt;0,N(L1998)&gt;0),K1998/L1998,"")</f>
        <v/>
      </c>
      <c r="N1998" s="2" t="s">
        <v>1226</v>
      </c>
    </row>
    <row r="1999" customFormat="false" ht="15" hidden="false" customHeight="false" outlineLevel="0" collapsed="false">
      <c r="A1999" s="2" t="n">
        <v>1998</v>
      </c>
      <c r="B1999" s="2" t="s">
        <v>4286</v>
      </c>
      <c r="C1999" s="2" t="s">
        <v>4287</v>
      </c>
      <c r="D1999" s="2"/>
      <c r="E1999" s="2" t="s">
        <v>52</v>
      </c>
      <c r="F1999" s="3" t="n">
        <v>6.5E-005</v>
      </c>
      <c r="G1999" s="3" t="n">
        <f aca="false">SUM($F$2:F1999)</f>
        <v>0.93247</v>
      </c>
      <c r="H1999" s="4"/>
      <c r="I1999" s="5"/>
      <c r="J1999" s="4"/>
      <c r="K1999" s="5"/>
      <c r="L1999" s="6"/>
      <c r="M1999" s="5" t="str">
        <f aca="false">IF(AND(N(K1999)&gt;0,N(L1999)&gt;0),K1999/L1999,"")</f>
        <v/>
      </c>
      <c r="N1999" s="2" t="s">
        <v>1226</v>
      </c>
    </row>
    <row r="2000" customFormat="false" ht="15" hidden="false" customHeight="false" outlineLevel="0" collapsed="false">
      <c r="A2000" s="2" t="n">
        <v>1999</v>
      </c>
      <c r="B2000" s="2" t="s">
        <v>4288</v>
      </c>
      <c r="C2000" s="2" t="s">
        <v>4289</v>
      </c>
      <c r="D2000" s="2"/>
      <c r="E2000" s="2" t="s">
        <v>38</v>
      </c>
      <c r="F2000" s="3" t="n">
        <v>6.5E-005</v>
      </c>
      <c r="G2000" s="3" t="n">
        <f aca="false">SUM($F$2:F2000)</f>
        <v>0.932535</v>
      </c>
      <c r="H2000" s="4"/>
      <c r="I2000" s="5"/>
      <c r="J2000" s="4"/>
      <c r="K2000" s="5"/>
      <c r="L2000" s="6"/>
      <c r="M2000" s="5" t="str">
        <f aca="false">IF(AND(N(K2000)&gt;0,N(L2000)&gt;0),K2000/L2000,"")</f>
        <v/>
      </c>
      <c r="N2000" s="2" t="s">
        <v>1226</v>
      </c>
    </row>
    <row r="2001" customFormat="false" ht="15" hidden="false" customHeight="false" outlineLevel="0" collapsed="false">
      <c r="A2001" s="2" t="n">
        <v>2000</v>
      </c>
      <c r="B2001" s="2" t="s">
        <v>4290</v>
      </c>
      <c r="C2001" s="2" t="s">
        <v>4291</v>
      </c>
      <c r="D2001" s="2"/>
      <c r="E2001" s="2" t="s">
        <v>52</v>
      </c>
      <c r="F2001" s="3" t="n">
        <v>6.5E-005</v>
      </c>
      <c r="G2001" s="3" t="n">
        <f aca="false">SUM($F$2:F2001)</f>
        <v>0.9326</v>
      </c>
      <c r="H2001" s="4"/>
      <c r="I2001" s="5"/>
      <c r="J2001" s="4"/>
      <c r="K2001" s="5"/>
      <c r="L2001" s="6"/>
      <c r="M2001" s="5" t="str">
        <f aca="false">IF(AND(N(K2001)&gt;0,N(L2001)&gt;0),K2001/L2001,"")</f>
        <v/>
      </c>
      <c r="N2001" s="2" t="s">
        <v>1226</v>
      </c>
    </row>
    <row r="2002" customFormat="false" ht="15" hidden="false" customHeight="false" outlineLevel="0" collapsed="false">
      <c r="A2002" s="2" t="n">
        <v>2001</v>
      </c>
      <c r="B2002" s="2" t="s">
        <v>4292</v>
      </c>
      <c r="C2002" s="2" t="s">
        <v>4293</v>
      </c>
      <c r="D2002" s="2"/>
      <c r="E2002" s="2" t="s">
        <v>48</v>
      </c>
      <c r="F2002" s="3" t="n">
        <v>6.5E-005</v>
      </c>
      <c r="G2002" s="3" t="n">
        <f aca="false">SUM($F$2:F2002)</f>
        <v>0.932665</v>
      </c>
      <c r="H2002" s="4"/>
      <c r="I2002" s="5"/>
      <c r="J2002" s="4"/>
      <c r="K2002" s="5"/>
      <c r="L2002" s="6"/>
      <c r="M2002" s="5" t="str">
        <f aca="false">IF(AND(N(K2002)&gt;0,N(L2002)&gt;0),K2002/L2002,"")</f>
        <v/>
      </c>
      <c r="N2002" s="2" t="s">
        <v>1226</v>
      </c>
    </row>
    <row r="2003" customFormat="false" ht="15" hidden="false" customHeight="false" outlineLevel="0" collapsed="false">
      <c r="A2003" s="2" t="n">
        <v>2002</v>
      </c>
      <c r="B2003" s="2" t="s">
        <v>4294</v>
      </c>
      <c r="C2003" s="2" t="s">
        <v>4295</v>
      </c>
      <c r="D2003" s="2"/>
      <c r="E2003" s="2" t="s">
        <v>25</v>
      </c>
      <c r="F2003" s="3" t="n">
        <v>6.5E-005</v>
      </c>
      <c r="G2003" s="3" t="n">
        <f aca="false">SUM($F$2:F2003)</f>
        <v>0.93273</v>
      </c>
      <c r="H2003" s="4"/>
      <c r="I2003" s="5"/>
      <c r="J2003" s="4"/>
      <c r="K2003" s="5"/>
      <c r="L2003" s="6"/>
      <c r="M2003" s="5" t="str">
        <f aca="false">IF(AND(N(K2003)&gt;0,N(L2003)&gt;0),K2003/L2003,"")</f>
        <v/>
      </c>
      <c r="N2003" s="2" t="s">
        <v>1226</v>
      </c>
    </row>
    <row r="2004" customFormat="false" ht="15" hidden="false" customHeight="false" outlineLevel="0" collapsed="false">
      <c r="A2004" s="2" t="n">
        <v>2003</v>
      </c>
      <c r="B2004" s="2" t="s">
        <v>4296</v>
      </c>
      <c r="C2004" s="2" t="s">
        <v>4297</v>
      </c>
      <c r="D2004" s="2"/>
      <c r="E2004" s="2" t="s">
        <v>765</v>
      </c>
      <c r="F2004" s="3" t="n">
        <v>6.5E-005</v>
      </c>
      <c r="G2004" s="3" t="n">
        <f aca="false">SUM($F$2:F2004)</f>
        <v>0.932795</v>
      </c>
      <c r="H2004" s="4"/>
      <c r="I2004" s="5"/>
      <c r="J2004" s="4"/>
      <c r="K2004" s="5"/>
      <c r="L2004" s="6"/>
      <c r="M2004" s="5" t="str">
        <f aca="false">IF(AND(N(K2004)&gt;0,N(L2004)&gt;0),K2004/L2004,"")</f>
        <v/>
      </c>
      <c r="N2004" s="2" t="s">
        <v>1226</v>
      </c>
    </row>
    <row r="2005" customFormat="false" ht="15" hidden="false" customHeight="false" outlineLevel="0" collapsed="false">
      <c r="A2005" s="2" t="n">
        <v>2004</v>
      </c>
      <c r="B2005" s="2" t="s">
        <v>4298</v>
      </c>
      <c r="C2005" s="2" t="s">
        <v>4299</v>
      </c>
      <c r="D2005" s="2"/>
      <c r="E2005" s="2" t="s">
        <v>21</v>
      </c>
      <c r="F2005" s="3" t="n">
        <v>6.5E-005</v>
      </c>
      <c r="G2005" s="3" t="n">
        <f aca="false">SUM($F$2:F2005)</f>
        <v>0.93286</v>
      </c>
      <c r="H2005" s="4"/>
      <c r="I2005" s="5"/>
      <c r="J2005" s="4"/>
      <c r="K2005" s="5"/>
      <c r="L2005" s="6"/>
      <c r="M2005" s="5" t="str">
        <f aca="false">IF(AND(N(K2005)&gt;0,N(L2005)&gt;0),K2005/L2005,"")</f>
        <v/>
      </c>
      <c r="N2005" s="2" t="s">
        <v>1226</v>
      </c>
    </row>
    <row r="2006" customFormat="false" ht="15" hidden="false" customHeight="false" outlineLevel="0" collapsed="false">
      <c r="A2006" s="2" t="n">
        <v>2005</v>
      </c>
      <c r="B2006" s="2" t="s">
        <v>4300</v>
      </c>
      <c r="C2006" s="2" t="s">
        <v>4301</v>
      </c>
      <c r="D2006" s="2"/>
      <c r="E2006" s="2" t="s">
        <v>52</v>
      </c>
      <c r="F2006" s="3" t="n">
        <v>6.5E-005</v>
      </c>
      <c r="G2006" s="3" t="n">
        <f aca="false">SUM($F$2:F2006)</f>
        <v>0.932925</v>
      </c>
      <c r="H2006" s="4"/>
      <c r="I2006" s="5"/>
      <c r="J2006" s="4"/>
      <c r="K2006" s="5"/>
      <c r="L2006" s="6"/>
      <c r="M2006" s="5" t="str">
        <f aca="false">IF(AND(N(K2006)&gt;0,N(L2006)&gt;0),K2006/L2006,"")</f>
        <v/>
      </c>
      <c r="N2006" s="2" t="s">
        <v>1226</v>
      </c>
    </row>
    <row r="2007" customFormat="false" ht="15" hidden="false" customHeight="false" outlineLevel="0" collapsed="false">
      <c r="A2007" s="2" t="n">
        <v>2006</v>
      </c>
      <c r="B2007" s="2" t="s">
        <v>4302</v>
      </c>
      <c r="C2007" s="2" t="s">
        <v>4303</v>
      </c>
      <c r="D2007" s="2"/>
      <c r="E2007" s="2" t="s">
        <v>38</v>
      </c>
      <c r="F2007" s="3" t="n">
        <v>6.5E-005</v>
      </c>
      <c r="G2007" s="3" t="n">
        <f aca="false">SUM($F$2:F2007)</f>
        <v>0.93299</v>
      </c>
      <c r="H2007" s="4"/>
      <c r="I2007" s="5"/>
      <c r="J2007" s="4"/>
      <c r="K2007" s="5"/>
      <c r="L2007" s="6"/>
      <c r="M2007" s="5" t="str">
        <f aca="false">IF(AND(N(K2007)&gt;0,N(L2007)&gt;0),K2007/L2007,"")</f>
        <v/>
      </c>
      <c r="N2007" s="2" t="s">
        <v>1226</v>
      </c>
    </row>
    <row r="2008" customFormat="false" ht="15" hidden="false" customHeight="false" outlineLevel="0" collapsed="false">
      <c r="A2008" s="2" t="n">
        <v>2007</v>
      </c>
      <c r="B2008" s="2" t="s">
        <v>4304</v>
      </c>
      <c r="C2008" s="2" t="s">
        <v>4305</v>
      </c>
      <c r="D2008" s="2"/>
      <c r="E2008" s="2" t="s">
        <v>17</v>
      </c>
      <c r="F2008" s="3" t="n">
        <v>6.5E-005</v>
      </c>
      <c r="G2008" s="3" t="n">
        <f aca="false">SUM($F$2:F2008)</f>
        <v>0.933055</v>
      </c>
      <c r="H2008" s="4"/>
      <c r="I2008" s="5"/>
      <c r="J2008" s="4"/>
      <c r="K2008" s="5"/>
      <c r="L2008" s="6"/>
      <c r="M2008" s="5" t="str">
        <f aca="false">IF(AND(N(K2008)&gt;0,N(L2008)&gt;0),K2008/L2008,"")</f>
        <v/>
      </c>
      <c r="N2008" s="2" t="s">
        <v>1226</v>
      </c>
    </row>
    <row r="2009" customFormat="false" ht="15" hidden="false" customHeight="false" outlineLevel="0" collapsed="false">
      <c r="A2009" s="2" t="n">
        <v>2008</v>
      </c>
      <c r="B2009" s="2" t="s">
        <v>4306</v>
      </c>
      <c r="C2009" s="2" t="s">
        <v>4307</v>
      </c>
      <c r="D2009" s="2"/>
      <c r="E2009" s="2" t="s">
        <v>289</v>
      </c>
      <c r="F2009" s="3" t="n">
        <v>6.5E-005</v>
      </c>
      <c r="G2009" s="3" t="n">
        <f aca="false">SUM($F$2:F2009)</f>
        <v>0.93312</v>
      </c>
      <c r="H2009" s="4"/>
      <c r="I2009" s="5"/>
      <c r="J2009" s="4"/>
      <c r="K2009" s="5"/>
      <c r="L2009" s="6"/>
      <c r="M2009" s="5" t="str">
        <f aca="false">IF(AND(N(K2009)&gt;0,N(L2009)&gt;0),K2009/L2009,"")</f>
        <v/>
      </c>
      <c r="N2009" s="2" t="s">
        <v>1226</v>
      </c>
    </row>
    <row r="2010" customFormat="false" ht="15" hidden="false" customHeight="false" outlineLevel="0" collapsed="false">
      <c r="A2010" s="2" t="n">
        <v>2009</v>
      </c>
      <c r="B2010" s="2" t="s">
        <v>4308</v>
      </c>
      <c r="C2010" s="2" t="s">
        <v>4309</v>
      </c>
      <c r="D2010" s="2"/>
      <c r="E2010" s="2" t="s">
        <v>334</v>
      </c>
      <c r="F2010" s="3" t="n">
        <v>6.4E-005</v>
      </c>
      <c r="G2010" s="3" t="n">
        <f aca="false">SUM($F$2:F2010)</f>
        <v>0.933184</v>
      </c>
      <c r="H2010" s="4"/>
      <c r="I2010" s="5"/>
      <c r="J2010" s="4"/>
      <c r="K2010" s="5"/>
      <c r="L2010" s="6"/>
      <c r="M2010" s="5" t="str">
        <f aca="false">IF(AND(N(K2010)&gt;0,N(L2010)&gt;0),K2010/L2010,"")</f>
        <v/>
      </c>
      <c r="N2010" s="2" t="s">
        <v>1226</v>
      </c>
    </row>
    <row r="2011" customFormat="false" ht="15" hidden="false" customHeight="false" outlineLevel="0" collapsed="false">
      <c r="A2011" s="2" t="n">
        <v>2010</v>
      </c>
      <c r="B2011" s="2" t="s">
        <v>4310</v>
      </c>
      <c r="C2011" s="2" t="s">
        <v>4311</v>
      </c>
      <c r="D2011" s="2"/>
      <c r="E2011" s="2" t="s">
        <v>1245</v>
      </c>
      <c r="F2011" s="3" t="n">
        <v>6.4E-005</v>
      </c>
      <c r="G2011" s="3" t="n">
        <f aca="false">SUM($F$2:F2011)</f>
        <v>0.933248</v>
      </c>
      <c r="H2011" s="4"/>
      <c r="I2011" s="5"/>
      <c r="J2011" s="4"/>
      <c r="K2011" s="5"/>
      <c r="L2011" s="6"/>
      <c r="M2011" s="5" t="str">
        <f aca="false">IF(AND(N(K2011)&gt;0,N(L2011)&gt;0),K2011/L2011,"")</f>
        <v/>
      </c>
      <c r="N2011" s="2" t="s">
        <v>1226</v>
      </c>
    </row>
    <row r="2012" customFormat="false" ht="15" hidden="false" customHeight="false" outlineLevel="0" collapsed="false">
      <c r="A2012" s="2" t="n">
        <v>2011</v>
      </c>
      <c r="B2012" s="2" t="s">
        <v>4312</v>
      </c>
      <c r="C2012" s="2" t="s">
        <v>4313</v>
      </c>
      <c r="D2012" s="2"/>
      <c r="E2012" s="2" t="s">
        <v>614</v>
      </c>
      <c r="F2012" s="3" t="n">
        <v>6.4E-005</v>
      </c>
      <c r="G2012" s="3" t="n">
        <f aca="false">SUM($F$2:F2012)</f>
        <v>0.933312</v>
      </c>
      <c r="H2012" s="4"/>
      <c r="I2012" s="5"/>
      <c r="J2012" s="4"/>
      <c r="K2012" s="5"/>
      <c r="L2012" s="6"/>
      <c r="M2012" s="5" t="str">
        <f aca="false">IF(AND(N(K2012)&gt;0,N(L2012)&gt;0),K2012/L2012,"")</f>
        <v/>
      </c>
      <c r="N2012" s="2" t="s">
        <v>1226</v>
      </c>
    </row>
    <row r="2013" customFormat="false" ht="15" hidden="false" customHeight="false" outlineLevel="0" collapsed="false">
      <c r="A2013" s="2" t="n">
        <v>2012</v>
      </c>
      <c r="B2013" s="2" t="s">
        <v>4314</v>
      </c>
      <c r="C2013" s="2" t="s">
        <v>4315</v>
      </c>
      <c r="D2013" s="2"/>
      <c r="E2013" s="2" t="s">
        <v>29</v>
      </c>
      <c r="F2013" s="3" t="n">
        <v>6.4E-005</v>
      </c>
      <c r="G2013" s="3" t="n">
        <f aca="false">SUM($F$2:F2013)</f>
        <v>0.933376</v>
      </c>
      <c r="H2013" s="4"/>
      <c r="I2013" s="5"/>
      <c r="J2013" s="4"/>
      <c r="K2013" s="5"/>
      <c r="L2013" s="6"/>
      <c r="M2013" s="5" t="str">
        <f aca="false">IF(AND(N(K2013)&gt;0,N(L2013)&gt;0),K2013/L2013,"")</f>
        <v/>
      </c>
      <c r="N2013" s="2" t="s">
        <v>1226</v>
      </c>
    </row>
    <row r="2014" customFormat="false" ht="15" hidden="false" customHeight="false" outlineLevel="0" collapsed="false">
      <c r="A2014" s="2" t="n">
        <v>2013</v>
      </c>
      <c r="B2014" s="2" t="s">
        <v>4316</v>
      </c>
      <c r="C2014" s="2" t="s">
        <v>4317</v>
      </c>
      <c r="D2014" s="2"/>
      <c r="E2014" s="2" t="s">
        <v>43</v>
      </c>
      <c r="F2014" s="3" t="n">
        <v>6.4E-005</v>
      </c>
      <c r="G2014" s="3" t="n">
        <f aca="false">SUM($F$2:F2014)</f>
        <v>0.93344</v>
      </c>
      <c r="H2014" s="4"/>
      <c r="I2014" s="5"/>
      <c r="J2014" s="4"/>
      <c r="K2014" s="5"/>
      <c r="L2014" s="6"/>
      <c r="M2014" s="5" t="str">
        <f aca="false">IF(AND(N(K2014)&gt;0,N(L2014)&gt;0),K2014/L2014,"")</f>
        <v/>
      </c>
      <c r="N2014" s="2" t="s">
        <v>1226</v>
      </c>
    </row>
    <row r="2015" customFormat="false" ht="15" hidden="false" customHeight="false" outlineLevel="0" collapsed="false">
      <c r="A2015" s="2" t="n">
        <v>2014</v>
      </c>
      <c r="B2015" s="2" t="s">
        <v>4318</v>
      </c>
      <c r="C2015" s="2" t="s">
        <v>4319</v>
      </c>
      <c r="D2015" s="2"/>
      <c r="E2015" s="2" t="s">
        <v>21</v>
      </c>
      <c r="F2015" s="3" t="n">
        <v>6.4E-005</v>
      </c>
      <c r="G2015" s="3" t="n">
        <f aca="false">SUM($F$2:F2015)</f>
        <v>0.933504</v>
      </c>
      <c r="H2015" s="4"/>
      <c r="I2015" s="5"/>
      <c r="J2015" s="4"/>
      <c r="K2015" s="5"/>
      <c r="L2015" s="6"/>
      <c r="M2015" s="5" t="str">
        <f aca="false">IF(AND(N(K2015)&gt;0,N(L2015)&gt;0),K2015/L2015,"")</f>
        <v/>
      </c>
      <c r="N2015" s="2" t="s">
        <v>1226</v>
      </c>
    </row>
    <row r="2016" customFormat="false" ht="15" hidden="false" customHeight="false" outlineLevel="0" collapsed="false">
      <c r="A2016" s="2" t="n">
        <v>2015</v>
      </c>
      <c r="B2016" s="2" t="s">
        <v>4320</v>
      </c>
      <c r="C2016" s="2" t="s">
        <v>4321</v>
      </c>
      <c r="D2016" s="2"/>
      <c r="E2016" s="2" t="s">
        <v>289</v>
      </c>
      <c r="F2016" s="3" t="n">
        <v>6.4E-005</v>
      </c>
      <c r="G2016" s="3" t="n">
        <f aca="false">SUM($F$2:F2016)</f>
        <v>0.933568</v>
      </c>
      <c r="H2016" s="4"/>
      <c r="I2016" s="5"/>
      <c r="J2016" s="4"/>
      <c r="K2016" s="5"/>
      <c r="L2016" s="6"/>
      <c r="M2016" s="5" t="str">
        <f aca="false">IF(AND(N(K2016)&gt;0,N(L2016)&gt;0),K2016/L2016,"")</f>
        <v/>
      </c>
      <c r="N2016" s="2" t="s">
        <v>1226</v>
      </c>
    </row>
    <row r="2017" customFormat="false" ht="15" hidden="false" customHeight="false" outlineLevel="0" collapsed="false">
      <c r="A2017" s="2" t="n">
        <v>2016</v>
      </c>
      <c r="B2017" s="2" t="s">
        <v>4322</v>
      </c>
      <c r="C2017" s="2" t="s">
        <v>4323</v>
      </c>
      <c r="D2017" s="2"/>
      <c r="E2017" s="2" t="s">
        <v>29</v>
      </c>
      <c r="F2017" s="3" t="n">
        <v>6.4E-005</v>
      </c>
      <c r="G2017" s="3" t="n">
        <f aca="false">SUM($F$2:F2017)</f>
        <v>0.933632</v>
      </c>
      <c r="H2017" s="4"/>
      <c r="I2017" s="5"/>
      <c r="J2017" s="4"/>
      <c r="K2017" s="5"/>
      <c r="L2017" s="6"/>
      <c r="M2017" s="5" t="str">
        <f aca="false">IF(AND(N(K2017)&gt;0,N(L2017)&gt;0),K2017/L2017,"")</f>
        <v/>
      </c>
      <c r="N2017" s="2" t="s">
        <v>1226</v>
      </c>
    </row>
    <row r="2018" customFormat="false" ht="15" hidden="false" customHeight="false" outlineLevel="0" collapsed="false">
      <c r="A2018" s="2" t="n">
        <v>2017</v>
      </c>
      <c r="B2018" s="2" t="s">
        <v>4324</v>
      </c>
      <c r="C2018" s="2" t="s">
        <v>4325</v>
      </c>
      <c r="D2018" s="2"/>
      <c r="E2018" s="2" t="s">
        <v>17</v>
      </c>
      <c r="F2018" s="3" t="n">
        <v>6.4E-005</v>
      </c>
      <c r="G2018" s="3" t="n">
        <f aca="false">SUM($F$2:F2018)</f>
        <v>0.933696</v>
      </c>
      <c r="H2018" s="4"/>
      <c r="I2018" s="5"/>
      <c r="J2018" s="4"/>
      <c r="K2018" s="5"/>
      <c r="L2018" s="6"/>
      <c r="M2018" s="5" t="str">
        <f aca="false">IF(AND(N(K2018)&gt;0,N(L2018)&gt;0),K2018/L2018,"")</f>
        <v/>
      </c>
      <c r="N2018" s="2" t="s">
        <v>1226</v>
      </c>
    </row>
    <row r="2019" customFormat="false" ht="15" hidden="false" customHeight="false" outlineLevel="0" collapsed="false">
      <c r="A2019" s="2" t="n">
        <v>2018</v>
      </c>
      <c r="B2019" s="2" t="s">
        <v>4326</v>
      </c>
      <c r="C2019" s="2" t="s">
        <v>4327</v>
      </c>
      <c r="D2019" s="2"/>
      <c r="E2019" s="2" t="s">
        <v>29</v>
      </c>
      <c r="F2019" s="3" t="n">
        <v>6.4E-005</v>
      </c>
      <c r="G2019" s="3" t="n">
        <f aca="false">SUM($F$2:F2019)</f>
        <v>0.93376</v>
      </c>
      <c r="H2019" s="4"/>
      <c r="I2019" s="5"/>
      <c r="J2019" s="4"/>
      <c r="K2019" s="5"/>
      <c r="L2019" s="6"/>
      <c r="M2019" s="5" t="str">
        <f aca="false">IF(AND(N(K2019)&gt;0,N(L2019)&gt;0),K2019/L2019,"")</f>
        <v/>
      </c>
      <c r="N2019" s="2" t="s">
        <v>1226</v>
      </c>
    </row>
    <row r="2020" customFormat="false" ht="15" hidden="false" customHeight="false" outlineLevel="0" collapsed="false">
      <c r="A2020" s="2" t="n">
        <v>2019</v>
      </c>
      <c r="B2020" s="2" t="s">
        <v>4328</v>
      </c>
      <c r="C2020" s="2" t="s">
        <v>4329</v>
      </c>
      <c r="D2020" s="2"/>
      <c r="E2020" s="2" t="s">
        <v>48</v>
      </c>
      <c r="F2020" s="3" t="n">
        <v>6.4E-005</v>
      </c>
      <c r="G2020" s="3" t="n">
        <f aca="false">SUM($F$2:F2020)</f>
        <v>0.933824</v>
      </c>
      <c r="H2020" s="4"/>
      <c r="I2020" s="5"/>
      <c r="J2020" s="4"/>
      <c r="K2020" s="5"/>
      <c r="L2020" s="6"/>
      <c r="M2020" s="5" t="str">
        <f aca="false">IF(AND(N(K2020)&gt;0,N(L2020)&gt;0),K2020/L2020,"")</f>
        <v/>
      </c>
      <c r="N2020" s="2" t="s">
        <v>1226</v>
      </c>
    </row>
    <row r="2021" customFormat="false" ht="15" hidden="false" customHeight="false" outlineLevel="0" collapsed="false">
      <c r="A2021" s="2" t="n">
        <v>2020</v>
      </c>
      <c r="B2021" s="2" t="s">
        <v>4330</v>
      </c>
      <c r="C2021" s="2" t="s">
        <v>4331</v>
      </c>
      <c r="D2021" s="2"/>
      <c r="E2021" s="2" t="s">
        <v>52</v>
      </c>
      <c r="F2021" s="3" t="n">
        <v>6.4E-005</v>
      </c>
      <c r="G2021" s="3" t="n">
        <f aca="false">SUM($F$2:F2021)</f>
        <v>0.933888</v>
      </c>
      <c r="H2021" s="4"/>
      <c r="I2021" s="5"/>
      <c r="J2021" s="4"/>
      <c r="K2021" s="5"/>
      <c r="L2021" s="6"/>
      <c r="M2021" s="5" t="str">
        <f aca="false">IF(AND(N(K2021)&gt;0,N(L2021)&gt;0),K2021/L2021,"")</f>
        <v/>
      </c>
      <c r="N2021" s="2" t="s">
        <v>1226</v>
      </c>
    </row>
    <row r="2022" customFormat="false" ht="15" hidden="false" customHeight="false" outlineLevel="0" collapsed="false">
      <c r="A2022" s="2" t="n">
        <v>2021</v>
      </c>
      <c r="B2022" s="2" t="s">
        <v>4332</v>
      </c>
      <c r="C2022" s="2" t="s">
        <v>4333</v>
      </c>
      <c r="D2022" s="2"/>
      <c r="E2022" s="2" t="s">
        <v>1345</v>
      </c>
      <c r="F2022" s="3" t="n">
        <v>6.3E-005</v>
      </c>
      <c r="G2022" s="3" t="n">
        <f aca="false">SUM($F$2:F2022)</f>
        <v>0.933951</v>
      </c>
      <c r="H2022" s="4"/>
      <c r="I2022" s="5"/>
      <c r="J2022" s="4"/>
      <c r="K2022" s="5"/>
      <c r="L2022" s="6"/>
      <c r="M2022" s="5" t="str">
        <f aca="false">IF(AND(N(K2022)&gt;0,N(L2022)&gt;0),K2022/L2022,"")</f>
        <v/>
      </c>
      <c r="N2022" s="2" t="s">
        <v>1226</v>
      </c>
    </row>
    <row r="2023" customFormat="false" ht="15" hidden="false" customHeight="false" outlineLevel="0" collapsed="false">
      <c r="A2023" s="2" t="n">
        <v>2022</v>
      </c>
      <c r="B2023" s="2" t="s">
        <v>4334</v>
      </c>
      <c r="C2023" s="2" t="s">
        <v>4335</v>
      </c>
      <c r="D2023" s="2"/>
      <c r="E2023" s="2" t="s">
        <v>82</v>
      </c>
      <c r="F2023" s="3" t="n">
        <v>6.3E-005</v>
      </c>
      <c r="G2023" s="3" t="n">
        <f aca="false">SUM($F$2:F2023)</f>
        <v>0.934014</v>
      </c>
      <c r="H2023" s="4"/>
      <c r="I2023" s="5"/>
      <c r="J2023" s="4"/>
      <c r="K2023" s="5"/>
      <c r="L2023" s="6"/>
      <c r="M2023" s="5" t="str">
        <f aca="false">IF(AND(N(K2023)&gt;0,N(L2023)&gt;0),K2023/L2023,"")</f>
        <v/>
      </c>
      <c r="N2023" s="2" t="s">
        <v>1226</v>
      </c>
    </row>
    <row r="2024" customFormat="false" ht="15" hidden="false" customHeight="false" outlineLevel="0" collapsed="false">
      <c r="A2024" s="2" t="n">
        <v>2023</v>
      </c>
      <c r="B2024" s="2" t="s">
        <v>1860</v>
      </c>
      <c r="C2024" s="2" t="s">
        <v>4336</v>
      </c>
      <c r="D2024" s="2"/>
      <c r="E2024" s="2" t="s">
        <v>82</v>
      </c>
      <c r="F2024" s="3" t="n">
        <v>6.3E-005</v>
      </c>
      <c r="G2024" s="3" t="n">
        <f aca="false">SUM($F$2:F2024)</f>
        <v>0.934077</v>
      </c>
      <c r="H2024" s="4"/>
      <c r="I2024" s="5"/>
      <c r="J2024" s="4"/>
      <c r="K2024" s="5"/>
      <c r="L2024" s="6"/>
      <c r="M2024" s="5" t="str">
        <f aca="false">IF(AND(N(K2024)&gt;0,N(L2024)&gt;0),K2024/L2024,"")</f>
        <v/>
      </c>
      <c r="N2024" s="2" t="s">
        <v>1226</v>
      </c>
    </row>
    <row r="2025" customFormat="false" ht="15" hidden="false" customHeight="false" outlineLevel="0" collapsed="false">
      <c r="A2025" s="2" t="n">
        <v>2024</v>
      </c>
      <c r="B2025" s="2" t="s">
        <v>4337</v>
      </c>
      <c r="C2025" s="2" t="s">
        <v>4338</v>
      </c>
      <c r="D2025" s="2"/>
      <c r="E2025" s="2" t="s">
        <v>52</v>
      </c>
      <c r="F2025" s="3" t="n">
        <v>6.3E-005</v>
      </c>
      <c r="G2025" s="3" t="n">
        <f aca="false">SUM($F$2:F2025)</f>
        <v>0.93414</v>
      </c>
      <c r="H2025" s="4"/>
      <c r="I2025" s="5"/>
      <c r="J2025" s="4"/>
      <c r="K2025" s="5"/>
      <c r="L2025" s="6"/>
      <c r="M2025" s="5" t="str">
        <f aca="false">IF(AND(N(K2025)&gt;0,N(L2025)&gt;0),K2025/L2025,"")</f>
        <v/>
      </c>
      <c r="N2025" s="2" t="s">
        <v>1226</v>
      </c>
    </row>
    <row r="2026" customFormat="false" ht="15" hidden="false" customHeight="false" outlineLevel="0" collapsed="false">
      <c r="A2026" s="2" t="n">
        <v>2025</v>
      </c>
      <c r="B2026" s="2" t="s">
        <v>4339</v>
      </c>
      <c r="C2026" s="2" t="s">
        <v>4340</v>
      </c>
      <c r="D2026" s="2"/>
      <c r="E2026" s="2" t="s">
        <v>1295</v>
      </c>
      <c r="F2026" s="3" t="n">
        <v>6.3E-005</v>
      </c>
      <c r="G2026" s="3" t="n">
        <f aca="false">SUM($F$2:F2026)</f>
        <v>0.934203</v>
      </c>
      <c r="H2026" s="4"/>
      <c r="I2026" s="5"/>
      <c r="J2026" s="4"/>
      <c r="K2026" s="5"/>
      <c r="L2026" s="6"/>
      <c r="M2026" s="5" t="str">
        <f aca="false">IF(AND(N(K2026)&gt;0,N(L2026)&gt;0),K2026/L2026,"")</f>
        <v/>
      </c>
      <c r="N2026" s="2" t="s">
        <v>1226</v>
      </c>
    </row>
    <row r="2027" customFormat="false" ht="15" hidden="false" customHeight="false" outlineLevel="0" collapsed="false">
      <c r="A2027" s="2" t="n">
        <v>2026</v>
      </c>
      <c r="B2027" s="2" t="s">
        <v>4341</v>
      </c>
      <c r="C2027" s="2" t="s">
        <v>4342</v>
      </c>
      <c r="D2027" s="2"/>
      <c r="E2027" s="2" t="s">
        <v>52</v>
      </c>
      <c r="F2027" s="3" t="n">
        <v>6.3E-005</v>
      </c>
      <c r="G2027" s="3" t="n">
        <f aca="false">SUM($F$2:F2027)</f>
        <v>0.934266</v>
      </c>
      <c r="H2027" s="4"/>
      <c r="I2027" s="5"/>
      <c r="J2027" s="4"/>
      <c r="K2027" s="5"/>
      <c r="L2027" s="6"/>
      <c r="M2027" s="5" t="str">
        <f aca="false">IF(AND(N(K2027)&gt;0,N(L2027)&gt;0),K2027/L2027,"")</f>
        <v/>
      </c>
      <c r="N2027" s="2" t="s">
        <v>1226</v>
      </c>
    </row>
    <row r="2028" customFormat="false" ht="15" hidden="false" customHeight="false" outlineLevel="0" collapsed="false">
      <c r="A2028" s="2" t="n">
        <v>2027</v>
      </c>
      <c r="B2028" s="2" t="s">
        <v>4343</v>
      </c>
      <c r="C2028" s="2" t="s">
        <v>4344</v>
      </c>
      <c r="D2028" s="2"/>
      <c r="E2028" s="2" t="s">
        <v>43</v>
      </c>
      <c r="F2028" s="3" t="n">
        <v>6.3E-005</v>
      </c>
      <c r="G2028" s="3" t="n">
        <f aca="false">SUM($F$2:F2028)</f>
        <v>0.934329</v>
      </c>
      <c r="H2028" s="4"/>
      <c r="I2028" s="5"/>
      <c r="J2028" s="4"/>
      <c r="K2028" s="5"/>
      <c r="L2028" s="6"/>
      <c r="M2028" s="5" t="str">
        <f aca="false">IF(AND(N(K2028)&gt;0,N(L2028)&gt;0),K2028/L2028,"")</f>
        <v/>
      </c>
      <c r="N2028" s="2" t="s">
        <v>1226</v>
      </c>
    </row>
    <row r="2029" customFormat="false" ht="15" hidden="false" customHeight="false" outlineLevel="0" collapsed="false">
      <c r="A2029" s="2" t="n">
        <v>2028</v>
      </c>
      <c r="B2029" s="2" t="s">
        <v>4345</v>
      </c>
      <c r="C2029" s="2" t="s">
        <v>4346</v>
      </c>
      <c r="D2029" s="2"/>
      <c r="E2029" s="2" t="s">
        <v>17</v>
      </c>
      <c r="F2029" s="3" t="n">
        <v>6.3E-005</v>
      </c>
      <c r="G2029" s="3" t="n">
        <f aca="false">SUM($F$2:F2029)</f>
        <v>0.934392</v>
      </c>
      <c r="H2029" s="4"/>
      <c r="I2029" s="5"/>
      <c r="J2029" s="4"/>
      <c r="K2029" s="5"/>
      <c r="L2029" s="6"/>
      <c r="M2029" s="5" t="str">
        <f aca="false">IF(AND(N(K2029)&gt;0,N(L2029)&gt;0),K2029/L2029,"")</f>
        <v/>
      </c>
      <c r="N2029" s="2" t="s">
        <v>1226</v>
      </c>
    </row>
    <row r="2030" customFormat="false" ht="15" hidden="false" customHeight="false" outlineLevel="0" collapsed="false">
      <c r="A2030" s="2" t="n">
        <v>2029</v>
      </c>
      <c r="B2030" s="2" t="s">
        <v>4347</v>
      </c>
      <c r="C2030" s="2" t="s">
        <v>4348</v>
      </c>
      <c r="D2030" s="2"/>
      <c r="E2030" s="2" t="s">
        <v>25</v>
      </c>
      <c r="F2030" s="3" t="n">
        <v>6.3E-005</v>
      </c>
      <c r="G2030" s="3" t="n">
        <f aca="false">SUM($F$2:F2030)</f>
        <v>0.934455</v>
      </c>
      <c r="H2030" s="4"/>
      <c r="I2030" s="5"/>
      <c r="J2030" s="4"/>
      <c r="K2030" s="5"/>
      <c r="L2030" s="6"/>
      <c r="M2030" s="5" t="str">
        <f aca="false">IF(AND(N(K2030)&gt;0,N(L2030)&gt;0),K2030/L2030,"")</f>
        <v/>
      </c>
      <c r="N2030" s="2" t="s">
        <v>1226</v>
      </c>
    </row>
    <row r="2031" customFormat="false" ht="15" hidden="false" customHeight="false" outlineLevel="0" collapsed="false">
      <c r="A2031" s="2" t="n">
        <v>2030</v>
      </c>
      <c r="B2031" s="2" t="s">
        <v>4349</v>
      </c>
      <c r="C2031" s="2" t="s">
        <v>4350</v>
      </c>
      <c r="D2031" s="2"/>
      <c r="E2031" s="2" t="s">
        <v>679</v>
      </c>
      <c r="F2031" s="3" t="n">
        <v>6.3E-005</v>
      </c>
      <c r="G2031" s="3" t="n">
        <f aca="false">SUM($F$2:F2031)</f>
        <v>0.934518</v>
      </c>
      <c r="H2031" s="4"/>
      <c r="I2031" s="5"/>
      <c r="J2031" s="4"/>
      <c r="K2031" s="5"/>
      <c r="L2031" s="6"/>
      <c r="M2031" s="5" t="str">
        <f aca="false">IF(AND(N(K2031)&gt;0,N(L2031)&gt;0),K2031/L2031,"")</f>
        <v/>
      </c>
      <c r="N2031" s="2" t="s">
        <v>1226</v>
      </c>
    </row>
    <row r="2032" customFormat="false" ht="15" hidden="false" customHeight="false" outlineLevel="0" collapsed="false">
      <c r="A2032" s="2" t="n">
        <v>2031</v>
      </c>
      <c r="B2032" s="2" t="s">
        <v>4351</v>
      </c>
      <c r="C2032" s="2" t="s">
        <v>4352</v>
      </c>
      <c r="D2032" s="2"/>
      <c r="E2032" s="2" t="s">
        <v>17</v>
      </c>
      <c r="F2032" s="3" t="n">
        <v>6.3E-005</v>
      </c>
      <c r="G2032" s="3" t="n">
        <f aca="false">SUM($F$2:F2032)</f>
        <v>0.934581</v>
      </c>
      <c r="H2032" s="4"/>
      <c r="I2032" s="5"/>
      <c r="J2032" s="4"/>
      <c r="K2032" s="5"/>
      <c r="L2032" s="6"/>
      <c r="M2032" s="5" t="str">
        <f aca="false">IF(AND(N(K2032)&gt;0,N(L2032)&gt;0),K2032/L2032,"")</f>
        <v/>
      </c>
      <c r="N2032" s="2" t="s">
        <v>1226</v>
      </c>
    </row>
    <row r="2033" customFormat="false" ht="15" hidden="false" customHeight="false" outlineLevel="0" collapsed="false">
      <c r="A2033" s="2" t="n">
        <v>2032</v>
      </c>
      <c r="B2033" s="2" t="s">
        <v>4353</v>
      </c>
      <c r="C2033" s="2" t="s">
        <v>4354</v>
      </c>
      <c r="D2033" s="2"/>
      <c r="E2033" s="2" t="s">
        <v>25</v>
      </c>
      <c r="F2033" s="3" t="n">
        <v>6.3E-005</v>
      </c>
      <c r="G2033" s="3" t="n">
        <f aca="false">SUM($F$2:F2033)</f>
        <v>0.934644</v>
      </c>
      <c r="H2033" s="4"/>
      <c r="I2033" s="5"/>
      <c r="J2033" s="4"/>
      <c r="K2033" s="5"/>
      <c r="L2033" s="6"/>
      <c r="M2033" s="5" t="str">
        <f aca="false">IF(AND(N(K2033)&gt;0,N(L2033)&gt;0),K2033/L2033,"")</f>
        <v/>
      </c>
      <c r="N2033" s="2" t="s">
        <v>1226</v>
      </c>
    </row>
    <row r="2034" customFormat="false" ht="15" hidden="false" customHeight="false" outlineLevel="0" collapsed="false">
      <c r="A2034" s="2" t="n">
        <v>2033</v>
      </c>
      <c r="B2034" s="2" t="s">
        <v>4355</v>
      </c>
      <c r="C2034" s="2" t="s">
        <v>4356</v>
      </c>
      <c r="D2034" s="2"/>
      <c r="E2034" s="2" t="s">
        <v>52</v>
      </c>
      <c r="F2034" s="3" t="n">
        <v>6.3E-005</v>
      </c>
      <c r="G2034" s="3" t="n">
        <f aca="false">SUM($F$2:F2034)</f>
        <v>0.934707</v>
      </c>
      <c r="H2034" s="4"/>
      <c r="I2034" s="5"/>
      <c r="J2034" s="4"/>
      <c r="K2034" s="5"/>
      <c r="L2034" s="6"/>
      <c r="M2034" s="5" t="str">
        <f aca="false">IF(AND(N(K2034)&gt;0,N(L2034)&gt;0),K2034/L2034,"")</f>
        <v/>
      </c>
      <c r="N2034" s="2" t="s">
        <v>1226</v>
      </c>
    </row>
    <row r="2035" customFormat="false" ht="15" hidden="false" customHeight="false" outlineLevel="0" collapsed="false">
      <c r="A2035" s="2" t="n">
        <v>2034</v>
      </c>
      <c r="B2035" s="2" t="s">
        <v>4357</v>
      </c>
      <c r="C2035" s="2" t="s">
        <v>4358</v>
      </c>
      <c r="D2035" s="2"/>
      <c r="E2035" s="2" t="s">
        <v>29</v>
      </c>
      <c r="F2035" s="3" t="n">
        <v>6.3E-005</v>
      </c>
      <c r="G2035" s="3" t="n">
        <f aca="false">SUM($F$2:F2035)</f>
        <v>0.93477</v>
      </c>
      <c r="H2035" s="4"/>
      <c r="I2035" s="5"/>
      <c r="J2035" s="4"/>
      <c r="K2035" s="5"/>
      <c r="L2035" s="6"/>
      <c r="M2035" s="5" t="str">
        <f aca="false">IF(AND(N(K2035)&gt;0,N(L2035)&gt;0),K2035/L2035,"")</f>
        <v/>
      </c>
      <c r="N2035" s="2" t="s">
        <v>1226</v>
      </c>
    </row>
    <row r="2036" customFormat="false" ht="15" hidden="false" customHeight="false" outlineLevel="0" collapsed="false">
      <c r="A2036" s="2" t="n">
        <v>2035</v>
      </c>
      <c r="B2036" s="2" t="s">
        <v>4359</v>
      </c>
      <c r="C2036" s="2" t="s">
        <v>4360</v>
      </c>
      <c r="D2036" s="2"/>
      <c r="E2036" s="2" t="s">
        <v>29</v>
      </c>
      <c r="F2036" s="3" t="n">
        <v>6.3E-005</v>
      </c>
      <c r="G2036" s="3" t="n">
        <f aca="false">SUM($F$2:F2036)</f>
        <v>0.934833</v>
      </c>
      <c r="H2036" s="4"/>
      <c r="I2036" s="5"/>
      <c r="J2036" s="4"/>
      <c r="K2036" s="5"/>
      <c r="L2036" s="6"/>
      <c r="M2036" s="5" t="str">
        <f aca="false">IF(AND(N(K2036)&gt;0,N(L2036)&gt;0),K2036/L2036,"")</f>
        <v/>
      </c>
      <c r="N2036" s="2" t="s">
        <v>1226</v>
      </c>
    </row>
    <row r="2037" customFormat="false" ht="15" hidden="false" customHeight="false" outlineLevel="0" collapsed="false">
      <c r="A2037" s="2" t="n">
        <v>2036</v>
      </c>
      <c r="B2037" s="2" t="s">
        <v>4361</v>
      </c>
      <c r="C2037" s="2" t="s">
        <v>4362</v>
      </c>
      <c r="D2037" s="2"/>
      <c r="E2037" s="2" t="s">
        <v>334</v>
      </c>
      <c r="F2037" s="3" t="n">
        <v>6.3E-005</v>
      </c>
      <c r="G2037" s="3" t="n">
        <f aca="false">SUM($F$2:F2037)</f>
        <v>0.934896</v>
      </c>
      <c r="H2037" s="4"/>
      <c r="I2037" s="5"/>
      <c r="J2037" s="4"/>
      <c r="K2037" s="5"/>
      <c r="L2037" s="6"/>
      <c r="M2037" s="5" t="str">
        <f aca="false">IF(AND(N(K2037)&gt;0,N(L2037)&gt;0),K2037/L2037,"")</f>
        <v/>
      </c>
      <c r="N2037" s="2" t="s">
        <v>1226</v>
      </c>
    </row>
    <row r="2038" customFormat="false" ht="15" hidden="false" customHeight="false" outlineLevel="0" collapsed="false">
      <c r="A2038" s="2" t="n">
        <v>2037</v>
      </c>
      <c r="B2038" s="2" t="s">
        <v>4363</v>
      </c>
      <c r="C2038" s="2" t="s">
        <v>4364</v>
      </c>
      <c r="D2038" s="2"/>
      <c r="E2038" s="2" t="s">
        <v>2763</v>
      </c>
      <c r="F2038" s="3" t="n">
        <v>6.3E-005</v>
      </c>
      <c r="G2038" s="3" t="n">
        <f aca="false">SUM($F$2:F2038)</f>
        <v>0.934959</v>
      </c>
      <c r="H2038" s="4"/>
      <c r="I2038" s="5"/>
      <c r="J2038" s="4"/>
      <c r="K2038" s="5"/>
      <c r="L2038" s="6"/>
      <c r="M2038" s="5" t="str">
        <f aca="false">IF(AND(N(K2038)&gt;0,N(L2038)&gt;0),K2038/L2038,"")</f>
        <v/>
      </c>
      <c r="N2038" s="2" t="s">
        <v>1226</v>
      </c>
    </row>
    <row r="2039" customFormat="false" ht="15" hidden="false" customHeight="false" outlineLevel="0" collapsed="false">
      <c r="A2039" s="2" t="n">
        <v>2038</v>
      </c>
      <c r="B2039" s="2" t="s">
        <v>4365</v>
      </c>
      <c r="C2039" s="2" t="s">
        <v>4366</v>
      </c>
      <c r="D2039" s="2"/>
      <c r="E2039" s="2" t="s">
        <v>52</v>
      </c>
      <c r="F2039" s="3" t="n">
        <v>6.3E-005</v>
      </c>
      <c r="G2039" s="3" t="n">
        <f aca="false">SUM($F$2:F2039)</f>
        <v>0.935022</v>
      </c>
      <c r="H2039" s="4"/>
      <c r="I2039" s="5"/>
      <c r="J2039" s="4"/>
      <c r="K2039" s="5"/>
      <c r="L2039" s="6"/>
      <c r="M2039" s="5" t="str">
        <f aca="false">IF(AND(N(K2039)&gt;0,N(L2039)&gt;0),K2039/L2039,"")</f>
        <v/>
      </c>
      <c r="N2039" s="2" t="s">
        <v>1226</v>
      </c>
    </row>
    <row r="2040" customFormat="false" ht="15" hidden="false" customHeight="false" outlineLevel="0" collapsed="false">
      <c r="A2040" s="2" t="n">
        <v>2039</v>
      </c>
      <c r="B2040" s="2" t="s">
        <v>4367</v>
      </c>
      <c r="C2040" s="2" t="s">
        <v>4368</v>
      </c>
      <c r="D2040" s="2"/>
      <c r="E2040" s="2" t="s">
        <v>52</v>
      </c>
      <c r="F2040" s="3" t="n">
        <v>6.3E-005</v>
      </c>
      <c r="G2040" s="3" t="n">
        <f aca="false">SUM($F$2:F2040)</f>
        <v>0.935085</v>
      </c>
      <c r="H2040" s="4"/>
      <c r="I2040" s="5"/>
      <c r="J2040" s="4"/>
      <c r="K2040" s="5"/>
      <c r="L2040" s="6"/>
      <c r="M2040" s="5" t="str">
        <f aca="false">IF(AND(N(K2040)&gt;0,N(L2040)&gt;0),K2040/L2040,"")</f>
        <v/>
      </c>
      <c r="N2040" s="2" t="s">
        <v>1226</v>
      </c>
    </row>
    <row r="2041" customFormat="false" ht="15" hidden="false" customHeight="false" outlineLevel="0" collapsed="false">
      <c r="A2041" s="2" t="n">
        <v>2040</v>
      </c>
      <c r="B2041" s="2" t="s">
        <v>4369</v>
      </c>
      <c r="C2041" s="2" t="s">
        <v>4370</v>
      </c>
      <c r="D2041" s="2"/>
      <c r="E2041" s="2" t="s">
        <v>289</v>
      </c>
      <c r="F2041" s="3" t="n">
        <v>6.3E-005</v>
      </c>
      <c r="G2041" s="3" t="n">
        <f aca="false">SUM($F$2:F2041)</f>
        <v>0.935148</v>
      </c>
      <c r="H2041" s="4"/>
      <c r="I2041" s="5"/>
      <c r="J2041" s="4"/>
      <c r="K2041" s="5"/>
      <c r="L2041" s="6"/>
      <c r="M2041" s="5" t="str">
        <f aca="false">IF(AND(N(K2041)&gt;0,N(L2041)&gt;0),K2041/L2041,"")</f>
        <v/>
      </c>
      <c r="N2041" s="2" t="s">
        <v>1226</v>
      </c>
    </row>
    <row r="2042" customFormat="false" ht="15" hidden="false" customHeight="false" outlineLevel="0" collapsed="false">
      <c r="A2042" s="2" t="n">
        <v>2041</v>
      </c>
      <c r="B2042" s="2" t="s">
        <v>4371</v>
      </c>
      <c r="C2042" s="2" t="s">
        <v>4372</v>
      </c>
      <c r="D2042" s="2"/>
      <c r="E2042" s="2" t="s">
        <v>29</v>
      </c>
      <c r="F2042" s="3" t="n">
        <v>6.3E-005</v>
      </c>
      <c r="G2042" s="3" t="n">
        <f aca="false">SUM($F$2:F2042)</f>
        <v>0.935211</v>
      </c>
      <c r="H2042" s="4"/>
      <c r="I2042" s="5"/>
      <c r="J2042" s="4"/>
      <c r="K2042" s="5"/>
      <c r="L2042" s="6"/>
      <c r="M2042" s="5" t="str">
        <f aca="false">IF(AND(N(K2042)&gt;0,N(L2042)&gt;0),K2042/L2042,"")</f>
        <v/>
      </c>
      <c r="N2042" s="2" t="s">
        <v>1226</v>
      </c>
    </row>
    <row r="2043" customFormat="false" ht="15" hidden="false" customHeight="false" outlineLevel="0" collapsed="false">
      <c r="A2043" s="2" t="n">
        <v>2042</v>
      </c>
      <c r="B2043" s="2" t="s">
        <v>4373</v>
      </c>
      <c r="C2043" s="2" t="s">
        <v>4374</v>
      </c>
      <c r="D2043" s="2"/>
      <c r="E2043" s="2" t="s">
        <v>1345</v>
      </c>
      <c r="F2043" s="3" t="n">
        <v>6.3E-005</v>
      </c>
      <c r="G2043" s="3" t="n">
        <f aca="false">SUM($F$2:F2043)</f>
        <v>0.935274</v>
      </c>
      <c r="H2043" s="4"/>
      <c r="I2043" s="5"/>
      <c r="J2043" s="4"/>
      <c r="K2043" s="5"/>
      <c r="L2043" s="6"/>
      <c r="M2043" s="5" t="str">
        <f aca="false">IF(AND(N(K2043)&gt;0,N(L2043)&gt;0),K2043/L2043,"")</f>
        <v/>
      </c>
      <c r="N2043" s="2" t="s">
        <v>1226</v>
      </c>
    </row>
    <row r="2044" customFormat="false" ht="15" hidden="false" customHeight="false" outlineLevel="0" collapsed="false">
      <c r="A2044" s="2" t="n">
        <v>2043</v>
      </c>
      <c r="B2044" s="2" t="s">
        <v>4375</v>
      </c>
      <c r="C2044" s="2" t="s">
        <v>4376</v>
      </c>
      <c r="D2044" s="2"/>
      <c r="E2044" s="2" t="s">
        <v>1050</v>
      </c>
      <c r="F2044" s="3" t="n">
        <v>6.3E-005</v>
      </c>
      <c r="G2044" s="3" t="n">
        <f aca="false">SUM($F$2:F2044)</f>
        <v>0.935337</v>
      </c>
      <c r="H2044" s="4"/>
      <c r="I2044" s="5"/>
      <c r="J2044" s="4"/>
      <c r="K2044" s="5"/>
      <c r="L2044" s="6"/>
      <c r="M2044" s="5" t="str">
        <f aca="false">IF(AND(N(K2044)&gt;0,N(L2044)&gt;0),K2044/L2044,"")</f>
        <v/>
      </c>
      <c r="N2044" s="2" t="s">
        <v>1226</v>
      </c>
    </row>
    <row r="2045" customFormat="false" ht="15" hidden="false" customHeight="false" outlineLevel="0" collapsed="false">
      <c r="A2045" s="2" t="n">
        <v>2044</v>
      </c>
      <c r="B2045" s="2" t="s">
        <v>4377</v>
      </c>
      <c r="C2045" s="2" t="s">
        <v>4378</v>
      </c>
      <c r="D2045" s="2"/>
      <c r="E2045" s="2" t="s">
        <v>17</v>
      </c>
      <c r="F2045" s="3" t="n">
        <v>6.2E-005</v>
      </c>
      <c r="G2045" s="3" t="n">
        <f aca="false">SUM($F$2:F2045)</f>
        <v>0.935399</v>
      </c>
      <c r="H2045" s="4"/>
      <c r="I2045" s="5"/>
      <c r="J2045" s="4"/>
      <c r="K2045" s="5"/>
      <c r="L2045" s="6"/>
      <c r="M2045" s="5" t="str">
        <f aca="false">IF(AND(N(K2045)&gt;0,N(L2045)&gt;0),K2045/L2045,"")</f>
        <v/>
      </c>
      <c r="N2045" s="2" t="s">
        <v>1226</v>
      </c>
    </row>
    <row r="2046" customFormat="false" ht="15" hidden="false" customHeight="false" outlineLevel="0" collapsed="false">
      <c r="A2046" s="2" t="n">
        <v>2045</v>
      </c>
      <c r="B2046" s="2" t="s">
        <v>4379</v>
      </c>
      <c r="C2046" s="2" t="s">
        <v>4380</v>
      </c>
      <c r="D2046" s="2"/>
      <c r="E2046" s="2" t="s">
        <v>826</v>
      </c>
      <c r="F2046" s="3" t="n">
        <v>6.2E-005</v>
      </c>
      <c r="G2046" s="3" t="n">
        <f aca="false">SUM($F$2:F2046)</f>
        <v>0.935461</v>
      </c>
      <c r="H2046" s="4"/>
      <c r="I2046" s="5"/>
      <c r="J2046" s="4"/>
      <c r="K2046" s="5"/>
      <c r="L2046" s="6"/>
      <c r="M2046" s="5" t="str">
        <f aca="false">IF(AND(N(K2046)&gt;0,N(L2046)&gt;0),K2046/L2046,"")</f>
        <v/>
      </c>
      <c r="N2046" s="2" t="s">
        <v>1226</v>
      </c>
    </row>
    <row r="2047" customFormat="false" ht="15" hidden="false" customHeight="false" outlineLevel="0" collapsed="false">
      <c r="A2047" s="2" t="n">
        <v>2046</v>
      </c>
      <c r="B2047" s="2" t="s">
        <v>4381</v>
      </c>
      <c r="C2047" s="2" t="s">
        <v>4382</v>
      </c>
      <c r="D2047" s="2"/>
      <c r="E2047" s="2" t="s">
        <v>289</v>
      </c>
      <c r="F2047" s="3" t="n">
        <v>6.2E-005</v>
      </c>
      <c r="G2047" s="3" t="n">
        <f aca="false">SUM($F$2:F2047)</f>
        <v>0.935523</v>
      </c>
      <c r="H2047" s="4"/>
      <c r="I2047" s="5"/>
      <c r="J2047" s="4"/>
      <c r="K2047" s="5"/>
      <c r="L2047" s="6"/>
      <c r="M2047" s="5" t="str">
        <f aca="false">IF(AND(N(K2047)&gt;0,N(L2047)&gt;0),K2047/L2047,"")</f>
        <v/>
      </c>
      <c r="N2047" s="2" t="s">
        <v>1226</v>
      </c>
    </row>
    <row r="2048" customFormat="false" ht="15" hidden="false" customHeight="false" outlineLevel="0" collapsed="false">
      <c r="A2048" s="2" t="n">
        <v>2047</v>
      </c>
      <c r="B2048" s="2" t="s">
        <v>4383</v>
      </c>
      <c r="C2048" s="2" t="s">
        <v>4384</v>
      </c>
      <c r="D2048" s="2"/>
      <c r="E2048" s="2" t="s">
        <v>52</v>
      </c>
      <c r="F2048" s="3" t="n">
        <v>6.2E-005</v>
      </c>
      <c r="G2048" s="3" t="n">
        <f aca="false">SUM($F$2:F2048)</f>
        <v>0.935585</v>
      </c>
      <c r="H2048" s="4"/>
      <c r="I2048" s="5"/>
      <c r="J2048" s="4"/>
      <c r="K2048" s="5"/>
      <c r="L2048" s="6"/>
      <c r="M2048" s="5" t="str">
        <f aca="false">IF(AND(N(K2048)&gt;0,N(L2048)&gt;0),K2048/L2048,"")</f>
        <v/>
      </c>
      <c r="N2048" s="2" t="s">
        <v>1226</v>
      </c>
    </row>
    <row r="2049" customFormat="false" ht="15" hidden="false" customHeight="false" outlineLevel="0" collapsed="false">
      <c r="A2049" s="2" t="n">
        <v>2048</v>
      </c>
      <c r="B2049" s="2" t="s">
        <v>4385</v>
      </c>
      <c r="C2049" s="2" t="s">
        <v>4386</v>
      </c>
      <c r="D2049" s="2"/>
      <c r="E2049" s="2" t="s">
        <v>334</v>
      </c>
      <c r="F2049" s="3" t="n">
        <v>6.2E-005</v>
      </c>
      <c r="G2049" s="3" t="n">
        <f aca="false">SUM($F$2:F2049)</f>
        <v>0.935647</v>
      </c>
      <c r="H2049" s="4"/>
      <c r="I2049" s="5"/>
      <c r="J2049" s="4"/>
      <c r="K2049" s="5"/>
      <c r="L2049" s="6"/>
      <c r="M2049" s="5" t="str">
        <f aca="false">IF(AND(N(K2049)&gt;0,N(L2049)&gt;0),K2049/L2049,"")</f>
        <v/>
      </c>
      <c r="N2049" s="2" t="s">
        <v>1226</v>
      </c>
    </row>
    <row r="2050" customFormat="false" ht="15" hidden="false" customHeight="false" outlineLevel="0" collapsed="false">
      <c r="A2050" s="2" t="n">
        <v>2049</v>
      </c>
      <c r="B2050" s="2" t="s">
        <v>4387</v>
      </c>
      <c r="C2050" s="2" t="s">
        <v>4388</v>
      </c>
      <c r="D2050" s="2"/>
      <c r="E2050" s="2" t="s">
        <v>17</v>
      </c>
      <c r="F2050" s="3" t="n">
        <v>6.2E-005</v>
      </c>
      <c r="G2050" s="3" t="n">
        <f aca="false">SUM($F$2:F2050)</f>
        <v>0.935709</v>
      </c>
      <c r="H2050" s="4"/>
      <c r="I2050" s="5"/>
      <c r="J2050" s="4"/>
      <c r="K2050" s="5"/>
      <c r="L2050" s="6"/>
      <c r="M2050" s="5" t="str">
        <f aca="false">IF(AND(N(K2050)&gt;0,N(L2050)&gt;0),K2050/L2050,"")</f>
        <v/>
      </c>
      <c r="N2050" s="2" t="s">
        <v>1226</v>
      </c>
    </row>
    <row r="2051" customFormat="false" ht="15" hidden="false" customHeight="false" outlineLevel="0" collapsed="false">
      <c r="A2051" s="2" t="n">
        <v>2050</v>
      </c>
      <c r="B2051" s="2" t="s">
        <v>4389</v>
      </c>
      <c r="C2051" s="2" t="s">
        <v>4390</v>
      </c>
      <c r="D2051" s="2"/>
      <c r="E2051" s="2" t="s">
        <v>289</v>
      </c>
      <c r="F2051" s="3" t="n">
        <v>6.2E-005</v>
      </c>
      <c r="G2051" s="3" t="n">
        <f aca="false">SUM($F$2:F2051)</f>
        <v>0.935771</v>
      </c>
      <c r="H2051" s="4"/>
      <c r="I2051" s="5"/>
      <c r="J2051" s="4"/>
      <c r="K2051" s="5"/>
      <c r="L2051" s="6"/>
      <c r="M2051" s="5" t="str">
        <f aca="false">IF(AND(N(K2051)&gt;0,N(L2051)&gt;0),K2051/L2051,"")</f>
        <v/>
      </c>
      <c r="N2051" s="2" t="s">
        <v>1226</v>
      </c>
    </row>
    <row r="2052" customFormat="false" ht="15" hidden="false" customHeight="false" outlineLevel="0" collapsed="false">
      <c r="A2052" s="2" t="n">
        <v>2051</v>
      </c>
      <c r="B2052" s="2" t="s">
        <v>4391</v>
      </c>
      <c r="C2052" s="2" t="s">
        <v>4392</v>
      </c>
      <c r="D2052" s="2"/>
      <c r="E2052" s="2" t="s">
        <v>2055</v>
      </c>
      <c r="F2052" s="3" t="n">
        <v>6.2E-005</v>
      </c>
      <c r="G2052" s="3" t="n">
        <f aca="false">SUM($F$2:F2052)</f>
        <v>0.935833</v>
      </c>
      <c r="H2052" s="4"/>
      <c r="I2052" s="5"/>
      <c r="J2052" s="4"/>
      <c r="K2052" s="5"/>
      <c r="L2052" s="6"/>
      <c r="M2052" s="5" t="str">
        <f aca="false">IF(AND(N(K2052)&gt;0,N(L2052)&gt;0),K2052/L2052,"")</f>
        <v/>
      </c>
      <c r="N2052" s="2" t="s">
        <v>1226</v>
      </c>
    </row>
    <row r="2053" customFormat="false" ht="15" hidden="false" customHeight="false" outlineLevel="0" collapsed="false">
      <c r="A2053" s="2" t="n">
        <v>2052</v>
      </c>
      <c r="B2053" s="2" t="s">
        <v>4393</v>
      </c>
      <c r="C2053" s="2" t="s">
        <v>4394</v>
      </c>
      <c r="D2053" s="2"/>
      <c r="E2053" s="2" t="s">
        <v>1345</v>
      </c>
      <c r="F2053" s="3" t="n">
        <v>6.2E-005</v>
      </c>
      <c r="G2053" s="3" t="n">
        <f aca="false">SUM($F$2:F2053)</f>
        <v>0.935895</v>
      </c>
      <c r="H2053" s="4"/>
      <c r="I2053" s="5"/>
      <c r="J2053" s="4"/>
      <c r="K2053" s="5"/>
      <c r="L2053" s="6"/>
      <c r="M2053" s="5" t="str">
        <f aca="false">IF(AND(N(K2053)&gt;0,N(L2053)&gt;0),K2053/L2053,"")</f>
        <v/>
      </c>
      <c r="N2053" s="2" t="s">
        <v>1226</v>
      </c>
    </row>
    <row r="2054" customFormat="false" ht="15" hidden="false" customHeight="false" outlineLevel="0" collapsed="false">
      <c r="A2054" s="2" t="n">
        <v>2053</v>
      </c>
      <c r="B2054" s="2" t="s">
        <v>4395</v>
      </c>
      <c r="C2054" s="2" t="s">
        <v>4396</v>
      </c>
      <c r="D2054" s="2"/>
      <c r="E2054" s="2" t="s">
        <v>1245</v>
      </c>
      <c r="F2054" s="3" t="n">
        <v>6.2E-005</v>
      </c>
      <c r="G2054" s="3" t="n">
        <f aca="false">SUM($F$2:F2054)</f>
        <v>0.935957</v>
      </c>
      <c r="H2054" s="4"/>
      <c r="I2054" s="5"/>
      <c r="J2054" s="4"/>
      <c r="K2054" s="5"/>
      <c r="L2054" s="6"/>
      <c r="M2054" s="5" t="str">
        <f aca="false">IF(AND(N(K2054)&gt;0,N(L2054)&gt;0),K2054/L2054,"")</f>
        <v/>
      </c>
      <c r="N2054" s="2" t="s">
        <v>1226</v>
      </c>
    </row>
    <row r="2055" customFormat="false" ht="15" hidden="false" customHeight="false" outlineLevel="0" collapsed="false">
      <c r="A2055" s="2" t="n">
        <v>2054</v>
      </c>
      <c r="B2055" s="2" t="s">
        <v>4397</v>
      </c>
      <c r="C2055" s="2" t="s">
        <v>4398</v>
      </c>
      <c r="D2055" s="2"/>
      <c r="E2055" s="2" t="s">
        <v>289</v>
      </c>
      <c r="F2055" s="3" t="n">
        <v>6.2E-005</v>
      </c>
      <c r="G2055" s="3" t="n">
        <f aca="false">SUM($F$2:F2055)</f>
        <v>0.936019</v>
      </c>
      <c r="H2055" s="4"/>
      <c r="I2055" s="5"/>
      <c r="J2055" s="4"/>
      <c r="K2055" s="5"/>
      <c r="L2055" s="6"/>
      <c r="M2055" s="5" t="str">
        <f aca="false">IF(AND(N(K2055)&gt;0,N(L2055)&gt;0),K2055/L2055,"")</f>
        <v/>
      </c>
      <c r="N2055" s="2" t="s">
        <v>1226</v>
      </c>
    </row>
    <row r="2056" customFormat="false" ht="15" hidden="false" customHeight="false" outlineLevel="0" collapsed="false">
      <c r="A2056" s="2" t="n">
        <v>2055</v>
      </c>
      <c r="B2056" s="2" t="s">
        <v>4399</v>
      </c>
      <c r="C2056" s="2" t="s">
        <v>4400</v>
      </c>
      <c r="D2056" s="2"/>
      <c r="E2056" s="2" t="s">
        <v>25</v>
      </c>
      <c r="F2056" s="3" t="n">
        <v>6.2E-005</v>
      </c>
      <c r="G2056" s="3" t="n">
        <f aca="false">SUM($F$2:F2056)</f>
        <v>0.936081</v>
      </c>
      <c r="H2056" s="4"/>
      <c r="I2056" s="5"/>
      <c r="J2056" s="4"/>
      <c r="K2056" s="5"/>
      <c r="L2056" s="6"/>
      <c r="M2056" s="5" t="str">
        <f aca="false">IF(AND(N(K2056)&gt;0,N(L2056)&gt;0),K2056/L2056,"")</f>
        <v/>
      </c>
      <c r="N2056" s="2" t="s">
        <v>1226</v>
      </c>
    </row>
    <row r="2057" customFormat="false" ht="15" hidden="false" customHeight="false" outlineLevel="0" collapsed="false">
      <c r="A2057" s="2" t="n">
        <v>2056</v>
      </c>
      <c r="B2057" s="2" t="s">
        <v>4401</v>
      </c>
      <c r="C2057" s="2" t="s">
        <v>4402</v>
      </c>
      <c r="D2057" s="2"/>
      <c r="E2057" s="2" t="s">
        <v>25</v>
      </c>
      <c r="F2057" s="3" t="n">
        <v>6.2E-005</v>
      </c>
      <c r="G2057" s="3" t="n">
        <f aca="false">SUM($F$2:F2057)</f>
        <v>0.936143</v>
      </c>
      <c r="H2057" s="4"/>
      <c r="I2057" s="5"/>
      <c r="J2057" s="4"/>
      <c r="K2057" s="5"/>
      <c r="L2057" s="6"/>
      <c r="M2057" s="5" t="str">
        <f aca="false">IF(AND(N(K2057)&gt;0,N(L2057)&gt;0),K2057/L2057,"")</f>
        <v/>
      </c>
      <c r="N2057" s="2" t="s">
        <v>1226</v>
      </c>
    </row>
    <row r="2058" customFormat="false" ht="15" hidden="false" customHeight="false" outlineLevel="0" collapsed="false">
      <c r="A2058" s="2" t="n">
        <v>2057</v>
      </c>
      <c r="B2058" s="2" t="s">
        <v>4403</v>
      </c>
      <c r="C2058" s="2" t="s">
        <v>4404</v>
      </c>
      <c r="D2058" s="2"/>
      <c r="E2058" s="2" t="s">
        <v>296</v>
      </c>
      <c r="F2058" s="3" t="n">
        <v>6.2E-005</v>
      </c>
      <c r="G2058" s="3" t="n">
        <f aca="false">SUM($F$2:F2058)</f>
        <v>0.936205</v>
      </c>
      <c r="H2058" s="4"/>
      <c r="I2058" s="5"/>
      <c r="J2058" s="4"/>
      <c r="K2058" s="5"/>
      <c r="L2058" s="6"/>
      <c r="M2058" s="5" t="str">
        <f aca="false">IF(AND(N(K2058)&gt;0,N(L2058)&gt;0),K2058/L2058,"")</f>
        <v/>
      </c>
      <c r="N2058" s="2" t="s">
        <v>1226</v>
      </c>
    </row>
    <row r="2059" customFormat="false" ht="15" hidden="false" customHeight="false" outlineLevel="0" collapsed="false">
      <c r="A2059" s="2" t="n">
        <v>2058</v>
      </c>
      <c r="B2059" s="2" t="s">
        <v>4405</v>
      </c>
      <c r="C2059" s="2" t="s">
        <v>4406</v>
      </c>
      <c r="D2059" s="2"/>
      <c r="E2059" s="2" t="s">
        <v>17</v>
      </c>
      <c r="F2059" s="3" t="n">
        <v>6.2E-005</v>
      </c>
      <c r="G2059" s="3" t="n">
        <f aca="false">SUM($F$2:F2059)</f>
        <v>0.936267</v>
      </c>
      <c r="H2059" s="4"/>
      <c r="I2059" s="5"/>
      <c r="J2059" s="4"/>
      <c r="K2059" s="5"/>
      <c r="L2059" s="6"/>
      <c r="M2059" s="5" t="str">
        <f aca="false">IF(AND(N(K2059)&gt;0,N(L2059)&gt;0),K2059/L2059,"")</f>
        <v/>
      </c>
      <c r="N2059" s="2" t="s">
        <v>1226</v>
      </c>
    </row>
    <row r="2060" customFormat="false" ht="15" hidden="false" customHeight="false" outlineLevel="0" collapsed="false">
      <c r="A2060" s="2" t="n">
        <v>2059</v>
      </c>
      <c r="B2060" s="2" t="s">
        <v>4407</v>
      </c>
      <c r="C2060" s="2" t="s">
        <v>4408</v>
      </c>
      <c r="D2060" s="2"/>
      <c r="E2060" s="2" t="s">
        <v>289</v>
      </c>
      <c r="F2060" s="3" t="n">
        <v>6.2E-005</v>
      </c>
      <c r="G2060" s="3" t="n">
        <f aca="false">SUM($F$2:F2060)</f>
        <v>0.936329</v>
      </c>
      <c r="H2060" s="4"/>
      <c r="I2060" s="5"/>
      <c r="J2060" s="4"/>
      <c r="K2060" s="5"/>
      <c r="L2060" s="6"/>
      <c r="M2060" s="5" t="str">
        <f aca="false">IF(AND(N(K2060)&gt;0,N(L2060)&gt;0),K2060/L2060,"")</f>
        <v/>
      </c>
      <c r="N2060" s="2" t="s">
        <v>1226</v>
      </c>
    </row>
    <row r="2061" customFormat="false" ht="15" hidden="false" customHeight="false" outlineLevel="0" collapsed="false">
      <c r="A2061" s="2" t="n">
        <v>2060</v>
      </c>
      <c r="B2061" s="2" t="s">
        <v>4409</v>
      </c>
      <c r="C2061" s="2" t="s">
        <v>4410</v>
      </c>
      <c r="D2061" s="2"/>
      <c r="E2061" s="2" t="s">
        <v>38</v>
      </c>
      <c r="F2061" s="3" t="n">
        <v>6.2E-005</v>
      </c>
      <c r="G2061" s="3" t="n">
        <f aca="false">SUM($F$2:F2061)</f>
        <v>0.936391</v>
      </c>
      <c r="H2061" s="4"/>
      <c r="I2061" s="5"/>
      <c r="J2061" s="4"/>
      <c r="K2061" s="5"/>
      <c r="L2061" s="6"/>
      <c r="M2061" s="5" t="str">
        <f aca="false">IF(AND(N(K2061)&gt;0,N(L2061)&gt;0),K2061/L2061,"")</f>
        <v/>
      </c>
      <c r="N2061" s="2" t="s">
        <v>1226</v>
      </c>
    </row>
    <row r="2062" customFormat="false" ht="15" hidden="false" customHeight="false" outlineLevel="0" collapsed="false">
      <c r="A2062" s="2" t="n">
        <v>2061</v>
      </c>
      <c r="B2062" s="2" t="s">
        <v>4411</v>
      </c>
      <c r="C2062" s="2" t="s">
        <v>4412</v>
      </c>
      <c r="D2062" s="2"/>
      <c r="E2062" s="2" t="s">
        <v>52</v>
      </c>
      <c r="F2062" s="3" t="n">
        <v>6.2E-005</v>
      </c>
      <c r="G2062" s="3" t="n">
        <f aca="false">SUM($F$2:F2062)</f>
        <v>0.936453</v>
      </c>
      <c r="H2062" s="4"/>
      <c r="I2062" s="5"/>
      <c r="J2062" s="4"/>
      <c r="K2062" s="5"/>
      <c r="L2062" s="6"/>
      <c r="M2062" s="5" t="str">
        <f aca="false">IF(AND(N(K2062)&gt;0,N(L2062)&gt;0),K2062/L2062,"")</f>
        <v/>
      </c>
      <c r="N2062" s="2" t="s">
        <v>1226</v>
      </c>
    </row>
    <row r="2063" customFormat="false" ht="15" hidden="false" customHeight="false" outlineLevel="0" collapsed="false">
      <c r="A2063" s="2" t="n">
        <v>2062</v>
      </c>
      <c r="B2063" s="2" t="s">
        <v>4413</v>
      </c>
      <c r="C2063" s="2" t="s">
        <v>4414</v>
      </c>
      <c r="D2063" s="2"/>
      <c r="E2063" s="2" t="s">
        <v>33</v>
      </c>
      <c r="F2063" s="3" t="n">
        <v>6.2E-005</v>
      </c>
      <c r="G2063" s="3" t="n">
        <f aca="false">SUM($F$2:F2063)</f>
        <v>0.936515</v>
      </c>
      <c r="H2063" s="4"/>
      <c r="I2063" s="5"/>
      <c r="J2063" s="4"/>
      <c r="K2063" s="5"/>
      <c r="L2063" s="6"/>
      <c r="M2063" s="5" t="str">
        <f aca="false">IF(AND(N(K2063)&gt;0,N(L2063)&gt;0),K2063/L2063,"")</f>
        <v/>
      </c>
      <c r="N2063" s="2" t="s">
        <v>1226</v>
      </c>
    </row>
    <row r="2064" customFormat="false" ht="15" hidden="false" customHeight="false" outlineLevel="0" collapsed="false">
      <c r="A2064" s="2" t="n">
        <v>2063</v>
      </c>
      <c r="B2064" s="2" t="s">
        <v>4415</v>
      </c>
      <c r="C2064" s="2" t="s">
        <v>4416</v>
      </c>
      <c r="D2064" s="2"/>
      <c r="E2064" s="2" t="s">
        <v>52</v>
      </c>
      <c r="F2064" s="3" t="n">
        <v>6.2E-005</v>
      </c>
      <c r="G2064" s="3" t="n">
        <f aca="false">SUM($F$2:F2064)</f>
        <v>0.936577</v>
      </c>
      <c r="H2064" s="4"/>
      <c r="I2064" s="5"/>
      <c r="J2064" s="4"/>
      <c r="K2064" s="5"/>
      <c r="L2064" s="6"/>
      <c r="M2064" s="5" t="str">
        <f aca="false">IF(AND(N(K2064)&gt;0,N(L2064)&gt;0),K2064/L2064,"")</f>
        <v/>
      </c>
      <c r="N2064" s="2" t="s">
        <v>1226</v>
      </c>
    </row>
    <row r="2065" customFormat="false" ht="15" hidden="false" customHeight="false" outlineLevel="0" collapsed="false">
      <c r="A2065" s="2" t="n">
        <v>2064</v>
      </c>
      <c r="B2065" s="2" t="s">
        <v>4417</v>
      </c>
      <c r="C2065" s="2" t="s">
        <v>4418</v>
      </c>
      <c r="D2065" s="2"/>
      <c r="E2065" s="2" t="s">
        <v>765</v>
      </c>
      <c r="F2065" s="3" t="n">
        <v>6.2E-005</v>
      </c>
      <c r="G2065" s="3" t="n">
        <f aca="false">SUM($F$2:F2065)</f>
        <v>0.936639</v>
      </c>
      <c r="H2065" s="4"/>
      <c r="I2065" s="5"/>
      <c r="J2065" s="4"/>
      <c r="K2065" s="5"/>
      <c r="L2065" s="6"/>
      <c r="M2065" s="5" t="str">
        <f aca="false">IF(AND(N(K2065)&gt;0,N(L2065)&gt;0),K2065/L2065,"")</f>
        <v/>
      </c>
      <c r="N2065" s="2" t="s">
        <v>1226</v>
      </c>
    </row>
    <row r="2066" customFormat="false" ht="15" hidden="false" customHeight="false" outlineLevel="0" collapsed="false">
      <c r="A2066" s="2" t="n">
        <v>2065</v>
      </c>
      <c r="B2066" s="2" t="s">
        <v>301</v>
      </c>
      <c r="C2066" s="2" t="s">
        <v>4419</v>
      </c>
      <c r="D2066" s="2"/>
      <c r="E2066" s="2" t="s">
        <v>29</v>
      </c>
      <c r="F2066" s="3" t="n">
        <v>6.2E-005</v>
      </c>
      <c r="G2066" s="3" t="n">
        <f aca="false">SUM($F$2:F2066)</f>
        <v>0.936701</v>
      </c>
      <c r="H2066" s="4"/>
      <c r="I2066" s="5"/>
      <c r="J2066" s="4"/>
      <c r="K2066" s="5"/>
      <c r="L2066" s="6"/>
      <c r="M2066" s="5" t="str">
        <f aca="false">IF(AND(N(K2066)&gt;0,N(L2066)&gt;0),K2066/L2066,"")</f>
        <v/>
      </c>
      <c r="N2066" s="2" t="s">
        <v>34</v>
      </c>
    </row>
    <row r="2067" customFormat="false" ht="15" hidden="false" customHeight="false" outlineLevel="0" collapsed="false">
      <c r="A2067" s="2" t="n">
        <v>2066</v>
      </c>
      <c r="B2067" s="2" t="s">
        <v>4420</v>
      </c>
      <c r="C2067" s="2" t="s">
        <v>4421</v>
      </c>
      <c r="D2067" s="2"/>
      <c r="E2067" s="2" t="s">
        <v>25</v>
      </c>
      <c r="F2067" s="3" t="n">
        <v>6.1E-005</v>
      </c>
      <c r="G2067" s="3" t="n">
        <f aca="false">SUM($F$2:F2067)</f>
        <v>0.936762</v>
      </c>
      <c r="H2067" s="4"/>
      <c r="I2067" s="5"/>
      <c r="J2067" s="4"/>
      <c r="K2067" s="5"/>
      <c r="L2067" s="6"/>
      <c r="M2067" s="5" t="str">
        <f aca="false">IF(AND(N(K2067)&gt;0,N(L2067)&gt;0),K2067/L2067,"")</f>
        <v/>
      </c>
      <c r="N2067" s="2" t="s">
        <v>1226</v>
      </c>
    </row>
    <row r="2068" customFormat="false" ht="15" hidden="false" customHeight="false" outlineLevel="0" collapsed="false">
      <c r="A2068" s="2" t="n">
        <v>2067</v>
      </c>
      <c r="B2068" s="2" t="s">
        <v>4422</v>
      </c>
      <c r="C2068" s="2" t="s">
        <v>4423</v>
      </c>
      <c r="D2068" s="2"/>
      <c r="E2068" s="2" t="s">
        <v>614</v>
      </c>
      <c r="F2068" s="3" t="n">
        <v>6.1E-005</v>
      </c>
      <c r="G2068" s="3" t="n">
        <f aca="false">SUM($F$2:F2068)</f>
        <v>0.936823</v>
      </c>
      <c r="H2068" s="4"/>
      <c r="I2068" s="5"/>
      <c r="J2068" s="4"/>
      <c r="K2068" s="5"/>
      <c r="L2068" s="6"/>
      <c r="M2068" s="5" t="str">
        <f aca="false">IF(AND(N(K2068)&gt;0,N(L2068)&gt;0),K2068/L2068,"")</f>
        <v/>
      </c>
      <c r="N2068" s="2" t="s">
        <v>1226</v>
      </c>
    </row>
    <row r="2069" customFormat="false" ht="15" hidden="false" customHeight="false" outlineLevel="0" collapsed="false">
      <c r="A2069" s="2" t="n">
        <v>2068</v>
      </c>
      <c r="B2069" s="2" t="s">
        <v>4424</v>
      </c>
      <c r="C2069" s="2" t="s">
        <v>4425</v>
      </c>
      <c r="D2069" s="2"/>
      <c r="E2069" s="2" t="s">
        <v>289</v>
      </c>
      <c r="F2069" s="3" t="n">
        <v>6.1E-005</v>
      </c>
      <c r="G2069" s="3" t="n">
        <f aca="false">SUM($F$2:F2069)</f>
        <v>0.936884</v>
      </c>
      <c r="H2069" s="4"/>
      <c r="I2069" s="5"/>
      <c r="J2069" s="4"/>
      <c r="K2069" s="5"/>
      <c r="L2069" s="6"/>
      <c r="M2069" s="5" t="str">
        <f aca="false">IF(AND(N(K2069)&gt;0,N(L2069)&gt;0),K2069/L2069,"")</f>
        <v/>
      </c>
      <c r="N2069" s="2" t="s">
        <v>1226</v>
      </c>
    </row>
    <row r="2070" customFormat="false" ht="15" hidden="false" customHeight="false" outlineLevel="0" collapsed="false">
      <c r="A2070" s="2" t="n">
        <v>2069</v>
      </c>
      <c r="B2070" s="2" t="s">
        <v>4426</v>
      </c>
      <c r="C2070" s="2" t="s">
        <v>4427</v>
      </c>
      <c r="D2070" s="2"/>
      <c r="E2070" s="2" t="s">
        <v>1019</v>
      </c>
      <c r="F2070" s="3" t="n">
        <v>6.1E-005</v>
      </c>
      <c r="G2070" s="3" t="n">
        <f aca="false">SUM($F$2:F2070)</f>
        <v>0.936945</v>
      </c>
      <c r="H2070" s="4"/>
      <c r="I2070" s="5"/>
      <c r="J2070" s="4"/>
      <c r="K2070" s="5"/>
      <c r="L2070" s="6"/>
      <c r="M2070" s="5" t="str">
        <f aca="false">IF(AND(N(K2070)&gt;0,N(L2070)&gt;0),K2070/L2070,"")</f>
        <v/>
      </c>
      <c r="N2070" s="2" t="s">
        <v>1226</v>
      </c>
    </row>
    <row r="2071" customFormat="false" ht="15" hidden="false" customHeight="false" outlineLevel="0" collapsed="false">
      <c r="A2071" s="2" t="n">
        <v>2070</v>
      </c>
      <c r="B2071" s="2" t="s">
        <v>4428</v>
      </c>
      <c r="C2071" s="2" t="s">
        <v>4429</v>
      </c>
      <c r="D2071" s="2"/>
      <c r="E2071" s="2" t="s">
        <v>29</v>
      </c>
      <c r="F2071" s="3" t="n">
        <v>6.1E-005</v>
      </c>
      <c r="G2071" s="3" t="n">
        <f aca="false">SUM($F$2:F2071)</f>
        <v>0.937006</v>
      </c>
      <c r="H2071" s="4"/>
      <c r="I2071" s="5"/>
      <c r="J2071" s="4"/>
      <c r="K2071" s="5"/>
      <c r="L2071" s="6"/>
      <c r="M2071" s="5" t="str">
        <f aca="false">IF(AND(N(K2071)&gt;0,N(L2071)&gt;0),K2071/L2071,"")</f>
        <v/>
      </c>
      <c r="N2071" s="2" t="s">
        <v>1226</v>
      </c>
    </row>
    <row r="2072" customFormat="false" ht="15" hidden="false" customHeight="false" outlineLevel="0" collapsed="false">
      <c r="A2072" s="2" t="n">
        <v>2071</v>
      </c>
      <c r="B2072" s="2" t="s">
        <v>4430</v>
      </c>
      <c r="C2072" s="2" t="s">
        <v>4431</v>
      </c>
      <c r="D2072" s="2"/>
      <c r="E2072" s="2" t="s">
        <v>29</v>
      </c>
      <c r="F2072" s="3" t="n">
        <v>6.1E-005</v>
      </c>
      <c r="G2072" s="3" t="n">
        <f aca="false">SUM($F$2:F2072)</f>
        <v>0.937067</v>
      </c>
      <c r="H2072" s="4"/>
      <c r="I2072" s="5"/>
      <c r="J2072" s="4"/>
      <c r="K2072" s="5"/>
      <c r="L2072" s="6"/>
      <c r="M2072" s="5" t="str">
        <f aca="false">IF(AND(N(K2072)&gt;0,N(L2072)&gt;0),K2072/L2072,"")</f>
        <v/>
      </c>
      <c r="N2072" s="2" t="s">
        <v>1226</v>
      </c>
    </row>
    <row r="2073" customFormat="false" ht="15" hidden="false" customHeight="false" outlineLevel="0" collapsed="false">
      <c r="A2073" s="2" t="n">
        <v>2072</v>
      </c>
      <c r="B2073" s="2" t="s">
        <v>4432</v>
      </c>
      <c r="C2073" s="2" t="s">
        <v>4433</v>
      </c>
      <c r="D2073" s="2"/>
      <c r="E2073" s="2" t="s">
        <v>25</v>
      </c>
      <c r="F2073" s="3" t="n">
        <v>6.1E-005</v>
      </c>
      <c r="G2073" s="3" t="n">
        <f aca="false">SUM($F$2:F2073)</f>
        <v>0.937128</v>
      </c>
      <c r="H2073" s="4"/>
      <c r="I2073" s="5"/>
      <c r="J2073" s="4"/>
      <c r="K2073" s="5"/>
      <c r="L2073" s="6"/>
      <c r="M2073" s="5" t="str">
        <f aca="false">IF(AND(N(K2073)&gt;0,N(L2073)&gt;0),K2073/L2073,"")</f>
        <v/>
      </c>
      <c r="N2073" s="2" t="s">
        <v>1226</v>
      </c>
    </row>
    <row r="2074" customFormat="false" ht="15" hidden="false" customHeight="false" outlineLevel="0" collapsed="false">
      <c r="A2074" s="2" t="n">
        <v>2073</v>
      </c>
      <c r="B2074" s="2" t="s">
        <v>4434</v>
      </c>
      <c r="C2074" s="2" t="s">
        <v>4435</v>
      </c>
      <c r="D2074" s="2"/>
      <c r="E2074" s="2" t="s">
        <v>52</v>
      </c>
      <c r="F2074" s="3" t="n">
        <v>6.1E-005</v>
      </c>
      <c r="G2074" s="3" t="n">
        <f aca="false">SUM($F$2:F2074)</f>
        <v>0.937189</v>
      </c>
      <c r="H2074" s="4"/>
      <c r="I2074" s="5"/>
      <c r="J2074" s="4"/>
      <c r="K2074" s="5"/>
      <c r="L2074" s="6"/>
      <c r="M2074" s="5" t="str">
        <f aca="false">IF(AND(N(K2074)&gt;0,N(L2074)&gt;0),K2074/L2074,"")</f>
        <v/>
      </c>
      <c r="N2074" s="2" t="s">
        <v>1226</v>
      </c>
    </row>
    <row r="2075" customFormat="false" ht="15" hidden="false" customHeight="false" outlineLevel="0" collapsed="false">
      <c r="A2075" s="2" t="n">
        <v>2074</v>
      </c>
      <c r="B2075" s="2" t="s">
        <v>4436</v>
      </c>
      <c r="C2075" s="2" t="s">
        <v>4437</v>
      </c>
      <c r="D2075" s="2"/>
      <c r="E2075" s="2" t="s">
        <v>38</v>
      </c>
      <c r="F2075" s="3" t="n">
        <v>6.1E-005</v>
      </c>
      <c r="G2075" s="3" t="n">
        <f aca="false">SUM($F$2:F2075)</f>
        <v>0.93725</v>
      </c>
      <c r="H2075" s="4"/>
      <c r="I2075" s="5"/>
      <c r="J2075" s="4"/>
      <c r="K2075" s="5"/>
      <c r="L2075" s="6"/>
      <c r="M2075" s="5" t="str">
        <f aca="false">IF(AND(N(K2075)&gt;0,N(L2075)&gt;0),K2075/L2075,"")</f>
        <v/>
      </c>
      <c r="N2075" s="2" t="s">
        <v>1226</v>
      </c>
    </row>
    <row r="2076" customFormat="false" ht="15" hidden="false" customHeight="false" outlineLevel="0" collapsed="false">
      <c r="A2076" s="2" t="n">
        <v>2075</v>
      </c>
      <c r="B2076" s="2" t="s">
        <v>4438</v>
      </c>
      <c r="C2076" s="2" t="s">
        <v>4439</v>
      </c>
      <c r="D2076" s="2"/>
      <c r="E2076" s="2" t="s">
        <v>700</v>
      </c>
      <c r="F2076" s="3" t="n">
        <v>6.1E-005</v>
      </c>
      <c r="G2076" s="3" t="n">
        <f aca="false">SUM($F$2:F2076)</f>
        <v>0.937311</v>
      </c>
      <c r="H2076" s="4"/>
      <c r="I2076" s="5"/>
      <c r="J2076" s="4"/>
      <c r="K2076" s="5"/>
      <c r="L2076" s="6"/>
      <c r="M2076" s="5" t="str">
        <f aca="false">IF(AND(N(K2076)&gt;0,N(L2076)&gt;0),K2076/L2076,"")</f>
        <v/>
      </c>
      <c r="N2076" s="2" t="s">
        <v>1226</v>
      </c>
    </row>
    <row r="2077" customFormat="false" ht="15" hidden="false" customHeight="false" outlineLevel="0" collapsed="false">
      <c r="A2077" s="2" t="n">
        <v>2076</v>
      </c>
      <c r="B2077" s="2" t="s">
        <v>4440</v>
      </c>
      <c r="C2077" s="2" t="s">
        <v>4441</v>
      </c>
      <c r="D2077" s="2"/>
      <c r="E2077" s="2" t="s">
        <v>38</v>
      </c>
      <c r="F2077" s="3" t="n">
        <v>6.1E-005</v>
      </c>
      <c r="G2077" s="3" t="n">
        <f aca="false">SUM($F$2:F2077)</f>
        <v>0.937372</v>
      </c>
      <c r="H2077" s="4"/>
      <c r="I2077" s="5"/>
      <c r="J2077" s="4"/>
      <c r="K2077" s="5"/>
      <c r="L2077" s="6"/>
      <c r="M2077" s="5" t="str">
        <f aca="false">IF(AND(N(K2077)&gt;0,N(L2077)&gt;0),K2077/L2077,"")</f>
        <v/>
      </c>
      <c r="N2077" s="2" t="s">
        <v>1226</v>
      </c>
    </row>
    <row r="2078" customFormat="false" ht="15" hidden="false" customHeight="false" outlineLevel="0" collapsed="false">
      <c r="A2078" s="2" t="n">
        <v>2077</v>
      </c>
      <c r="B2078" s="2" t="s">
        <v>4442</v>
      </c>
      <c r="C2078" s="2" t="s">
        <v>4443</v>
      </c>
      <c r="D2078" s="2"/>
      <c r="E2078" s="2" t="s">
        <v>33</v>
      </c>
      <c r="F2078" s="3" t="n">
        <v>6.1E-005</v>
      </c>
      <c r="G2078" s="3" t="n">
        <f aca="false">SUM($F$2:F2078)</f>
        <v>0.937433</v>
      </c>
      <c r="H2078" s="4"/>
      <c r="I2078" s="5"/>
      <c r="J2078" s="4"/>
      <c r="K2078" s="5"/>
      <c r="L2078" s="6"/>
      <c r="M2078" s="5" t="str">
        <f aca="false">IF(AND(N(K2078)&gt;0,N(L2078)&gt;0),K2078/L2078,"")</f>
        <v/>
      </c>
      <c r="N2078" s="2" t="s">
        <v>1226</v>
      </c>
    </row>
    <row r="2079" customFormat="false" ht="15" hidden="false" customHeight="false" outlineLevel="0" collapsed="false">
      <c r="A2079" s="2" t="n">
        <v>2078</v>
      </c>
      <c r="B2079" s="2" t="s">
        <v>4444</v>
      </c>
      <c r="C2079" s="2" t="s">
        <v>4445</v>
      </c>
      <c r="D2079" s="2"/>
      <c r="E2079" s="2" t="s">
        <v>289</v>
      </c>
      <c r="F2079" s="3" t="n">
        <v>6.1E-005</v>
      </c>
      <c r="G2079" s="3" t="n">
        <f aca="false">SUM($F$2:F2079)</f>
        <v>0.937494</v>
      </c>
      <c r="H2079" s="4"/>
      <c r="I2079" s="5"/>
      <c r="J2079" s="4"/>
      <c r="K2079" s="5"/>
      <c r="L2079" s="6"/>
      <c r="M2079" s="5" t="str">
        <f aca="false">IF(AND(N(K2079)&gt;0,N(L2079)&gt;0),K2079/L2079,"")</f>
        <v/>
      </c>
      <c r="N2079" s="2" t="s">
        <v>1226</v>
      </c>
    </row>
    <row r="2080" customFormat="false" ht="15" hidden="false" customHeight="false" outlineLevel="0" collapsed="false">
      <c r="A2080" s="2" t="n">
        <v>2079</v>
      </c>
      <c r="B2080" s="2" t="s">
        <v>4446</v>
      </c>
      <c r="C2080" s="2" t="s">
        <v>4447</v>
      </c>
      <c r="D2080" s="2"/>
      <c r="E2080" s="2" t="s">
        <v>48</v>
      </c>
      <c r="F2080" s="3" t="n">
        <v>6.1E-005</v>
      </c>
      <c r="G2080" s="3" t="n">
        <f aca="false">SUM($F$2:F2080)</f>
        <v>0.937555</v>
      </c>
      <c r="H2080" s="4"/>
      <c r="I2080" s="5"/>
      <c r="J2080" s="4"/>
      <c r="K2080" s="5"/>
      <c r="L2080" s="6"/>
      <c r="M2080" s="5" t="str">
        <f aca="false">IF(AND(N(K2080)&gt;0,N(L2080)&gt;0),K2080/L2080,"")</f>
        <v/>
      </c>
      <c r="N2080" s="2" t="s">
        <v>1226</v>
      </c>
    </row>
    <row r="2081" customFormat="false" ht="15" hidden="false" customHeight="false" outlineLevel="0" collapsed="false">
      <c r="A2081" s="2" t="n">
        <v>2080</v>
      </c>
      <c r="B2081" s="2" t="s">
        <v>4448</v>
      </c>
      <c r="C2081" s="2" t="s">
        <v>4449</v>
      </c>
      <c r="D2081" s="2"/>
      <c r="E2081" s="2" t="s">
        <v>52</v>
      </c>
      <c r="F2081" s="3" t="n">
        <v>6.1E-005</v>
      </c>
      <c r="G2081" s="3" t="n">
        <f aca="false">SUM($F$2:F2081)</f>
        <v>0.937616</v>
      </c>
      <c r="H2081" s="4"/>
      <c r="I2081" s="5"/>
      <c r="J2081" s="4"/>
      <c r="K2081" s="5"/>
      <c r="L2081" s="6"/>
      <c r="M2081" s="5" t="str">
        <f aca="false">IF(AND(N(K2081)&gt;0,N(L2081)&gt;0),K2081/L2081,"")</f>
        <v/>
      </c>
      <c r="N2081" s="2" t="s">
        <v>1226</v>
      </c>
    </row>
    <row r="2082" customFormat="false" ht="15" hidden="false" customHeight="false" outlineLevel="0" collapsed="false">
      <c r="A2082" s="2" t="n">
        <v>2081</v>
      </c>
      <c r="B2082" s="2" t="s">
        <v>4450</v>
      </c>
      <c r="C2082" s="2" t="s">
        <v>4451</v>
      </c>
      <c r="D2082" s="2"/>
      <c r="E2082" s="2" t="s">
        <v>52</v>
      </c>
      <c r="F2082" s="3" t="n">
        <v>6.1E-005</v>
      </c>
      <c r="G2082" s="3" t="n">
        <f aca="false">SUM($F$2:F2082)</f>
        <v>0.937677</v>
      </c>
      <c r="H2082" s="4"/>
      <c r="I2082" s="5"/>
      <c r="J2082" s="4"/>
      <c r="K2082" s="5"/>
      <c r="L2082" s="6"/>
      <c r="M2082" s="5" t="str">
        <f aca="false">IF(AND(N(K2082)&gt;0,N(L2082)&gt;0),K2082/L2082,"")</f>
        <v/>
      </c>
      <c r="N2082" s="2" t="s">
        <v>1226</v>
      </c>
    </row>
    <row r="2083" customFormat="false" ht="15" hidden="false" customHeight="false" outlineLevel="0" collapsed="false">
      <c r="A2083" s="2" t="n">
        <v>2082</v>
      </c>
      <c r="B2083" s="2" t="s">
        <v>4452</v>
      </c>
      <c r="C2083" s="2" t="s">
        <v>4453</v>
      </c>
      <c r="D2083" s="2"/>
      <c r="E2083" s="2" t="s">
        <v>1345</v>
      </c>
      <c r="F2083" s="3" t="n">
        <v>6.1E-005</v>
      </c>
      <c r="G2083" s="3" t="n">
        <f aca="false">SUM($F$2:F2083)</f>
        <v>0.937738</v>
      </c>
      <c r="H2083" s="4"/>
      <c r="I2083" s="5"/>
      <c r="J2083" s="4"/>
      <c r="K2083" s="5"/>
      <c r="L2083" s="6"/>
      <c r="M2083" s="5" t="str">
        <f aca="false">IF(AND(N(K2083)&gt;0,N(L2083)&gt;0),K2083/L2083,"")</f>
        <v/>
      </c>
      <c r="N2083" s="2" t="s">
        <v>1226</v>
      </c>
    </row>
    <row r="2084" customFormat="false" ht="15" hidden="false" customHeight="false" outlineLevel="0" collapsed="false">
      <c r="A2084" s="2" t="n">
        <v>2083</v>
      </c>
      <c r="B2084" s="2" t="s">
        <v>4454</v>
      </c>
      <c r="C2084" s="2" t="s">
        <v>4455</v>
      </c>
      <c r="D2084" s="2"/>
      <c r="E2084" s="2" t="s">
        <v>52</v>
      </c>
      <c r="F2084" s="3" t="n">
        <v>6.1E-005</v>
      </c>
      <c r="G2084" s="3" t="n">
        <f aca="false">SUM($F$2:F2084)</f>
        <v>0.937799</v>
      </c>
      <c r="H2084" s="4"/>
      <c r="I2084" s="5"/>
      <c r="J2084" s="4"/>
      <c r="K2084" s="5"/>
      <c r="L2084" s="6"/>
      <c r="M2084" s="5" t="str">
        <f aca="false">IF(AND(N(K2084)&gt;0,N(L2084)&gt;0),K2084/L2084,"")</f>
        <v/>
      </c>
      <c r="N2084" s="2" t="s">
        <v>1226</v>
      </c>
    </row>
    <row r="2085" customFormat="false" ht="15" hidden="false" customHeight="false" outlineLevel="0" collapsed="false">
      <c r="A2085" s="2" t="n">
        <v>2084</v>
      </c>
      <c r="B2085" s="2" t="s">
        <v>4456</v>
      </c>
      <c r="C2085" s="2" t="s">
        <v>4457</v>
      </c>
      <c r="D2085" s="2"/>
      <c r="E2085" s="2" t="s">
        <v>82</v>
      </c>
      <c r="F2085" s="3" t="n">
        <v>6.1E-005</v>
      </c>
      <c r="G2085" s="3" t="n">
        <f aca="false">SUM($F$2:F2085)</f>
        <v>0.93786</v>
      </c>
      <c r="H2085" s="4"/>
      <c r="I2085" s="5"/>
      <c r="J2085" s="4"/>
      <c r="K2085" s="5"/>
      <c r="L2085" s="6"/>
      <c r="M2085" s="5" t="str">
        <f aca="false">IF(AND(N(K2085)&gt;0,N(L2085)&gt;0),K2085/L2085,"")</f>
        <v/>
      </c>
      <c r="N2085" s="2" t="s">
        <v>1226</v>
      </c>
    </row>
    <row r="2086" customFormat="false" ht="15" hidden="false" customHeight="false" outlineLevel="0" collapsed="false">
      <c r="A2086" s="2" t="n">
        <v>2085</v>
      </c>
      <c r="B2086" s="2" t="s">
        <v>4458</v>
      </c>
      <c r="C2086" s="2" t="s">
        <v>4459</v>
      </c>
      <c r="D2086" s="2"/>
      <c r="E2086" s="2" t="s">
        <v>33</v>
      </c>
      <c r="F2086" s="3" t="n">
        <v>6E-005</v>
      </c>
      <c r="G2086" s="3" t="n">
        <f aca="false">SUM($F$2:F2086)</f>
        <v>0.93792</v>
      </c>
      <c r="H2086" s="4"/>
      <c r="I2086" s="5"/>
      <c r="J2086" s="4"/>
      <c r="K2086" s="5"/>
      <c r="L2086" s="6"/>
      <c r="M2086" s="5" t="str">
        <f aca="false">IF(AND(N(K2086)&gt;0,N(L2086)&gt;0),K2086/L2086,"")</f>
        <v/>
      </c>
      <c r="N2086" s="2" t="s">
        <v>1226</v>
      </c>
    </row>
    <row r="2087" customFormat="false" ht="15" hidden="false" customHeight="false" outlineLevel="0" collapsed="false">
      <c r="A2087" s="2" t="n">
        <v>2086</v>
      </c>
      <c r="B2087" s="2" t="s">
        <v>4460</v>
      </c>
      <c r="C2087" s="2" t="s">
        <v>4461</v>
      </c>
      <c r="D2087" s="2"/>
      <c r="E2087" s="2" t="s">
        <v>33</v>
      </c>
      <c r="F2087" s="3" t="n">
        <v>6E-005</v>
      </c>
      <c r="G2087" s="3" t="n">
        <f aca="false">SUM($F$2:F2087)</f>
        <v>0.93798</v>
      </c>
      <c r="H2087" s="4"/>
      <c r="I2087" s="5"/>
      <c r="J2087" s="4"/>
      <c r="K2087" s="5"/>
      <c r="L2087" s="6"/>
      <c r="M2087" s="5" t="str">
        <f aca="false">IF(AND(N(K2087)&gt;0,N(L2087)&gt;0),K2087/L2087,"")</f>
        <v/>
      </c>
      <c r="N2087" s="2" t="s">
        <v>1226</v>
      </c>
    </row>
    <row r="2088" customFormat="false" ht="15" hidden="false" customHeight="false" outlineLevel="0" collapsed="false">
      <c r="A2088" s="2" t="n">
        <v>2087</v>
      </c>
      <c r="B2088" s="2" t="s">
        <v>4462</v>
      </c>
      <c r="C2088" s="2" t="s">
        <v>4463</v>
      </c>
      <c r="D2088" s="2"/>
      <c r="E2088" s="2" t="s">
        <v>289</v>
      </c>
      <c r="F2088" s="3" t="n">
        <v>6E-005</v>
      </c>
      <c r="G2088" s="3" t="n">
        <f aca="false">SUM($F$2:F2088)</f>
        <v>0.93804</v>
      </c>
      <c r="H2088" s="4"/>
      <c r="I2088" s="5"/>
      <c r="J2088" s="4"/>
      <c r="K2088" s="5"/>
      <c r="L2088" s="6"/>
      <c r="M2088" s="5" t="str">
        <f aca="false">IF(AND(N(K2088)&gt;0,N(L2088)&gt;0),K2088/L2088,"")</f>
        <v/>
      </c>
      <c r="N2088" s="2" t="s">
        <v>1226</v>
      </c>
    </row>
    <row r="2089" customFormat="false" ht="15" hidden="false" customHeight="false" outlineLevel="0" collapsed="false">
      <c r="A2089" s="2" t="n">
        <v>2088</v>
      </c>
      <c r="B2089" s="2" t="s">
        <v>4464</v>
      </c>
      <c r="C2089" s="2" t="s">
        <v>4465</v>
      </c>
      <c r="D2089" s="2"/>
      <c r="E2089" s="2" t="s">
        <v>33</v>
      </c>
      <c r="F2089" s="3" t="n">
        <v>6E-005</v>
      </c>
      <c r="G2089" s="3" t="n">
        <f aca="false">SUM($F$2:F2089)</f>
        <v>0.9381</v>
      </c>
      <c r="H2089" s="4"/>
      <c r="I2089" s="5"/>
      <c r="J2089" s="4"/>
      <c r="K2089" s="5"/>
      <c r="L2089" s="6"/>
      <c r="M2089" s="5" t="str">
        <f aca="false">IF(AND(N(K2089)&gt;0,N(L2089)&gt;0),K2089/L2089,"")</f>
        <v/>
      </c>
      <c r="N2089" s="2" t="s">
        <v>1226</v>
      </c>
    </row>
    <row r="2090" customFormat="false" ht="15" hidden="false" customHeight="false" outlineLevel="0" collapsed="false">
      <c r="A2090" s="2" t="n">
        <v>2089</v>
      </c>
      <c r="B2090" s="2" t="s">
        <v>4466</v>
      </c>
      <c r="C2090" s="2" t="s">
        <v>4467</v>
      </c>
      <c r="D2090" s="2"/>
      <c r="E2090" s="2" t="s">
        <v>52</v>
      </c>
      <c r="F2090" s="3" t="n">
        <v>6E-005</v>
      </c>
      <c r="G2090" s="3" t="n">
        <f aca="false">SUM($F$2:F2090)</f>
        <v>0.93816</v>
      </c>
      <c r="H2090" s="4"/>
      <c r="I2090" s="5"/>
      <c r="J2090" s="4"/>
      <c r="K2090" s="5"/>
      <c r="L2090" s="6"/>
      <c r="M2090" s="5" t="str">
        <f aca="false">IF(AND(N(K2090)&gt;0,N(L2090)&gt;0),K2090/L2090,"")</f>
        <v/>
      </c>
      <c r="N2090" s="2" t="s">
        <v>1226</v>
      </c>
    </row>
    <row r="2091" customFormat="false" ht="15" hidden="false" customHeight="false" outlineLevel="0" collapsed="false">
      <c r="A2091" s="2" t="n">
        <v>2090</v>
      </c>
      <c r="B2091" s="2" t="s">
        <v>4468</v>
      </c>
      <c r="C2091" s="2" t="s">
        <v>4469</v>
      </c>
      <c r="D2091" s="2"/>
      <c r="E2091" s="2" t="s">
        <v>1345</v>
      </c>
      <c r="F2091" s="3" t="n">
        <v>6E-005</v>
      </c>
      <c r="G2091" s="3" t="n">
        <f aca="false">SUM($F$2:F2091)</f>
        <v>0.93822</v>
      </c>
      <c r="H2091" s="4"/>
      <c r="I2091" s="5"/>
      <c r="J2091" s="4"/>
      <c r="K2091" s="5"/>
      <c r="L2091" s="6"/>
      <c r="M2091" s="5" t="str">
        <f aca="false">IF(AND(N(K2091)&gt;0,N(L2091)&gt;0),K2091/L2091,"")</f>
        <v/>
      </c>
      <c r="N2091" s="2" t="s">
        <v>1226</v>
      </c>
    </row>
    <row r="2092" customFormat="false" ht="15" hidden="false" customHeight="false" outlineLevel="0" collapsed="false">
      <c r="A2092" s="2" t="n">
        <v>2091</v>
      </c>
      <c r="B2092" s="2" t="s">
        <v>4470</v>
      </c>
      <c r="C2092" s="2" t="s">
        <v>4471</v>
      </c>
      <c r="D2092" s="2"/>
      <c r="E2092" s="2" t="s">
        <v>25</v>
      </c>
      <c r="F2092" s="3" t="n">
        <v>6E-005</v>
      </c>
      <c r="G2092" s="3" t="n">
        <f aca="false">SUM($F$2:F2092)</f>
        <v>0.93828</v>
      </c>
      <c r="H2092" s="4"/>
      <c r="I2092" s="5"/>
      <c r="J2092" s="4"/>
      <c r="K2092" s="5"/>
      <c r="L2092" s="6"/>
      <c r="M2092" s="5" t="str">
        <f aca="false">IF(AND(N(K2092)&gt;0,N(L2092)&gt;0),K2092/L2092,"")</f>
        <v/>
      </c>
      <c r="N2092" s="2" t="s">
        <v>1226</v>
      </c>
    </row>
    <row r="2093" customFormat="false" ht="15" hidden="false" customHeight="false" outlineLevel="0" collapsed="false">
      <c r="A2093" s="2" t="n">
        <v>2092</v>
      </c>
      <c r="B2093" s="2" t="s">
        <v>4472</v>
      </c>
      <c r="C2093" s="2" t="s">
        <v>4473</v>
      </c>
      <c r="D2093" s="2"/>
      <c r="E2093" s="2" t="s">
        <v>539</v>
      </c>
      <c r="F2093" s="3" t="n">
        <v>6E-005</v>
      </c>
      <c r="G2093" s="3" t="n">
        <f aca="false">SUM($F$2:F2093)</f>
        <v>0.93834</v>
      </c>
      <c r="H2093" s="4"/>
      <c r="I2093" s="5"/>
      <c r="J2093" s="4"/>
      <c r="K2093" s="5"/>
      <c r="L2093" s="6"/>
      <c r="M2093" s="5" t="str">
        <f aca="false">IF(AND(N(K2093)&gt;0,N(L2093)&gt;0),K2093/L2093,"")</f>
        <v/>
      </c>
      <c r="N2093" s="2" t="s">
        <v>1226</v>
      </c>
    </row>
    <row r="2094" customFormat="false" ht="15" hidden="false" customHeight="false" outlineLevel="0" collapsed="false">
      <c r="A2094" s="2" t="n">
        <v>2093</v>
      </c>
      <c r="B2094" s="2" t="s">
        <v>4474</v>
      </c>
      <c r="C2094" s="2" t="s">
        <v>4475</v>
      </c>
      <c r="D2094" s="2"/>
      <c r="E2094" s="2" t="s">
        <v>29</v>
      </c>
      <c r="F2094" s="3" t="n">
        <v>6E-005</v>
      </c>
      <c r="G2094" s="3" t="n">
        <f aca="false">SUM($F$2:F2094)</f>
        <v>0.9384</v>
      </c>
      <c r="H2094" s="4"/>
      <c r="I2094" s="5"/>
      <c r="J2094" s="4"/>
      <c r="K2094" s="5"/>
      <c r="L2094" s="6"/>
      <c r="M2094" s="5" t="str">
        <f aca="false">IF(AND(N(K2094)&gt;0,N(L2094)&gt;0),K2094/L2094,"")</f>
        <v/>
      </c>
      <c r="N2094" s="2" t="s">
        <v>1226</v>
      </c>
    </row>
    <row r="2095" customFormat="false" ht="15" hidden="false" customHeight="false" outlineLevel="0" collapsed="false">
      <c r="A2095" s="2" t="n">
        <v>2094</v>
      </c>
      <c r="B2095" s="2" t="s">
        <v>4476</v>
      </c>
      <c r="C2095" s="2" t="s">
        <v>4477</v>
      </c>
      <c r="D2095" s="2"/>
      <c r="E2095" s="2" t="s">
        <v>52</v>
      </c>
      <c r="F2095" s="3" t="n">
        <v>6E-005</v>
      </c>
      <c r="G2095" s="3" t="n">
        <f aca="false">SUM($F$2:F2095)</f>
        <v>0.93846</v>
      </c>
      <c r="H2095" s="4"/>
      <c r="I2095" s="5"/>
      <c r="J2095" s="4"/>
      <c r="K2095" s="5"/>
      <c r="L2095" s="6"/>
      <c r="M2095" s="5" t="str">
        <f aca="false">IF(AND(N(K2095)&gt;0,N(L2095)&gt;0),K2095/L2095,"")</f>
        <v/>
      </c>
      <c r="N2095" s="2" t="s">
        <v>1226</v>
      </c>
    </row>
    <row r="2096" customFormat="false" ht="15" hidden="false" customHeight="false" outlineLevel="0" collapsed="false">
      <c r="A2096" s="2" t="n">
        <v>2095</v>
      </c>
      <c r="B2096" s="2" t="s">
        <v>4478</v>
      </c>
      <c r="C2096" s="2" t="s">
        <v>4479</v>
      </c>
      <c r="D2096" s="2"/>
      <c r="E2096" s="2" t="s">
        <v>1345</v>
      </c>
      <c r="F2096" s="3" t="n">
        <v>6E-005</v>
      </c>
      <c r="G2096" s="3" t="n">
        <f aca="false">SUM($F$2:F2096)</f>
        <v>0.93852</v>
      </c>
      <c r="H2096" s="4"/>
      <c r="I2096" s="5"/>
      <c r="J2096" s="4"/>
      <c r="K2096" s="5"/>
      <c r="L2096" s="6"/>
      <c r="M2096" s="5" t="str">
        <f aca="false">IF(AND(N(K2096)&gt;0,N(L2096)&gt;0),K2096/L2096,"")</f>
        <v/>
      </c>
      <c r="N2096" s="2" t="s">
        <v>1226</v>
      </c>
    </row>
    <row r="2097" customFormat="false" ht="15" hidden="false" customHeight="false" outlineLevel="0" collapsed="false">
      <c r="A2097" s="2" t="n">
        <v>2096</v>
      </c>
      <c r="B2097" s="2" t="s">
        <v>4480</v>
      </c>
      <c r="C2097" s="2" t="s">
        <v>4481</v>
      </c>
      <c r="D2097" s="2"/>
      <c r="E2097" s="2" t="s">
        <v>21</v>
      </c>
      <c r="F2097" s="3" t="n">
        <v>6E-005</v>
      </c>
      <c r="G2097" s="3" t="n">
        <f aca="false">SUM($F$2:F2097)</f>
        <v>0.93858</v>
      </c>
      <c r="H2097" s="4"/>
      <c r="I2097" s="5"/>
      <c r="J2097" s="4"/>
      <c r="K2097" s="5"/>
      <c r="L2097" s="6"/>
      <c r="M2097" s="5" t="str">
        <f aca="false">IF(AND(N(K2097)&gt;0,N(L2097)&gt;0),K2097/L2097,"")</f>
        <v/>
      </c>
      <c r="N2097" s="2" t="s">
        <v>1226</v>
      </c>
    </row>
    <row r="2098" customFormat="false" ht="15" hidden="false" customHeight="false" outlineLevel="0" collapsed="false">
      <c r="A2098" s="2" t="n">
        <v>2097</v>
      </c>
      <c r="B2098" s="2" t="s">
        <v>4482</v>
      </c>
      <c r="C2098" s="2" t="s">
        <v>4483</v>
      </c>
      <c r="D2098" s="2"/>
      <c r="E2098" s="2" t="s">
        <v>82</v>
      </c>
      <c r="F2098" s="3" t="n">
        <v>6E-005</v>
      </c>
      <c r="G2098" s="3" t="n">
        <f aca="false">SUM($F$2:F2098)</f>
        <v>0.93864</v>
      </c>
      <c r="H2098" s="4"/>
      <c r="I2098" s="5"/>
      <c r="J2098" s="4"/>
      <c r="K2098" s="5"/>
      <c r="L2098" s="6"/>
      <c r="M2098" s="5" t="str">
        <f aca="false">IF(AND(N(K2098)&gt;0,N(L2098)&gt;0),K2098/L2098,"")</f>
        <v/>
      </c>
      <c r="N2098" s="2" t="s">
        <v>1226</v>
      </c>
    </row>
    <row r="2099" customFormat="false" ht="15" hidden="false" customHeight="false" outlineLevel="0" collapsed="false">
      <c r="A2099" s="2" t="n">
        <v>2098</v>
      </c>
      <c r="B2099" s="2" t="s">
        <v>4484</v>
      </c>
      <c r="C2099" s="2" t="s">
        <v>4485</v>
      </c>
      <c r="D2099" s="2"/>
      <c r="E2099" s="2" t="s">
        <v>2638</v>
      </c>
      <c r="F2099" s="3" t="n">
        <v>6E-005</v>
      </c>
      <c r="G2099" s="3" t="n">
        <f aca="false">SUM($F$2:F2099)</f>
        <v>0.9387</v>
      </c>
      <c r="H2099" s="4"/>
      <c r="I2099" s="5"/>
      <c r="J2099" s="4"/>
      <c r="K2099" s="5"/>
      <c r="L2099" s="6"/>
      <c r="M2099" s="5" t="str">
        <f aca="false">IF(AND(N(K2099)&gt;0,N(L2099)&gt;0),K2099/L2099,"")</f>
        <v/>
      </c>
      <c r="N2099" s="2" t="s">
        <v>1226</v>
      </c>
    </row>
    <row r="2100" customFormat="false" ht="15" hidden="false" customHeight="false" outlineLevel="0" collapsed="false">
      <c r="A2100" s="2" t="n">
        <v>2099</v>
      </c>
      <c r="B2100" s="2" t="s">
        <v>4486</v>
      </c>
      <c r="C2100" s="2" t="s">
        <v>4487</v>
      </c>
      <c r="D2100" s="2"/>
      <c r="E2100" s="2" t="s">
        <v>1345</v>
      </c>
      <c r="F2100" s="3" t="n">
        <v>6E-005</v>
      </c>
      <c r="G2100" s="3" t="n">
        <f aca="false">SUM($F$2:F2100)</f>
        <v>0.93876</v>
      </c>
      <c r="H2100" s="4"/>
      <c r="I2100" s="5"/>
      <c r="J2100" s="4"/>
      <c r="K2100" s="5"/>
      <c r="L2100" s="6"/>
      <c r="M2100" s="5" t="str">
        <f aca="false">IF(AND(N(K2100)&gt;0,N(L2100)&gt;0),K2100/L2100,"")</f>
        <v/>
      </c>
      <c r="N2100" s="2" t="s">
        <v>1226</v>
      </c>
    </row>
    <row r="2101" customFormat="false" ht="15" hidden="false" customHeight="false" outlineLevel="0" collapsed="false">
      <c r="A2101" s="2" t="n">
        <v>2100</v>
      </c>
      <c r="B2101" s="2" t="s">
        <v>4488</v>
      </c>
      <c r="C2101" s="2" t="s">
        <v>4489</v>
      </c>
      <c r="D2101" s="2"/>
      <c r="E2101" s="2" t="s">
        <v>289</v>
      </c>
      <c r="F2101" s="3" t="n">
        <v>6E-005</v>
      </c>
      <c r="G2101" s="3" t="n">
        <f aca="false">SUM($F$2:F2101)</f>
        <v>0.93882</v>
      </c>
      <c r="H2101" s="4"/>
      <c r="I2101" s="5"/>
      <c r="J2101" s="4"/>
      <c r="K2101" s="5"/>
      <c r="L2101" s="6"/>
      <c r="M2101" s="5" t="str">
        <f aca="false">IF(AND(N(K2101)&gt;0,N(L2101)&gt;0),K2101/L2101,"")</f>
        <v/>
      </c>
      <c r="N2101" s="2" t="s">
        <v>1226</v>
      </c>
    </row>
    <row r="2102" customFormat="false" ht="15" hidden="false" customHeight="false" outlineLevel="0" collapsed="false">
      <c r="A2102" s="2" t="n">
        <v>2101</v>
      </c>
      <c r="B2102" s="2" t="s">
        <v>4490</v>
      </c>
      <c r="C2102" s="2" t="s">
        <v>4491</v>
      </c>
      <c r="D2102" s="2"/>
      <c r="E2102" s="2" t="s">
        <v>29</v>
      </c>
      <c r="F2102" s="3" t="n">
        <v>6E-005</v>
      </c>
      <c r="G2102" s="3" t="n">
        <f aca="false">SUM($F$2:F2102)</f>
        <v>0.93888</v>
      </c>
      <c r="H2102" s="4"/>
      <c r="I2102" s="5"/>
      <c r="J2102" s="4"/>
      <c r="K2102" s="5"/>
      <c r="L2102" s="6"/>
      <c r="M2102" s="5" t="str">
        <f aca="false">IF(AND(N(K2102)&gt;0,N(L2102)&gt;0),K2102/L2102,"")</f>
        <v/>
      </c>
      <c r="N2102" s="2" t="s">
        <v>1226</v>
      </c>
    </row>
    <row r="2103" customFormat="false" ht="15" hidden="false" customHeight="false" outlineLevel="0" collapsed="false">
      <c r="A2103" s="2" t="n">
        <v>2102</v>
      </c>
      <c r="B2103" s="2" t="s">
        <v>4492</v>
      </c>
      <c r="C2103" s="2" t="s">
        <v>4493</v>
      </c>
      <c r="D2103" s="2"/>
      <c r="E2103" s="2" t="s">
        <v>38</v>
      </c>
      <c r="F2103" s="3" t="n">
        <v>6E-005</v>
      </c>
      <c r="G2103" s="3" t="n">
        <f aca="false">SUM($F$2:F2103)</f>
        <v>0.93894</v>
      </c>
      <c r="H2103" s="4"/>
      <c r="I2103" s="5"/>
      <c r="J2103" s="4"/>
      <c r="K2103" s="5"/>
      <c r="L2103" s="6"/>
      <c r="M2103" s="5" t="str">
        <f aca="false">IF(AND(N(K2103)&gt;0,N(L2103)&gt;0),K2103/L2103,"")</f>
        <v/>
      </c>
      <c r="N2103" s="2" t="s">
        <v>1226</v>
      </c>
    </row>
    <row r="2104" customFormat="false" ht="15" hidden="false" customHeight="false" outlineLevel="0" collapsed="false">
      <c r="A2104" s="2" t="n">
        <v>2103</v>
      </c>
      <c r="B2104" s="2" t="s">
        <v>4494</v>
      </c>
      <c r="C2104" s="2" t="s">
        <v>4495</v>
      </c>
      <c r="D2104" s="2"/>
      <c r="E2104" s="2" t="s">
        <v>29</v>
      </c>
      <c r="F2104" s="3" t="n">
        <v>6E-005</v>
      </c>
      <c r="G2104" s="3" t="n">
        <f aca="false">SUM($F$2:F2104)</f>
        <v>0.939</v>
      </c>
      <c r="H2104" s="4"/>
      <c r="I2104" s="5"/>
      <c r="J2104" s="4"/>
      <c r="K2104" s="5"/>
      <c r="L2104" s="6"/>
      <c r="M2104" s="5" t="str">
        <f aca="false">IF(AND(N(K2104)&gt;0,N(L2104)&gt;0),K2104/L2104,"")</f>
        <v/>
      </c>
      <c r="N2104" s="2" t="s">
        <v>1226</v>
      </c>
    </row>
    <row r="2105" customFormat="false" ht="15" hidden="false" customHeight="false" outlineLevel="0" collapsed="false">
      <c r="A2105" s="2" t="n">
        <v>2104</v>
      </c>
      <c r="B2105" s="2" t="s">
        <v>4496</v>
      </c>
      <c r="C2105" s="2" t="s">
        <v>4497</v>
      </c>
      <c r="D2105" s="2"/>
      <c r="E2105" s="2" t="s">
        <v>52</v>
      </c>
      <c r="F2105" s="3" t="n">
        <v>5.9E-005</v>
      </c>
      <c r="G2105" s="3" t="n">
        <f aca="false">SUM($F$2:F2105)</f>
        <v>0.939059</v>
      </c>
      <c r="H2105" s="4"/>
      <c r="I2105" s="5"/>
      <c r="J2105" s="4"/>
      <c r="K2105" s="5"/>
      <c r="L2105" s="6"/>
      <c r="M2105" s="5" t="str">
        <f aca="false">IF(AND(N(K2105)&gt;0,N(L2105)&gt;0),K2105/L2105,"")</f>
        <v/>
      </c>
      <c r="N2105" s="2" t="s">
        <v>1226</v>
      </c>
    </row>
    <row r="2106" customFormat="false" ht="15" hidden="false" customHeight="false" outlineLevel="0" collapsed="false">
      <c r="A2106" s="2" t="n">
        <v>2105</v>
      </c>
      <c r="B2106" s="2" t="s">
        <v>4498</v>
      </c>
      <c r="C2106" s="2" t="s">
        <v>4499</v>
      </c>
      <c r="D2106" s="2"/>
      <c r="E2106" s="2" t="s">
        <v>1295</v>
      </c>
      <c r="F2106" s="3" t="n">
        <v>5.9E-005</v>
      </c>
      <c r="G2106" s="3" t="n">
        <f aca="false">SUM($F$2:F2106)</f>
        <v>0.939118</v>
      </c>
      <c r="H2106" s="4"/>
      <c r="I2106" s="5"/>
      <c r="J2106" s="4"/>
      <c r="K2106" s="5"/>
      <c r="L2106" s="6"/>
      <c r="M2106" s="5" t="str">
        <f aca="false">IF(AND(N(K2106)&gt;0,N(L2106)&gt;0),K2106/L2106,"")</f>
        <v/>
      </c>
      <c r="N2106" s="2" t="s">
        <v>1226</v>
      </c>
    </row>
    <row r="2107" customFormat="false" ht="15" hidden="false" customHeight="false" outlineLevel="0" collapsed="false">
      <c r="A2107" s="2" t="n">
        <v>2106</v>
      </c>
      <c r="B2107" s="2" t="s">
        <v>4500</v>
      </c>
      <c r="C2107" s="2" t="s">
        <v>4501</v>
      </c>
      <c r="D2107" s="2"/>
      <c r="E2107" s="2" t="s">
        <v>296</v>
      </c>
      <c r="F2107" s="3" t="n">
        <v>5.9E-005</v>
      </c>
      <c r="G2107" s="3" t="n">
        <f aca="false">SUM($F$2:F2107)</f>
        <v>0.939177</v>
      </c>
      <c r="H2107" s="4"/>
      <c r="I2107" s="5"/>
      <c r="J2107" s="4"/>
      <c r="K2107" s="5"/>
      <c r="L2107" s="6"/>
      <c r="M2107" s="5" t="str">
        <f aca="false">IF(AND(N(K2107)&gt;0,N(L2107)&gt;0),K2107/L2107,"")</f>
        <v/>
      </c>
      <c r="N2107" s="2" t="s">
        <v>1226</v>
      </c>
    </row>
    <row r="2108" customFormat="false" ht="15" hidden="false" customHeight="false" outlineLevel="0" collapsed="false">
      <c r="A2108" s="2" t="n">
        <v>2107</v>
      </c>
      <c r="B2108" s="2" t="s">
        <v>4502</v>
      </c>
      <c r="C2108" s="2" t="s">
        <v>4503</v>
      </c>
      <c r="D2108" s="2"/>
      <c r="E2108" s="2" t="s">
        <v>52</v>
      </c>
      <c r="F2108" s="3" t="n">
        <v>5.9E-005</v>
      </c>
      <c r="G2108" s="3" t="n">
        <f aca="false">SUM($F$2:F2108)</f>
        <v>0.939236</v>
      </c>
      <c r="H2108" s="4"/>
      <c r="I2108" s="5"/>
      <c r="J2108" s="4"/>
      <c r="K2108" s="5"/>
      <c r="L2108" s="6"/>
      <c r="M2108" s="5" t="str">
        <f aca="false">IF(AND(N(K2108)&gt;0,N(L2108)&gt;0),K2108/L2108,"")</f>
        <v/>
      </c>
      <c r="N2108" s="2" t="s">
        <v>1226</v>
      </c>
    </row>
    <row r="2109" customFormat="false" ht="15" hidden="false" customHeight="false" outlineLevel="0" collapsed="false">
      <c r="A2109" s="2" t="n">
        <v>2108</v>
      </c>
      <c r="B2109" s="2" t="s">
        <v>4504</v>
      </c>
      <c r="C2109" s="2" t="s">
        <v>4505</v>
      </c>
      <c r="D2109" s="2"/>
      <c r="E2109" s="2" t="s">
        <v>29</v>
      </c>
      <c r="F2109" s="3" t="n">
        <v>5.9E-005</v>
      </c>
      <c r="G2109" s="3" t="n">
        <f aca="false">SUM($F$2:F2109)</f>
        <v>0.939295</v>
      </c>
      <c r="H2109" s="4"/>
      <c r="I2109" s="5"/>
      <c r="J2109" s="4"/>
      <c r="K2109" s="5"/>
      <c r="L2109" s="6"/>
      <c r="M2109" s="5" t="str">
        <f aca="false">IF(AND(N(K2109)&gt;0,N(L2109)&gt;0),K2109/L2109,"")</f>
        <v/>
      </c>
      <c r="N2109" s="2" t="s">
        <v>1226</v>
      </c>
    </row>
    <row r="2110" customFormat="false" ht="15" hidden="false" customHeight="false" outlineLevel="0" collapsed="false">
      <c r="A2110" s="2" t="n">
        <v>2109</v>
      </c>
      <c r="B2110" s="2" t="s">
        <v>4506</v>
      </c>
      <c r="C2110" s="2" t="s">
        <v>4507</v>
      </c>
      <c r="D2110" s="2"/>
      <c r="E2110" s="2" t="s">
        <v>43</v>
      </c>
      <c r="F2110" s="3" t="n">
        <v>5.9E-005</v>
      </c>
      <c r="G2110" s="3" t="n">
        <f aca="false">SUM($F$2:F2110)</f>
        <v>0.939354</v>
      </c>
      <c r="H2110" s="4"/>
      <c r="I2110" s="5"/>
      <c r="J2110" s="4"/>
      <c r="K2110" s="5"/>
      <c r="L2110" s="6"/>
      <c r="M2110" s="5" t="str">
        <f aca="false">IF(AND(N(K2110)&gt;0,N(L2110)&gt;0),K2110/L2110,"")</f>
        <v/>
      </c>
      <c r="N2110" s="2" t="s">
        <v>1226</v>
      </c>
    </row>
    <row r="2111" customFormat="false" ht="15" hidden="false" customHeight="false" outlineLevel="0" collapsed="false">
      <c r="A2111" s="2" t="n">
        <v>2110</v>
      </c>
      <c r="B2111" s="2" t="s">
        <v>69</v>
      </c>
      <c r="C2111" s="2" t="s">
        <v>4508</v>
      </c>
      <c r="D2111" s="2"/>
      <c r="E2111" s="2" t="s">
        <v>539</v>
      </c>
      <c r="F2111" s="3" t="n">
        <v>5.9E-005</v>
      </c>
      <c r="G2111" s="3" t="n">
        <f aca="false">SUM($F$2:F2111)</f>
        <v>0.939413</v>
      </c>
      <c r="H2111" s="4"/>
      <c r="I2111" s="5"/>
      <c r="J2111" s="4"/>
      <c r="K2111" s="5"/>
      <c r="L2111" s="6"/>
      <c r="M2111" s="5" t="str">
        <f aca="false">IF(AND(N(K2111)&gt;0,N(L2111)&gt;0),K2111/L2111,"")</f>
        <v/>
      </c>
      <c r="N2111" s="2" t="s">
        <v>1226</v>
      </c>
    </row>
    <row r="2112" customFormat="false" ht="15" hidden="false" customHeight="false" outlineLevel="0" collapsed="false">
      <c r="A2112" s="2" t="n">
        <v>2111</v>
      </c>
      <c r="B2112" s="2" t="s">
        <v>4509</v>
      </c>
      <c r="C2112" s="2" t="s">
        <v>4510</v>
      </c>
      <c r="D2112" s="2"/>
      <c r="E2112" s="2" t="s">
        <v>52</v>
      </c>
      <c r="F2112" s="3" t="n">
        <v>5.9E-005</v>
      </c>
      <c r="G2112" s="3" t="n">
        <f aca="false">SUM($F$2:F2112)</f>
        <v>0.939472</v>
      </c>
      <c r="H2112" s="4"/>
      <c r="I2112" s="5"/>
      <c r="J2112" s="4"/>
      <c r="K2112" s="5"/>
      <c r="L2112" s="6"/>
      <c r="M2112" s="5" t="str">
        <f aca="false">IF(AND(N(K2112)&gt;0,N(L2112)&gt;0),K2112/L2112,"")</f>
        <v/>
      </c>
      <c r="N2112" s="2" t="s">
        <v>1226</v>
      </c>
    </row>
    <row r="2113" customFormat="false" ht="15" hidden="false" customHeight="false" outlineLevel="0" collapsed="false">
      <c r="A2113" s="2" t="n">
        <v>2112</v>
      </c>
      <c r="B2113" s="2" t="s">
        <v>4511</v>
      </c>
      <c r="C2113" s="2" t="s">
        <v>4512</v>
      </c>
      <c r="D2113" s="2"/>
      <c r="E2113" s="2" t="s">
        <v>52</v>
      </c>
      <c r="F2113" s="3" t="n">
        <v>5.9E-005</v>
      </c>
      <c r="G2113" s="3" t="n">
        <f aca="false">SUM($F$2:F2113)</f>
        <v>0.939531</v>
      </c>
      <c r="H2113" s="4"/>
      <c r="I2113" s="5"/>
      <c r="J2113" s="4"/>
      <c r="K2113" s="5"/>
      <c r="L2113" s="6"/>
      <c r="M2113" s="5" t="str">
        <f aca="false">IF(AND(N(K2113)&gt;0,N(L2113)&gt;0),K2113/L2113,"")</f>
        <v/>
      </c>
      <c r="N2113" s="2" t="s">
        <v>1226</v>
      </c>
    </row>
    <row r="2114" customFormat="false" ht="15" hidden="false" customHeight="false" outlineLevel="0" collapsed="false">
      <c r="A2114" s="2" t="n">
        <v>2113</v>
      </c>
      <c r="B2114" s="2" t="s">
        <v>4513</v>
      </c>
      <c r="C2114" s="2" t="s">
        <v>4514</v>
      </c>
      <c r="D2114" s="2"/>
      <c r="E2114" s="2" t="s">
        <v>38</v>
      </c>
      <c r="F2114" s="3" t="n">
        <v>5.9E-005</v>
      </c>
      <c r="G2114" s="3" t="n">
        <f aca="false">SUM($F$2:F2114)</f>
        <v>0.93959</v>
      </c>
      <c r="H2114" s="4"/>
      <c r="I2114" s="5"/>
      <c r="J2114" s="4"/>
      <c r="K2114" s="5"/>
      <c r="L2114" s="6"/>
      <c r="M2114" s="5" t="str">
        <f aca="false">IF(AND(N(K2114)&gt;0,N(L2114)&gt;0),K2114/L2114,"")</f>
        <v/>
      </c>
      <c r="N2114" s="2" t="s">
        <v>1226</v>
      </c>
    </row>
    <row r="2115" customFormat="false" ht="15" hidden="false" customHeight="false" outlineLevel="0" collapsed="false">
      <c r="A2115" s="2" t="n">
        <v>2114</v>
      </c>
      <c r="B2115" s="2" t="s">
        <v>4515</v>
      </c>
      <c r="C2115" s="2" t="s">
        <v>4516</v>
      </c>
      <c r="D2115" s="2"/>
      <c r="E2115" s="2" t="s">
        <v>29</v>
      </c>
      <c r="F2115" s="3" t="n">
        <v>5.9E-005</v>
      </c>
      <c r="G2115" s="3" t="n">
        <f aca="false">SUM($F$2:F2115)</f>
        <v>0.939649</v>
      </c>
      <c r="H2115" s="4"/>
      <c r="I2115" s="5"/>
      <c r="J2115" s="4"/>
      <c r="K2115" s="5"/>
      <c r="L2115" s="6"/>
      <c r="M2115" s="5" t="str">
        <f aca="false">IF(AND(N(K2115)&gt;0,N(L2115)&gt;0),K2115/L2115,"")</f>
        <v/>
      </c>
      <c r="N2115" s="2" t="s">
        <v>1226</v>
      </c>
    </row>
    <row r="2116" customFormat="false" ht="15" hidden="false" customHeight="false" outlineLevel="0" collapsed="false">
      <c r="A2116" s="2" t="n">
        <v>2115</v>
      </c>
      <c r="B2116" s="2" t="s">
        <v>4517</v>
      </c>
      <c r="C2116" s="2" t="s">
        <v>4518</v>
      </c>
      <c r="D2116" s="2"/>
      <c r="E2116" s="2" t="s">
        <v>43</v>
      </c>
      <c r="F2116" s="3" t="n">
        <v>5.9E-005</v>
      </c>
      <c r="G2116" s="3" t="n">
        <f aca="false">SUM($F$2:F2116)</f>
        <v>0.939708</v>
      </c>
      <c r="H2116" s="4"/>
      <c r="I2116" s="5"/>
      <c r="J2116" s="4"/>
      <c r="K2116" s="5"/>
      <c r="L2116" s="6"/>
      <c r="M2116" s="5" t="str">
        <f aca="false">IF(AND(N(K2116)&gt;0,N(L2116)&gt;0),K2116/L2116,"")</f>
        <v/>
      </c>
      <c r="N2116" s="2" t="s">
        <v>1226</v>
      </c>
    </row>
    <row r="2117" customFormat="false" ht="15" hidden="false" customHeight="false" outlineLevel="0" collapsed="false">
      <c r="A2117" s="2" t="n">
        <v>2116</v>
      </c>
      <c r="B2117" s="2" t="s">
        <v>4519</v>
      </c>
      <c r="C2117" s="2" t="s">
        <v>4520</v>
      </c>
      <c r="D2117" s="2"/>
      <c r="E2117" s="2" t="s">
        <v>33</v>
      </c>
      <c r="F2117" s="3" t="n">
        <v>5.9E-005</v>
      </c>
      <c r="G2117" s="3" t="n">
        <f aca="false">SUM($F$2:F2117)</f>
        <v>0.939767</v>
      </c>
      <c r="H2117" s="4"/>
      <c r="I2117" s="5"/>
      <c r="J2117" s="4"/>
      <c r="K2117" s="5"/>
      <c r="L2117" s="6"/>
      <c r="M2117" s="5" t="str">
        <f aca="false">IF(AND(N(K2117)&gt;0,N(L2117)&gt;0),K2117/L2117,"")</f>
        <v/>
      </c>
      <c r="N2117" s="2" t="s">
        <v>1226</v>
      </c>
    </row>
    <row r="2118" customFormat="false" ht="15" hidden="false" customHeight="false" outlineLevel="0" collapsed="false">
      <c r="A2118" s="2" t="n">
        <v>2117</v>
      </c>
      <c r="B2118" s="2" t="s">
        <v>4521</v>
      </c>
      <c r="C2118" s="2" t="s">
        <v>4522</v>
      </c>
      <c r="D2118" s="2"/>
      <c r="E2118" s="2" t="s">
        <v>82</v>
      </c>
      <c r="F2118" s="3" t="n">
        <v>5.9E-005</v>
      </c>
      <c r="G2118" s="3" t="n">
        <f aca="false">SUM($F$2:F2118)</f>
        <v>0.939826</v>
      </c>
      <c r="H2118" s="4"/>
      <c r="I2118" s="5"/>
      <c r="J2118" s="4"/>
      <c r="K2118" s="5"/>
      <c r="L2118" s="6"/>
      <c r="M2118" s="5" t="str">
        <f aca="false">IF(AND(N(K2118)&gt;0,N(L2118)&gt;0),K2118/L2118,"")</f>
        <v/>
      </c>
      <c r="N2118" s="2" t="s">
        <v>1226</v>
      </c>
    </row>
    <row r="2119" customFormat="false" ht="15" hidden="false" customHeight="false" outlineLevel="0" collapsed="false">
      <c r="A2119" s="2" t="n">
        <v>2118</v>
      </c>
      <c r="B2119" s="2" t="s">
        <v>4523</v>
      </c>
      <c r="C2119" s="2" t="s">
        <v>4524</v>
      </c>
      <c r="D2119" s="2"/>
      <c r="E2119" s="2" t="s">
        <v>29</v>
      </c>
      <c r="F2119" s="3" t="n">
        <v>5.9E-005</v>
      </c>
      <c r="G2119" s="3" t="n">
        <f aca="false">SUM($F$2:F2119)</f>
        <v>0.939885</v>
      </c>
      <c r="H2119" s="4"/>
      <c r="I2119" s="5"/>
      <c r="J2119" s="4"/>
      <c r="K2119" s="5"/>
      <c r="L2119" s="6"/>
      <c r="M2119" s="5" t="str">
        <f aca="false">IF(AND(N(K2119)&gt;0,N(L2119)&gt;0),K2119/L2119,"")</f>
        <v/>
      </c>
      <c r="N2119" s="2" t="s">
        <v>1226</v>
      </c>
    </row>
    <row r="2120" customFormat="false" ht="15" hidden="false" customHeight="false" outlineLevel="0" collapsed="false">
      <c r="A2120" s="2" t="n">
        <v>2119</v>
      </c>
      <c r="B2120" s="2" t="s">
        <v>4525</v>
      </c>
      <c r="C2120" s="2" t="s">
        <v>4526</v>
      </c>
      <c r="D2120" s="2"/>
      <c r="E2120" s="2" t="s">
        <v>334</v>
      </c>
      <c r="F2120" s="3" t="n">
        <v>5.9E-005</v>
      </c>
      <c r="G2120" s="3" t="n">
        <f aca="false">SUM($F$2:F2120)</f>
        <v>0.939944</v>
      </c>
      <c r="H2120" s="4"/>
      <c r="I2120" s="5"/>
      <c r="J2120" s="4"/>
      <c r="K2120" s="5"/>
      <c r="L2120" s="6"/>
      <c r="M2120" s="5" t="str">
        <f aca="false">IF(AND(N(K2120)&gt;0,N(L2120)&gt;0),K2120/L2120,"")</f>
        <v/>
      </c>
      <c r="N2120" s="2" t="s">
        <v>1226</v>
      </c>
    </row>
    <row r="2121" customFormat="false" ht="15" hidden="false" customHeight="false" outlineLevel="0" collapsed="false">
      <c r="A2121" s="2" t="n">
        <v>2120</v>
      </c>
      <c r="B2121" s="2" t="s">
        <v>4527</v>
      </c>
      <c r="C2121" s="2" t="s">
        <v>4528</v>
      </c>
      <c r="D2121" s="2"/>
      <c r="E2121" s="2" t="s">
        <v>52</v>
      </c>
      <c r="F2121" s="3" t="n">
        <v>5.9E-005</v>
      </c>
      <c r="G2121" s="3" t="n">
        <f aca="false">SUM($F$2:F2121)</f>
        <v>0.940003</v>
      </c>
      <c r="H2121" s="4"/>
      <c r="I2121" s="5"/>
      <c r="J2121" s="4"/>
      <c r="K2121" s="5"/>
      <c r="L2121" s="6"/>
      <c r="M2121" s="5" t="str">
        <f aca="false">IF(AND(N(K2121)&gt;0,N(L2121)&gt;0),K2121/L2121,"")</f>
        <v/>
      </c>
      <c r="N2121" s="2" t="s">
        <v>1226</v>
      </c>
    </row>
    <row r="2122" customFormat="false" ht="15" hidden="false" customHeight="false" outlineLevel="0" collapsed="false">
      <c r="A2122" s="2" t="n">
        <v>2121</v>
      </c>
      <c r="B2122" s="2" t="s">
        <v>2096</v>
      </c>
      <c r="C2122" s="2" t="s">
        <v>4529</v>
      </c>
      <c r="D2122" s="2"/>
      <c r="E2122" s="2" t="s">
        <v>539</v>
      </c>
      <c r="F2122" s="3" t="n">
        <v>5.9E-005</v>
      </c>
      <c r="G2122" s="3" t="n">
        <f aca="false">SUM($F$2:F2122)</f>
        <v>0.940062</v>
      </c>
      <c r="H2122" s="4"/>
      <c r="I2122" s="5"/>
      <c r="J2122" s="4"/>
      <c r="K2122" s="5"/>
      <c r="L2122" s="6"/>
      <c r="M2122" s="5" t="str">
        <f aca="false">IF(AND(N(K2122)&gt;0,N(L2122)&gt;0),K2122/L2122,"")</f>
        <v/>
      </c>
      <c r="N2122" s="2" t="s">
        <v>1226</v>
      </c>
    </row>
    <row r="2123" customFormat="false" ht="15" hidden="false" customHeight="false" outlineLevel="0" collapsed="false">
      <c r="A2123" s="2" t="n">
        <v>2122</v>
      </c>
      <c r="B2123" s="2" t="s">
        <v>4530</v>
      </c>
      <c r="C2123" s="2" t="s">
        <v>4531</v>
      </c>
      <c r="D2123" s="2"/>
      <c r="E2123" s="2" t="s">
        <v>29</v>
      </c>
      <c r="F2123" s="3" t="n">
        <v>5.8E-005</v>
      </c>
      <c r="G2123" s="3" t="n">
        <f aca="false">SUM($F$2:F2123)</f>
        <v>0.94012</v>
      </c>
      <c r="H2123" s="4"/>
      <c r="I2123" s="5"/>
      <c r="J2123" s="4"/>
      <c r="K2123" s="5"/>
      <c r="L2123" s="6"/>
      <c r="M2123" s="5" t="str">
        <f aca="false">IF(AND(N(K2123)&gt;0,N(L2123)&gt;0),K2123/L2123,"")</f>
        <v/>
      </c>
      <c r="N2123" s="2" t="s">
        <v>1226</v>
      </c>
    </row>
    <row r="2124" customFormat="false" ht="15" hidden="false" customHeight="false" outlineLevel="0" collapsed="false">
      <c r="A2124" s="2" t="n">
        <v>2123</v>
      </c>
      <c r="B2124" s="2" t="s">
        <v>4532</v>
      </c>
      <c r="C2124" s="2" t="s">
        <v>4533</v>
      </c>
      <c r="D2124" s="2"/>
      <c r="E2124" s="2" t="s">
        <v>43</v>
      </c>
      <c r="F2124" s="3" t="n">
        <v>5.8E-005</v>
      </c>
      <c r="G2124" s="3" t="n">
        <f aca="false">SUM($F$2:F2124)</f>
        <v>0.940178</v>
      </c>
      <c r="H2124" s="4"/>
      <c r="I2124" s="5"/>
      <c r="J2124" s="4"/>
      <c r="K2124" s="5"/>
      <c r="L2124" s="6"/>
      <c r="M2124" s="5" t="str">
        <f aca="false">IF(AND(N(K2124)&gt;0,N(L2124)&gt;0),K2124/L2124,"")</f>
        <v/>
      </c>
      <c r="N2124" s="2" t="s">
        <v>1226</v>
      </c>
    </row>
    <row r="2125" customFormat="false" ht="15" hidden="false" customHeight="false" outlineLevel="0" collapsed="false">
      <c r="A2125" s="2" t="n">
        <v>2124</v>
      </c>
      <c r="B2125" s="2" t="s">
        <v>4534</v>
      </c>
      <c r="C2125" s="2" t="s">
        <v>4535</v>
      </c>
      <c r="D2125" s="2"/>
      <c r="E2125" s="2" t="s">
        <v>1345</v>
      </c>
      <c r="F2125" s="3" t="n">
        <v>5.8E-005</v>
      </c>
      <c r="G2125" s="3" t="n">
        <f aca="false">SUM($F$2:F2125)</f>
        <v>0.940236</v>
      </c>
      <c r="H2125" s="4"/>
      <c r="I2125" s="5"/>
      <c r="J2125" s="4"/>
      <c r="K2125" s="5"/>
      <c r="L2125" s="6"/>
      <c r="M2125" s="5" t="str">
        <f aca="false">IF(AND(N(K2125)&gt;0,N(L2125)&gt;0),K2125/L2125,"")</f>
        <v/>
      </c>
      <c r="N2125" s="2" t="s">
        <v>1226</v>
      </c>
    </row>
    <row r="2126" customFormat="false" ht="15" hidden="false" customHeight="false" outlineLevel="0" collapsed="false">
      <c r="A2126" s="2" t="n">
        <v>2125</v>
      </c>
      <c r="B2126" s="2" t="s">
        <v>4536</v>
      </c>
      <c r="C2126" s="2" t="s">
        <v>4537</v>
      </c>
      <c r="D2126" s="2"/>
      <c r="E2126" s="2" t="s">
        <v>52</v>
      </c>
      <c r="F2126" s="3" t="n">
        <v>5.8E-005</v>
      </c>
      <c r="G2126" s="3" t="n">
        <f aca="false">SUM($F$2:F2126)</f>
        <v>0.940294</v>
      </c>
      <c r="H2126" s="4"/>
      <c r="I2126" s="5"/>
      <c r="J2126" s="4"/>
      <c r="K2126" s="5"/>
      <c r="L2126" s="6"/>
      <c r="M2126" s="5" t="str">
        <f aca="false">IF(AND(N(K2126)&gt;0,N(L2126)&gt;0),K2126/L2126,"")</f>
        <v/>
      </c>
      <c r="N2126" s="2" t="s">
        <v>1226</v>
      </c>
    </row>
    <row r="2127" customFormat="false" ht="15" hidden="false" customHeight="false" outlineLevel="0" collapsed="false">
      <c r="A2127" s="2" t="n">
        <v>2126</v>
      </c>
      <c r="B2127" s="2" t="s">
        <v>4538</v>
      </c>
      <c r="C2127" s="2" t="s">
        <v>4539</v>
      </c>
      <c r="D2127" s="2"/>
      <c r="E2127" s="2" t="s">
        <v>33</v>
      </c>
      <c r="F2127" s="3" t="n">
        <v>5.8E-005</v>
      </c>
      <c r="G2127" s="3" t="n">
        <f aca="false">SUM($F$2:F2127)</f>
        <v>0.940352</v>
      </c>
      <c r="H2127" s="4"/>
      <c r="I2127" s="5"/>
      <c r="J2127" s="4"/>
      <c r="K2127" s="5"/>
      <c r="L2127" s="6"/>
      <c r="M2127" s="5" t="str">
        <f aca="false">IF(AND(N(K2127)&gt;0,N(L2127)&gt;0),K2127/L2127,"")</f>
        <v/>
      </c>
      <c r="N2127" s="2" t="s">
        <v>1226</v>
      </c>
    </row>
    <row r="2128" customFormat="false" ht="15" hidden="false" customHeight="false" outlineLevel="0" collapsed="false">
      <c r="A2128" s="2" t="n">
        <v>2127</v>
      </c>
      <c r="B2128" s="2" t="s">
        <v>4540</v>
      </c>
      <c r="C2128" s="2" t="s">
        <v>4541</v>
      </c>
      <c r="D2128" s="2"/>
      <c r="E2128" s="2" t="s">
        <v>1345</v>
      </c>
      <c r="F2128" s="3" t="n">
        <v>5.8E-005</v>
      </c>
      <c r="G2128" s="3" t="n">
        <f aca="false">SUM($F$2:F2128)</f>
        <v>0.94041</v>
      </c>
      <c r="H2128" s="4"/>
      <c r="I2128" s="5"/>
      <c r="J2128" s="4"/>
      <c r="K2128" s="5"/>
      <c r="L2128" s="6"/>
      <c r="M2128" s="5" t="str">
        <f aca="false">IF(AND(N(K2128)&gt;0,N(L2128)&gt;0),K2128/L2128,"")</f>
        <v/>
      </c>
      <c r="N2128" s="2" t="s">
        <v>1226</v>
      </c>
    </row>
    <row r="2129" customFormat="false" ht="15" hidden="false" customHeight="false" outlineLevel="0" collapsed="false">
      <c r="A2129" s="2" t="n">
        <v>2128</v>
      </c>
      <c r="B2129" s="2" t="s">
        <v>4542</v>
      </c>
      <c r="C2129" s="2" t="s">
        <v>4543</v>
      </c>
      <c r="D2129" s="2"/>
      <c r="E2129" s="2" t="s">
        <v>43</v>
      </c>
      <c r="F2129" s="3" t="n">
        <v>5.8E-005</v>
      </c>
      <c r="G2129" s="3" t="n">
        <f aca="false">SUM($F$2:F2129)</f>
        <v>0.940468</v>
      </c>
      <c r="H2129" s="4"/>
      <c r="I2129" s="5"/>
      <c r="J2129" s="4"/>
      <c r="K2129" s="5"/>
      <c r="L2129" s="6"/>
      <c r="M2129" s="5" t="str">
        <f aca="false">IF(AND(N(K2129)&gt;0,N(L2129)&gt;0),K2129/L2129,"")</f>
        <v/>
      </c>
      <c r="N2129" s="2" t="s">
        <v>1226</v>
      </c>
    </row>
    <row r="2130" customFormat="false" ht="15" hidden="false" customHeight="false" outlineLevel="0" collapsed="false">
      <c r="A2130" s="2" t="n">
        <v>2129</v>
      </c>
      <c r="B2130" s="2" t="s">
        <v>4544</v>
      </c>
      <c r="C2130" s="2" t="s">
        <v>4545</v>
      </c>
      <c r="D2130" s="2"/>
      <c r="E2130" s="2" t="s">
        <v>2763</v>
      </c>
      <c r="F2130" s="3" t="n">
        <v>5.8E-005</v>
      </c>
      <c r="G2130" s="3" t="n">
        <f aca="false">SUM($F$2:F2130)</f>
        <v>0.940526</v>
      </c>
      <c r="H2130" s="4"/>
      <c r="I2130" s="5"/>
      <c r="J2130" s="4"/>
      <c r="K2130" s="5"/>
      <c r="L2130" s="6"/>
      <c r="M2130" s="5" t="str">
        <f aca="false">IF(AND(N(K2130)&gt;0,N(L2130)&gt;0),K2130/L2130,"")</f>
        <v/>
      </c>
      <c r="N2130" s="2" t="s">
        <v>1226</v>
      </c>
    </row>
    <row r="2131" customFormat="false" ht="15" hidden="false" customHeight="false" outlineLevel="0" collapsed="false">
      <c r="A2131" s="2" t="n">
        <v>2130</v>
      </c>
      <c r="B2131" s="2" t="s">
        <v>4546</v>
      </c>
      <c r="C2131" s="2" t="s">
        <v>4547</v>
      </c>
      <c r="D2131" s="2"/>
      <c r="E2131" s="2" t="s">
        <v>289</v>
      </c>
      <c r="F2131" s="3" t="n">
        <v>5.8E-005</v>
      </c>
      <c r="G2131" s="3" t="n">
        <f aca="false">SUM($F$2:F2131)</f>
        <v>0.940584</v>
      </c>
      <c r="H2131" s="4"/>
      <c r="I2131" s="5"/>
      <c r="J2131" s="4"/>
      <c r="K2131" s="5"/>
      <c r="L2131" s="6"/>
      <c r="M2131" s="5" t="str">
        <f aca="false">IF(AND(N(K2131)&gt;0,N(L2131)&gt;0),K2131/L2131,"")</f>
        <v/>
      </c>
      <c r="N2131" s="2" t="s">
        <v>1226</v>
      </c>
    </row>
    <row r="2132" customFormat="false" ht="15" hidden="false" customHeight="false" outlineLevel="0" collapsed="false">
      <c r="A2132" s="2" t="n">
        <v>2131</v>
      </c>
      <c r="B2132" s="2" t="s">
        <v>4548</v>
      </c>
      <c r="C2132" s="2" t="s">
        <v>4549</v>
      </c>
      <c r="D2132" s="2"/>
      <c r="E2132" s="2" t="s">
        <v>289</v>
      </c>
      <c r="F2132" s="3" t="n">
        <v>5.8E-005</v>
      </c>
      <c r="G2132" s="3" t="n">
        <f aca="false">SUM($F$2:F2132)</f>
        <v>0.940642</v>
      </c>
      <c r="H2132" s="4"/>
      <c r="I2132" s="5"/>
      <c r="J2132" s="4"/>
      <c r="K2132" s="5"/>
      <c r="L2132" s="6"/>
      <c r="M2132" s="5" t="str">
        <f aca="false">IF(AND(N(K2132)&gt;0,N(L2132)&gt;0),K2132/L2132,"")</f>
        <v/>
      </c>
      <c r="N2132" s="2" t="s">
        <v>1226</v>
      </c>
    </row>
    <row r="2133" customFormat="false" ht="15" hidden="false" customHeight="false" outlineLevel="0" collapsed="false">
      <c r="A2133" s="2" t="n">
        <v>2132</v>
      </c>
      <c r="B2133" s="2" t="s">
        <v>4550</v>
      </c>
      <c r="C2133" s="2" t="s">
        <v>4551</v>
      </c>
      <c r="D2133" s="2"/>
      <c r="E2133" s="2" t="s">
        <v>48</v>
      </c>
      <c r="F2133" s="3" t="n">
        <v>5.8E-005</v>
      </c>
      <c r="G2133" s="3" t="n">
        <f aca="false">SUM($F$2:F2133)</f>
        <v>0.9407</v>
      </c>
      <c r="H2133" s="4"/>
      <c r="I2133" s="5"/>
      <c r="J2133" s="4"/>
      <c r="K2133" s="5"/>
      <c r="L2133" s="6"/>
      <c r="M2133" s="5" t="str">
        <f aca="false">IF(AND(N(K2133)&gt;0,N(L2133)&gt;0),K2133/L2133,"")</f>
        <v/>
      </c>
      <c r="N2133" s="2" t="s">
        <v>1226</v>
      </c>
    </row>
    <row r="2134" customFormat="false" ht="15" hidden="false" customHeight="false" outlineLevel="0" collapsed="false">
      <c r="A2134" s="2" t="n">
        <v>2133</v>
      </c>
      <c r="B2134" s="2" t="s">
        <v>4552</v>
      </c>
      <c r="C2134" s="2" t="s">
        <v>4553</v>
      </c>
      <c r="D2134" s="2"/>
      <c r="E2134" s="2" t="s">
        <v>29</v>
      </c>
      <c r="F2134" s="3" t="n">
        <v>5.8E-005</v>
      </c>
      <c r="G2134" s="3" t="n">
        <f aca="false">SUM($F$2:F2134)</f>
        <v>0.940758</v>
      </c>
      <c r="H2134" s="4"/>
      <c r="I2134" s="5"/>
      <c r="J2134" s="4"/>
      <c r="K2134" s="5"/>
      <c r="L2134" s="6"/>
      <c r="M2134" s="5" t="str">
        <f aca="false">IF(AND(N(K2134)&gt;0,N(L2134)&gt;0),K2134/L2134,"")</f>
        <v/>
      </c>
      <c r="N2134" s="2" t="s">
        <v>1226</v>
      </c>
    </row>
    <row r="2135" customFormat="false" ht="15" hidden="false" customHeight="false" outlineLevel="0" collapsed="false">
      <c r="A2135" s="2" t="n">
        <v>2134</v>
      </c>
      <c r="B2135" s="2" t="s">
        <v>4554</v>
      </c>
      <c r="C2135" s="2" t="s">
        <v>4555</v>
      </c>
      <c r="D2135" s="2"/>
      <c r="E2135" s="2" t="s">
        <v>82</v>
      </c>
      <c r="F2135" s="3" t="n">
        <v>5.8E-005</v>
      </c>
      <c r="G2135" s="3" t="n">
        <f aca="false">SUM($F$2:F2135)</f>
        <v>0.940816</v>
      </c>
      <c r="H2135" s="4"/>
      <c r="I2135" s="5"/>
      <c r="J2135" s="4"/>
      <c r="K2135" s="5"/>
      <c r="L2135" s="6"/>
      <c r="M2135" s="5" t="str">
        <f aca="false">IF(AND(N(K2135)&gt;0,N(L2135)&gt;0),K2135/L2135,"")</f>
        <v/>
      </c>
      <c r="N2135" s="2" t="s">
        <v>1226</v>
      </c>
    </row>
    <row r="2136" customFormat="false" ht="15" hidden="false" customHeight="false" outlineLevel="0" collapsed="false">
      <c r="A2136" s="2" t="n">
        <v>2135</v>
      </c>
      <c r="B2136" s="2" t="s">
        <v>4556</v>
      </c>
      <c r="C2136" s="2" t="s">
        <v>4557</v>
      </c>
      <c r="D2136" s="2"/>
      <c r="E2136" s="2" t="s">
        <v>679</v>
      </c>
      <c r="F2136" s="3" t="n">
        <v>5.8E-005</v>
      </c>
      <c r="G2136" s="3" t="n">
        <f aca="false">SUM($F$2:F2136)</f>
        <v>0.940874</v>
      </c>
      <c r="H2136" s="4"/>
      <c r="I2136" s="5"/>
      <c r="J2136" s="4"/>
      <c r="K2136" s="5"/>
      <c r="L2136" s="6"/>
      <c r="M2136" s="5" t="str">
        <f aca="false">IF(AND(N(K2136)&gt;0,N(L2136)&gt;0),K2136/L2136,"")</f>
        <v/>
      </c>
      <c r="N2136" s="2" t="s">
        <v>1226</v>
      </c>
    </row>
    <row r="2137" customFormat="false" ht="15" hidden="false" customHeight="false" outlineLevel="0" collapsed="false">
      <c r="A2137" s="2" t="n">
        <v>2136</v>
      </c>
      <c r="B2137" s="2" t="s">
        <v>4558</v>
      </c>
      <c r="C2137" s="2" t="s">
        <v>4559</v>
      </c>
      <c r="D2137" s="2"/>
      <c r="E2137" s="2" t="s">
        <v>296</v>
      </c>
      <c r="F2137" s="3" t="n">
        <v>5.8E-005</v>
      </c>
      <c r="G2137" s="3" t="n">
        <f aca="false">SUM($F$2:F2137)</f>
        <v>0.940932</v>
      </c>
      <c r="H2137" s="4"/>
      <c r="I2137" s="5"/>
      <c r="J2137" s="4"/>
      <c r="K2137" s="5"/>
      <c r="L2137" s="6"/>
      <c r="M2137" s="5" t="str">
        <f aca="false">IF(AND(N(K2137)&gt;0,N(L2137)&gt;0),K2137/L2137,"")</f>
        <v/>
      </c>
      <c r="N2137" s="2" t="s">
        <v>1226</v>
      </c>
    </row>
    <row r="2138" customFormat="false" ht="15" hidden="false" customHeight="false" outlineLevel="0" collapsed="false">
      <c r="A2138" s="2" t="n">
        <v>2137</v>
      </c>
      <c r="B2138" s="2" t="s">
        <v>4560</v>
      </c>
      <c r="C2138" s="2" t="s">
        <v>4561</v>
      </c>
      <c r="D2138" s="2"/>
      <c r="E2138" s="2" t="s">
        <v>52</v>
      </c>
      <c r="F2138" s="3" t="n">
        <v>5.8E-005</v>
      </c>
      <c r="G2138" s="3" t="n">
        <f aca="false">SUM($F$2:F2138)</f>
        <v>0.94099</v>
      </c>
      <c r="H2138" s="4"/>
      <c r="I2138" s="5"/>
      <c r="J2138" s="4"/>
      <c r="K2138" s="5"/>
      <c r="L2138" s="6"/>
      <c r="M2138" s="5" t="str">
        <f aca="false">IF(AND(N(K2138)&gt;0,N(L2138)&gt;0),K2138/L2138,"")</f>
        <v/>
      </c>
      <c r="N2138" s="2" t="s">
        <v>1226</v>
      </c>
    </row>
    <row r="2139" customFormat="false" ht="15" hidden="false" customHeight="false" outlineLevel="0" collapsed="false">
      <c r="A2139" s="2" t="n">
        <v>2138</v>
      </c>
      <c r="B2139" s="2" t="s">
        <v>4562</v>
      </c>
      <c r="C2139" s="2" t="s">
        <v>4563</v>
      </c>
      <c r="D2139" s="2"/>
      <c r="E2139" s="2" t="s">
        <v>29</v>
      </c>
      <c r="F2139" s="3" t="n">
        <v>5.8E-005</v>
      </c>
      <c r="G2139" s="3" t="n">
        <f aca="false">SUM($F$2:F2139)</f>
        <v>0.941048</v>
      </c>
      <c r="H2139" s="4"/>
      <c r="I2139" s="5"/>
      <c r="J2139" s="4"/>
      <c r="K2139" s="5"/>
      <c r="L2139" s="6"/>
      <c r="M2139" s="5" t="str">
        <f aca="false">IF(AND(N(K2139)&gt;0,N(L2139)&gt;0),K2139/L2139,"")</f>
        <v/>
      </c>
      <c r="N2139" s="2" t="s">
        <v>1226</v>
      </c>
    </row>
    <row r="2140" customFormat="false" ht="15" hidden="false" customHeight="false" outlineLevel="0" collapsed="false">
      <c r="A2140" s="2" t="n">
        <v>2139</v>
      </c>
      <c r="B2140" s="2" t="s">
        <v>4564</v>
      </c>
      <c r="C2140" s="2" t="s">
        <v>4565</v>
      </c>
      <c r="D2140" s="2"/>
      <c r="E2140" s="2" t="s">
        <v>52</v>
      </c>
      <c r="F2140" s="3" t="n">
        <v>5.8E-005</v>
      </c>
      <c r="G2140" s="3" t="n">
        <f aca="false">SUM($F$2:F2140)</f>
        <v>0.941106</v>
      </c>
      <c r="H2140" s="4"/>
      <c r="I2140" s="5"/>
      <c r="J2140" s="4"/>
      <c r="K2140" s="5"/>
      <c r="L2140" s="6"/>
      <c r="M2140" s="5" t="str">
        <f aca="false">IF(AND(N(K2140)&gt;0,N(L2140)&gt;0),K2140/L2140,"")</f>
        <v/>
      </c>
      <c r="N2140" s="2" t="s">
        <v>1226</v>
      </c>
    </row>
    <row r="2141" customFormat="false" ht="15" hidden="false" customHeight="false" outlineLevel="0" collapsed="false">
      <c r="A2141" s="2" t="n">
        <v>2140</v>
      </c>
      <c r="B2141" s="2" t="s">
        <v>4566</v>
      </c>
      <c r="C2141" s="2" t="s">
        <v>4567</v>
      </c>
      <c r="D2141" s="2"/>
      <c r="E2141" s="2" t="s">
        <v>1050</v>
      </c>
      <c r="F2141" s="3" t="n">
        <v>5.8E-005</v>
      </c>
      <c r="G2141" s="3" t="n">
        <f aca="false">SUM($F$2:F2141)</f>
        <v>0.941164</v>
      </c>
      <c r="H2141" s="4"/>
      <c r="I2141" s="5"/>
      <c r="J2141" s="4"/>
      <c r="K2141" s="5"/>
      <c r="L2141" s="6"/>
      <c r="M2141" s="5" t="str">
        <f aca="false">IF(AND(N(K2141)&gt;0,N(L2141)&gt;0),K2141/L2141,"")</f>
        <v/>
      </c>
      <c r="N2141" s="2" t="s">
        <v>1226</v>
      </c>
    </row>
    <row r="2142" customFormat="false" ht="15" hidden="false" customHeight="false" outlineLevel="0" collapsed="false">
      <c r="A2142" s="2" t="n">
        <v>2141</v>
      </c>
      <c r="B2142" s="2" t="s">
        <v>4568</v>
      </c>
      <c r="C2142" s="2" t="s">
        <v>4569</v>
      </c>
      <c r="D2142" s="2"/>
      <c r="E2142" s="2" t="s">
        <v>52</v>
      </c>
      <c r="F2142" s="3" t="n">
        <v>5.7E-005</v>
      </c>
      <c r="G2142" s="3" t="n">
        <f aca="false">SUM($F$2:F2142)</f>
        <v>0.941221</v>
      </c>
      <c r="H2142" s="4"/>
      <c r="I2142" s="5"/>
      <c r="J2142" s="4"/>
      <c r="K2142" s="5"/>
      <c r="L2142" s="6"/>
      <c r="M2142" s="5" t="str">
        <f aca="false">IF(AND(N(K2142)&gt;0,N(L2142)&gt;0),K2142/L2142,"")</f>
        <v/>
      </c>
      <c r="N2142" s="2" t="s">
        <v>1226</v>
      </c>
    </row>
    <row r="2143" customFormat="false" ht="15" hidden="false" customHeight="false" outlineLevel="0" collapsed="false">
      <c r="A2143" s="2" t="n">
        <v>2142</v>
      </c>
      <c r="B2143" s="2" t="s">
        <v>3761</v>
      </c>
      <c r="C2143" s="2" t="s">
        <v>4570</v>
      </c>
      <c r="D2143" s="2"/>
      <c r="E2143" s="2" t="s">
        <v>1588</v>
      </c>
      <c r="F2143" s="3" t="n">
        <v>5.7E-005</v>
      </c>
      <c r="G2143" s="3" t="n">
        <f aca="false">SUM($F$2:F2143)</f>
        <v>0.941278</v>
      </c>
      <c r="H2143" s="4"/>
      <c r="I2143" s="5"/>
      <c r="J2143" s="4"/>
      <c r="K2143" s="5"/>
      <c r="L2143" s="6"/>
      <c r="M2143" s="5" t="str">
        <f aca="false">IF(AND(N(K2143)&gt;0,N(L2143)&gt;0),K2143/L2143,"")</f>
        <v/>
      </c>
      <c r="N2143" s="2" t="s">
        <v>1226</v>
      </c>
    </row>
    <row r="2144" customFormat="false" ht="15" hidden="false" customHeight="false" outlineLevel="0" collapsed="false">
      <c r="A2144" s="2" t="n">
        <v>2143</v>
      </c>
      <c r="B2144" s="2" t="s">
        <v>4571</v>
      </c>
      <c r="C2144" s="2" t="s">
        <v>4572</v>
      </c>
      <c r="D2144" s="2"/>
      <c r="E2144" s="2" t="s">
        <v>1245</v>
      </c>
      <c r="F2144" s="3" t="n">
        <v>5.7E-005</v>
      </c>
      <c r="G2144" s="3" t="n">
        <f aca="false">SUM($F$2:F2144)</f>
        <v>0.941335</v>
      </c>
      <c r="H2144" s="4"/>
      <c r="I2144" s="5"/>
      <c r="J2144" s="4"/>
      <c r="K2144" s="5"/>
      <c r="L2144" s="6"/>
      <c r="M2144" s="5" t="str">
        <f aca="false">IF(AND(N(K2144)&gt;0,N(L2144)&gt;0),K2144/L2144,"")</f>
        <v/>
      </c>
      <c r="N2144" s="2" t="s">
        <v>1226</v>
      </c>
    </row>
    <row r="2145" customFormat="false" ht="15" hidden="false" customHeight="false" outlineLevel="0" collapsed="false">
      <c r="A2145" s="2" t="n">
        <v>2144</v>
      </c>
      <c r="B2145" s="2" t="s">
        <v>4573</v>
      </c>
      <c r="C2145" s="2" t="s">
        <v>4574</v>
      </c>
      <c r="D2145" s="2"/>
      <c r="E2145" s="2" t="s">
        <v>2264</v>
      </c>
      <c r="F2145" s="3" t="n">
        <v>5.7E-005</v>
      </c>
      <c r="G2145" s="3" t="n">
        <f aca="false">SUM($F$2:F2145)</f>
        <v>0.941392</v>
      </c>
      <c r="H2145" s="4"/>
      <c r="I2145" s="5"/>
      <c r="J2145" s="4"/>
      <c r="K2145" s="5"/>
      <c r="L2145" s="6"/>
      <c r="M2145" s="5" t="str">
        <f aca="false">IF(AND(N(K2145)&gt;0,N(L2145)&gt;0),K2145/L2145,"")</f>
        <v/>
      </c>
      <c r="N2145" s="2" t="s">
        <v>1226</v>
      </c>
    </row>
    <row r="2146" customFormat="false" ht="15" hidden="false" customHeight="false" outlineLevel="0" collapsed="false">
      <c r="A2146" s="2" t="n">
        <v>2145</v>
      </c>
      <c r="B2146" s="2" t="s">
        <v>4575</v>
      </c>
      <c r="C2146" s="2" t="s">
        <v>4576</v>
      </c>
      <c r="D2146" s="2"/>
      <c r="E2146" s="2" t="s">
        <v>334</v>
      </c>
      <c r="F2146" s="3" t="n">
        <v>5.7E-005</v>
      </c>
      <c r="G2146" s="3" t="n">
        <f aca="false">SUM($F$2:F2146)</f>
        <v>0.941449</v>
      </c>
      <c r="H2146" s="4"/>
      <c r="I2146" s="5"/>
      <c r="J2146" s="4"/>
      <c r="K2146" s="5"/>
      <c r="L2146" s="6"/>
      <c r="M2146" s="5" t="str">
        <f aca="false">IF(AND(N(K2146)&gt;0,N(L2146)&gt;0),K2146/L2146,"")</f>
        <v/>
      </c>
      <c r="N2146" s="2" t="s">
        <v>1226</v>
      </c>
    </row>
    <row r="2147" customFormat="false" ht="15" hidden="false" customHeight="false" outlineLevel="0" collapsed="false">
      <c r="A2147" s="2" t="n">
        <v>2146</v>
      </c>
      <c r="B2147" s="2" t="s">
        <v>4577</v>
      </c>
      <c r="C2147" s="2" t="s">
        <v>4578</v>
      </c>
      <c r="D2147" s="2"/>
      <c r="E2147" s="2" t="s">
        <v>1345</v>
      </c>
      <c r="F2147" s="3" t="n">
        <v>5.7E-005</v>
      </c>
      <c r="G2147" s="3" t="n">
        <f aca="false">SUM($F$2:F2147)</f>
        <v>0.941506</v>
      </c>
      <c r="H2147" s="4"/>
      <c r="I2147" s="5"/>
      <c r="J2147" s="4"/>
      <c r="K2147" s="5"/>
      <c r="L2147" s="6"/>
      <c r="M2147" s="5" t="str">
        <f aca="false">IF(AND(N(K2147)&gt;0,N(L2147)&gt;0),K2147/L2147,"")</f>
        <v/>
      </c>
      <c r="N2147" s="2" t="s">
        <v>1226</v>
      </c>
    </row>
    <row r="2148" customFormat="false" ht="15" hidden="false" customHeight="false" outlineLevel="0" collapsed="false">
      <c r="A2148" s="2" t="n">
        <v>2147</v>
      </c>
      <c r="B2148" s="2" t="s">
        <v>4579</v>
      </c>
      <c r="C2148" s="2" t="s">
        <v>4580</v>
      </c>
      <c r="D2148" s="2"/>
      <c r="E2148" s="2" t="s">
        <v>17</v>
      </c>
      <c r="F2148" s="3" t="n">
        <v>5.7E-005</v>
      </c>
      <c r="G2148" s="3" t="n">
        <f aca="false">SUM($F$2:F2148)</f>
        <v>0.941563</v>
      </c>
      <c r="H2148" s="4"/>
      <c r="I2148" s="5"/>
      <c r="J2148" s="4"/>
      <c r="K2148" s="5"/>
      <c r="L2148" s="6"/>
      <c r="M2148" s="5" t="str">
        <f aca="false">IF(AND(N(K2148)&gt;0,N(L2148)&gt;0),K2148/L2148,"")</f>
        <v/>
      </c>
      <c r="N2148" s="2" t="s">
        <v>1226</v>
      </c>
    </row>
    <row r="2149" customFormat="false" ht="15" hidden="false" customHeight="false" outlineLevel="0" collapsed="false">
      <c r="A2149" s="2" t="n">
        <v>2148</v>
      </c>
      <c r="B2149" s="2" t="s">
        <v>4581</v>
      </c>
      <c r="C2149" s="2" t="s">
        <v>4582</v>
      </c>
      <c r="D2149" s="2"/>
      <c r="E2149" s="2" t="s">
        <v>1295</v>
      </c>
      <c r="F2149" s="3" t="n">
        <v>5.7E-005</v>
      </c>
      <c r="G2149" s="3" t="n">
        <f aca="false">SUM($F$2:F2149)</f>
        <v>0.94162</v>
      </c>
      <c r="H2149" s="4"/>
      <c r="I2149" s="5"/>
      <c r="J2149" s="4"/>
      <c r="K2149" s="5"/>
      <c r="L2149" s="6"/>
      <c r="M2149" s="5" t="str">
        <f aca="false">IF(AND(N(K2149)&gt;0,N(L2149)&gt;0),K2149/L2149,"")</f>
        <v/>
      </c>
      <c r="N2149" s="2" t="s">
        <v>1226</v>
      </c>
    </row>
    <row r="2150" customFormat="false" ht="15" hidden="false" customHeight="false" outlineLevel="0" collapsed="false">
      <c r="A2150" s="2" t="n">
        <v>2149</v>
      </c>
      <c r="B2150" s="2" t="s">
        <v>4583</v>
      </c>
      <c r="C2150" s="2" t="s">
        <v>4584</v>
      </c>
      <c r="D2150" s="2"/>
      <c r="E2150" s="2" t="s">
        <v>43</v>
      </c>
      <c r="F2150" s="3" t="n">
        <v>5.7E-005</v>
      </c>
      <c r="G2150" s="3" t="n">
        <f aca="false">SUM($F$2:F2150)</f>
        <v>0.941677</v>
      </c>
      <c r="H2150" s="4"/>
      <c r="I2150" s="5"/>
      <c r="J2150" s="4"/>
      <c r="K2150" s="5"/>
      <c r="L2150" s="6"/>
      <c r="M2150" s="5" t="str">
        <f aca="false">IF(AND(N(K2150)&gt;0,N(L2150)&gt;0),K2150/L2150,"")</f>
        <v/>
      </c>
      <c r="N2150" s="2" t="s">
        <v>1226</v>
      </c>
    </row>
    <row r="2151" customFormat="false" ht="15" hidden="false" customHeight="false" outlineLevel="0" collapsed="false">
      <c r="A2151" s="2" t="n">
        <v>2150</v>
      </c>
      <c r="B2151" s="2" t="s">
        <v>4585</v>
      </c>
      <c r="C2151" s="2" t="s">
        <v>4586</v>
      </c>
      <c r="D2151" s="2"/>
      <c r="E2151" s="2" t="s">
        <v>52</v>
      </c>
      <c r="F2151" s="3" t="n">
        <v>5.7E-005</v>
      </c>
      <c r="G2151" s="3" t="n">
        <f aca="false">SUM($F$2:F2151)</f>
        <v>0.941734</v>
      </c>
      <c r="H2151" s="4"/>
      <c r="I2151" s="5"/>
      <c r="J2151" s="4"/>
      <c r="K2151" s="5"/>
      <c r="L2151" s="6"/>
      <c r="M2151" s="5" t="str">
        <f aca="false">IF(AND(N(K2151)&gt;0,N(L2151)&gt;0),K2151/L2151,"")</f>
        <v/>
      </c>
      <c r="N2151" s="2" t="s">
        <v>1226</v>
      </c>
    </row>
    <row r="2152" customFormat="false" ht="15" hidden="false" customHeight="false" outlineLevel="0" collapsed="false">
      <c r="A2152" s="2" t="n">
        <v>2151</v>
      </c>
      <c r="B2152" s="2" t="s">
        <v>4587</v>
      </c>
      <c r="C2152" s="2" t="s">
        <v>4588</v>
      </c>
      <c r="D2152" s="2"/>
      <c r="E2152" s="2" t="s">
        <v>38</v>
      </c>
      <c r="F2152" s="3" t="n">
        <v>5.7E-005</v>
      </c>
      <c r="G2152" s="3" t="n">
        <f aca="false">SUM($F$2:F2152)</f>
        <v>0.941791</v>
      </c>
      <c r="H2152" s="4"/>
      <c r="I2152" s="5"/>
      <c r="J2152" s="4"/>
      <c r="K2152" s="5"/>
      <c r="L2152" s="6"/>
      <c r="M2152" s="5" t="str">
        <f aca="false">IF(AND(N(K2152)&gt;0,N(L2152)&gt;0),K2152/L2152,"")</f>
        <v/>
      </c>
      <c r="N2152" s="2" t="s">
        <v>1226</v>
      </c>
    </row>
    <row r="2153" customFormat="false" ht="15" hidden="false" customHeight="false" outlineLevel="0" collapsed="false">
      <c r="A2153" s="2" t="n">
        <v>2152</v>
      </c>
      <c r="B2153" s="2" t="s">
        <v>4589</v>
      </c>
      <c r="C2153" s="2" t="s">
        <v>4590</v>
      </c>
      <c r="D2153" s="2"/>
      <c r="E2153" s="2" t="s">
        <v>52</v>
      </c>
      <c r="F2153" s="3" t="n">
        <v>5.7E-005</v>
      </c>
      <c r="G2153" s="3" t="n">
        <f aca="false">SUM($F$2:F2153)</f>
        <v>0.941848</v>
      </c>
      <c r="H2153" s="4"/>
      <c r="I2153" s="5"/>
      <c r="J2153" s="4"/>
      <c r="K2153" s="5"/>
      <c r="L2153" s="6"/>
      <c r="M2153" s="5" t="str">
        <f aca="false">IF(AND(N(K2153)&gt;0,N(L2153)&gt;0),K2153/L2153,"")</f>
        <v/>
      </c>
      <c r="N2153" s="2" t="s">
        <v>1226</v>
      </c>
    </row>
    <row r="2154" customFormat="false" ht="15" hidden="false" customHeight="false" outlineLevel="0" collapsed="false">
      <c r="A2154" s="2" t="n">
        <v>2153</v>
      </c>
      <c r="B2154" s="2" t="s">
        <v>4591</v>
      </c>
      <c r="C2154" s="2" t="s">
        <v>4592</v>
      </c>
      <c r="D2154" s="2"/>
      <c r="E2154" s="2" t="s">
        <v>1345</v>
      </c>
      <c r="F2154" s="3" t="n">
        <v>5.6E-005</v>
      </c>
      <c r="G2154" s="3" t="n">
        <f aca="false">SUM($F$2:F2154)</f>
        <v>0.941904</v>
      </c>
      <c r="H2154" s="4"/>
      <c r="I2154" s="5"/>
      <c r="J2154" s="4"/>
      <c r="K2154" s="5"/>
      <c r="L2154" s="6"/>
      <c r="M2154" s="5" t="str">
        <f aca="false">IF(AND(N(K2154)&gt;0,N(L2154)&gt;0),K2154/L2154,"")</f>
        <v/>
      </c>
      <c r="N2154" s="2" t="s">
        <v>1226</v>
      </c>
    </row>
    <row r="2155" customFormat="false" ht="15" hidden="false" customHeight="false" outlineLevel="0" collapsed="false">
      <c r="A2155" s="2" t="n">
        <v>2154</v>
      </c>
      <c r="B2155" s="2" t="s">
        <v>4593</v>
      </c>
      <c r="C2155" s="2" t="s">
        <v>4594</v>
      </c>
      <c r="D2155" s="2"/>
      <c r="E2155" s="2" t="s">
        <v>17</v>
      </c>
      <c r="F2155" s="3" t="n">
        <v>5.6E-005</v>
      </c>
      <c r="G2155" s="3" t="n">
        <f aca="false">SUM($F$2:F2155)</f>
        <v>0.94196</v>
      </c>
      <c r="H2155" s="4"/>
      <c r="I2155" s="5"/>
      <c r="J2155" s="4"/>
      <c r="K2155" s="5"/>
      <c r="L2155" s="6"/>
      <c r="M2155" s="5" t="str">
        <f aca="false">IF(AND(N(K2155)&gt;0,N(L2155)&gt;0),K2155/L2155,"")</f>
        <v/>
      </c>
      <c r="N2155" s="2" t="s">
        <v>1226</v>
      </c>
    </row>
    <row r="2156" customFormat="false" ht="15" hidden="false" customHeight="false" outlineLevel="0" collapsed="false">
      <c r="A2156" s="2" t="n">
        <v>2155</v>
      </c>
      <c r="B2156" s="2" t="s">
        <v>4595</v>
      </c>
      <c r="C2156" s="2" t="s">
        <v>4596</v>
      </c>
      <c r="D2156" s="2"/>
      <c r="E2156" s="2" t="s">
        <v>48</v>
      </c>
      <c r="F2156" s="3" t="n">
        <v>5.6E-005</v>
      </c>
      <c r="G2156" s="3" t="n">
        <f aca="false">SUM($F$2:F2156)</f>
        <v>0.942016</v>
      </c>
      <c r="H2156" s="4"/>
      <c r="I2156" s="5"/>
      <c r="J2156" s="4"/>
      <c r="K2156" s="5"/>
      <c r="L2156" s="6"/>
      <c r="M2156" s="5" t="str">
        <f aca="false">IF(AND(N(K2156)&gt;0,N(L2156)&gt;0),K2156/L2156,"")</f>
        <v/>
      </c>
      <c r="N2156" s="2" t="s">
        <v>1226</v>
      </c>
    </row>
    <row r="2157" customFormat="false" ht="15" hidden="false" customHeight="false" outlineLevel="0" collapsed="false">
      <c r="A2157" s="2" t="n">
        <v>2156</v>
      </c>
      <c r="B2157" s="2" t="s">
        <v>4597</v>
      </c>
      <c r="C2157" s="2" t="s">
        <v>4598</v>
      </c>
      <c r="D2157" s="2"/>
      <c r="E2157" s="2" t="s">
        <v>614</v>
      </c>
      <c r="F2157" s="3" t="n">
        <v>5.6E-005</v>
      </c>
      <c r="G2157" s="3" t="n">
        <f aca="false">SUM($F$2:F2157)</f>
        <v>0.942072</v>
      </c>
      <c r="H2157" s="4"/>
      <c r="I2157" s="5"/>
      <c r="J2157" s="4"/>
      <c r="K2157" s="5"/>
      <c r="L2157" s="6"/>
      <c r="M2157" s="5" t="str">
        <f aca="false">IF(AND(N(K2157)&gt;0,N(L2157)&gt;0),K2157/L2157,"")</f>
        <v/>
      </c>
      <c r="N2157" s="2" t="s">
        <v>1226</v>
      </c>
    </row>
    <row r="2158" customFormat="false" ht="15" hidden="false" customHeight="false" outlineLevel="0" collapsed="false">
      <c r="A2158" s="2" t="n">
        <v>2157</v>
      </c>
      <c r="B2158" s="2" t="s">
        <v>4599</v>
      </c>
      <c r="C2158" s="2" t="s">
        <v>4600</v>
      </c>
      <c r="D2158" s="2"/>
      <c r="E2158" s="2" t="s">
        <v>82</v>
      </c>
      <c r="F2158" s="3" t="n">
        <v>5.6E-005</v>
      </c>
      <c r="G2158" s="3" t="n">
        <f aca="false">SUM($F$2:F2158)</f>
        <v>0.942128</v>
      </c>
      <c r="H2158" s="4"/>
      <c r="I2158" s="5"/>
      <c r="J2158" s="4"/>
      <c r="K2158" s="5"/>
      <c r="L2158" s="6"/>
      <c r="M2158" s="5" t="str">
        <f aca="false">IF(AND(N(K2158)&gt;0,N(L2158)&gt;0),K2158/L2158,"")</f>
        <v/>
      </c>
      <c r="N2158" s="2" t="s">
        <v>1226</v>
      </c>
    </row>
    <row r="2159" customFormat="false" ht="15" hidden="false" customHeight="false" outlineLevel="0" collapsed="false">
      <c r="A2159" s="2" t="n">
        <v>2158</v>
      </c>
      <c r="B2159" s="2" t="s">
        <v>4601</v>
      </c>
      <c r="C2159" s="2" t="s">
        <v>4602</v>
      </c>
      <c r="D2159" s="2"/>
      <c r="E2159" s="2" t="s">
        <v>1345</v>
      </c>
      <c r="F2159" s="3" t="n">
        <v>5.6E-005</v>
      </c>
      <c r="G2159" s="3" t="n">
        <f aca="false">SUM($F$2:F2159)</f>
        <v>0.942184</v>
      </c>
      <c r="H2159" s="4"/>
      <c r="I2159" s="5"/>
      <c r="J2159" s="4"/>
      <c r="K2159" s="5"/>
      <c r="L2159" s="6"/>
      <c r="M2159" s="5" t="str">
        <f aca="false">IF(AND(N(K2159)&gt;0,N(L2159)&gt;0),K2159/L2159,"")</f>
        <v/>
      </c>
      <c r="N2159" s="2" t="s">
        <v>1226</v>
      </c>
    </row>
    <row r="2160" customFormat="false" ht="15" hidden="false" customHeight="false" outlineLevel="0" collapsed="false">
      <c r="A2160" s="2" t="n">
        <v>2159</v>
      </c>
      <c r="B2160" s="2" t="s">
        <v>4603</v>
      </c>
      <c r="C2160" s="2" t="s">
        <v>4604</v>
      </c>
      <c r="D2160" s="2"/>
      <c r="E2160" s="2" t="s">
        <v>33</v>
      </c>
      <c r="F2160" s="3" t="n">
        <v>5.6E-005</v>
      </c>
      <c r="G2160" s="3" t="n">
        <f aca="false">SUM($F$2:F2160)</f>
        <v>0.94224</v>
      </c>
      <c r="H2160" s="4"/>
      <c r="I2160" s="5"/>
      <c r="J2160" s="4"/>
      <c r="K2160" s="5"/>
      <c r="L2160" s="6"/>
      <c r="M2160" s="5" t="str">
        <f aca="false">IF(AND(N(K2160)&gt;0,N(L2160)&gt;0),K2160/L2160,"")</f>
        <v/>
      </c>
      <c r="N2160" s="2" t="s">
        <v>1226</v>
      </c>
    </row>
    <row r="2161" customFormat="false" ht="15" hidden="false" customHeight="false" outlineLevel="0" collapsed="false">
      <c r="A2161" s="2" t="n">
        <v>2160</v>
      </c>
      <c r="B2161" s="2" t="s">
        <v>4605</v>
      </c>
      <c r="C2161" s="2" t="s">
        <v>4606</v>
      </c>
      <c r="D2161" s="2"/>
      <c r="E2161" s="2" t="s">
        <v>29</v>
      </c>
      <c r="F2161" s="3" t="n">
        <v>5.6E-005</v>
      </c>
      <c r="G2161" s="3" t="n">
        <f aca="false">SUM($F$2:F2161)</f>
        <v>0.942296</v>
      </c>
      <c r="H2161" s="4"/>
      <c r="I2161" s="5"/>
      <c r="J2161" s="4"/>
      <c r="K2161" s="5"/>
      <c r="L2161" s="6"/>
      <c r="M2161" s="5" t="str">
        <f aca="false">IF(AND(N(K2161)&gt;0,N(L2161)&gt;0),K2161/L2161,"")</f>
        <v/>
      </c>
      <c r="N2161" s="2" t="s">
        <v>1226</v>
      </c>
    </row>
    <row r="2162" customFormat="false" ht="15" hidden="false" customHeight="false" outlineLevel="0" collapsed="false">
      <c r="A2162" s="2" t="n">
        <v>2161</v>
      </c>
      <c r="B2162" s="2" t="s">
        <v>4607</v>
      </c>
      <c r="C2162" s="2" t="s">
        <v>4608</v>
      </c>
      <c r="D2162" s="2"/>
      <c r="E2162" s="2" t="s">
        <v>289</v>
      </c>
      <c r="F2162" s="3" t="n">
        <v>5.6E-005</v>
      </c>
      <c r="G2162" s="3" t="n">
        <f aca="false">SUM($F$2:F2162)</f>
        <v>0.942352</v>
      </c>
      <c r="H2162" s="4"/>
      <c r="I2162" s="5"/>
      <c r="J2162" s="4"/>
      <c r="K2162" s="5"/>
      <c r="L2162" s="6"/>
      <c r="M2162" s="5" t="str">
        <f aca="false">IF(AND(N(K2162)&gt;0,N(L2162)&gt;0),K2162/L2162,"")</f>
        <v/>
      </c>
      <c r="N2162" s="2" t="s">
        <v>1226</v>
      </c>
    </row>
    <row r="2163" customFormat="false" ht="15" hidden="false" customHeight="false" outlineLevel="0" collapsed="false">
      <c r="A2163" s="2" t="n">
        <v>2162</v>
      </c>
      <c r="B2163" s="2" t="s">
        <v>4609</v>
      </c>
      <c r="C2163" s="2" t="s">
        <v>4610</v>
      </c>
      <c r="D2163" s="2"/>
      <c r="E2163" s="2" t="s">
        <v>289</v>
      </c>
      <c r="F2163" s="3" t="n">
        <v>5.6E-005</v>
      </c>
      <c r="G2163" s="3" t="n">
        <f aca="false">SUM($F$2:F2163)</f>
        <v>0.942408</v>
      </c>
      <c r="H2163" s="4"/>
      <c r="I2163" s="5"/>
      <c r="J2163" s="4"/>
      <c r="K2163" s="5"/>
      <c r="L2163" s="6"/>
      <c r="M2163" s="5" t="str">
        <f aca="false">IF(AND(N(K2163)&gt;0,N(L2163)&gt;0),K2163/L2163,"")</f>
        <v/>
      </c>
      <c r="N2163" s="2" t="s">
        <v>1226</v>
      </c>
    </row>
    <row r="2164" customFormat="false" ht="15" hidden="false" customHeight="false" outlineLevel="0" collapsed="false">
      <c r="A2164" s="2" t="n">
        <v>2163</v>
      </c>
      <c r="B2164" s="2" t="s">
        <v>4611</v>
      </c>
      <c r="C2164" s="2" t="s">
        <v>4612</v>
      </c>
      <c r="D2164" s="2"/>
      <c r="E2164" s="2" t="s">
        <v>167</v>
      </c>
      <c r="F2164" s="3" t="n">
        <v>5.6E-005</v>
      </c>
      <c r="G2164" s="3" t="n">
        <f aca="false">SUM($F$2:F2164)</f>
        <v>0.942464</v>
      </c>
      <c r="H2164" s="4"/>
      <c r="I2164" s="5"/>
      <c r="J2164" s="4"/>
      <c r="K2164" s="5"/>
      <c r="L2164" s="6"/>
      <c r="M2164" s="5" t="str">
        <f aca="false">IF(AND(N(K2164)&gt;0,N(L2164)&gt;0),K2164/L2164,"")</f>
        <v/>
      </c>
      <c r="N2164" s="2" t="s">
        <v>1226</v>
      </c>
    </row>
    <row r="2165" customFormat="false" ht="15" hidden="false" customHeight="false" outlineLevel="0" collapsed="false">
      <c r="A2165" s="2" t="n">
        <v>2164</v>
      </c>
      <c r="B2165" s="2" t="s">
        <v>4613</v>
      </c>
      <c r="C2165" s="2" t="s">
        <v>4614</v>
      </c>
      <c r="D2165" s="2"/>
      <c r="E2165" s="2" t="s">
        <v>52</v>
      </c>
      <c r="F2165" s="3" t="n">
        <v>5.6E-005</v>
      </c>
      <c r="G2165" s="3" t="n">
        <f aca="false">SUM($F$2:F2165)</f>
        <v>0.94252</v>
      </c>
      <c r="H2165" s="4"/>
      <c r="I2165" s="5"/>
      <c r="J2165" s="4"/>
      <c r="K2165" s="5"/>
      <c r="L2165" s="6"/>
      <c r="M2165" s="5" t="str">
        <f aca="false">IF(AND(N(K2165)&gt;0,N(L2165)&gt;0),K2165/L2165,"")</f>
        <v/>
      </c>
      <c r="N2165" s="2" t="s">
        <v>1226</v>
      </c>
    </row>
    <row r="2166" customFormat="false" ht="15" hidden="false" customHeight="false" outlineLevel="0" collapsed="false">
      <c r="A2166" s="2" t="n">
        <v>2165</v>
      </c>
      <c r="B2166" s="2" t="s">
        <v>4615</v>
      </c>
      <c r="C2166" s="2" t="s">
        <v>4616</v>
      </c>
      <c r="D2166" s="2"/>
      <c r="E2166" s="2" t="s">
        <v>82</v>
      </c>
      <c r="F2166" s="3" t="n">
        <v>5.6E-005</v>
      </c>
      <c r="G2166" s="3" t="n">
        <f aca="false">SUM($F$2:F2166)</f>
        <v>0.942576</v>
      </c>
      <c r="H2166" s="4"/>
      <c r="I2166" s="5"/>
      <c r="J2166" s="4"/>
      <c r="K2166" s="5"/>
      <c r="L2166" s="6"/>
      <c r="M2166" s="5" t="str">
        <f aca="false">IF(AND(N(K2166)&gt;0,N(L2166)&gt;0),K2166/L2166,"")</f>
        <v/>
      </c>
      <c r="N2166" s="2" t="s">
        <v>1226</v>
      </c>
    </row>
    <row r="2167" customFormat="false" ht="15" hidden="false" customHeight="false" outlineLevel="0" collapsed="false">
      <c r="A2167" s="2" t="n">
        <v>2166</v>
      </c>
      <c r="B2167" s="2" t="s">
        <v>4617</v>
      </c>
      <c r="C2167" s="2" t="s">
        <v>4618</v>
      </c>
      <c r="D2167" s="2"/>
      <c r="E2167" s="2" t="s">
        <v>1345</v>
      </c>
      <c r="F2167" s="3" t="n">
        <v>5.6E-005</v>
      </c>
      <c r="G2167" s="3" t="n">
        <f aca="false">SUM($F$2:F2167)</f>
        <v>0.942632</v>
      </c>
      <c r="H2167" s="4"/>
      <c r="I2167" s="5"/>
      <c r="J2167" s="4"/>
      <c r="K2167" s="5"/>
      <c r="L2167" s="6"/>
      <c r="M2167" s="5" t="str">
        <f aca="false">IF(AND(N(K2167)&gt;0,N(L2167)&gt;0),K2167/L2167,"")</f>
        <v/>
      </c>
      <c r="N2167" s="2" t="s">
        <v>1226</v>
      </c>
    </row>
    <row r="2168" customFormat="false" ht="15" hidden="false" customHeight="false" outlineLevel="0" collapsed="false">
      <c r="A2168" s="2" t="n">
        <v>2167</v>
      </c>
      <c r="B2168" s="2" t="s">
        <v>4619</v>
      </c>
      <c r="C2168" s="2" t="s">
        <v>4620</v>
      </c>
      <c r="D2168" s="2"/>
      <c r="E2168" s="2" t="s">
        <v>289</v>
      </c>
      <c r="F2168" s="3" t="n">
        <v>5.6E-005</v>
      </c>
      <c r="G2168" s="3" t="n">
        <f aca="false">SUM($F$2:F2168)</f>
        <v>0.942688</v>
      </c>
      <c r="H2168" s="4"/>
      <c r="I2168" s="5"/>
      <c r="J2168" s="4"/>
      <c r="K2168" s="5"/>
      <c r="L2168" s="6"/>
      <c r="M2168" s="5" t="str">
        <f aca="false">IF(AND(N(K2168)&gt;0,N(L2168)&gt;0),K2168/L2168,"")</f>
        <v/>
      </c>
      <c r="N2168" s="2" t="s">
        <v>1226</v>
      </c>
    </row>
    <row r="2169" customFormat="false" ht="15" hidden="false" customHeight="false" outlineLevel="0" collapsed="false">
      <c r="A2169" s="2" t="n">
        <v>2168</v>
      </c>
      <c r="B2169" s="2" t="s">
        <v>4621</v>
      </c>
      <c r="C2169" s="2" t="s">
        <v>4622</v>
      </c>
      <c r="D2169" s="2"/>
      <c r="E2169" s="2" t="s">
        <v>17</v>
      </c>
      <c r="F2169" s="3" t="n">
        <v>5.6E-005</v>
      </c>
      <c r="G2169" s="3" t="n">
        <f aca="false">SUM($F$2:F2169)</f>
        <v>0.942744</v>
      </c>
      <c r="H2169" s="4"/>
      <c r="I2169" s="5"/>
      <c r="J2169" s="4"/>
      <c r="K2169" s="5"/>
      <c r="L2169" s="6"/>
      <c r="M2169" s="5" t="str">
        <f aca="false">IF(AND(N(K2169)&gt;0,N(L2169)&gt;0),K2169/L2169,"")</f>
        <v/>
      </c>
      <c r="N2169" s="2" t="s">
        <v>1226</v>
      </c>
    </row>
    <row r="2170" customFormat="false" ht="15" hidden="false" customHeight="false" outlineLevel="0" collapsed="false">
      <c r="A2170" s="2" t="n">
        <v>2169</v>
      </c>
      <c r="B2170" s="2" t="s">
        <v>4623</v>
      </c>
      <c r="C2170" s="2" t="s">
        <v>4624</v>
      </c>
      <c r="D2170" s="2"/>
      <c r="E2170" s="2" t="s">
        <v>29</v>
      </c>
      <c r="F2170" s="3" t="n">
        <v>5.6E-005</v>
      </c>
      <c r="G2170" s="3" t="n">
        <f aca="false">SUM($F$2:F2170)</f>
        <v>0.9428</v>
      </c>
      <c r="H2170" s="4"/>
      <c r="I2170" s="5"/>
      <c r="J2170" s="4"/>
      <c r="K2170" s="5"/>
      <c r="L2170" s="6"/>
      <c r="M2170" s="5" t="str">
        <f aca="false">IF(AND(N(K2170)&gt;0,N(L2170)&gt;0),K2170/L2170,"")</f>
        <v/>
      </c>
      <c r="N2170" s="2" t="s">
        <v>1226</v>
      </c>
    </row>
    <row r="2171" customFormat="false" ht="15" hidden="false" customHeight="false" outlineLevel="0" collapsed="false">
      <c r="A2171" s="2" t="n">
        <v>2170</v>
      </c>
      <c r="B2171" s="2" t="s">
        <v>4625</v>
      </c>
      <c r="C2171" s="2" t="s">
        <v>4626</v>
      </c>
      <c r="D2171" s="2"/>
      <c r="E2171" s="2" t="s">
        <v>43</v>
      </c>
      <c r="F2171" s="3" t="n">
        <v>5.6E-005</v>
      </c>
      <c r="G2171" s="3" t="n">
        <f aca="false">SUM($F$2:F2171)</f>
        <v>0.942856</v>
      </c>
      <c r="H2171" s="4"/>
      <c r="I2171" s="5"/>
      <c r="J2171" s="4"/>
      <c r="K2171" s="5"/>
      <c r="L2171" s="6"/>
      <c r="M2171" s="5" t="str">
        <f aca="false">IF(AND(N(K2171)&gt;0,N(L2171)&gt;0),K2171/L2171,"")</f>
        <v/>
      </c>
      <c r="N2171" s="2" t="s">
        <v>1226</v>
      </c>
    </row>
    <row r="2172" customFormat="false" ht="15" hidden="false" customHeight="false" outlineLevel="0" collapsed="false">
      <c r="A2172" s="2" t="n">
        <v>2171</v>
      </c>
      <c r="B2172" s="2" t="s">
        <v>2871</v>
      </c>
      <c r="C2172" s="2" t="s">
        <v>4627</v>
      </c>
      <c r="D2172" s="2"/>
      <c r="E2172" s="2" t="s">
        <v>52</v>
      </c>
      <c r="F2172" s="3" t="n">
        <v>5.6E-005</v>
      </c>
      <c r="G2172" s="3" t="n">
        <f aca="false">SUM($F$2:F2172)</f>
        <v>0.942912</v>
      </c>
      <c r="H2172" s="4"/>
      <c r="I2172" s="5"/>
      <c r="J2172" s="4"/>
      <c r="K2172" s="5"/>
      <c r="L2172" s="6"/>
      <c r="M2172" s="5" t="str">
        <f aca="false">IF(AND(N(K2172)&gt;0,N(L2172)&gt;0),K2172/L2172,"")</f>
        <v/>
      </c>
      <c r="N2172" s="2" t="s">
        <v>1226</v>
      </c>
    </row>
    <row r="2173" customFormat="false" ht="15" hidden="false" customHeight="false" outlineLevel="0" collapsed="false">
      <c r="A2173" s="2" t="n">
        <v>2172</v>
      </c>
      <c r="B2173" s="2" t="s">
        <v>4628</v>
      </c>
      <c r="C2173" s="2" t="s">
        <v>4629</v>
      </c>
      <c r="D2173" s="2"/>
      <c r="E2173" s="2" t="s">
        <v>52</v>
      </c>
      <c r="F2173" s="3" t="n">
        <v>5.6E-005</v>
      </c>
      <c r="G2173" s="3" t="n">
        <f aca="false">SUM($F$2:F2173)</f>
        <v>0.942968</v>
      </c>
      <c r="H2173" s="4"/>
      <c r="I2173" s="5"/>
      <c r="J2173" s="4"/>
      <c r="K2173" s="5"/>
      <c r="L2173" s="6"/>
      <c r="M2173" s="5" t="str">
        <f aca="false">IF(AND(N(K2173)&gt;0,N(L2173)&gt;0),K2173/L2173,"")</f>
        <v/>
      </c>
      <c r="N2173" s="2" t="s">
        <v>1226</v>
      </c>
    </row>
    <row r="2174" customFormat="false" ht="15" hidden="false" customHeight="false" outlineLevel="0" collapsed="false">
      <c r="A2174" s="2" t="n">
        <v>2173</v>
      </c>
      <c r="B2174" s="2" t="s">
        <v>4630</v>
      </c>
      <c r="C2174" s="2" t="s">
        <v>4631</v>
      </c>
      <c r="D2174" s="2"/>
      <c r="E2174" s="2" t="s">
        <v>25</v>
      </c>
      <c r="F2174" s="3" t="n">
        <v>5.6E-005</v>
      </c>
      <c r="G2174" s="3" t="n">
        <f aca="false">SUM($F$2:F2174)</f>
        <v>0.943024</v>
      </c>
      <c r="H2174" s="4"/>
      <c r="I2174" s="5"/>
      <c r="J2174" s="4"/>
      <c r="K2174" s="5"/>
      <c r="L2174" s="6"/>
      <c r="M2174" s="5" t="str">
        <f aca="false">IF(AND(N(K2174)&gt;0,N(L2174)&gt;0),K2174/L2174,"")</f>
        <v/>
      </c>
      <c r="N2174" s="2" t="s">
        <v>1226</v>
      </c>
    </row>
    <row r="2175" customFormat="false" ht="15" hidden="false" customHeight="false" outlineLevel="0" collapsed="false">
      <c r="A2175" s="2" t="n">
        <v>2174</v>
      </c>
      <c r="B2175" s="2" t="s">
        <v>4632</v>
      </c>
      <c r="C2175" s="2" t="s">
        <v>4633</v>
      </c>
      <c r="D2175" s="2"/>
      <c r="E2175" s="2" t="s">
        <v>33</v>
      </c>
      <c r="F2175" s="3" t="n">
        <v>5.6E-005</v>
      </c>
      <c r="G2175" s="3" t="n">
        <f aca="false">SUM($F$2:F2175)</f>
        <v>0.94308</v>
      </c>
      <c r="H2175" s="4"/>
      <c r="I2175" s="5"/>
      <c r="J2175" s="4"/>
      <c r="K2175" s="5"/>
      <c r="L2175" s="6"/>
      <c r="M2175" s="5" t="str">
        <f aca="false">IF(AND(N(K2175)&gt;0,N(L2175)&gt;0),K2175/L2175,"")</f>
        <v/>
      </c>
      <c r="N2175" s="2" t="s">
        <v>1226</v>
      </c>
    </row>
    <row r="2176" customFormat="false" ht="15" hidden="false" customHeight="false" outlineLevel="0" collapsed="false">
      <c r="A2176" s="2" t="n">
        <v>2175</v>
      </c>
      <c r="B2176" s="2" t="s">
        <v>4634</v>
      </c>
      <c r="C2176" s="2" t="s">
        <v>4635</v>
      </c>
      <c r="D2176" s="2"/>
      <c r="E2176" s="2" t="s">
        <v>679</v>
      </c>
      <c r="F2176" s="3" t="n">
        <v>5.6E-005</v>
      </c>
      <c r="G2176" s="3" t="n">
        <f aca="false">SUM($F$2:F2176)</f>
        <v>0.943136</v>
      </c>
      <c r="H2176" s="4"/>
      <c r="I2176" s="5"/>
      <c r="J2176" s="4"/>
      <c r="K2176" s="5"/>
      <c r="L2176" s="6"/>
      <c r="M2176" s="5" t="str">
        <f aca="false">IF(AND(N(K2176)&gt;0,N(L2176)&gt;0),K2176/L2176,"")</f>
        <v/>
      </c>
      <c r="N2176" s="2" t="s">
        <v>1226</v>
      </c>
    </row>
    <row r="2177" customFormat="false" ht="15" hidden="false" customHeight="false" outlineLevel="0" collapsed="false">
      <c r="A2177" s="2" t="n">
        <v>2176</v>
      </c>
      <c r="B2177" s="2" t="s">
        <v>4636</v>
      </c>
      <c r="C2177" s="2" t="s">
        <v>4637</v>
      </c>
      <c r="D2177" s="2"/>
      <c r="E2177" s="2" t="s">
        <v>1334</v>
      </c>
      <c r="F2177" s="3" t="n">
        <v>5.6E-005</v>
      </c>
      <c r="G2177" s="3" t="n">
        <f aca="false">SUM($F$2:F2177)</f>
        <v>0.943192</v>
      </c>
      <c r="H2177" s="4"/>
      <c r="I2177" s="5"/>
      <c r="J2177" s="4"/>
      <c r="K2177" s="5"/>
      <c r="L2177" s="6"/>
      <c r="M2177" s="5" t="str">
        <f aca="false">IF(AND(N(K2177)&gt;0,N(L2177)&gt;0),K2177/L2177,"")</f>
        <v/>
      </c>
      <c r="N2177" s="2" t="s">
        <v>1226</v>
      </c>
    </row>
    <row r="2178" customFormat="false" ht="15" hidden="false" customHeight="false" outlineLevel="0" collapsed="false">
      <c r="A2178" s="2" t="n">
        <v>2177</v>
      </c>
      <c r="B2178" s="2" t="s">
        <v>4638</v>
      </c>
      <c r="C2178" s="2" t="s">
        <v>4639</v>
      </c>
      <c r="D2178" s="2"/>
      <c r="E2178" s="2" t="s">
        <v>334</v>
      </c>
      <c r="F2178" s="3" t="n">
        <v>5.6E-005</v>
      </c>
      <c r="G2178" s="3" t="n">
        <f aca="false">SUM($F$2:F2178)</f>
        <v>0.943248</v>
      </c>
      <c r="H2178" s="4"/>
      <c r="I2178" s="5"/>
      <c r="J2178" s="4"/>
      <c r="K2178" s="5"/>
      <c r="L2178" s="6"/>
      <c r="M2178" s="5" t="str">
        <f aca="false">IF(AND(N(K2178)&gt;0,N(L2178)&gt;0),K2178/L2178,"")</f>
        <v/>
      </c>
      <c r="N2178" s="2" t="s">
        <v>1226</v>
      </c>
    </row>
    <row r="2179" customFormat="false" ht="15" hidden="false" customHeight="false" outlineLevel="0" collapsed="false">
      <c r="A2179" s="2" t="n">
        <v>2178</v>
      </c>
      <c r="B2179" s="2" t="s">
        <v>4640</v>
      </c>
      <c r="C2179" s="2" t="s">
        <v>4641</v>
      </c>
      <c r="D2179" s="2"/>
      <c r="E2179" s="2" t="s">
        <v>539</v>
      </c>
      <c r="F2179" s="3" t="n">
        <v>5.6E-005</v>
      </c>
      <c r="G2179" s="3" t="n">
        <f aca="false">SUM($F$2:F2179)</f>
        <v>0.943304</v>
      </c>
      <c r="H2179" s="4"/>
      <c r="I2179" s="5"/>
      <c r="J2179" s="4"/>
      <c r="K2179" s="5"/>
      <c r="L2179" s="6"/>
      <c r="M2179" s="5" t="str">
        <f aca="false">IF(AND(N(K2179)&gt;0,N(L2179)&gt;0),K2179/L2179,"")</f>
        <v/>
      </c>
      <c r="N2179" s="2" t="s">
        <v>1226</v>
      </c>
    </row>
    <row r="2180" customFormat="false" ht="15" hidden="false" customHeight="false" outlineLevel="0" collapsed="false">
      <c r="A2180" s="2" t="n">
        <v>2179</v>
      </c>
      <c r="B2180" s="2" t="s">
        <v>4642</v>
      </c>
      <c r="C2180" s="2" t="s">
        <v>4643</v>
      </c>
      <c r="D2180" s="2"/>
      <c r="E2180" s="2" t="s">
        <v>52</v>
      </c>
      <c r="F2180" s="3" t="n">
        <v>5.5E-005</v>
      </c>
      <c r="G2180" s="3" t="n">
        <f aca="false">SUM($F$2:F2180)</f>
        <v>0.943359</v>
      </c>
      <c r="H2180" s="4"/>
      <c r="I2180" s="5"/>
      <c r="J2180" s="4"/>
      <c r="K2180" s="5"/>
      <c r="L2180" s="6"/>
      <c r="M2180" s="5" t="str">
        <f aca="false">IF(AND(N(K2180)&gt;0,N(L2180)&gt;0),K2180/L2180,"")</f>
        <v/>
      </c>
      <c r="N2180" s="2" t="s">
        <v>1226</v>
      </c>
    </row>
    <row r="2181" customFormat="false" ht="15" hidden="false" customHeight="false" outlineLevel="0" collapsed="false">
      <c r="A2181" s="2" t="n">
        <v>2180</v>
      </c>
      <c r="B2181" s="2" t="s">
        <v>4644</v>
      </c>
      <c r="C2181" s="2" t="s">
        <v>4645</v>
      </c>
      <c r="D2181" s="2"/>
      <c r="E2181" s="2" t="s">
        <v>82</v>
      </c>
      <c r="F2181" s="3" t="n">
        <v>5.5E-005</v>
      </c>
      <c r="G2181" s="3" t="n">
        <f aca="false">SUM($F$2:F2181)</f>
        <v>0.943414</v>
      </c>
      <c r="H2181" s="4"/>
      <c r="I2181" s="5"/>
      <c r="J2181" s="4"/>
      <c r="K2181" s="5"/>
      <c r="L2181" s="6"/>
      <c r="M2181" s="5" t="str">
        <f aca="false">IF(AND(N(K2181)&gt;0,N(L2181)&gt;0),K2181/L2181,"")</f>
        <v/>
      </c>
      <c r="N2181" s="2" t="s">
        <v>1226</v>
      </c>
    </row>
    <row r="2182" customFormat="false" ht="15" hidden="false" customHeight="false" outlineLevel="0" collapsed="false">
      <c r="A2182" s="2" t="n">
        <v>2181</v>
      </c>
      <c r="B2182" s="2" t="s">
        <v>4646</v>
      </c>
      <c r="C2182" s="2" t="s">
        <v>4647</v>
      </c>
      <c r="D2182" s="2"/>
      <c r="E2182" s="2" t="s">
        <v>289</v>
      </c>
      <c r="F2182" s="3" t="n">
        <v>5.5E-005</v>
      </c>
      <c r="G2182" s="3" t="n">
        <f aca="false">SUM($F$2:F2182)</f>
        <v>0.943469</v>
      </c>
      <c r="H2182" s="4"/>
      <c r="I2182" s="5"/>
      <c r="J2182" s="4"/>
      <c r="K2182" s="5"/>
      <c r="L2182" s="6"/>
      <c r="M2182" s="5" t="str">
        <f aca="false">IF(AND(N(K2182)&gt;0,N(L2182)&gt;0),K2182/L2182,"")</f>
        <v/>
      </c>
      <c r="N2182" s="2" t="s">
        <v>1226</v>
      </c>
    </row>
    <row r="2183" customFormat="false" ht="15" hidden="false" customHeight="false" outlineLevel="0" collapsed="false">
      <c r="A2183" s="2" t="n">
        <v>2182</v>
      </c>
      <c r="B2183" s="2" t="s">
        <v>4648</v>
      </c>
      <c r="C2183" s="2" t="s">
        <v>4649</v>
      </c>
      <c r="D2183" s="2"/>
      <c r="E2183" s="2" t="s">
        <v>38</v>
      </c>
      <c r="F2183" s="3" t="n">
        <v>5.5E-005</v>
      </c>
      <c r="G2183" s="3" t="n">
        <f aca="false">SUM($F$2:F2183)</f>
        <v>0.943524</v>
      </c>
      <c r="H2183" s="4"/>
      <c r="I2183" s="5"/>
      <c r="J2183" s="4"/>
      <c r="K2183" s="5"/>
      <c r="L2183" s="6"/>
      <c r="M2183" s="5" t="str">
        <f aca="false">IF(AND(N(K2183)&gt;0,N(L2183)&gt;0),K2183/L2183,"")</f>
        <v/>
      </c>
      <c r="N2183" s="2" t="s">
        <v>1226</v>
      </c>
    </row>
    <row r="2184" customFormat="false" ht="15" hidden="false" customHeight="false" outlineLevel="0" collapsed="false">
      <c r="A2184" s="2" t="n">
        <v>2183</v>
      </c>
      <c r="B2184" s="2" t="s">
        <v>4650</v>
      </c>
      <c r="C2184" s="2" t="s">
        <v>4651</v>
      </c>
      <c r="D2184" s="2"/>
      <c r="E2184" s="2" t="s">
        <v>296</v>
      </c>
      <c r="F2184" s="3" t="n">
        <v>5.5E-005</v>
      </c>
      <c r="G2184" s="3" t="n">
        <f aca="false">SUM($F$2:F2184)</f>
        <v>0.943579</v>
      </c>
      <c r="H2184" s="4"/>
      <c r="I2184" s="5"/>
      <c r="J2184" s="4"/>
      <c r="K2184" s="5"/>
      <c r="L2184" s="6"/>
      <c r="M2184" s="5" t="str">
        <f aca="false">IF(AND(N(K2184)&gt;0,N(L2184)&gt;0),K2184/L2184,"")</f>
        <v/>
      </c>
      <c r="N2184" s="2" t="s">
        <v>1226</v>
      </c>
    </row>
    <row r="2185" customFormat="false" ht="15" hidden="false" customHeight="false" outlineLevel="0" collapsed="false">
      <c r="A2185" s="2" t="n">
        <v>2184</v>
      </c>
      <c r="B2185" s="2" t="s">
        <v>4652</v>
      </c>
      <c r="C2185" s="2" t="s">
        <v>4653</v>
      </c>
      <c r="D2185" s="2"/>
      <c r="E2185" s="2" t="s">
        <v>52</v>
      </c>
      <c r="F2185" s="3" t="n">
        <v>5.5E-005</v>
      </c>
      <c r="G2185" s="3" t="n">
        <f aca="false">SUM($F$2:F2185)</f>
        <v>0.943634</v>
      </c>
      <c r="H2185" s="4"/>
      <c r="I2185" s="5"/>
      <c r="J2185" s="4"/>
      <c r="K2185" s="5"/>
      <c r="L2185" s="6"/>
      <c r="M2185" s="5" t="str">
        <f aca="false">IF(AND(N(K2185)&gt;0,N(L2185)&gt;0),K2185/L2185,"")</f>
        <v/>
      </c>
      <c r="N2185" s="2" t="s">
        <v>1226</v>
      </c>
    </row>
    <row r="2186" customFormat="false" ht="15" hidden="false" customHeight="false" outlineLevel="0" collapsed="false">
      <c r="A2186" s="2" t="n">
        <v>2185</v>
      </c>
      <c r="B2186" s="2" t="s">
        <v>4654</v>
      </c>
      <c r="C2186" s="2" t="s">
        <v>4655</v>
      </c>
      <c r="D2186" s="2"/>
      <c r="E2186" s="2" t="s">
        <v>296</v>
      </c>
      <c r="F2186" s="3" t="n">
        <v>5.5E-005</v>
      </c>
      <c r="G2186" s="3" t="n">
        <f aca="false">SUM($F$2:F2186)</f>
        <v>0.943689</v>
      </c>
      <c r="H2186" s="4"/>
      <c r="I2186" s="5"/>
      <c r="J2186" s="4"/>
      <c r="K2186" s="5"/>
      <c r="L2186" s="6"/>
      <c r="M2186" s="5" t="str">
        <f aca="false">IF(AND(N(K2186)&gt;0,N(L2186)&gt;0),K2186/L2186,"")</f>
        <v/>
      </c>
      <c r="N2186" s="2" t="s">
        <v>1226</v>
      </c>
    </row>
    <row r="2187" customFormat="false" ht="15" hidden="false" customHeight="false" outlineLevel="0" collapsed="false">
      <c r="A2187" s="2" t="n">
        <v>2186</v>
      </c>
      <c r="B2187" s="2" t="s">
        <v>4656</v>
      </c>
      <c r="C2187" s="2" t="s">
        <v>4657</v>
      </c>
      <c r="D2187" s="2"/>
      <c r="E2187" s="2" t="s">
        <v>82</v>
      </c>
      <c r="F2187" s="3" t="n">
        <v>5.5E-005</v>
      </c>
      <c r="G2187" s="3" t="n">
        <f aca="false">SUM($F$2:F2187)</f>
        <v>0.943744</v>
      </c>
      <c r="H2187" s="4"/>
      <c r="I2187" s="5"/>
      <c r="J2187" s="4"/>
      <c r="K2187" s="5"/>
      <c r="L2187" s="6"/>
      <c r="M2187" s="5" t="str">
        <f aca="false">IF(AND(N(K2187)&gt;0,N(L2187)&gt;0),K2187/L2187,"")</f>
        <v/>
      </c>
      <c r="N2187" s="2" t="s">
        <v>1226</v>
      </c>
    </row>
    <row r="2188" customFormat="false" ht="15" hidden="false" customHeight="false" outlineLevel="0" collapsed="false">
      <c r="A2188" s="2" t="n">
        <v>2187</v>
      </c>
      <c r="B2188" s="2" t="s">
        <v>4658</v>
      </c>
      <c r="C2188" s="2" t="s">
        <v>4659</v>
      </c>
      <c r="D2188" s="2"/>
      <c r="E2188" s="2" t="s">
        <v>52</v>
      </c>
      <c r="F2188" s="3" t="n">
        <v>5.5E-005</v>
      </c>
      <c r="G2188" s="3" t="n">
        <f aca="false">SUM($F$2:F2188)</f>
        <v>0.943799</v>
      </c>
      <c r="H2188" s="4"/>
      <c r="I2188" s="5"/>
      <c r="J2188" s="4"/>
      <c r="K2188" s="5"/>
      <c r="L2188" s="6"/>
      <c r="M2188" s="5" t="str">
        <f aca="false">IF(AND(N(K2188)&gt;0,N(L2188)&gt;0),K2188/L2188,"")</f>
        <v/>
      </c>
      <c r="N2188" s="2" t="s">
        <v>1226</v>
      </c>
    </row>
    <row r="2189" customFormat="false" ht="15" hidden="false" customHeight="false" outlineLevel="0" collapsed="false">
      <c r="A2189" s="2" t="n">
        <v>2188</v>
      </c>
      <c r="B2189" s="2" t="s">
        <v>4660</v>
      </c>
      <c r="C2189" s="2" t="s">
        <v>4661</v>
      </c>
      <c r="D2189" s="2"/>
      <c r="E2189" s="2" t="s">
        <v>289</v>
      </c>
      <c r="F2189" s="3" t="n">
        <v>5.5E-005</v>
      </c>
      <c r="G2189" s="3" t="n">
        <f aca="false">SUM($F$2:F2189)</f>
        <v>0.943854</v>
      </c>
      <c r="H2189" s="4"/>
      <c r="I2189" s="5"/>
      <c r="J2189" s="4"/>
      <c r="K2189" s="5"/>
      <c r="L2189" s="6"/>
      <c r="M2189" s="5" t="str">
        <f aca="false">IF(AND(N(K2189)&gt;0,N(L2189)&gt;0),K2189/L2189,"")</f>
        <v/>
      </c>
      <c r="N2189" s="2" t="s">
        <v>1226</v>
      </c>
    </row>
    <row r="2190" customFormat="false" ht="15" hidden="false" customHeight="false" outlineLevel="0" collapsed="false">
      <c r="A2190" s="2" t="n">
        <v>2189</v>
      </c>
      <c r="B2190" s="2" t="s">
        <v>4662</v>
      </c>
      <c r="C2190" s="2" t="s">
        <v>4663</v>
      </c>
      <c r="D2190" s="2"/>
      <c r="E2190" s="2" t="s">
        <v>52</v>
      </c>
      <c r="F2190" s="3" t="n">
        <v>5.5E-005</v>
      </c>
      <c r="G2190" s="3" t="n">
        <f aca="false">SUM($F$2:F2190)</f>
        <v>0.943909</v>
      </c>
      <c r="H2190" s="4"/>
      <c r="I2190" s="5"/>
      <c r="J2190" s="4"/>
      <c r="K2190" s="5"/>
      <c r="L2190" s="6"/>
      <c r="M2190" s="5" t="str">
        <f aca="false">IF(AND(N(K2190)&gt;0,N(L2190)&gt;0),K2190/L2190,"")</f>
        <v/>
      </c>
      <c r="N2190" s="2" t="s">
        <v>1226</v>
      </c>
    </row>
    <row r="2191" customFormat="false" ht="15" hidden="false" customHeight="false" outlineLevel="0" collapsed="false">
      <c r="A2191" s="2" t="n">
        <v>2190</v>
      </c>
      <c r="B2191" s="2" t="s">
        <v>4664</v>
      </c>
      <c r="C2191" s="2" t="s">
        <v>4665</v>
      </c>
      <c r="D2191" s="2"/>
      <c r="E2191" s="2" t="s">
        <v>289</v>
      </c>
      <c r="F2191" s="3" t="n">
        <v>5.5E-005</v>
      </c>
      <c r="G2191" s="3" t="n">
        <f aca="false">SUM($F$2:F2191)</f>
        <v>0.943964</v>
      </c>
      <c r="H2191" s="4"/>
      <c r="I2191" s="5"/>
      <c r="J2191" s="4"/>
      <c r="K2191" s="5"/>
      <c r="L2191" s="6"/>
      <c r="M2191" s="5" t="str">
        <f aca="false">IF(AND(N(K2191)&gt;0,N(L2191)&gt;0),K2191/L2191,"")</f>
        <v/>
      </c>
      <c r="N2191" s="2" t="s">
        <v>1226</v>
      </c>
    </row>
    <row r="2192" customFormat="false" ht="15" hidden="false" customHeight="false" outlineLevel="0" collapsed="false">
      <c r="A2192" s="2" t="n">
        <v>2191</v>
      </c>
      <c r="B2192" s="2" t="s">
        <v>4666</v>
      </c>
      <c r="C2192" s="2" t="s">
        <v>4667</v>
      </c>
      <c r="D2192" s="2"/>
      <c r="E2192" s="2" t="s">
        <v>4668</v>
      </c>
      <c r="F2192" s="3" t="n">
        <v>5.5E-005</v>
      </c>
      <c r="G2192" s="3" t="n">
        <f aca="false">SUM($F$2:F2192)</f>
        <v>0.944019</v>
      </c>
      <c r="H2192" s="4"/>
      <c r="I2192" s="5"/>
      <c r="J2192" s="4"/>
      <c r="K2192" s="5"/>
      <c r="L2192" s="6"/>
      <c r="M2192" s="5" t="str">
        <f aca="false">IF(AND(N(K2192)&gt;0,N(L2192)&gt;0),K2192/L2192,"")</f>
        <v/>
      </c>
      <c r="N2192" s="2" t="s">
        <v>1226</v>
      </c>
    </row>
    <row r="2193" customFormat="false" ht="15" hidden="false" customHeight="false" outlineLevel="0" collapsed="false">
      <c r="A2193" s="2" t="n">
        <v>2192</v>
      </c>
      <c r="B2193" s="2" t="s">
        <v>4669</v>
      </c>
      <c r="C2193" s="2" t="s">
        <v>4670</v>
      </c>
      <c r="D2193" s="2"/>
      <c r="E2193" s="2" t="s">
        <v>289</v>
      </c>
      <c r="F2193" s="3" t="n">
        <v>5.5E-005</v>
      </c>
      <c r="G2193" s="3" t="n">
        <f aca="false">SUM($F$2:F2193)</f>
        <v>0.944074</v>
      </c>
      <c r="H2193" s="4"/>
      <c r="I2193" s="5"/>
      <c r="J2193" s="4"/>
      <c r="K2193" s="5"/>
      <c r="L2193" s="6"/>
      <c r="M2193" s="5" t="str">
        <f aca="false">IF(AND(N(K2193)&gt;0,N(L2193)&gt;0),K2193/L2193,"")</f>
        <v/>
      </c>
      <c r="N2193" s="2" t="s">
        <v>1226</v>
      </c>
    </row>
    <row r="2194" customFormat="false" ht="15" hidden="false" customHeight="false" outlineLevel="0" collapsed="false">
      <c r="A2194" s="2" t="n">
        <v>2193</v>
      </c>
      <c r="B2194" s="2" t="s">
        <v>4671</v>
      </c>
      <c r="C2194" s="2" t="s">
        <v>4672</v>
      </c>
      <c r="D2194" s="2"/>
      <c r="E2194" s="2" t="s">
        <v>52</v>
      </c>
      <c r="F2194" s="3" t="n">
        <v>5.5E-005</v>
      </c>
      <c r="G2194" s="3" t="n">
        <f aca="false">SUM($F$2:F2194)</f>
        <v>0.944129</v>
      </c>
      <c r="H2194" s="4"/>
      <c r="I2194" s="5"/>
      <c r="J2194" s="4"/>
      <c r="K2194" s="5"/>
      <c r="L2194" s="6"/>
      <c r="M2194" s="5" t="str">
        <f aca="false">IF(AND(N(K2194)&gt;0,N(L2194)&gt;0),K2194/L2194,"")</f>
        <v/>
      </c>
      <c r="N2194" s="2" t="s">
        <v>1226</v>
      </c>
    </row>
    <row r="2195" customFormat="false" ht="15" hidden="false" customHeight="false" outlineLevel="0" collapsed="false">
      <c r="A2195" s="2" t="n">
        <v>2194</v>
      </c>
      <c r="B2195" s="2" t="s">
        <v>4673</v>
      </c>
      <c r="C2195" s="2" t="s">
        <v>4674</v>
      </c>
      <c r="D2195" s="2"/>
      <c r="E2195" s="2" t="s">
        <v>52</v>
      </c>
      <c r="F2195" s="3" t="n">
        <v>5.4E-005</v>
      </c>
      <c r="G2195" s="3" t="n">
        <f aca="false">SUM($F$2:F2195)</f>
        <v>0.944183</v>
      </c>
      <c r="H2195" s="4"/>
      <c r="I2195" s="5"/>
      <c r="J2195" s="4"/>
      <c r="K2195" s="5"/>
      <c r="L2195" s="6"/>
      <c r="M2195" s="5" t="str">
        <f aca="false">IF(AND(N(K2195)&gt;0,N(L2195)&gt;0),K2195/L2195,"")</f>
        <v/>
      </c>
      <c r="N2195" s="2" t="s">
        <v>1226</v>
      </c>
    </row>
    <row r="2196" customFormat="false" ht="15" hidden="false" customHeight="false" outlineLevel="0" collapsed="false">
      <c r="A2196" s="2" t="n">
        <v>2195</v>
      </c>
      <c r="B2196" s="2" t="s">
        <v>4675</v>
      </c>
      <c r="C2196" s="2" t="s">
        <v>4676</v>
      </c>
      <c r="D2196" s="2"/>
      <c r="E2196" s="2" t="s">
        <v>539</v>
      </c>
      <c r="F2196" s="3" t="n">
        <v>5.4E-005</v>
      </c>
      <c r="G2196" s="3" t="n">
        <f aca="false">SUM($F$2:F2196)</f>
        <v>0.944237</v>
      </c>
      <c r="H2196" s="4"/>
      <c r="I2196" s="5"/>
      <c r="J2196" s="4"/>
      <c r="K2196" s="5"/>
      <c r="L2196" s="6"/>
      <c r="M2196" s="5" t="str">
        <f aca="false">IF(AND(N(K2196)&gt;0,N(L2196)&gt;0),K2196/L2196,"")</f>
        <v/>
      </c>
      <c r="N2196" s="2" t="s">
        <v>1226</v>
      </c>
    </row>
    <row r="2197" customFormat="false" ht="15" hidden="false" customHeight="false" outlineLevel="0" collapsed="false">
      <c r="A2197" s="2" t="n">
        <v>2196</v>
      </c>
      <c r="B2197" s="2" t="s">
        <v>4677</v>
      </c>
      <c r="C2197" s="2" t="s">
        <v>4678</v>
      </c>
      <c r="D2197" s="2"/>
      <c r="E2197" s="2" t="s">
        <v>173</v>
      </c>
      <c r="F2197" s="3" t="n">
        <v>5.4E-005</v>
      </c>
      <c r="G2197" s="3" t="n">
        <f aca="false">SUM($F$2:F2197)</f>
        <v>0.944291</v>
      </c>
      <c r="H2197" s="4"/>
      <c r="I2197" s="5"/>
      <c r="J2197" s="4"/>
      <c r="K2197" s="5"/>
      <c r="L2197" s="6"/>
      <c r="M2197" s="5" t="str">
        <f aca="false">IF(AND(N(K2197)&gt;0,N(L2197)&gt;0),K2197/L2197,"")</f>
        <v/>
      </c>
      <c r="N2197" s="2" t="s">
        <v>1226</v>
      </c>
    </row>
    <row r="2198" customFormat="false" ht="15" hidden="false" customHeight="false" outlineLevel="0" collapsed="false">
      <c r="A2198" s="2" t="n">
        <v>2197</v>
      </c>
      <c r="B2198" s="2" t="s">
        <v>4679</v>
      </c>
      <c r="C2198" s="2" t="s">
        <v>4680</v>
      </c>
      <c r="D2198" s="2"/>
      <c r="E2198" s="2" t="s">
        <v>52</v>
      </c>
      <c r="F2198" s="3" t="n">
        <v>5.4E-005</v>
      </c>
      <c r="G2198" s="3" t="n">
        <f aca="false">SUM($F$2:F2198)</f>
        <v>0.944345</v>
      </c>
      <c r="H2198" s="4"/>
      <c r="I2198" s="5"/>
      <c r="J2198" s="4"/>
      <c r="K2198" s="5"/>
      <c r="L2198" s="6"/>
      <c r="M2198" s="5" t="str">
        <f aca="false">IF(AND(N(K2198)&gt;0,N(L2198)&gt;0),K2198/L2198,"")</f>
        <v/>
      </c>
      <c r="N2198" s="2" t="s">
        <v>1226</v>
      </c>
    </row>
    <row r="2199" customFormat="false" ht="15" hidden="false" customHeight="false" outlineLevel="0" collapsed="false">
      <c r="A2199" s="2" t="n">
        <v>2198</v>
      </c>
      <c r="B2199" s="2" t="s">
        <v>4681</v>
      </c>
      <c r="C2199" s="2" t="s">
        <v>4682</v>
      </c>
      <c r="D2199" s="2"/>
      <c r="E2199" s="2" t="s">
        <v>289</v>
      </c>
      <c r="F2199" s="3" t="n">
        <v>5.4E-005</v>
      </c>
      <c r="G2199" s="3" t="n">
        <f aca="false">SUM($F$2:F2199)</f>
        <v>0.944399</v>
      </c>
      <c r="H2199" s="4"/>
      <c r="I2199" s="5"/>
      <c r="J2199" s="4"/>
      <c r="K2199" s="5"/>
      <c r="L2199" s="6"/>
      <c r="M2199" s="5" t="str">
        <f aca="false">IF(AND(N(K2199)&gt;0,N(L2199)&gt;0),K2199/L2199,"")</f>
        <v/>
      </c>
      <c r="N2199" s="2" t="s">
        <v>1226</v>
      </c>
    </row>
    <row r="2200" customFormat="false" ht="15" hidden="false" customHeight="false" outlineLevel="0" collapsed="false">
      <c r="A2200" s="2" t="n">
        <v>2199</v>
      </c>
      <c r="B2200" s="2" t="s">
        <v>4683</v>
      </c>
      <c r="C2200" s="2" t="s">
        <v>4684</v>
      </c>
      <c r="D2200" s="2"/>
      <c r="E2200" s="2" t="s">
        <v>1245</v>
      </c>
      <c r="F2200" s="3" t="n">
        <v>5.4E-005</v>
      </c>
      <c r="G2200" s="3" t="n">
        <f aca="false">SUM($F$2:F2200)</f>
        <v>0.944453</v>
      </c>
      <c r="H2200" s="4"/>
      <c r="I2200" s="5"/>
      <c r="J2200" s="4"/>
      <c r="K2200" s="5"/>
      <c r="L2200" s="6"/>
      <c r="M2200" s="5" t="str">
        <f aca="false">IF(AND(N(K2200)&gt;0,N(L2200)&gt;0),K2200/L2200,"")</f>
        <v/>
      </c>
      <c r="N2200" s="2" t="s">
        <v>1226</v>
      </c>
    </row>
    <row r="2201" customFormat="false" ht="15" hidden="false" customHeight="false" outlineLevel="0" collapsed="false">
      <c r="A2201" s="2" t="n">
        <v>2200</v>
      </c>
      <c r="B2201" s="2" t="s">
        <v>4685</v>
      </c>
      <c r="C2201" s="2" t="s">
        <v>4686</v>
      </c>
      <c r="D2201" s="2"/>
      <c r="E2201" s="2" t="s">
        <v>25</v>
      </c>
      <c r="F2201" s="3" t="n">
        <v>5.4E-005</v>
      </c>
      <c r="G2201" s="3" t="n">
        <f aca="false">SUM($F$2:F2201)</f>
        <v>0.944507</v>
      </c>
      <c r="H2201" s="4"/>
      <c r="I2201" s="5"/>
      <c r="J2201" s="4"/>
      <c r="K2201" s="5"/>
      <c r="L2201" s="6"/>
      <c r="M2201" s="5" t="str">
        <f aca="false">IF(AND(N(K2201)&gt;0,N(L2201)&gt;0),K2201/L2201,"")</f>
        <v/>
      </c>
      <c r="N2201" s="2" t="s">
        <v>1226</v>
      </c>
    </row>
    <row r="2202" customFormat="false" ht="15" hidden="false" customHeight="false" outlineLevel="0" collapsed="false">
      <c r="A2202" s="2" t="n">
        <v>2201</v>
      </c>
      <c r="B2202" s="2" t="s">
        <v>4687</v>
      </c>
      <c r="C2202" s="2" t="s">
        <v>4688</v>
      </c>
      <c r="D2202" s="2"/>
      <c r="E2202" s="2" t="s">
        <v>700</v>
      </c>
      <c r="F2202" s="3" t="n">
        <v>5.4E-005</v>
      </c>
      <c r="G2202" s="3" t="n">
        <f aca="false">SUM($F$2:F2202)</f>
        <v>0.944561</v>
      </c>
      <c r="H2202" s="4"/>
      <c r="I2202" s="5"/>
      <c r="J2202" s="4"/>
      <c r="K2202" s="5"/>
      <c r="L2202" s="6"/>
      <c r="M2202" s="5" t="str">
        <f aca="false">IF(AND(N(K2202)&gt;0,N(L2202)&gt;0),K2202/L2202,"")</f>
        <v/>
      </c>
      <c r="N2202" s="2" t="s">
        <v>1226</v>
      </c>
    </row>
    <row r="2203" customFormat="false" ht="15" hidden="false" customHeight="false" outlineLevel="0" collapsed="false">
      <c r="A2203" s="2" t="n">
        <v>2202</v>
      </c>
      <c r="B2203" s="2" t="s">
        <v>4689</v>
      </c>
      <c r="C2203" s="2" t="s">
        <v>4690</v>
      </c>
      <c r="D2203" s="2"/>
      <c r="E2203" s="2" t="s">
        <v>1334</v>
      </c>
      <c r="F2203" s="3" t="n">
        <v>5.4E-005</v>
      </c>
      <c r="G2203" s="3" t="n">
        <f aca="false">SUM($F$2:F2203)</f>
        <v>0.944615</v>
      </c>
      <c r="H2203" s="4"/>
      <c r="I2203" s="5"/>
      <c r="J2203" s="4"/>
      <c r="K2203" s="5"/>
      <c r="L2203" s="6"/>
      <c r="M2203" s="5" t="str">
        <f aca="false">IF(AND(N(K2203)&gt;0,N(L2203)&gt;0),K2203/L2203,"")</f>
        <v/>
      </c>
      <c r="N2203" s="2" t="s">
        <v>1226</v>
      </c>
    </row>
    <row r="2204" customFormat="false" ht="15" hidden="false" customHeight="false" outlineLevel="0" collapsed="false">
      <c r="A2204" s="2" t="n">
        <v>2203</v>
      </c>
      <c r="B2204" s="2" t="s">
        <v>4691</v>
      </c>
      <c r="C2204" s="2" t="s">
        <v>4692</v>
      </c>
      <c r="D2204" s="2"/>
      <c r="E2204" s="2" t="s">
        <v>25</v>
      </c>
      <c r="F2204" s="3" t="n">
        <v>5.4E-005</v>
      </c>
      <c r="G2204" s="3" t="n">
        <f aca="false">SUM($F$2:F2204)</f>
        <v>0.944669</v>
      </c>
      <c r="H2204" s="4"/>
      <c r="I2204" s="5"/>
      <c r="J2204" s="4"/>
      <c r="K2204" s="5"/>
      <c r="L2204" s="6"/>
      <c r="M2204" s="5" t="str">
        <f aca="false">IF(AND(N(K2204)&gt;0,N(L2204)&gt;0),K2204/L2204,"")</f>
        <v/>
      </c>
      <c r="N2204" s="2" t="s">
        <v>1226</v>
      </c>
    </row>
    <row r="2205" customFormat="false" ht="15" hidden="false" customHeight="false" outlineLevel="0" collapsed="false">
      <c r="A2205" s="2" t="n">
        <v>2204</v>
      </c>
      <c r="B2205" s="2" t="s">
        <v>4693</v>
      </c>
      <c r="C2205" s="2" t="s">
        <v>4694</v>
      </c>
      <c r="D2205" s="2"/>
      <c r="E2205" s="2" t="s">
        <v>1050</v>
      </c>
      <c r="F2205" s="3" t="n">
        <v>5.4E-005</v>
      </c>
      <c r="G2205" s="3" t="n">
        <f aca="false">SUM($F$2:F2205)</f>
        <v>0.944723</v>
      </c>
      <c r="H2205" s="4"/>
      <c r="I2205" s="5"/>
      <c r="J2205" s="4"/>
      <c r="K2205" s="5"/>
      <c r="L2205" s="6"/>
      <c r="M2205" s="5" t="str">
        <f aca="false">IF(AND(N(K2205)&gt;0,N(L2205)&gt;0),K2205/L2205,"")</f>
        <v/>
      </c>
      <c r="N2205" s="2" t="s">
        <v>1226</v>
      </c>
    </row>
    <row r="2206" customFormat="false" ht="15" hidden="false" customHeight="false" outlineLevel="0" collapsed="false">
      <c r="A2206" s="2" t="n">
        <v>2205</v>
      </c>
      <c r="B2206" s="2" t="s">
        <v>4695</v>
      </c>
      <c r="C2206" s="2" t="s">
        <v>4696</v>
      </c>
      <c r="D2206" s="2"/>
      <c r="E2206" s="2" t="s">
        <v>1345</v>
      </c>
      <c r="F2206" s="3" t="n">
        <v>5.4E-005</v>
      </c>
      <c r="G2206" s="3" t="n">
        <f aca="false">SUM($F$2:F2206)</f>
        <v>0.944777</v>
      </c>
      <c r="H2206" s="4"/>
      <c r="I2206" s="5"/>
      <c r="J2206" s="4"/>
      <c r="K2206" s="5"/>
      <c r="L2206" s="6"/>
      <c r="M2206" s="5" t="str">
        <f aca="false">IF(AND(N(K2206)&gt;0,N(L2206)&gt;0),K2206/L2206,"")</f>
        <v/>
      </c>
      <c r="N2206" s="2" t="s">
        <v>1226</v>
      </c>
    </row>
    <row r="2207" customFormat="false" ht="15" hidden="false" customHeight="false" outlineLevel="0" collapsed="false">
      <c r="A2207" s="2" t="n">
        <v>2206</v>
      </c>
      <c r="B2207" s="2" t="s">
        <v>4697</v>
      </c>
      <c r="C2207" s="2" t="s">
        <v>4698</v>
      </c>
      <c r="D2207" s="2"/>
      <c r="E2207" s="2" t="s">
        <v>17</v>
      </c>
      <c r="F2207" s="3" t="n">
        <v>5.4E-005</v>
      </c>
      <c r="G2207" s="3" t="n">
        <f aca="false">SUM($F$2:F2207)</f>
        <v>0.944831</v>
      </c>
      <c r="H2207" s="4"/>
      <c r="I2207" s="5"/>
      <c r="J2207" s="4"/>
      <c r="K2207" s="5"/>
      <c r="L2207" s="6"/>
      <c r="M2207" s="5" t="str">
        <f aca="false">IF(AND(N(K2207)&gt;0,N(L2207)&gt;0),K2207/L2207,"")</f>
        <v/>
      </c>
      <c r="N2207" s="2" t="s">
        <v>1226</v>
      </c>
    </row>
    <row r="2208" customFormat="false" ht="15" hidden="false" customHeight="false" outlineLevel="0" collapsed="false">
      <c r="A2208" s="2" t="n">
        <v>2207</v>
      </c>
      <c r="B2208" s="2" t="s">
        <v>4699</v>
      </c>
      <c r="C2208" s="2" t="s">
        <v>4700</v>
      </c>
      <c r="D2208" s="2"/>
      <c r="E2208" s="2" t="s">
        <v>173</v>
      </c>
      <c r="F2208" s="3" t="n">
        <v>5.4E-005</v>
      </c>
      <c r="G2208" s="3" t="n">
        <f aca="false">SUM($F$2:F2208)</f>
        <v>0.944885</v>
      </c>
      <c r="H2208" s="4"/>
      <c r="I2208" s="5"/>
      <c r="J2208" s="4"/>
      <c r="K2208" s="5"/>
      <c r="L2208" s="6"/>
      <c r="M2208" s="5" t="str">
        <f aca="false">IF(AND(N(K2208)&gt;0,N(L2208)&gt;0),K2208/L2208,"")</f>
        <v/>
      </c>
      <c r="N2208" s="2" t="s">
        <v>1226</v>
      </c>
    </row>
    <row r="2209" customFormat="false" ht="15" hidden="false" customHeight="false" outlineLevel="0" collapsed="false">
      <c r="A2209" s="2" t="n">
        <v>2208</v>
      </c>
      <c r="B2209" s="2" t="s">
        <v>4701</v>
      </c>
      <c r="C2209" s="2" t="s">
        <v>4702</v>
      </c>
      <c r="D2209" s="2"/>
      <c r="E2209" s="2" t="s">
        <v>17</v>
      </c>
      <c r="F2209" s="3" t="n">
        <v>5.4E-005</v>
      </c>
      <c r="G2209" s="3" t="n">
        <f aca="false">SUM($F$2:F2209)</f>
        <v>0.944939</v>
      </c>
      <c r="H2209" s="4"/>
      <c r="I2209" s="5"/>
      <c r="J2209" s="4"/>
      <c r="K2209" s="5"/>
      <c r="L2209" s="6"/>
      <c r="M2209" s="5" t="str">
        <f aca="false">IF(AND(N(K2209)&gt;0,N(L2209)&gt;0),K2209/L2209,"")</f>
        <v/>
      </c>
      <c r="N2209" s="2" t="s">
        <v>1226</v>
      </c>
    </row>
    <row r="2210" customFormat="false" ht="15" hidden="false" customHeight="false" outlineLevel="0" collapsed="false">
      <c r="A2210" s="2" t="n">
        <v>2209</v>
      </c>
      <c r="B2210" s="2" t="s">
        <v>4703</v>
      </c>
      <c r="C2210" s="2" t="s">
        <v>4704</v>
      </c>
      <c r="D2210" s="2"/>
      <c r="E2210" s="2" t="s">
        <v>38</v>
      </c>
      <c r="F2210" s="3" t="n">
        <v>5.4E-005</v>
      </c>
      <c r="G2210" s="3" t="n">
        <f aca="false">SUM($F$2:F2210)</f>
        <v>0.944993</v>
      </c>
      <c r="H2210" s="4"/>
      <c r="I2210" s="5"/>
      <c r="J2210" s="4"/>
      <c r="K2210" s="5"/>
      <c r="L2210" s="6"/>
      <c r="M2210" s="5" t="str">
        <f aca="false">IF(AND(N(K2210)&gt;0,N(L2210)&gt;0),K2210/L2210,"")</f>
        <v/>
      </c>
      <c r="N2210" s="2" t="s">
        <v>1226</v>
      </c>
    </row>
    <row r="2211" customFormat="false" ht="15" hidden="false" customHeight="false" outlineLevel="0" collapsed="false">
      <c r="A2211" s="2" t="n">
        <v>2210</v>
      </c>
      <c r="B2211" s="2" t="s">
        <v>4705</v>
      </c>
      <c r="C2211" s="2" t="s">
        <v>4706</v>
      </c>
      <c r="D2211" s="2"/>
      <c r="E2211" s="2" t="s">
        <v>52</v>
      </c>
      <c r="F2211" s="3" t="n">
        <v>5.4E-005</v>
      </c>
      <c r="G2211" s="3" t="n">
        <f aca="false">SUM($F$2:F2211)</f>
        <v>0.945047</v>
      </c>
      <c r="H2211" s="4"/>
      <c r="I2211" s="5"/>
      <c r="J2211" s="4"/>
      <c r="K2211" s="5"/>
      <c r="L2211" s="6"/>
      <c r="M2211" s="5" t="str">
        <f aca="false">IF(AND(N(K2211)&gt;0,N(L2211)&gt;0),K2211/L2211,"")</f>
        <v/>
      </c>
      <c r="N2211" s="2" t="s">
        <v>1226</v>
      </c>
    </row>
    <row r="2212" customFormat="false" ht="15" hidden="false" customHeight="false" outlineLevel="0" collapsed="false">
      <c r="A2212" s="2" t="n">
        <v>2211</v>
      </c>
      <c r="B2212" s="2" t="s">
        <v>4707</v>
      </c>
      <c r="C2212" s="2" t="s">
        <v>4708</v>
      </c>
      <c r="D2212" s="2"/>
      <c r="E2212" s="2" t="s">
        <v>289</v>
      </c>
      <c r="F2212" s="3" t="n">
        <v>5.4E-005</v>
      </c>
      <c r="G2212" s="3" t="n">
        <f aca="false">SUM($F$2:F2212)</f>
        <v>0.945101</v>
      </c>
      <c r="H2212" s="4"/>
      <c r="I2212" s="5"/>
      <c r="J2212" s="4"/>
      <c r="K2212" s="5"/>
      <c r="L2212" s="6"/>
      <c r="M2212" s="5" t="str">
        <f aca="false">IF(AND(N(K2212)&gt;0,N(L2212)&gt;0),K2212/L2212,"")</f>
        <v/>
      </c>
      <c r="N2212" s="2" t="s">
        <v>1226</v>
      </c>
    </row>
    <row r="2213" customFormat="false" ht="15" hidden="false" customHeight="false" outlineLevel="0" collapsed="false">
      <c r="A2213" s="2" t="n">
        <v>2212</v>
      </c>
      <c r="B2213" s="2" t="s">
        <v>4709</v>
      </c>
      <c r="C2213" s="2" t="s">
        <v>4710</v>
      </c>
      <c r="D2213" s="2"/>
      <c r="E2213" s="2" t="s">
        <v>25</v>
      </c>
      <c r="F2213" s="3" t="n">
        <v>5.4E-005</v>
      </c>
      <c r="G2213" s="3" t="n">
        <f aca="false">SUM($F$2:F2213)</f>
        <v>0.945155</v>
      </c>
      <c r="H2213" s="4"/>
      <c r="I2213" s="5"/>
      <c r="J2213" s="4"/>
      <c r="K2213" s="5"/>
      <c r="L2213" s="6"/>
      <c r="M2213" s="5" t="str">
        <f aca="false">IF(AND(N(K2213)&gt;0,N(L2213)&gt;0),K2213/L2213,"")</f>
        <v/>
      </c>
      <c r="N2213" s="2" t="s">
        <v>1226</v>
      </c>
    </row>
    <row r="2214" customFormat="false" ht="15" hidden="false" customHeight="false" outlineLevel="0" collapsed="false">
      <c r="A2214" s="2" t="n">
        <v>2213</v>
      </c>
      <c r="B2214" s="2" t="s">
        <v>4711</v>
      </c>
      <c r="C2214" s="2" t="s">
        <v>4712</v>
      </c>
      <c r="D2214" s="2"/>
      <c r="E2214" s="2" t="s">
        <v>17</v>
      </c>
      <c r="F2214" s="3" t="n">
        <v>5.4E-005</v>
      </c>
      <c r="G2214" s="3" t="n">
        <f aca="false">SUM($F$2:F2214)</f>
        <v>0.945209</v>
      </c>
      <c r="H2214" s="4"/>
      <c r="I2214" s="5"/>
      <c r="J2214" s="4"/>
      <c r="K2214" s="5"/>
      <c r="L2214" s="6"/>
      <c r="M2214" s="5" t="str">
        <f aca="false">IF(AND(N(K2214)&gt;0,N(L2214)&gt;0),K2214/L2214,"")</f>
        <v/>
      </c>
      <c r="N2214" s="2" t="s">
        <v>1226</v>
      </c>
    </row>
    <row r="2215" customFormat="false" ht="15" hidden="false" customHeight="false" outlineLevel="0" collapsed="false">
      <c r="A2215" s="2" t="n">
        <v>2214</v>
      </c>
      <c r="B2215" s="2" t="s">
        <v>4713</v>
      </c>
      <c r="C2215" s="2" t="s">
        <v>4714</v>
      </c>
      <c r="D2215" s="2"/>
      <c r="E2215" s="2" t="s">
        <v>25</v>
      </c>
      <c r="F2215" s="3" t="n">
        <v>5.4E-005</v>
      </c>
      <c r="G2215" s="3" t="n">
        <f aca="false">SUM($F$2:F2215)</f>
        <v>0.945263</v>
      </c>
      <c r="H2215" s="4"/>
      <c r="I2215" s="5"/>
      <c r="J2215" s="4"/>
      <c r="K2215" s="5"/>
      <c r="L2215" s="6"/>
      <c r="M2215" s="5" t="str">
        <f aca="false">IF(AND(N(K2215)&gt;0,N(L2215)&gt;0),K2215/L2215,"")</f>
        <v/>
      </c>
      <c r="N2215" s="2" t="s">
        <v>1226</v>
      </c>
    </row>
    <row r="2216" customFormat="false" ht="15" hidden="false" customHeight="false" outlineLevel="0" collapsed="false">
      <c r="A2216" s="2" t="n">
        <v>2215</v>
      </c>
      <c r="B2216" s="2" t="s">
        <v>4715</v>
      </c>
      <c r="C2216" s="2" t="s">
        <v>4716</v>
      </c>
      <c r="D2216" s="2"/>
      <c r="E2216" s="2" t="s">
        <v>1345</v>
      </c>
      <c r="F2216" s="3" t="n">
        <v>5.4E-005</v>
      </c>
      <c r="G2216" s="3" t="n">
        <f aca="false">SUM($F$2:F2216)</f>
        <v>0.945317</v>
      </c>
      <c r="H2216" s="4"/>
      <c r="I2216" s="5"/>
      <c r="J2216" s="4"/>
      <c r="K2216" s="5"/>
      <c r="L2216" s="6"/>
      <c r="M2216" s="5" t="str">
        <f aca="false">IF(AND(N(K2216)&gt;0,N(L2216)&gt;0),K2216/L2216,"")</f>
        <v/>
      </c>
      <c r="N2216" s="2" t="s">
        <v>1226</v>
      </c>
    </row>
    <row r="2217" customFormat="false" ht="15" hidden="false" customHeight="false" outlineLevel="0" collapsed="false">
      <c r="A2217" s="2" t="n">
        <v>2216</v>
      </c>
      <c r="B2217" s="2" t="s">
        <v>4717</v>
      </c>
      <c r="C2217" s="2" t="s">
        <v>4718</v>
      </c>
      <c r="D2217" s="2"/>
      <c r="E2217" s="2" t="s">
        <v>33</v>
      </c>
      <c r="F2217" s="3" t="n">
        <v>5.4E-005</v>
      </c>
      <c r="G2217" s="3" t="n">
        <f aca="false">SUM($F$2:F2217)</f>
        <v>0.945371</v>
      </c>
      <c r="H2217" s="4"/>
      <c r="I2217" s="5"/>
      <c r="J2217" s="4"/>
      <c r="K2217" s="5"/>
      <c r="L2217" s="6"/>
      <c r="M2217" s="5" t="str">
        <f aca="false">IF(AND(N(K2217)&gt;0,N(L2217)&gt;0),K2217/L2217,"")</f>
        <v/>
      </c>
      <c r="N2217" s="2" t="s">
        <v>1226</v>
      </c>
    </row>
    <row r="2218" customFormat="false" ht="15" hidden="false" customHeight="false" outlineLevel="0" collapsed="false">
      <c r="A2218" s="2" t="n">
        <v>2217</v>
      </c>
      <c r="B2218" s="2" t="s">
        <v>4719</v>
      </c>
      <c r="C2218" s="2" t="s">
        <v>4720</v>
      </c>
      <c r="D2218" s="2"/>
      <c r="E2218" s="2" t="s">
        <v>1345</v>
      </c>
      <c r="F2218" s="3" t="n">
        <v>5.4E-005</v>
      </c>
      <c r="G2218" s="3" t="n">
        <f aca="false">SUM($F$2:F2218)</f>
        <v>0.945425</v>
      </c>
      <c r="H2218" s="4"/>
      <c r="I2218" s="5"/>
      <c r="J2218" s="4"/>
      <c r="K2218" s="5"/>
      <c r="L2218" s="6"/>
      <c r="M2218" s="5" t="str">
        <f aca="false">IF(AND(N(K2218)&gt;0,N(L2218)&gt;0),K2218/L2218,"")</f>
        <v/>
      </c>
      <c r="N2218" s="2" t="s">
        <v>1226</v>
      </c>
    </row>
    <row r="2219" customFormat="false" ht="15" hidden="false" customHeight="false" outlineLevel="0" collapsed="false">
      <c r="A2219" s="2" t="n">
        <v>2218</v>
      </c>
      <c r="B2219" s="2" t="s">
        <v>4721</v>
      </c>
      <c r="C2219" s="2" t="s">
        <v>4722</v>
      </c>
      <c r="D2219" s="2"/>
      <c r="E2219" s="2" t="s">
        <v>539</v>
      </c>
      <c r="F2219" s="3" t="n">
        <v>5.4E-005</v>
      </c>
      <c r="G2219" s="3" t="n">
        <f aca="false">SUM($F$2:F2219)</f>
        <v>0.945479</v>
      </c>
      <c r="H2219" s="4"/>
      <c r="I2219" s="5"/>
      <c r="J2219" s="4"/>
      <c r="K2219" s="5"/>
      <c r="L2219" s="6"/>
      <c r="M2219" s="5" t="str">
        <f aca="false">IF(AND(N(K2219)&gt;0,N(L2219)&gt;0),K2219/L2219,"")</f>
        <v/>
      </c>
      <c r="N2219" s="2" t="s">
        <v>1226</v>
      </c>
    </row>
    <row r="2220" customFormat="false" ht="15" hidden="false" customHeight="false" outlineLevel="0" collapsed="false">
      <c r="A2220" s="2" t="n">
        <v>2219</v>
      </c>
      <c r="B2220" s="2" t="s">
        <v>4723</v>
      </c>
      <c r="C2220" s="2" t="s">
        <v>4724</v>
      </c>
      <c r="D2220" s="2"/>
      <c r="E2220" s="2" t="s">
        <v>199</v>
      </c>
      <c r="F2220" s="3" t="n">
        <v>5.4E-005</v>
      </c>
      <c r="G2220" s="3" t="n">
        <f aca="false">SUM($F$2:F2220)</f>
        <v>0.945533</v>
      </c>
      <c r="H2220" s="4"/>
      <c r="I2220" s="5"/>
      <c r="J2220" s="4"/>
      <c r="K2220" s="5"/>
      <c r="L2220" s="6"/>
      <c r="M2220" s="5" t="str">
        <f aca="false">IF(AND(N(K2220)&gt;0,N(L2220)&gt;0),K2220/L2220,"")</f>
        <v/>
      </c>
      <c r="N2220" s="2" t="s">
        <v>1226</v>
      </c>
    </row>
    <row r="2221" customFormat="false" ht="15" hidden="false" customHeight="false" outlineLevel="0" collapsed="false">
      <c r="A2221" s="2" t="n">
        <v>2220</v>
      </c>
      <c r="B2221" s="2" t="s">
        <v>4725</v>
      </c>
      <c r="C2221" s="2" t="s">
        <v>4726</v>
      </c>
      <c r="D2221" s="2"/>
      <c r="E2221" s="2" t="s">
        <v>289</v>
      </c>
      <c r="F2221" s="3" t="n">
        <v>5.3E-005</v>
      </c>
      <c r="G2221" s="3" t="n">
        <f aca="false">SUM($F$2:F2221)</f>
        <v>0.945586</v>
      </c>
      <c r="H2221" s="4"/>
      <c r="I2221" s="5"/>
      <c r="J2221" s="4"/>
      <c r="K2221" s="5"/>
      <c r="L2221" s="6"/>
      <c r="M2221" s="5" t="str">
        <f aca="false">IF(AND(N(K2221)&gt;0,N(L2221)&gt;0),K2221/L2221,"")</f>
        <v/>
      </c>
      <c r="N2221" s="2" t="s">
        <v>1226</v>
      </c>
    </row>
    <row r="2222" customFormat="false" ht="15" hidden="false" customHeight="false" outlineLevel="0" collapsed="false">
      <c r="A2222" s="2" t="n">
        <v>2221</v>
      </c>
      <c r="B2222" s="2" t="s">
        <v>4727</v>
      </c>
      <c r="C2222" s="2" t="s">
        <v>4728</v>
      </c>
      <c r="D2222" s="2"/>
      <c r="E2222" s="2" t="s">
        <v>48</v>
      </c>
      <c r="F2222" s="3" t="n">
        <v>5.3E-005</v>
      </c>
      <c r="G2222" s="3" t="n">
        <f aca="false">SUM($F$2:F2222)</f>
        <v>0.945639</v>
      </c>
      <c r="H2222" s="4"/>
      <c r="I2222" s="5"/>
      <c r="J2222" s="4"/>
      <c r="K2222" s="5"/>
      <c r="L2222" s="6"/>
      <c r="M2222" s="5" t="str">
        <f aca="false">IF(AND(N(K2222)&gt;0,N(L2222)&gt;0),K2222/L2222,"")</f>
        <v/>
      </c>
      <c r="N2222" s="2" t="s">
        <v>1226</v>
      </c>
    </row>
    <row r="2223" customFormat="false" ht="15" hidden="false" customHeight="false" outlineLevel="0" collapsed="false">
      <c r="A2223" s="2" t="n">
        <v>2222</v>
      </c>
      <c r="B2223" s="2" t="s">
        <v>4729</v>
      </c>
      <c r="C2223" s="2" t="s">
        <v>4730</v>
      </c>
      <c r="D2223" s="2"/>
      <c r="E2223" s="2" t="s">
        <v>173</v>
      </c>
      <c r="F2223" s="3" t="n">
        <v>5.3E-005</v>
      </c>
      <c r="G2223" s="3" t="n">
        <f aca="false">SUM($F$2:F2223)</f>
        <v>0.945692</v>
      </c>
      <c r="H2223" s="4"/>
      <c r="I2223" s="5"/>
      <c r="J2223" s="4"/>
      <c r="K2223" s="5"/>
      <c r="L2223" s="6"/>
      <c r="M2223" s="5" t="str">
        <f aca="false">IF(AND(N(K2223)&gt;0,N(L2223)&gt;0),K2223/L2223,"")</f>
        <v/>
      </c>
      <c r="N2223" s="2" t="s">
        <v>1226</v>
      </c>
    </row>
    <row r="2224" customFormat="false" ht="15" hidden="false" customHeight="false" outlineLevel="0" collapsed="false">
      <c r="A2224" s="2" t="n">
        <v>2223</v>
      </c>
      <c r="B2224" s="2" t="s">
        <v>4731</v>
      </c>
      <c r="C2224" s="2" t="s">
        <v>4732</v>
      </c>
      <c r="D2224" s="2"/>
      <c r="E2224" s="2" t="s">
        <v>82</v>
      </c>
      <c r="F2224" s="3" t="n">
        <v>5.3E-005</v>
      </c>
      <c r="G2224" s="3" t="n">
        <f aca="false">SUM($F$2:F2224)</f>
        <v>0.945745</v>
      </c>
      <c r="H2224" s="4"/>
      <c r="I2224" s="5"/>
      <c r="J2224" s="4"/>
      <c r="K2224" s="5"/>
      <c r="L2224" s="6"/>
      <c r="M2224" s="5" t="str">
        <f aca="false">IF(AND(N(K2224)&gt;0,N(L2224)&gt;0),K2224/L2224,"")</f>
        <v/>
      </c>
      <c r="N2224" s="2" t="s">
        <v>1226</v>
      </c>
    </row>
    <row r="2225" customFormat="false" ht="15" hidden="false" customHeight="false" outlineLevel="0" collapsed="false">
      <c r="A2225" s="2" t="n">
        <v>2224</v>
      </c>
      <c r="B2225" s="2" t="s">
        <v>4733</v>
      </c>
      <c r="C2225" s="2" t="s">
        <v>4734</v>
      </c>
      <c r="D2225" s="2"/>
      <c r="E2225" s="2" t="s">
        <v>1284</v>
      </c>
      <c r="F2225" s="3" t="n">
        <v>5.3E-005</v>
      </c>
      <c r="G2225" s="3" t="n">
        <f aca="false">SUM($F$2:F2225)</f>
        <v>0.945798</v>
      </c>
      <c r="H2225" s="4"/>
      <c r="I2225" s="5"/>
      <c r="J2225" s="4"/>
      <c r="K2225" s="5"/>
      <c r="L2225" s="6"/>
      <c r="M2225" s="5" t="str">
        <f aca="false">IF(AND(N(K2225)&gt;0,N(L2225)&gt;0),K2225/L2225,"")</f>
        <v/>
      </c>
      <c r="N2225" s="2" t="s">
        <v>1226</v>
      </c>
    </row>
    <row r="2226" customFormat="false" ht="15" hidden="false" customHeight="false" outlineLevel="0" collapsed="false">
      <c r="A2226" s="2" t="n">
        <v>2225</v>
      </c>
      <c r="B2226" s="2" t="s">
        <v>4735</v>
      </c>
      <c r="C2226" s="2" t="s">
        <v>4736</v>
      </c>
      <c r="D2226" s="2"/>
      <c r="E2226" s="2" t="s">
        <v>539</v>
      </c>
      <c r="F2226" s="3" t="n">
        <v>5.3E-005</v>
      </c>
      <c r="G2226" s="3" t="n">
        <f aca="false">SUM($F$2:F2226)</f>
        <v>0.945851</v>
      </c>
      <c r="H2226" s="4"/>
      <c r="I2226" s="5"/>
      <c r="J2226" s="4"/>
      <c r="K2226" s="5"/>
      <c r="L2226" s="6"/>
      <c r="M2226" s="5" t="str">
        <f aca="false">IF(AND(N(K2226)&gt;0,N(L2226)&gt;0),K2226/L2226,"")</f>
        <v/>
      </c>
      <c r="N2226" s="2" t="s">
        <v>1226</v>
      </c>
    </row>
    <row r="2227" customFormat="false" ht="15" hidden="false" customHeight="false" outlineLevel="0" collapsed="false">
      <c r="A2227" s="2" t="n">
        <v>2226</v>
      </c>
      <c r="B2227" s="2" t="s">
        <v>4737</v>
      </c>
      <c r="C2227" s="2" t="s">
        <v>4738</v>
      </c>
      <c r="D2227" s="2"/>
      <c r="E2227" s="2" t="s">
        <v>52</v>
      </c>
      <c r="F2227" s="3" t="n">
        <v>5.3E-005</v>
      </c>
      <c r="G2227" s="3" t="n">
        <f aca="false">SUM($F$2:F2227)</f>
        <v>0.945904</v>
      </c>
      <c r="H2227" s="4"/>
      <c r="I2227" s="5"/>
      <c r="J2227" s="4"/>
      <c r="K2227" s="5"/>
      <c r="L2227" s="6"/>
      <c r="M2227" s="5" t="str">
        <f aca="false">IF(AND(N(K2227)&gt;0,N(L2227)&gt;0),K2227/L2227,"")</f>
        <v/>
      </c>
      <c r="N2227" s="2" t="s">
        <v>1226</v>
      </c>
    </row>
    <row r="2228" customFormat="false" ht="15" hidden="false" customHeight="false" outlineLevel="0" collapsed="false">
      <c r="A2228" s="2" t="n">
        <v>2227</v>
      </c>
      <c r="B2228" s="2" t="s">
        <v>4739</v>
      </c>
      <c r="C2228" s="2" t="s">
        <v>4740</v>
      </c>
      <c r="D2228" s="2"/>
      <c r="E2228" s="2" t="s">
        <v>765</v>
      </c>
      <c r="F2228" s="3" t="n">
        <v>5.3E-005</v>
      </c>
      <c r="G2228" s="3" t="n">
        <f aca="false">SUM($F$2:F2228)</f>
        <v>0.945957</v>
      </c>
      <c r="H2228" s="4"/>
      <c r="I2228" s="5"/>
      <c r="J2228" s="4"/>
      <c r="K2228" s="5"/>
      <c r="L2228" s="6"/>
      <c r="M2228" s="5" t="str">
        <f aca="false">IF(AND(N(K2228)&gt;0,N(L2228)&gt;0),K2228/L2228,"")</f>
        <v/>
      </c>
      <c r="N2228" s="2" t="s">
        <v>1226</v>
      </c>
    </row>
    <row r="2229" customFormat="false" ht="15" hidden="false" customHeight="false" outlineLevel="0" collapsed="false">
      <c r="A2229" s="2" t="n">
        <v>2228</v>
      </c>
      <c r="B2229" s="2" t="s">
        <v>4741</v>
      </c>
      <c r="C2229" s="2" t="s">
        <v>4742</v>
      </c>
      <c r="D2229" s="2"/>
      <c r="E2229" s="2" t="s">
        <v>25</v>
      </c>
      <c r="F2229" s="3" t="n">
        <v>5.3E-005</v>
      </c>
      <c r="G2229" s="3" t="n">
        <f aca="false">SUM($F$2:F2229)</f>
        <v>0.94601</v>
      </c>
      <c r="H2229" s="4"/>
      <c r="I2229" s="5"/>
      <c r="J2229" s="4"/>
      <c r="K2229" s="5"/>
      <c r="L2229" s="6"/>
      <c r="M2229" s="5" t="str">
        <f aca="false">IF(AND(N(K2229)&gt;0,N(L2229)&gt;0),K2229/L2229,"")</f>
        <v/>
      </c>
      <c r="N2229" s="2" t="s">
        <v>1226</v>
      </c>
    </row>
    <row r="2230" customFormat="false" ht="15" hidden="false" customHeight="false" outlineLevel="0" collapsed="false">
      <c r="A2230" s="2" t="n">
        <v>2229</v>
      </c>
      <c r="B2230" s="2" t="s">
        <v>4743</v>
      </c>
      <c r="C2230" s="2" t="s">
        <v>4744</v>
      </c>
      <c r="D2230" s="2"/>
      <c r="E2230" s="2" t="s">
        <v>29</v>
      </c>
      <c r="F2230" s="3" t="n">
        <v>5.3E-005</v>
      </c>
      <c r="G2230" s="3" t="n">
        <f aca="false">SUM($F$2:F2230)</f>
        <v>0.946063</v>
      </c>
      <c r="H2230" s="4"/>
      <c r="I2230" s="5"/>
      <c r="J2230" s="4"/>
      <c r="K2230" s="5"/>
      <c r="L2230" s="6"/>
      <c r="M2230" s="5" t="str">
        <f aca="false">IF(AND(N(K2230)&gt;0,N(L2230)&gt;0),K2230/L2230,"")</f>
        <v/>
      </c>
      <c r="N2230" s="2" t="s">
        <v>1226</v>
      </c>
    </row>
    <row r="2231" customFormat="false" ht="15" hidden="false" customHeight="false" outlineLevel="0" collapsed="false">
      <c r="A2231" s="2" t="n">
        <v>2230</v>
      </c>
      <c r="B2231" s="2" t="s">
        <v>4256</v>
      </c>
      <c r="C2231" s="2" t="s">
        <v>4745</v>
      </c>
      <c r="D2231" s="2"/>
      <c r="E2231" s="2" t="s">
        <v>17</v>
      </c>
      <c r="F2231" s="3" t="n">
        <v>5.3E-005</v>
      </c>
      <c r="G2231" s="3" t="n">
        <f aca="false">SUM($F$2:F2231)</f>
        <v>0.946116</v>
      </c>
      <c r="H2231" s="4"/>
      <c r="I2231" s="5"/>
      <c r="J2231" s="4"/>
      <c r="K2231" s="5"/>
      <c r="L2231" s="6"/>
      <c r="M2231" s="5" t="str">
        <f aca="false">IF(AND(N(K2231)&gt;0,N(L2231)&gt;0),K2231/L2231,"")</f>
        <v/>
      </c>
      <c r="N2231" s="2" t="s">
        <v>1226</v>
      </c>
    </row>
    <row r="2232" customFormat="false" ht="15" hidden="false" customHeight="false" outlineLevel="0" collapsed="false">
      <c r="A2232" s="2" t="n">
        <v>2231</v>
      </c>
      <c r="B2232" s="2" t="s">
        <v>4746</v>
      </c>
      <c r="C2232" s="2" t="s">
        <v>4747</v>
      </c>
      <c r="D2232" s="2"/>
      <c r="E2232" s="2" t="s">
        <v>52</v>
      </c>
      <c r="F2232" s="3" t="n">
        <v>5.3E-005</v>
      </c>
      <c r="G2232" s="3" t="n">
        <f aca="false">SUM($F$2:F2232)</f>
        <v>0.946169</v>
      </c>
      <c r="H2232" s="4"/>
      <c r="I2232" s="5"/>
      <c r="J2232" s="4"/>
      <c r="K2232" s="5"/>
      <c r="L2232" s="6"/>
      <c r="M2232" s="5" t="str">
        <f aca="false">IF(AND(N(K2232)&gt;0,N(L2232)&gt;0),K2232/L2232,"")</f>
        <v/>
      </c>
      <c r="N2232" s="2" t="s">
        <v>1226</v>
      </c>
    </row>
    <row r="2233" customFormat="false" ht="15" hidden="false" customHeight="false" outlineLevel="0" collapsed="false">
      <c r="A2233" s="2" t="n">
        <v>2232</v>
      </c>
      <c r="B2233" s="2" t="s">
        <v>4748</v>
      </c>
      <c r="C2233" s="2" t="s">
        <v>4749</v>
      </c>
      <c r="D2233" s="2"/>
      <c r="E2233" s="2" t="s">
        <v>1245</v>
      </c>
      <c r="F2233" s="3" t="n">
        <v>5.3E-005</v>
      </c>
      <c r="G2233" s="3" t="n">
        <f aca="false">SUM($F$2:F2233)</f>
        <v>0.946222</v>
      </c>
      <c r="H2233" s="4"/>
      <c r="I2233" s="5"/>
      <c r="J2233" s="4"/>
      <c r="K2233" s="5"/>
      <c r="L2233" s="6"/>
      <c r="M2233" s="5" t="str">
        <f aca="false">IF(AND(N(K2233)&gt;0,N(L2233)&gt;0),K2233/L2233,"")</f>
        <v/>
      </c>
      <c r="N2233" s="2" t="s">
        <v>1226</v>
      </c>
    </row>
    <row r="2234" customFormat="false" ht="15" hidden="false" customHeight="false" outlineLevel="0" collapsed="false">
      <c r="A2234" s="2" t="n">
        <v>2233</v>
      </c>
      <c r="B2234" s="2" t="s">
        <v>4750</v>
      </c>
      <c r="C2234" s="2" t="s">
        <v>4751</v>
      </c>
      <c r="D2234" s="2"/>
      <c r="E2234" s="2" t="s">
        <v>289</v>
      </c>
      <c r="F2234" s="3" t="n">
        <v>5.3E-005</v>
      </c>
      <c r="G2234" s="3" t="n">
        <f aca="false">SUM($F$2:F2234)</f>
        <v>0.946275</v>
      </c>
      <c r="H2234" s="4"/>
      <c r="I2234" s="5"/>
      <c r="J2234" s="4"/>
      <c r="K2234" s="5"/>
      <c r="L2234" s="6"/>
      <c r="M2234" s="5" t="str">
        <f aca="false">IF(AND(N(K2234)&gt;0,N(L2234)&gt;0),K2234/L2234,"")</f>
        <v/>
      </c>
      <c r="N2234" s="2" t="s">
        <v>1226</v>
      </c>
    </row>
    <row r="2235" customFormat="false" ht="15" hidden="false" customHeight="false" outlineLevel="0" collapsed="false">
      <c r="A2235" s="2" t="n">
        <v>2234</v>
      </c>
      <c r="B2235" s="2" t="s">
        <v>4046</v>
      </c>
      <c r="C2235" s="2" t="s">
        <v>4752</v>
      </c>
      <c r="D2235" s="2"/>
      <c r="E2235" s="2" t="s">
        <v>52</v>
      </c>
      <c r="F2235" s="3" t="n">
        <v>5.3E-005</v>
      </c>
      <c r="G2235" s="3" t="n">
        <f aca="false">SUM($F$2:F2235)</f>
        <v>0.946328</v>
      </c>
      <c r="H2235" s="4"/>
      <c r="I2235" s="5"/>
      <c r="J2235" s="4"/>
      <c r="K2235" s="5"/>
      <c r="L2235" s="6"/>
      <c r="M2235" s="5" t="str">
        <f aca="false">IF(AND(N(K2235)&gt;0,N(L2235)&gt;0),K2235/L2235,"")</f>
        <v/>
      </c>
      <c r="N2235" s="2" t="s">
        <v>1226</v>
      </c>
    </row>
    <row r="2236" customFormat="false" ht="15" hidden="false" customHeight="false" outlineLevel="0" collapsed="false">
      <c r="A2236" s="2" t="n">
        <v>2235</v>
      </c>
      <c r="B2236" s="2" t="s">
        <v>4753</v>
      </c>
      <c r="C2236" s="2" t="s">
        <v>4754</v>
      </c>
      <c r="D2236" s="2"/>
      <c r="E2236" s="2" t="s">
        <v>52</v>
      </c>
      <c r="F2236" s="3" t="n">
        <v>5.3E-005</v>
      </c>
      <c r="G2236" s="3" t="n">
        <f aca="false">SUM($F$2:F2236)</f>
        <v>0.946381</v>
      </c>
      <c r="H2236" s="4"/>
      <c r="I2236" s="5"/>
      <c r="J2236" s="4"/>
      <c r="K2236" s="5"/>
      <c r="L2236" s="6"/>
      <c r="M2236" s="5" t="str">
        <f aca="false">IF(AND(N(K2236)&gt;0,N(L2236)&gt;0),K2236/L2236,"")</f>
        <v/>
      </c>
      <c r="N2236" s="2" t="s">
        <v>1226</v>
      </c>
    </row>
    <row r="2237" customFormat="false" ht="15" hidden="false" customHeight="false" outlineLevel="0" collapsed="false">
      <c r="A2237" s="2" t="n">
        <v>2236</v>
      </c>
      <c r="B2237" s="2" t="s">
        <v>4755</v>
      </c>
      <c r="C2237" s="2" t="s">
        <v>4756</v>
      </c>
      <c r="D2237" s="2"/>
      <c r="E2237" s="2" t="s">
        <v>52</v>
      </c>
      <c r="F2237" s="3" t="n">
        <v>5.3E-005</v>
      </c>
      <c r="G2237" s="3" t="n">
        <f aca="false">SUM($F$2:F2237)</f>
        <v>0.946434</v>
      </c>
      <c r="H2237" s="4"/>
      <c r="I2237" s="5"/>
      <c r="J2237" s="4"/>
      <c r="K2237" s="5"/>
      <c r="L2237" s="6"/>
      <c r="M2237" s="5" t="str">
        <f aca="false">IF(AND(N(K2237)&gt;0,N(L2237)&gt;0),K2237/L2237,"")</f>
        <v/>
      </c>
      <c r="N2237" s="2" t="s">
        <v>1226</v>
      </c>
    </row>
    <row r="2238" customFormat="false" ht="15" hidden="false" customHeight="false" outlineLevel="0" collapsed="false">
      <c r="A2238" s="2" t="n">
        <v>2237</v>
      </c>
      <c r="B2238" s="2" t="s">
        <v>4757</v>
      </c>
      <c r="C2238" s="2" t="s">
        <v>4758</v>
      </c>
      <c r="D2238" s="2"/>
      <c r="E2238" s="2" t="s">
        <v>52</v>
      </c>
      <c r="F2238" s="3" t="n">
        <v>5.3E-005</v>
      </c>
      <c r="G2238" s="3" t="n">
        <f aca="false">SUM($F$2:F2238)</f>
        <v>0.946487</v>
      </c>
      <c r="H2238" s="4"/>
      <c r="I2238" s="5"/>
      <c r="J2238" s="4"/>
      <c r="K2238" s="5"/>
      <c r="L2238" s="6"/>
      <c r="M2238" s="5" t="str">
        <f aca="false">IF(AND(N(K2238)&gt;0,N(L2238)&gt;0),K2238/L2238,"")</f>
        <v/>
      </c>
      <c r="N2238" s="2" t="s">
        <v>1226</v>
      </c>
    </row>
    <row r="2239" customFormat="false" ht="15" hidden="false" customHeight="false" outlineLevel="0" collapsed="false">
      <c r="A2239" s="2" t="n">
        <v>2238</v>
      </c>
      <c r="B2239" s="2" t="s">
        <v>4759</v>
      </c>
      <c r="C2239" s="2" t="s">
        <v>4760</v>
      </c>
      <c r="D2239" s="2"/>
      <c r="E2239" s="2" t="s">
        <v>1345</v>
      </c>
      <c r="F2239" s="3" t="n">
        <v>5.3E-005</v>
      </c>
      <c r="G2239" s="3" t="n">
        <f aca="false">SUM($F$2:F2239)</f>
        <v>0.94654</v>
      </c>
      <c r="H2239" s="4"/>
      <c r="I2239" s="5"/>
      <c r="J2239" s="4"/>
      <c r="K2239" s="5"/>
      <c r="L2239" s="6"/>
      <c r="M2239" s="5" t="str">
        <f aca="false">IF(AND(N(K2239)&gt;0,N(L2239)&gt;0),K2239/L2239,"")</f>
        <v/>
      </c>
      <c r="N2239" s="2" t="s">
        <v>1226</v>
      </c>
    </row>
    <row r="2240" customFormat="false" ht="15" hidden="false" customHeight="false" outlineLevel="0" collapsed="false">
      <c r="A2240" s="2" t="n">
        <v>2239</v>
      </c>
      <c r="B2240" s="2" t="s">
        <v>4761</v>
      </c>
      <c r="C2240" s="2" t="s">
        <v>4762</v>
      </c>
      <c r="D2240" s="2"/>
      <c r="E2240" s="2" t="s">
        <v>33</v>
      </c>
      <c r="F2240" s="3" t="n">
        <v>5.3E-005</v>
      </c>
      <c r="G2240" s="3" t="n">
        <f aca="false">SUM($F$2:F2240)</f>
        <v>0.946593</v>
      </c>
      <c r="H2240" s="4"/>
      <c r="I2240" s="5"/>
      <c r="J2240" s="4"/>
      <c r="K2240" s="5"/>
      <c r="L2240" s="6"/>
      <c r="M2240" s="5" t="str">
        <f aca="false">IF(AND(N(K2240)&gt;0,N(L2240)&gt;0),K2240/L2240,"")</f>
        <v/>
      </c>
      <c r="N2240" s="2" t="s">
        <v>1226</v>
      </c>
    </row>
    <row r="2241" customFormat="false" ht="15" hidden="false" customHeight="false" outlineLevel="0" collapsed="false">
      <c r="A2241" s="2" t="n">
        <v>2240</v>
      </c>
      <c r="B2241" s="2" t="s">
        <v>4763</v>
      </c>
      <c r="C2241" s="2" t="s">
        <v>4764</v>
      </c>
      <c r="D2241" s="2"/>
      <c r="E2241" s="2" t="s">
        <v>289</v>
      </c>
      <c r="F2241" s="3" t="n">
        <v>5.3E-005</v>
      </c>
      <c r="G2241" s="3" t="n">
        <f aca="false">SUM($F$2:F2241)</f>
        <v>0.946646</v>
      </c>
      <c r="H2241" s="4"/>
      <c r="I2241" s="5"/>
      <c r="J2241" s="4"/>
      <c r="K2241" s="5"/>
      <c r="L2241" s="6"/>
      <c r="M2241" s="5" t="str">
        <f aca="false">IF(AND(N(K2241)&gt;0,N(L2241)&gt;0),K2241/L2241,"")</f>
        <v/>
      </c>
      <c r="N2241" s="2" t="s">
        <v>1226</v>
      </c>
    </row>
    <row r="2242" customFormat="false" ht="15" hidden="false" customHeight="false" outlineLevel="0" collapsed="false">
      <c r="A2242" s="2" t="n">
        <v>2241</v>
      </c>
      <c r="B2242" s="2" t="s">
        <v>4765</v>
      </c>
      <c r="C2242" s="2" t="s">
        <v>4766</v>
      </c>
      <c r="D2242" s="2"/>
      <c r="E2242" s="2" t="s">
        <v>1284</v>
      </c>
      <c r="F2242" s="3" t="n">
        <v>5.3E-005</v>
      </c>
      <c r="G2242" s="3" t="n">
        <f aca="false">SUM($F$2:F2242)</f>
        <v>0.946699</v>
      </c>
      <c r="H2242" s="4"/>
      <c r="I2242" s="5"/>
      <c r="J2242" s="4"/>
      <c r="K2242" s="5"/>
      <c r="L2242" s="6"/>
      <c r="M2242" s="5" t="str">
        <f aca="false">IF(AND(N(K2242)&gt;0,N(L2242)&gt;0),K2242/L2242,"")</f>
        <v/>
      </c>
      <c r="N2242" s="2" t="s">
        <v>1226</v>
      </c>
    </row>
    <row r="2243" customFormat="false" ht="15" hidden="false" customHeight="false" outlineLevel="0" collapsed="false">
      <c r="A2243" s="2" t="n">
        <v>2242</v>
      </c>
      <c r="B2243" s="2" t="s">
        <v>4767</v>
      </c>
      <c r="C2243" s="2" t="s">
        <v>4768</v>
      </c>
      <c r="D2243" s="2"/>
      <c r="E2243" s="2" t="s">
        <v>2055</v>
      </c>
      <c r="F2243" s="3" t="n">
        <v>5.3E-005</v>
      </c>
      <c r="G2243" s="3" t="n">
        <f aca="false">SUM($F$2:F2243)</f>
        <v>0.946752</v>
      </c>
      <c r="H2243" s="4"/>
      <c r="I2243" s="5"/>
      <c r="J2243" s="4"/>
      <c r="K2243" s="5"/>
      <c r="L2243" s="6"/>
      <c r="M2243" s="5" t="str">
        <f aca="false">IF(AND(N(K2243)&gt;0,N(L2243)&gt;0),K2243/L2243,"")</f>
        <v/>
      </c>
      <c r="N2243" s="2" t="s">
        <v>1226</v>
      </c>
    </row>
    <row r="2244" customFormat="false" ht="15" hidden="false" customHeight="false" outlineLevel="0" collapsed="false">
      <c r="A2244" s="2" t="n">
        <v>2243</v>
      </c>
      <c r="B2244" s="2" t="s">
        <v>4769</v>
      </c>
      <c r="C2244" s="2" t="s">
        <v>4770</v>
      </c>
      <c r="D2244" s="2"/>
      <c r="E2244" s="2" t="s">
        <v>334</v>
      </c>
      <c r="F2244" s="3" t="n">
        <v>5.3E-005</v>
      </c>
      <c r="G2244" s="3" t="n">
        <f aca="false">SUM($F$2:F2244)</f>
        <v>0.946805</v>
      </c>
      <c r="H2244" s="4"/>
      <c r="I2244" s="5"/>
      <c r="J2244" s="4"/>
      <c r="K2244" s="5"/>
      <c r="L2244" s="6"/>
      <c r="M2244" s="5" t="str">
        <f aca="false">IF(AND(N(K2244)&gt;0,N(L2244)&gt;0),K2244/L2244,"")</f>
        <v/>
      </c>
      <c r="N2244" s="2" t="s">
        <v>1226</v>
      </c>
    </row>
    <row r="2245" customFormat="false" ht="15" hidden="false" customHeight="false" outlineLevel="0" collapsed="false">
      <c r="A2245" s="2" t="n">
        <v>2244</v>
      </c>
      <c r="B2245" s="2" t="s">
        <v>4771</v>
      </c>
      <c r="C2245" s="2" t="s">
        <v>4772</v>
      </c>
      <c r="D2245" s="2"/>
      <c r="E2245" s="2" t="s">
        <v>52</v>
      </c>
      <c r="F2245" s="3" t="n">
        <v>5.3E-005</v>
      </c>
      <c r="G2245" s="3" t="n">
        <f aca="false">SUM($F$2:F2245)</f>
        <v>0.946858</v>
      </c>
      <c r="H2245" s="4"/>
      <c r="I2245" s="5"/>
      <c r="J2245" s="4"/>
      <c r="K2245" s="5"/>
      <c r="L2245" s="6"/>
      <c r="M2245" s="5" t="str">
        <f aca="false">IF(AND(N(K2245)&gt;0,N(L2245)&gt;0),K2245/L2245,"")</f>
        <v/>
      </c>
      <c r="N2245" s="2" t="s">
        <v>1226</v>
      </c>
    </row>
    <row r="2246" customFormat="false" ht="15" hidden="false" customHeight="false" outlineLevel="0" collapsed="false">
      <c r="A2246" s="2" t="n">
        <v>2245</v>
      </c>
      <c r="B2246" s="2" t="s">
        <v>4773</v>
      </c>
      <c r="C2246" s="2" t="s">
        <v>4774</v>
      </c>
      <c r="D2246" s="2"/>
      <c r="E2246" s="2" t="s">
        <v>29</v>
      </c>
      <c r="F2246" s="3" t="n">
        <v>5.3E-005</v>
      </c>
      <c r="G2246" s="3" t="n">
        <f aca="false">SUM($F$2:F2246)</f>
        <v>0.946911</v>
      </c>
      <c r="H2246" s="4"/>
      <c r="I2246" s="5"/>
      <c r="J2246" s="4"/>
      <c r="K2246" s="5"/>
      <c r="L2246" s="6"/>
      <c r="M2246" s="5" t="str">
        <f aca="false">IF(AND(N(K2246)&gt;0,N(L2246)&gt;0),K2246/L2246,"")</f>
        <v/>
      </c>
      <c r="N2246" s="2" t="s">
        <v>1226</v>
      </c>
    </row>
    <row r="2247" customFormat="false" ht="15" hidden="false" customHeight="false" outlineLevel="0" collapsed="false">
      <c r="A2247" s="2" t="n">
        <v>2246</v>
      </c>
      <c r="B2247" s="2" t="s">
        <v>4775</v>
      </c>
      <c r="C2247" s="2" t="s">
        <v>4776</v>
      </c>
      <c r="D2247" s="2"/>
      <c r="E2247" s="2" t="s">
        <v>25</v>
      </c>
      <c r="F2247" s="3" t="n">
        <v>5.3E-005</v>
      </c>
      <c r="G2247" s="3" t="n">
        <f aca="false">SUM($F$2:F2247)</f>
        <v>0.946964</v>
      </c>
      <c r="H2247" s="4"/>
      <c r="I2247" s="5"/>
      <c r="J2247" s="4"/>
      <c r="K2247" s="5"/>
      <c r="L2247" s="6"/>
      <c r="M2247" s="5" t="str">
        <f aca="false">IF(AND(N(K2247)&gt;0,N(L2247)&gt;0),K2247/L2247,"")</f>
        <v/>
      </c>
      <c r="N2247" s="2" t="s">
        <v>1226</v>
      </c>
    </row>
    <row r="2248" customFormat="false" ht="15" hidden="false" customHeight="false" outlineLevel="0" collapsed="false">
      <c r="A2248" s="2" t="n">
        <v>2247</v>
      </c>
      <c r="B2248" s="2" t="s">
        <v>4777</v>
      </c>
      <c r="C2248" s="2" t="s">
        <v>4778</v>
      </c>
      <c r="D2248" s="2"/>
      <c r="E2248" s="2" t="s">
        <v>52</v>
      </c>
      <c r="F2248" s="3" t="n">
        <v>5.3E-005</v>
      </c>
      <c r="G2248" s="3" t="n">
        <f aca="false">SUM($F$2:F2248)</f>
        <v>0.947017</v>
      </c>
      <c r="H2248" s="4"/>
      <c r="I2248" s="5"/>
      <c r="J2248" s="4"/>
      <c r="K2248" s="5"/>
      <c r="L2248" s="6"/>
      <c r="M2248" s="5" t="str">
        <f aca="false">IF(AND(N(K2248)&gt;0,N(L2248)&gt;0),K2248/L2248,"")</f>
        <v/>
      </c>
      <c r="N2248" s="2" t="s">
        <v>1226</v>
      </c>
    </row>
    <row r="2249" customFormat="false" ht="15" hidden="false" customHeight="false" outlineLevel="0" collapsed="false">
      <c r="A2249" s="2" t="n">
        <v>2248</v>
      </c>
      <c r="B2249" s="2" t="s">
        <v>4779</v>
      </c>
      <c r="C2249" s="2" t="s">
        <v>4780</v>
      </c>
      <c r="D2249" s="2"/>
      <c r="E2249" s="2" t="s">
        <v>52</v>
      </c>
      <c r="F2249" s="3" t="n">
        <v>5.2E-005</v>
      </c>
      <c r="G2249" s="3" t="n">
        <f aca="false">SUM($F$2:F2249)</f>
        <v>0.947069</v>
      </c>
      <c r="H2249" s="4"/>
      <c r="I2249" s="5"/>
      <c r="J2249" s="4"/>
      <c r="K2249" s="5"/>
      <c r="L2249" s="6"/>
      <c r="M2249" s="5" t="str">
        <f aca="false">IF(AND(N(K2249)&gt;0,N(L2249)&gt;0),K2249/L2249,"")</f>
        <v/>
      </c>
      <c r="N2249" s="2" t="s">
        <v>1226</v>
      </c>
    </row>
    <row r="2250" customFormat="false" ht="15" hidden="false" customHeight="false" outlineLevel="0" collapsed="false">
      <c r="A2250" s="2" t="n">
        <v>2249</v>
      </c>
      <c r="B2250" s="2" t="s">
        <v>4781</v>
      </c>
      <c r="C2250" s="2" t="s">
        <v>4782</v>
      </c>
      <c r="D2250" s="2"/>
      <c r="E2250" s="2" t="s">
        <v>1345</v>
      </c>
      <c r="F2250" s="3" t="n">
        <v>5.2E-005</v>
      </c>
      <c r="G2250" s="3" t="n">
        <f aca="false">SUM($F$2:F2250)</f>
        <v>0.947121</v>
      </c>
      <c r="H2250" s="4"/>
      <c r="I2250" s="5"/>
      <c r="J2250" s="4"/>
      <c r="K2250" s="5"/>
      <c r="L2250" s="6"/>
      <c r="M2250" s="5" t="str">
        <f aca="false">IF(AND(N(K2250)&gt;0,N(L2250)&gt;0),K2250/L2250,"")</f>
        <v/>
      </c>
      <c r="N2250" s="2" t="s">
        <v>1226</v>
      </c>
    </row>
    <row r="2251" customFormat="false" ht="15" hidden="false" customHeight="false" outlineLevel="0" collapsed="false">
      <c r="A2251" s="2" t="n">
        <v>2250</v>
      </c>
      <c r="B2251" s="2" t="s">
        <v>4783</v>
      </c>
      <c r="C2251" s="2" t="s">
        <v>4784</v>
      </c>
      <c r="D2251" s="2"/>
      <c r="E2251" s="2" t="s">
        <v>33</v>
      </c>
      <c r="F2251" s="3" t="n">
        <v>5.2E-005</v>
      </c>
      <c r="G2251" s="3" t="n">
        <f aca="false">SUM($F$2:F2251)</f>
        <v>0.947173</v>
      </c>
      <c r="H2251" s="4"/>
      <c r="I2251" s="5"/>
      <c r="J2251" s="4"/>
      <c r="K2251" s="5"/>
      <c r="L2251" s="6"/>
      <c r="M2251" s="5" t="str">
        <f aca="false">IF(AND(N(K2251)&gt;0,N(L2251)&gt;0),K2251/L2251,"")</f>
        <v/>
      </c>
      <c r="N2251" s="2" t="s">
        <v>1226</v>
      </c>
    </row>
    <row r="2252" customFormat="false" ht="15" hidden="false" customHeight="false" outlineLevel="0" collapsed="false">
      <c r="A2252" s="2" t="n">
        <v>2251</v>
      </c>
      <c r="B2252" s="2" t="s">
        <v>4785</v>
      </c>
      <c r="C2252" s="2" t="s">
        <v>4786</v>
      </c>
      <c r="D2252" s="2"/>
      <c r="E2252" s="2" t="s">
        <v>860</v>
      </c>
      <c r="F2252" s="3" t="n">
        <v>5.2E-005</v>
      </c>
      <c r="G2252" s="3" t="n">
        <f aca="false">SUM($F$2:F2252)</f>
        <v>0.947225</v>
      </c>
      <c r="H2252" s="4"/>
      <c r="I2252" s="5"/>
      <c r="J2252" s="4"/>
      <c r="K2252" s="5"/>
      <c r="L2252" s="6"/>
      <c r="M2252" s="5" t="str">
        <f aca="false">IF(AND(N(K2252)&gt;0,N(L2252)&gt;0),K2252/L2252,"")</f>
        <v/>
      </c>
      <c r="N2252" s="2" t="s">
        <v>1226</v>
      </c>
    </row>
    <row r="2253" customFormat="false" ht="15" hidden="false" customHeight="false" outlineLevel="0" collapsed="false">
      <c r="A2253" s="2" t="n">
        <v>2252</v>
      </c>
      <c r="B2253" s="2" t="s">
        <v>4787</v>
      </c>
      <c r="C2253" s="2" t="s">
        <v>4788</v>
      </c>
      <c r="D2253" s="2"/>
      <c r="E2253" s="2" t="s">
        <v>43</v>
      </c>
      <c r="F2253" s="3" t="n">
        <v>5.2E-005</v>
      </c>
      <c r="G2253" s="3" t="n">
        <f aca="false">SUM($F$2:F2253)</f>
        <v>0.947277</v>
      </c>
      <c r="H2253" s="4"/>
      <c r="I2253" s="5"/>
      <c r="J2253" s="4"/>
      <c r="K2253" s="5"/>
      <c r="L2253" s="6"/>
      <c r="M2253" s="5" t="str">
        <f aca="false">IF(AND(N(K2253)&gt;0,N(L2253)&gt;0),K2253/L2253,"")</f>
        <v/>
      </c>
      <c r="N2253" s="2" t="s">
        <v>1226</v>
      </c>
    </row>
    <row r="2254" customFormat="false" ht="15" hidden="false" customHeight="false" outlineLevel="0" collapsed="false">
      <c r="A2254" s="2" t="n">
        <v>2253</v>
      </c>
      <c r="B2254" s="2" t="s">
        <v>4789</v>
      </c>
      <c r="C2254" s="2" t="s">
        <v>4790</v>
      </c>
      <c r="D2254" s="2"/>
      <c r="E2254" s="2" t="s">
        <v>52</v>
      </c>
      <c r="F2254" s="3" t="n">
        <v>5.2E-005</v>
      </c>
      <c r="G2254" s="3" t="n">
        <f aca="false">SUM($F$2:F2254)</f>
        <v>0.947329</v>
      </c>
      <c r="H2254" s="4"/>
      <c r="I2254" s="5"/>
      <c r="J2254" s="4"/>
      <c r="K2254" s="5"/>
      <c r="L2254" s="6"/>
      <c r="M2254" s="5" t="str">
        <f aca="false">IF(AND(N(K2254)&gt;0,N(L2254)&gt;0),K2254/L2254,"")</f>
        <v/>
      </c>
      <c r="N2254" s="2" t="s">
        <v>1226</v>
      </c>
    </row>
    <row r="2255" customFormat="false" ht="15" hidden="false" customHeight="false" outlineLevel="0" collapsed="false">
      <c r="A2255" s="2" t="n">
        <v>2254</v>
      </c>
      <c r="B2255" s="2" t="s">
        <v>4791</v>
      </c>
      <c r="C2255" s="2" t="s">
        <v>4792</v>
      </c>
      <c r="D2255" s="2"/>
      <c r="E2255" s="2" t="s">
        <v>29</v>
      </c>
      <c r="F2255" s="3" t="n">
        <v>5.2E-005</v>
      </c>
      <c r="G2255" s="3" t="n">
        <f aca="false">SUM($F$2:F2255)</f>
        <v>0.947381</v>
      </c>
      <c r="H2255" s="4"/>
      <c r="I2255" s="5"/>
      <c r="J2255" s="4"/>
      <c r="K2255" s="5"/>
      <c r="L2255" s="6"/>
      <c r="M2255" s="5" t="str">
        <f aca="false">IF(AND(N(K2255)&gt;0,N(L2255)&gt;0),K2255/L2255,"")</f>
        <v/>
      </c>
      <c r="N2255" s="2" t="s">
        <v>1226</v>
      </c>
    </row>
    <row r="2256" customFormat="false" ht="15" hidden="false" customHeight="false" outlineLevel="0" collapsed="false">
      <c r="A2256" s="2" t="n">
        <v>2255</v>
      </c>
      <c r="B2256" s="2" t="s">
        <v>4793</v>
      </c>
      <c r="C2256" s="2" t="s">
        <v>4794</v>
      </c>
      <c r="D2256" s="2"/>
      <c r="E2256" s="2" t="s">
        <v>48</v>
      </c>
      <c r="F2256" s="3" t="n">
        <v>5.2E-005</v>
      </c>
      <c r="G2256" s="3" t="n">
        <f aca="false">SUM($F$2:F2256)</f>
        <v>0.947433</v>
      </c>
      <c r="H2256" s="4"/>
      <c r="I2256" s="5"/>
      <c r="J2256" s="4"/>
      <c r="K2256" s="5"/>
      <c r="L2256" s="6"/>
      <c r="M2256" s="5" t="str">
        <f aca="false">IF(AND(N(K2256)&gt;0,N(L2256)&gt;0),K2256/L2256,"")</f>
        <v/>
      </c>
      <c r="N2256" s="2" t="s">
        <v>1226</v>
      </c>
    </row>
    <row r="2257" customFormat="false" ht="15" hidden="false" customHeight="false" outlineLevel="0" collapsed="false">
      <c r="A2257" s="2" t="n">
        <v>2256</v>
      </c>
      <c r="B2257" s="2" t="s">
        <v>4795</v>
      </c>
      <c r="C2257" s="2" t="s">
        <v>4796</v>
      </c>
      <c r="D2257" s="2"/>
      <c r="E2257" s="2" t="s">
        <v>25</v>
      </c>
      <c r="F2257" s="3" t="n">
        <v>5.2E-005</v>
      </c>
      <c r="G2257" s="3" t="n">
        <f aca="false">SUM($F$2:F2257)</f>
        <v>0.947485</v>
      </c>
      <c r="H2257" s="4"/>
      <c r="I2257" s="5"/>
      <c r="J2257" s="4"/>
      <c r="K2257" s="5"/>
      <c r="L2257" s="6"/>
      <c r="M2257" s="5" t="str">
        <f aca="false">IF(AND(N(K2257)&gt;0,N(L2257)&gt;0),K2257/L2257,"")</f>
        <v/>
      </c>
      <c r="N2257" s="2" t="s">
        <v>1226</v>
      </c>
    </row>
    <row r="2258" customFormat="false" ht="15" hidden="false" customHeight="false" outlineLevel="0" collapsed="false">
      <c r="A2258" s="2" t="n">
        <v>2257</v>
      </c>
      <c r="B2258" s="2" t="s">
        <v>4797</v>
      </c>
      <c r="C2258" s="2" t="s">
        <v>4798</v>
      </c>
      <c r="D2258" s="2"/>
      <c r="E2258" s="2" t="s">
        <v>17</v>
      </c>
      <c r="F2258" s="3" t="n">
        <v>5.2E-005</v>
      </c>
      <c r="G2258" s="3" t="n">
        <f aca="false">SUM($F$2:F2258)</f>
        <v>0.947537</v>
      </c>
      <c r="H2258" s="4"/>
      <c r="I2258" s="5"/>
      <c r="J2258" s="4"/>
      <c r="K2258" s="5"/>
      <c r="L2258" s="6"/>
      <c r="M2258" s="5" t="str">
        <f aca="false">IF(AND(N(K2258)&gt;0,N(L2258)&gt;0),K2258/L2258,"")</f>
        <v/>
      </c>
      <c r="N2258" s="2" t="s">
        <v>1226</v>
      </c>
    </row>
    <row r="2259" customFormat="false" ht="15" hidden="false" customHeight="false" outlineLevel="0" collapsed="false">
      <c r="A2259" s="2" t="n">
        <v>2258</v>
      </c>
      <c r="B2259" s="2" t="s">
        <v>4799</v>
      </c>
      <c r="C2259" s="2" t="s">
        <v>4800</v>
      </c>
      <c r="D2259" s="2"/>
      <c r="E2259" s="2" t="s">
        <v>296</v>
      </c>
      <c r="F2259" s="3" t="n">
        <v>5.2E-005</v>
      </c>
      <c r="G2259" s="3" t="n">
        <f aca="false">SUM($F$2:F2259)</f>
        <v>0.947589</v>
      </c>
      <c r="H2259" s="4"/>
      <c r="I2259" s="5"/>
      <c r="J2259" s="4"/>
      <c r="K2259" s="5"/>
      <c r="L2259" s="6"/>
      <c r="M2259" s="5" t="str">
        <f aca="false">IF(AND(N(K2259)&gt;0,N(L2259)&gt;0),K2259/L2259,"")</f>
        <v/>
      </c>
      <c r="N2259" s="2" t="s">
        <v>1226</v>
      </c>
    </row>
    <row r="2260" customFormat="false" ht="15" hidden="false" customHeight="false" outlineLevel="0" collapsed="false">
      <c r="A2260" s="2" t="n">
        <v>2259</v>
      </c>
      <c r="B2260" s="2" t="s">
        <v>4801</v>
      </c>
      <c r="C2260" s="2" t="s">
        <v>4802</v>
      </c>
      <c r="D2260" s="2"/>
      <c r="E2260" s="2" t="s">
        <v>679</v>
      </c>
      <c r="F2260" s="3" t="n">
        <v>5.2E-005</v>
      </c>
      <c r="G2260" s="3" t="n">
        <f aca="false">SUM($F$2:F2260)</f>
        <v>0.947641</v>
      </c>
      <c r="H2260" s="4"/>
      <c r="I2260" s="5"/>
      <c r="J2260" s="4"/>
      <c r="K2260" s="5"/>
      <c r="L2260" s="6"/>
      <c r="M2260" s="5" t="str">
        <f aca="false">IF(AND(N(K2260)&gt;0,N(L2260)&gt;0),K2260/L2260,"")</f>
        <v/>
      </c>
      <c r="N2260" s="2" t="s">
        <v>1226</v>
      </c>
    </row>
    <row r="2261" customFormat="false" ht="15" hidden="false" customHeight="false" outlineLevel="0" collapsed="false">
      <c r="A2261" s="2" t="n">
        <v>2260</v>
      </c>
      <c r="B2261" s="2" t="s">
        <v>4803</v>
      </c>
      <c r="C2261" s="2" t="s">
        <v>4804</v>
      </c>
      <c r="D2261" s="2"/>
      <c r="E2261" s="2" t="s">
        <v>289</v>
      </c>
      <c r="F2261" s="3" t="n">
        <v>5.2E-005</v>
      </c>
      <c r="G2261" s="3" t="n">
        <f aca="false">SUM($F$2:F2261)</f>
        <v>0.947693</v>
      </c>
      <c r="H2261" s="4"/>
      <c r="I2261" s="5"/>
      <c r="J2261" s="4"/>
      <c r="K2261" s="5"/>
      <c r="L2261" s="6"/>
      <c r="M2261" s="5" t="str">
        <f aca="false">IF(AND(N(K2261)&gt;0,N(L2261)&gt;0),K2261/L2261,"")</f>
        <v/>
      </c>
      <c r="N2261" s="2" t="s">
        <v>1226</v>
      </c>
    </row>
    <row r="2262" customFormat="false" ht="15" hidden="false" customHeight="false" outlineLevel="0" collapsed="false">
      <c r="A2262" s="2" t="n">
        <v>2261</v>
      </c>
      <c r="B2262" s="2" t="s">
        <v>4805</v>
      </c>
      <c r="C2262" s="2" t="s">
        <v>4806</v>
      </c>
      <c r="D2262" s="2"/>
      <c r="E2262" s="2" t="s">
        <v>1215</v>
      </c>
      <c r="F2262" s="3" t="n">
        <v>5.2E-005</v>
      </c>
      <c r="G2262" s="3" t="n">
        <f aca="false">SUM($F$2:F2262)</f>
        <v>0.947745</v>
      </c>
      <c r="H2262" s="4"/>
      <c r="I2262" s="5"/>
      <c r="J2262" s="4"/>
      <c r="K2262" s="5"/>
      <c r="L2262" s="6"/>
      <c r="M2262" s="5" t="str">
        <f aca="false">IF(AND(N(K2262)&gt;0,N(L2262)&gt;0),K2262/L2262,"")</f>
        <v/>
      </c>
      <c r="N2262" s="2" t="s">
        <v>1226</v>
      </c>
    </row>
    <row r="2263" customFormat="false" ht="15" hidden="false" customHeight="false" outlineLevel="0" collapsed="false">
      <c r="A2263" s="2" t="n">
        <v>2262</v>
      </c>
      <c r="B2263" s="2" t="s">
        <v>4807</v>
      </c>
      <c r="C2263" s="2" t="s">
        <v>4808</v>
      </c>
      <c r="D2263" s="2"/>
      <c r="E2263" s="2" t="s">
        <v>1345</v>
      </c>
      <c r="F2263" s="3" t="n">
        <v>5.2E-005</v>
      </c>
      <c r="G2263" s="3" t="n">
        <f aca="false">SUM($F$2:F2263)</f>
        <v>0.947797</v>
      </c>
      <c r="H2263" s="4"/>
      <c r="I2263" s="5"/>
      <c r="J2263" s="4"/>
      <c r="K2263" s="5"/>
      <c r="L2263" s="6"/>
      <c r="M2263" s="5" t="str">
        <f aca="false">IF(AND(N(K2263)&gt;0,N(L2263)&gt;0),K2263/L2263,"")</f>
        <v/>
      </c>
      <c r="N2263" s="2" t="s">
        <v>1226</v>
      </c>
    </row>
    <row r="2264" customFormat="false" ht="15" hidden="false" customHeight="false" outlineLevel="0" collapsed="false">
      <c r="A2264" s="2" t="n">
        <v>2263</v>
      </c>
      <c r="B2264" s="2" t="s">
        <v>4809</v>
      </c>
      <c r="C2264" s="2" t="s">
        <v>4810</v>
      </c>
      <c r="D2264" s="2"/>
      <c r="E2264" s="2" t="s">
        <v>17</v>
      </c>
      <c r="F2264" s="3" t="n">
        <v>5.2E-005</v>
      </c>
      <c r="G2264" s="3" t="n">
        <f aca="false">SUM($F$2:F2264)</f>
        <v>0.947849</v>
      </c>
      <c r="H2264" s="4"/>
      <c r="I2264" s="5"/>
      <c r="J2264" s="4"/>
      <c r="K2264" s="5"/>
      <c r="L2264" s="6"/>
      <c r="M2264" s="5" t="str">
        <f aca="false">IF(AND(N(K2264)&gt;0,N(L2264)&gt;0),K2264/L2264,"")</f>
        <v/>
      </c>
      <c r="N2264" s="2" t="s">
        <v>1226</v>
      </c>
    </row>
    <row r="2265" customFormat="false" ht="15" hidden="false" customHeight="false" outlineLevel="0" collapsed="false">
      <c r="A2265" s="2" t="n">
        <v>2264</v>
      </c>
      <c r="B2265" s="2" t="s">
        <v>4811</v>
      </c>
      <c r="C2265" s="2" t="s">
        <v>4812</v>
      </c>
      <c r="D2265" s="2"/>
      <c r="E2265" s="2" t="s">
        <v>29</v>
      </c>
      <c r="F2265" s="3" t="n">
        <v>5.2E-005</v>
      </c>
      <c r="G2265" s="3" t="n">
        <f aca="false">SUM($F$2:F2265)</f>
        <v>0.947901</v>
      </c>
      <c r="H2265" s="4"/>
      <c r="I2265" s="5"/>
      <c r="J2265" s="4"/>
      <c r="K2265" s="5"/>
      <c r="L2265" s="6"/>
      <c r="M2265" s="5" t="str">
        <f aca="false">IF(AND(N(K2265)&gt;0,N(L2265)&gt;0),K2265/L2265,"")</f>
        <v/>
      </c>
      <c r="N2265" s="2" t="s">
        <v>1226</v>
      </c>
    </row>
    <row r="2266" customFormat="false" ht="15" hidden="false" customHeight="false" outlineLevel="0" collapsed="false">
      <c r="A2266" s="2" t="n">
        <v>2265</v>
      </c>
      <c r="B2266" s="2" t="s">
        <v>4813</v>
      </c>
      <c r="C2266" s="2" t="s">
        <v>4814</v>
      </c>
      <c r="D2266" s="2"/>
      <c r="E2266" s="2" t="s">
        <v>1345</v>
      </c>
      <c r="F2266" s="3" t="n">
        <v>5.2E-005</v>
      </c>
      <c r="G2266" s="3" t="n">
        <f aca="false">SUM($F$2:F2266)</f>
        <v>0.947953</v>
      </c>
      <c r="H2266" s="4"/>
      <c r="I2266" s="5"/>
      <c r="J2266" s="4"/>
      <c r="K2266" s="5"/>
      <c r="L2266" s="6"/>
      <c r="M2266" s="5" t="str">
        <f aca="false">IF(AND(N(K2266)&gt;0,N(L2266)&gt;0),K2266/L2266,"")</f>
        <v/>
      </c>
      <c r="N2266" s="2" t="s">
        <v>1226</v>
      </c>
    </row>
    <row r="2267" customFormat="false" ht="15" hidden="false" customHeight="false" outlineLevel="0" collapsed="false">
      <c r="A2267" s="2" t="n">
        <v>2266</v>
      </c>
      <c r="B2267" s="2" t="s">
        <v>4815</v>
      </c>
      <c r="C2267" s="2" t="s">
        <v>4816</v>
      </c>
      <c r="D2267" s="2"/>
      <c r="E2267" s="2" t="s">
        <v>33</v>
      </c>
      <c r="F2267" s="3" t="n">
        <v>5.2E-005</v>
      </c>
      <c r="G2267" s="3" t="n">
        <f aca="false">SUM($F$2:F2267)</f>
        <v>0.948005</v>
      </c>
      <c r="H2267" s="4"/>
      <c r="I2267" s="5"/>
      <c r="J2267" s="4"/>
      <c r="K2267" s="5"/>
      <c r="L2267" s="6"/>
      <c r="M2267" s="5" t="str">
        <f aca="false">IF(AND(N(K2267)&gt;0,N(L2267)&gt;0),K2267/L2267,"")</f>
        <v/>
      </c>
      <c r="N2267" s="2" t="s">
        <v>1226</v>
      </c>
    </row>
    <row r="2268" customFormat="false" ht="15" hidden="false" customHeight="false" outlineLevel="0" collapsed="false">
      <c r="A2268" s="2" t="n">
        <v>2267</v>
      </c>
      <c r="B2268" s="2" t="s">
        <v>4817</v>
      </c>
      <c r="C2268" s="2" t="s">
        <v>4818</v>
      </c>
      <c r="D2268" s="2"/>
      <c r="E2268" s="2" t="s">
        <v>1345</v>
      </c>
      <c r="F2268" s="3" t="n">
        <v>5.2E-005</v>
      </c>
      <c r="G2268" s="3" t="n">
        <f aca="false">SUM($F$2:F2268)</f>
        <v>0.948057</v>
      </c>
      <c r="H2268" s="4"/>
      <c r="I2268" s="5"/>
      <c r="J2268" s="4"/>
      <c r="K2268" s="5"/>
      <c r="L2268" s="6"/>
      <c r="M2268" s="5" t="str">
        <f aca="false">IF(AND(N(K2268)&gt;0,N(L2268)&gt;0),K2268/L2268,"")</f>
        <v/>
      </c>
      <c r="N2268" s="2" t="s">
        <v>1226</v>
      </c>
    </row>
    <row r="2269" customFormat="false" ht="15" hidden="false" customHeight="false" outlineLevel="0" collapsed="false">
      <c r="A2269" s="2" t="n">
        <v>2268</v>
      </c>
      <c r="B2269" s="2" t="s">
        <v>1129</v>
      </c>
      <c r="C2269" s="2" t="s">
        <v>4819</v>
      </c>
      <c r="D2269" s="2"/>
      <c r="E2269" s="2" t="s">
        <v>17</v>
      </c>
      <c r="F2269" s="3" t="n">
        <v>5.2E-005</v>
      </c>
      <c r="G2269" s="3" t="n">
        <f aca="false">SUM($F$2:F2269)</f>
        <v>0.948109</v>
      </c>
      <c r="H2269" s="4"/>
      <c r="I2269" s="5"/>
      <c r="J2269" s="4"/>
      <c r="K2269" s="5"/>
      <c r="L2269" s="6"/>
      <c r="M2269" s="5" t="str">
        <f aca="false">IF(AND(N(K2269)&gt;0,N(L2269)&gt;0),K2269/L2269,"")</f>
        <v/>
      </c>
      <c r="N2269" s="2" t="s">
        <v>1226</v>
      </c>
    </row>
    <row r="2270" customFormat="false" ht="15" hidden="false" customHeight="false" outlineLevel="0" collapsed="false">
      <c r="A2270" s="2" t="n">
        <v>2269</v>
      </c>
      <c r="B2270" s="2" t="s">
        <v>4820</v>
      </c>
      <c r="C2270" s="2" t="s">
        <v>4821</v>
      </c>
      <c r="D2270" s="2"/>
      <c r="E2270" s="2" t="s">
        <v>25</v>
      </c>
      <c r="F2270" s="3" t="n">
        <v>5.2E-005</v>
      </c>
      <c r="G2270" s="3" t="n">
        <f aca="false">SUM($F$2:F2270)</f>
        <v>0.948161</v>
      </c>
      <c r="H2270" s="4"/>
      <c r="I2270" s="5"/>
      <c r="J2270" s="4"/>
      <c r="K2270" s="5"/>
      <c r="L2270" s="6"/>
      <c r="M2270" s="5" t="str">
        <f aca="false">IF(AND(N(K2270)&gt;0,N(L2270)&gt;0),K2270/L2270,"")</f>
        <v/>
      </c>
      <c r="N2270" s="2" t="s">
        <v>1226</v>
      </c>
    </row>
    <row r="2271" customFormat="false" ht="15" hidden="false" customHeight="false" outlineLevel="0" collapsed="false">
      <c r="A2271" s="2" t="n">
        <v>2270</v>
      </c>
      <c r="B2271" s="2" t="s">
        <v>4822</v>
      </c>
      <c r="C2271" s="2" t="s">
        <v>4823</v>
      </c>
      <c r="D2271" s="2"/>
      <c r="E2271" s="2" t="s">
        <v>25</v>
      </c>
      <c r="F2271" s="3" t="n">
        <v>5.2E-005</v>
      </c>
      <c r="G2271" s="3" t="n">
        <f aca="false">SUM($F$2:F2271)</f>
        <v>0.948213</v>
      </c>
      <c r="H2271" s="4"/>
      <c r="I2271" s="5"/>
      <c r="J2271" s="4"/>
      <c r="K2271" s="5"/>
      <c r="L2271" s="6"/>
      <c r="M2271" s="5" t="str">
        <f aca="false">IF(AND(N(K2271)&gt;0,N(L2271)&gt;0),K2271/L2271,"")</f>
        <v/>
      </c>
      <c r="N2271" s="2" t="s">
        <v>1226</v>
      </c>
    </row>
    <row r="2272" customFormat="false" ht="15" hidden="false" customHeight="false" outlineLevel="0" collapsed="false">
      <c r="A2272" s="2" t="n">
        <v>2271</v>
      </c>
      <c r="B2272" s="2" t="s">
        <v>4824</v>
      </c>
      <c r="C2272" s="2" t="s">
        <v>4825</v>
      </c>
      <c r="D2272" s="2"/>
      <c r="E2272" s="2" t="s">
        <v>33</v>
      </c>
      <c r="F2272" s="3" t="n">
        <v>5.2E-005</v>
      </c>
      <c r="G2272" s="3" t="n">
        <f aca="false">SUM($F$2:F2272)</f>
        <v>0.948265</v>
      </c>
      <c r="H2272" s="4"/>
      <c r="I2272" s="5"/>
      <c r="J2272" s="4"/>
      <c r="K2272" s="5"/>
      <c r="L2272" s="6"/>
      <c r="M2272" s="5" t="str">
        <f aca="false">IF(AND(N(K2272)&gt;0,N(L2272)&gt;0),K2272/L2272,"")</f>
        <v/>
      </c>
      <c r="N2272" s="2" t="s">
        <v>1226</v>
      </c>
    </row>
    <row r="2273" customFormat="false" ht="15" hidden="false" customHeight="false" outlineLevel="0" collapsed="false">
      <c r="A2273" s="2" t="n">
        <v>2272</v>
      </c>
      <c r="B2273" s="2" t="s">
        <v>4826</v>
      </c>
      <c r="C2273" s="2" t="s">
        <v>4827</v>
      </c>
      <c r="D2273" s="2"/>
      <c r="E2273" s="2" t="s">
        <v>82</v>
      </c>
      <c r="F2273" s="3" t="n">
        <v>5.2E-005</v>
      </c>
      <c r="G2273" s="3" t="n">
        <f aca="false">SUM($F$2:F2273)</f>
        <v>0.948317</v>
      </c>
      <c r="H2273" s="4"/>
      <c r="I2273" s="5"/>
      <c r="J2273" s="4"/>
      <c r="K2273" s="5"/>
      <c r="L2273" s="6"/>
      <c r="M2273" s="5" t="str">
        <f aca="false">IF(AND(N(K2273)&gt;0,N(L2273)&gt;0),K2273/L2273,"")</f>
        <v/>
      </c>
      <c r="N2273" s="2" t="s">
        <v>1226</v>
      </c>
    </row>
    <row r="2274" customFormat="false" ht="15" hidden="false" customHeight="false" outlineLevel="0" collapsed="false">
      <c r="A2274" s="2" t="n">
        <v>2273</v>
      </c>
      <c r="B2274" s="2" t="s">
        <v>4828</v>
      </c>
      <c r="C2274" s="2" t="s">
        <v>4829</v>
      </c>
      <c r="D2274" s="2"/>
      <c r="E2274" s="2" t="s">
        <v>29</v>
      </c>
      <c r="F2274" s="3" t="n">
        <v>5.2E-005</v>
      </c>
      <c r="G2274" s="3" t="n">
        <f aca="false">SUM($F$2:F2274)</f>
        <v>0.948369</v>
      </c>
      <c r="H2274" s="4"/>
      <c r="I2274" s="5"/>
      <c r="J2274" s="4"/>
      <c r="K2274" s="5"/>
      <c r="L2274" s="6"/>
      <c r="M2274" s="5" t="str">
        <f aca="false">IF(AND(N(K2274)&gt;0,N(L2274)&gt;0),K2274/L2274,"")</f>
        <v/>
      </c>
      <c r="N2274" s="2" t="s">
        <v>1226</v>
      </c>
    </row>
    <row r="2275" customFormat="false" ht="15" hidden="false" customHeight="false" outlineLevel="0" collapsed="false">
      <c r="A2275" s="2" t="n">
        <v>2274</v>
      </c>
      <c r="B2275" s="2" t="s">
        <v>3274</v>
      </c>
      <c r="C2275" s="2" t="s">
        <v>4830</v>
      </c>
      <c r="D2275" s="2"/>
      <c r="E2275" s="2" t="s">
        <v>52</v>
      </c>
      <c r="F2275" s="3" t="n">
        <v>5.1E-005</v>
      </c>
      <c r="G2275" s="3" t="n">
        <f aca="false">SUM($F$2:F2275)</f>
        <v>0.94842</v>
      </c>
      <c r="H2275" s="4"/>
      <c r="I2275" s="5"/>
      <c r="J2275" s="4"/>
      <c r="K2275" s="5"/>
      <c r="L2275" s="6"/>
      <c r="M2275" s="5" t="str">
        <f aca="false">IF(AND(N(K2275)&gt;0,N(L2275)&gt;0),K2275/L2275,"")</f>
        <v/>
      </c>
      <c r="N2275" s="2" t="s">
        <v>1226</v>
      </c>
    </row>
    <row r="2276" customFormat="false" ht="15" hidden="false" customHeight="false" outlineLevel="0" collapsed="false">
      <c r="A2276" s="2" t="n">
        <v>2275</v>
      </c>
      <c r="B2276" s="2" t="s">
        <v>4831</v>
      </c>
      <c r="C2276" s="2" t="s">
        <v>4832</v>
      </c>
      <c r="D2276" s="2"/>
      <c r="E2276" s="2" t="s">
        <v>289</v>
      </c>
      <c r="F2276" s="3" t="n">
        <v>5.1E-005</v>
      </c>
      <c r="G2276" s="3" t="n">
        <f aca="false">SUM($F$2:F2276)</f>
        <v>0.948471</v>
      </c>
      <c r="H2276" s="4"/>
      <c r="I2276" s="5"/>
      <c r="J2276" s="4"/>
      <c r="K2276" s="5"/>
      <c r="L2276" s="6"/>
      <c r="M2276" s="5" t="str">
        <f aca="false">IF(AND(N(K2276)&gt;0,N(L2276)&gt;0),K2276/L2276,"")</f>
        <v/>
      </c>
      <c r="N2276" s="2" t="s">
        <v>1226</v>
      </c>
    </row>
    <row r="2277" customFormat="false" ht="15" hidden="false" customHeight="false" outlineLevel="0" collapsed="false">
      <c r="A2277" s="2" t="n">
        <v>2276</v>
      </c>
      <c r="B2277" s="2" t="s">
        <v>4833</v>
      </c>
      <c r="C2277" s="2" t="s">
        <v>4834</v>
      </c>
      <c r="D2277" s="2"/>
      <c r="E2277" s="2" t="s">
        <v>1019</v>
      </c>
      <c r="F2277" s="3" t="n">
        <v>5.1E-005</v>
      </c>
      <c r="G2277" s="3" t="n">
        <f aca="false">SUM($F$2:F2277)</f>
        <v>0.948522</v>
      </c>
      <c r="H2277" s="4"/>
      <c r="I2277" s="5"/>
      <c r="J2277" s="4"/>
      <c r="K2277" s="5"/>
      <c r="L2277" s="6"/>
      <c r="M2277" s="5" t="str">
        <f aca="false">IF(AND(N(K2277)&gt;0,N(L2277)&gt;0),K2277/L2277,"")</f>
        <v/>
      </c>
      <c r="N2277" s="2" t="s">
        <v>1226</v>
      </c>
    </row>
    <row r="2278" customFormat="false" ht="15" hidden="false" customHeight="false" outlineLevel="0" collapsed="false">
      <c r="A2278" s="2" t="n">
        <v>2277</v>
      </c>
      <c r="B2278" s="2" t="s">
        <v>4835</v>
      </c>
      <c r="C2278" s="2" t="s">
        <v>4836</v>
      </c>
      <c r="D2278" s="2"/>
      <c r="E2278" s="2" t="s">
        <v>29</v>
      </c>
      <c r="F2278" s="3" t="n">
        <v>5.1E-005</v>
      </c>
      <c r="G2278" s="3" t="n">
        <f aca="false">SUM($F$2:F2278)</f>
        <v>0.948573</v>
      </c>
      <c r="H2278" s="4"/>
      <c r="I2278" s="5"/>
      <c r="J2278" s="4"/>
      <c r="K2278" s="5"/>
      <c r="L2278" s="6"/>
      <c r="M2278" s="5" t="str">
        <f aca="false">IF(AND(N(K2278)&gt;0,N(L2278)&gt;0),K2278/L2278,"")</f>
        <v/>
      </c>
      <c r="N2278" s="2" t="s">
        <v>1226</v>
      </c>
    </row>
    <row r="2279" customFormat="false" ht="15" hidden="false" customHeight="false" outlineLevel="0" collapsed="false">
      <c r="A2279" s="2" t="n">
        <v>2278</v>
      </c>
      <c r="B2279" s="2" t="s">
        <v>4837</v>
      </c>
      <c r="C2279" s="2" t="s">
        <v>4838</v>
      </c>
      <c r="D2279" s="2"/>
      <c r="E2279" s="2" t="s">
        <v>17</v>
      </c>
      <c r="F2279" s="3" t="n">
        <v>5.1E-005</v>
      </c>
      <c r="G2279" s="3" t="n">
        <f aca="false">SUM($F$2:F2279)</f>
        <v>0.948624</v>
      </c>
      <c r="H2279" s="4"/>
      <c r="I2279" s="5"/>
      <c r="J2279" s="4"/>
      <c r="K2279" s="5"/>
      <c r="L2279" s="6"/>
      <c r="M2279" s="5" t="str">
        <f aca="false">IF(AND(N(K2279)&gt;0,N(L2279)&gt;0),K2279/L2279,"")</f>
        <v/>
      </c>
      <c r="N2279" s="2" t="s">
        <v>1226</v>
      </c>
    </row>
    <row r="2280" customFormat="false" ht="15" hidden="false" customHeight="false" outlineLevel="0" collapsed="false">
      <c r="A2280" s="2" t="n">
        <v>2279</v>
      </c>
      <c r="B2280" s="2" t="s">
        <v>4839</v>
      </c>
      <c r="C2280" s="2" t="s">
        <v>4840</v>
      </c>
      <c r="D2280" s="2"/>
      <c r="E2280" s="2" t="s">
        <v>1345</v>
      </c>
      <c r="F2280" s="3" t="n">
        <v>5.1E-005</v>
      </c>
      <c r="G2280" s="3" t="n">
        <f aca="false">SUM($F$2:F2280)</f>
        <v>0.948675</v>
      </c>
      <c r="H2280" s="4"/>
      <c r="I2280" s="5"/>
      <c r="J2280" s="4"/>
      <c r="K2280" s="5"/>
      <c r="L2280" s="6"/>
      <c r="M2280" s="5" t="str">
        <f aca="false">IF(AND(N(K2280)&gt;0,N(L2280)&gt;0),K2280/L2280,"")</f>
        <v/>
      </c>
      <c r="N2280" s="2" t="s">
        <v>1226</v>
      </c>
    </row>
    <row r="2281" customFormat="false" ht="15" hidden="false" customHeight="false" outlineLevel="0" collapsed="false">
      <c r="A2281" s="2" t="n">
        <v>2280</v>
      </c>
      <c r="B2281" s="2" t="s">
        <v>4841</v>
      </c>
      <c r="C2281" s="2" t="s">
        <v>4842</v>
      </c>
      <c r="D2281" s="2"/>
      <c r="E2281" s="2" t="s">
        <v>29</v>
      </c>
      <c r="F2281" s="3" t="n">
        <v>5.1E-005</v>
      </c>
      <c r="G2281" s="3" t="n">
        <f aca="false">SUM($F$2:F2281)</f>
        <v>0.948726</v>
      </c>
      <c r="H2281" s="4"/>
      <c r="I2281" s="5"/>
      <c r="J2281" s="4"/>
      <c r="K2281" s="5"/>
      <c r="L2281" s="6"/>
      <c r="M2281" s="5" t="str">
        <f aca="false">IF(AND(N(K2281)&gt;0,N(L2281)&gt;0),K2281/L2281,"")</f>
        <v/>
      </c>
      <c r="N2281" s="2" t="s">
        <v>1226</v>
      </c>
    </row>
    <row r="2282" customFormat="false" ht="15" hidden="false" customHeight="false" outlineLevel="0" collapsed="false">
      <c r="A2282" s="2" t="n">
        <v>2281</v>
      </c>
      <c r="B2282" s="2" t="s">
        <v>4843</v>
      </c>
      <c r="C2282" s="2" t="s">
        <v>4844</v>
      </c>
      <c r="D2282" s="2"/>
      <c r="E2282" s="2" t="s">
        <v>1345</v>
      </c>
      <c r="F2282" s="3" t="n">
        <v>5.1E-005</v>
      </c>
      <c r="G2282" s="3" t="n">
        <f aca="false">SUM($F$2:F2282)</f>
        <v>0.948777</v>
      </c>
      <c r="H2282" s="4"/>
      <c r="I2282" s="5"/>
      <c r="J2282" s="4"/>
      <c r="K2282" s="5"/>
      <c r="L2282" s="6"/>
      <c r="M2282" s="5" t="str">
        <f aca="false">IF(AND(N(K2282)&gt;0,N(L2282)&gt;0),K2282/L2282,"")</f>
        <v/>
      </c>
      <c r="N2282" s="2" t="s">
        <v>1226</v>
      </c>
    </row>
    <row r="2283" customFormat="false" ht="15" hidden="false" customHeight="false" outlineLevel="0" collapsed="false">
      <c r="A2283" s="2" t="n">
        <v>2282</v>
      </c>
      <c r="B2283" s="2" t="s">
        <v>4845</v>
      </c>
      <c r="C2283" s="2" t="s">
        <v>4846</v>
      </c>
      <c r="D2283" s="2"/>
      <c r="E2283" s="2" t="s">
        <v>43</v>
      </c>
      <c r="F2283" s="3" t="n">
        <v>5.1E-005</v>
      </c>
      <c r="G2283" s="3" t="n">
        <f aca="false">SUM($F$2:F2283)</f>
        <v>0.948828</v>
      </c>
      <c r="H2283" s="4"/>
      <c r="I2283" s="5"/>
      <c r="J2283" s="4"/>
      <c r="K2283" s="5"/>
      <c r="L2283" s="6"/>
      <c r="M2283" s="5" t="str">
        <f aca="false">IF(AND(N(K2283)&gt;0,N(L2283)&gt;0),K2283/L2283,"")</f>
        <v/>
      </c>
      <c r="N2283" s="2" t="s">
        <v>1226</v>
      </c>
    </row>
    <row r="2284" customFormat="false" ht="15" hidden="false" customHeight="false" outlineLevel="0" collapsed="false">
      <c r="A2284" s="2" t="n">
        <v>2283</v>
      </c>
      <c r="B2284" s="2" t="s">
        <v>4847</v>
      </c>
      <c r="C2284" s="2" t="s">
        <v>4848</v>
      </c>
      <c r="D2284" s="2"/>
      <c r="E2284" s="2" t="s">
        <v>29</v>
      </c>
      <c r="F2284" s="3" t="n">
        <v>5.1E-005</v>
      </c>
      <c r="G2284" s="3" t="n">
        <f aca="false">SUM($F$2:F2284)</f>
        <v>0.948879</v>
      </c>
      <c r="H2284" s="4"/>
      <c r="I2284" s="5"/>
      <c r="J2284" s="4"/>
      <c r="K2284" s="5"/>
      <c r="L2284" s="6"/>
      <c r="M2284" s="5" t="str">
        <f aca="false">IF(AND(N(K2284)&gt;0,N(L2284)&gt;0),K2284/L2284,"")</f>
        <v/>
      </c>
      <c r="N2284" s="2" t="s">
        <v>1226</v>
      </c>
    </row>
    <row r="2285" customFormat="false" ht="15" hidden="false" customHeight="false" outlineLevel="0" collapsed="false">
      <c r="A2285" s="2" t="n">
        <v>2284</v>
      </c>
      <c r="B2285" s="2" t="s">
        <v>1461</v>
      </c>
      <c r="C2285" s="2" t="s">
        <v>4849</v>
      </c>
      <c r="D2285" s="2"/>
      <c r="E2285" s="2" t="s">
        <v>539</v>
      </c>
      <c r="F2285" s="3" t="n">
        <v>5.1E-005</v>
      </c>
      <c r="G2285" s="3" t="n">
        <f aca="false">SUM($F$2:F2285)</f>
        <v>0.94893</v>
      </c>
      <c r="H2285" s="4"/>
      <c r="I2285" s="5"/>
      <c r="J2285" s="4"/>
      <c r="K2285" s="5"/>
      <c r="L2285" s="6"/>
      <c r="M2285" s="5" t="str">
        <f aca="false">IF(AND(N(K2285)&gt;0,N(L2285)&gt;0),K2285/L2285,"")</f>
        <v/>
      </c>
      <c r="N2285" s="2" t="s">
        <v>1226</v>
      </c>
    </row>
    <row r="2286" customFormat="false" ht="15" hidden="false" customHeight="false" outlineLevel="0" collapsed="false">
      <c r="A2286" s="2" t="n">
        <v>2285</v>
      </c>
      <c r="B2286" s="2" t="s">
        <v>4850</v>
      </c>
      <c r="C2286" s="2" t="s">
        <v>4851</v>
      </c>
      <c r="D2286" s="2"/>
      <c r="E2286" s="2" t="s">
        <v>52</v>
      </c>
      <c r="F2286" s="3" t="n">
        <v>5.1E-005</v>
      </c>
      <c r="G2286" s="3" t="n">
        <f aca="false">SUM($F$2:F2286)</f>
        <v>0.948981</v>
      </c>
      <c r="H2286" s="4"/>
      <c r="I2286" s="5"/>
      <c r="J2286" s="4"/>
      <c r="K2286" s="5"/>
      <c r="L2286" s="6"/>
      <c r="M2286" s="5" t="str">
        <f aca="false">IF(AND(N(K2286)&gt;0,N(L2286)&gt;0),K2286/L2286,"")</f>
        <v/>
      </c>
      <c r="N2286" s="2" t="s">
        <v>1226</v>
      </c>
    </row>
    <row r="2287" customFormat="false" ht="15" hidden="false" customHeight="false" outlineLevel="0" collapsed="false">
      <c r="A2287" s="2" t="n">
        <v>2286</v>
      </c>
      <c r="B2287" s="2" t="s">
        <v>4852</v>
      </c>
      <c r="C2287" s="2" t="s">
        <v>4853</v>
      </c>
      <c r="D2287" s="2"/>
      <c r="E2287" s="2" t="s">
        <v>52</v>
      </c>
      <c r="F2287" s="3" t="n">
        <v>5.1E-005</v>
      </c>
      <c r="G2287" s="3" t="n">
        <f aca="false">SUM($F$2:F2287)</f>
        <v>0.949032</v>
      </c>
      <c r="H2287" s="4"/>
      <c r="I2287" s="5"/>
      <c r="J2287" s="4"/>
      <c r="K2287" s="5"/>
      <c r="L2287" s="6"/>
      <c r="M2287" s="5" t="str">
        <f aca="false">IF(AND(N(K2287)&gt;0,N(L2287)&gt;0),K2287/L2287,"")</f>
        <v/>
      </c>
      <c r="N2287" s="2" t="s">
        <v>1226</v>
      </c>
    </row>
    <row r="2288" customFormat="false" ht="15" hidden="false" customHeight="false" outlineLevel="0" collapsed="false">
      <c r="A2288" s="2" t="n">
        <v>2287</v>
      </c>
      <c r="B2288" s="2" t="s">
        <v>4854</v>
      </c>
      <c r="C2288" s="2" t="s">
        <v>4855</v>
      </c>
      <c r="D2288" s="2"/>
      <c r="E2288" s="2" t="s">
        <v>289</v>
      </c>
      <c r="F2288" s="3" t="n">
        <v>5.1E-005</v>
      </c>
      <c r="G2288" s="3" t="n">
        <f aca="false">SUM($F$2:F2288)</f>
        <v>0.949083</v>
      </c>
      <c r="H2288" s="4"/>
      <c r="I2288" s="5"/>
      <c r="J2288" s="4"/>
      <c r="K2288" s="5"/>
      <c r="L2288" s="6"/>
      <c r="M2288" s="5" t="str">
        <f aca="false">IF(AND(N(K2288)&gt;0,N(L2288)&gt;0),K2288/L2288,"")</f>
        <v/>
      </c>
      <c r="N2288" s="2" t="s">
        <v>1226</v>
      </c>
    </row>
    <row r="2289" customFormat="false" ht="15" hidden="false" customHeight="false" outlineLevel="0" collapsed="false">
      <c r="A2289" s="2" t="n">
        <v>2288</v>
      </c>
      <c r="B2289" s="2" t="s">
        <v>4856</v>
      </c>
      <c r="C2289" s="2" t="s">
        <v>4857</v>
      </c>
      <c r="D2289" s="2"/>
      <c r="E2289" s="2" t="s">
        <v>52</v>
      </c>
      <c r="F2289" s="3" t="n">
        <v>5.1E-005</v>
      </c>
      <c r="G2289" s="3" t="n">
        <f aca="false">SUM($F$2:F2289)</f>
        <v>0.949134</v>
      </c>
      <c r="H2289" s="4"/>
      <c r="I2289" s="5"/>
      <c r="J2289" s="4"/>
      <c r="K2289" s="5"/>
      <c r="L2289" s="6"/>
      <c r="M2289" s="5" t="str">
        <f aca="false">IF(AND(N(K2289)&gt;0,N(L2289)&gt;0),K2289/L2289,"")</f>
        <v/>
      </c>
      <c r="N2289" s="2" t="s">
        <v>1226</v>
      </c>
    </row>
    <row r="2290" customFormat="false" ht="15" hidden="false" customHeight="false" outlineLevel="0" collapsed="false">
      <c r="A2290" s="2" t="n">
        <v>2289</v>
      </c>
      <c r="B2290" s="2" t="s">
        <v>4858</v>
      </c>
      <c r="C2290" s="2" t="s">
        <v>4859</v>
      </c>
      <c r="D2290" s="2"/>
      <c r="E2290" s="2" t="s">
        <v>52</v>
      </c>
      <c r="F2290" s="3" t="n">
        <v>5.1E-005</v>
      </c>
      <c r="G2290" s="3" t="n">
        <f aca="false">SUM($F$2:F2290)</f>
        <v>0.949185</v>
      </c>
      <c r="H2290" s="4"/>
      <c r="I2290" s="5"/>
      <c r="J2290" s="4"/>
      <c r="K2290" s="5"/>
      <c r="L2290" s="6"/>
      <c r="M2290" s="5" t="str">
        <f aca="false">IF(AND(N(K2290)&gt;0,N(L2290)&gt;0),K2290/L2290,"")</f>
        <v/>
      </c>
      <c r="N2290" s="2" t="s">
        <v>1226</v>
      </c>
    </row>
    <row r="2291" customFormat="false" ht="15" hidden="false" customHeight="false" outlineLevel="0" collapsed="false">
      <c r="A2291" s="2" t="n">
        <v>2290</v>
      </c>
      <c r="B2291" s="2" t="s">
        <v>4860</v>
      </c>
      <c r="C2291" s="2" t="s">
        <v>4861</v>
      </c>
      <c r="D2291" s="2"/>
      <c r="E2291" s="2" t="s">
        <v>43</v>
      </c>
      <c r="F2291" s="3" t="n">
        <v>5.1E-005</v>
      </c>
      <c r="G2291" s="3" t="n">
        <f aca="false">SUM($F$2:F2291)</f>
        <v>0.949236</v>
      </c>
      <c r="H2291" s="4"/>
      <c r="I2291" s="5"/>
      <c r="J2291" s="4"/>
      <c r="K2291" s="5"/>
      <c r="L2291" s="6"/>
      <c r="M2291" s="5" t="str">
        <f aca="false">IF(AND(N(K2291)&gt;0,N(L2291)&gt;0),K2291/L2291,"")</f>
        <v/>
      </c>
      <c r="N2291" s="2" t="s">
        <v>1226</v>
      </c>
    </row>
    <row r="2292" customFormat="false" ht="15" hidden="false" customHeight="false" outlineLevel="0" collapsed="false">
      <c r="A2292" s="2" t="n">
        <v>2291</v>
      </c>
      <c r="B2292" s="2" t="s">
        <v>4862</v>
      </c>
      <c r="C2292" s="2" t="s">
        <v>4863</v>
      </c>
      <c r="D2292" s="2"/>
      <c r="E2292" s="2" t="s">
        <v>29</v>
      </c>
      <c r="F2292" s="3" t="n">
        <v>5.1E-005</v>
      </c>
      <c r="G2292" s="3" t="n">
        <f aca="false">SUM($F$2:F2292)</f>
        <v>0.949287</v>
      </c>
      <c r="H2292" s="4"/>
      <c r="I2292" s="5"/>
      <c r="J2292" s="4"/>
      <c r="K2292" s="5"/>
      <c r="L2292" s="6"/>
      <c r="M2292" s="5" t="str">
        <f aca="false">IF(AND(N(K2292)&gt;0,N(L2292)&gt;0),K2292/L2292,"")</f>
        <v/>
      </c>
      <c r="N2292" s="2" t="s">
        <v>1226</v>
      </c>
    </row>
    <row r="2293" customFormat="false" ht="15" hidden="false" customHeight="false" outlineLevel="0" collapsed="false">
      <c r="A2293" s="2" t="n">
        <v>2292</v>
      </c>
      <c r="B2293" s="2" t="s">
        <v>4864</v>
      </c>
      <c r="C2293" s="2" t="s">
        <v>4865</v>
      </c>
      <c r="D2293" s="2"/>
      <c r="E2293" s="2" t="s">
        <v>199</v>
      </c>
      <c r="F2293" s="3" t="n">
        <v>5.1E-005</v>
      </c>
      <c r="G2293" s="3" t="n">
        <f aca="false">SUM($F$2:F2293)</f>
        <v>0.949338</v>
      </c>
      <c r="H2293" s="4"/>
      <c r="I2293" s="5"/>
      <c r="J2293" s="4"/>
      <c r="K2293" s="5"/>
      <c r="L2293" s="6"/>
      <c r="M2293" s="5" t="str">
        <f aca="false">IF(AND(N(K2293)&gt;0,N(L2293)&gt;0),K2293/L2293,"")</f>
        <v/>
      </c>
      <c r="N2293" s="2" t="s">
        <v>1226</v>
      </c>
    </row>
    <row r="2294" customFormat="false" ht="15" hidden="false" customHeight="false" outlineLevel="0" collapsed="false">
      <c r="A2294" s="2" t="n">
        <v>2293</v>
      </c>
      <c r="B2294" s="2" t="s">
        <v>4866</v>
      </c>
      <c r="C2294" s="2" t="s">
        <v>4867</v>
      </c>
      <c r="D2294" s="2"/>
      <c r="E2294" s="2" t="s">
        <v>173</v>
      </c>
      <c r="F2294" s="3" t="n">
        <v>5.1E-005</v>
      </c>
      <c r="G2294" s="3" t="n">
        <f aca="false">SUM($F$2:F2294)</f>
        <v>0.949389</v>
      </c>
      <c r="H2294" s="4"/>
      <c r="I2294" s="5"/>
      <c r="J2294" s="4"/>
      <c r="K2294" s="5"/>
      <c r="L2294" s="6"/>
      <c r="M2294" s="5" t="str">
        <f aca="false">IF(AND(N(K2294)&gt;0,N(L2294)&gt;0),K2294/L2294,"")</f>
        <v/>
      </c>
      <c r="N2294" s="2" t="s">
        <v>1226</v>
      </c>
    </row>
    <row r="2295" customFormat="false" ht="15" hidden="false" customHeight="false" outlineLevel="0" collapsed="false">
      <c r="A2295" s="2" t="n">
        <v>2294</v>
      </c>
      <c r="B2295" s="2" t="s">
        <v>4868</v>
      </c>
      <c r="C2295" s="2" t="s">
        <v>4869</v>
      </c>
      <c r="D2295" s="2"/>
      <c r="E2295" s="2" t="s">
        <v>25</v>
      </c>
      <c r="F2295" s="3" t="n">
        <v>5.1E-005</v>
      </c>
      <c r="G2295" s="3" t="n">
        <f aca="false">SUM($F$2:F2295)</f>
        <v>0.94944</v>
      </c>
      <c r="H2295" s="4"/>
      <c r="I2295" s="5"/>
      <c r="J2295" s="4"/>
      <c r="K2295" s="5"/>
      <c r="L2295" s="6"/>
      <c r="M2295" s="5" t="str">
        <f aca="false">IF(AND(N(K2295)&gt;0,N(L2295)&gt;0),K2295/L2295,"")</f>
        <v/>
      </c>
      <c r="N2295" s="2" t="s">
        <v>1226</v>
      </c>
    </row>
    <row r="2296" customFormat="false" ht="15" hidden="false" customHeight="false" outlineLevel="0" collapsed="false">
      <c r="A2296" s="2" t="n">
        <v>2295</v>
      </c>
      <c r="B2296" s="2" t="s">
        <v>4870</v>
      </c>
      <c r="C2296" s="2" t="s">
        <v>4871</v>
      </c>
      <c r="D2296" s="2"/>
      <c r="E2296" s="2" t="s">
        <v>17</v>
      </c>
      <c r="F2296" s="3" t="n">
        <v>5.1E-005</v>
      </c>
      <c r="G2296" s="3" t="n">
        <f aca="false">SUM($F$2:F2296)</f>
        <v>0.949491</v>
      </c>
      <c r="H2296" s="4"/>
      <c r="I2296" s="5"/>
      <c r="J2296" s="4"/>
      <c r="K2296" s="5"/>
      <c r="L2296" s="6"/>
      <c r="M2296" s="5" t="str">
        <f aca="false">IF(AND(N(K2296)&gt;0,N(L2296)&gt;0),K2296/L2296,"")</f>
        <v/>
      </c>
      <c r="N2296" s="2" t="s">
        <v>1226</v>
      </c>
    </row>
    <row r="2297" customFormat="false" ht="15" hidden="false" customHeight="false" outlineLevel="0" collapsed="false">
      <c r="A2297" s="2" t="n">
        <v>2296</v>
      </c>
      <c r="B2297" s="2" t="s">
        <v>4872</v>
      </c>
      <c r="C2297" s="2" t="s">
        <v>4873</v>
      </c>
      <c r="D2297" s="2"/>
      <c r="E2297" s="2" t="s">
        <v>52</v>
      </c>
      <c r="F2297" s="3" t="n">
        <v>5.1E-005</v>
      </c>
      <c r="G2297" s="3" t="n">
        <f aca="false">SUM($F$2:F2297)</f>
        <v>0.949542</v>
      </c>
      <c r="H2297" s="4"/>
      <c r="I2297" s="5"/>
      <c r="J2297" s="4"/>
      <c r="K2297" s="5"/>
      <c r="L2297" s="6"/>
      <c r="M2297" s="5" t="str">
        <f aca="false">IF(AND(N(K2297)&gt;0,N(L2297)&gt;0),K2297/L2297,"")</f>
        <v/>
      </c>
      <c r="N2297" s="2" t="s">
        <v>1226</v>
      </c>
    </row>
    <row r="2298" customFormat="false" ht="15" hidden="false" customHeight="false" outlineLevel="0" collapsed="false">
      <c r="A2298" s="2" t="n">
        <v>2297</v>
      </c>
      <c r="B2298" s="2" t="s">
        <v>4874</v>
      </c>
      <c r="C2298" s="2" t="s">
        <v>4875</v>
      </c>
      <c r="D2298" s="2"/>
      <c r="E2298" s="2" t="s">
        <v>52</v>
      </c>
      <c r="F2298" s="3" t="n">
        <v>5.1E-005</v>
      </c>
      <c r="G2298" s="3" t="n">
        <f aca="false">SUM($F$2:F2298)</f>
        <v>0.949593</v>
      </c>
      <c r="H2298" s="4"/>
      <c r="I2298" s="5"/>
      <c r="J2298" s="4"/>
      <c r="K2298" s="5"/>
      <c r="L2298" s="6"/>
      <c r="M2298" s="5" t="str">
        <f aca="false">IF(AND(N(K2298)&gt;0,N(L2298)&gt;0),K2298/L2298,"")</f>
        <v/>
      </c>
      <c r="N2298" s="2" t="s">
        <v>1226</v>
      </c>
    </row>
    <row r="2299" customFormat="false" ht="15" hidden="false" customHeight="false" outlineLevel="0" collapsed="false">
      <c r="A2299" s="2" t="n">
        <v>2298</v>
      </c>
      <c r="B2299" s="2" t="s">
        <v>4876</v>
      </c>
      <c r="C2299" s="2" t="s">
        <v>4877</v>
      </c>
      <c r="D2299" s="2"/>
      <c r="E2299" s="2" t="s">
        <v>52</v>
      </c>
      <c r="F2299" s="3" t="n">
        <v>5E-005</v>
      </c>
      <c r="G2299" s="3" t="n">
        <f aca="false">SUM($F$2:F2299)</f>
        <v>0.949643</v>
      </c>
      <c r="H2299" s="4"/>
      <c r="I2299" s="5"/>
      <c r="J2299" s="4"/>
      <c r="K2299" s="5"/>
      <c r="L2299" s="6"/>
      <c r="M2299" s="5" t="str">
        <f aca="false">IF(AND(N(K2299)&gt;0,N(L2299)&gt;0),K2299/L2299,"")</f>
        <v/>
      </c>
      <c r="N2299" s="2" t="s">
        <v>1226</v>
      </c>
    </row>
    <row r="2300" customFormat="false" ht="15" hidden="false" customHeight="false" outlineLevel="0" collapsed="false">
      <c r="A2300" s="2" t="n">
        <v>2299</v>
      </c>
      <c r="B2300" s="2" t="s">
        <v>4878</v>
      </c>
      <c r="C2300" s="2" t="s">
        <v>4879</v>
      </c>
      <c r="D2300" s="2"/>
      <c r="E2300" s="2" t="s">
        <v>1295</v>
      </c>
      <c r="F2300" s="3" t="n">
        <v>5E-005</v>
      </c>
      <c r="G2300" s="3" t="n">
        <f aca="false">SUM($F$2:F2300)</f>
        <v>0.949693</v>
      </c>
      <c r="H2300" s="4"/>
      <c r="I2300" s="5"/>
      <c r="J2300" s="4"/>
      <c r="K2300" s="5"/>
      <c r="L2300" s="6"/>
      <c r="M2300" s="5" t="str">
        <f aca="false">IF(AND(N(K2300)&gt;0,N(L2300)&gt;0),K2300/L2300,"")</f>
        <v/>
      </c>
      <c r="N2300" s="2" t="s">
        <v>1226</v>
      </c>
    </row>
    <row r="2301" customFormat="false" ht="15" hidden="false" customHeight="false" outlineLevel="0" collapsed="false">
      <c r="A2301" s="2" t="n">
        <v>2300</v>
      </c>
      <c r="B2301" s="2" t="s">
        <v>4880</v>
      </c>
      <c r="C2301" s="2" t="s">
        <v>4881</v>
      </c>
      <c r="D2301" s="2"/>
      <c r="E2301" s="2" t="s">
        <v>17</v>
      </c>
      <c r="F2301" s="3" t="n">
        <v>5E-005</v>
      </c>
      <c r="G2301" s="3" t="n">
        <f aca="false">SUM($F$2:F2301)</f>
        <v>0.949743</v>
      </c>
      <c r="H2301" s="4"/>
      <c r="I2301" s="5"/>
      <c r="J2301" s="4"/>
      <c r="K2301" s="5"/>
      <c r="L2301" s="6"/>
      <c r="M2301" s="5" t="str">
        <f aca="false">IF(AND(N(K2301)&gt;0,N(L2301)&gt;0),K2301/L2301,"")</f>
        <v/>
      </c>
      <c r="N2301" s="2" t="s">
        <v>1226</v>
      </c>
    </row>
    <row r="2302" customFormat="false" ht="15" hidden="false" customHeight="false" outlineLevel="0" collapsed="false">
      <c r="A2302" s="2" t="n">
        <v>2301</v>
      </c>
      <c r="B2302" s="2" t="s">
        <v>4882</v>
      </c>
      <c r="C2302" s="2" t="s">
        <v>4883</v>
      </c>
      <c r="D2302" s="2"/>
      <c r="E2302" s="2" t="s">
        <v>1215</v>
      </c>
      <c r="F2302" s="3" t="n">
        <v>5E-005</v>
      </c>
      <c r="G2302" s="3" t="n">
        <f aca="false">SUM($F$2:F2302)</f>
        <v>0.949793</v>
      </c>
      <c r="H2302" s="4"/>
      <c r="I2302" s="5"/>
      <c r="J2302" s="4"/>
      <c r="K2302" s="5"/>
      <c r="L2302" s="6"/>
      <c r="M2302" s="5" t="str">
        <f aca="false">IF(AND(N(K2302)&gt;0,N(L2302)&gt;0),K2302/L2302,"")</f>
        <v/>
      </c>
      <c r="N2302" s="2" t="s">
        <v>1226</v>
      </c>
    </row>
    <row r="2303" customFormat="false" ht="15" hidden="false" customHeight="false" outlineLevel="0" collapsed="false">
      <c r="A2303" s="2" t="n">
        <v>2302</v>
      </c>
      <c r="B2303" s="2" t="s">
        <v>4884</v>
      </c>
      <c r="C2303" s="2" t="s">
        <v>4885</v>
      </c>
      <c r="D2303" s="2"/>
      <c r="E2303" s="2" t="s">
        <v>1345</v>
      </c>
      <c r="F2303" s="3" t="n">
        <v>5E-005</v>
      </c>
      <c r="G2303" s="3" t="n">
        <f aca="false">SUM($F$2:F2303)</f>
        <v>0.949843</v>
      </c>
      <c r="H2303" s="4"/>
      <c r="I2303" s="5"/>
      <c r="J2303" s="4"/>
      <c r="K2303" s="5"/>
      <c r="L2303" s="6"/>
      <c r="M2303" s="5" t="str">
        <f aca="false">IF(AND(N(K2303)&gt;0,N(L2303)&gt;0),K2303/L2303,"")</f>
        <v/>
      </c>
      <c r="N2303" s="2" t="s">
        <v>1226</v>
      </c>
    </row>
    <row r="2304" customFormat="false" ht="15" hidden="false" customHeight="false" outlineLevel="0" collapsed="false">
      <c r="A2304" s="2" t="n">
        <v>2303</v>
      </c>
      <c r="B2304" s="2" t="s">
        <v>4886</v>
      </c>
      <c r="C2304" s="2" t="s">
        <v>4887</v>
      </c>
      <c r="D2304" s="2"/>
      <c r="E2304" s="2" t="s">
        <v>43</v>
      </c>
      <c r="F2304" s="3" t="n">
        <v>5E-005</v>
      </c>
      <c r="G2304" s="3" t="n">
        <f aca="false">SUM($F$2:F2304)</f>
        <v>0.949893</v>
      </c>
      <c r="H2304" s="4"/>
      <c r="I2304" s="5"/>
      <c r="J2304" s="4"/>
      <c r="K2304" s="5"/>
      <c r="L2304" s="6"/>
      <c r="M2304" s="5" t="str">
        <f aca="false">IF(AND(N(K2304)&gt;0,N(L2304)&gt;0),K2304/L2304,"")</f>
        <v/>
      </c>
      <c r="N2304" s="2" t="s">
        <v>1226</v>
      </c>
    </row>
    <row r="2305" customFormat="false" ht="15" hidden="false" customHeight="false" outlineLevel="0" collapsed="false">
      <c r="A2305" s="2" t="n">
        <v>2304</v>
      </c>
      <c r="B2305" s="2" t="s">
        <v>4888</v>
      </c>
      <c r="C2305" s="2" t="s">
        <v>4889</v>
      </c>
      <c r="D2305" s="2"/>
      <c r="E2305" s="2" t="s">
        <v>82</v>
      </c>
      <c r="F2305" s="3" t="n">
        <v>5E-005</v>
      </c>
      <c r="G2305" s="3" t="n">
        <f aca="false">SUM($F$2:F2305)</f>
        <v>0.949943</v>
      </c>
      <c r="H2305" s="4"/>
      <c r="I2305" s="5"/>
      <c r="J2305" s="4"/>
      <c r="K2305" s="5"/>
      <c r="L2305" s="6"/>
      <c r="M2305" s="5" t="str">
        <f aca="false">IF(AND(N(K2305)&gt;0,N(L2305)&gt;0),K2305/L2305,"")</f>
        <v/>
      </c>
      <c r="N2305" s="2" t="s">
        <v>1226</v>
      </c>
    </row>
    <row r="2306" customFormat="false" ht="15" hidden="false" customHeight="false" outlineLevel="0" collapsed="false">
      <c r="A2306" s="2" t="n">
        <v>2305</v>
      </c>
      <c r="B2306" s="2" t="s">
        <v>4890</v>
      </c>
      <c r="C2306" s="2" t="s">
        <v>4891</v>
      </c>
      <c r="D2306" s="2"/>
      <c r="E2306" s="2" t="s">
        <v>25</v>
      </c>
      <c r="F2306" s="3" t="n">
        <v>5E-005</v>
      </c>
      <c r="G2306" s="3" t="n">
        <f aca="false">SUM($F$2:F2306)</f>
        <v>0.949993</v>
      </c>
      <c r="H2306" s="4"/>
      <c r="I2306" s="5"/>
      <c r="J2306" s="4"/>
      <c r="K2306" s="5"/>
      <c r="L2306" s="6"/>
      <c r="M2306" s="5" t="str">
        <f aca="false">IF(AND(N(K2306)&gt;0,N(L2306)&gt;0),K2306/L2306,"")</f>
        <v/>
      </c>
      <c r="N2306" s="2" t="s">
        <v>1226</v>
      </c>
    </row>
    <row r="2307" customFormat="false" ht="15" hidden="false" customHeight="false" outlineLevel="0" collapsed="false">
      <c r="A2307" s="2" t="n">
        <v>2306</v>
      </c>
      <c r="B2307" s="2" t="s">
        <v>4892</v>
      </c>
      <c r="C2307" s="2" t="s">
        <v>4893</v>
      </c>
      <c r="D2307" s="2"/>
      <c r="E2307" s="2" t="s">
        <v>48</v>
      </c>
      <c r="F2307" s="3" t="n">
        <v>5E-005</v>
      </c>
      <c r="G2307" s="3" t="n">
        <f aca="false">SUM($F$2:F2307)</f>
        <v>0.950043</v>
      </c>
      <c r="H2307" s="4"/>
      <c r="I2307" s="5"/>
      <c r="J2307" s="4"/>
      <c r="K2307" s="5"/>
      <c r="L2307" s="6"/>
      <c r="M2307" s="5" t="str">
        <f aca="false">IF(AND(N(K2307)&gt;0,N(L2307)&gt;0),K2307/L2307,"")</f>
        <v/>
      </c>
      <c r="N2307" s="2" t="s">
        <v>1226</v>
      </c>
    </row>
    <row r="2308" customFormat="false" ht="15" hidden="false" customHeight="false" outlineLevel="0" collapsed="false">
      <c r="A2308" s="2" t="n">
        <v>2307</v>
      </c>
      <c r="B2308" s="2" t="s">
        <v>4894</v>
      </c>
      <c r="C2308" s="2" t="s">
        <v>4895</v>
      </c>
      <c r="D2308" s="2"/>
      <c r="E2308" s="2" t="s">
        <v>289</v>
      </c>
      <c r="F2308" s="3" t="n">
        <v>5E-005</v>
      </c>
      <c r="G2308" s="3" t="n">
        <f aca="false">SUM($F$2:F2308)</f>
        <v>0.950093</v>
      </c>
      <c r="H2308" s="4"/>
      <c r="I2308" s="5"/>
      <c r="J2308" s="4"/>
      <c r="K2308" s="5"/>
      <c r="L2308" s="6"/>
      <c r="M2308" s="5" t="str">
        <f aca="false">IF(AND(N(K2308)&gt;0,N(L2308)&gt;0),K2308/L2308,"")</f>
        <v/>
      </c>
      <c r="N2308" s="2" t="s">
        <v>1226</v>
      </c>
    </row>
    <row r="2309" customFormat="false" ht="15" hidden="false" customHeight="false" outlineLevel="0" collapsed="false">
      <c r="A2309" s="2" t="n">
        <v>2308</v>
      </c>
      <c r="B2309" s="2" t="s">
        <v>4896</v>
      </c>
      <c r="C2309" s="2" t="s">
        <v>4897</v>
      </c>
      <c r="D2309" s="2"/>
      <c r="E2309" s="2" t="s">
        <v>199</v>
      </c>
      <c r="F2309" s="3" t="n">
        <v>5E-005</v>
      </c>
      <c r="G2309" s="3" t="n">
        <f aca="false">SUM($F$2:F2309)</f>
        <v>0.950143</v>
      </c>
      <c r="H2309" s="4"/>
      <c r="I2309" s="5"/>
      <c r="J2309" s="4"/>
      <c r="K2309" s="5"/>
      <c r="L2309" s="6"/>
      <c r="M2309" s="5" t="str">
        <f aca="false">IF(AND(N(K2309)&gt;0,N(L2309)&gt;0),K2309/L2309,"")</f>
        <v/>
      </c>
      <c r="N2309" s="2" t="s">
        <v>1226</v>
      </c>
    </row>
    <row r="2310" customFormat="false" ht="15" hidden="false" customHeight="false" outlineLevel="0" collapsed="false">
      <c r="A2310" s="2" t="n">
        <v>2309</v>
      </c>
      <c r="B2310" s="2" t="s">
        <v>4898</v>
      </c>
      <c r="C2310" s="2" t="s">
        <v>4899</v>
      </c>
      <c r="D2310" s="2"/>
      <c r="E2310" s="2" t="s">
        <v>334</v>
      </c>
      <c r="F2310" s="3" t="n">
        <v>5E-005</v>
      </c>
      <c r="G2310" s="3" t="n">
        <f aca="false">SUM($F$2:F2310)</f>
        <v>0.950193</v>
      </c>
      <c r="H2310" s="4"/>
      <c r="I2310" s="5"/>
      <c r="J2310" s="4"/>
      <c r="K2310" s="5"/>
      <c r="L2310" s="6"/>
      <c r="M2310" s="5" t="str">
        <f aca="false">IF(AND(N(K2310)&gt;0,N(L2310)&gt;0),K2310/L2310,"")</f>
        <v/>
      </c>
      <c r="N2310" s="2" t="s">
        <v>1226</v>
      </c>
    </row>
    <row r="2311" customFormat="false" ht="15" hidden="false" customHeight="false" outlineLevel="0" collapsed="false">
      <c r="A2311" s="2" t="n">
        <v>2310</v>
      </c>
      <c r="B2311" s="2" t="s">
        <v>4900</v>
      </c>
      <c r="C2311" s="2" t="s">
        <v>4901</v>
      </c>
      <c r="D2311" s="2"/>
      <c r="E2311" s="2" t="s">
        <v>17</v>
      </c>
      <c r="F2311" s="3" t="n">
        <v>5E-005</v>
      </c>
      <c r="G2311" s="3" t="n">
        <f aca="false">SUM($F$2:F2311)</f>
        <v>0.950243</v>
      </c>
      <c r="H2311" s="4"/>
      <c r="I2311" s="5"/>
      <c r="J2311" s="4"/>
      <c r="K2311" s="5"/>
      <c r="L2311" s="6"/>
      <c r="M2311" s="5" t="str">
        <f aca="false">IF(AND(N(K2311)&gt;0,N(L2311)&gt;0),K2311/L2311,"")</f>
        <v/>
      </c>
      <c r="N2311" s="2" t="s">
        <v>1226</v>
      </c>
    </row>
    <row r="2312" customFormat="false" ht="15" hidden="false" customHeight="false" outlineLevel="0" collapsed="false">
      <c r="A2312" s="2" t="n">
        <v>2311</v>
      </c>
      <c r="B2312" s="2" t="s">
        <v>4902</v>
      </c>
      <c r="C2312" s="2" t="s">
        <v>4903</v>
      </c>
      <c r="D2312" s="2"/>
      <c r="E2312" s="2" t="s">
        <v>43</v>
      </c>
      <c r="F2312" s="3" t="n">
        <v>5E-005</v>
      </c>
      <c r="G2312" s="3" t="n">
        <f aca="false">SUM($F$2:F2312)</f>
        <v>0.950293</v>
      </c>
      <c r="H2312" s="4"/>
      <c r="I2312" s="5"/>
      <c r="J2312" s="4"/>
      <c r="K2312" s="5"/>
      <c r="L2312" s="6"/>
      <c r="M2312" s="5" t="str">
        <f aca="false">IF(AND(N(K2312)&gt;0,N(L2312)&gt;0),K2312/L2312,"")</f>
        <v/>
      </c>
      <c r="N2312" s="2" t="s">
        <v>1226</v>
      </c>
    </row>
    <row r="2313" customFormat="false" ht="15" hidden="false" customHeight="false" outlineLevel="0" collapsed="false">
      <c r="A2313" s="2" t="n">
        <v>2312</v>
      </c>
      <c r="B2313" s="2" t="s">
        <v>4904</v>
      </c>
      <c r="C2313" s="2" t="s">
        <v>4905</v>
      </c>
      <c r="D2313" s="2"/>
      <c r="E2313" s="2" t="s">
        <v>679</v>
      </c>
      <c r="F2313" s="3" t="n">
        <v>5E-005</v>
      </c>
      <c r="G2313" s="3" t="n">
        <f aca="false">SUM($F$2:F2313)</f>
        <v>0.950343</v>
      </c>
      <c r="H2313" s="4"/>
      <c r="I2313" s="5"/>
      <c r="J2313" s="4"/>
      <c r="K2313" s="5"/>
      <c r="L2313" s="6"/>
      <c r="M2313" s="5" t="str">
        <f aca="false">IF(AND(N(K2313)&gt;0,N(L2313)&gt;0),K2313/L2313,"")</f>
        <v/>
      </c>
      <c r="N2313" s="2" t="s">
        <v>1226</v>
      </c>
    </row>
    <row r="2314" customFormat="false" ht="15" hidden="false" customHeight="false" outlineLevel="0" collapsed="false">
      <c r="A2314" s="2" t="n">
        <v>2313</v>
      </c>
      <c r="B2314" s="2" t="s">
        <v>4906</v>
      </c>
      <c r="C2314" s="2" t="s">
        <v>4907</v>
      </c>
      <c r="D2314" s="2"/>
      <c r="E2314" s="2" t="s">
        <v>199</v>
      </c>
      <c r="F2314" s="3" t="n">
        <v>5E-005</v>
      </c>
      <c r="G2314" s="3" t="n">
        <f aca="false">SUM($F$2:F2314)</f>
        <v>0.950393</v>
      </c>
      <c r="H2314" s="4"/>
      <c r="I2314" s="5"/>
      <c r="J2314" s="4"/>
      <c r="K2314" s="5"/>
      <c r="L2314" s="6"/>
      <c r="M2314" s="5" t="str">
        <f aca="false">IF(AND(N(K2314)&gt;0,N(L2314)&gt;0),K2314/L2314,"")</f>
        <v/>
      </c>
      <c r="N2314" s="2" t="s">
        <v>1226</v>
      </c>
    </row>
    <row r="2315" customFormat="false" ht="15" hidden="false" customHeight="false" outlineLevel="0" collapsed="false">
      <c r="A2315" s="2" t="n">
        <v>2314</v>
      </c>
      <c r="B2315" s="2" t="s">
        <v>4908</v>
      </c>
      <c r="C2315" s="2" t="s">
        <v>4909</v>
      </c>
      <c r="D2315" s="2"/>
      <c r="E2315" s="2" t="s">
        <v>52</v>
      </c>
      <c r="F2315" s="3" t="n">
        <v>5E-005</v>
      </c>
      <c r="G2315" s="3" t="n">
        <f aca="false">SUM($F$2:F2315)</f>
        <v>0.950443</v>
      </c>
      <c r="H2315" s="4"/>
      <c r="I2315" s="5"/>
      <c r="J2315" s="4"/>
      <c r="K2315" s="5"/>
      <c r="L2315" s="6"/>
      <c r="M2315" s="5" t="str">
        <f aca="false">IF(AND(N(K2315)&gt;0,N(L2315)&gt;0),K2315/L2315,"")</f>
        <v/>
      </c>
      <c r="N2315" s="2" t="s">
        <v>1226</v>
      </c>
    </row>
    <row r="2316" customFormat="false" ht="15" hidden="false" customHeight="false" outlineLevel="0" collapsed="false">
      <c r="A2316" s="2" t="n">
        <v>2315</v>
      </c>
      <c r="B2316" s="2" t="s">
        <v>4910</v>
      </c>
      <c r="C2316" s="2" t="s">
        <v>4911</v>
      </c>
      <c r="D2316" s="2"/>
      <c r="E2316" s="2" t="s">
        <v>1345</v>
      </c>
      <c r="F2316" s="3" t="n">
        <v>5E-005</v>
      </c>
      <c r="G2316" s="3" t="n">
        <f aca="false">SUM($F$2:F2316)</f>
        <v>0.950493</v>
      </c>
      <c r="H2316" s="4"/>
      <c r="I2316" s="5"/>
      <c r="J2316" s="4"/>
      <c r="K2316" s="5"/>
      <c r="L2316" s="6"/>
      <c r="M2316" s="5" t="str">
        <f aca="false">IF(AND(N(K2316)&gt;0,N(L2316)&gt;0),K2316/L2316,"")</f>
        <v/>
      </c>
      <c r="N2316" s="2" t="s">
        <v>1226</v>
      </c>
    </row>
    <row r="2317" customFormat="false" ht="15" hidden="false" customHeight="false" outlineLevel="0" collapsed="false">
      <c r="A2317" s="2" t="n">
        <v>2316</v>
      </c>
      <c r="B2317" s="2" t="s">
        <v>4912</v>
      </c>
      <c r="C2317" s="2" t="s">
        <v>4913</v>
      </c>
      <c r="D2317" s="2"/>
      <c r="E2317" s="2" t="s">
        <v>289</v>
      </c>
      <c r="F2317" s="3" t="n">
        <v>5E-005</v>
      </c>
      <c r="G2317" s="3" t="n">
        <f aca="false">SUM($F$2:F2317)</f>
        <v>0.950543</v>
      </c>
      <c r="H2317" s="4"/>
      <c r="I2317" s="5"/>
      <c r="J2317" s="4"/>
      <c r="K2317" s="5"/>
      <c r="L2317" s="6"/>
      <c r="M2317" s="5" t="str">
        <f aca="false">IF(AND(N(K2317)&gt;0,N(L2317)&gt;0),K2317/L2317,"")</f>
        <v/>
      </c>
      <c r="N2317" s="2" t="s">
        <v>1226</v>
      </c>
    </row>
    <row r="2318" customFormat="false" ht="15" hidden="false" customHeight="false" outlineLevel="0" collapsed="false">
      <c r="A2318" s="2" t="n">
        <v>2317</v>
      </c>
      <c r="B2318" s="2" t="s">
        <v>4914</v>
      </c>
      <c r="C2318" s="2" t="s">
        <v>4915</v>
      </c>
      <c r="D2318" s="2"/>
      <c r="E2318" s="2" t="s">
        <v>52</v>
      </c>
      <c r="F2318" s="3" t="n">
        <v>5E-005</v>
      </c>
      <c r="G2318" s="3" t="n">
        <f aca="false">SUM($F$2:F2318)</f>
        <v>0.950593</v>
      </c>
      <c r="H2318" s="4"/>
      <c r="I2318" s="5"/>
      <c r="J2318" s="4"/>
      <c r="K2318" s="5"/>
      <c r="L2318" s="6"/>
      <c r="M2318" s="5" t="str">
        <f aca="false">IF(AND(N(K2318)&gt;0,N(L2318)&gt;0),K2318/L2318,"")</f>
        <v/>
      </c>
      <c r="N2318" s="2" t="s">
        <v>1226</v>
      </c>
    </row>
    <row r="2319" customFormat="false" ht="15" hidden="false" customHeight="false" outlineLevel="0" collapsed="false">
      <c r="A2319" s="2" t="n">
        <v>2318</v>
      </c>
      <c r="B2319" s="2" t="s">
        <v>4916</v>
      </c>
      <c r="C2319" s="2" t="s">
        <v>4917</v>
      </c>
      <c r="D2319" s="2"/>
      <c r="E2319" s="2" t="s">
        <v>52</v>
      </c>
      <c r="F2319" s="3" t="n">
        <v>5E-005</v>
      </c>
      <c r="G2319" s="3" t="n">
        <f aca="false">SUM($F$2:F2319)</f>
        <v>0.950643</v>
      </c>
      <c r="H2319" s="4"/>
      <c r="I2319" s="5"/>
      <c r="J2319" s="4"/>
      <c r="K2319" s="5"/>
      <c r="L2319" s="6"/>
      <c r="M2319" s="5" t="str">
        <f aca="false">IF(AND(N(K2319)&gt;0,N(L2319)&gt;0),K2319/L2319,"")</f>
        <v/>
      </c>
      <c r="N2319" s="2" t="s">
        <v>1226</v>
      </c>
    </row>
    <row r="2320" customFormat="false" ht="15" hidden="false" customHeight="false" outlineLevel="0" collapsed="false">
      <c r="A2320" s="2" t="n">
        <v>2319</v>
      </c>
      <c r="B2320" s="2" t="s">
        <v>4918</v>
      </c>
      <c r="C2320" s="2" t="s">
        <v>4919</v>
      </c>
      <c r="D2320" s="2"/>
      <c r="E2320" s="2" t="s">
        <v>33</v>
      </c>
      <c r="F2320" s="3" t="n">
        <v>5E-005</v>
      </c>
      <c r="G2320" s="3" t="n">
        <f aca="false">SUM($F$2:F2320)</f>
        <v>0.950693</v>
      </c>
      <c r="H2320" s="4"/>
      <c r="I2320" s="5"/>
      <c r="J2320" s="4"/>
      <c r="K2320" s="5"/>
      <c r="L2320" s="6"/>
      <c r="M2320" s="5" t="str">
        <f aca="false">IF(AND(N(K2320)&gt;0,N(L2320)&gt;0),K2320/L2320,"")</f>
        <v/>
      </c>
      <c r="N2320" s="2" t="s">
        <v>1226</v>
      </c>
    </row>
    <row r="2321" customFormat="false" ht="15" hidden="false" customHeight="false" outlineLevel="0" collapsed="false">
      <c r="A2321" s="2" t="n">
        <v>2320</v>
      </c>
      <c r="B2321" s="2" t="s">
        <v>4920</v>
      </c>
      <c r="C2321" s="2" t="s">
        <v>4921</v>
      </c>
      <c r="D2321" s="2"/>
      <c r="E2321" s="2" t="s">
        <v>1345</v>
      </c>
      <c r="F2321" s="3" t="n">
        <v>4.9E-005</v>
      </c>
      <c r="G2321" s="3" t="n">
        <f aca="false">SUM($F$2:F2321)</f>
        <v>0.950742</v>
      </c>
      <c r="H2321" s="4"/>
      <c r="I2321" s="5"/>
      <c r="J2321" s="4"/>
      <c r="K2321" s="5"/>
      <c r="L2321" s="6"/>
      <c r="M2321" s="5" t="str">
        <f aca="false">IF(AND(N(K2321)&gt;0,N(L2321)&gt;0),K2321/L2321,"")</f>
        <v/>
      </c>
      <c r="N2321" s="2" t="s">
        <v>1226</v>
      </c>
    </row>
    <row r="2322" customFormat="false" ht="15" hidden="false" customHeight="false" outlineLevel="0" collapsed="false">
      <c r="A2322" s="2" t="n">
        <v>2321</v>
      </c>
      <c r="B2322" s="2" t="s">
        <v>1489</v>
      </c>
      <c r="C2322" s="2" t="s">
        <v>4922</v>
      </c>
      <c r="D2322" s="2"/>
      <c r="E2322" s="2" t="s">
        <v>29</v>
      </c>
      <c r="F2322" s="3" t="n">
        <v>4.9E-005</v>
      </c>
      <c r="G2322" s="3" t="n">
        <f aca="false">SUM($F$2:F2322)</f>
        <v>0.950791</v>
      </c>
      <c r="H2322" s="4"/>
      <c r="I2322" s="5"/>
      <c r="J2322" s="4"/>
      <c r="K2322" s="5"/>
      <c r="L2322" s="6"/>
      <c r="M2322" s="5" t="str">
        <f aca="false">IF(AND(N(K2322)&gt;0,N(L2322)&gt;0),K2322/L2322,"")</f>
        <v/>
      </c>
      <c r="N2322" s="2" t="s">
        <v>1226</v>
      </c>
    </row>
    <row r="2323" customFormat="false" ht="15" hidden="false" customHeight="false" outlineLevel="0" collapsed="false">
      <c r="A2323" s="2" t="n">
        <v>2322</v>
      </c>
      <c r="B2323" s="2" t="s">
        <v>4923</v>
      </c>
      <c r="C2323" s="2" t="s">
        <v>4924</v>
      </c>
      <c r="D2323" s="2"/>
      <c r="E2323" s="2" t="s">
        <v>48</v>
      </c>
      <c r="F2323" s="3" t="n">
        <v>4.9E-005</v>
      </c>
      <c r="G2323" s="3" t="n">
        <f aca="false">SUM($F$2:F2323)</f>
        <v>0.95084</v>
      </c>
      <c r="H2323" s="4"/>
      <c r="I2323" s="5"/>
      <c r="J2323" s="4"/>
      <c r="K2323" s="5"/>
      <c r="L2323" s="6"/>
      <c r="M2323" s="5" t="str">
        <f aca="false">IF(AND(N(K2323)&gt;0,N(L2323)&gt;0),K2323/L2323,"")</f>
        <v/>
      </c>
      <c r="N2323" s="2" t="s">
        <v>1226</v>
      </c>
    </row>
    <row r="2324" customFormat="false" ht="15" hidden="false" customHeight="false" outlineLevel="0" collapsed="false">
      <c r="A2324" s="2" t="n">
        <v>2323</v>
      </c>
      <c r="B2324" s="2" t="s">
        <v>4925</v>
      </c>
      <c r="C2324" s="2" t="s">
        <v>4926</v>
      </c>
      <c r="D2324" s="2"/>
      <c r="E2324" s="2" t="s">
        <v>52</v>
      </c>
      <c r="F2324" s="3" t="n">
        <v>4.9E-005</v>
      </c>
      <c r="G2324" s="3" t="n">
        <f aca="false">SUM($F$2:F2324)</f>
        <v>0.950889</v>
      </c>
      <c r="H2324" s="4"/>
      <c r="I2324" s="5"/>
      <c r="J2324" s="4"/>
      <c r="K2324" s="5"/>
      <c r="L2324" s="6"/>
      <c r="M2324" s="5" t="str">
        <f aca="false">IF(AND(N(K2324)&gt;0,N(L2324)&gt;0),K2324/L2324,"")</f>
        <v/>
      </c>
      <c r="N2324" s="2" t="s">
        <v>1226</v>
      </c>
    </row>
    <row r="2325" customFormat="false" ht="15" hidden="false" customHeight="false" outlineLevel="0" collapsed="false">
      <c r="A2325" s="2" t="n">
        <v>2324</v>
      </c>
      <c r="B2325" s="2" t="s">
        <v>4927</v>
      </c>
      <c r="C2325" s="2" t="s">
        <v>4928</v>
      </c>
      <c r="D2325" s="2"/>
      <c r="E2325" s="2" t="s">
        <v>17</v>
      </c>
      <c r="F2325" s="3" t="n">
        <v>4.9E-005</v>
      </c>
      <c r="G2325" s="3" t="n">
        <f aca="false">SUM($F$2:F2325)</f>
        <v>0.950938</v>
      </c>
      <c r="H2325" s="4"/>
      <c r="I2325" s="5"/>
      <c r="J2325" s="4"/>
      <c r="K2325" s="5"/>
      <c r="L2325" s="6"/>
      <c r="M2325" s="5" t="str">
        <f aca="false">IF(AND(N(K2325)&gt;0,N(L2325)&gt;0),K2325/L2325,"")</f>
        <v/>
      </c>
      <c r="N2325" s="2" t="s">
        <v>1226</v>
      </c>
    </row>
    <row r="2326" customFormat="false" ht="15" hidden="false" customHeight="false" outlineLevel="0" collapsed="false">
      <c r="A2326" s="2" t="n">
        <v>2325</v>
      </c>
      <c r="B2326" s="2" t="s">
        <v>4929</v>
      </c>
      <c r="C2326" s="2" t="s">
        <v>4930</v>
      </c>
      <c r="D2326" s="2"/>
      <c r="E2326" s="2" t="s">
        <v>1345</v>
      </c>
      <c r="F2326" s="3" t="n">
        <v>4.9E-005</v>
      </c>
      <c r="G2326" s="3" t="n">
        <f aca="false">SUM($F$2:F2326)</f>
        <v>0.950987</v>
      </c>
      <c r="H2326" s="4"/>
      <c r="I2326" s="5"/>
      <c r="J2326" s="4"/>
      <c r="K2326" s="5"/>
      <c r="L2326" s="6"/>
      <c r="M2326" s="5" t="str">
        <f aca="false">IF(AND(N(K2326)&gt;0,N(L2326)&gt;0),K2326/L2326,"")</f>
        <v/>
      </c>
      <c r="N2326" s="2" t="s">
        <v>1226</v>
      </c>
    </row>
    <row r="2327" customFormat="false" ht="15" hidden="false" customHeight="false" outlineLevel="0" collapsed="false">
      <c r="A2327" s="2" t="n">
        <v>2326</v>
      </c>
      <c r="B2327" s="2" t="s">
        <v>4931</v>
      </c>
      <c r="C2327" s="2" t="s">
        <v>4932</v>
      </c>
      <c r="D2327" s="2"/>
      <c r="E2327" s="2" t="s">
        <v>289</v>
      </c>
      <c r="F2327" s="3" t="n">
        <v>4.9E-005</v>
      </c>
      <c r="G2327" s="3" t="n">
        <f aca="false">SUM($F$2:F2327)</f>
        <v>0.951036</v>
      </c>
      <c r="H2327" s="4"/>
      <c r="I2327" s="5"/>
      <c r="J2327" s="4"/>
      <c r="K2327" s="5"/>
      <c r="L2327" s="6"/>
      <c r="M2327" s="5" t="str">
        <f aca="false">IF(AND(N(K2327)&gt;0,N(L2327)&gt;0),K2327/L2327,"")</f>
        <v/>
      </c>
      <c r="N2327" s="2" t="s">
        <v>1226</v>
      </c>
    </row>
    <row r="2328" customFormat="false" ht="15" hidden="false" customHeight="false" outlineLevel="0" collapsed="false">
      <c r="A2328" s="2" t="n">
        <v>2327</v>
      </c>
      <c r="B2328" s="2" t="s">
        <v>4933</v>
      </c>
      <c r="C2328" s="2" t="s">
        <v>4934</v>
      </c>
      <c r="D2328" s="2"/>
      <c r="E2328" s="2" t="s">
        <v>29</v>
      </c>
      <c r="F2328" s="3" t="n">
        <v>4.9E-005</v>
      </c>
      <c r="G2328" s="3" t="n">
        <f aca="false">SUM($F$2:F2328)</f>
        <v>0.951085</v>
      </c>
      <c r="H2328" s="4"/>
      <c r="I2328" s="5"/>
      <c r="J2328" s="4"/>
      <c r="K2328" s="5"/>
      <c r="L2328" s="6"/>
      <c r="M2328" s="5" t="str">
        <f aca="false">IF(AND(N(K2328)&gt;0,N(L2328)&gt;0),K2328/L2328,"")</f>
        <v/>
      </c>
      <c r="N2328" s="2" t="s">
        <v>1226</v>
      </c>
    </row>
    <row r="2329" customFormat="false" ht="15" hidden="false" customHeight="false" outlineLevel="0" collapsed="false">
      <c r="A2329" s="2" t="n">
        <v>2328</v>
      </c>
      <c r="B2329" s="2" t="s">
        <v>4935</v>
      </c>
      <c r="C2329" s="2" t="s">
        <v>4936</v>
      </c>
      <c r="D2329" s="2"/>
      <c r="E2329" s="2" t="s">
        <v>539</v>
      </c>
      <c r="F2329" s="3" t="n">
        <v>4.9E-005</v>
      </c>
      <c r="G2329" s="3" t="n">
        <f aca="false">SUM($F$2:F2329)</f>
        <v>0.951134</v>
      </c>
      <c r="H2329" s="4"/>
      <c r="I2329" s="5"/>
      <c r="J2329" s="4"/>
      <c r="K2329" s="5"/>
      <c r="L2329" s="6"/>
      <c r="M2329" s="5" t="str">
        <f aca="false">IF(AND(N(K2329)&gt;0,N(L2329)&gt;0),K2329/L2329,"")</f>
        <v/>
      </c>
      <c r="N2329" s="2" t="s">
        <v>1226</v>
      </c>
    </row>
    <row r="2330" customFormat="false" ht="15" hidden="false" customHeight="false" outlineLevel="0" collapsed="false">
      <c r="A2330" s="2" t="n">
        <v>2329</v>
      </c>
      <c r="B2330" s="2" t="s">
        <v>4937</v>
      </c>
      <c r="C2330" s="2" t="s">
        <v>4938</v>
      </c>
      <c r="D2330" s="2"/>
      <c r="E2330" s="2" t="s">
        <v>52</v>
      </c>
      <c r="F2330" s="3" t="n">
        <v>4.9E-005</v>
      </c>
      <c r="G2330" s="3" t="n">
        <f aca="false">SUM($F$2:F2330)</f>
        <v>0.951183</v>
      </c>
      <c r="H2330" s="4"/>
      <c r="I2330" s="5"/>
      <c r="J2330" s="4"/>
      <c r="K2330" s="5"/>
      <c r="L2330" s="6"/>
      <c r="M2330" s="5" t="str">
        <f aca="false">IF(AND(N(K2330)&gt;0,N(L2330)&gt;0),K2330/L2330,"")</f>
        <v/>
      </c>
      <c r="N2330" s="2" t="s">
        <v>1226</v>
      </c>
    </row>
    <row r="2331" customFormat="false" ht="15" hidden="false" customHeight="false" outlineLevel="0" collapsed="false">
      <c r="A2331" s="2" t="n">
        <v>2330</v>
      </c>
      <c r="B2331" s="2" t="s">
        <v>4939</v>
      </c>
      <c r="C2331" s="2" t="s">
        <v>4940</v>
      </c>
      <c r="D2331" s="2"/>
      <c r="E2331" s="2" t="s">
        <v>29</v>
      </c>
      <c r="F2331" s="3" t="n">
        <v>4.9E-005</v>
      </c>
      <c r="G2331" s="3" t="n">
        <f aca="false">SUM($F$2:F2331)</f>
        <v>0.951232</v>
      </c>
      <c r="H2331" s="4"/>
      <c r="I2331" s="5"/>
      <c r="J2331" s="4"/>
      <c r="K2331" s="5"/>
      <c r="L2331" s="6"/>
      <c r="M2331" s="5" t="str">
        <f aca="false">IF(AND(N(K2331)&gt;0,N(L2331)&gt;0),K2331/L2331,"")</f>
        <v/>
      </c>
      <c r="N2331" s="2" t="s">
        <v>1226</v>
      </c>
    </row>
    <row r="2332" customFormat="false" ht="15" hidden="false" customHeight="false" outlineLevel="0" collapsed="false">
      <c r="A2332" s="2" t="n">
        <v>2331</v>
      </c>
      <c r="B2332" s="2" t="s">
        <v>4941</v>
      </c>
      <c r="C2332" s="2" t="s">
        <v>4942</v>
      </c>
      <c r="D2332" s="2"/>
      <c r="E2332" s="2" t="s">
        <v>296</v>
      </c>
      <c r="F2332" s="3" t="n">
        <v>4.9E-005</v>
      </c>
      <c r="G2332" s="3" t="n">
        <f aca="false">SUM($F$2:F2332)</f>
        <v>0.951281</v>
      </c>
      <c r="H2332" s="4"/>
      <c r="I2332" s="5"/>
      <c r="J2332" s="4"/>
      <c r="K2332" s="5"/>
      <c r="L2332" s="6"/>
      <c r="M2332" s="5" t="str">
        <f aca="false">IF(AND(N(K2332)&gt;0,N(L2332)&gt;0),K2332/L2332,"")</f>
        <v/>
      </c>
      <c r="N2332" s="2" t="s">
        <v>1226</v>
      </c>
    </row>
    <row r="2333" customFormat="false" ht="15" hidden="false" customHeight="false" outlineLevel="0" collapsed="false">
      <c r="A2333" s="2" t="n">
        <v>2332</v>
      </c>
      <c r="B2333" s="2" t="s">
        <v>4943</v>
      </c>
      <c r="C2333" s="2" t="s">
        <v>4944</v>
      </c>
      <c r="D2333" s="2"/>
      <c r="E2333" s="2" t="s">
        <v>289</v>
      </c>
      <c r="F2333" s="3" t="n">
        <v>4.9E-005</v>
      </c>
      <c r="G2333" s="3" t="n">
        <f aca="false">SUM($F$2:F2333)</f>
        <v>0.95133</v>
      </c>
      <c r="H2333" s="4"/>
      <c r="I2333" s="5"/>
      <c r="J2333" s="4"/>
      <c r="K2333" s="5"/>
      <c r="L2333" s="6"/>
      <c r="M2333" s="5" t="str">
        <f aca="false">IF(AND(N(K2333)&gt;0,N(L2333)&gt;0),K2333/L2333,"")</f>
        <v/>
      </c>
      <c r="N2333" s="2" t="s">
        <v>1226</v>
      </c>
    </row>
    <row r="2334" customFormat="false" ht="15" hidden="false" customHeight="false" outlineLevel="0" collapsed="false">
      <c r="A2334" s="2" t="n">
        <v>2333</v>
      </c>
      <c r="B2334" s="2" t="s">
        <v>4945</v>
      </c>
      <c r="C2334" s="2" t="s">
        <v>4946</v>
      </c>
      <c r="D2334" s="2"/>
      <c r="E2334" s="2" t="s">
        <v>43</v>
      </c>
      <c r="F2334" s="3" t="n">
        <v>4.9E-005</v>
      </c>
      <c r="G2334" s="3" t="n">
        <f aca="false">SUM($F$2:F2334)</f>
        <v>0.951379</v>
      </c>
      <c r="H2334" s="4"/>
      <c r="I2334" s="5"/>
      <c r="J2334" s="4"/>
      <c r="K2334" s="5"/>
      <c r="L2334" s="6"/>
      <c r="M2334" s="5" t="str">
        <f aca="false">IF(AND(N(K2334)&gt;0,N(L2334)&gt;0),K2334/L2334,"")</f>
        <v/>
      </c>
      <c r="N2334" s="2" t="s">
        <v>1226</v>
      </c>
    </row>
    <row r="2335" customFormat="false" ht="15" hidden="false" customHeight="false" outlineLevel="0" collapsed="false">
      <c r="A2335" s="2" t="n">
        <v>2334</v>
      </c>
      <c r="B2335" s="2" t="s">
        <v>4947</v>
      </c>
      <c r="C2335" s="2" t="s">
        <v>4948</v>
      </c>
      <c r="D2335" s="2"/>
      <c r="E2335" s="2" t="s">
        <v>167</v>
      </c>
      <c r="F2335" s="3" t="n">
        <v>4.9E-005</v>
      </c>
      <c r="G2335" s="3" t="n">
        <f aca="false">SUM($F$2:F2335)</f>
        <v>0.951428</v>
      </c>
      <c r="H2335" s="4"/>
      <c r="I2335" s="5"/>
      <c r="J2335" s="4"/>
      <c r="K2335" s="5"/>
      <c r="L2335" s="6"/>
      <c r="M2335" s="5" t="str">
        <f aca="false">IF(AND(N(K2335)&gt;0,N(L2335)&gt;0),K2335/L2335,"")</f>
        <v/>
      </c>
      <c r="N2335" s="2" t="s">
        <v>1226</v>
      </c>
    </row>
    <row r="2336" customFormat="false" ht="15" hidden="false" customHeight="false" outlineLevel="0" collapsed="false">
      <c r="A2336" s="2" t="n">
        <v>2335</v>
      </c>
      <c r="B2336" s="2" t="s">
        <v>4949</v>
      </c>
      <c r="C2336" s="2" t="s">
        <v>4950</v>
      </c>
      <c r="D2336" s="2"/>
      <c r="E2336" s="2" t="s">
        <v>2055</v>
      </c>
      <c r="F2336" s="3" t="n">
        <v>4.9E-005</v>
      </c>
      <c r="G2336" s="3" t="n">
        <f aca="false">SUM($F$2:F2336)</f>
        <v>0.951477</v>
      </c>
      <c r="H2336" s="4"/>
      <c r="I2336" s="5"/>
      <c r="J2336" s="4"/>
      <c r="K2336" s="5"/>
      <c r="L2336" s="6"/>
      <c r="M2336" s="5" t="str">
        <f aca="false">IF(AND(N(K2336)&gt;0,N(L2336)&gt;0),K2336/L2336,"")</f>
        <v/>
      </c>
      <c r="N2336" s="2" t="s">
        <v>1226</v>
      </c>
    </row>
    <row r="2337" customFormat="false" ht="15" hidden="false" customHeight="false" outlineLevel="0" collapsed="false">
      <c r="A2337" s="2" t="n">
        <v>2336</v>
      </c>
      <c r="B2337" s="2" t="s">
        <v>4951</v>
      </c>
      <c r="C2337" s="2" t="s">
        <v>4952</v>
      </c>
      <c r="D2337" s="2"/>
      <c r="E2337" s="2" t="s">
        <v>17</v>
      </c>
      <c r="F2337" s="3" t="n">
        <v>4.9E-005</v>
      </c>
      <c r="G2337" s="3" t="n">
        <f aca="false">SUM($F$2:F2337)</f>
        <v>0.951526</v>
      </c>
      <c r="H2337" s="4"/>
      <c r="I2337" s="5"/>
      <c r="J2337" s="4"/>
      <c r="K2337" s="5"/>
      <c r="L2337" s="6"/>
      <c r="M2337" s="5" t="str">
        <f aca="false">IF(AND(N(K2337)&gt;0,N(L2337)&gt;0),K2337/L2337,"")</f>
        <v/>
      </c>
      <c r="N2337" s="2" t="s">
        <v>1226</v>
      </c>
    </row>
    <row r="2338" customFormat="false" ht="15" hidden="false" customHeight="false" outlineLevel="0" collapsed="false">
      <c r="A2338" s="2" t="n">
        <v>2337</v>
      </c>
      <c r="B2338" s="2" t="s">
        <v>4953</v>
      </c>
      <c r="C2338" s="2" t="s">
        <v>4954</v>
      </c>
      <c r="D2338" s="2"/>
      <c r="E2338" s="2" t="s">
        <v>1345</v>
      </c>
      <c r="F2338" s="3" t="n">
        <v>4.9E-005</v>
      </c>
      <c r="G2338" s="3" t="n">
        <f aca="false">SUM($F$2:F2338)</f>
        <v>0.951575</v>
      </c>
      <c r="H2338" s="4"/>
      <c r="I2338" s="5"/>
      <c r="J2338" s="4"/>
      <c r="K2338" s="5"/>
      <c r="L2338" s="6"/>
      <c r="M2338" s="5" t="str">
        <f aca="false">IF(AND(N(K2338)&gt;0,N(L2338)&gt;0),K2338/L2338,"")</f>
        <v/>
      </c>
      <c r="N2338" s="2" t="s">
        <v>1226</v>
      </c>
    </row>
    <row r="2339" customFormat="false" ht="15" hidden="false" customHeight="false" outlineLevel="0" collapsed="false">
      <c r="A2339" s="2" t="n">
        <v>2338</v>
      </c>
      <c r="B2339" s="2" t="s">
        <v>4955</v>
      </c>
      <c r="C2339" s="2" t="s">
        <v>4956</v>
      </c>
      <c r="D2339" s="2"/>
      <c r="E2339" s="2" t="s">
        <v>1345</v>
      </c>
      <c r="F2339" s="3" t="n">
        <v>4.9E-005</v>
      </c>
      <c r="G2339" s="3" t="n">
        <f aca="false">SUM($F$2:F2339)</f>
        <v>0.951624</v>
      </c>
      <c r="H2339" s="4"/>
      <c r="I2339" s="5"/>
      <c r="J2339" s="4"/>
      <c r="K2339" s="5"/>
      <c r="L2339" s="6"/>
      <c r="M2339" s="5" t="str">
        <f aca="false">IF(AND(N(K2339)&gt;0,N(L2339)&gt;0),K2339/L2339,"")</f>
        <v/>
      </c>
      <c r="N2339" s="2" t="s">
        <v>1226</v>
      </c>
    </row>
    <row r="2340" customFormat="false" ht="15" hidden="false" customHeight="false" outlineLevel="0" collapsed="false">
      <c r="A2340" s="2" t="n">
        <v>2339</v>
      </c>
      <c r="B2340" s="2" t="s">
        <v>4957</v>
      </c>
      <c r="C2340" s="2" t="s">
        <v>4958</v>
      </c>
      <c r="D2340" s="2"/>
      <c r="E2340" s="2" t="s">
        <v>52</v>
      </c>
      <c r="F2340" s="3" t="n">
        <v>4.9E-005</v>
      </c>
      <c r="G2340" s="3" t="n">
        <f aca="false">SUM($F$2:F2340)</f>
        <v>0.951673</v>
      </c>
      <c r="H2340" s="4"/>
      <c r="I2340" s="5"/>
      <c r="J2340" s="4"/>
      <c r="K2340" s="5"/>
      <c r="L2340" s="6"/>
      <c r="M2340" s="5" t="str">
        <f aca="false">IF(AND(N(K2340)&gt;0,N(L2340)&gt;0),K2340/L2340,"")</f>
        <v/>
      </c>
      <c r="N2340" s="2" t="s">
        <v>1226</v>
      </c>
    </row>
    <row r="2341" customFormat="false" ht="15" hidden="false" customHeight="false" outlineLevel="0" collapsed="false">
      <c r="A2341" s="2" t="n">
        <v>2340</v>
      </c>
      <c r="B2341" s="2" t="s">
        <v>4959</v>
      </c>
      <c r="C2341" s="2" t="s">
        <v>4960</v>
      </c>
      <c r="D2341" s="2"/>
      <c r="E2341" s="2" t="s">
        <v>296</v>
      </c>
      <c r="F2341" s="3" t="n">
        <v>4.9E-005</v>
      </c>
      <c r="G2341" s="3" t="n">
        <f aca="false">SUM($F$2:F2341)</f>
        <v>0.951722</v>
      </c>
      <c r="H2341" s="4"/>
      <c r="I2341" s="5"/>
      <c r="J2341" s="4"/>
      <c r="K2341" s="5"/>
      <c r="L2341" s="6"/>
      <c r="M2341" s="5" t="str">
        <f aca="false">IF(AND(N(K2341)&gt;0,N(L2341)&gt;0),K2341/L2341,"")</f>
        <v/>
      </c>
      <c r="N2341" s="2" t="s">
        <v>1226</v>
      </c>
    </row>
    <row r="2342" customFormat="false" ht="15" hidden="false" customHeight="false" outlineLevel="0" collapsed="false">
      <c r="A2342" s="2" t="n">
        <v>2341</v>
      </c>
      <c r="B2342" s="2" t="s">
        <v>4961</v>
      </c>
      <c r="C2342" s="2" t="s">
        <v>4962</v>
      </c>
      <c r="D2342" s="2"/>
      <c r="E2342" s="2" t="s">
        <v>173</v>
      </c>
      <c r="F2342" s="3" t="n">
        <v>4.9E-005</v>
      </c>
      <c r="G2342" s="3" t="n">
        <f aca="false">SUM($F$2:F2342)</f>
        <v>0.951771</v>
      </c>
      <c r="H2342" s="4"/>
      <c r="I2342" s="5"/>
      <c r="J2342" s="4"/>
      <c r="K2342" s="5"/>
      <c r="L2342" s="6"/>
      <c r="M2342" s="5" t="str">
        <f aca="false">IF(AND(N(K2342)&gt;0,N(L2342)&gt;0),K2342/L2342,"")</f>
        <v/>
      </c>
      <c r="N2342" s="2" t="s">
        <v>1226</v>
      </c>
    </row>
    <row r="2343" customFormat="false" ht="15" hidden="false" customHeight="false" outlineLevel="0" collapsed="false">
      <c r="A2343" s="2" t="n">
        <v>2342</v>
      </c>
      <c r="B2343" s="2" t="s">
        <v>4963</v>
      </c>
      <c r="C2343" s="2" t="s">
        <v>4964</v>
      </c>
      <c r="D2343" s="2"/>
      <c r="E2343" s="2" t="s">
        <v>17</v>
      </c>
      <c r="F2343" s="3" t="n">
        <v>4.9E-005</v>
      </c>
      <c r="G2343" s="3" t="n">
        <f aca="false">SUM($F$2:F2343)</f>
        <v>0.95182</v>
      </c>
      <c r="H2343" s="4"/>
      <c r="I2343" s="5"/>
      <c r="J2343" s="4"/>
      <c r="K2343" s="5"/>
      <c r="L2343" s="6"/>
      <c r="M2343" s="5" t="str">
        <f aca="false">IF(AND(N(K2343)&gt;0,N(L2343)&gt;0),K2343/L2343,"")</f>
        <v/>
      </c>
      <c r="N2343" s="2" t="s">
        <v>1226</v>
      </c>
    </row>
    <row r="2344" customFormat="false" ht="15" hidden="false" customHeight="false" outlineLevel="0" collapsed="false">
      <c r="A2344" s="2" t="n">
        <v>2343</v>
      </c>
      <c r="B2344" s="2" t="s">
        <v>4965</v>
      </c>
      <c r="C2344" s="2" t="s">
        <v>4966</v>
      </c>
      <c r="D2344" s="2"/>
      <c r="E2344" s="2" t="s">
        <v>48</v>
      </c>
      <c r="F2344" s="3" t="n">
        <v>4.9E-005</v>
      </c>
      <c r="G2344" s="3" t="n">
        <f aca="false">SUM($F$2:F2344)</f>
        <v>0.951869</v>
      </c>
      <c r="H2344" s="4"/>
      <c r="I2344" s="5"/>
      <c r="J2344" s="4"/>
      <c r="K2344" s="5"/>
      <c r="L2344" s="6"/>
      <c r="M2344" s="5" t="str">
        <f aca="false">IF(AND(N(K2344)&gt;0,N(L2344)&gt;0),K2344/L2344,"")</f>
        <v/>
      </c>
      <c r="N2344" s="2" t="s">
        <v>1226</v>
      </c>
    </row>
    <row r="2345" customFormat="false" ht="15" hidden="false" customHeight="false" outlineLevel="0" collapsed="false">
      <c r="A2345" s="2" t="n">
        <v>2344</v>
      </c>
      <c r="B2345" s="2" t="s">
        <v>4967</v>
      </c>
      <c r="C2345" s="2" t="s">
        <v>4968</v>
      </c>
      <c r="D2345" s="2"/>
      <c r="E2345" s="2" t="s">
        <v>29</v>
      </c>
      <c r="F2345" s="3" t="n">
        <v>4.9E-005</v>
      </c>
      <c r="G2345" s="3" t="n">
        <f aca="false">SUM($F$2:F2345)</f>
        <v>0.951918</v>
      </c>
      <c r="H2345" s="4"/>
      <c r="I2345" s="5"/>
      <c r="J2345" s="4"/>
      <c r="K2345" s="5"/>
      <c r="L2345" s="6"/>
      <c r="M2345" s="5" t="str">
        <f aca="false">IF(AND(N(K2345)&gt;0,N(L2345)&gt;0),K2345/L2345,"")</f>
        <v/>
      </c>
      <c r="N2345" s="2" t="s">
        <v>1226</v>
      </c>
    </row>
    <row r="2346" customFormat="false" ht="15" hidden="false" customHeight="false" outlineLevel="0" collapsed="false">
      <c r="A2346" s="2" t="n">
        <v>2345</v>
      </c>
      <c r="B2346" s="2" t="s">
        <v>4969</v>
      </c>
      <c r="C2346" s="2" t="s">
        <v>4970</v>
      </c>
      <c r="D2346" s="2"/>
      <c r="E2346" s="2" t="s">
        <v>52</v>
      </c>
      <c r="F2346" s="3" t="n">
        <v>4.9E-005</v>
      </c>
      <c r="G2346" s="3" t="n">
        <f aca="false">SUM($F$2:F2346)</f>
        <v>0.951967</v>
      </c>
      <c r="H2346" s="4"/>
      <c r="I2346" s="5"/>
      <c r="J2346" s="4"/>
      <c r="K2346" s="5"/>
      <c r="L2346" s="6"/>
      <c r="M2346" s="5" t="str">
        <f aca="false">IF(AND(N(K2346)&gt;0,N(L2346)&gt;0),K2346/L2346,"")</f>
        <v/>
      </c>
      <c r="N2346" s="2" t="s">
        <v>1226</v>
      </c>
    </row>
    <row r="2347" customFormat="false" ht="15" hidden="false" customHeight="false" outlineLevel="0" collapsed="false">
      <c r="A2347" s="2" t="n">
        <v>2346</v>
      </c>
      <c r="B2347" s="2" t="s">
        <v>4971</v>
      </c>
      <c r="C2347" s="2" t="s">
        <v>4972</v>
      </c>
      <c r="D2347" s="2"/>
      <c r="E2347" s="2" t="s">
        <v>1295</v>
      </c>
      <c r="F2347" s="3" t="n">
        <v>4.9E-005</v>
      </c>
      <c r="G2347" s="3" t="n">
        <f aca="false">SUM($F$2:F2347)</f>
        <v>0.952016</v>
      </c>
      <c r="H2347" s="4"/>
      <c r="I2347" s="5"/>
      <c r="J2347" s="4"/>
      <c r="K2347" s="5"/>
      <c r="L2347" s="6"/>
      <c r="M2347" s="5" t="str">
        <f aca="false">IF(AND(N(K2347)&gt;0,N(L2347)&gt;0),K2347/L2347,"")</f>
        <v/>
      </c>
      <c r="N2347" s="2" t="s">
        <v>1226</v>
      </c>
    </row>
    <row r="2348" customFormat="false" ht="15" hidden="false" customHeight="false" outlineLevel="0" collapsed="false">
      <c r="A2348" s="2" t="n">
        <v>2347</v>
      </c>
      <c r="B2348" s="2" t="s">
        <v>4973</v>
      </c>
      <c r="C2348" s="2" t="s">
        <v>4974</v>
      </c>
      <c r="D2348" s="2"/>
      <c r="E2348" s="2" t="s">
        <v>82</v>
      </c>
      <c r="F2348" s="3" t="n">
        <v>4.8E-005</v>
      </c>
      <c r="G2348" s="3" t="n">
        <f aca="false">SUM($F$2:F2348)</f>
        <v>0.952064</v>
      </c>
      <c r="H2348" s="4"/>
      <c r="I2348" s="5"/>
      <c r="J2348" s="4"/>
      <c r="K2348" s="5"/>
      <c r="L2348" s="6"/>
      <c r="M2348" s="5" t="str">
        <f aca="false">IF(AND(N(K2348)&gt;0,N(L2348)&gt;0),K2348/L2348,"")</f>
        <v/>
      </c>
      <c r="N2348" s="2" t="s">
        <v>1226</v>
      </c>
    </row>
    <row r="2349" customFormat="false" ht="15" hidden="false" customHeight="false" outlineLevel="0" collapsed="false">
      <c r="A2349" s="2" t="n">
        <v>2348</v>
      </c>
      <c r="B2349" s="2" t="s">
        <v>4975</v>
      </c>
      <c r="C2349" s="2" t="s">
        <v>4976</v>
      </c>
      <c r="D2349" s="2"/>
      <c r="E2349" s="2" t="s">
        <v>52</v>
      </c>
      <c r="F2349" s="3" t="n">
        <v>4.8E-005</v>
      </c>
      <c r="G2349" s="3" t="n">
        <f aca="false">SUM($F$2:F2349)</f>
        <v>0.952112</v>
      </c>
      <c r="H2349" s="4"/>
      <c r="I2349" s="5"/>
      <c r="J2349" s="4"/>
      <c r="K2349" s="5"/>
      <c r="L2349" s="6"/>
      <c r="M2349" s="5" t="str">
        <f aca="false">IF(AND(N(K2349)&gt;0,N(L2349)&gt;0),K2349/L2349,"")</f>
        <v/>
      </c>
      <c r="N2349" s="2" t="s">
        <v>1226</v>
      </c>
    </row>
    <row r="2350" customFormat="false" ht="15" hidden="false" customHeight="false" outlineLevel="0" collapsed="false">
      <c r="A2350" s="2" t="n">
        <v>2349</v>
      </c>
      <c r="B2350" s="2" t="s">
        <v>1042</v>
      </c>
      <c r="C2350" s="2" t="s">
        <v>4977</v>
      </c>
      <c r="D2350" s="2"/>
      <c r="E2350" s="2" t="s">
        <v>52</v>
      </c>
      <c r="F2350" s="3" t="n">
        <v>4.8E-005</v>
      </c>
      <c r="G2350" s="3" t="n">
        <f aca="false">SUM($F$2:F2350)</f>
        <v>0.95216</v>
      </c>
      <c r="H2350" s="4"/>
      <c r="I2350" s="5"/>
      <c r="J2350" s="4"/>
      <c r="K2350" s="5"/>
      <c r="L2350" s="6"/>
      <c r="M2350" s="5" t="str">
        <f aca="false">IF(AND(N(K2350)&gt;0,N(L2350)&gt;0),K2350/L2350,"")</f>
        <v/>
      </c>
      <c r="N2350" s="2" t="s">
        <v>1226</v>
      </c>
    </row>
    <row r="2351" customFormat="false" ht="15" hidden="false" customHeight="false" outlineLevel="0" collapsed="false">
      <c r="A2351" s="2" t="n">
        <v>2350</v>
      </c>
      <c r="B2351" s="2" t="s">
        <v>4978</v>
      </c>
      <c r="C2351" s="2" t="s">
        <v>4979</v>
      </c>
      <c r="D2351" s="2"/>
      <c r="E2351" s="2" t="s">
        <v>1050</v>
      </c>
      <c r="F2351" s="3" t="n">
        <v>4.8E-005</v>
      </c>
      <c r="G2351" s="3" t="n">
        <f aca="false">SUM($F$2:F2351)</f>
        <v>0.952208</v>
      </c>
      <c r="H2351" s="4"/>
      <c r="I2351" s="5"/>
      <c r="J2351" s="4"/>
      <c r="K2351" s="5"/>
      <c r="L2351" s="6"/>
      <c r="M2351" s="5" t="str">
        <f aca="false">IF(AND(N(K2351)&gt;0,N(L2351)&gt;0),K2351/L2351,"")</f>
        <v/>
      </c>
      <c r="N2351" s="2" t="s">
        <v>1226</v>
      </c>
    </row>
    <row r="2352" customFormat="false" ht="15" hidden="false" customHeight="false" outlineLevel="0" collapsed="false">
      <c r="A2352" s="2" t="n">
        <v>2351</v>
      </c>
      <c r="B2352" s="2" t="s">
        <v>4980</v>
      </c>
      <c r="C2352" s="2" t="s">
        <v>4981</v>
      </c>
      <c r="D2352" s="2"/>
      <c r="E2352" s="2" t="s">
        <v>289</v>
      </c>
      <c r="F2352" s="3" t="n">
        <v>4.8E-005</v>
      </c>
      <c r="G2352" s="3" t="n">
        <f aca="false">SUM($F$2:F2352)</f>
        <v>0.952256</v>
      </c>
      <c r="H2352" s="4"/>
      <c r="I2352" s="5"/>
      <c r="J2352" s="4"/>
      <c r="K2352" s="5"/>
      <c r="L2352" s="6"/>
      <c r="M2352" s="5" t="str">
        <f aca="false">IF(AND(N(K2352)&gt;0,N(L2352)&gt;0),K2352/L2352,"")</f>
        <v/>
      </c>
      <c r="N2352" s="2" t="s">
        <v>1226</v>
      </c>
    </row>
    <row r="2353" customFormat="false" ht="15" hidden="false" customHeight="false" outlineLevel="0" collapsed="false">
      <c r="A2353" s="2" t="n">
        <v>2352</v>
      </c>
      <c r="B2353" s="2" t="s">
        <v>4982</v>
      </c>
      <c r="C2353" s="2" t="s">
        <v>4983</v>
      </c>
      <c r="D2353" s="2"/>
      <c r="E2353" s="2" t="s">
        <v>43</v>
      </c>
      <c r="F2353" s="3" t="n">
        <v>4.8E-005</v>
      </c>
      <c r="G2353" s="3" t="n">
        <f aca="false">SUM($F$2:F2353)</f>
        <v>0.952304</v>
      </c>
      <c r="H2353" s="4"/>
      <c r="I2353" s="5"/>
      <c r="J2353" s="4"/>
      <c r="K2353" s="5"/>
      <c r="L2353" s="6"/>
      <c r="M2353" s="5" t="str">
        <f aca="false">IF(AND(N(K2353)&gt;0,N(L2353)&gt;0),K2353/L2353,"")</f>
        <v/>
      </c>
      <c r="N2353" s="2" t="s">
        <v>1226</v>
      </c>
    </row>
    <row r="2354" customFormat="false" ht="15" hidden="false" customHeight="false" outlineLevel="0" collapsed="false">
      <c r="A2354" s="2" t="n">
        <v>2353</v>
      </c>
      <c r="B2354" s="2" t="s">
        <v>4984</v>
      </c>
      <c r="C2354" s="2" t="s">
        <v>4985</v>
      </c>
      <c r="D2354" s="2"/>
      <c r="E2354" s="2" t="s">
        <v>29</v>
      </c>
      <c r="F2354" s="3" t="n">
        <v>4.8E-005</v>
      </c>
      <c r="G2354" s="3" t="n">
        <f aca="false">SUM($F$2:F2354)</f>
        <v>0.952352</v>
      </c>
      <c r="H2354" s="4"/>
      <c r="I2354" s="5"/>
      <c r="J2354" s="4"/>
      <c r="K2354" s="5"/>
      <c r="L2354" s="6"/>
      <c r="M2354" s="5" t="str">
        <f aca="false">IF(AND(N(K2354)&gt;0,N(L2354)&gt;0),K2354/L2354,"")</f>
        <v/>
      </c>
      <c r="N2354" s="2" t="s">
        <v>1226</v>
      </c>
    </row>
    <row r="2355" customFormat="false" ht="15" hidden="false" customHeight="false" outlineLevel="0" collapsed="false">
      <c r="A2355" s="2" t="n">
        <v>2354</v>
      </c>
      <c r="B2355" s="2" t="s">
        <v>4986</v>
      </c>
      <c r="C2355" s="2" t="s">
        <v>4987</v>
      </c>
      <c r="D2355" s="2"/>
      <c r="E2355" s="2" t="s">
        <v>52</v>
      </c>
      <c r="F2355" s="3" t="n">
        <v>4.8E-005</v>
      </c>
      <c r="G2355" s="3" t="n">
        <f aca="false">SUM($F$2:F2355)</f>
        <v>0.9524</v>
      </c>
      <c r="H2355" s="4"/>
      <c r="I2355" s="5"/>
      <c r="J2355" s="4"/>
      <c r="K2355" s="5"/>
      <c r="L2355" s="6"/>
      <c r="M2355" s="5" t="str">
        <f aca="false">IF(AND(N(K2355)&gt;0,N(L2355)&gt;0),K2355/L2355,"")</f>
        <v/>
      </c>
      <c r="N2355" s="2" t="s">
        <v>1226</v>
      </c>
    </row>
    <row r="2356" customFormat="false" ht="15" hidden="false" customHeight="false" outlineLevel="0" collapsed="false">
      <c r="A2356" s="2" t="n">
        <v>2355</v>
      </c>
      <c r="B2356" s="2" t="s">
        <v>4988</v>
      </c>
      <c r="C2356" s="2" t="s">
        <v>4989</v>
      </c>
      <c r="D2356" s="2"/>
      <c r="E2356" s="2" t="s">
        <v>52</v>
      </c>
      <c r="F2356" s="3" t="n">
        <v>4.8E-005</v>
      </c>
      <c r="G2356" s="3" t="n">
        <f aca="false">SUM($F$2:F2356)</f>
        <v>0.952448</v>
      </c>
      <c r="H2356" s="4"/>
      <c r="I2356" s="5"/>
      <c r="J2356" s="4"/>
      <c r="K2356" s="5"/>
      <c r="L2356" s="6"/>
      <c r="M2356" s="5" t="str">
        <f aca="false">IF(AND(N(K2356)&gt;0,N(L2356)&gt;0),K2356/L2356,"")</f>
        <v/>
      </c>
      <c r="N2356" s="2" t="s">
        <v>1226</v>
      </c>
    </row>
    <row r="2357" customFormat="false" ht="15" hidden="false" customHeight="false" outlineLevel="0" collapsed="false">
      <c r="A2357" s="2" t="n">
        <v>2356</v>
      </c>
      <c r="B2357" s="2" t="s">
        <v>4990</v>
      </c>
      <c r="C2357" s="2" t="s">
        <v>4991</v>
      </c>
      <c r="D2357" s="2"/>
      <c r="E2357" s="2" t="s">
        <v>29</v>
      </c>
      <c r="F2357" s="3" t="n">
        <v>4.8E-005</v>
      </c>
      <c r="G2357" s="3" t="n">
        <f aca="false">SUM($F$2:F2357)</f>
        <v>0.952496</v>
      </c>
      <c r="H2357" s="4"/>
      <c r="I2357" s="5"/>
      <c r="J2357" s="4"/>
      <c r="K2357" s="5"/>
      <c r="L2357" s="6"/>
      <c r="M2357" s="5" t="str">
        <f aca="false">IF(AND(N(K2357)&gt;0,N(L2357)&gt;0),K2357/L2357,"")</f>
        <v/>
      </c>
      <c r="N2357" s="2" t="s">
        <v>1226</v>
      </c>
    </row>
    <row r="2358" customFormat="false" ht="15" hidden="false" customHeight="false" outlineLevel="0" collapsed="false">
      <c r="A2358" s="2" t="n">
        <v>2357</v>
      </c>
      <c r="B2358" s="2" t="s">
        <v>4992</v>
      </c>
      <c r="C2358" s="2" t="s">
        <v>4993</v>
      </c>
      <c r="D2358" s="2"/>
      <c r="E2358" s="2" t="s">
        <v>1345</v>
      </c>
      <c r="F2358" s="3" t="n">
        <v>4.8E-005</v>
      </c>
      <c r="G2358" s="3" t="n">
        <f aca="false">SUM($F$2:F2358)</f>
        <v>0.952544</v>
      </c>
      <c r="H2358" s="4"/>
      <c r="I2358" s="5"/>
      <c r="J2358" s="4"/>
      <c r="K2358" s="5"/>
      <c r="L2358" s="6"/>
      <c r="M2358" s="5" t="str">
        <f aca="false">IF(AND(N(K2358)&gt;0,N(L2358)&gt;0),K2358/L2358,"")</f>
        <v/>
      </c>
      <c r="N2358" s="2" t="s">
        <v>1226</v>
      </c>
    </row>
    <row r="2359" customFormat="false" ht="15" hidden="false" customHeight="false" outlineLevel="0" collapsed="false">
      <c r="A2359" s="2" t="n">
        <v>2358</v>
      </c>
      <c r="B2359" s="2" t="s">
        <v>4994</v>
      </c>
      <c r="C2359" s="2" t="s">
        <v>4995</v>
      </c>
      <c r="D2359" s="2"/>
      <c r="E2359" s="2" t="s">
        <v>289</v>
      </c>
      <c r="F2359" s="3" t="n">
        <v>4.8E-005</v>
      </c>
      <c r="G2359" s="3" t="n">
        <f aca="false">SUM($F$2:F2359)</f>
        <v>0.952592</v>
      </c>
      <c r="H2359" s="4"/>
      <c r="I2359" s="5"/>
      <c r="J2359" s="4"/>
      <c r="K2359" s="5"/>
      <c r="L2359" s="6"/>
      <c r="M2359" s="5" t="str">
        <f aca="false">IF(AND(N(K2359)&gt;0,N(L2359)&gt;0),K2359/L2359,"")</f>
        <v/>
      </c>
      <c r="N2359" s="2" t="s">
        <v>1226</v>
      </c>
    </row>
    <row r="2360" customFormat="false" ht="15" hidden="false" customHeight="false" outlineLevel="0" collapsed="false">
      <c r="A2360" s="2" t="n">
        <v>2359</v>
      </c>
      <c r="B2360" s="2" t="s">
        <v>4996</v>
      </c>
      <c r="C2360" s="2" t="s">
        <v>4997</v>
      </c>
      <c r="D2360" s="2"/>
      <c r="E2360" s="2" t="s">
        <v>29</v>
      </c>
      <c r="F2360" s="3" t="n">
        <v>4.8E-005</v>
      </c>
      <c r="G2360" s="3" t="n">
        <f aca="false">SUM($F$2:F2360)</f>
        <v>0.95264</v>
      </c>
      <c r="H2360" s="4"/>
      <c r="I2360" s="5"/>
      <c r="J2360" s="4"/>
      <c r="K2360" s="5"/>
      <c r="L2360" s="6"/>
      <c r="M2360" s="5" t="str">
        <f aca="false">IF(AND(N(K2360)&gt;0,N(L2360)&gt;0),K2360/L2360,"")</f>
        <v/>
      </c>
      <c r="N2360" s="2" t="s">
        <v>1226</v>
      </c>
    </row>
    <row r="2361" customFormat="false" ht="15" hidden="false" customHeight="false" outlineLevel="0" collapsed="false">
      <c r="A2361" s="2" t="n">
        <v>2360</v>
      </c>
      <c r="B2361" s="2" t="s">
        <v>4998</v>
      </c>
      <c r="C2361" s="2" t="s">
        <v>4999</v>
      </c>
      <c r="D2361" s="2"/>
      <c r="E2361" s="2" t="s">
        <v>1345</v>
      </c>
      <c r="F2361" s="3" t="n">
        <v>4.8E-005</v>
      </c>
      <c r="G2361" s="3" t="n">
        <f aca="false">SUM($F$2:F2361)</f>
        <v>0.952688</v>
      </c>
      <c r="H2361" s="4"/>
      <c r="I2361" s="5"/>
      <c r="J2361" s="4"/>
      <c r="K2361" s="5"/>
      <c r="L2361" s="6"/>
      <c r="M2361" s="5" t="str">
        <f aca="false">IF(AND(N(K2361)&gt;0,N(L2361)&gt;0),K2361/L2361,"")</f>
        <v/>
      </c>
      <c r="N2361" s="2" t="s">
        <v>1226</v>
      </c>
    </row>
    <row r="2362" customFormat="false" ht="15" hidden="false" customHeight="false" outlineLevel="0" collapsed="false">
      <c r="A2362" s="2" t="n">
        <v>2361</v>
      </c>
      <c r="B2362" s="2" t="s">
        <v>5000</v>
      </c>
      <c r="C2362" s="2" t="s">
        <v>5001</v>
      </c>
      <c r="D2362" s="2"/>
      <c r="E2362" s="2" t="s">
        <v>25</v>
      </c>
      <c r="F2362" s="3" t="n">
        <v>4.8E-005</v>
      </c>
      <c r="G2362" s="3" t="n">
        <f aca="false">SUM($F$2:F2362)</f>
        <v>0.952736</v>
      </c>
      <c r="H2362" s="4"/>
      <c r="I2362" s="5"/>
      <c r="J2362" s="4"/>
      <c r="K2362" s="5"/>
      <c r="L2362" s="6"/>
      <c r="M2362" s="5" t="str">
        <f aca="false">IF(AND(N(K2362)&gt;0,N(L2362)&gt;0),K2362/L2362,"")</f>
        <v/>
      </c>
      <c r="N2362" s="2" t="s">
        <v>1226</v>
      </c>
    </row>
    <row r="2363" customFormat="false" ht="15" hidden="false" customHeight="false" outlineLevel="0" collapsed="false">
      <c r="A2363" s="2" t="n">
        <v>2362</v>
      </c>
      <c r="B2363" s="2" t="s">
        <v>5002</v>
      </c>
      <c r="C2363" s="2" t="s">
        <v>5003</v>
      </c>
      <c r="D2363" s="2"/>
      <c r="E2363" s="2" t="s">
        <v>29</v>
      </c>
      <c r="F2363" s="3" t="n">
        <v>4.8E-005</v>
      </c>
      <c r="G2363" s="3" t="n">
        <f aca="false">SUM($F$2:F2363)</f>
        <v>0.952784</v>
      </c>
      <c r="H2363" s="4"/>
      <c r="I2363" s="5"/>
      <c r="J2363" s="4"/>
      <c r="K2363" s="5"/>
      <c r="L2363" s="6"/>
      <c r="M2363" s="5" t="str">
        <f aca="false">IF(AND(N(K2363)&gt;0,N(L2363)&gt;0),K2363/L2363,"")</f>
        <v/>
      </c>
      <c r="N2363" s="2" t="s">
        <v>1226</v>
      </c>
    </row>
    <row r="2364" customFormat="false" ht="15" hidden="false" customHeight="false" outlineLevel="0" collapsed="false">
      <c r="A2364" s="2" t="n">
        <v>2363</v>
      </c>
      <c r="B2364" s="2" t="s">
        <v>5004</v>
      </c>
      <c r="C2364" s="2" t="s">
        <v>5005</v>
      </c>
      <c r="D2364" s="2"/>
      <c r="E2364" s="2" t="s">
        <v>826</v>
      </c>
      <c r="F2364" s="3" t="n">
        <v>4.8E-005</v>
      </c>
      <c r="G2364" s="3" t="n">
        <f aca="false">SUM($F$2:F2364)</f>
        <v>0.952832</v>
      </c>
      <c r="H2364" s="4"/>
      <c r="I2364" s="5"/>
      <c r="J2364" s="4"/>
      <c r="K2364" s="5"/>
      <c r="L2364" s="6"/>
      <c r="M2364" s="5" t="str">
        <f aca="false">IF(AND(N(K2364)&gt;0,N(L2364)&gt;0),K2364/L2364,"")</f>
        <v/>
      </c>
      <c r="N2364" s="2" t="s">
        <v>1226</v>
      </c>
    </row>
    <row r="2365" customFormat="false" ht="15" hidden="false" customHeight="false" outlineLevel="0" collapsed="false">
      <c r="A2365" s="2" t="n">
        <v>2364</v>
      </c>
      <c r="B2365" s="2" t="s">
        <v>5006</v>
      </c>
      <c r="C2365" s="2" t="s">
        <v>5007</v>
      </c>
      <c r="D2365" s="2"/>
      <c r="E2365" s="2" t="s">
        <v>38</v>
      </c>
      <c r="F2365" s="3" t="n">
        <v>4.8E-005</v>
      </c>
      <c r="G2365" s="3" t="n">
        <f aca="false">SUM($F$2:F2365)</f>
        <v>0.95288</v>
      </c>
      <c r="H2365" s="4"/>
      <c r="I2365" s="5"/>
      <c r="J2365" s="4"/>
      <c r="K2365" s="5"/>
      <c r="L2365" s="6"/>
      <c r="M2365" s="5" t="str">
        <f aca="false">IF(AND(N(K2365)&gt;0,N(L2365)&gt;0),K2365/L2365,"")</f>
        <v/>
      </c>
      <c r="N2365" s="2" t="s">
        <v>1226</v>
      </c>
    </row>
    <row r="2366" customFormat="false" ht="15" hidden="false" customHeight="false" outlineLevel="0" collapsed="false">
      <c r="A2366" s="2" t="n">
        <v>2365</v>
      </c>
      <c r="B2366" s="2" t="s">
        <v>5008</v>
      </c>
      <c r="C2366" s="2" t="s">
        <v>5009</v>
      </c>
      <c r="D2366" s="2"/>
      <c r="E2366" s="2" t="s">
        <v>1345</v>
      </c>
      <c r="F2366" s="3" t="n">
        <v>4.8E-005</v>
      </c>
      <c r="G2366" s="3" t="n">
        <f aca="false">SUM($F$2:F2366)</f>
        <v>0.952928</v>
      </c>
      <c r="H2366" s="4"/>
      <c r="I2366" s="5"/>
      <c r="J2366" s="4"/>
      <c r="K2366" s="5"/>
      <c r="L2366" s="6"/>
      <c r="M2366" s="5" t="str">
        <f aca="false">IF(AND(N(K2366)&gt;0,N(L2366)&gt;0),K2366/L2366,"")</f>
        <v/>
      </c>
      <c r="N2366" s="2" t="s">
        <v>1226</v>
      </c>
    </row>
    <row r="2367" customFormat="false" ht="15" hidden="false" customHeight="false" outlineLevel="0" collapsed="false">
      <c r="A2367" s="2" t="n">
        <v>2366</v>
      </c>
      <c r="B2367" s="2" t="s">
        <v>5010</v>
      </c>
      <c r="C2367" s="2" t="s">
        <v>5011</v>
      </c>
      <c r="D2367" s="2"/>
      <c r="E2367" s="2" t="s">
        <v>1345</v>
      </c>
      <c r="F2367" s="3" t="n">
        <v>4.8E-005</v>
      </c>
      <c r="G2367" s="3" t="n">
        <f aca="false">SUM($F$2:F2367)</f>
        <v>0.952976</v>
      </c>
      <c r="H2367" s="4"/>
      <c r="I2367" s="5"/>
      <c r="J2367" s="4"/>
      <c r="K2367" s="5"/>
      <c r="L2367" s="6"/>
      <c r="M2367" s="5" t="str">
        <f aca="false">IF(AND(N(K2367)&gt;0,N(L2367)&gt;0),K2367/L2367,"")</f>
        <v/>
      </c>
      <c r="N2367" s="2" t="s">
        <v>1226</v>
      </c>
    </row>
    <row r="2368" customFormat="false" ht="15" hidden="false" customHeight="false" outlineLevel="0" collapsed="false">
      <c r="A2368" s="2" t="n">
        <v>2367</v>
      </c>
      <c r="B2368" s="2" t="s">
        <v>5012</v>
      </c>
      <c r="C2368" s="2" t="s">
        <v>5013</v>
      </c>
      <c r="D2368" s="2"/>
      <c r="E2368" s="2" t="s">
        <v>21</v>
      </c>
      <c r="F2368" s="3" t="n">
        <v>4.8E-005</v>
      </c>
      <c r="G2368" s="3" t="n">
        <f aca="false">SUM($F$2:F2368)</f>
        <v>0.953024</v>
      </c>
      <c r="H2368" s="4"/>
      <c r="I2368" s="5"/>
      <c r="J2368" s="4"/>
      <c r="K2368" s="5"/>
      <c r="L2368" s="6"/>
      <c r="M2368" s="5" t="str">
        <f aca="false">IF(AND(N(K2368)&gt;0,N(L2368)&gt;0),K2368/L2368,"")</f>
        <v/>
      </c>
      <c r="N2368" s="2" t="s">
        <v>1226</v>
      </c>
    </row>
    <row r="2369" customFormat="false" ht="15" hidden="false" customHeight="false" outlineLevel="0" collapsed="false">
      <c r="A2369" s="2" t="n">
        <v>2368</v>
      </c>
      <c r="B2369" s="2" t="s">
        <v>5014</v>
      </c>
      <c r="C2369" s="2" t="s">
        <v>5015</v>
      </c>
      <c r="D2369" s="2"/>
      <c r="E2369" s="2" t="s">
        <v>52</v>
      </c>
      <c r="F2369" s="3" t="n">
        <v>4.7E-005</v>
      </c>
      <c r="G2369" s="3" t="n">
        <f aca="false">SUM($F$2:F2369)</f>
        <v>0.953071</v>
      </c>
      <c r="H2369" s="4"/>
      <c r="I2369" s="5"/>
      <c r="J2369" s="4"/>
      <c r="K2369" s="5"/>
      <c r="L2369" s="6"/>
      <c r="M2369" s="5" t="str">
        <f aca="false">IF(AND(N(K2369)&gt;0,N(L2369)&gt;0),K2369/L2369,"")</f>
        <v/>
      </c>
      <c r="N2369" s="2" t="s">
        <v>1226</v>
      </c>
    </row>
    <row r="2370" customFormat="false" ht="15" hidden="false" customHeight="false" outlineLevel="0" collapsed="false">
      <c r="A2370" s="2" t="n">
        <v>2369</v>
      </c>
      <c r="B2370" s="2" t="s">
        <v>5016</v>
      </c>
      <c r="C2370" s="2" t="s">
        <v>5017</v>
      </c>
      <c r="D2370" s="2"/>
      <c r="E2370" s="2" t="s">
        <v>43</v>
      </c>
      <c r="F2370" s="3" t="n">
        <v>4.7E-005</v>
      </c>
      <c r="G2370" s="3" t="n">
        <f aca="false">SUM($F$2:F2370)</f>
        <v>0.953118</v>
      </c>
      <c r="H2370" s="4"/>
      <c r="I2370" s="5"/>
      <c r="J2370" s="4"/>
      <c r="K2370" s="5"/>
      <c r="L2370" s="6"/>
      <c r="M2370" s="5" t="str">
        <f aca="false">IF(AND(N(K2370)&gt;0,N(L2370)&gt;0),K2370/L2370,"")</f>
        <v/>
      </c>
      <c r="N2370" s="2" t="s">
        <v>1226</v>
      </c>
    </row>
    <row r="2371" customFormat="false" ht="15" hidden="false" customHeight="false" outlineLevel="0" collapsed="false">
      <c r="A2371" s="2" t="n">
        <v>2370</v>
      </c>
      <c r="B2371" s="2" t="s">
        <v>5018</v>
      </c>
      <c r="C2371" s="2" t="s">
        <v>5019</v>
      </c>
      <c r="D2371" s="2"/>
      <c r="E2371" s="2" t="s">
        <v>82</v>
      </c>
      <c r="F2371" s="3" t="n">
        <v>4.7E-005</v>
      </c>
      <c r="G2371" s="3" t="n">
        <f aca="false">SUM($F$2:F2371)</f>
        <v>0.953165</v>
      </c>
      <c r="H2371" s="4"/>
      <c r="I2371" s="5"/>
      <c r="J2371" s="4"/>
      <c r="K2371" s="5"/>
      <c r="L2371" s="6"/>
      <c r="M2371" s="5" t="str">
        <f aca="false">IF(AND(N(K2371)&gt;0,N(L2371)&gt;0),K2371/L2371,"")</f>
        <v/>
      </c>
      <c r="N2371" s="2" t="s">
        <v>1226</v>
      </c>
    </row>
    <row r="2372" customFormat="false" ht="15" hidden="false" customHeight="false" outlineLevel="0" collapsed="false">
      <c r="A2372" s="2" t="n">
        <v>2371</v>
      </c>
      <c r="B2372" s="2" t="s">
        <v>5020</v>
      </c>
      <c r="C2372" s="2" t="s">
        <v>5021</v>
      </c>
      <c r="D2372" s="2"/>
      <c r="E2372" s="2" t="s">
        <v>25</v>
      </c>
      <c r="F2372" s="3" t="n">
        <v>4.7E-005</v>
      </c>
      <c r="G2372" s="3" t="n">
        <f aca="false">SUM($F$2:F2372)</f>
        <v>0.953212</v>
      </c>
      <c r="H2372" s="4"/>
      <c r="I2372" s="5"/>
      <c r="J2372" s="4"/>
      <c r="K2372" s="5"/>
      <c r="L2372" s="6"/>
      <c r="M2372" s="5" t="str">
        <f aca="false">IF(AND(N(K2372)&gt;0,N(L2372)&gt;0),K2372/L2372,"")</f>
        <v/>
      </c>
      <c r="N2372" s="2" t="s">
        <v>1226</v>
      </c>
    </row>
    <row r="2373" customFormat="false" ht="15" hidden="false" customHeight="false" outlineLevel="0" collapsed="false">
      <c r="A2373" s="2" t="n">
        <v>2372</v>
      </c>
      <c r="B2373" s="2" t="s">
        <v>5022</v>
      </c>
      <c r="C2373" s="2" t="s">
        <v>5023</v>
      </c>
      <c r="D2373" s="2"/>
      <c r="E2373" s="2" t="s">
        <v>289</v>
      </c>
      <c r="F2373" s="3" t="n">
        <v>4.7E-005</v>
      </c>
      <c r="G2373" s="3" t="n">
        <f aca="false">SUM($F$2:F2373)</f>
        <v>0.953259</v>
      </c>
      <c r="H2373" s="4"/>
      <c r="I2373" s="5"/>
      <c r="J2373" s="4"/>
      <c r="K2373" s="5"/>
      <c r="L2373" s="6"/>
      <c r="M2373" s="5" t="str">
        <f aca="false">IF(AND(N(K2373)&gt;0,N(L2373)&gt;0),K2373/L2373,"")</f>
        <v/>
      </c>
      <c r="N2373" s="2" t="s">
        <v>1226</v>
      </c>
    </row>
    <row r="2374" customFormat="false" ht="15" hidden="false" customHeight="false" outlineLevel="0" collapsed="false">
      <c r="A2374" s="2" t="n">
        <v>2373</v>
      </c>
      <c r="B2374" s="2" t="s">
        <v>5024</v>
      </c>
      <c r="C2374" s="2" t="s">
        <v>5025</v>
      </c>
      <c r="D2374" s="2"/>
      <c r="E2374" s="2" t="s">
        <v>1284</v>
      </c>
      <c r="F2374" s="3" t="n">
        <v>4.7E-005</v>
      </c>
      <c r="G2374" s="3" t="n">
        <f aca="false">SUM($F$2:F2374)</f>
        <v>0.953306</v>
      </c>
      <c r="H2374" s="4"/>
      <c r="I2374" s="5"/>
      <c r="J2374" s="4"/>
      <c r="K2374" s="5"/>
      <c r="L2374" s="6"/>
      <c r="M2374" s="5" t="str">
        <f aca="false">IF(AND(N(K2374)&gt;0,N(L2374)&gt;0),K2374/L2374,"")</f>
        <v/>
      </c>
      <c r="N2374" s="2" t="s">
        <v>1226</v>
      </c>
    </row>
    <row r="2375" customFormat="false" ht="15" hidden="false" customHeight="false" outlineLevel="0" collapsed="false">
      <c r="A2375" s="2" t="n">
        <v>2374</v>
      </c>
      <c r="B2375" s="2" t="s">
        <v>5026</v>
      </c>
      <c r="C2375" s="2" t="s">
        <v>5027</v>
      </c>
      <c r="D2375" s="2"/>
      <c r="E2375" s="2" t="s">
        <v>1019</v>
      </c>
      <c r="F2375" s="3" t="n">
        <v>4.7E-005</v>
      </c>
      <c r="G2375" s="3" t="n">
        <f aca="false">SUM($F$2:F2375)</f>
        <v>0.953353</v>
      </c>
      <c r="H2375" s="4"/>
      <c r="I2375" s="5"/>
      <c r="J2375" s="4"/>
      <c r="K2375" s="5"/>
      <c r="L2375" s="6"/>
      <c r="M2375" s="5" t="str">
        <f aca="false">IF(AND(N(K2375)&gt;0,N(L2375)&gt;0),K2375/L2375,"")</f>
        <v/>
      </c>
      <c r="N2375" s="2" t="s">
        <v>1226</v>
      </c>
    </row>
    <row r="2376" customFormat="false" ht="15" hidden="false" customHeight="false" outlineLevel="0" collapsed="false">
      <c r="A2376" s="2" t="n">
        <v>2375</v>
      </c>
      <c r="B2376" s="2" t="s">
        <v>5028</v>
      </c>
      <c r="C2376" s="2" t="s">
        <v>5029</v>
      </c>
      <c r="D2376" s="2"/>
      <c r="E2376" s="2" t="s">
        <v>334</v>
      </c>
      <c r="F2376" s="3" t="n">
        <v>4.7E-005</v>
      </c>
      <c r="G2376" s="3" t="n">
        <f aca="false">SUM($F$2:F2376)</f>
        <v>0.9534</v>
      </c>
      <c r="H2376" s="4"/>
      <c r="I2376" s="5"/>
      <c r="J2376" s="4"/>
      <c r="K2376" s="5"/>
      <c r="L2376" s="6"/>
      <c r="M2376" s="5" t="str">
        <f aca="false">IF(AND(N(K2376)&gt;0,N(L2376)&gt;0),K2376/L2376,"")</f>
        <v/>
      </c>
      <c r="N2376" s="2" t="s">
        <v>1226</v>
      </c>
    </row>
    <row r="2377" customFormat="false" ht="15" hidden="false" customHeight="false" outlineLevel="0" collapsed="false">
      <c r="A2377" s="2" t="n">
        <v>2376</v>
      </c>
      <c r="B2377" s="2" t="s">
        <v>5030</v>
      </c>
      <c r="C2377" s="2" t="s">
        <v>5031</v>
      </c>
      <c r="D2377" s="2"/>
      <c r="E2377" s="2" t="s">
        <v>289</v>
      </c>
      <c r="F2377" s="3" t="n">
        <v>4.7E-005</v>
      </c>
      <c r="G2377" s="3" t="n">
        <f aca="false">SUM($F$2:F2377)</f>
        <v>0.953447</v>
      </c>
      <c r="H2377" s="4"/>
      <c r="I2377" s="5"/>
      <c r="J2377" s="4"/>
      <c r="K2377" s="5"/>
      <c r="L2377" s="6"/>
      <c r="M2377" s="5" t="str">
        <f aca="false">IF(AND(N(K2377)&gt;0,N(L2377)&gt;0),K2377/L2377,"")</f>
        <v/>
      </c>
      <c r="N2377" s="2" t="s">
        <v>1226</v>
      </c>
    </row>
    <row r="2378" customFormat="false" ht="15" hidden="false" customHeight="false" outlineLevel="0" collapsed="false">
      <c r="A2378" s="2" t="n">
        <v>2377</v>
      </c>
      <c r="B2378" s="2" t="s">
        <v>5032</v>
      </c>
      <c r="C2378" s="2" t="s">
        <v>5033</v>
      </c>
      <c r="D2378" s="2"/>
      <c r="E2378" s="2" t="s">
        <v>21</v>
      </c>
      <c r="F2378" s="3" t="n">
        <v>4.7E-005</v>
      </c>
      <c r="G2378" s="3" t="n">
        <f aca="false">SUM($F$2:F2378)</f>
        <v>0.953494</v>
      </c>
      <c r="H2378" s="4"/>
      <c r="I2378" s="5"/>
      <c r="J2378" s="4"/>
      <c r="K2378" s="5"/>
      <c r="L2378" s="6"/>
      <c r="M2378" s="5" t="str">
        <f aca="false">IF(AND(N(K2378)&gt;0,N(L2378)&gt;0),K2378/L2378,"")</f>
        <v/>
      </c>
      <c r="N2378" s="2" t="s">
        <v>1226</v>
      </c>
    </row>
    <row r="2379" customFormat="false" ht="15" hidden="false" customHeight="false" outlineLevel="0" collapsed="false">
      <c r="A2379" s="2" t="n">
        <v>2378</v>
      </c>
      <c r="B2379" s="2" t="s">
        <v>5034</v>
      </c>
      <c r="C2379" s="2" t="s">
        <v>5035</v>
      </c>
      <c r="D2379" s="2"/>
      <c r="E2379" s="2" t="s">
        <v>167</v>
      </c>
      <c r="F2379" s="3" t="n">
        <v>4.7E-005</v>
      </c>
      <c r="G2379" s="3" t="n">
        <f aca="false">SUM($F$2:F2379)</f>
        <v>0.953541</v>
      </c>
      <c r="H2379" s="4"/>
      <c r="I2379" s="5"/>
      <c r="J2379" s="4"/>
      <c r="K2379" s="5"/>
      <c r="L2379" s="6"/>
      <c r="M2379" s="5" t="str">
        <f aca="false">IF(AND(N(K2379)&gt;0,N(L2379)&gt;0),K2379/L2379,"")</f>
        <v/>
      </c>
      <c r="N2379" s="2" t="s">
        <v>1226</v>
      </c>
    </row>
    <row r="2380" customFormat="false" ht="15" hidden="false" customHeight="false" outlineLevel="0" collapsed="false">
      <c r="A2380" s="2" t="n">
        <v>2379</v>
      </c>
      <c r="B2380" s="2" t="s">
        <v>5036</v>
      </c>
      <c r="C2380" s="2" t="s">
        <v>5037</v>
      </c>
      <c r="D2380" s="2"/>
      <c r="E2380" s="2" t="s">
        <v>33</v>
      </c>
      <c r="F2380" s="3" t="n">
        <v>4.7E-005</v>
      </c>
      <c r="G2380" s="3" t="n">
        <f aca="false">SUM($F$2:F2380)</f>
        <v>0.953588</v>
      </c>
      <c r="H2380" s="4"/>
      <c r="I2380" s="5"/>
      <c r="J2380" s="4"/>
      <c r="K2380" s="5"/>
      <c r="L2380" s="6"/>
      <c r="M2380" s="5" t="str">
        <f aca="false">IF(AND(N(K2380)&gt;0,N(L2380)&gt;0),K2380/L2380,"")</f>
        <v/>
      </c>
      <c r="N2380" s="2" t="s">
        <v>1226</v>
      </c>
    </row>
    <row r="2381" customFormat="false" ht="15" hidden="false" customHeight="false" outlineLevel="0" collapsed="false">
      <c r="A2381" s="2" t="n">
        <v>2380</v>
      </c>
      <c r="B2381" s="2" t="s">
        <v>5038</v>
      </c>
      <c r="C2381" s="2" t="s">
        <v>5039</v>
      </c>
      <c r="D2381" s="2"/>
      <c r="E2381" s="2" t="s">
        <v>17</v>
      </c>
      <c r="F2381" s="3" t="n">
        <v>4.7E-005</v>
      </c>
      <c r="G2381" s="3" t="n">
        <f aca="false">SUM($F$2:F2381)</f>
        <v>0.953635</v>
      </c>
      <c r="H2381" s="4"/>
      <c r="I2381" s="5"/>
      <c r="J2381" s="4"/>
      <c r="K2381" s="5"/>
      <c r="L2381" s="6"/>
      <c r="M2381" s="5" t="str">
        <f aca="false">IF(AND(N(K2381)&gt;0,N(L2381)&gt;0),K2381/L2381,"")</f>
        <v/>
      </c>
      <c r="N2381" s="2" t="s">
        <v>1226</v>
      </c>
    </row>
    <row r="2382" customFormat="false" ht="15" hidden="false" customHeight="false" outlineLevel="0" collapsed="false">
      <c r="A2382" s="2" t="n">
        <v>2381</v>
      </c>
      <c r="B2382" s="2" t="s">
        <v>2179</v>
      </c>
      <c r="C2382" s="2" t="s">
        <v>5040</v>
      </c>
      <c r="D2382" s="2"/>
      <c r="E2382" s="2" t="s">
        <v>52</v>
      </c>
      <c r="F2382" s="3" t="n">
        <v>4.7E-005</v>
      </c>
      <c r="G2382" s="3" t="n">
        <f aca="false">SUM($F$2:F2382)</f>
        <v>0.953682</v>
      </c>
      <c r="H2382" s="4"/>
      <c r="I2382" s="5"/>
      <c r="J2382" s="4"/>
      <c r="K2382" s="5"/>
      <c r="L2382" s="6"/>
      <c r="M2382" s="5" t="str">
        <f aca="false">IF(AND(N(K2382)&gt;0,N(L2382)&gt;0),K2382/L2382,"")</f>
        <v/>
      </c>
      <c r="N2382" s="2" t="s">
        <v>1226</v>
      </c>
    </row>
    <row r="2383" customFormat="false" ht="15" hidden="false" customHeight="false" outlineLevel="0" collapsed="false">
      <c r="A2383" s="2" t="n">
        <v>2382</v>
      </c>
      <c r="B2383" s="2" t="s">
        <v>5041</v>
      </c>
      <c r="C2383" s="2" t="s">
        <v>5042</v>
      </c>
      <c r="D2383" s="2"/>
      <c r="E2383" s="2" t="s">
        <v>43</v>
      </c>
      <c r="F2383" s="3" t="n">
        <v>4.7E-005</v>
      </c>
      <c r="G2383" s="3" t="n">
        <f aca="false">SUM($F$2:F2383)</f>
        <v>0.953729</v>
      </c>
      <c r="H2383" s="4"/>
      <c r="I2383" s="5"/>
      <c r="J2383" s="4"/>
      <c r="K2383" s="5"/>
      <c r="L2383" s="6"/>
      <c r="M2383" s="5" t="str">
        <f aca="false">IF(AND(N(K2383)&gt;0,N(L2383)&gt;0),K2383/L2383,"")</f>
        <v/>
      </c>
      <c r="N2383" s="2" t="s">
        <v>1226</v>
      </c>
    </row>
    <row r="2384" customFormat="false" ht="15" hidden="false" customHeight="false" outlineLevel="0" collapsed="false">
      <c r="A2384" s="2" t="n">
        <v>2383</v>
      </c>
      <c r="B2384" s="2" t="s">
        <v>5043</v>
      </c>
      <c r="C2384" s="2" t="s">
        <v>5044</v>
      </c>
      <c r="D2384" s="2"/>
      <c r="E2384" s="2" t="s">
        <v>17</v>
      </c>
      <c r="F2384" s="3" t="n">
        <v>4.7E-005</v>
      </c>
      <c r="G2384" s="3" t="n">
        <f aca="false">SUM($F$2:F2384)</f>
        <v>0.953776</v>
      </c>
      <c r="H2384" s="4"/>
      <c r="I2384" s="5"/>
      <c r="J2384" s="4"/>
      <c r="K2384" s="5"/>
      <c r="L2384" s="6"/>
      <c r="M2384" s="5" t="str">
        <f aca="false">IF(AND(N(K2384)&gt;0,N(L2384)&gt;0),K2384/L2384,"")</f>
        <v/>
      </c>
      <c r="N2384" s="2" t="s">
        <v>1226</v>
      </c>
    </row>
    <row r="2385" customFormat="false" ht="15" hidden="false" customHeight="false" outlineLevel="0" collapsed="false">
      <c r="A2385" s="2" t="n">
        <v>2384</v>
      </c>
      <c r="B2385" s="2" t="s">
        <v>5045</v>
      </c>
      <c r="C2385" s="2" t="s">
        <v>5046</v>
      </c>
      <c r="D2385" s="2"/>
      <c r="E2385" s="2" t="s">
        <v>2264</v>
      </c>
      <c r="F2385" s="3" t="n">
        <v>4.7E-005</v>
      </c>
      <c r="G2385" s="3" t="n">
        <f aca="false">SUM($F$2:F2385)</f>
        <v>0.953823</v>
      </c>
      <c r="H2385" s="4"/>
      <c r="I2385" s="5"/>
      <c r="J2385" s="4"/>
      <c r="K2385" s="5"/>
      <c r="L2385" s="6"/>
      <c r="M2385" s="5" t="str">
        <f aca="false">IF(AND(N(K2385)&gt;0,N(L2385)&gt;0),K2385/L2385,"")</f>
        <v/>
      </c>
      <c r="N2385" s="2" t="s">
        <v>1226</v>
      </c>
    </row>
    <row r="2386" customFormat="false" ht="15" hidden="false" customHeight="false" outlineLevel="0" collapsed="false">
      <c r="A2386" s="2" t="n">
        <v>2385</v>
      </c>
      <c r="B2386" s="2" t="s">
        <v>5047</v>
      </c>
      <c r="C2386" s="2" t="s">
        <v>5048</v>
      </c>
      <c r="D2386" s="2"/>
      <c r="E2386" s="2" t="s">
        <v>43</v>
      </c>
      <c r="F2386" s="3" t="n">
        <v>4.7E-005</v>
      </c>
      <c r="G2386" s="3" t="n">
        <f aca="false">SUM($F$2:F2386)</f>
        <v>0.95387</v>
      </c>
      <c r="H2386" s="4"/>
      <c r="I2386" s="5"/>
      <c r="J2386" s="4"/>
      <c r="K2386" s="5"/>
      <c r="L2386" s="6"/>
      <c r="M2386" s="5" t="str">
        <f aca="false">IF(AND(N(K2386)&gt;0,N(L2386)&gt;0),K2386/L2386,"")</f>
        <v/>
      </c>
      <c r="N2386" s="2" t="s">
        <v>1226</v>
      </c>
    </row>
    <row r="2387" customFormat="false" ht="15" hidden="false" customHeight="false" outlineLevel="0" collapsed="false">
      <c r="A2387" s="2" t="n">
        <v>2386</v>
      </c>
      <c r="B2387" s="2" t="s">
        <v>5049</v>
      </c>
      <c r="C2387" s="2" t="s">
        <v>5050</v>
      </c>
      <c r="D2387" s="2"/>
      <c r="E2387" s="2" t="s">
        <v>52</v>
      </c>
      <c r="F2387" s="3" t="n">
        <v>4.7E-005</v>
      </c>
      <c r="G2387" s="3" t="n">
        <f aca="false">SUM($F$2:F2387)</f>
        <v>0.953917</v>
      </c>
      <c r="H2387" s="4"/>
      <c r="I2387" s="5"/>
      <c r="J2387" s="4"/>
      <c r="K2387" s="5"/>
      <c r="L2387" s="6"/>
      <c r="M2387" s="5" t="str">
        <f aca="false">IF(AND(N(K2387)&gt;0,N(L2387)&gt;0),K2387/L2387,"")</f>
        <v/>
      </c>
      <c r="N2387" s="2" t="s">
        <v>1226</v>
      </c>
    </row>
    <row r="2388" customFormat="false" ht="15" hidden="false" customHeight="false" outlineLevel="0" collapsed="false">
      <c r="A2388" s="2" t="n">
        <v>2387</v>
      </c>
      <c r="B2388" s="2" t="s">
        <v>5051</v>
      </c>
      <c r="C2388" s="2" t="s">
        <v>5052</v>
      </c>
      <c r="D2388" s="2"/>
      <c r="E2388" s="2" t="s">
        <v>539</v>
      </c>
      <c r="F2388" s="3" t="n">
        <v>4.7E-005</v>
      </c>
      <c r="G2388" s="3" t="n">
        <f aca="false">SUM($F$2:F2388)</f>
        <v>0.953964</v>
      </c>
      <c r="H2388" s="4"/>
      <c r="I2388" s="5"/>
      <c r="J2388" s="4"/>
      <c r="K2388" s="5"/>
      <c r="L2388" s="6"/>
      <c r="M2388" s="5" t="str">
        <f aca="false">IF(AND(N(K2388)&gt;0,N(L2388)&gt;0),K2388/L2388,"")</f>
        <v/>
      </c>
      <c r="N2388" s="2" t="s">
        <v>1226</v>
      </c>
    </row>
    <row r="2389" customFormat="false" ht="15" hidden="false" customHeight="false" outlineLevel="0" collapsed="false">
      <c r="A2389" s="2" t="n">
        <v>2388</v>
      </c>
      <c r="B2389" s="2" t="s">
        <v>5053</v>
      </c>
      <c r="C2389" s="2" t="s">
        <v>5054</v>
      </c>
      <c r="D2389" s="2"/>
      <c r="E2389" s="2" t="s">
        <v>1345</v>
      </c>
      <c r="F2389" s="3" t="n">
        <v>4.7E-005</v>
      </c>
      <c r="G2389" s="3" t="n">
        <f aca="false">SUM($F$2:F2389)</f>
        <v>0.954011</v>
      </c>
      <c r="H2389" s="4"/>
      <c r="I2389" s="5"/>
      <c r="J2389" s="4"/>
      <c r="K2389" s="5"/>
      <c r="L2389" s="6"/>
      <c r="M2389" s="5" t="str">
        <f aca="false">IF(AND(N(K2389)&gt;0,N(L2389)&gt;0),K2389/L2389,"")</f>
        <v/>
      </c>
      <c r="N2389" s="2" t="s">
        <v>1226</v>
      </c>
    </row>
    <row r="2390" customFormat="false" ht="15" hidden="false" customHeight="false" outlineLevel="0" collapsed="false">
      <c r="A2390" s="2" t="n">
        <v>2389</v>
      </c>
      <c r="B2390" s="2" t="s">
        <v>5055</v>
      </c>
      <c r="C2390" s="2" t="s">
        <v>5056</v>
      </c>
      <c r="D2390" s="2"/>
      <c r="E2390" s="2" t="s">
        <v>1245</v>
      </c>
      <c r="F2390" s="3" t="n">
        <v>4.7E-005</v>
      </c>
      <c r="G2390" s="3" t="n">
        <f aca="false">SUM($F$2:F2390)</f>
        <v>0.954058</v>
      </c>
      <c r="H2390" s="4"/>
      <c r="I2390" s="5"/>
      <c r="J2390" s="4"/>
      <c r="K2390" s="5"/>
      <c r="L2390" s="6"/>
      <c r="M2390" s="5" t="str">
        <f aca="false">IF(AND(N(K2390)&gt;0,N(L2390)&gt;0),K2390/L2390,"")</f>
        <v/>
      </c>
      <c r="N2390" s="2" t="s">
        <v>1226</v>
      </c>
    </row>
    <row r="2391" customFormat="false" ht="15" hidden="false" customHeight="false" outlineLevel="0" collapsed="false">
      <c r="A2391" s="2" t="n">
        <v>2390</v>
      </c>
      <c r="B2391" s="2" t="s">
        <v>5057</v>
      </c>
      <c r="C2391" s="2" t="s">
        <v>5058</v>
      </c>
      <c r="D2391" s="2"/>
      <c r="E2391" s="2" t="s">
        <v>173</v>
      </c>
      <c r="F2391" s="3" t="n">
        <v>4.7E-005</v>
      </c>
      <c r="G2391" s="3" t="n">
        <f aca="false">SUM($F$2:F2391)</f>
        <v>0.954105</v>
      </c>
      <c r="H2391" s="4"/>
      <c r="I2391" s="5"/>
      <c r="J2391" s="4"/>
      <c r="K2391" s="5"/>
      <c r="L2391" s="6"/>
      <c r="M2391" s="5" t="str">
        <f aca="false">IF(AND(N(K2391)&gt;0,N(L2391)&gt;0),K2391/L2391,"")</f>
        <v/>
      </c>
      <c r="N2391" s="2" t="s">
        <v>1226</v>
      </c>
    </row>
    <row r="2392" customFormat="false" ht="15" hidden="false" customHeight="false" outlineLevel="0" collapsed="false">
      <c r="A2392" s="2" t="n">
        <v>2391</v>
      </c>
      <c r="B2392" s="2" t="s">
        <v>5059</v>
      </c>
      <c r="C2392" s="2" t="s">
        <v>5060</v>
      </c>
      <c r="D2392" s="2"/>
      <c r="E2392" s="2" t="s">
        <v>25</v>
      </c>
      <c r="F2392" s="3" t="n">
        <v>4.7E-005</v>
      </c>
      <c r="G2392" s="3" t="n">
        <f aca="false">SUM($F$2:F2392)</f>
        <v>0.954152</v>
      </c>
      <c r="H2392" s="4"/>
      <c r="I2392" s="5"/>
      <c r="J2392" s="4"/>
      <c r="K2392" s="5"/>
      <c r="L2392" s="6"/>
      <c r="M2392" s="5" t="str">
        <f aca="false">IF(AND(N(K2392)&gt;0,N(L2392)&gt;0),K2392/L2392,"")</f>
        <v/>
      </c>
      <c r="N2392" s="2" t="s">
        <v>1226</v>
      </c>
    </row>
    <row r="2393" customFormat="false" ht="15" hidden="false" customHeight="false" outlineLevel="0" collapsed="false">
      <c r="A2393" s="2" t="n">
        <v>2392</v>
      </c>
      <c r="B2393" s="2" t="s">
        <v>5061</v>
      </c>
      <c r="C2393" s="2" t="s">
        <v>5062</v>
      </c>
      <c r="D2393" s="2"/>
      <c r="E2393" s="2" t="s">
        <v>43</v>
      </c>
      <c r="F2393" s="3" t="n">
        <v>4.7E-005</v>
      </c>
      <c r="G2393" s="3" t="n">
        <f aca="false">SUM($F$2:F2393)</f>
        <v>0.954199</v>
      </c>
      <c r="H2393" s="4"/>
      <c r="I2393" s="5"/>
      <c r="J2393" s="4"/>
      <c r="K2393" s="5"/>
      <c r="L2393" s="6"/>
      <c r="M2393" s="5" t="str">
        <f aca="false">IF(AND(N(K2393)&gt;0,N(L2393)&gt;0),K2393/L2393,"")</f>
        <v/>
      </c>
      <c r="N2393" s="2" t="s">
        <v>1226</v>
      </c>
    </row>
    <row r="2394" customFormat="false" ht="15" hidden="false" customHeight="false" outlineLevel="0" collapsed="false">
      <c r="A2394" s="2" t="n">
        <v>2393</v>
      </c>
      <c r="B2394" s="2" t="s">
        <v>5063</v>
      </c>
      <c r="C2394" s="2" t="s">
        <v>5064</v>
      </c>
      <c r="D2394" s="2"/>
      <c r="E2394" s="2" t="s">
        <v>1345</v>
      </c>
      <c r="F2394" s="3" t="n">
        <v>4.7E-005</v>
      </c>
      <c r="G2394" s="3" t="n">
        <f aca="false">SUM($F$2:F2394)</f>
        <v>0.954246</v>
      </c>
      <c r="H2394" s="4"/>
      <c r="I2394" s="5"/>
      <c r="J2394" s="4"/>
      <c r="K2394" s="5"/>
      <c r="L2394" s="6"/>
      <c r="M2394" s="5" t="str">
        <f aca="false">IF(AND(N(K2394)&gt;0,N(L2394)&gt;0),K2394/L2394,"")</f>
        <v/>
      </c>
      <c r="N2394" s="2" t="s">
        <v>1226</v>
      </c>
    </row>
    <row r="2395" customFormat="false" ht="15" hidden="false" customHeight="false" outlineLevel="0" collapsed="false">
      <c r="A2395" s="2" t="n">
        <v>2394</v>
      </c>
      <c r="B2395" s="2" t="s">
        <v>5065</v>
      </c>
      <c r="C2395" s="2" t="s">
        <v>5066</v>
      </c>
      <c r="D2395" s="2"/>
      <c r="E2395" s="2" t="s">
        <v>52</v>
      </c>
      <c r="F2395" s="3" t="n">
        <v>4.7E-005</v>
      </c>
      <c r="G2395" s="3" t="n">
        <f aca="false">SUM($F$2:F2395)</f>
        <v>0.954293</v>
      </c>
      <c r="H2395" s="4"/>
      <c r="I2395" s="5"/>
      <c r="J2395" s="4"/>
      <c r="K2395" s="5"/>
      <c r="L2395" s="6"/>
      <c r="M2395" s="5" t="str">
        <f aca="false">IF(AND(N(K2395)&gt;0,N(L2395)&gt;0),K2395/L2395,"")</f>
        <v/>
      </c>
      <c r="N2395" s="2" t="s">
        <v>1226</v>
      </c>
    </row>
    <row r="2396" customFormat="false" ht="15" hidden="false" customHeight="false" outlineLevel="0" collapsed="false">
      <c r="A2396" s="2" t="n">
        <v>2395</v>
      </c>
      <c r="B2396" s="2" t="s">
        <v>5067</v>
      </c>
      <c r="C2396" s="2" t="s">
        <v>5068</v>
      </c>
      <c r="D2396" s="2"/>
      <c r="E2396" s="2" t="s">
        <v>29</v>
      </c>
      <c r="F2396" s="3" t="n">
        <v>4.7E-005</v>
      </c>
      <c r="G2396" s="3" t="n">
        <f aca="false">SUM($F$2:F2396)</f>
        <v>0.95434</v>
      </c>
      <c r="H2396" s="4"/>
      <c r="I2396" s="5"/>
      <c r="J2396" s="4"/>
      <c r="K2396" s="5"/>
      <c r="L2396" s="6"/>
      <c r="M2396" s="5" t="str">
        <f aca="false">IF(AND(N(K2396)&gt;0,N(L2396)&gt;0),K2396/L2396,"")</f>
        <v/>
      </c>
      <c r="N2396" s="2" t="s">
        <v>1226</v>
      </c>
    </row>
    <row r="2397" customFormat="false" ht="15" hidden="false" customHeight="false" outlineLevel="0" collapsed="false">
      <c r="A2397" s="2" t="n">
        <v>2396</v>
      </c>
      <c r="B2397" s="2" t="s">
        <v>5069</v>
      </c>
      <c r="C2397" s="2" t="s">
        <v>5070</v>
      </c>
      <c r="D2397" s="2"/>
      <c r="E2397" s="2" t="s">
        <v>29</v>
      </c>
      <c r="F2397" s="3" t="n">
        <v>4.7E-005</v>
      </c>
      <c r="G2397" s="3" t="n">
        <f aca="false">SUM($F$2:F2397)</f>
        <v>0.954387</v>
      </c>
      <c r="H2397" s="4"/>
      <c r="I2397" s="5"/>
      <c r="J2397" s="4"/>
      <c r="K2397" s="5"/>
      <c r="L2397" s="6"/>
      <c r="M2397" s="5" t="str">
        <f aca="false">IF(AND(N(K2397)&gt;0,N(L2397)&gt;0),K2397/L2397,"")</f>
        <v/>
      </c>
      <c r="N2397" s="2" t="s">
        <v>1226</v>
      </c>
    </row>
    <row r="2398" customFormat="false" ht="15" hidden="false" customHeight="false" outlineLevel="0" collapsed="false">
      <c r="A2398" s="2" t="n">
        <v>2397</v>
      </c>
      <c r="B2398" s="2" t="s">
        <v>5071</v>
      </c>
      <c r="C2398" s="2" t="s">
        <v>5072</v>
      </c>
      <c r="D2398" s="2"/>
      <c r="E2398" s="2" t="s">
        <v>1345</v>
      </c>
      <c r="F2398" s="3" t="n">
        <v>4.7E-005</v>
      </c>
      <c r="G2398" s="3" t="n">
        <f aca="false">SUM($F$2:F2398)</f>
        <v>0.954434</v>
      </c>
      <c r="H2398" s="4"/>
      <c r="I2398" s="5"/>
      <c r="J2398" s="4"/>
      <c r="K2398" s="5"/>
      <c r="L2398" s="6"/>
      <c r="M2398" s="5" t="str">
        <f aca="false">IF(AND(N(K2398)&gt;0,N(L2398)&gt;0),K2398/L2398,"")</f>
        <v/>
      </c>
      <c r="N2398" s="2" t="s">
        <v>1226</v>
      </c>
    </row>
    <row r="2399" customFormat="false" ht="15" hidden="false" customHeight="false" outlineLevel="0" collapsed="false">
      <c r="A2399" s="2" t="n">
        <v>2398</v>
      </c>
      <c r="B2399" s="2" t="s">
        <v>5073</v>
      </c>
      <c r="C2399" s="2" t="s">
        <v>5074</v>
      </c>
      <c r="D2399" s="2"/>
      <c r="E2399" s="2" t="s">
        <v>289</v>
      </c>
      <c r="F2399" s="3" t="n">
        <v>4.6E-005</v>
      </c>
      <c r="G2399" s="3" t="n">
        <f aca="false">SUM($F$2:F2399)</f>
        <v>0.95448</v>
      </c>
      <c r="H2399" s="4"/>
      <c r="I2399" s="5"/>
      <c r="J2399" s="4"/>
      <c r="K2399" s="5"/>
      <c r="L2399" s="6"/>
      <c r="M2399" s="5" t="str">
        <f aca="false">IF(AND(N(K2399)&gt;0,N(L2399)&gt;0),K2399/L2399,"")</f>
        <v/>
      </c>
      <c r="N2399" s="2" t="s">
        <v>1226</v>
      </c>
    </row>
    <row r="2400" customFormat="false" ht="15" hidden="false" customHeight="false" outlineLevel="0" collapsed="false">
      <c r="A2400" s="2" t="n">
        <v>2399</v>
      </c>
      <c r="B2400" s="2" t="s">
        <v>5075</v>
      </c>
      <c r="C2400" s="2" t="s">
        <v>5076</v>
      </c>
      <c r="D2400" s="2"/>
      <c r="E2400" s="2" t="s">
        <v>167</v>
      </c>
      <c r="F2400" s="3" t="n">
        <v>4.6E-005</v>
      </c>
      <c r="G2400" s="3" t="n">
        <f aca="false">SUM($F$2:F2400)</f>
        <v>0.954526</v>
      </c>
      <c r="H2400" s="4"/>
      <c r="I2400" s="5"/>
      <c r="J2400" s="4"/>
      <c r="K2400" s="5"/>
      <c r="L2400" s="6"/>
      <c r="M2400" s="5" t="str">
        <f aca="false">IF(AND(N(K2400)&gt;0,N(L2400)&gt;0),K2400/L2400,"")</f>
        <v/>
      </c>
      <c r="N2400" s="2" t="s">
        <v>1226</v>
      </c>
    </row>
    <row r="2401" customFormat="false" ht="15" hidden="false" customHeight="false" outlineLevel="0" collapsed="false">
      <c r="A2401" s="2" t="n">
        <v>2400</v>
      </c>
      <c r="B2401" s="2" t="s">
        <v>301</v>
      </c>
      <c r="C2401" s="2" t="s">
        <v>5077</v>
      </c>
      <c r="D2401" s="2"/>
      <c r="E2401" s="2" t="s">
        <v>679</v>
      </c>
      <c r="F2401" s="3" t="n">
        <v>4.6E-005</v>
      </c>
      <c r="G2401" s="3" t="n">
        <f aca="false">SUM($F$2:F2401)</f>
        <v>0.954572</v>
      </c>
      <c r="H2401" s="4"/>
      <c r="I2401" s="5"/>
      <c r="J2401" s="4"/>
      <c r="K2401" s="5"/>
      <c r="L2401" s="6"/>
      <c r="M2401" s="5" t="str">
        <f aca="false">IF(AND(N(K2401)&gt;0,N(L2401)&gt;0),K2401/L2401,"")</f>
        <v/>
      </c>
      <c r="N2401" s="2" t="s">
        <v>34</v>
      </c>
    </row>
    <row r="2402" customFormat="false" ht="15" hidden="false" customHeight="false" outlineLevel="0" collapsed="false">
      <c r="A2402" s="2" t="n">
        <v>2401</v>
      </c>
      <c r="B2402" s="2" t="s">
        <v>5078</v>
      </c>
      <c r="C2402" s="2" t="s">
        <v>5079</v>
      </c>
      <c r="D2402" s="2"/>
      <c r="E2402" s="2" t="s">
        <v>29</v>
      </c>
      <c r="F2402" s="3" t="n">
        <v>4.6E-005</v>
      </c>
      <c r="G2402" s="3" t="n">
        <f aca="false">SUM($F$2:F2402)</f>
        <v>0.954618</v>
      </c>
      <c r="H2402" s="4"/>
      <c r="I2402" s="5"/>
      <c r="J2402" s="4"/>
      <c r="K2402" s="5"/>
      <c r="L2402" s="6"/>
      <c r="M2402" s="5" t="str">
        <f aca="false">IF(AND(N(K2402)&gt;0,N(L2402)&gt;0),K2402/L2402,"")</f>
        <v/>
      </c>
      <c r="N2402" s="2" t="s">
        <v>1226</v>
      </c>
    </row>
    <row r="2403" customFormat="false" ht="15" hidden="false" customHeight="false" outlineLevel="0" collapsed="false">
      <c r="A2403" s="2" t="n">
        <v>2402</v>
      </c>
      <c r="B2403" s="2" t="s">
        <v>5080</v>
      </c>
      <c r="C2403" s="2" t="s">
        <v>5081</v>
      </c>
      <c r="D2403" s="2"/>
      <c r="E2403" s="2" t="s">
        <v>2055</v>
      </c>
      <c r="F2403" s="3" t="n">
        <v>4.6E-005</v>
      </c>
      <c r="G2403" s="3" t="n">
        <f aca="false">SUM($F$2:F2403)</f>
        <v>0.954664</v>
      </c>
      <c r="H2403" s="4"/>
      <c r="I2403" s="5"/>
      <c r="J2403" s="4"/>
      <c r="K2403" s="5"/>
      <c r="L2403" s="6"/>
      <c r="M2403" s="5" t="str">
        <f aca="false">IF(AND(N(K2403)&gt;0,N(L2403)&gt;0),K2403/L2403,"")</f>
        <v/>
      </c>
      <c r="N2403" s="2" t="s">
        <v>1226</v>
      </c>
    </row>
    <row r="2404" customFormat="false" ht="15" hidden="false" customHeight="false" outlineLevel="0" collapsed="false">
      <c r="A2404" s="2" t="n">
        <v>2403</v>
      </c>
      <c r="B2404" s="2" t="s">
        <v>4935</v>
      </c>
      <c r="C2404" s="2" t="s">
        <v>5082</v>
      </c>
      <c r="D2404" s="2"/>
      <c r="E2404" s="2" t="s">
        <v>52</v>
      </c>
      <c r="F2404" s="3" t="n">
        <v>4.6E-005</v>
      </c>
      <c r="G2404" s="3" t="n">
        <f aca="false">SUM($F$2:F2404)</f>
        <v>0.95471</v>
      </c>
      <c r="H2404" s="4"/>
      <c r="I2404" s="5"/>
      <c r="J2404" s="4"/>
      <c r="K2404" s="5"/>
      <c r="L2404" s="6"/>
      <c r="M2404" s="5" t="str">
        <f aca="false">IF(AND(N(K2404)&gt;0,N(L2404)&gt;0),K2404/L2404,"")</f>
        <v/>
      </c>
      <c r="N2404" s="2" t="s">
        <v>1226</v>
      </c>
    </row>
    <row r="2405" customFormat="false" ht="15" hidden="false" customHeight="false" outlineLevel="0" collapsed="false">
      <c r="A2405" s="2" t="n">
        <v>2404</v>
      </c>
      <c r="B2405" s="2" t="s">
        <v>5083</v>
      </c>
      <c r="C2405" s="2" t="s">
        <v>5084</v>
      </c>
      <c r="D2405" s="2"/>
      <c r="E2405" s="2" t="s">
        <v>25</v>
      </c>
      <c r="F2405" s="3" t="n">
        <v>4.6E-005</v>
      </c>
      <c r="G2405" s="3" t="n">
        <f aca="false">SUM($F$2:F2405)</f>
        <v>0.954756</v>
      </c>
      <c r="H2405" s="4"/>
      <c r="I2405" s="5"/>
      <c r="J2405" s="4"/>
      <c r="K2405" s="5"/>
      <c r="L2405" s="6"/>
      <c r="M2405" s="5" t="str">
        <f aca="false">IF(AND(N(K2405)&gt;0,N(L2405)&gt;0),K2405/L2405,"")</f>
        <v/>
      </c>
      <c r="N2405" s="2" t="s">
        <v>1226</v>
      </c>
    </row>
    <row r="2406" customFormat="false" ht="15" hidden="false" customHeight="false" outlineLevel="0" collapsed="false">
      <c r="A2406" s="2" t="n">
        <v>2405</v>
      </c>
      <c r="B2406" s="2" t="s">
        <v>5085</v>
      </c>
      <c r="C2406" s="2" t="s">
        <v>5086</v>
      </c>
      <c r="D2406" s="2"/>
      <c r="E2406" s="2" t="s">
        <v>48</v>
      </c>
      <c r="F2406" s="3" t="n">
        <v>4.6E-005</v>
      </c>
      <c r="G2406" s="3" t="n">
        <f aca="false">SUM($F$2:F2406)</f>
        <v>0.954802</v>
      </c>
      <c r="H2406" s="4"/>
      <c r="I2406" s="5"/>
      <c r="J2406" s="4"/>
      <c r="K2406" s="5"/>
      <c r="L2406" s="6"/>
      <c r="M2406" s="5" t="str">
        <f aca="false">IF(AND(N(K2406)&gt;0,N(L2406)&gt;0),K2406/L2406,"")</f>
        <v/>
      </c>
      <c r="N2406" s="2" t="s">
        <v>1226</v>
      </c>
    </row>
    <row r="2407" customFormat="false" ht="15" hidden="false" customHeight="false" outlineLevel="0" collapsed="false">
      <c r="A2407" s="2" t="n">
        <v>2406</v>
      </c>
      <c r="B2407" s="2" t="s">
        <v>5087</v>
      </c>
      <c r="C2407" s="2" t="s">
        <v>5088</v>
      </c>
      <c r="D2407" s="2"/>
      <c r="E2407" s="2" t="s">
        <v>52</v>
      </c>
      <c r="F2407" s="3" t="n">
        <v>4.6E-005</v>
      </c>
      <c r="G2407" s="3" t="n">
        <f aca="false">SUM($F$2:F2407)</f>
        <v>0.954848</v>
      </c>
      <c r="H2407" s="4"/>
      <c r="I2407" s="5"/>
      <c r="J2407" s="4"/>
      <c r="K2407" s="5"/>
      <c r="L2407" s="6"/>
      <c r="M2407" s="5" t="str">
        <f aca="false">IF(AND(N(K2407)&gt;0,N(L2407)&gt;0),K2407/L2407,"")</f>
        <v/>
      </c>
      <c r="N2407" s="2" t="s">
        <v>1226</v>
      </c>
    </row>
    <row r="2408" customFormat="false" ht="15" hidden="false" customHeight="false" outlineLevel="0" collapsed="false">
      <c r="A2408" s="2" t="n">
        <v>2407</v>
      </c>
      <c r="B2408" s="2" t="s">
        <v>5089</v>
      </c>
      <c r="C2408" s="2" t="s">
        <v>5090</v>
      </c>
      <c r="D2408" s="2"/>
      <c r="E2408" s="2" t="s">
        <v>173</v>
      </c>
      <c r="F2408" s="3" t="n">
        <v>4.6E-005</v>
      </c>
      <c r="G2408" s="3" t="n">
        <f aca="false">SUM($F$2:F2408)</f>
        <v>0.954894</v>
      </c>
      <c r="H2408" s="4"/>
      <c r="I2408" s="5"/>
      <c r="J2408" s="4"/>
      <c r="K2408" s="5"/>
      <c r="L2408" s="6"/>
      <c r="M2408" s="5" t="str">
        <f aca="false">IF(AND(N(K2408)&gt;0,N(L2408)&gt;0),K2408/L2408,"")</f>
        <v/>
      </c>
      <c r="N2408" s="2" t="s">
        <v>1226</v>
      </c>
    </row>
    <row r="2409" customFormat="false" ht="15" hidden="false" customHeight="false" outlineLevel="0" collapsed="false">
      <c r="A2409" s="2" t="n">
        <v>2408</v>
      </c>
      <c r="B2409" s="2" t="s">
        <v>5091</v>
      </c>
      <c r="C2409" s="2" t="s">
        <v>5092</v>
      </c>
      <c r="D2409" s="2"/>
      <c r="E2409" s="2" t="s">
        <v>29</v>
      </c>
      <c r="F2409" s="3" t="n">
        <v>4.6E-005</v>
      </c>
      <c r="G2409" s="3" t="n">
        <f aca="false">SUM($F$2:F2409)</f>
        <v>0.95494</v>
      </c>
      <c r="H2409" s="4"/>
      <c r="I2409" s="5"/>
      <c r="J2409" s="4"/>
      <c r="K2409" s="5"/>
      <c r="L2409" s="6"/>
      <c r="M2409" s="5" t="str">
        <f aca="false">IF(AND(N(K2409)&gt;0,N(L2409)&gt;0),K2409/L2409,"")</f>
        <v/>
      </c>
      <c r="N2409" s="2" t="s">
        <v>1226</v>
      </c>
    </row>
    <row r="2410" customFormat="false" ht="15" hidden="false" customHeight="false" outlineLevel="0" collapsed="false">
      <c r="A2410" s="2" t="n">
        <v>2409</v>
      </c>
      <c r="B2410" s="2" t="s">
        <v>5093</v>
      </c>
      <c r="C2410" s="2" t="s">
        <v>5094</v>
      </c>
      <c r="D2410" s="2"/>
      <c r="E2410" s="2" t="s">
        <v>1345</v>
      </c>
      <c r="F2410" s="3" t="n">
        <v>4.6E-005</v>
      </c>
      <c r="G2410" s="3" t="n">
        <f aca="false">SUM($F$2:F2410)</f>
        <v>0.954986</v>
      </c>
      <c r="H2410" s="4"/>
      <c r="I2410" s="5"/>
      <c r="J2410" s="4"/>
      <c r="K2410" s="5"/>
      <c r="L2410" s="6"/>
      <c r="M2410" s="5" t="str">
        <f aca="false">IF(AND(N(K2410)&gt;0,N(L2410)&gt;0),K2410/L2410,"")</f>
        <v/>
      </c>
      <c r="N2410" s="2" t="s">
        <v>1226</v>
      </c>
    </row>
    <row r="2411" customFormat="false" ht="15" hidden="false" customHeight="false" outlineLevel="0" collapsed="false">
      <c r="A2411" s="2" t="n">
        <v>2410</v>
      </c>
      <c r="B2411" s="2" t="s">
        <v>5095</v>
      </c>
      <c r="C2411" s="2" t="s">
        <v>5096</v>
      </c>
      <c r="D2411" s="2"/>
      <c r="E2411" s="2" t="s">
        <v>2055</v>
      </c>
      <c r="F2411" s="3" t="n">
        <v>4.6E-005</v>
      </c>
      <c r="G2411" s="3" t="n">
        <f aca="false">SUM($F$2:F2411)</f>
        <v>0.955032</v>
      </c>
      <c r="H2411" s="4"/>
      <c r="I2411" s="5"/>
      <c r="J2411" s="4"/>
      <c r="K2411" s="5"/>
      <c r="L2411" s="6"/>
      <c r="M2411" s="5" t="str">
        <f aca="false">IF(AND(N(K2411)&gt;0,N(L2411)&gt;0),K2411/L2411,"")</f>
        <v/>
      </c>
      <c r="N2411" s="2" t="s">
        <v>1226</v>
      </c>
    </row>
    <row r="2412" customFormat="false" ht="15" hidden="false" customHeight="false" outlineLevel="0" collapsed="false">
      <c r="A2412" s="2" t="n">
        <v>2411</v>
      </c>
      <c r="B2412" s="2" t="s">
        <v>301</v>
      </c>
      <c r="C2412" s="2" t="s">
        <v>5097</v>
      </c>
      <c r="D2412" s="2"/>
      <c r="E2412" s="2" t="s">
        <v>539</v>
      </c>
      <c r="F2412" s="3" t="n">
        <v>4.6E-005</v>
      </c>
      <c r="G2412" s="3" t="n">
        <f aca="false">SUM($F$2:F2412)</f>
        <v>0.955078</v>
      </c>
      <c r="H2412" s="4"/>
      <c r="I2412" s="5"/>
      <c r="J2412" s="4"/>
      <c r="K2412" s="5"/>
      <c r="L2412" s="6"/>
      <c r="M2412" s="5" t="str">
        <f aca="false">IF(AND(N(K2412)&gt;0,N(L2412)&gt;0),K2412/L2412,"")</f>
        <v/>
      </c>
      <c r="N2412" s="2" t="s">
        <v>34</v>
      </c>
    </row>
    <row r="2413" customFormat="false" ht="15" hidden="false" customHeight="false" outlineLevel="0" collapsed="false">
      <c r="A2413" s="2" t="n">
        <v>2412</v>
      </c>
      <c r="B2413" s="2" t="s">
        <v>301</v>
      </c>
      <c r="C2413" s="2" t="s">
        <v>5098</v>
      </c>
      <c r="D2413" s="2"/>
      <c r="E2413" s="2" t="s">
        <v>167</v>
      </c>
      <c r="F2413" s="3" t="n">
        <v>4.6E-005</v>
      </c>
      <c r="G2413" s="3" t="n">
        <f aca="false">SUM($F$2:F2413)</f>
        <v>0.955124</v>
      </c>
      <c r="H2413" s="4"/>
      <c r="I2413" s="5"/>
      <c r="J2413" s="4"/>
      <c r="K2413" s="5"/>
      <c r="L2413" s="6"/>
      <c r="M2413" s="5" t="str">
        <f aca="false">IF(AND(N(K2413)&gt;0,N(L2413)&gt;0),K2413/L2413,"")</f>
        <v/>
      </c>
      <c r="N2413" s="2" t="s">
        <v>34</v>
      </c>
    </row>
    <row r="2414" customFormat="false" ht="15" hidden="false" customHeight="false" outlineLevel="0" collapsed="false">
      <c r="A2414" s="2" t="n">
        <v>2413</v>
      </c>
      <c r="B2414" s="2" t="s">
        <v>5099</v>
      </c>
      <c r="C2414" s="2" t="s">
        <v>5100</v>
      </c>
      <c r="D2414" s="2"/>
      <c r="E2414" s="2" t="s">
        <v>289</v>
      </c>
      <c r="F2414" s="3" t="n">
        <v>4.6E-005</v>
      </c>
      <c r="G2414" s="3" t="n">
        <f aca="false">SUM($F$2:F2414)</f>
        <v>0.95517</v>
      </c>
      <c r="H2414" s="4"/>
      <c r="I2414" s="5"/>
      <c r="J2414" s="4"/>
      <c r="K2414" s="5"/>
      <c r="L2414" s="6"/>
      <c r="M2414" s="5" t="str">
        <f aca="false">IF(AND(N(K2414)&gt;0,N(L2414)&gt;0),K2414/L2414,"")</f>
        <v/>
      </c>
      <c r="N2414" s="2" t="s">
        <v>1226</v>
      </c>
    </row>
    <row r="2415" customFormat="false" ht="15" hidden="false" customHeight="false" outlineLevel="0" collapsed="false">
      <c r="A2415" s="2" t="n">
        <v>2414</v>
      </c>
      <c r="B2415" s="2" t="s">
        <v>5101</v>
      </c>
      <c r="C2415" s="2" t="s">
        <v>5102</v>
      </c>
      <c r="D2415" s="2"/>
      <c r="E2415" s="2" t="s">
        <v>43</v>
      </c>
      <c r="F2415" s="3" t="n">
        <v>4.6E-005</v>
      </c>
      <c r="G2415" s="3" t="n">
        <f aca="false">SUM($F$2:F2415)</f>
        <v>0.955216</v>
      </c>
      <c r="H2415" s="4"/>
      <c r="I2415" s="5"/>
      <c r="J2415" s="4"/>
      <c r="K2415" s="5"/>
      <c r="L2415" s="6"/>
      <c r="M2415" s="5" t="str">
        <f aca="false">IF(AND(N(K2415)&gt;0,N(L2415)&gt;0),K2415/L2415,"")</f>
        <v/>
      </c>
      <c r="N2415" s="2" t="s">
        <v>1226</v>
      </c>
    </row>
    <row r="2416" customFormat="false" ht="15" hidden="false" customHeight="false" outlineLevel="0" collapsed="false">
      <c r="A2416" s="2" t="n">
        <v>2415</v>
      </c>
      <c r="B2416" s="2" t="s">
        <v>5103</v>
      </c>
      <c r="C2416" s="2" t="s">
        <v>5104</v>
      </c>
      <c r="D2416" s="2"/>
      <c r="E2416" s="2" t="s">
        <v>334</v>
      </c>
      <c r="F2416" s="3" t="n">
        <v>4.6E-005</v>
      </c>
      <c r="G2416" s="3" t="n">
        <f aca="false">SUM($F$2:F2416)</f>
        <v>0.955262</v>
      </c>
      <c r="H2416" s="4"/>
      <c r="I2416" s="5"/>
      <c r="J2416" s="4"/>
      <c r="K2416" s="5"/>
      <c r="L2416" s="6"/>
      <c r="M2416" s="5" t="str">
        <f aca="false">IF(AND(N(K2416)&gt;0,N(L2416)&gt;0),K2416/L2416,"")</f>
        <v/>
      </c>
      <c r="N2416" s="2" t="s">
        <v>1226</v>
      </c>
    </row>
    <row r="2417" customFormat="false" ht="15" hidden="false" customHeight="false" outlineLevel="0" collapsed="false">
      <c r="A2417" s="2" t="n">
        <v>2416</v>
      </c>
      <c r="B2417" s="2" t="s">
        <v>5105</v>
      </c>
      <c r="C2417" s="2" t="s">
        <v>5106</v>
      </c>
      <c r="D2417" s="2"/>
      <c r="E2417" s="2" t="s">
        <v>52</v>
      </c>
      <c r="F2417" s="3" t="n">
        <v>4.6E-005</v>
      </c>
      <c r="G2417" s="3" t="n">
        <f aca="false">SUM($F$2:F2417)</f>
        <v>0.955308</v>
      </c>
      <c r="H2417" s="4"/>
      <c r="I2417" s="5"/>
      <c r="J2417" s="4"/>
      <c r="K2417" s="5"/>
      <c r="L2417" s="6"/>
      <c r="M2417" s="5" t="str">
        <f aca="false">IF(AND(N(K2417)&gt;0,N(L2417)&gt;0),K2417/L2417,"")</f>
        <v/>
      </c>
      <c r="N2417" s="2" t="s">
        <v>1226</v>
      </c>
    </row>
    <row r="2418" customFormat="false" ht="15" hidden="false" customHeight="false" outlineLevel="0" collapsed="false">
      <c r="A2418" s="2" t="n">
        <v>2417</v>
      </c>
      <c r="B2418" s="2" t="s">
        <v>5107</v>
      </c>
      <c r="C2418" s="2" t="s">
        <v>5108</v>
      </c>
      <c r="D2418" s="2"/>
      <c r="E2418" s="2" t="s">
        <v>29</v>
      </c>
      <c r="F2418" s="3" t="n">
        <v>4.6E-005</v>
      </c>
      <c r="G2418" s="3" t="n">
        <f aca="false">SUM($F$2:F2418)</f>
        <v>0.955354</v>
      </c>
      <c r="H2418" s="4"/>
      <c r="I2418" s="5"/>
      <c r="J2418" s="4"/>
      <c r="K2418" s="5"/>
      <c r="L2418" s="6"/>
      <c r="M2418" s="5" t="str">
        <f aca="false">IF(AND(N(K2418)&gt;0,N(L2418)&gt;0),K2418/L2418,"")</f>
        <v/>
      </c>
      <c r="N2418" s="2" t="s">
        <v>1226</v>
      </c>
    </row>
    <row r="2419" customFormat="false" ht="15" hidden="false" customHeight="false" outlineLevel="0" collapsed="false">
      <c r="A2419" s="2" t="n">
        <v>2418</v>
      </c>
      <c r="B2419" s="2" t="s">
        <v>5109</v>
      </c>
      <c r="C2419" s="2" t="s">
        <v>5110</v>
      </c>
      <c r="D2419" s="2"/>
      <c r="E2419" s="2" t="s">
        <v>25</v>
      </c>
      <c r="F2419" s="3" t="n">
        <v>4.6E-005</v>
      </c>
      <c r="G2419" s="3" t="n">
        <f aca="false">SUM($F$2:F2419)</f>
        <v>0.9554</v>
      </c>
      <c r="H2419" s="4"/>
      <c r="I2419" s="5"/>
      <c r="J2419" s="4"/>
      <c r="K2419" s="5"/>
      <c r="L2419" s="6"/>
      <c r="M2419" s="5" t="str">
        <f aca="false">IF(AND(N(K2419)&gt;0,N(L2419)&gt;0),K2419/L2419,"")</f>
        <v/>
      </c>
      <c r="N2419" s="2" t="s">
        <v>1226</v>
      </c>
    </row>
    <row r="2420" customFormat="false" ht="15" hidden="false" customHeight="false" outlineLevel="0" collapsed="false">
      <c r="A2420" s="2" t="n">
        <v>2419</v>
      </c>
      <c r="B2420" s="2" t="s">
        <v>889</v>
      </c>
      <c r="C2420" s="2" t="s">
        <v>5111</v>
      </c>
      <c r="D2420" s="2"/>
      <c r="E2420" s="2" t="s">
        <v>82</v>
      </c>
      <c r="F2420" s="3" t="n">
        <v>4.6E-005</v>
      </c>
      <c r="G2420" s="3" t="n">
        <f aca="false">SUM($F$2:F2420)</f>
        <v>0.955446</v>
      </c>
      <c r="H2420" s="4"/>
      <c r="I2420" s="5"/>
      <c r="J2420" s="4"/>
      <c r="K2420" s="5"/>
      <c r="L2420" s="6"/>
      <c r="M2420" s="5" t="str">
        <f aca="false">IF(AND(N(K2420)&gt;0,N(L2420)&gt;0),K2420/L2420,"")</f>
        <v/>
      </c>
      <c r="N2420" s="2" t="s">
        <v>1226</v>
      </c>
    </row>
    <row r="2421" customFormat="false" ht="15" hidden="false" customHeight="false" outlineLevel="0" collapsed="false">
      <c r="A2421" s="2" t="n">
        <v>2420</v>
      </c>
      <c r="B2421" s="2" t="s">
        <v>5112</v>
      </c>
      <c r="C2421" s="2" t="s">
        <v>5113</v>
      </c>
      <c r="D2421" s="2"/>
      <c r="E2421" s="2" t="s">
        <v>48</v>
      </c>
      <c r="F2421" s="3" t="n">
        <v>4.6E-005</v>
      </c>
      <c r="G2421" s="3" t="n">
        <f aca="false">SUM($F$2:F2421)</f>
        <v>0.955492</v>
      </c>
      <c r="H2421" s="4"/>
      <c r="I2421" s="5"/>
      <c r="J2421" s="4"/>
      <c r="K2421" s="5"/>
      <c r="L2421" s="6"/>
      <c r="M2421" s="5" t="str">
        <f aca="false">IF(AND(N(K2421)&gt;0,N(L2421)&gt;0),K2421/L2421,"")</f>
        <v/>
      </c>
      <c r="N2421" s="2" t="s">
        <v>1226</v>
      </c>
    </row>
    <row r="2422" customFormat="false" ht="15" hidden="false" customHeight="false" outlineLevel="0" collapsed="false">
      <c r="A2422" s="2" t="n">
        <v>2421</v>
      </c>
      <c r="B2422" s="2" t="s">
        <v>5114</v>
      </c>
      <c r="C2422" s="2" t="s">
        <v>5115</v>
      </c>
      <c r="D2422" s="2"/>
      <c r="E2422" s="2" t="s">
        <v>296</v>
      </c>
      <c r="F2422" s="3" t="n">
        <v>4.6E-005</v>
      </c>
      <c r="G2422" s="3" t="n">
        <f aca="false">SUM($F$2:F2422)</f>
        <v>0.955538</v>
      </c>
      <c r="H2422" s="4"/>
      <c r="I2422" s="5"/>
      <c r="J2422" s="4"/>
      <c r="K2422" s="5"/>
      <c r="L2422" s="6"/>
      <c r="M2422" s="5" t="str">
        <f aca="false">IF(AND(N(K2422)&gt;0,N(L2422)&gt;0),K2422/L2422,"")</f>
        <v/>
      </c>
      <c r="N2422" s="2" t="s">
        <v>1226</v>
      </c>
    </row>
    <row r="2423" customFormat="false" ht="15" hidden="false" customHeight="false" outlineLevel="0" collapsed="false">
      <c r="A2423" s="2" t="n">
        <v>2422</v>
      </c>
      <c r="B2423" s="2" t="s">
        <v>5116</v>
      </c>
      <c r="C2423" s="2" t="s">
        <v>5117</v>
      </c>
      <c r="D2423" s="2"/>
      <c r="E2423" s="2" t="s">
        <v>289</v>
      </c>
      <c r="F2423" s="3" t="n">
        <v>4.6E-005</v>
      </c>
      <c r="G2423" s="3" t="n">
        <f aca="false">SUM($F$2:F2423)</f>
        <v>0.955584</v>
      </c>
      <c r="H2423" s="4"/>
      <c r="I2423" s="5"/>
      <c r="J2423" s="4"/>
      <c r="K2423" s="5"/>
      <c r="L2423" s="6"/>
      <c r="M2423" s="5" t="str">
        <f aca="false">IF(AND(N(K2423)&gt;0,N(L2423)&gt;0),K2423/L2423,"")</f>
        <v/>
      </c>
      <c r="N2423" s="2" t="s">
        <v>1226</v>
      </c>
    </row>
    <row r="2424" customFormat="false" ht="15" hidden="false" customHeight="false" outlineLevel="0" collapsed="false">
      <c r="A2424" s="2" t="n">
        <v>2423</v>
      </c>
      <c r="B2424" s="2" t="s">
        <v>5118</v>
      </c>
      <c r="C2424" s="2" t="s">
        <v>5119</v>
      </c>
      <c r="D2424" s="2"/>
      <c r="E2424" s="2" t="s">
        <v>289</v>
      </c>
      <c r="F2424" s="3" t="n">
        <v>4.6E-005</v>
      </c>
      <c r="G2424" s="3" t="n">
        <f aca="false">SUM($F$2:F2424)</f>
        <v>0.95563</v>
      </c>
      <c r="H2424" s="4"/>
      <c r="I2424" s="5"/>
      <c r="J2424" s="4"/>
      <c r="K2424" s="5"/>
      <c r="L2424" s="6"/>
      <c r="M2424" s="5" t="str">
        <f aca="false">IF(AND(N(K2424)&gt;0,N(L2424)&gt;0),K2424/L2424,"")</f>
        <v/>
      </c>
      <c r="N2424" s="2" t="s">
        <v>1226</v>
      </c>
    </row>
    <row r="2425" customFormat="false" ht="15" hidden="false" customHeight="false" outlineLevel="0" collapsed="false">
      <c r="A2425" s="2" t="n">
        <v>2424</v>
      </c>
      <c r="B2425" s="2" t="s">
        <v>5120</v>
      </c>
      <c r="C2425" s="2" t="s">
        <v>5121</v>
      </c>
      <c r="D2425" s="2"/>
      <c r="E2425" s="2" t="s">
        <v>52</v>
      </c>
      <c r="F2425" s="3" t="n">
        <v>4.6E-005</v>
      </c>
      <c r="G2425" s="3" t="n">
        <f aca="false">SUM($F$2:F2425)</f>
        <v>0.955676</v>
      </c>
      <c r="H2425" s="4"/>
      <c r="I2425" s="5"/>
      <c r="J2425" s="4"/>
      <c r="K2425" s="5"/>
      <c r="L2425" s="6"/>
      <c r="M2425" s="5" t="str">
        <f aca="false">IF(AND(N(K2425)&gt;0,N(L2425)&gt;0),K2425/L2425,"")</f>
        <v/>
      </c>
      <c r="N2425" s="2" t="s">
        <v>1226</v>
      </c>
    </row>
    <row r="2426" customFormat="false" ht="15" hidden="false" customHeight="false" outlineLevel="0" collapsed="false">
      <c r="A2426" s="2" t="n">
        <v>2425</v>
      </c>
      <c r="B2426" s="2" t="s">
        <v>5122</v>
      </c>
      <c r="C2426" s="2" t="s">
        <v>5123</v>
      </c>
      <c r="D2426" s="2"/>
      <c r="E2426" s="2" t="s">
        <v>25</v>
      </c>
      <c r="F2426" s="3" t="n">
        <v>4.6E-005</v>
      </c>
      <c r="G2426" s="3" t="n">
        <f aca="false">SUM($F$2:F2426)</f>
        <v>0.955722</v>
      </c>
      <c r="H2426" s="4"/>
      <c r="I2426" s="5"/>
      <c r="J2426" s="4"/>
      <c r="K2426" s="5"/>
      <c r="L2426" s="6"/>
      <c r="M2426" s="5" t="str">
        <f aca="false">IF(AND(N(K2426)&gt;0,N(L2426)&gt;0),K2426/L2426,"")</f>
        <v/>
      </c>
      <c r="N2426" s="2" t="s">
        <v>1226</v>
      </c>
    </row>
    <row r="2427" customFormat="false" ht="15" hidden="false" customHeight="false" outlineLevel="0" collapsed="false">
      <c r="A2427" s="2" t="n">
        <v>2426</v>
      </c>
      <c r="B2427" s="2" t="s">
        <v>5124</v>
      </c>
      <c r="C2427" s="2" t="s">
        <v>5125</v>
      </c>
      <c r="D2427" s="2"/>
      <c r="E2427" s="2" t="s">
        <v>25</v>
      </c>
      <c r="F2427" s="3" t="n">
        <v>4.5E-005</v>
      </c>
      <c r="G2427" s="3" t="n">
        <f aca="false">SUM($F$2:F2427)</f>
        <v>0.955767</v>
      </c>
      <c r="H2427" s="4"/>
      <c r="I2427" s="5"/>
      <c r="J2427" s="4"/>
      <c r="K2427" s="5"/>
      <c r="L2427" s="6"/>
      <c r="M2427" s="5" t="str">
        <f aca="false">IF(AND(N(K2427)&gt;0,N(L2427)&gt;0),K2427/L2427,"")</f>
        <v/>
      </c>
      <c r="N2427" s="2" t="s">
        <v>1226</v>
      </c>
    </row>
    <row r="2428" customFormat="false" ht="15" hidden="false" customHeight="false" outlineLevel="0" collapsed="false">
      <c r="A2428" s="2" t="n">
        <v>2427</v>
      </c>
      <c r="B2428" s="2" t="s">
        <v>5126</v>
      </c>
      <c r="C2428" s="2" t="s">
        <v>5127</v>
      </c>
      <c r="D2428" s="2"/>
      <c r="E2428" s="2" t="s">
        <v>334</v>
      </c>
      <c r="F2428" s="3" t="n">
        <v>4.5E-005</v>
      </c>
      <c r="G2428" s="3" t="n">
        <f aca="false">SUM($F$2:F2428)</f>
        <v>0.955812</v>
      </c>
      <c r="H2428" s="4"/>
      <c r="I2428" s="5"/>
      <c r="J2428" s="4"/>
      <c r="K2428" s="5"/>
      <c r="L2428" s="6"/>
      <c r="M2428" s="5" t="str">
        <f aca="false">IF(AND(N(K2428)&gt;0,N(L2428)&gt;0),K2428/L2428,"")</f>
        <v/>
      </c>
      <c r="N2428" s="2" t="s">
        <v>1226</v>
      </c>
    </row>
    <row r="2429" customFormat="false" ht="15" hidden="false" customHeight="false" outlineLevel="0" collapsed="false">
      <c r="A2429" s="2" t="n">
        <v>2428</v>
      </c>
      <c r="B2429" s="2" t="s">
        <v>5128</v>
      </c>
      <c r="C2429" s="2" t="s">
        <v>5129</v>
      </c>
      <c r="D2429" s="2"/>
      <c r="E2429" s="2" t="s">
        <v>82</v>
      </c>
      <c r="F2429" s="3" t="n">
        <v>4.5E-005</v>
      </c>
      <c r="G2429" s="3" t="n">
        <f aca="false">SUM($F$2:F2429)</f>
        <v>0.955857</v>
      </c>
      <c r="H2429" s="4"/>
      <c r="I2429" s="5"/>
      <c r="J2429" s="4"/>
      <c r="K2429" s="5"/>
      <c r="L2429" s="6"/>
      <c r="M2429" s="5" t="str">
        <f aca="false">IF(AND(N(K2429)&gt;0,N(L2429)&gt;0),K2429/L2429,"")</f>
        <v/>
      </c>
      <c r="N2429" s="2" t="s">
        <v>1226</v>
      </c>
    </row>
    <row r="2430" customFormat="false" ht="15" hidden="false" customHeight="false" outlineLevel="0" collapsed="false">
      <c r="A2430" s="2" t="n">
        <v>2429</v>
      </c>
      <c r="B2430" s="2" t="s">
        <v>5130</v>
      </c>
      <c r="C2430" s="2" t="s">
        <v>5131</v>
      </c>
      <c r="D2430" s="2"/>
      <c r="E2430" s="2" t="s">
        <v>1345</v>
      </c>
      <c r="F2430" s="3" t="n">
        <v>4.5E-005</v>
      </c>
      <c r="G2430" s="3" t="n">
        <f aca="false">SUM($F$2:F2430)</f>
        <v>0.955902</v>
      </c>
      <c r="H2430" s="4"/>
      <c r="I2430" s="5"/>
      <c r="J2430" s="4"/>
      <c r="K2430" s="5"/>
      <c r="L2430" s="6"/>
      <c r="M2430" s="5" t="str">
        <f aca="false">IF(AND(N(K2430)&gt;0,N(L2430)&gt;0),K2430/L2430,"")</f>
        <v/>
      </c>
      <c r="N2430" s="2" t="s">
        <v>1226</v>
      </c>
    </row>
    <row r="2431" customFormat="false" ht="15" hidden="false" customHeight="false" outlineLevel="0" collapsed="false">
      <c r="A2431" s="2" t="n">
        <v>2430</v>
      </c>
      <c r="B2431" s="2" t="s">
        <v>5132</v>
      </c>
      <c r="C2431" s="2" t="s">
        <v>5133</v>
      </c>
      <c r="D2431" s="2"/>
      <c r="E2431" s="2" t="s">
        <v>614</v>
      </c>
      <c r="F2431" s="3" t="n">
        <v>4.5E-005</v>
      </c>
      <c r="G2431" s="3" t="n">
        <f aca="false">SUM($F$2:F2431)</f>
        <v>0.955947</v>
      </c>
      <c r="H2431" s="4"/>
      <c r="I2431" s="5"/>
      <c r="J2431" s="4"/>
      <c r="K2431" s="5"/>
      <c r="L2431" s="6"/>
      <c r="M2431" s="5" t="str">
        <f aca="false">IF(AND(N(K2431)&gt;0,N(L2431)&gt;0),K2431/L2431,"")</f>
        <v/>
      </c>
      <c r="N2431" s="2" t="s">
        <v>1226</v>
      </c>
    </row>
    <row r="2432" customFormat="false" ht="15" hidden="false" customHeight="false" outlineLevel="0" collapsed="false">
      <c r="A2432" s="2" t="n">
        <v>2431</v>
      </c>
      <c r="B2432" s="2" t="s">
        <v>5134</v>
      </c>
      <c r="C2432" s="2" t="s">
        <v>5135</v>
      </c>
      <c r="D2432" s="2"/>
      <c r="E2432" s="2" t="s">
        <v>48</v>
      </c>
      <c r="F2432" s="3" t="n">
        <v>4.5E-005</v>
      </c>
      <c r="G2432" s="3" t="n">
        <f aca="false">SUM($F$2:F2432)</f>
        <v>0.955992</v>
      </c>
      <c r="H2432" s="4"/>
      <c r="I2432" s="5"/>
      <c r="J2432" s="4"/>
      <c r="K2432" s="5"/>
      <c r="L2432" s="6"/>
      <c r="M2432" s="5" t="str">
        <f aca="false">IF(AND(N(K2432)&gt;0,N(L2432)&gt;0),K2432/L2432,"")</f>
        <v/>
      </c>
      <c r="N2432" s="2" t="s">
        <v>1226</v>
      </c>
    </row>
    <row r="2433" customFormat="false" ht="15" hidden="false" customHeight="false" outlineLevel="0" collapsed="false">
      <c r="A2433" s="2" t="n">
        <v>2432</v>
      </c>
      <c r="B2433" s="2" t="s">
        <v>5136</v>
      </c>
      <c r="C2433" s="2" t="s">
        <v>5137</v>
      </c>
      <c r="D2433" s="2"/>
      <c r="E2433" s="2" t="s">
        <v>1050</v>
      </c>
      <c r="F2433" s="3" t="n">
        <v>4.5E-005</v>
      </c>
      <c r="G2433" s="3" t="n">
        <f aca="false">SUM($F$2:F2433)</f>
        <v>0.956037</v>
      </c>
      <c r="H2433" s="4"/>
      <c r="I2433" s="5"/>
      <c r="J2433" s="4"/>
      <c r="K2433" s="5"/>
      <c r="L2433" s="6"/>
      <c r="M2433" s="5" t="str">
        <f aca="false">IF(AND(N(K2433)&gt;0,N(L2433)&gt;0),K2433/L2433,"")</f>
        <v/>
      </c>
      <c r="N2433" s="2" t="s">
        <v>1226</v>
      </c>
    </row>
    <row r="2434" customFormat="false" ht="15" hidden="false" customHeight="false" outlineLevel="0" collapsed="false">
      <c r="A2434" s="2" t="n">
        <v>2433</v>
      </c>
      <c r="B2434" s="2" t="s">
        <v>5138</v>
      </c>
      <c r="C2434" s="2" t="s">
        <v>5139</v>
      </c>
      <c r="D2434" s="2"/>
      <c r="E2434" s="2" t="s">
        <v>173</v>
      </c>
      <c r="F2434" s="3" t="n">
        <v>4.5E-005</v>
      </c>
      <c r="G2434" s="3" t="n">
        <f aca="false">SUM($F$2:F2434)</f>
        <v>0.956082</v>
      </c>
      <c r="H2434" s="4"/>
      <c r="I2434" s="5"/>
      <c r="J2434" s="4"/>
      <c r="K2434" s="5"/>
      <c r="L2434" s="6"/>
      <c r="M2434" s="5" t="str">
        <f aca="false">IF(AND(N(K2434)&gt;0,N(L2434)&gt;0),K2434/L2434,"")</f>
        <v/>
      </c>
      <c r="N2434" s="2" t="s">
        <v>1226</v>
      </c>
    </row>
    <row r="2435" customFormat="false" ht="15" hidden="false" customHeight="false" outlineLevel="0" collapsed="false">
      <c r="A2435" s="2" t="n">
        <v>2434</v>
      </c>
      <c r="B2435" s="2" t="s">
        <v>5140</v>
      </c>
      <c r="C2435" s="2" t="s">
        <v>5141</v>
      </c>
      <c r="D2435" s="2"/>
      <c r="E2435" s="2" t="s">
        <v>21</v>
      </c>
      <c r="F2435" s="3" t="n">
        <v>4.5E-005</v>
      </c>
      <c r="G2435" s="3" t="n">
        <f aca="false">SUM($F$2:F2435)</f>
        <v>0.956127</v>
      </c>
      <c r="H2435" s="4"/>
      <c r="I2435" s="5"/>
      <c r="J2435" s="4"/>
      <c r="K2435" s="5"/>
      <c r="L2435" s="6"/>
      <c r="M2435" s="5" t="str">
        <f aca="false">IF(AND(N(K2435)&gt;0,N(L2435)&gt;0),K2435/L2435,"")</f>
        <v/>
      </c>
      <c r="N2435" s="2" t="s">
        <v>1226</v>
      </c>
    </row>
    <row r="2436" customFormat="false" ht="15" hidden="false" customHeight="false" outlineLevel="0" collapsed="false">
      <c r="A2436" s="2" t="n">
        <v>2435</v>
      </c>
      <c r="B2436" s="2" t="s">
        <v>5142</v>
      </c>
      <c r="C2436" s="2" t="s">
        <v>5143</v>
      </c>
      <c r="D2436" s="2"/>
      <c r="E2436" s="2" t="s">
        <v>25</v>
      </c>
      <c r="F2436" s="3" t="n">
        <v>4.5E-005</v>
      </c>
      <c r="G2436" s="3" t="n">
        <f aca="false">SUM($F$2:F2436)</f>
        <v>0.956172</v>
      </c>
      <c r="H2436" s="4"/>
      <c r="I2436" s="5"/>
      <c r="J2436" s="4"/>
      <c r="K2436" s="5"/>
      <c r="L2436" s="6"/>
      <c r="M2436" s="5" t="str">
        <f aca="false">IF(AND(N(K2436)&gt;0,N(L2436)&gt;0),K2436/L2436,"")</f>
        <v/>
      </c>
      <c r="N2436" s="2" t="s">
        <v>1226</v>
      </c>
    </row>
    <row r="2437" customFormat="false" ht="15" hidden="false" customHeight="false" outlineLevel="0" collapsed="false">
      <c r="A2437" s="2" t="n">
        <v>2436</v>
      </c>
      <c r="B2437" s="2" t="s">
        <v>5144</v>
      </c>
      <c r="C2437" s="2" t="s">
        <v>5145</v>
      </c>
      <c r="D2437" s="2"/>
      <c r="E2437" s="2" t="s">
        <v>1295</v>
      </c>
      <c r="F2437" s="3" t="n">
        <v>4.5E-005</v>
      </c>
      <c r="G2437" s="3" t="n">
        <f aca="false">SUM($F$2:F2437)</f>
        <v>0.956217</v>
      </c>
      <c r="H2437" s="4"/>
      <c r="I2437" s="5"/>
      <c r="J2437" s="4"/>
      <c r="K2437" s="5"/>
      <c r="L2437" s="6"/>
      <c r="M2437" s="5" t="str">
        <f aca="false">IF(AND(N(K2437)&gt;0,N(L2437)&gt;0),K2437/L2437,"")</f>
        <v/>
      </c>
      <c r="N2437" s="2" t="s">
        <v>1226</v>
      </c>
    </row>
    <row r="2438" customFormat="false" ht="15" hidden="false" customHeight="false" outlineLevel="0" collapsed="false">
      <c r="A2438" s="2" t="n">
        <v>2437</v>
      </c>
      <c r="B2438" s="2" t="s">
        <v>5146</v>
      </c>
      <c r="C2438" s="2" t="s">
        <v>5147</v>
      </c>
      <c r="D2438" s="2"/>
      <c r="E2438" s="2" t="s">
        <v>289</v>
      </c>
      <c r="F2438" s="3" t="n">
        <v>4.5E-005</v>
      </c>
      <c r="G2438" s="3" t="n">
        <f aca="false">SUM($F$2:F2438)</f>
        <v>0.956262</v>
      </c>
      <c r="H2438" s="4"/>
      <c r="I2438" s="5"/>
      <c r="J2438" s="4"/>
      <c r="K2438" s="5"/>
      <c r="L2438" s="6"/>
      <c r="M2438" s="5" t="str">
        <f aca="false">IF(AND(N(K2438)&gt;0,N(L2438)&gt;0),K2438/L2438,"")</f>
        <v/>
      </c>
      <c r="N2438" s="2" t="s">
        <v>1226</v>
      </c>
    </row>
    <row r="2439" customFormat="false" ht="15" hidden="false" customHeight="false" outlineLevel="0" collapsed="false">
      <c r="A2439" s="2" t="n">
        <v>2438</v>
      </c>
      <c r="B2439" s="2" t="s">
        <v>5148</v>
      </c>
      <c r="C2439" s="2" t="s">
        <v>5149</v>
      </c>
      <c r="D2439" s="2"/>
      <c r="E2439" s="2" t="s">
        <v>17</v>
      </c>
      <c r="F2439" s="3" t="n">
        <v>4.5E-005</v>
      </c>
      <c r="G2439" s="3" t="n">
        <f aca="false">SUM($F$2:F2439)</f>
        <v>0.956307</v>
      </c>
      <c r="H2439" s="4"/>
      <c r="I2439" s="5"/>
      <c r="J2439" s="4"/>
      <c r="K2439" s="5"/>
      <c r="L2439" s="6"/>
      <c r="M2439" s="5" t="str">
        <f aca="false">IF(AND(N(K2439)&gt;0,N(L2439)&gt;0),K2439/L2439,"")</f>
        <v/>
      </c>
      <c r="N2439" s="2" t="s">
        <v>1226</v>
      </c>
    </row>
    <row r="2440" customFormat="false" ht="15" hidden="false" customHeight="false" outlineLevel="0" collapsed="false">
      <c r="A2440" s="2" t="n">
        <v>2439</v>
      </c>
      <c r="B2440" s="2" t="s">
        <v>5150</v>
      </c>
      <c r="C2440" s="2" t="s">
        <v>5151</v>
      </c>
      <c r="D2440" s="2"/>
      <c r="E2440" s="2" t="s">
        <v>52</v>
      </c>
      <c r="F2440" s="3" t="n">
        <v>4.5E-005</v>
      </c>
      <c r="G2440" s="3" t="n">
        <f aca="false">SUM($F$2:F2440)</f>
        <v>0.956352</v>
      </c>
      <c r="H2440" s="4"/>
      <c r="I2440" s="5"/>
      <c r="J2440" s="4"/>
      <c r="K2440" s="5"/>
      <c r="L2440" s="6"/>
      <c r="M2440" s="5" t="str">
        <f aca="false">IF(AND(N(K2440)&gt;0,N(L2440)&gt;0),K2440/L2440,"")</f>
        <v/>
      </c>
      <c r="N2440" s="2" t="s">
        <v>1226</v>
      </c>
    </row>
    <row r="2441" customFormat="false" ht="15" hidden="false" customHeight="false" outlineLevel="0" collapsed="false">
      <c r="A2441" s="2" t="n">
        <v>2440</v>
      </c>
      <c r="B2441" s="2" t="s">
        <v>5152</v>
      </c>
      <c r="C2441" s="2" t="s">
        <v>5153</v>
      </c>
      <c r="D2441" s="2"/>
      <c r="E2441" s="2" t="s">
        <v>1295</v>
      </c>
      <c r="F2441" s="3" t="n">
        <v>4.5E-005</v>
      </c>
      <c r="G2441" s="3" t="n">
        <f aca="false">SUM($F$2:F2441)</f>
        <v>0.956397</v>
      </c>
      <c r="H2441" s="4"/>
      <c r="I2441" s="5"/>
      <c r="J2441" s="4"/>
      <c r="K2441" s="5"/>
      <c r="L2441" s="6"/>
      <c r="M2441" s="5" t="str">
        <f aca="false">IF(AND(N(K2441)&gt;0,N(L2441)&gt;0),K2441/L2441,"")</f>
        <v/>
      </c>
      <c r="N2441" s="2" t="s">
        <v>1226</v>
      </c>
    </row>
    <row r="2442" customFormat="false" ht="15" hidden="false" customHeight="false" outlineLevel="0" collapsed="false">
      <c r="A2442" s="2" t="n">
        <v>2441</v>
      </c>
      <c r="B2442" s="2" t="s">
        <v>5154</v>
      </c>
      <c r="C2442" s="2" t="s">
        <v>5155</v>
      </c>
      <c r="D2442" s="2"/>
      <c r="E2442" s="2" t="s">
        <v>614</v>
      </c>
      <c r="F2442" s="3" t="n">
        <v>4.5E-005</v>
      </c>
      <c r="G2442" s="3" t="n">
        <f aca="false">SUM($F$2:F2442)</f>
        <v>0.956442</v>
      </c>
      <c r="H2442" s="4"/>
      <c r="I2442" s="5"/>
      <c r="J2442" s="4"/>
      <c r="K2442" s="5"/>
      <c r="L2442" s="6"/>
      <c r="M2442" s="5" t="str">
        <f aca="false">IF(AND(N(K2442)&gt;0,N(L2442)&gt;0),K2442/L2442,"")</f>
        <v/>
      </c>
      <c r="N2442" s="2" t="s">
        <v>1226</v>
      </c>
    </row>
    <row r="2443" customFormat="false" ht="15" hidden="false" customHeight="false" outlineLevel="0" collapsed="false">
      <c r="A2443" s="2" t="n">
        <v>2442</v>
      </c>
      <c r="B2443" s="2" t="s">
        <v>5156</v>
      </c>
      <c r="C2443" s="2" t="s">
        <v>5157</v>
      </c>
      <c r="D2443" s="2"/>
      <c r="E2443" s="2" t="s">
        <v>1345</v>
      </c>
      <c r="F2443" s="3" t="n">
        <v>4.5E-005</v>
      </c>
      <c r="G2443" s="3" t="n">
        <f aca="false">SUM($F$2:F2443)</f>
        <v>0.956487</v>
      </c>
      <c r="H2443" s="4"/>
      <c r="I2443" s="5"/>
      <c r="J2443" s="4"/>
      <c r="K2443" s="5"/>
      <c r="L2443" s="6"/>
      <c r="M2443" s="5" t="str">
        <f aca="false">IF(AND(N(K2443)&gt;0,N(L2443)&gt;0),K2443/L2443,"")</f>
        <v/>
      </c>
      <c r="N2443" s="2" t="s">
        <v>1226</v>
      </c>
    </row>
    <row r="2444" customFormat="false" ht="15" hidden="false" customHeight="false" outlineLevel="0" collapsed="false">
      <c r="A2444" s="2" t="n">
        <v>2443</v>
      </c>
      <c r="B2444" s="2" t="s">
        <v>5158</v>
      </c>
      <c r="C2444" s="2" t="s">
        <v>5159</v>
      </c>
      <c r="D2444" s="2"/>
      <c r="E2444" s="2" t="s">
        <v>43</v>
      </c>
      <c r="F2444" s="3" t="n">
        <v>4.5E-005</v>
      </c>
      <c r="G2444" s="3" t="n">
        <f aca="false">SUM($F$2:F2444)</f>
        <v>0.956532</v>
      </c>
      <c r="H2444" s="4"/>
      <c r="I2444" s="5"/>
      <c r="J2444" s="4"/>
      <c r="K2444" s="5"/>
      <c r="L2444" s="6"/>
      <c r="M2444" s="5" t="str">
        <f aca="false">IF(AND(N(K2444)&gt;0,N(L2444)&gt;0),K2444/L2444,"")</f>
        <v/>
      </c>
      <c r="N2444" s="2" t="s">
        <v>1226</v>
      </c>
    </row>
    <row r="2445" customFormat="false" ht="15" hidden="false" customHeight="false" outlineLevel="0" collapsed="false">
      <c r="A2445" s="2" t="n">
        <v>2444</v>
      </c>
      <c r="B2445" s="2" t="s">
        <v>5160</v>
      </c>
      <c r="C2445" s="2" t="s">
        <v>5161</v>
      </c>
      <c r="D2445" s="2"/>
      <c r="E2445" s="2" t="s">
        <v>289</v>
      </c>
      <c r="F2445" s="3" t="n">
        <v>4.5E-005</v>
      </c>
      <c r="G2445" s="3" t="n">
        <f aca="false">SUM($F$2:F2445)</f>
        <v>0.956577</v>
      </c>
      <c r="H2445" s="4"/>
      <c r="I2445" s="5"/>
      <c r="J2445" s="4"/>
      <c r="K2445" s="5"/>
      <c r="L2445" s="6"/>
      <c r="M2445" s="5" t="str">
        <f aca="false">IF(AND(N(K2445)&gt;0,N(L2445)&gt;0),K2445/L2445,"")</f>
        <v/>
      </c>
      <c r="N2445" s="2" t="s">
        <v>1226</v>
      </c>
    </row>
    <row r="2446" customFormat="false" ht="15" hidden="false" customHeight="false" outlineLevel="0" collapsed="false">
      <c r="A2446" s="2" t="n">
        <v>2445</v>
      </c>
      <c r="B2446" s="2" t="s">
        <v>5162</v>
      </c>
      <c r="C2446" s="2" t="s">
        <v>5163</v>
      </c>
      <c r="D2446" s="2"/>
      <c r="E2446" s="2" t="s">
        <v>17</v>
      </c>
      <c r="F2446" s="3" t="n">
        <v>4.5E-005</v>
      </c>
      <c r="G2446" s="3" t="n">
        <f aca="false">SUM($F$2:F2446)</f>
        <v>0.956622</v>
      </c>
      <c r="H2446" s="4"/>
      <c r="I2446" s="5"/>
      <c r="J2446" s="4"/>
      <c r="K2446" s="5"/>
      <c r="L2446" s="6"/>
      <c r="M2446" s="5" t="str">
        <f aca="false">IF(AND(N(K2446)&gt;0,N(L2446)&gt;0),K2446/L2446,"")</f>
        <v/>
      </c>
      <c r="N2446" s="2" t="s">
        <v>1226</v>
      </c>
    </row>
    <row r="2447" customFormat="false" ht="15" hidden="false" customHeight="false" outlineLevel="0" collapsed="false">
      <c r="A2447" s="2" t="n">
        <v>2446</v>
      </c>
      <c r="B2447" s="2" t="s">
        <v>5164</v>
      </c>
      <c r="C2447" s="2" t="s">
        <v>5165</v>
      </c>
      <c r="D2447" s="2"/>
      <c r="E2447" s="2" t="s">
        <v>52</v>
      </c>
      <c r="F2447" s="3" t="n">
        <v>4.5E-005</v>
      </c>
      <c r="G2447" s="3" t="n">
        <f aca="false">SUM($F$2:F2447)</f>
        <v>0.956667</v>
      </c>
      <c r="H2447" s="4"/>
      <c r="I2447" s="5"/>
      <c r="J2447" s="4"/>
      <c r="K2447" s="5"/>
      <c r="L2447" s="6"/>
      <c r="M2447" s="5" t="str">
        <f aca="false">IF(AND(N(K2447)&gt;0,N(L2447)&gt;0),K2447/L2447,"")</f>
        <v/>
      </c>
      <c r="N2447" s="2" t="s">
        <v>1226</v>
      </c>
    </row>
    <row r="2448" customFormat="false" ht="15" hidden="false" customHeight="false" outlineLevel="0" collapsed="false">
      <c r="A2448" s="2" t="n">
        <v>2447</v>
      </c>
      <c r="B2448" s="2" t="s">
        <v>5166</v>
      </c>
      <c r="C2448" s="2" t="s">
        <v>5167</v>
      </c>
      <c r="D2448" s="2"/>
      <c r="E2448" s="2" t="s">
        <v>21</v>
      </c>
      <c r="F2448" s="3" t="n">
        <v>4.5E-005</v>
      </c>
      <c r="G2448" s="3" t="n">
        <f aca="false">SUM($F$2:F2448)</f>
        <v>0.956712</v>
      </c>
      <c r="H2448" s="4"/>
      <c r="I2448" s="5"/>
      <c r="J2448" s="4"/>
      <c r="K2448" s="5"/>
      <c r="L2448" s="6"/>
      <c r="M2448" s="5" t="str">
        <f aca="false">IF(AND(N(K2448)&gt;0,N(L2448)&gt;0),K2448/L2448,"")</f>
        <v/>
      </c>
      <c r="N2448" s="2" t="s">
        <v>1226</v>
      </c>
    </row>
    <row r="2449" customFormat="false" ht="15" hidden="false" customHeight="false" outlineLevel="0" collapsed="false">
      <c r="A2449" s="2" t="n">
        <v>2448</v>
      </c>
      <c r="B2449" s="2" t="s">
        <v>5168</v>
      </c>
      <c r="C2449" s="2" t="s">
        <v>5169</v>
      </c>
      <c r="D2449" s="2"/>
      <c r="E2449" s="2" t="s">
        <v>25</v>
      </c>
      <c r="F2449" s="3" t="n">
        <v>4.4E-005</v>
      </c>
      <c r="G2449" s="3" t="n">
        <f aca="false">SUM($F$2:F2449)</f>
        <v>0.956756</v>
      </c>
      <c r="H2449" s="4"/>
      <c r="I2449" s="5"/>
      <c r="J2449" s="4"/>
      <c r="K2449" s="5"/>
      <c r="L2449" s="6"/>
      <c r="M2449" s="5" t="str">
        <f aca="false">IF(AND(N(K2449)&gt;0,N(L2449)&gt;0),K2449/L2449,"")</f>
        <v/>
      </c>
      <c r="N2449" s="2" t="s">
        <v>1226</v>
      </c>
    </row>
    <row r="2450" customFormat="false" ht="15" hidden="false" customHeight="false" outlineLevel="0" collapsed="false">
      <c r="A2450" s="2" t="n">
        <v>2449</v>
      </c>
      <c r="B2450" s="2" t="s">
        <v>5170</v>
      </c>
      <c r="C2450" s="2" t="s">
        <v>5171</v>
      </c>
      <c r="D2450" s="2"/>
      <c r="E2450" s="2" t="s">
        <v>1295</v>
      </c>
      <c r="F2450" s="3" t="n">
        <v>4.4E-005</v>
      </c>
      <c r="G2450" s="3" t="n">
        <f aca="false">SUM($F$2:F2450)</f>
        <v>0.9568</v>
      </c>
      <c r="H2450" s="4"/>
      <c r="I2450" s="5"/>
      <c r="J2450" s="4"/>
      <c r="K2450" s="5"/>
      <c r="L2450" s="6"/>
      <c r="M2450" s="5" t="str">
        <f aca="false">IF(AND(N(K2450)&gt;0,N(L2450)&gt;0),K2450/L2450,"")</f>
        <v/>
      </c>
      <c r="N2450" s="2" t="s">
        <v>1226</v>
      </c>
    </row>
    <row r="2451" customFormat="false" ht="15" hidden="false" customHeight="false" outlineLevel="0" collapsed="false">
      <c r="A2451" s="2" t="n">
        <v>2450</v>
      </c>
      <c r="B2451" s="2" t="s">
        <v>5172</v>
      </c>
      <c r="C2451" s="2" t="s">
        <v>5173</v>
      </c>
      <c r="D2451" s="2"/>
      <c r="E2451" s="2" t="s">
        <v>29</v>
      </c>
      <c r="F2451" s="3" t="n">
        <v>4.4E-005</v>
      </c>
      <c r="G2451" s="3" t="n">
        <f aca="false">SUM($F$2:F2451)</f>
        <v>0.956844</v>
      </c>
      <c r="H2451" s="4"/>
      <c r="I2451" s="5"/>
      <c r="J2451" s="4"/>
      <c r="K2451" s="5"/>
      <c r="L2451" s="6"/>
      <c r="M2451" s="5" t="str">
        <f aca="false">IF(AND(N(K2451)&gt;0,N(L2451)&gt;0),K2451/L2451,"")</f>
        <v/>
      </c>
      <c r="N2451" s="2" t="s">
        <v>1226</v>
      </c>
    </row>
    <row r="2452" customFormat="false" ht="15" hidden="false" customHeight="false" outlineLevel="0" collapsed="false">
      <c r="A2452" s="2" t="n">
        <v>2451</v>
      </c>
      <c r="B2452" s="2" t="s">
        <v>5174</v>
      </c>
      <c r="C2452" s="2" t="s">
        <v>5175</v>
      </c>
      <c r="D2452" s="2"/>
      <c r="E2452" s="2" t="s">
        <v>1345</v>
      </c>
      <c r="F2452" s="3" t="n">
        <v>4.4E-005</v>
      </c>
      <c r="G2452" s="3" t="n">
        <f aca="false">SUM($F$2:F2452)</f>
        <v>0.956888</v>
      </c>
      <c r="H2452" s="4"/>
      <c r="I2452" s="5"/>
      <c r="J2452" s="4"/>
      <c r="K2452" s="5"/>
      <c r="L2452" s="6"/>
      <c r="M2452" s="5" t="str">
        <f aca="false">IF(AND(N(K2452)&gt;0,N(L2452)&gt;0),K2452/L2452,"")</f>
        <v/>
      </c>
      <c r="N2452" s="2" t="s">
        <v>1226</v>
      </c>
    </row>
    <row r="2453" customFormat="false" ht="15" hidden="false" customHeight="false" outlineLevel="0" collapsed="false">
      <c r="A2453" s="2" t="n">
        <v>2452</v>
      </c>
      <c r="B2453" s="2" t="s">
        <v>5176</v>
      </c>
      <c r="C2453" s="2" t="s">
        <v>5177</v>
      </c>
      <c r="D2453" s="2"/>
      <c r="E2453" s="2" t="s">
        <v>82</v>
      </c>
      <c r="F2453" s="3" t="n">
        <v>4.4E-005</v>
      </c>
      <c r="G2453" s="3" t="n">
        <f aca="false">SUM($F$2:F2453)</f>
        <v>0.956932</v>
      </c>
      <c r="H2453" s="4"/>
      <c r="I2453" s="5"/>
      <c r="J2453" s="4"/>
      <c r="K2453" s="5"/>
      <c r="L2453" s="6"/>
      <c r="M2453" s="5" t="str">
        <f aca="false">IF(AND(N(K2453)&gt;0,N(L2453)&gt;0),K2453/L2453,"")</f>
        <v/>
      </c>
      <c r="N2453" s="2" t="s">
        <v>1226</v>
      </c>
    </row>
    <row r="2454" customFormat="false" ht="15" hidden="false" customHeight="false" outlineLevel="0" collapsed="false">
      <c r="A2454" s="2" t="n">
        <v>2453</v>
      </c>
      <c r="B2454" s="2" t="s">
        <v>5178</v>
      </c>
      <c r="C2454" s="2" t="s">
        <v>5179</v>
      </c>
      <c r="D2454" s="2"/>
      <c r="E2454" s="2" t="s">
        <v>43</v>
      </c>
      <c r="F2454" s="3" t="n">
        <v>4.4E-005</v>
      </c>
      <c r="G2454" s="3" t="n">
        <f aca="false">SUM($F$2:F2454)</f>
        <v>0.956976</v>
      </c>
      <c r="H2454" s="4"/>
      <c r="I2454" s="5"/>
      <c r="J2454" s="4"/>
      <c r="K2454" s="5"/>
      <c r="L2454" s="6"/>
      <c r="M2454" s="5" t="str">
        <f aca="false">IF(AND(N(K2454)&gt;0,N(L2454)&gt;0),K2454/L2454,"")</f>
        <v/>
      </c>
      <c r="N2454" s="2" t="s">
        <v>1226</v>
      </c>
    </row>
    <row r="2455" customFormat="false" ht="15" hidden="false" customHeight="false" outlineLevel="0" collapsed="false">
      <c r="A2455" s="2" t="n">
        <v>2454</v>
      </c>
      <c r="B2455" s="2" t="s">
        <v>5180</v>
      </c>
      <c r="C2455" s="2" t="s">
        <v>5181</v>
      </c>
      <c r="D2455" s="2"/>
      <c r="E2455" s="2" t="s">
        <v>289</v>
      </c>
      <c r="F2455" s="3" t="n">
        <v>4.4E-005</v>
      </c>
      <c r="G2455" s="3" t="n">
        <f aca="false">SUM($F$2:F2455)</f>
        <v>0.95702</v>
      </c>
      <c r="H2455" s="4"/>
      <c r="I2455" s="5"/>
      <c r="J2455" s="4"/>
      <c r="K2455" s="5"/>
      <c r="L2455" s="6"/>
      <c r="M2455" s="5" t="str">
        <f aca="false">IF(AND(N(K2455)&gt;0,N(L2455)&gt;0),K2455/L2455,"")</f>
        <v/>
      </c>
      <c r="N2455" s="2" t="s">
        <v>1226</v>
      </c>
    </row>
    <row r="2456" customFormat="false" ht="15" hidden="false" customHeight="false" outlineLevel="0" collapsed="false">
      <c r="A2456" s="2" t="n">
        <v>2455</v>
      </c>
      <c r="B2456" s="2" t="s">
        <v>5182</v>
      </c>
      <c r="C2456" s="2" t="s">
        <v>5183</v>
      </c>
      <c r="D2456" s="2"/>
      <c r="E2456" s="2" t="s">
        <v>1295</v>
      </c>
      <c r="F2456" s="3" t="n">
        <v>4.4E-005</v>
      </c>
      <c r="G2456" s="3" t="n">
        <f aca="false">SUM($F$2:F2456)</f>
        <v>0.957064</v>
      </c>
      <c r="H2456" s="4"/>
      <c r="I2456" s="5"/>
      <c r="J2456" s="4"/>
      <c r="K2456" s="5"/>
      <c r="L2456" s="6"/>
      <c r="M2456" s="5" t="str">
        <f aca="false">IF(AND(N(K2456)&gt;0,N(L2456)&gt;0),K2456/L2456,"")</f>
        <v/>
      </c>
      <c r="N2456" s="2" t="s">
        <v>1226</v>
      </c>
    </row>
    <row r="2457" customFormat="false" ht="15" hidden="false" customHeight="false" outlineLevel="0" collapsed="false">
      <c r="A2457" s="2" t="n">
        <v>2456</v>
      </c>
      <c r="B2457" s="2" t="s">
        <v>5184</v>
      </c>
      <c r="C2457" s="2" t="s">
        <v>5185</v>
      </c>
      <c r="D2457" s="2"/>
      <c r="E2457" s="2" t="s">
        <v>1295</v>
      </c>
      <c r="F2457" s="3" t="n">
        <v>4.4E-005</v>
      </c>
      <c r="G2457" s="3" t="n">
        <f aca="false">SUM($F$2:F2457)</f>
        <v>0.957108</v>
      </c>
      <c r="H2457" s="4"/>
      <c r="I2457" s="5"/>
      <c r="J2457" s="4"/>
      <c r="K2457" s="5"/>
      <c r="L2457" s="6"/>
      <c r="M2457" s="5" t="str">
        <f aca="false">IF(AND(N(K2457)&gt;0,N(L2457)&gt;0),K2457/L2457,"")</f>
        <v/>
      </c>
      <c r="N2457" s="2" t="s">
        <v>1226</v>
      </c>
    </row>
    <row r="2458" customFormat="false" ht="15" hidden="false" customHeight="false" outlineLevel="0" collapsed="false">
      <c r="A2458" s="2" t="n">
        <v>2457</v>
      </c>
      <c r="B2458" s="2" t="s">
        <v>5186</v>
      </c>
      <c r="C2458" s="2" t="s">
        <v>5187</v>
      </c>
      <c r="D2458" s="2"/>
      <c r="E2458" s="2" t="s">
        <v>43</v>
      </c>
      <c r="F2458" s="3" t="n">
        <v>4.4E-005</v>
      </c>
      <c r="G2458" s="3" t="n">
        <f aca="false">SUM($F$2:F2458)</f>
        <v>0.957152</v>
      </c>
      <c r="H2458" s="4"/>
      <c r="I2458" s="5"/>
      <c r="J2458" s="4"/>
      <c r="K2458" s="5"/>
      <c r="L2458" s="6"/>
      <c r="M2458" s="5" t="str">
        <f aca="false">IF(AND(N(K2458)&gt;0,N(L2458)&gt;0),K2458/L2458,"")</f>
        <v/>
      </c>
      <c r="N2458" s="2" t="s">
        <v>1226</v>
      </c>
    </row>
    <row r="2459" customFormat="false" ht="15" hidden="false" customHeight="false" outlineLevel="0" collapsed="false">
      <c r="A2459" s="2" t="n">
        <v>2458</v>
      </c>
      <c r="B2459" s="2" t="s">
        <v>5188</v>
      </c>
      <c r="C2459" s="2" t="s">
        <v>5189</v>
      </c>
      <c r="D2459" s="2"/>
      <c r="E2459" s="2" t="s">
        <v>1345</v>
      </c>
      <c r="F2459" s="3" t="n">
        <v>4.4E-005</v>
      </c>
      <c r="G2459" s="3" t="n">
        <f aca="false">SUM($F$2:F2459)</f>
        <v>0.957196</v>
      </c>
      <c r="H2459" s="4"/>
      <c r="I2459" s="5"/>
      <c r="J2459" s="4"/>
      <c r="K2459" s="5"/>
      <c r="L2459" s="6"/>
      <c r="M2459" s="5" t="str">
        <f aca="false">IF(AND(N(K2459)&gt;0,N(L2459)&gt;0),K2459/L2459,"")</f>
        <v/>
      </c>
      <c r="N2459" s="2" t="s">
        <v>1226</v>
      </c>
    </row>
    <row r="2460" customFormat="false" ht="15" hidden="false" customHeight="false" outlineLevel="0" collapsed="false">
      <c r="A2460" s="2" t="n">
        <v>2459</v>
      </c>
      <c r="B2460" s="2" t="s">
        <v>5190</v>
      </c>
      <c r="C2460" s="2" t="s">
        <v>5191</v>
      </c>
      <c r="D2460" s="2"/>
      <c r="E2460" s="2" t="s">
        <v>82</v>
      </c>
      <c r="F2460" s="3" t="n">
        <v>4.4E-005</v>
      </c>
      <c r="G2460" s="3" t="n">
        <f aca="false">SUM($F$2:F2460)</f>
        <v>0.95724</v>
      </c>
      <c r="H2460" s="4"/>
      <c r="I2460" s="5"/>
      <c r="J2460" s="4"/>
      <c r="K2460" s="5"/>
      <c r="L2460" s="6"/>
      <c r="M2460" s="5" t="str">
        <f aca="false">IF(AND(N(K2460)&gt;0,N(L2460)&gt;0),K2460/L2460,"")</f>
        <v/>
      </c>
      <c r="N2460" s="2" t="s">
        <v>1226</v>
      </c>
    </row>
    <row r="2461" customFormat="false" ht="15" hidden="false" customHeight="false" outlineLevel="0" collapsed="false">
      <c r="A2461" s="2" t="n">
        <v>2460</v>
      </c>
      <c r="B2461" s="2" t="s">
        <v>5192</v>
      </c>
      <c r="C2461" s="2" t="s">
        <v>5193</v>
      </c>
      <c r="D2461" s="2"/>
      <c r="E2461" s="2" t="s">
        <v>25</v>
      </c>
      <c r="F2461" s="3" t="n">
        <v>4.4E-005</v>
      </c>
      <c r="G2461" s="3" t="n">
        <f aca="false">SUM($F$2:F2461)</f>
        <v>0.957284</v>
      </c>
      <c r="H2461" s="4"/>
      <c r="I2461" s="5"/>
      <c r="J2461" s="4"/>
      <c r="K2461" s="5"/>
      <c r="L2461" s="6"/>
      <c r="M2461" s="5" t="str">
        <f aca="false">IF(AND(N(K2461)&gt;0,N(L2461)&gt;0),K2461/L2461,"")</f>
        <v/>
      </c>
      <c r="N2461" s="2" t="s">
        <v>1226</v>
      </c>
    </row>
    <row r="2462" customFormat="false" ht="15" hidden="false" customHeight="false" outlineLevel="0" collapsed="false">
      <c r="A2462" s="2" t="n">
        <v>2461</v>
      </c>
      <c r="B2462" s="2" t="s">
        <v>5194</v>
      </c>
      <c r="C2462" s="2" t="s">
        <v>5195</v>
      </c>
      <c r="D2462" s="2"/>
      <c r="E2462" s="2" t="s">
        <v>52</v>
      </c>
      <c r="F2462" s="3" t="n">
        <v>4.4E-005</v>
      </c>
      <c r="G2462" s="3" t="n">
        <f aca="false">SUM($F$2:F2462)</f>
        <v>0.957328</v>
      </c>
      <c r="H2462" s="4"/>
      <c r="I2462" s="5"/>
      <c r="J2462" s="4"/>
      <c r="K2462" s="5"/>
      <c r="L2462" s="6"/>
      <c r="M2462" s="5" t="str">
        <f aca="false">IF(AND(N(K2462)&gt;0,N(L2462)&gt;0),K2462/L2462,"")</f>
        <v/>
      </c>
      <c r="N2462" s="2" t="s">
        <v>1226</v>
      </c>
    </row>
    <row r="2463" customFormat="false" ht="15" hidden="false" customHeight="false" outlineLevel="0" collapsed="false">
      <c r="A2463" s="2" t="n">
        <v>2462</v>
      </c>
      <c r="B2463" s="2" t="s">
        <v>5196</v>
      </c>
      <c r="C2463" s="2" t="s">
        <v>5197</v>
      </c>
      <c r="D2463" s="2"/>
      <c r="E2463" s="2" t="s">
        <v>25</v>
      </c>
      <c r="F2463" s="3" t="n">
        <v>4.4E-005</v>
      </c>
      <c r="G2463" s="3" t="n">
        <f aca="false">SUM($F$2:F2463)</f>
        <v>0.957372</v>
      </c>
      <c r="H2463" s="4"/>
      <c r="I2463" s="5"/>
      <c r="J2463" s="4"/>
      <c r="K2463" s="5"/>
      <c r="L2463" s="6"/>
      <c r="M2463" s="5" t="str">
        <f aca="false">IF(AND(N(K2463)&gt;0,N(L2463)&gt;0),K2463/L2463,"")</f>
        <v/>
      </c>
      <c r="N2463" s="2" t="s">
        <v>1226</v>
      </c>
    </row>
    <row r="2464" customFormat="false" ht="15" hidden="false" customHeight="false" outlineLevel="0" collapsed="false">
      <c r="A2464" s="2" t="n">
        <v>2463</v>
      </c>
      <c r="B2464" s="2" t="s">
        <v>5198</v>
      </c>
      <c r="C2464" s="2" t="s">
        <v>5199</v>
      </c>
      <c r="D2464" s="2"/>
      <c r="E2464" s="2" t="s">
        <v>52</v>
      </c>
      <c r="F2464" s="3" t="n">
        <v>4.4E-005</v>
      </c>
      <c r="G2464" s="3" t="n">
        <f aca="false">SUM($F$2:F2464)</f>
        <v>0.957416</v>
      </c>
      <c r="H2464" s="4"/>
      <c r="I2464" s="5"/>
      <c r="J2464" s="4"/>
      <c r="K2464" s="5"/>
      <c r="L2464" s="6"/>
      <c r="M2464" s="5" t="str">
        <f aca="false">IF(AND(N(K2464)&gt;0,N(L2464)&gt;0),K2464/L2464,"")</f>
        <v/>
      </c>
      <c r="N2464" s="2" t="s">
        <v>1226</v>
      </c>
    </row>
    <row r="2465" customFormat="false" ht="15" hidden="false" customHeight="false" outlineLevel="0" collapsed="false">
      <c r="A2465" s="2" t="n">
        <v>2464</v>
      </c>
      <c r="B2465" s="2" t="s">
        <v>5200</v>
      </c>
      <c r="C2465" s="2" t="s">
        <v>5201</v>
      </c>
      <c r="D2465" s="2"/>
      <c r="E2465" s="2" t="s">
        <v>25</v>
      </c>
      <c r="F2465" s="3" t="n">
        <v>4.4E-005</v>
      </c>
      <c r="G2465" s="3" t="n">
        <f aca="false">SUM($F$2:F2465)</f>
        <v>0.95746</v>
      </c>
      <c r="H2465" s="4"/>
      <c r="I2465" s="5"/>
      <c r="J2465" s="4"/>
      <c r="K2465" s="5"/>
      <c r="L2465" s="6"/>
      <c r="M2465" s="5" t="str">
        <f aca="false">IF(AND(N(K2465)&gt;0,N(L2465)&gt;0),K2465/L2465,"")</f>
        <v/>
      </c>
      <c r="N2465" s="2" t="s">
        <v>1226</v>
      </c>
    </row>
    <row r="2466" customFormat="false" ht="15" hidden="false" customHeight="false" outlineLevel="0" collapsed="false">
      <c r="A2466" s="2" t="n">
        <v>2465</v>
      </c>
      <c r="B2466" s="2" t="s">
        <v>5202</v>
      </c>
      <c r="C2466" s="2" t="s">
        <v>5203</v>
      </c>
      <c r="D2466" s="2"/>
      <c r="E2466" s="2" t="s">
        <v>826</v>
      </c>
      <c r="F2466" s="3" t="n">
        <v>4.4E-005</v>
      </c>
      <c r="G2466" s="3" t="n">
        <f aca="false">SUM($F$2:F2466)</f>
        <v>0.957504</v>
      </c>
      <c r="H2466" s="4"/>
      <c r="I2466" s="5"/>
      <c r="J2466" s="4"/>
      <c r="K2466" s="5"/>
      <c r="L2466" s="6"/>
      <c r="M2466" s="5" t="str">
        <f aca="false">IF(AND(N(K2466)&gt;0,N(L2466)&gt;0),K2466/L2466,"")</f>
        <v/>
      </c>
      <c r="N2466" s="2" t="s">
        <v>1226</v>
      </c>
    </row>
    <row r="2467" customFormat="false" ht="15" hidden="false" customHeight="false" outlineLevel="0" collapsed="false">
      <c r="A2467" s="2" t="n">
        <v>2466</v>
      </c>
      <c r="B2467" s="2" t="s">
        <v>5204</v>
      </c>
      <c r="C2467" s="2" t="s">
        <v>5205</v>
      </c>
      <c r="D2467" s="2"/>
      <c r="E2467" s="2" t="s">
        <v>1345</v>
      </c>
      <c r="F2467" s="3" t="n">
        <v>4.4E-005</v>
      </c>
      <c r="G2467" s="3" t="n">
        <f aca="false">SUM($F$2:F2467)</f>
        <v>0.957548</v>
      </c>
      <c r="H2467" s="4"/>
      <c r="I2467" s="5"/>
      <c r="J2467" s="4"/>
      <c r="K2467" s="5"/>
      <c r="L2467" s="6"/>
      <c r="M2467" s="5" t="str">
        <f aca="false">IF(AND(N(K2467)&gt;0,N(L2467)&gt;0),K2467/L2467,"")</f>
        <v/>
      </c>
      <c r="N2467" s="2" t="s">
        <v>1226</v>
      </c>
    </row>
    <row r="2468" customFormat="false" ht="15" hidden="false" customHeight="false" outlineLevel="0" collapsed="false">
      <c r="A2468" s="2" t="n">
        <v>2467</v>
      </c>
      <c r="B2468" s="2" t="s">
        <v>5206</v>
      </c>
      <c r="C2468" s="2" t="s">
        <v>5207</v>
      </c>
      <c r="D2468" s="2"/>
      <c r="E2468" s="2" t="s">
        <v>1345</v>
      </c>
      <c r="F2468" s="3" t="n">
        <v>4.4E-005</v>
      </c>
      <c r="G2468" s="3" t="n">
        <f aca="false">SUM($F$2:F2468)</f>
        <v>0.957592</v>
      </c>
      <c r="H2468" s="4"/>
      <c r="I2468" s="5"/>
      <c r="J2468" s="4"/>
      <c r="K2468" s="5"/>
      <c r="L2468" s="6"/>
      <c r="M2468" s="5" t="str">
        <f aca="false">IF(AND(N(K2468)&gt;0,N(L2468)&gt;0),K2468/L2468,"")</f>
        <v/>
      </c>
      <c r="N2468" s="2" t="s">
        <v>1226</v>
      </c>
    </row>
    <row r="2469" customFormat="false" ht="15" hidden="false" customHeight="false" outlineLevel="0" collapsed="false">
      <c r="A2469" s="2" t="n">
        <v>2468</v>
      </c>
      <c r="B2469" s="2" t="s">
        <v>5208</v>
      </c>
      <c r="C2469" s="2" t="s">
        <v>5209</v>
      </c>
      <c r="D2469" s="2"/>
      <c r="E2469" s="2" t="s">
        <v>1345</v>
      </c>
      <c r="F2469" s="3" t="n">
        <v>4.4E-005</v>
      </c>
      <c r="G2469" s="3" t="n">
        <f aca="false">SUM($F$2:F2469)</f>
        <v>0.957636</v>
      </c>
      <c r="H2469" s="4"/>
      <c r="I2469" s="5"/>
      <c r="J2469" s="4"/>
      <c r="K2469" s="5"/>
      <c r="L2469" s="6"/>
      <c r="M2469" s="5" t="str">
        <f aca="false">IF(AND(N(K2469)&gt;0,N(L2469)&gt;0),K2469/L2469,"")</f>
        <v/>
      </c>
      <c r="N2469" s="2" t="s">
        <v>1226</v>
      </c>
    </row>
    <row r="2470" customFormat="false" ht="15" hidden="false" customHeight="false" outlineLevel="0" collapsed="false">
      <c r="A2470" s="2" t="n">
        <v>2469</v>
      </c>
      <c r="B2470" s="2" t="s">
        <v>5210</v>
      </c>
      <c r="C2470" s="2" t="s">
        <v>5211</v>
      </c>
      <c r="D2470" s="2"/>
      <c r="E2470" s="2" t="s">
        <v>52</v>
      </c>
      <c r="F2470" s="3" t="n">
        <v>4.4E-005</v>
      </c>
      <c r="G2470" s="3" t="n">
        <f aca="false">SUM($F$2:F2470)</f>
        <v>0.95768</v>
      </c>
      <c r="H2470" s="4"/>
      <c r="I2470" s="5"/>
      <c r="J2470" s="4"/>
      <c r="K2470" s="5"/>
      <c r="L2470" s="6"/>
      <c r="M2470" s="5" t="str">
        <f aca="false">IF(AND(N(K2470)&gt;0,N(L2470)&gt;0),K2470/L2470,"")</f>
        <v/>
      </c>
      <c r="N2470" s="2" t="s">
        <v>1226</v>
      </c>
    </row>
    <row r="2471" customFormat="false" ht="15" hidden="false" customHeight="false" outlineLevel="0" collapsed="false">
      <c r="A2471" s="2" t="n">
        <v>2470</v>
      </c>
      <c r="B2471" s="2" t="s">
        <v>3025</v>
      </c>
      <c r="C2471" s="2" t="s">
        <v>5212</v>
      </c>
      <c r="D2471" s="2"/>
      <c r="E2471" s="2" t="s">
        <v>29</v>
      </c>
      <c r="F2471" s="3" t="n">
        <v>4.4E-005</v>
      </c>
      <c r="G2471" s="3" t="n">
        <f aca="false">SUM($F$2:F2471)</f>
        <v>0.957724</v>
      </c>
      <c r="H2471" s="4"/>
      <c r="I2471" s="5"/>
      <c r="J2471" s="4"/>
      <c r="K2471" s="5"/>
      <c r="L2471" s="6"/>
      <c r="M2471" s="5" t="str">
        <f aca="false">IF(AND(N(K2471)&gt;0,N(L2471)&gt;0),K2471/L2471,"")</f>
        <v/>
      </c>
      <c r="N2471" s="2" t="s">
        <v>1226</v>
      </c>
    </row>
    <row r="2472" customFormat="false" ht="15" hidden="false" customHeight="false" outlineLevel="0" collapsed="false">
      <c r="A2472" s="2" t="n">
        <v>2471</v>
      </c>
      <c r="B2472" s="2" t="s">
        <v>5213</v>
      </c>
      <c r="C2472" s="2" t="s">
        <v>5214</v>
      </c>
      <c r="D2472" s="2"/>
      <c r="E2472" s="2" t="s">
        <v>1295</v>
      </c>
      <c r="F2472" s="3" t="n">
        <v>4.4E-005</v>
      </c>
      <c r="G2472" s="3" t="n">
        <f aca="false">SUM($F$2:F2472)</f>
        <v>0.957768</v>
      </c>
      <c r="H2472" s="4"/>
      <c r="I2472" s="5"/>
      <c r="J2472" s="4"/>
      <c r="K2472" s="5"/>
      <c r="L2472" s="6"/>
      <c r="M2472" s="5" t="str">
        <f aca="false">IF(AND(N(K2472)&gt;0,N(L2472)&gt;0),K2472/L2472,"")</f>
        <v/>
      </c>
      <c r="N2472" s="2" t="s">
        <v>1226</v>
      </c>
    </row>
    <row r="2473" customFormat="false" ht="15" hidden="false" customHeight="false" outlineLevel="0" collapsed="false">
      <c r="A2473" s="2" t="n">
        <v>2472</v>
      </c>
      <c r="B2473" s="2" t="s">
        <v>5215</v>
      </c>
      <c r="C2473" s="2" t="s">
        <v>5216</v>
      </c>
      <c r="D2473" s="2"/>
      <c r="E2473" s="2" t="s">
        <v>52</v>
      </c>
      <c r="F2473" s="3" t="n">
        <v>4.4E-005</v>
      </c>
      <c r="G2473" s="3" t="n">
        <f aca="false">SUM($F$2:F2473)</f>
        <v>0.957812</v>
      </c>
      <c r="H2473" s="4"/>
      <c r="I2473" s="5"/>
      <c r="J2473" s="4"/>
      <c r="K2473" s="5"/>
      <c r="L2473" s="6"/>
      <c r="M2473" s="5" t="str">
        <f aca="false">IF(AND(N(K2473)&gt;0,N(L2473)&gt;0),K2473/L2473,"")</f>
        <v/>
      </c>
      <c r="N2473" s="2" t="s">
        <v>1226</v>
      </c>
    </row>
    <row r="2474" customFormat="false" ht="15" hidden="false" customHeight="false" outlineLevel="0" collapsed="false">
      <c r="A2474" s="2" t="n">
        <v>2473</v>
      </c>
      <c r="B2474" s="2" t="s">
        <v>5217</v>
      </c>
      <c r="C2474" s="2" t="s">
        <v>5218</v>
      </c>
      <c r="D2474" s="2"/>
      <c r="E2474" s="2" t="s">
        <v>1284</v>
      </c>
      <c r="F2474" s="3" t="n">
        <v>4.4E-005</v>
      </c>
      <c r="G2474" s="3" t="n">
        <f aca="false">SUM($F$2:F2474)</f>
        <v>0.957856</v>
      </c>
      <c r="H2474" s="4"/>
      <c r="I2474" s="5"/>
      <c r="J2474" s="4"/>
      <c r="K2474" s="5"/>
      <c r="L2474" s="6"/>
      <c r="M2474" s="5" t="str">
        <f aca="false">IF(AND(N(K2474)&gt;0,N(L2474)&gt;0),K2474/L2474,"")</f>
        <v/>
      </c>
      <c r="N2474" s="2" t="s">
        <v>1226</v>
      </c>
    </row>
    <row r="2475" customFormat="false" ht="15" hidden="false" customHeight="false" outlineLevel="0" collapsed="false">
      <c r="A2475" s="2" t="n">
        <v>2474</v>
      </c>
      <c r="B2475" s="2" t="s">
        <v>5219</v>
      </c>
      <c r="C2475" s="2" t="s">
        <v>5220</v>
      </c>
      <c r="D2475" s="2"/>
      <c r="E2475" s="2" t="s">
        <v>1345</v>
      </c>
      <c r="F2475" s="3" t="n">
        <v>4.4E-005</v>
      </c>
      <c r="G2475" s="3" t="n">
        <f aca="false">SUM($F$2:F2475)</f>
        <v>0.9579</v>
      </c>
      <c r="H2475" s="4"/>
      <c r="I2475" s="5"/>
      <c r="J2475" s="4"/>
      <c r="K2475" s="5"/>
      <c r="L2475" s="6"/>
      <c r="M2475" s="5" t="str">
        <f aca="false">IF(AND(N(K2475)&gt;0,N(L2475)&gt;0),K2475/L2475,"")</f>
        <v/>
      </c>
      <c r="N2475" s="2" t="s">
        <v>1226</v>
      </c>
    </row>
    <row r="2476" customFormat="false" ht="15" hidden="false" customHeight="false" outlineLevel="0" collapsed="false">
      <c r="A2476" s="2" t="n">
        <v>2475</v>
      </c>
      <c r="B2476" s="2" t="s">
        <v>5221</v>
      </c>
      <c r="C2476" s="2" t="s">
        <v>5222</v>
      </c>
      <c r="D2476" s="2"/>
      <c r="E2476" s="2" t="s">
        <v>826</v>
      </c>
      <c r="F2476" s="3" t="n">
        <v>4.4E-005</v>
      </c>
      <c r="G2476" s="3" t="n">
        <f aca="false">SUM($F$2:F2476)</f>
        <v>0.957944</v>
      </c>
      <c r="H2476" s="4"/>
      <c r="I2476" s="5"/>
      <c r="J2476" s="4"/>
      <c r="K2476" s="5"/>
      <c r="L2476" s="6"/>
      <c r="M2476" s="5" t="str">
        <f aca="false">IF(AND(N(K2476)&gt;0,N(L2476)&gt;0),K2476/L2476,"")</f>
        <v/>
      </c>
      <c r="N2476" s="2" t="s">
        <v>1226</v>
      </c>
    </row>
    <row r="2477" customFormat="false" ht="15" hidden="false" customHeight="false" outlineLevel="0" collapsed="false">
      <c r="A2477" s="2" t="n">
        <v>2476</v>
      </c>
      <c r="B2477" s="2" t="s">
        <v>5223</v>
      </c>
      <c r="C2477" s="2" t="s">
        <v>5224</v>
      </c>
      <c r="D2477" s="2"/>
      <c r="E2477" s="2" t="s">
        <v>25</v>
      </c>
      <c r="F2477" s="3" t="n">
        <v>4.4E-005</v>
      </c>
      <c r="G2477" s="3" t="n">
        <f aca="false">SUM($F$2:F2477)</f>
        <v>0.957988</v>
      </c>
      <c r="H2477" s="4"/>
      <c r="I2477" s="5"/>
      <c r="J2477" s="4"/>
      <c r="K2477" s="5"/>
      <c r="L2477" s="6"/>
      <c r="M2477" s="5" t="str">
        <f aca="false">IF(AND(N(K2477)&gt;0,N(L2477)&gt;0),K2477/L2477,"")</f>
        <v/>
      </c>
      <c r="N2477" s="2" t="s">
        <v>1226</v>
      </c>
    </row>
    <row r="2478" customFormat="false" ht="15" hidden="false" customHeight="false" outlineLevel="0" collapsed="false">
      <c r="A2478" s="2" t="n">
        <v>2477</v>
      </c>
      <c r="B2478" s="2" t="s">
        <v>5225</v>
      </c>
      <c r="C2478" s="2" t="s">
        <v>5226</v>
      </c>
      <c r="D2478" s="2"/>
      <c r="E2478" s="2" t="s">
        <v>48</v>
      </c>
      <c r="F2478" s="3" t="n">
        <v>4.4E-005</v>
      </c>
      <c r="G2478" s="3" t="n">
        <f aca="false">SUM($F$2:F2478)</f>
        <v>0.958032</v>
      </c>
      <c r="H2478" s="4"/>
      <c r="I2478" s="5"/>
      <c r="J2478" s="4"/>
      <c r="K2478" s="5"/>
      <c r="L2478" s="6"/>
      <c r="M2478" s="5" t="str">
        <f aca="false">IF(AND(N(K2478)&gt;0,N(L2478)&gt;0),K2478/L2478,"")</f>
        <v/>
      </c>
      <c r="N2478" s="2" t="s">
        <v>1226</v>
      </c>
    </row>
    <row r="2479" customFormat="false" ht="15" hidden="false" customHeight="false" outlineLevel="0" collapsed="false">
      <c r="A2479" s="2" t="n">
        <v>2478</v>
      </c>
      <c r="B2479" s="2" t="s">
        <v>5227</v>
      </c>
      <c r="C2479" s="2" t="s">
        <v>5228</v>
      </c>
      <c r="D2479" s="2"/>
      <c r="E2479" s="2" t="s">
        <v>334</v>
      </c>
      <c r="F2479" s="3" t="n">
        <v>4.4E-005</v>
      </c>
      <c r="G2479" s="3" t="n">
        <f aca="false">SUM($F$2:F2479)</f>
        <v>0.958076</v>
      </c>
      <c r="H2479" s="4"/>
      <c r="I2479" s="5"/>
      <c r="J2479" s="4"/>
      <c r="K2479" s="5"/>
      <c r="L2479" s="6"/>
      <c r="M2479" s="5" t="str">
        <f aca="false">IF(AND(N(K2479)&gt;0,N(L2479)&gt;0),K2479/L2479,"")</f>
        <v/>
      </c>
      <c r="N2479" s="2" t="s">
        <v>1226</v>
      </c>
    </row>
    <row r="2480" customFormat="false" ht="15" hidden="false" customHeight="false" outlineLevel="0" collapsed="false">
      <c r="A2480" s="2" t="n">
        <v>2479</v>
      </c>
      <c r="B2480" s="2" t="s">
        <v>5229</v>
      </c>
      <c r="C2480" s="2" t="s">
        <v>5230</v>
      </c>
      <c r="D2480" s="2"/>
      <c r="E2480" s="2" t="s">
        <v>1345</v>
      </c>
      <c r="F2480" s="3" t="n">
        <v>4.3E-005</v>
      </c>
      <c r="G2480" s="3" t="n">
        <f aca="false">SUM($F$2:F2480)</f>
        <v>0.958119</v>
      </c>
      <c r="H2480" s="4"/>
      <c r="I2480" s="5"/>
      <c r="J2480" s="4"/>
      <c r="K2480" s="5"/>
      <c r="L2480" s="6"/>
      <c r="M2480" s="5" t="str">
        <f aca="false">IF(AND(N(K2480)&gt;0,N(L2480)&gt;0),K2480/L2480,"")</f>
        <v/>
      </c>
      <c r="N2480" s="2" t="s">
        <v>1226</v>
      </c>
    </row>
    <row r="2481" customFormat="false" ht="15" hidden="false" customHeight="false" outlineLevel="0" collapsed="false">
      <c r="A2481" s="2" t="n">
        <v>2480</v>
      </c>
      <c r="B2481" s="2" t="s">
        <v>5231</v>
      </c>
      <c r="C2481" s="2" t="s">
        <v>5232</v>
      </c>
      <c r="D2481" s="2"/>
      <c r="E2481" s="2" t="s">
        <v>21</v>
      </c>
      <c r="F2481" s="3" t="n">
        <v>4.3E-005</v>
      </c>
      <c r="G2481" s="3" t="n">
        <f aca="false">SUM($F$2:F2481)</f>
        <v>0.958162</v>
      </c>
      <c r="H2481" s="4"/>
      <c r="I2481" s="5"/>
      <c r="J2481" s="4"/>
      <c r="K2481" s="5"/>
      <c r="L2481" s="6"/>
      <c r="M2481" s="5" t="str">
        <f aca="false">IF(AND(N(K2481)&gt;0,N(L2481)&gt;0),K2481/L2481,"")</f>
        <v/>
      </c>
      <c r="N2481" s="2" t="s">
        <v>1226</v>
      </c>
    </row>
    <row r="2482" customFormat="false" ht="15" hidden="false" customHeight="false" outlineLevel="0" collapsed="false">
      <c r="A2482" s="2" t="n">
        <v>2481</v>
      </c>
      <c r="B2482" s="2" t="s">
        <v>5233</v>
      </c>
      <c r="C2482" s="2" t="s">
        <v>5234</v>
      </c>
      <c r="D2482" s="2"/>
      <c r="E2482" s="2" t="s">
        <v>199</v>
      </c>
      <c r="F2482" s="3" t="n">
        <v>4.3E-005</v>
      </c>
      <c r="G2482" s="3" t="n">
        <f aca="false">SUM($F$2:F2482)</f>
        <v>0.958205</v>
      </c>
      <c r="H2482" s="4"/>
      <c r="I2482" s="5"/>
      <c r="J2482" s="4"/>
      <c r="K2482" s="5"/>
      <c r="L2482" s="6"/>
      <c r="M2482" s="5" t="str">
        <f aca="false">IF(AND(N(K2482)&gt;0,N(L2482)&gt;0),K2482/L2482,"")</f>
        <v/>
      </c>
      <c r="N2482" s="2" t="s">
        <v>1226</v>
      </c>
    </row>
    <row r="2483" customFormat="false" ht="15" hidden="false" customHeight="false" outlineLevel="0" collapsed="false">
      <c r="A2483" s="2" t="n">
        <v>2482</v>
      </c>
      <c r="B2483" s="2" t="s">
        <v>5235</v>
      </c>
      <c r="C2483" s="2" t="s">
        <v>5236</v>
      </c>
      <c r="D2483" s="2"/>
      <c r="E2483" s="2" t="s">
        <v>17</v>
      </c>
      <c r="F2483" s="3" t="n">
        <v>4.3E-005</v>
      </c>
      <c r="G2483" s="3" t="n">
        <f aca="false">SUM($F$2:F2483)</f>
        <v>0.958248</v>
      </c>
      <c r="H2483" s="4"/>
      <c r="I2483" s="5"/>
      <c r="J2483" s="4"/>
      <c r="K2483" s="5"/>
      <c r="L2483" s="6"/>
      <c r="M2483" s="5" t="str">
        <f aca="false">IF(AND(N(K2483)&gt;0,N(L2483)&gt;0),K2483/L2483,"")</f>
        <v/>
      </c>
      <c r="N2483" s="2" t="s">
        <v>1226</v>
      </c>
    </row>
    <row r="2484" customFormat="false" ht="15" hidden="false" customHeight="false" outlineLevel="0" collapsed="false">
      <c r="A2484" s="2" t="n">
        <v>2483</v>
      </c>
      <c r="B2484" s="2" t="s">
        <v>5237</v>
      </c>
      <c r="C2484" s="2" t="s">
        <v>5238</v>
      </c>
      <c r="D2484" s="2"/>
      <c r="E2484" s="2" t="s">
        <v>1588</v>
      </c>
      <c r="F2484" s="3" t="n">
        <v>4.3E-005</v>
      </c>
      <c r="G2484" s="3" t="n">
        <f aca="false">SUM($F$2:F2484)</f>
        <v>0.958291</v>
      </c>
      <c r="H2484" s="4"/>
      <c r="I2484" s="5"/>
      <c r="J2484" s="4"/>
      <c r="K2484" s="5"/>
      <c r="L2484" s="6"/>
      <c r="M2484" s="5" t="str">
        <f aca="false">IF(AND(N(K2484)&gt;0,N(L2484)&gt;0),K2484/L2484,"")</f>
        <v/>
      </c>
      <c r="N2484" s="2" t="s">
        <v>1226</v>
      </c>
    </row>
    <row r="2485" customFormat="false" ht="15" hidden="false" customHeight="false" outlineLevel="0" collapsed="false">
      <c r="A2485" s="2" t="n">
        <v>2484</v>
      </c>
      <c r="B2485" s="2" t="s">
        <v>5239</v>
      </c>
      <c r="C2485" s="2" t="s">
        <v>5240</v>
      </c>
      <c r="D2485" s="2"/>
      <c r="E2485" s="2" t="s">
        <v>173</v>
      </c>
      <c r="F2485" s="3" t="n">
        <v>4.3E-005</v>
      </c>
      <c r="G2485" s="3" t="n">
        <f aca="false">SUM($F$2:F2485)</f>
        <v>0.958334</v>
      </c>
      <c r="H2485" s="4"/>
      <c r="I2485" s="5"/>
      <c r="J2485" s="4"/>
      <c r="K2485" s="5"/>
      <c r="L2485" s="6"/>
      <c r="M2485" s="5" t="str">
        <f aca="false">IF(AND(N(K2485)&gt;0,N(L2485)&gt;0),K2485/L2485,"")</f>
        <v/>
      </c>
      <c r="N2485" s="2" t="s">
        <v>1226</v>
      </c>
    </row>
    <row r="2486" customFormat="false" ht="15" hidden="false" customHeight="false" outlineLevel="0" collapsed="false">
      <c r="A2486" s="2" t="n">
        <v>2485</v>
      </c>
      <c r="B2486" s="2" t="s">
        <v>5241</v>
      </c>
      <c r="C2486" s="2" t="s">
        <v>5242</v>
      </c>
      <c r="D2486" s="2"/>
      <c r="E2486" s="2" t="s">
        <v>52</v>
      </c>
      <c r="F2486" s="3" t="n">
        <v>4.3E-005</v>
      </c>
      <c r="G2486" s="3" t="n">
        <f aca="false">SUM($F$2:F2486)</f>
        <v>0.958377</v>
      </c>
      <c r="H2486" s="4"/>
      <c r="I2486" s="5"/>
      <c r="J2486" s="4"/>
      <c r="K2486" s="5"/>
      <c r="L2486" s="6"/>
      <c r="M2486" s="5" t="str">
        <f aca="false">IF(AND(N(K2486)&gt;0,N(L2486)&gt;0),K2486/L2486,"")</f>
        <v/>
      </c>
      <c r="N2486" s="2" t="s">
        <v>1226</v>
      </c>
    </row>
    <row r="2487" customFormat="false" ht="15" hidden="false" customHeight="false" outlineLevel="0" collapsed="false">
      <c r="A2487" s="2" t="n">
        <v>2486</v>
      </c>
      <c r="B2487" s="2" t="s">
        <v>5243</v>
      </c>
      <c r="C2487" s="2" t="s">
        <v>5244</v>
      </c>
      <c r="D2487" s="2"/>
      <c r="E2487" s="2" t="s">
        <v>33</v>
      </c>
      <c r="F2487" s="3" t="n">
        <v>4.3E-005</v>
      </c>
      <c r="G2487" s="3" t="n">
        <f aca="false">SUM($F$2:F2487)</f>
        <v>0.95842</v>
      </c>
      <c r="H2487" s="4"/>
      <c r="I2487" s="5"/>
      <c r="J2487" s="4"/>
      <c r="K2487" s="5"/>
      <c r="L2487" s="6"/>
      <c r="M2487" s="5" t="str">
        <f aca="false">IF(AND(N(K2487)&gt;0,N(L2487)&gt;0),K2487/L2487,"")</f>
        <v/>
      </c>
      <c r="N2487" s="2" t="s">
        <v>1226</v>
      </c>
    </row>
    <row r="2488" customFormat="false" ht="15" hidden="false" customHeight="false" outlineLevel="0" collapsed="false">
      <c r="A2488" s="2" t="n">
        <v>2487</v>
      </c>
      <c r="B2488" s="2" t="s">
        <v>5245</v>
      </c>
      <c r="C2488" s="2" t="s">
        <v>5246</v>
      </c>
      <c r="D2488" s="2"/>
      <c r="E2488" s="2" t="s">
        <v>334</v>
      </c>
      <c r="F2488" s="3" t="n">
        <v>4.3E-005</v>
      </c>
      <c r="G2488" s="3" t="n">
        <f aca="false">SUM($F$2:F2488)</f>
        <v>0.958463</v>
      </c>
      <c r="H2488" s="4"/>
      <c r="I2488" s="5"/>
      <c r="J2488" s="4"/>
      <c r="K2488" s="5"/>
      <c r="L2488" s="6"/>
      <c r="M2488" s="5" t="str">
        <f aca="false">IF(AND(N(K2488)&gt;0,N(L2488)&gt;0),K2488/L2488,"")</f>
        <v/>
      </c>
      <c r="N2488" s="2" t="s">
        <v>1226</v>
      </c>
    </row>
    <row r="2489" customFormat="false" ht="15" hidden="false" customHeight="false" outlineLevel="0" collapsed="false">
      <c r="A2489" s="2" t="n">
        <v>2488</v>
      </c>
      <c r="B2489" s="2" t="s">
        <v>5247</v>
      </c>
      <c r="C2489" s="2" t="s">
        <v>5248</v>
      </c>
      <c r="D2489" s="2"/>
      <c r="E2489" s="2" t="s">
        <v>25</v>
      </c>
      <c r="F2489" s="3" t="n">
        <v>4.3E-005</v>
      </c>
      <c r="G2489" s="3" t="n">
        <f aca="false">SUM($F$2:F2489)</f>
        <v>0.958506</v>
      </c>
      <c r="H2489" s="4"/>
      <c r="I2489" s="5"/>
      <c r="J2489" s="4"/>
      <c r="K2489" s="5"/>
      <c r="L2489" s="6"/>
      <c r="M2489" s="5" t="str">
        <f aca="false">IF(AND(N(K2489)&gt;0,N(L2489)&gt;0),K2489/L2489,"")</f>
        <v/>
      </c>
      <c r="N2489" s="2" t="s">
        <v>1226</v>
      </c>
    </row>
    <row r="2490" customFormat="false" ht="15" hidden="false" customHeight="false" outlineLevel="0" collapsed="false">
      <c r="A2490" s="2" t="n">
        <v>2489</v>
      </c>
      <c r="B2490" s="2" t="s">
        <v>5249</v>
      </c>
      <c r="C2490" s="2" t="s">
        <v>5250</v>
      </c>
      <c r="D2490" s="2"/>
      <c r="E2490" s="2" t="s">
        <v>17</v>
      </c>
      <c r="F2490" s="3" t="n">
        <v>4.3E-005</v>
      </c>
      <c r="G2490" s="3" t="n">
        <f aca="false">SUM($F$2:F2490)</f>
        <v>0.958549</v>
      </c>
      <c r="H2490" s="4"/>
      <c r="I2490" s="5"/>
      <c r="J2490" s="4"/>
      <c r="K2490" s="5"/>
      <c r="L2490" s="6"/>
      <c r="M2490" s="5" t="str">
        <f aca="false">IF(AND(N(K2490)&gt;0,N(L2490)&gt;0),K2490/L2490,"")</f>
        <v/>
      </c>
      <c r="N2490" s="2" t="s">
        <v>1226</v>
      </c>
    </row>
    <row r="2491" customFormat="false" ht="15" hidden="false" customHeight="false" outlineLevel="0" collapsed="false">
      <c r="A2491" s="2" t="n">
        <v>2490</v>
      </c>
      <c r="B2491" s="2" t="s">
        <v>5251</v>
      </c>
      <c r="C2491" s="2" t="s">
        <v>5252</v>
      </c>
      <c r="D2491" s="2"/>
      <c r="E2491" s="2" t="s">
        <v>539</v>
      </c>
      <c r="F2491" s="3" t="n">
        <v>4.3E-005</v>
      </c>
      <c r="G2491" s="3" t="n">
        <f aca="false">SUM($F$2:F2491)</f>
        <v>0.958592</v>
      </c>
      <c r="H2491" s="4"/>
      <c r="I2491" s="5"/>
      <c r="J2491" s="4"/>
      <c r="K2491" s="5"/>
      <c r="L2491" s="6"/>
      <c r="M2491" s="5" t="str">
        <f aca="false">IF(AND(N(K2491)&gt;0,N(L2491)&gt;0),K2491/L2491,"")</f>
        <v/>
      </c>
      <c r="N2491" s="2" t="s">
        <v>1226</v>
      </c>
    </row>
    <row r="2492" customFormat="false" ht="15" hidden="false" customHeight="false" outlineLevel="0" collapsed="false">
      <c r="A2492" s="2" t="n">
        <v>2491</v>
      </c>
      <c r="B2492" s="2" t="s">
        <v>5253</v>
      </c>
      <c r="C2492" s="2" t="s">
        <v>5254</v>
      </c>
      <c r="D2492" s="2"/>
      <c r="E2492" s="2" t="s">
        <v>1295</v>
      </c>
      <c r="F2492" s="3" t="n">
        <v>4.3E-005</v>
      </c>
      <c r="G2492" s="3" t="n">
        <f aca="false">SUM($F$2:F2492)</f>
        <v>0.958635</v>
      </c>
      <c r="H2492" s="4"/>
      <c r="I2492" s="5"/>
      <c r="J2492" s="4"/>
      <c r="K2492" s="5"/>
      <c r="L2492" s="6"/>
      <c r="M2492" s="5" t="str">
        <f aca="false">IF(AND(N(K2492)&gt;0,N(L2492)&gt;0),K2492/L2492,"")</f>
        <v/>
      </c>
      <c r="N2492" s="2" t="s">
        <v>1226</v>
      </c>
    </row>
    <row r="2493" customFormat="false" ht="15" hidden="false" customHeight="false" outlineLevel="0" collapsed="false">
      <c r="A2493" s="2" t="n">
        <v>2492</v>
      </c>
      <c r="B2493" s="2" t="s">
        <v>5255</v>
      </c>
      <c r="C2493" s="2" t="s">
        <v>5256</v>
      </c>
      <c r="D2493" s="2"/>
      <c r="E2493" s="2" t="s">
        <v>289</v>
      </c>
      <c r="F2493" s="3" t="n">
        <v>4.3E-005</v>
      </c>
      <c r="G2493" s="3" t="n">
        <f aca="false">SUM($F$2:F2493)</f>
        <v>0.958678</v>
      </c>
      <c r="H2493" s="4"/>
      <c r="I2493" s="5"/>
      <c r="J2493" s="4"/>
      <c r="K2493" s="5"/>
      <c r="L2493" s="6"/>
      <c r="M2493" s="5" t="str">
        <f aca="false">IF(AND(N(K2493)&gt;0,N(L2493)&gt;0),K2493/L2493,"")</f>
        <v/>
      </c>
      <c r="N2493" s="2" t="s">
        <v>1226</v>
      </c>
    </row>
    <row r="2494" customFormat="false" ht="15" hidden="false" customHeight="false" outlineLevel="0" collapsed="false">
      <c r="A2494" s="2" t="n">
        <v>2493</v>
      </c>
      <c r="B2494" s="2" t="s">
        <v>5257</v>
      </c>
      <c r="C2494" s="2" t="s">
        <v>5258</v>
      </c>
      <c r="D2494" s="2"/>
      <c r="E2494" s="2" t="s">
        <v>29</v>
      </c>
      <c r="F2494" s="3" t="n">
        <v>4.3E-005</v>
      </c>
      <c r="G2494" s="3" t="n">
        <f aca="false">SUM($F$2:F2494)</f>
        <v>0.958721</v>
      </c>
      <c r="H2494" s="4"/>
      <c r="I2494" s="5"/>
      <c r="J2494" s="4"/>
      <c r="K2494" s="5"/>
      <c r="L2494" s="6"/>
      <c r="M2494" s="5" t="str">
        <f aca="false">IF(AND(N(K2494)&gt;0,N(L2494)&gt;0),K2494/L2494,"")</f>
        <v/>
      </c>
      <c r="N2494" s="2" t="s">
        <v>1226</v>
      </c>
    </row>
    <row r="2495" customFormat="false" ht="15" hidden="false" customHeight="false" outlineLevel="0" collapsed="false">
      <c r="A2495" s="2" t="n">
        <v>2494</v>
      </c>
      <c r="B2495" s="2" t="s">
        <v>5259</v>
      </c>
      <c r="C2495" s="2" t="s">
        <v>5260</v>
      </c>
      <c r="D2495" s="2"/>
      <c r="E2495" s="2" t="s">
        <v>334</v>
      </c>
      <c r="F2495" s="3" t="n">
        <v>4.3E-005</v>
      </c>
      <c r="G2495" s="3" t="n">
        <f aca="false">SUM($F$2:F2495)</f>
        <v>0.958764</v>
      </c>
      <c r="H2495" s="4"/>
      <c r="I2495" s="5"/>
      <c r="J2495" s="4"/>
      <c r="K2495" s="5"/>
      <c r="L2495" s="6"/>
      <c r="M2495" s="5" t="str">
        <f aca="false">IF(AND(N(K2495)&gt;0,N(L2495)&gt;0),K2495/L2495,"")</f>
        <v/>
      </c>
      <c r="N2495" s="2" t="s">
        <v>1226</v>
      </c>
    </row>
    <row r="2496" customFormat="false" ht="15" hidden="false" customHeight="false" outlineLevel="0" collapsed="false">
      <c r="A2496" s="2" t="n">
        <v>2495</v>
      </c>
      <c r="B2496" s="2" t="s">
        <v>5261</v>
      </c>
      <c r="C2496" s="2" t="s">
        <v>5262</v>
      </c>
      <c r="D2496" s="2"/>
      <c r="E2496" s="2" t="s">
        <v>29</v>
      </c>
      <c r="F2496" s="3" t="n">
        <v>4.3E-005</v>
      </c>
      <c r="G2496" s="3" t="n">
        <f aca="false">SUM($F$2:F2496)</f>
        <v>0.958807</v>
      </c>
      <c r="H2496" s="4"/>
      <c r="I2496" s="5"/>
      <c r="J2496" s="4"/>
      <c r="K2496" s="5"/>
      <c r="L2496" s="6"/>
      <c r="M2496" s="5" t="str">
        <f aca="false">IF(AND(N(K2496)&gt;0,N(L2496)&gt;0),K2496/L2496,"")</f>
        <v/>
      </c>
      <c r="N2496" s="2" t="s">
        <v>1226</v>
      </c>
    </row>
    <row r="2497" customFormat="false" ht="15" hidden="false" customHeight="false" outlineLevel="0" collapsed="false">
      <c r="A2497" s="2" t="n">
        <v>2496</v>
      </c>
      <c r="B2497" s="2" t="s">
        <v>5263</v>
      </c>
      <c r="C2497" s="2" t="s">
        <v>5264</v>
      </c>
      <c r="D2497" s="2"/>
      <c r="E2497" s="2" t="s">
        <v>1345</v>
      </c>
      <c r="F2497" s="3" t="n">
        <v>4.3E-005</v>
      </c>
      <c r="G2497" s="3" t="n">
        <f aca="false">SUM($F$2:F2497)</f>
        <v>0.95885</v>
      </c>
      <c r="H2497" s="4"/>
      <c r="I2497" s="5"/>
      <c r="J2497" s="4"/>
      <c r="K2497" s="5"/>
      <c r="L2497" s="6"/>
      <c r="M2497" s="5" t="str">
        <f aca="false">IF(AND(N(K2497)&gt;0,N(L2497)&gt;0),K2497/L2497,"")</f>
        <v/>
      </c>
      <c r="N2497" s="2" t="s">
        <v>1226</v>
      </c>
    </row>
    <row r="2498" customFormat="false" ht="15" hidden="false" customHeight="false" outlineLevel="0" collapsed="false">
      <c r="A2498" s="2" t="n">
        <v>2497</v>
      </c>
      <c r="B2498" s="2" t="s">
        <v>5265</v>
      </c>
      <c r="C2498" s="2" t="s">
        <v>5266</v>
      </c>
      <c r="D2498" s="2"/>
      <c r="E2498" s="2" t="s">
        <v>17</v>
      </c>
      <c r="F2498" s="3" t="n">
        <v>4.3E-005</v>
      </c>
      <c r="G2498" s="3" t="n">
        <f aca="false">SUM($F$2:F2498)</f>
        <v>0.958893</v>
      </c>
      <c r="H2498" s="4"/>
      <c r="I2498" s="5"/>
      <c r="J2498" s="4"/>
      <c r="K2498" s="5"/>
      <c r="L2498" s="6"/>
      <c r="M2498" s="5" t="str">
        <f aca="false">IF(AND(N(K2498)&gt;0,N(L2498)&gt;0),K2498/L2498,"")</f>
        <v/>
      </c>
      <c r="N2498" s="2" t="s">
        <v>1226</v>
      </c>
    </row>
    <row r="2499" customFormat="false" ht="15" hidden="false" customHeight="false" outlineLevel="0" collapsed="false">
      <c r="A2499" s="2" t="n">
        <v>2498</v>
      </c>
      <c r="B2499" s="2" t="s">
        <v>5267</v>
      </c>
      <c r="C2499" s="2" t="s">
        <v>5268</v>
      </c>
      <c r="D2499" s="2"/>
      <c r="E2499" s="2" t="s">
        <v>52</v>
      </c>
      <c r="F2499" s="3" t="n">
        <v>4.3E-005</v>
      </c>
      <c r="G2499" s="3" t="n">
        <f aca="false">SUM($F$2:F2499)</f>
        <v>0.958936</v>
      </c>
      <c r="H2499" s="4"/>
      <c r="I2499" s="5"/>
      <c r="J2499" s="4"/>
      <c r="K2499" s="5"/>
      <c r="L2499" s="6"/>
      <c r="M2499" s="5" t="str">
        <f aca="false">IF(AND(N(K2499)&gt;0,N(L2499)&gt;0),K2499/L2499,"")</f>
        <v/>
      </c>
      <c r="N2499" s="2" t="s">
        <v>1226</v>
      </c>
    </row>
    <row r="2500" customFormat="false" ht="15" hidden="false" customHeight="false" outlineLevel="0" collapsed="false">
      <c r="A2500" s="2" t="n">
        <v>2499</v>
      </c>
      <c r="B2500" s="2" t="s">
        <v>5269</v>
      </c>
      <c r="C2500" s="2" t="s">
        <v>5270</v>
      </c>
      <c r="D2500" s="2"/>
      <c r="E2500" s="2" t="s">
        <v>289</v>
      </c>
      <c r="F2500" s="3" t="n">
        <v>4.2E-005</v>
      </c>
      <c r="G2500" s="3" t="n">
        <f aca="false">SUM($F$2:F2500)</f>
        <v>0.958978</v>
      </c>
      <c r="H2500" s="4"/>
      <c r="I2500" s="5"/>
      <c r="J2500" s="4"/>
      <c r="K2500" s="5"/>
      <c r="L2500" s="6"/>
      <c r="M2500" s="5" t="str">
        <f aca="false">IF(AND(N(K2500)&gt;0,N(L2500)&gt;0),K2500/L2500,"")</f>
        <v/>
      </c>
      <c r="N2500" s="2" t="s">
        <v>1226</v>
      </c>
    </row>
    <row r="2501" customFormat="false" ht="15" hidden="false" customHeight="false" outlineLevel="0" collapsed="false">
      <c r="A2501" s="2" t="n">
        <v>2500</v>
      </c>
      <c r="B2501" s="2" t="s">
        <v>5271</v>
      </c>
      <c r="C2501" s="2" t="s">
        <v>5272</v>
      </c>
      <c r="D2501" s="2"/>
      <c r="E2501" s="2" t="s">
        <v>679</v>
      </c>
      <c r="F2501" s="3" t="n">
        <v>4.2E-005</v>
      </c>
      <c r="G2501" s="3" t="n">
        <f aca="false">SUM($F$2:F2501)</f>
        <v>0.95902</v>
      </c>
      <c r="H2501" s="4"/>
      <c r="I2501" s="5"/>
      <c r="J2501" s="4"/>
      <c r="K2501" s="5"/>
      <c r="L2501" s="6"/>
      <c r="M2501" s="5" t="str">
        <f aca="false">IF(AND(N(K2501)&gt;0,N(L2501)&gt;0),K2501/L2501,"")</f>
        <v/>
      </c>
      <c r="N2501" s="2" t="s">
        <v>1226</v>
      </c>
    </row>
    <row r="2502" customFormat="false" ht="15" hidden="false" customHeight="false" outlineLevel="0" collapsed="false">
      <c r="A2502" s="2" t="n">
        <v>2501</v>
      </c>
      <c r="B2502" s="2" t="s">
        <v>5273</v>
      </c>
      <c r="C2502" s="2" t="s">
        <v>5274</v>
      </c>
      <c r="D2502" s="2"/>
      <c r="E2502" s="2" t="s">
        <v>29</v>
      </c>
      <c r="F2502" s="3" t="n">
        <v>4.2E-005</v>
      </c>
      <c r="G2502" s="3" t="n">
        <f aca="false">SUM($F$2:F2502)</f>
        <v>0.959062</v>
      </c>
      <c r="H2502" s="4"/>
      <c r="I2502" s="5"/>
      <c r="J2502" s="4"/>
      <c r="K2502" s="5"/>
      <c r="L2502" s="6"/>
      <c r="M2502" s="5" t="str">
        <f aca="false">IF(AND(N(K2502)&gt;0,N(L2502)&gt;0),K2502/L2502,"")</f>
        <v/>
      </c>
      <c r="N2502" s="2" t="s">
        <v>1226</v>
      </c>
    </row>
    <row r="2503" customFormat="false" ht="15" hidden="false" customHeight="false" outlineLevel="0" collapsed="false">
      <c r="A2503" s="2" t="n">
        <v>2502</v>
      </c>
      <c r="B2503" s="2" t="s">
        <v>5275</v>
      </c>
      <c r="C2503" s="2" t="s">
        <v>5276</v>
      </c>
      <c r="D2503" s="2"/>
      <c r="E2503" s="2" t="s">
        <v>334</v>
      </c>
      <c r="F2503" s="3" t="n">
        <v>4.2E-005</v>
      </c>
      <c r="G2503" s="3" t="n">
        <f aca="false">SUM($F$2:F2503)</f>
        <v>0.959104</v>
      </c>
      <c r="H2503" s="4"/>
      <c r="I2503" s="5"/>
      <c r="J2503" s="4"/>
      <c r="K2503" s="5"/>
      <c r="L2503" s="6"/>
      <c r="M2503" s="5" t="str">
        <f aca="false">IF(AND(N(K2503)&gt;0,N(L2503)&gt;0),K2503/L2503,"")</f>
        <v/>
      </c>
      <c r="N2503" s="2" t="s">
        <v>1226</v>
      </c>
    </row>
    <row r="2504" customFormat="false" ht="15" hidden="false" customHeight="false" outlineLevel="0" collapsed="false">
      <c r="A2504" s="2" t="n">
        <v>2503</v>
      </c>
      <c r="B2504" s="2" t="s">
        <v>5277</v>
      </c>
      <c r="C2504" s="2" t="s">
        <v>5278</v>
      </c>
      <c r="D2504" s="2"/>
      <c r="E2504" s="2" t="s">
        <v>25</v>
      </c>
      <c r="F2504" s="3" t="n">
        <v>4.2E-005</v>
      </c>
      <c r="G2504" s="3" t="n">
        <f aca="false">SUM($F$2:F2504)</f>
        <v>0.959146</v>
      </c>
      <c r="H2504" s="4"/>
      <c r="I2504" s="5"/>
      <c r="J2504" s="4"/>
      <c r="K2504" s="5"/>
      <c r="L2504" s="6"/>
      <c r="M2504" s="5" t="str">
        <f aca="false">IF(AND(N(K2504)&gt;0,N(L2504)&gt;0),K2504/L2504,"")</f>
        <v/>
      </c>
      <c r="N2504" s="2" t="s">
        <v>1226</v>
      </c>
    </row>
    <row r="2505" customFormat="false" ht="15" hidden="false" customHeight="false" outlineLevel="0" collapsed="false">
      <c r="A2505" s="2" t="n">
        <v>2504</v>
      </c>
      <c r="B2505" s="2" t="s">
        <v>5279</v>
      </c>
      <c r="C2505" s="2" t="s">
        <v>5280</v>
      </c>
      <c r="D2505" s="2"/>
      <c r="E2505" s="2" t="s">
        <v>289</v>
      </c>
      <c r="F2505" s="3" t="n">
        <v>4.2E-005</v>
      </c>
      <c r="G2505" s="3" t="n">
        <f aca="false">SUM($F$2:F2505)</f>
        <v>0.959188</v>
      </c>
      <c r="H2505" s="4"/>
      <c r="I2505" s="5"/>
      <c r="J2505" s="4"/>
      <c r="K2505" s="5"/>
      <c r="L2505" s="6"/>
      <c r="M2505" s="5" t="str">
        <f aca="false">IF(AND(N(K2505)&gt;0,N(L2505)&gt;0),K2505/L2505,"")</f>
        <v/>
      </c>
      <c r="N2505" s="2" t="s">
        <v>1226</v>
      </c>
    </row>
    <row r="2506" customFormat="false" ht="15" hidden="false" customHeight="false" outlineLevel="0" collapsed="false">
      <c r="A2506" s="2" t="n">
        <v>2505</v>
      </c>
      <c r="B2506" s="2" t="s">
        <v>5281</v>
      </c>
      <c r="C2506" s="2" t="s">
        <v>5282</v>
      </c>
      <c r="D2506" s="2"/>
      <c r="E2506" s="2" t="s">
        <v>1345</v>
      </c>
      <c r="F2506" s="3" t="n">
        <v>4.2E-005</v>
      </c>
      <c r="G2506" s="3" t="n">
        <f aca="false">SUM($F$2:F2506)</f>
        <v>0.95923</v>
      </c>
      <c r="H2506" s="4"/>
      <c r="I2506" s="5"/>
      <c r="J2506" s="4"/>
      <c r="K2506" s="5"/>
      <c r="L2506" s="6"/>
      <c r="M2506" s="5" t="str">
        <f aca="false">IF(AND(N(K2506)&gt;0,N(L2506)&gt;0),K2506/L2506,"")</f>
        <v/>
      </c>
      <c r="N2506" s="2" t="s">
        <v>1226</v>
      </c>
    </row>
    <row r="2507" customFormat="false" ht="15" hidden="false" customHeight="false" outlineLevel="0" collapsed="false">
      <c r="A2507" s="2" t="n">
        <v>2506</v>
      </c>
      <c r="B2507" s="2" t="s">
        <v>5283</v>
      </c>
      <c r="C2507" s="2" t="s">
        <v>5284</v>
      </c>
      <c r="D2507" s="2"/>
      <c r="E2507" s="2" t="s">
        <v>1345</v>
      </c>
      <c r="F2507" s="3" t="n">
        <v>4.2E-005</v>
      </c>
      <c r="G2507" s="3" t="n">
        <f aca="false">SUM($F$2:F2507)</f>
        <v>0.959272</v>
      </c>
      <c r="H2507" s="4"/>
      <c r="I2507" s="5"/>
      <c r="J2507" s="4"/>
      <c r="K2507" s="5"/>
      <c r="L2507" s="6"/>
      <c r="M2507" s="5" t="str">
        <f aca="false">IF(AND(N(K2507)&gt;0,N(L2507)&gt;0),K2507/L2507,"")</f>
        <v/>
      </c>
      <c r="N2507" s="2" t="s">
        <v>1226</v>
      </c>
    </row>
    <row r="2508" customFormat="false" ht="15" hidden="false" customHeight="false" outlineLevel="0" collapsed="false">
      <c r="A2508" s="2" t="n">
        <v>2507</v>
      </c>
      <c r="B2508" s="2" t="s">
        <v>5285</v>
      </c>
      <c r="C2508" s="2" t="s">
        <v>5286</v>
      </c>
      <c r="D2508" s="2"/>
      <c r="E2508" s="2" t="s">
        <v>289</v>
      </c>
      <c r="F2508" s="3" t="n">
        <v>4.2E-005</v>
      </c>
      <c r="G2508" s="3" t="n">
        <f aca="false">SUM($F$2:F2508)</f>
        <v>0.959314</v>
      </c>
      <c r="H2508" s="4"/>
      <c r="I2508" s="5"/>
      <c r="J2508" s="4"/>
      <c r="K2508" s="5"/>
      <c r="L2508" s="6"/>
      <c r="M2508" s="5" t="str">
        <f aca="false">IF(AND(N(K2508)&gt;0,N(L2508)&gt;0),K2508/L2508,"")</f>
        <v/>
      </c>
      <c r="N2508" s="2" t="s">
        <v>1226</v>
      </c>
    </row>
    <row r="2509" customFormat="false" ht="15" hidden="false" customHeight="false" outlineLevel="0" collapsed="false">
      <c r="A2509" s="2" t="n">
        <v>2508</v>
      </c>
      <c r="B2509" s="2" t="s">
        <v>5287</v>
      </c>
      <c r="C2509" s="2" t="s">
        <v>5288</v>
      </c>
      <c r="D2509" s="2"/>
      <c r="E2509" s="2" t="s">
        <v>52</v>
      </c>
      <c r="F2509" s="3" t="n">
        <v>4.2E-005</v>
      </c>
      <c r="G2509" s="3" t="n">
        <f aca="false">SUM($F$2:F2509)</f>
        <v>0.959356</v>
      </c>
      <c r="H2509" s="4"/>
      <c r="I2509" s="5"/>
      <c r="J2509" s="4"/>
      <c r="K2509" s="5"/>
      <c r="L2509" s="6"/>
      <c r="M2509" s="5" t="str">
        <f aca="false">IF(AND(N(K2509)&gt;0,N(L2509)&gt;0),K2509/L2509,"")</f>
        <v/>
      </c>
      <c r="N2509" s="2" t="s">
        <v>1226</v>
      </c>
    </row>
    <row r="2510" customFormat="false" ht="15" hidden="false" customHeight="false" outlineLevel="0" collapsed="false">
      <c r="A2510" s="2" t="n">
        <v>2509</v>
      </c>
      <c r="B2510" s="2" t="s">
        <v>5289</v>
      </c>
      <c r="C2510" s="2" t="s">
        <v>5290</v>
      </c>
      <c r="D2510" s="2"/>
      <c r="E2510" s="2" t="s">
        <v>289</v>
      </c>
      <c r="F2510" s="3" t="n">
        <v>4.2E-005</v>
      </c>
      <c r="G2510" s="3" t="n">
        <f aca="false">SUM($F$2:F2510)</f>
        <v>0.959398</v>
      </c>
      <c r="H2510" s="4"/>
      <c r="I2510" s="5"/>
      <c r="J2510" s="4"/>
      <c r="K2510" s="5"/>
      <c r="L2510" s="6"/>
      <c r="M2510" s="5" t="str">
        <f aca="false">IF(AND(N(K2510)&gt;0,N(L2510)&gt;0),K2510/L2510,"")</f>
        <v/>
      </c>
      <c r="N2510" s="2" t="s">
        <v>1226</v>
      </c>
    </row>
    <row r="2511" customFormat="false" ht="15" hidden="false" customHeight="false" outlineLevel="0" collapsed="false">
      <c r="A2511" s="2" t="n">
        <v>2510</v>
      </c>
      <c r="B2511" s="2" t="s">
        <v>5291</v>
      </c>
      <c r="C2511" s="2" t="s">
        <v>5292</v>
      </c>
      <c r="D2511" s="2"/>
      <c r="E2511" s="2" t="s">
        <v>1345</v>
      </c>
      <c r="F2511" s="3" t="n">
        <v>4.2E-005</v>
      </c>
      <c r="G2511" s="3" t="n">
        <f aca="false">SUM($F$2:F2511)</f>
        <v>0.95944</v>
      </c>
      <c r="H2511" s="4"/>
      <c r="I2511" s="5"/>
      <c r="J2511" s="4"/>
      <c r="K2511" s="5"/>
      <c r="L2511" s="6"/>
      <c r="M2511" s="5" t="str">
        <f aca="false">IF(AND(N(K2511)&gt;0,N(L2511)&gt;0),K2511/L2511,"")</f>
        <v/>
      </c>
      <c r="N2511" s="2" t="s">
        <v>1226</v>
      </c>
    </row>
    <row r="2512" customFormat="false" ht="15" hidden="false" customHeight="false" outlineLevel="0" collapsed="false">
      <c r="A2512" s="2" t="n">
        <v>2511</v>
      </c>
      <c r="B2512" s="2" t="s">
        <v>5293</v>
      </c>
      <c r="C2512" s="2" t="s">
        <v>5294</v>
      </c>
      <c r="D2512" s="2"/>
      <c r="E2512" s="2" t="s">
        <v>25</v>
      </c>
      <c r="F2512" s="3" t="n">
        <v>4.2E-005</v>
      </c>
      <c r="G2512" s="3" t="n">
        <f aca="false">SUM($F$2:F2512)</f>
        <v>0.959482</v>
      </c>
      <c r="H2512" s="4"/>
      <c r="I2512" s="5"/>
      <c r="J2512" s="4"/>
      <c r="K2512" s="5"/>
      <c r="L2512" s="6"/>
      <c r="M2512" s="5" t="str">
        <f aca="false">IF(AND(N(K2512)&gt;0,N(L2512)&gt;0),K2512/L2512,"")</f>
        <v/>
      </c>
      <c r="N2512" s="2" t="s">
        <v>1226</v>
      </c>
    </row>
    <row r="2513" customFormat="false" ht="15" hidden="false" customHeight="false" outlineLevel="0" collapsed="false">
      <c r="A2513" s="2" t="n">
        <v>2512</v>
      </c>
      <c r="B2513" s="2" t="s">
        <v>5295</v>
      </c>
      <c r="C2513" s="2" t="s">
        <v>5296</v>
      </c>
      <c r="D2513" s="2"/>
      <c r="E2513" s="2" t="s">
        <v>48</v>
      </c>
      <c r="F2513" s="3" t="n">
        <v>4.2E-005</v>
      </c>
      <c r="G2513" s="3" t="n">
        <f aca="false">SUM($F$2:F2513)</f>
        <v>0.959524</v>
      </c>
      <c r="H2513" s="4"/>
      <c r="I2513" s="5"/>
      <c r="J2513" s="4"/>
      <c r="K2513" s="5"/>
      <c r="L2513" s="6"/>
      <c r="M2513" s="5" t="str">
        <f aca="false">IF(AND(N(K2513)&gt;0,N(L2513)&gt;0),K2513/L2513,"")</f>
        <v/>
      </c>
      <c r="N2513" s="2" t="s">
        <v>1226</v>
      </c>
    </row>
    <row r="2514" customFormat="false" ht="15" hidden="false" customHeight="false" outlineLevel="0" collapsed="false">
      <c r="A2514" s="2" t="n">
        <v>2513</v>
      </c>
      <c r="B2514" s="2" t="s">
        <v>5297</v>
      </c>
      <c r="C2514" s="2" t="s">
        <v>5298</v>
      </c>
      <c r="D2514" s="2"/>
      <c r="E2514" s="2" t="s">
        <v>765</v>
      </c>
      <c r="F2514" s="3" t="n">
        <v>4.2E-005</v>
      </c>
      <c r="G2514" s="3" t="n">
        <f aca="false">SUM($F$2:F2514)</f>
        <v>0.959566</v>
      </c>
      <c r="H2514" s="4"/>
      <c r="I2514" s="5"/>
      <c r="J2514" s="4"/>
      <c r="K2514" s="5"/>
      <c r="L2514" s="6"/>
      <c r="M2514" s="5" t="str">
        <f aca="false">IF(AND(N(K2514)&gt;0,N(L2514)&gt;0),K2514/L2514,"")</f>
        <v/>
      </c>
      <c r="N2514" s="2" t="s">
        <v>1226</v>
      </c>
    </row>
    <row r="2515" customFormat="false" ht="15" hidden="false" customHeight="false" outlineLevel="0" collapsed="false">
      <c r="A2515" s="2" t="n">
        <v>2514</v>
      </c>
      <c r="B2515" s="2" t="s">
        <v>5299</v>
      </c>
      <c r="C2515" s="2" t="s">
        <v>5300</v>
      </c>
      <c r="D2515" s="2"/>
      <c r="E2515" s="2" t="s">
        <v>25</v>
      </c>
      <c r="F2515" s="3" t="n">
        <v>4.2E-005</v>
      </c>
      <c r="G2515" s="3" t="n">
        <f aca="false">SUM($F$2:F2515)</f>
        <v>0.959608</v>
      </c>
      <c r="H2515" s="4"/>
      <c r="I2515" s="5"/>
      <c r="J2515" s="4"/>
      <c r="K2515" s="5"/>
      <c r="L2515" s="6"/>
      <c r="M2515" s="5" t="str">
        <f aca="false">IF(AND(N(K2515)&gt;0,N(L2515)&gt;0),K2515/L2515,"")</f>
        <v/>
      </c>
      <c r="N2515" s="2" t="s">
        <v>1226</v>
      </c>
    </row>
    <row r="2516" customFormat="false" ht="15" hidden="false" customHeight="false" outlineLevel="0" collapsed="false">
      <c r="A2516" s="2" t="n">
        <v>2515</v>
      </c>
      <c r="B2516" s="2" t="s">
        <v>5301</v>
      </c>
      <c r="C2516" s="2" t="s">
        <v>5302</v>
      </c>
      <c r="D2516" s="2"/>
      <c r="E2516" s="2" t="s">
        <v>199</v>
      </c>
      <c r="F2516" s="3" t="n">
        <v>4.2E-005</v>
      </c>
      <c r="G2516" s="3" t="n">
        <f aca="false">SUM($F$2:F2516)</f>
        <v>0.95965</v>
      </c>
      <c r="H2516" s="4"/>
      <c r="I2516" s="5"/>
      <c r="J2516" s="4"/>
      <c r="K2516" s="5"/>
      <c r="L2516" s="6"/>
      <c r="M2516" s="5" t="str">
        <f aca="false">IF(AND(N(K2516)&gt;0,N(L2516)&gt;0),K2516/L2516,"")</f>
        <v/>
      </c>
      <c r="N2516" s="2" t="s">
        <v>1226</v>
      </c>
    </row>
    <row r="2517" customFormat="false" ht="15" hidden="false" customHeight="false" outlineLevel="0" collapsed="false">
      <c r="A2517" s="2" t="n">
        <v>2516</v>
      </c>
      <c r="B2517" s="2" t="s">
        <v>5303</v>
      </c>
      <c r="C2517" s="2" t="s">
        <v>5304</v>
      </c>
      <c r="D2517" s="2"/>
      <c r="E2517" s="2" t="s">
        <v>82</v>
      </c>
      <c r="F2517" s="3" t="n">
        <v>4.2E-005</v>
      </c>
      <c r="G2517" s="3" t="n">
        <f aca="false">SUM($F$2:F2517)</f>
        <v>0.959692</v>
      </c>
      <c r="H2517" s="4"/>
      <c r="I2517" s="5"/>
      <c r="J2517" s="4"/>
      <c r="K2517" s="5"/>
      <c r="L2517" s="6"/>
      <c r="M2517" s="5" t="str">
        <f aca="false">IF(AND(N(K2517)&gt;0,N(L2517)&gt;0),K2517/L2517,"")</f>
        <v/>
      </c>
      <c r="N2517" s="2" t="s">
        <v>1226</v>
      </c>
    </row>
    <row r="2518" customFormat="false" ht="15" hidden="false" customHeight="false" outlineLevel="0" collapsed="false">
      <c r="A2518" s="2" t="n">
        <v>2517</v>
      </c>
      <c r="B2518" s="2" t="s">
        <v>5305</v>
      </c>
      <c r="C2518" s="2" t="s">
        <v>5306</v>
      </c>
      <c r="D2518" s="2"/>
      <c r="E2518" s="2" t="s">
        <v>296</v>
      </c>
      <c r="F2518" s="3" t="n">
        <v>4.2E-005</v>
      </c>
      <c r="G2518" s="3" t="n">
        <f aca="false">SUM($F$2:F2518)</f>
        <v>0.959734</v>
      </c>
      <c r="H2518" s="4"/>
      <c r="I2518" s="5"/>
      <c r="J2518" s="4"/>
      <c r="K2518" s="5"/>
      <c r="L2518" s="6"/>
      <c r="M2518" s="5" t="str">
        <f aca="false">IF(AND(N(K2518)&gt;0,N(L2518)&gt;0),K2518/L2518,"")</f>
        <v/>
      </c>
      <c r="N2518" s="2" t="s">
        <v>1226</v>
      </c>
    </row>
    <row r="2519" customFormat="false" ht="15" hidden="false" customHeight="false" outlineLevel="0" collapsed="false">
      <c r="A2519" s="2" t="n">
        <v>2518</v>
      </c>
      <c r="B2519" s="2" t="s">
        <v>5307</v>
      </c>
      <c r="C2519" s="2" t="s">
        <v>5308</v>
      </c>
      <c r="D2519" s="2"/>
      <c r="E2519" s="2" t="s">
        <v>17</v>
      </c>
      <c r="F2519" s="3" t="n">
        <v>4.2E-005</v>
      </c>
      <c r="G2519" s="3" t="n">
        <f aca="false">SUM($F$2:F2519)</f>
        <v>0.959776</v>
      </c>
      <c r="H2519" s="4"/>
      <c r="I2519" s="5"/>
      <c r="J2519" s="4"/>
      <c r="K2519" s="5"/>
      <c r="L2519" s="6"/>
      <c r="M2519" s="5" t="str">
        <f aca="false">IF(AND(N(K2519)&gt;0,N(L2519)&gt;0),K2519/L2519,"")</f>
        <v/>
      </c>
      <c r="N2519" s="2" t="s">
        <v>1226</v>
      </c>
    </row>
    <row r="2520" customFormat="false" ht="15" hidden="false" customHeight="false" outlineLevel="0" collapsed="false">
      <c r="A2520" s="2" t="n">
        <v>2519</v>
      </c>
      <c r="B2520" s="2" t="s">
        <v>5309</v>
      </c>
      <c r="C2520" s="2" t="s">
        <v>5310</v>
      </c>
      <c r="D2520" s="2"/>
      <c r="E2520" s="2" t="s">
        <v>82</v>
      </c>
      <c r="F2520" s="3" t="n">
        <v>4.2E-005</v>
      </c>
      <c r="G2520" s="3" t="n">
        <f aca="false">SUM($F$2:F2520)</f>
        <v>0.959818</v>
      </c>
      <c r="H2520" s="4"/>
      <c r="I2520" s="5"/>
      <c r="J2520" s="4"/>
      <c r="K2520" s="5"/>
      <c r="L2520" s="6"/>
      <c r="M2520" s="5" t="str">
        <f aca="false">IF(AND(N(K2520)&gt;0,N(L2520)&gt;0),K2520/L2520,"")</f>
        <v/>
      </c>
      <c r="N2520" s="2" t="s">
        <v>1226</v>
      </c>
    </row>
    <row r="2521" customFormat="false" ht="15" hidden="false" customHeight="false" outlineLevel="0" collapsed="false">
      <c r="A2521" s="2" t="n">
        <v>2520</v>
      </c>
      <c r="B2521" s="2" t="s">
        <v>5311</v>
      </c>
      <c r="C2521" s="2" t="s">
        <v>5312</v>
      </c>
      <c r="D2521" s="2"/>
      <c r="E2521" s="2" t="s">
        <v>17</v>
      </c>
      <c r="F2521" s="3" t="n">
        <v>4.2E-005</v>
      </c>
      <c r="G2521" s="3" t="n">
        <f aca="false">SUM($F$2:F2521)</f>
        <v>0.95986</v>
      </c>
      <c r="H2521" s="4"/>
      <c r="I2521" s="5"/>
      <c r="J2521" s="4"/>
      <c r="K2521" s="5"/>
      <c r="L2521" s="6"/>
      <c r="M2521" s="5" t="str">
        <f aca="false">IF(AND(N(K2521)&gt;0,N(L2521)&gt;0),K2521/L2521,"")</f>
        <v/>
      </c>
      <c r="N2521" s="2" t="s">
        <v>1226</v>
      </c>
    </row>
    <row r="2522" customFormat="false" ht="15" hidden="false" customHeight="false" outlineLevel="0" collapsed="false">
      <c r="A2522" s="2" t="n">
        <v>2521</v>
      </c>
      <c r="B2522" s="2" t="s">
        <v>5313</v>
      </c>
      <c r="C2522" s="2" t="s">
        <v>5314</v>
      </c>
      <c r="D2522" s="2"/>
      <c r="E2522" s="2" t="s">
        <v>296</v>
      </c>
      <c r="F2522" s="3" t="n">
        <v>4.2E-005</v>
      </c>
      <c r="G2522" s="3" t="n">
        <f aca="false">SUM($F$2:F2522)</f>
        <v>0.959902</v>
      </c>
      <c r="H2522" s="4"/>
      <c r="I2522" s="5"/>
      <c r="J2522" s="4"/>
      <c r="K2522" s="5"/>
      <c r="L2522" s="6"/>
      <c r="M2522" s="5" t="str">
        <f aca="false">IF(AND(N(K2522)&gt;0,N(L2522)&gt;0),K2522/L2522,"")</f>
        <v/>
      </c>
      <c r="N2522" s="2" t="s">
        <v>1226</v>
      </c>
    </row>
    <row r="2523" customFormat="false" ht="15" hidden="false" customHeight="false" outlineLevel="0" collapsed="false">
      <c r="A2523" s="2" t="n">
        <v>2522</v>
      </c>
      <c r="B2523" s="2" t="s">
        <v>5315</v>
      </c>
      <c r="C2523" s="2" t="s">
        <v>5316</v>
      </c>
      <c r="D2523" s="2"/>
      <c r="E2523" s="2" t="s">
        <v>173</v>
      </c>
      <c r="F2523" s="3" t="n">
        <v>4.2E-005</v>
      </c>
      <c r="G2523" s="3" t="n">
        <f aca="false">SUM($F$2:F2523)</f>
        <v>0.959944</v>
      </c>
      <c r="H2523" s="4"/>
      <c r="I2523" s="5"/>
      <c r="J2523" s="4"/>
      <c r="K2523" s="5"/>
      <c r="L2523" s="6"/>
      <c r="M2523" s="5" t="str">
        <f aca="false">IF(AND(N(K2523)&gt;0,N(L2523)&gt;0),K2523/L2523,"")</f>
        <v/>
      </c>
      <c r="N2523" s="2" t="s">
        <v>1226</v>
      </c>
    </row>
    <row r="2524" customFormat="false" ht="15" hidden="false" customHeight="false" outlineLevel="0" collapsed="false">
      <c r="A2524" s="2" t="n">
        <v>2523</v>
      </c>
      <c r="B2524" s="2" t="s">
        <v>5317</v>
      </c>
      <c r="C2524" s="2" t="s">
        <v>5318</v>
      </c>
      <c r="D2524" s="2"/>
      <c r="E2524" s="2" t="s">
        <v>29</v>
      </c>
      <c r="F2524" s="3" t="n">
        <v>4.1E-005</v>
      </c>
      <c r="G2524" s="3" t="n">
        <f aca="false">SUM($F$2:F2524)</f>
        <v>0.959985</v>
      </c>
      <c r="H2524" s="4"/>
      <c r="I2524" s="5"/>
      <c r="J2524" s="4"/>
      <c r="K2524" s="5"/>
      <c r="L2524" s="6"/>
      <c r="M2524" s="5" t="str">
        <f aca="false">IF(AND(N(K2524)&gt;0,N(L2524)&gt;0),K2524/L2524,"")</f>
        <v/>
      </c>
      <c r="N2524" s="2" t="s">
        <v>1226</v>
      </c>
    </row>
    <row r="2525" customFormat="false" ht="15" hidden="false" customHeight="false" outlineLevel="0" collapsed="false">
      <c r="A2525" s="2" t="n">
        <v>2524</v>
      </c>
      <c r="B2525" s="2" t="s">
        <v>5319</v>
      </c>
      <c r="C2525" s="2" t="s">
        <v>5320</v>
      </c>
      <c r="D2525" s="2"/>
      <c r="E2525" s="2" t="s">
        <v>52</v>
      </c>
      <c r="F2525" s="3" t="n">
        <v>4.1E-005</v>
      </c>
      <c r="G2525" s="3" t="n">
        <f aca="false">SUM($F$2:F2525)</f>
        <v>0.960026</v>
      </c>
      <c r="H2525" s="4"/>
      <c r="I2525" s="5"/>
      <c r="J2525" s="4"/>
      <c r="K2525" s="5"/>
      <c r="L2525" s="6"/>
      <c r="M2525" s="5" t="str">
        <f aca="false">IF(AND(N(K2525)&gt;0,N(L2525)&gt;0),K2525/L2525,"")</f>
        <v/>
      </c>
      <c r="N2525" s="2" t="s">
        <v>1226</v>
      </c>
    </row>
    <row r="2526" customFormat="false" ht="15" hidden="false" customHeight="false" outlineLevel="0" collapsed="false">
      <c r="A2526" s="2" t="n">
        <v>2525</v>
      </c>
      <c r="B2526" s="2" t="s">
        <v>5321</v>
      </c>
      <c r="C2526" s="2" t="s">
        <v>5322</v>
      </c>
      <c r="D2526" s="2"/>
      <c r="E2526" s="2" t="s">
        <v>17</v>
      </c>
      <c r="F2526" s="3" t="n">
        <v>4.1E-005</v>
      </c>
      <c r="G2526" s="3" t="n">
        <f aca="false">SUM($F$2:F2526)</f>
        <v>0.960067</v>
      </c>
      <c r="H2526" s="4"/>
      <c r="I2526" s="5"/>
      <c r="J2526" s="4"/>
      <c r="K2526" s="5"/>
      <c r="L2526" s="6"/>
      <c r="M2526" s="5" t="str">
        <f aca="false">IF(AND(N(K2526)&gt;0,N(L2526)&gt;0),K2526/L2526,"")</f>
        <v/>
      </c>
      <c r="N2526" s="2" t="s">
        <v>1226</v>
      </c>
    </row>
    <row r="2527" customFormat="false" ht="15" hidden="false" customHeight="false" outlineLevel="0" collapsed="false">
      <c r="A2527" s="2" t="n">
        <v>2526</v>
      </c>
      <c r="B2527" s="2" t="s">
        <v>5323</v>
      </c>
      <c r="C2527" s="2" t="s">
        <v>5324</v>
      </c>
      <c r="D2527" s="2"/>
      <c r="E2527" s="2" t="s">
        <v>1345</v>
      </c>
      <c r="F2527" s="3" t="n">
        <v>4.1E-005</v>
      </c>
      <c r="G2527" s="3" t="n">
        <f aca="false">SUM($F$2:F2527)</f>
        <v>0.960108</v>
      </c>
      <c r="H2527" s="4"/>
      <c r="I2527" s="5"/>
      <c r="J2527" s="4"/>
      <c r="K2527" s="5"/>
      <c r="L2527" s="6"/>
      <c r="M2527" s="5" t="str">
        <f aca="false">IF(AND(N(K2527)&gt;0,N(L2527)&gt;0),K2527/L2527,"")</f>
        <v/>
      </c>
      <c r="N2527" s="2" t="s">
        <v>1226</v>
      </c>
    </row>
    <row r="2528" customFormat="false" ht="15" hidden="false" customHeight="false" outlineLevel="0" collapsed="false">
      <c r="A2528" s="2" t="n">
        <v>2527</v>
      </c>
      <c r="B2528" s="2" t="s">
        <v>5325</v>
      </c>
      <c r="C2528" s="2" t="s">
        <v>3774</v>
      </c>
      <c r="D2528" s="2"/>
      <c r="E2528" s="2" t="s">
        <v>539</v>
      </c>
      <c r="F2528" s="3" t="n">
        <v>4.1E-005</v>
      </c>
      <c r="G2528" s="3" t="n">
        <f aca="false">SUM($F$2:F2528)</f>
        <v>0.960149</v>
      </c>
      <c r="H2528" s="4"/>
      <c r="I2528" s="5"/>
      <c r="J2528" s="4"/>
      <c r="K2528" s="5"/>
      <c r="L2528" s="6"/>
      <c r="M2528" s="5" t="str">
        <f aca="false">IF(AND(N(K2528)&gt;0,N(L2528)&gt;0),K2528/L2528,"")</f>
        <v/>
      </c>
      <c r="N2528" s="2" t="s">
        <v>1226</v>
      </c>
    </row>
    <row r="2529" customFormat="false" ht="15" hidden="false" customHeight="false" outlineLevel="0" collapsed="false">
      <c r="A2529" s="2" t="n">
        <v>2528</v>
      </c>
      <c r="B2529" s="2" t="s">
        <v>5326</v>
      </c>
      <c r="C2529" s="2" t="s">
        <v>5327</v>
      </c>
      <c r="D2529" s="2"/>
      <c r="E2529" s="2" t="s">
        <v>1345</v>
      </c>
      <c r="F2529" s="3" t="n">
        <v>4.1E-005</v>
      </c>
      <c r="G2529" s="3" t="n">
        <f aca="false">SUM($F$2:F2529)</f>
        <v>0.96019</v>
      </c>
      <c r="H2529" s="4"/>
      <c r="I2529" s="5"/>
      <c r="J2529" s="4"/>
      <c r="K2529" s="5"/>
      <c r="L2529" s="6"/>
      <c r="M2529" s="5" t="str">
        <f aca="false">IF(AND(N(K2529)&gt;0,N(L2529)&gt;0),K2529/L2529,"")</f>
        <v/>
      </c>
      <c r="N2529" s="2" t="s">
        <v>1226</v>
      </c>
    </row>
    <row r="2530" customFormat="false" ht="15" hidden="false" customHeight="false" outlineLevel="0" collapsed="false">
      <c r="A2530" s="2" t="n">
        <v>2529</v>
      </c>
      <c r="B2530" s="2" t="s">
        <v>5328</v>
      </c>
      <c r="C2530" s="2" t="s">
        <v>5329</v>
      </c>
      <c r="D2530" s="2"/>
      <c r="E2530" s="2" t="s">
        <v>48</v>
      </c>
      <c r="F2530" s="3" t="n">
        <v>4.1E-005</v>
      </c>
      <c r="G2530" s="3" t="n">
        <f aca="false">SUM($F$2:F2530)</f>
        <v>0.960231</v>
      </c>
      <c r="H2530" s="4"/>
      <c r="I2530" s="5"/>
      <c r="J2530" s="4"/>
      <c r="K2530" s="5"/>
      <c r="L2530" s="6"/>
      <c r="M2530" s="5" t="str">
        <f aca="false">IF(AND(N(K2530)&gt;0,N(L2530)&gt;0),K2530/L2530,"")</f>
        <v/>
      </c>
      <c r="N2530" s="2" t="s">
        <v>1226</v>
      </c>
    </row>
    <row r="2531" customFormat="false" ht="15" hidden="false" customHeight="false" outlineLevel="0" collapsed="false">
      <c r="A2531" s="2" t="n">
        <v>2530</v>
      </c>
      <c r="B2531" s="2" t="s">
        <v>5330</v>
      </c>
      <c r="C2531" s="2" t="s">
        <v>5331</v>
      </c>
      <c r="D2531" s="2"/>
      <c r="E2531" s="2" t="s">
        <v>1019</v>
      </c>
      <c r="F2531" s="3" t="n">
        <v>4.1E-005</v>
      </c>
      <c r="G2531" s="3" t="n">
        <f aca="false">SUM($F$2:F2531)</f>
        <v>0.960272</v>
      </c>
      <c r="H2531" s="4"/>
      <c r="I2531" s="5"/>
      <c r="J2531" s="4"/>
      <c r="K2531" s="5"/>
      <c r="L2531" s="6"/>
      <c r="M2531" s="5" t="str">
        <f aca="false">IF(AND(N(K2531)&gt;0,N(L2531)&gt;0),K2531/L2531,"")</f>
        <v/>
      </c>
      <c r="N2531" s="2" t="s">
        <v>1226</v>
      </c>
    </row>
    <row r="2532" customFormat="false" ht="15" hidden="false" customHeight="false" outlineLevel="0" collapsed="false">
      <c r="A2532" s="2" t="n">
        <v>2531</v>
      </c>
      <c r="B2532" s="2" t="s">
        <v>5332</v>
      </c>
      <c r="C2532" s="2" t="s">
        <v>5333</v>
      </c>
      <c r="D2532" s="2"/>
      <c r="E2532" s="2" t="s">
        <v>43</v>
      </c>
      <c r="F2532" s="3" t="n">
        <v>4.1E-005</v>
      </c>
      <c r="G2532" s="3" t="n">
        <f aca="false">SUM($F$2:F2532)</f>
        <v>0.960313</v>
      </c>
      <c r="H2532" s="4"/>
      <c r="I2532" s="5"/>
      <c r="J2532" s="4"/>
      <c r="K2532" s="5"/>
      <c r="L2532" s="6"/>
      <c r="M2532" s="5" t="str">
        <f aca="false">IF(AND(N(K2532)&gt;0,N(L2532)&gt;0),K2532/L2532,"")</f>
        <v/>
      </c>
      <c r="N2532" s="2" t="s">
        <v>1226</v>
      </c>
    </row>
    <row r="2533" customFormat="false" ht="15" hidden="false" customHeight="false" outlineLevel="0" collapsed="false">
      <c r="A2533" s="2" t="n">
        <v>2532</v>
      </c>
      <c r="B2533" s="2" t="s">
        <v>5334</v>
      </c>
      <c r="C2533" s="2" t="s">
        <v>5335</v>
      </c>
      <c r="D2533" s="2"/>
      <c r="E2533" s="2" t="s">
        <v>52</v>
      </c>
      <c r="F2533" s="3" t="n">
        <v>4.1E-005</v>
      </c>
      <c r="G2533" s="3" t="n">
        <f aca="false">SUM($F$2:F2533)</f>
        <v>0.960354</v>
      </c>
      <c r="H2533" s="4"/>
      <c r="I2533" s="5"/>
      <c r="J2533" s="4"/>
      <c r="K2533" s="5"/>
      <c r="L2533" s="6"/>
      <c r="M2533" s="5" t="str">
        <f aca="false">IF(AND(N(K2533)&gt;0,N(L2533)&gt;0),K2533/L2533,"")</f>
        <v/>
      </c>
      <c r="N2533" s="2" t="s">
        <v>1226</v>
      </c>
    </row>
    <row r="2534" customFormat="false" ht="15" hidden="false" customHeight="false" outlineLevel="0" collapsed="false">
      <c r="A2534" s="2" t="n">
        <v>2533</v>
      </c>
      <c r="B2534" s="2" t="s">
        <v>5336</v>
      </c>
      <c r="C2534" s="2" t="s">
        <v>5337</v>
      </c>
      <c r="D2534" s="2"/>
      <c r="E2534" s="2" t="s">
        <v>29</v>
      </c>
      <c r="F2534" s="3" t="n">
        <v>4.1E-005</v>
      </c>
      <c r="G2534" s="3" t="n">
        <f aca="false">SUM($F$2:F2534)</f>
        <v>0.960395</v>
      </c>
      <c r="H2534" s="4"/>
      <c r="I2534" s="5"/>
      <c r="J2534" s="4"/>
      <c r="K2534" s="5"/>
      <c r="L2534" s="6"/>
      <c r="M2534" s="5" t="str">
        <f aca="false">IF(AND(N(K2534)&gt;0,N(L2534)&gt;0),K2534/L2534,"")</f>
        <v/>
      </c>
      <c r="N2534" s="2" t="s">
        <v>1226</v>
      </c>
    </row>
    <row r="2535" customFormat="false" ht="15" hidden="false" customHeight="false" outlineLevel="0" collapsed="false">
      <c r="A2535" s="2" t="n">
        <v>2534</v>
      </c>
      <c r="B2535" s="2" t="s">
        <v>5338</v>
      </c>
      <c r="C2535" s="2" t="s">
        <v>5339</v>
      </c>
      <c r="D2535" s="2"/>
      <c r="E2535" s="2" t="s">
        <v>1345</v>
      </c>
      <c r="F2535" s="3" t="n">
        <v>4.1E-005</v>
      </c>
      <c r="G2535" s="3" t="n">
        <f aca="false">SUM($F$2:F2535)</f>
        <v>0.960436</v>
      </c>
      <c r="H2535" s="4"/>
      <c r="I2535" s="5"/>
      <c r="J2535" s="4"/>
      <c r="K2535" s="5"/>
      <c r="L2535" s="6"/>
      <c r="M2535" s="5" t="str">
        <f aca="false">IF(AND(N(K2535)&gt;0,N(L2535)&gt;0),K2535/L2535,"")</f>
        <v/>
      </c>
      <c r="N2535" s="2" t="s">
        <v>1226</v>
      </c>
    </row>
    <row r="2536" customFormat="false" ht="15" hidden="false" customHeight="false" outlineLevel="0" collapsed="false">
      <c r="A2536" s="2" t="n">
        <v>2535</v>
      </c>
      <c r="B2536" s="2" t="s">
        <v>5340</v>
      </c>
      <c r="C2536" s="2" t="s">
        <v>5341</v>
      </c>
      <c r="D2536" s="2"/>
      <c r="E2536" s="2" t="s">
        <v>25</v>
      </c>
      <c r="F2536" s="3" t="n">
        <v>4.1E-005</v>
      </c>
      <c r="G2536" s="3" t="n">
        <f aca="false">SUM($F$2:F2536)</f>
        <v>0.960477</v>
      </c>
      <c r="H2536" s="4"/>
      <c r="I2536" s="5"/>
      <c r="J2536" s="4"/>
      <c r="K2536" s="5"/>
      <c r="L2536" s="6"/>
      <c r="M2536" s="5" t="str">
        <f aca="false">IF(AND(N(K2536)&gt;0,N(L2536)&gt;0),K2536/L2536,"")</f>
        <v/>
      </c>
      <c r="N2536" s="2" t="s">
        <v>1226</v>
      </c>
    </row>
    <row r="2537" customFormat="false" ht="15" hidden="false" customHeight="false" outlineLevel="0" collapsed="false">
      <c r="A2537" s="2" t="n">
        <v>2536</v>
      </c>
      <c r="B2537" s="2" t="s">
        <v>5342</v>
      </c>
      <c r="C2537" s="2" t="s">
        <v>5343</v>
      </c>
      <c r="D2537" s="2"/>
      <c r="E2537" s="2" t="s">
        <v>289</v>
      </c>
      <c r="F2537" s="3" t="n">
        <v>4.1E-005</v>
      </c>
      <c r="G2537" s="3" t="n">
        <f aca="false">SUM($F$2:F2537)</f>
        <v>0.960518</v>
      </c>
      <c r="H2537" s="4"/>
      <c r="I2537" s="5"/>
      <c r="J2537" s="4"/>
      <c r="K2537" s="5"/>
      <c r="L2537" s="6"/>
      <c r="M2537" s="5" t="str">
        <f aca="false">IF(AND(N(K2537)&gt;0,N(L2537)&gt;0),K2537/L2537,"")</f>
        <v/>
      </c>
      <c r="N2537" s="2" t="s">
        <v>1226</v>
      </c>
    </row>
    <row r="2538" customFormat="false" ht="15" hidden="false" customHeight="false" outlineLevel="0" collapsed="false">
      <c r="A2538" s="2" t="n">
        <v>2537</v>
      </c>
      <c r="B2538" s="2" t="s">
        <v>5344</v>
      </c>
      <c r="C2538" s="2" t="s">
        <v>5345</v>
      </c>
      <c r="D2538" s="2"/>
      <c r="E2538" s="2" t="s">
        <v>25</v>
      </c>
      <c r="F2538" s="3" t="n">
        <v>4.1E-005</v>
      </c>
      <c r="G2538" s="3" t="n">
        <f aca="false">SUM($F$2:F2538)</f>
        <v>0.960559</v>
      </c>
      <c r="H2538" s="4"/>
      <c r="I2538" s="5"/>
      <c r="J2538" s="4"/>
      <c r="K2538" s="5"/>
      <c r="L2538" s="6"/>
      <c r="M2538" s="5" t="str">
        <f aca="false">IF(AND(N(K2538)&gt;0,N(L2538)&gt;0),K2538/L2538,"")</f>
        <v/>
      </c>
      <c r="N2538" s="2" t="s">
        <v>1226</v>
      </c>
    </row>
    <row r="2539" customFormat="false" ht="15" hidden="false" customHeight="false" outlineLevel="0" collapsed="false">
      <c r="A2539" s="2" t="n">
        <v>2538</v>
      </c>
      <c r="B2539" s="2" t="s">
        <v>5346</v>
      </c>
      <c r="C2539" s="2" t="s">
        <v>5347</v>
      </c>
      <c r="D2539" s="2"/>
      <c r="E2539" s="2" t="s">
        <v>1284</v>
      </c>
      <c r="F2539" s="3" t="n">
        <v>4.1E-005</v>
      </c>
      <c r="G2539" s="3" t="n">
        <f aca="false">SUM($F$2:F2539)</f>
        <v>0.9606</v>
      </c>
      <c r="H2539" s="4"/>
      <c r="I2539" s="5"/>
      <c r="J2539" s="4"/>
      <c r="K2539" s="5"/>
      <c r="L2539" s="6"/>
      <c r="M2539" s="5" t="str">
        <f aca="false">IF(AND(N(K2539)&gt;0,N(L2539)&gt;0),K2539/L2539,"")</f>
        <v/>
      </c>
      <c r="N2539" s="2" t="s">
        <v>1226</v>
      </c>
    </row>
    <row r="2540" customFormat="false" ht="15" hidden="false" customHeight="false" outlineLevel="0" collapsed="false">
      <c r="A2540" s="2" t="n">
        <v>2539</v>
      </c>
      <c r="B2540" s="2" t="s">
        <v>5348</v>
      </c>
      <c r="C2540" s="2" t="s">
        <v>5349</v>
      </c>
      <c r="D2540" s="2"/>
      <c r="E2540" s="2" t="s">
        <v>1345</v>
      </c>
      <c r="F2540" s="3" t="n">
        <v>4.1E-005</v>
      </c>
      <c r="G2540" s="3" t="n">
        <f aca="false">SUM($F$2:F2540)</f>
        <v>0.960641</v>
      </c>
      <c r="H2540" s="4"/>
      <c r="I2540" s="5"/>
      <c r="J2540" s="4"/>
      <c r="K2540" s="5"/>
      <c r="L2540" s="6"/>
      <c r="M2540" s="5" t="str">
        <f aca="false">IF(AND(N(K2540)&gt;0,N(L2540)&gt;0),K2540/L2540,"")</f>
        <v/>
      </c>
      <c r="N2540" s="2" t="s">
        <v>1226</v>
      </c>
    </row>
    <row r="2541" customFormat="false" ht="15" hidden="false" customHeight="false" outlineLevel="0" collapsed="false">
      <c r="A2541" s="2" t="n">
        <v>2540</v>
      </c>
      <c r="B2541" s="2" t="s">
        <v>5350</v>
      </c>
      <c r="C2541" s="2" t="s">
        <v>5351</v>
      </c>
      <c r="D2541" s="2"/>
      <c r="E2541" s="2" t="s">
        <v>2055</v>
      </c>
      <c r="F2541" s="3" t="n">
        <v>4.1E-005</v>
      </c>
      <c r="G2541" s="3" t="n">
        <f aca="false">SUM($F$2:F2541)</f>
        <v>0.960682</v>
      </c>
      <c r="H2541" s="4"/>
      <c r="I2541" s="5"/>
      <c r="J2541" s="4"/>
      <c r="K2541" s="5"/>
      <c r="L2541" s="6"/>
      <c r="M2541" s="5" t="str">
        <f aca="false">IF(AND(N(K2541)&gt;0,N(L2541)&gt;0),K2541/L2541,"")</f>
        <v/>
      </c>
      <c r="N2541" s="2" t="s">
        <v>1226</v>
      </c>
    </row>
    <row r="2542" customFormat="false" ht="15" hidden="false" customHeight="false" outlineLevel="0" collapsed="false">
      <c r="A2542" s="2" t="n">
        <v>2541</v>
      </c>
      <c r="B2542" s="2" t="s">
        <v>5352</v>
      </c>
      <c r="C2542" s="2" t="s">
        <v>5353</v>
      </c>
      <c r="D2542" s="2"/>
      <c r="E2542" s="2" t="s">
        <v>52</v>
      </c>
      <c r="F2542" s="3" t="n">
        <v>4.1E-005</v>
      </c>
      <c r="G2542" s="3" t="n">
        <f aca="false">SUM($F$2:F2542)</f>
        <v>0.960723</v>
      </c>
      <c r="H2542" s="4"/>
      <c r="I2542" s="5"/>
      <c r="J2542" s="4"/>
      <c r="K2542" s="5"/>
      <c r="L2542" s="6"/>
      <c r="M2542" s="5" t="str">
        <f aca="false">IF(AND(N(K2542)&gt;0,N(L2542)&gt;0),K2542/L2542,"")</f>
        <v/>
      </c>
      <c r="N2542" s="2" t="s">
        <v>1226</v>
      </c>
    </row>
    <row r="2543" customFormat="false" ht="15" hidden="false" customHeight="false" outlineLevel="0" collapsed="false">
      <c r="A2543" s="2" t="n">
        <v>2542</v>
      </c>
      <c r="B2543" s="2" t="s">
        <v>5354</v>
      </c>
      <c r="C2543" s="2" t="s">
        <v>5355</v>
      </c>
      <c r="D2543" s="2"/>
      <c r="E2543" s="2" t="s">
        <v>25</v>
      </c>
      <c r="F2543" s="3" t="n">
        <v>4.1E-005</v>
      </c>
      <c r="G2543" s="3" t="n">
        <f aca="false">SUM($F$2:F2543)</f>
        <v>0.960764</v>
      </c>
      <c r="H2543" s="4"/>
      <c r="I2543" s="5"/>
      <c r="J2543" s="4"/>
      <c r="K2543" s="5"/>
      <c r="L2543" s="6"/>
      <c r="M2543" s="5" t="str">
        <f aca="false">IF(AND(N(K2543)&gt;0,N(L2543)&gt;0),K2543/L2543,"")</f>
        <v/>
      </c>
      <c r="N2543" s="2" t="s">
        <v>1226</v>
      </c>
    </row>
    <row r="2544" customFormat="false" ht="15" hidden="false" customHeight="false" outlineLevel="0" collapsed="false">
      <c r="A2544" s="2" t="n">
        <v>2543</v>
      </c>
      <c r="B2544" s="2" t="s">
        <v>5356</v>
      </c>
      <c r="C2544" s="2" t="s">
        <v>5357</v>
      </c>
      <c r="D2544" s="2"/>
      <c r="E2544" s="2" t="s">
        <v>1345</v>
      </c>
      <c r="F2544" s="3" t="n">
        <v>4.1E-005</v>
      </c>
      <c r="G2544" s="3" t="n">
        <f aca="false">SUM($F$2:F2544)</f>
        <v>0.960805</v>
      </c>
      <c r="H2544" s="4"/>
      <c r="I2544" s="5"/>
      <c r="J2544" s="4"/>
      <c r="K2544" s="5"/>
      <c r="L2544" s="6"/>
      <c r="M2544" s="5" t="str">
        <f aca="false">IF(AND(N(K2544)&gt;0,N(L2544)&gt;0),K2544/L2544,"")</f>
        <v/>
      </c>
      <c r="N2544" s="2" t="s">
        <v>1226</v>
      </c>
    </row>
    <row r="2545" customFormat="false" ht="15" hidden="false" customHeight="false" outlineLevel="0" collapsed="false">
      <c r="A2545" s="2" t="n">
        <v>2544</v>
      </c>
      <c r="B2545" s="2" t="s">
        <v>5358</v>
      </c>
      <c r="C2545" s="2" t="s">
        <v>5359</v>
      </c>
      <c r="D2545" s="2"/>
      <c r="E2545" s="2" t="s">
        <v>33</v>
      </c>
      <c r="F2545" s="3" t="n">
        <v>4.1E-005</v>
      </c>
      <c r="G2545" s="3" t="n">
        <f aca="false">SUM($F$2:F2545)</f>
        <v>0.960846</v>
      </c>
      <c r="H2545" s="4"/>
      <c r="I2545" s="5"/>
      <c r="J2545" s="4"/>
      <c r="K2545" s="5"/>
      <c r="L2545" s="6"/>
      <c r="M2545" s="5" t="str">
        <f aca="false">IF(AND(N(K2545)&gt;0,N(L2545)&gt;0),K2545/L2545,"")</f>
        <v/>
      </c>
      <c r="N2545" s="2" t="s">
        <v>1226</v>
      </c>
    </row>
    <row r="2546" customFormat="false" ht="15" hidden="false" customHeight="false" outlineLevel="0" collapsed="false">
      <c r="A2546" s="2" t="n">
        <v>2545</v>
      </c>
      <c r="B2546" s="2" t="s">
        <v>5360</v>
      </c>
      <c r="C2546" s="2" t="s">
        <v>5361</v>
      </c>
      <c r="D2546" s="2"/>
      <c r="E2546" s="2" t="s">
        <v>29</v>
      </c>
      <c r="F2546" s="3" t="n">
        <v>4.1E-005</v>
      </c>
      <c r="G2546" s="3" t="n">
        <f aca="false">SUM($F$2:F2546)</f>
        <v>0.960887</v>
      </c>
      <c r="H2546" s="4"/>
      <c r="I2546" s="5"/>
      <c r="J2546" s="4"/>
      <c r="K2546" s="5"/>
      <c r="L2546" s="6"/>
      <c r="M2546" s="5" t="str">
        <f aca="false">IF(AND(N(K2546)&gt;0,N(L2546)&gt;0),K2546/L2546,"")</f>
        <v/>
      </c>
      <c r="N2546" s="2" t="s">
        <v>1226</v>
      </c>
    </row>
    <row r="2547" customFormat="false" ht="15" hidden="false" customHeight="false" outlineLevel="0" collapsed="false">
      <c r="A2547" s="2" t="n">
        <v>2546</v>
      </c>
      <c r="B2547" s="2" t="s">
        <v>5362</v>
      </c>
      <c r="C2547" s="2" t="s">
        <v>5363</v>
      </c>
      <c r="D2547" s="2"/>
      <c r="E2547" s="2" t="s">
        <v>21</v>
      </c>
      <c r="F2547" s="3" t="n">
        <v>4.1E-005</v>
      </c>
      <c r="G2547" s="3" t="n">
        <f aca="false">SUM($F$2:F2547)</f>
        <v>0.960928</v>
      </c>
      <c r="H2547" s="4"/>
      <c r="I2547" s="5"/>
      <c r="J2547" s="4"/>
      <c r="K2547" s="5"/>
      <c r="L2547" s="6"/>
      <c r="M2547" s="5" t="str">
        <f aca="false">IF(AND(N(K2547)&gt;0,N(L2547)&gt;0),K2547/L2547,"")</f>
        <v/>
      </c>
      <c r="N2547" s="2" t="s">
        <v>1226</v>
      </c>
    </row>
    <row r="2548" customFormat="false" ht="15" hidden="false" customHeight="false" outlineLevel="0" collapsed="false">
      <c r="A2548" s="2" t="n">
        <v>2547</v>
      </c>
      <c r="B2548" s="2" t="s">
        <v>5364</v>
      </c>
      <c r="C2548" s="2" t="s">
        <v>5365</v>
      </c>
      <c r="D2548" s="2"/>
      <c r="E2548" s="2" t="s">
        <v>17</v>
      </c>
      <c r="F2548" s="3" t="n">
        <v>4.1E-005</v>
      </c>
      <c r="G2548" s="3" t="n">
        <f aca="false">SUM($F$2:F2548)</f>
        <v>0.960969</v>
      </c>
      <c r="H2548" s="4"/>
      <c r="I2548" s="5"/>
      <c r="J2548" s="4"/>
      <c r="K2548" s="5"/>
      <c r="L2548" s="6"/>
      <c r="M2548" s="5" t="str">
        <f aca="false">IF(AND(N(K2548)&gt;0,N(L2548)&gt;0),K2548/L2548,"")</f>
        <v/>
      </c>
      <c r="N2548" s="2" t="s">
        <v>1226</v>
      </c>
    </row>
    <row r="2549" customFormat="false" ht="15" hidden="false" customHeight="false" outlineLevel="0" collapsed="false">
      <c r="A2549" s="2" t="n">
        <v>2548</v>
      </c>
      <c r="B2549" s="2" t="s">
        <v>5366</v>
      </c>
      <c r="C2549" s="2" t="s">
        <v>5367</v>
      </c>
      <c r="D2549" s="2"/>
      <c r="E2549" s="2" t="s">
        <v>29</v>
      </c>
      <c r="F2549" s="3" t="n">
        <v>4.1E-005</v>
      </c>
      <c r="G2549" s="3" t="n">
        <f aca="false">SUM($F$2:F2549)</f>
        <v>0.96101</v>
      </c>
      <c r="H2549" s="4"/>
      <c r="I2549" s="5"/>
      <c r="J2549" s="4"/>
      <c r="K2549" s="5"/>
      <c r="L2549" s="6"/>
      <c r="M2549" s="5" t="str">
        <f aca="false">IF(AND(N(K2549)&gt;0,N(L2549)&gt;0),K2549/L2549,"")</f>
        <v/>
      </c>
      <c r="N2549" s="2" t="s">
        <v>1226</v>
      </c>
    </row>
    <row r="2550" customFormat="false" ht="15" hidden="false" customHeight="false" outlineLevel="0" collapsed="false">
      <c r="A2550" s="2" t="n">
        <v>2549</v>
      </c>
      <c r="B2550" s="2" t="s">
        <v>5368</v>
      </c>
      <c r="C2550" s="2" t="s">
        <v>5369</v>
      </c>
      <c r="D2550" s="2"/>
      <c r="E2550" s="2" t="s">
        <v>289</v>
      </c>
      <c r="F2550" s="3" t="n">
        <v>4.1E-005</v>
      </c>
      <c r="G2550" s="3" t="n">
        <f aca="false">SUM($F$2:F2550)</f>
        <v>0.961051</v>
      </c>
      <c r="H2550" s="4"/>
      <c r="I2550" s="5"/>
      <c r="J2550" s="4"/>
      <c r="K2550" s="5"/>
      <c r="L2550" s="6"/>
      <c r="M2550" s="5" t="str">
        <f aca="false">IF(AND(N(K2550)&gt;0,N(L2550)&gt;0),K2550/L2550,"")</f>
        <v/>
      </c>
      <c r="N2550" s="2" t="s">
        <v>1226</v>
      </c>
    </row>
    <row r="2551" customFormat="false" ht="15" hidden="false" customHeight="false" outlineLevel="0" collapsed="false">
      <c r="A2551" s="2" t="n">
        <v>2550</v>
      </c>
      <c r="B2551" s="2" t="s">
        <v>5370</v>
      </c>
      <c r="C2551" s="2" t="s">
        <v>5371</v>
      </c>
      <c r="D2551" s="2"/>
      <c r="E2551" s="2" t="s">
        <v>52</v>
      </c>
      <c r="F2551" s="3" t="n">
        <v>4.1E-005</v>
      </c>
      <c r="G2551" s="3" t="n">
        <f aca="false">SUM($F$2:F2551)</f>
        <v>0.961092</v>
      </c>
      <c r="H2551" s="4"/>
      <c r="I2551" s="5"/>
      <c r="J2551" s="4"/>
      <c r="K2551" s="5"/>
      <c r="L2551" s="6"/>
      <c r="M2551" s="5" t="str">
        <f aca="false">IF(AND(N(K2551)&gt;0,N(L2551)&gt;0),K2551/L2551,"")</f>
        <v/>
      </c>
      <c r="N2551" s="2" t="s">
        <v>1226</v>
      </c>
    </row>
    <row r="2552" customFormat="false" ht="15" hidden="false" customHeight="false" outlineLevel="0" collapsed="false">
      <c r="A2552" s="2" t="n">
        <v>2551</v>
      </c>
      <c r="B2552" s="2" t="s">
        <v>5372</v>
      </c>
      <c r="C2552" s="2" t="s">
        <v>5373</v>
      </c>
      <c r="D2552" s="2"/>
      <c r="E2552" s="2" t="s">
        <v>1345</v>
      </c>
      <c r="F2552" s="3" t="n">
        <v>4.1E-005</v>
      </c>
      <c r="G2552" s="3" t="n">
        <f aca="false">SUM($F$2:F2552)</f>
        <v>0.961133</v>
      </c>
      <c r="H2552" s="4"/>
      <c r="I2552" s="5"/>
      <c r="J2552" s="4"/>
      <c r="K2552" s="5"/>
      <c r="L2552" s="6"/>
      <c r="M2552" s="5" t="str">
        <f aca="false">IF(AND(N(K2552)&gt;0,N(L2552)&gt;0),K2552/L2552,"")</f>
        <v/>
      </c>
      <c r="N2552" s="2" t="s">
        <v>1226</v>
      </c>
    </row>
    <row r="2553" customFormat="false" ht="15" hidden="false" customHeight="false" outlineLevel="0" collapsed="false">
      <c r="A2553" s="2" t="n">
        <v>2552</v>
      </c>
      <c r="B2553" s="2" t="s">
        <v>5374</v>
      </c>
      <c r="C2553" s="2" t="s">
        <v>5375</v>
      </c>
      <c r="D2553" s="2"/>
      <c r="E2553" s="2" t="s">
        <v>296</v>
      </c>
      <c r="F2553" s="3" t="n">
        <v>4.1E-005</v>
      </c>
      <c r="G2553" s="3" t="n">
        <f aca="false">SUM($F$2:F2553)</f>
        <v>0.961174</v>
      </c>
      <c r="H2553" s="4"/>
      <c r="I2553" s="5"/>
      <c r="J2553" s="4"/>
      <c r="K2553" s="5"/>
      <c r="L2553" s="6"/>
      <c r="M2553" s="5" t="str">
        <f aca="false">IF(AND(N(K2553)&gt;0,N(L2553)&gt;0),K2553/L2553,"")</f>
        <v/>
      </c>
      <c r="N2553" s="2" t="s">
        <v>1226</v>
      </c>
    </row>
    <row r="2554" customFormat="false" ht="15" hidden="false" customHeight="false" outlineLevel="0" collapsed="false">
      <c r="A2554" s="2" t="n">
        <v>2553</v>
      </c>
      <c r="B2554" s="2" t="s">
        <v>5376</v>
      </c>
      <c r="C2554" s="2" t="s">
        <v>5377</v>
      </c>
      <c r="D2554" s="2"/>
      <c r="E2554" s="2" t="s">
        <v>765</v>
      </c>
      <c r="F2554" s="3" t="n">
        <v>4.1E-005</v>
      </c>
      <c r="G2554" s="3" t="n">
        <f aca="false">SUM($F$2:F2554)</f>
        <v>0.961215</v>
      </c>
      <c r="H2554" s="4"/>
      <c r="I2554" s="5"/>
      <c r="J2554" s="4"/>
      <c r="K2554" s="5"/>
      <c r="L2554" s="6"/>
      <c r="M2554" s="5" t="str">
        <f aca="false">IF(AND(N(K2554)&gt;0,N(L2554)&gt;0),K2554/L2554,"")</f>
        <v/>
      </c>
      <c r="N2554" s="2" t="s">
        <v>1226</v>
      </c>
    </row>
    <row r="2555" customFormat="false" ht="15" hidden="false" customHeight="false" outlineLevel="0" collapsed="false">
      <c r="A2555" s="2" t="n">
        <v>2554</v>
      </c>
      <c r="B2555" s="2" t="s">
        <v>5378</v>
      </c>
      <c r="C2555" s="2" t="s">
        <v>5379</v>
      </c>
      <c r="D2555" s="2"/>
      <c r="E2555" s="2" t="s">
        <v>33</v>
      </c>
      <c r="F2555" s="3" t="n">
        <v>4.1E-005</v>
      </c>
      <c r="G2555" s="3" t="n">
        <f aca="false">SUM($F$2:F2555)</f>
        <v>0.961256</v>
      </c>
      <c r="H2555" s="4"/>
      <c r="I2555" s="5"/>
      <c r="J2555" s="4"/>
      <c r="K2555" s="5"/>
      <c r="L2555" s="6"/>
      <c r="M2555" s="5" t="str">
        <f aca="false">IF(AND(N(K2555)&gt;0,N(L2555)&gt;0),K2555/L2555,"")</f>
        <v/>
      </c>
      <c r="N2555" s="2" t="s">
        <v>1226</v>
      </c>
    </row>
    <row r="2556" customFormat="false" ht="15" hidden="false" customHeight="false" outlineLevel="0" collapsed="false">
      <c r="A2556" s="2" t="n">
        <v>2555</v>
      </c>
      <c r="B2556" s="2" t="s">
        <v>5380</v>
      </c>
      <c r="C2556" s="2" t="s">
        <v>5381</v>
      </c>
      <c r="D2556" s="2"/>
      <c r="E2556" s="2" t="s">
        <v>1345</v>
      </c>
      <c r="F2556" s="3" t="n">
        <v>4E-005</v>
      </c>
      <c r="G2556" s="3" t="n">
        <f aca="false">SUM($F$2:F2556)</f>
        <v>0.961296</v>
      </c>
      <c r="H2556" s="4"/>
      <c r="I2556" s="5"/>
      <c r="J2556" s="4"/>
      <c r="K2556" s="5"/>
      <c r="L2556" s="6"/>
      <c r="M2556" s="5" t="str">
        <f aca="false">IF(AND(N(K2556)&gt;0,N(L2556)&gt;0),K2556/L2556,"")</f>
        <v/>
      </c>
      <c r="N2556" s="2" t="s">
        <v>1226</v>
      </c>
    </row>
    <row r="2557" customFormat="false" ht="15" hidden="false" customHeight="false" outlineLevel="0" collapsed="false">
      <c r="A2557" s="2" t="n">
        <v>2556</v>
      </c>
      <c r="B2557" s="2" t="s">
        <v>5382</v>
      </c>
      <c r="C2557" s="2" t="s">
        <v>5383</v>
      </c>
      <c r="D2557" s="2"/>
      <c r="E2557" s="2" t="s">
        <v>52</v>
      </c>
      <c r="F2557" s="3" t="n">
        <v>4E-005</v>
      </c>
      <c r="G2557" s="3" t="n">
        <f aca="false">SUM($F$2:F2557)</f>
        <v>0.961336</v>
      </c>
      <c r="H2557" s="4"/>
      <c r="I2557" s="5"/>
      <c r="J2557" s="4"/>
      <c r="K2557" s="5"/>
      <c r="L2557" s="6"/>
      <c r="M2557" s="5" t="str">
        <f aca="false">IF(AND(N(K2557)&gt;0,N(L2557)&gt;0),K2557/L2557,"")</f>
        <v/>
      </c>
      <c r="N2557" s="2" t="s">
        <v>1226</v>
      </c>
    </row>
    <row r="2558" customFormat="false" ht="15" hidden="false" customHeight="false" outlineLevel="0" collapsed="false">
      <c r="A2558" s="2" t="n">
        <v>2557</v>
      </c>
      <c r="B2558" s="2" t="s">
        <v>5384</v>
      </c>
      <c r="C2558" s="2" t="s">
        <v>5385</v>
      </c>
      <c r="D2558" s="2"/>
      <c r="E2558" s="2" t="s">
        <v>52</v>
      </c>
      <c r="F2558" s="3" t="n">
        <v>4E-005</v>
      </c>
      <c r="G2558" s="3" t="n">
        <f aca="false">SUM($F$2:F2558)</f>
        <v>0.961376</v>
      </c>
      <c r="H2558" s="4"/>
      <c r="I2558" s="5"/>
      <c r="J2558" s="4"/>
      <c r="K2558" s="5"/>
      <c r="L2558" s="6"/>
      <c r="M2558" s="5" t="str">
        <f aca="false">IF(AND(N(K2558)&gt;0,N(L2558)&gt;0),K2558/L2558,"")</f>
        <v/>
      </c>
      <c r="N2558" s="2" t="s">
        <v>1226</v>
      </c>
    </row>
    <row r="2559" customFormat="false" ht="15" hidden="false" customHeight="false" outlineLevel="0" collapsed="false">
      <c r="A2559" s="2" t="n">
        <v>2558</v>
      </c>
      <c r="B2559" s="2" t="s">
        <v>5386</v>
      </c>
      <c r="C2559" s="2" t="s">
        <v>5387</v>
      </c>
      <c r="D2559" s="2"/>
      <c r="E2559" s="2" t="s">
        <v>82</v>
      </c>
      <c r="F2559" s="3" t="n">
        <v>4E-005</v>
      </c>
      <c r="G2559" s="3" t="n">
        <f aca="false">SUM($F$2:F2559)</f>
        <v>0.961416</v>
      </c>
      <c r="H2559" s="4"/>
      <c r="I2559" s="5"/>
      <c r="J2559" s="4"/>
      <c r="K2559" s="5"/>
      <c r="L2559" s="6"/>
      <c r="M2559" s="5" t="str">
        <f aca="false">IF(AND(N(K2559)&gt;0,N(L2559)&gt;0),K2559/L2559,"")</f>
        <v/>
      </c>
      <c r="N2559" s="2" t="s">
        <v>1226</v>
      </c>
    </row>
    <row r="2560" customFormat="false" ht="15" hidden="false" customHeight="false" outlineLevel="0" collapsed="false">
      <c r="A2560" s="2" t="n">
        <v>2559</v>
      </c>
      <c r="B2560" s="2" t="s">
        <v>5388</v>
      </c>
      <c r="C2560" s="2" t="s">
        <v>5389</v>
      </c>
      <c r="D2560" s="2"/>
      <c r="E2560" s="2" t="s">
        <v>173</v>
      </c>
      <c r="F2560" s="3" t="n">
        <v>4E-005</v>
      </c>
      <c r="G2560" s="3" t="n">
        <f aca="false">SUM($F$2:F2560)</f>
        <v>0.961456</v>
      </c>
      <c r="H2560" s="4"/>
      <c r="I2560" s="5"/>
      <c r="J2560" s="4"/>
      <c r="K2560" s="5"/>
      <c r="L2560" s="6"/>
      <c r="M2560" s="5" t="str">
        <f aca="false">IF(AND(N(K2560)&gt;0,N(L2560)&gt;0),K2560/L2560,"")</f>
        <v/>
      </c>
      <c r="N2560" s="2" t="s">
        <v>1226</v>
      </c>
    </row>
    <row r="2561" customFormat="false" ht="15" hidden="false" customHeight="false" outlineLevel="0" collapsed="false">
      <c r="A2561" s="2" t="n">
        <v>2560</v>
      </c>
      <c r="B2561" s="2" t="s">
        <v>5390</v>
      </c>
      <c r="C2561" s="2" t="s">
        <v>5391</v>
      </c>
      <c r="D2561" s="2"/>
      <c r="E2561" s="2" t="s">
        <v>1284</v>
      </c>
      <c r="F2561" s="3" t="n">
        <v>4E-005</v>
      </c>
      <c r="G2561" s="3" t="n">
        <f aca="false">SUM($F$2:F2561)</f>
        <v>0.961496</v>
      </c>
      <c r="H2561" s="4"/>
      <c r="I2561" s="5"/>
      <c r="J2561" s="4"/>
      <c r="K2561" s="5"/>
      <c r="L2561" s="6"/>
      <c r="M2561" s="5" t="str">
        <f aca="false">IF(AND(N(K2561)&gt;0,N(L2561)&gt;0),K2561/L2561,"")</f>
        <v/>
      </c>
      <c r="N2561" s="2" t="s">
        <v>1226</v>
      </c>
    </row>
    <row r="2562" customFormat="false" ht="15" hidden="false" customHeight="false" outlineLevel="0" collapsed="false">
      <c r="A2562" s="2" t="n">
        <v>2561</v>
      </c>
      <c r="B2562" s="2" t="s">
        <v>5392</v>
      </c>
      <c r="C2562" s="2" t="s">
        <v>5393</v>
      </c>
      <c r="D2562" s="2"/>
      <c r="E2562" s="2" t="s">
        <v>765</v>
      </c>
      <c r="F2562" s="3" t="n">
        <v>4E-005</v>
      </c>
      <c r="G2562" s="3" t="n">
        <f aca="false">SUM($F$2:F2562)</f>
        <v>0.961536</v>
      </c>
      <c r="H2562" s="4"/>
      <c r="I2562" s="5"/>
      <c r="J2562" s="4"/>
      <c r="K2562" s="5"/>
      <c r="L2562" s="6"/>
      <c r="M2562" s="5" t="str">
        <f aca="false">IF(AND(N(K2562)&gt;0,N(L2562)&gt;0),K2562/L2562,"")</f>
        <v/>
      </c>
      <c r="N2562" s="2" t="s">
        <v>1226</v>
      </c>
    </row>
    <row r="2563" customFormat="false" ht="15" hidden="false" customHeight="false" outlineLevel="0" collapsed="false">
      <c r="A2563" s="2" t="n">
        <v>2562</v>
      </c>
      <c r="B2563" s="2" t="s">
        <v>5394</v>
      </c>
      <c r="C2563" s="2" t="s">
        <v>5395</v>
      </c>
      <c r="D2563" s="2"/>
      <c r="E2563" s="2" t="s">
        <v>52</v>
      </c>
      <c r="F2563" s="3" t="n">
        <v>4E-005</v>
      </c>
      <c r="G2563" s="3" t="n">
        <f aca="false">SUM($F$2:F2563)</f>
        <v>0.961576</v>
      </c>
      <c r="H2563" s="4"/>
      <c r="I2563" s="5"/>
      <c r="J2563" s="4"/>
      <c r="K2563" s="5"/>
      <c r="L2563" s="6"/>
      <c r="M2563" s="5" t="str">
        <f aca="false">IF(AND(N(K2563)&gt;0,N(L2563)&gt;0),K2563/L2563,"")</f>
        <v/>
      </c>
      <c r="N2563" s="2" t="s">
        <v>1226</v>
      </c>
    </row>
    <row r="2564" customFormat="false" ht="15" hidden="false" customHeight="false" outlineLevel="0" collapsed="false">
      <c r="A2564" s="2" t="n">
        <v>2563</v>
      </c>
      <c r="B2564" s="2" t="s">
        <v>5396</v>
      </c>
      <c r="C2564" s="2" t="s">
        <v>5397</v>
      </c>
      <c r="D2564" s="2"/>
      <c r="E2564" s="2" t="s">
        <v>296</v>
      </c>
      <c r="F2564" s="3" t="n">
        <v>4E-005</v>
      </c>
      <c r="G2564" s="3" t="n">
        <f aca="false">SUM($F$2:F2564)</f>
        <v>0.961616</v>
      </c>
      <c r="H2564" s="4"/>
      <c r="I2564" s="5"/>
      <c r="J2564" s="4"/>
      <c r="K2564" s="5"/>
      <c r="L2564" s="6"/>
      <c r="M2564" s="5" t="str">
        <f aca="false">IF(AND(N(K2564)&gt;0,N(L2564)&gt;0),K2564/L2564,"")</f>
        <v/>
      </c>
      <c r="N2564" s="2" t="s">
        <v>1226</v>
      </c>
    </row>
    <row r="2565" customFormat="false" ht="15" hidden="false" customHeight="false" outlineLevel="0" collapsed="false">
      <c r="A2565" s="2" t="n">
        <v>2564</v>
      </c>
      <c r="B2565" s="2" t="s">
        <v>5398</v>
      </c>
      <c r="C2565" s="2" t="s">
        <v>5399</v>
      </c>
      <c r="D2565" s="2"/>
      <c r="E2565" s="2" t="s">
        <v>17</v>
      </c>
      <c r="F2565" s="3" t="n">
        <v>4E-005</v>
      </c>
      <c r="G2565" s="3" t="n">
        <f aca="false">SUM($F$2:F2565)</f>
        <v>0.961656</v>
      </c>
      <c r="H2565" s="4"/>
      <c r="I2565" s="5"/>
      <c r="J2565" s="4"/>
      <c r="K2565" s="5"/>
      <c r="L2565" s="6"/>
      <c r="M2565" s="5" t="str">
        <f aca="false">IF(AND(N(K2565)&gt;0,N(L2565)&gt;0),K2565/L2565,"")</f>
        <v/>
      </c>
      <c r="N2565" s="2" t="s">
        <v>1226</v>
      </c>
    </row>
    <row r="2566" customFormat="false" ht="15" hidden="false" customHeight="false" outlineLevel="0" collapsed="false">
      <c r="A2566" s="2" t="n">
        <v>2565</v>
      </c>
      <c r="B2566" s="2" t="s">
        <v>5400</v>
      </c>
      <c r="C2566" s="2" t="s">
        <v>5401</v>
      </c>
      <c r="D2566" s="2"/>
      <c r="E2566" s="2" t="s">
        <v>43</v>
      </c>
      <c r="F2566" s="3" t="n">
        <v>4E-005</v>
      </c>
      <c r="G2566" s="3" t="n">
        <f aca="false">SUM($F$2:F2566)</f>
        <v>0.961696</v>
      </c>
      <c r="H2566" s="4"/>
      <c r="I2566" s="5"/>
      <c r="J2566" s="4"/>
      <c r="K2566" s="5"/>
      <c r="L2566" s="6"/>
      <c r="M2566" s="5" t="str">
        <f aca="false">IF(AND(N(K2566)&gt;0,N(L2566)&gt;0),K2566/L2566,"")</f>
        <v/>
      </c>
      <c r="N2566" s="2" t="s">
        <v>1226</v>
      </c>
    </row>
    <row r="2567" customFormat="false" ht="15" hidden="false" customHeight="false" outlineLevel="0" collapsed="false">
      <c r="A2567" s="2" t="n">
        <v>2566</v>
      </c>
      <c r="B2567" s="2" t="s">
        <v>5402</v>
      </c>
      <c r="C2567" s="2" t="s">
        <v>5403</v>
      </c>
      <c r="D2567" s="2"/>
      <c r="E2567" s="2" t="s">
        <v>334</v>
      </c>
      <c r="F2567" s="3" t="n">
        <v>4E-005</v>
      </c>
      <c r="G2567" s="3" t="n">
        <f aca="false">SUM($F$2:F2567)</f>
        <v>0.961736</v>
      </c>
      <c r="H2567" s="4"/>
      <c r="I2567" s="5"/>
      <c r="J2567" s="4"/>
      <c r="K2567" s="5"/>
      <c r="L2567" s="6"/>
      <c r="M2567" s="5" t="str">
        <f aca="false">IF(AND(N(K2567)&gt;0,N(L2567)&gt;0),K2567/L2567,"")</f>
        <v/>
      </c>
      <c r="N2567" s="2" t="s">
        <v>1226</v>
      </c>
    </row>
    <row r="2568" customFormat="false" ht="15" hidden="false" customHeight="false" outlineLevel="0" collapsed="false">
      <c r="A2568" s="2" t="n">
        <v>2567</v>
      </c>
      <c r="B2568" s="2" t="s">
        <v>5404</v>
      </c>
      <c r="C2568" s="2" t="s">
        <v>5405</v>
      </c>
      <c r="D2568" s="2"/>
      <c r="E2568" s="2" t="s">
        <v>52</v>
      </c>
      <c r="F2568" s="3" t="n">
        <v>4E-005</v>
      </c>
      <c r="G2568" s="3" t="n">
        <f aca="false">SUM($F$2:F2568)</f>
        <v>0.961776</v>
      </c>
      <c r="H2568" s="4"/>
      <c r="I2568" s="5"/>
      <c r="J2568" s="4"/>
      <c r="K2568" s="5"/>
      <c r="L2568" s="6"/>
      <c r="M2568" s="5" t="str">
        <f aca="false">IF(AND(N(K2568)&gt;0,N(L2568)&gt;0),K2568/L2568,"")</f>
        <v/>
      </c>
      <c r="N2568" s="2" t="s">
        <v>1226</v>
      </c>
    </row>
    <row r="2569" customFormat="false" ht="15" hidden="false" customHeight="false" outlineLevel="0" collapsed="false">
      <c r="A2569" s="2" t="n">
        <v>2568</v>
      </c>
      <c r="B2569" s="2" t="s">
        <v>5406</v>
      </c>
      <c r="C2569" s="2" t="s">
        <v>5407</v>
      </c>
      <c r="D2569" s="2"/>
      <c r="E2569" s="2" t="s">
        <v>1345</v>
      </c>
      <c r="F2569" s="3" t="n">
        <v>4E-005</v>
      </c>
      <c r="G2569" s="3" t="n">
        <f aca="false">SUM($F$2:F2569)</f>
        <v>0.961816</v>
      </c>
      <c r="H2569" s="4"/>
      <c r="I2569" s="5"/>
      <c r="J2569" s="4"/>
      <c r="K2569" s="5"/>
      <c r="L2569" s="6"/>
      <c r="M2569" s="5" t="str">
        <f aca="false">IF(AND(N(K2569)&gt;0,N(L2569)&gt;0),K2569/L2569,"")</f>
        <v/>
      </c>
      <c r="N2569" s="2" t="s">
        <v>1226</v>
      </c>
    </row>
    <row r="2570" customFormat="false" ht="15" hidden="false" customHeight="false" outlineLevel="0" collapsed="false">
      <c r="A2570" s="2" t="n">
        <v>2569</v>
      </c>
      <c r="B2570" s="2" t="s">
        <v>5408</v>
      </c>
      <c r="C2570" s="2" t="s">
        <v>5409</v>
      </c>
      <c r="D2570" s="2"/>
      <c r="E2570" s="2" t="s">
        <v>43</v>
      </c>
      <c r="F2570" s="3" t="n">
        <v>4E-005</v>
      </c>
      <c r="G2570" s="3" t="n">
        <f aca="false">SUM($F$2:F2570)</f>
        <v>0.961856</v>
      </c>
      <c r="H2570" s="4"/>
      <c r="I2570" s="5"/>
      <c r="J2570" s="4"/>
      <c r="K2570" s="5"/>
      <c r="L2570" s="6"/>
      <c r="M2570" s="5" t="str">
        <f aca="false">IF(AND(N(K2570)&gt;0,N(L2570)&gt;0),K2570/L2570,"")</f>
        <v/>
      </c>
      <c r="N2570" s="2" t="s">
        <v>1226</v>
      </c>
    </row>
    <row r="2571" customFormat="false" ht="15" hidden="false" customHeight="false" outlineLevel="0" collapsed="false">
      <c r="A2571" s="2" t="n">
        <v>2570</v>
      </c>
      <c r="B2571" s="2" t="s">
        <v>5410</v>
      </c>
      <c r="C2571" s="2" t="s">
        <v>5411</v>
      </c>
      <c r="D2571" s="2"/>
      <c r="E2571" s="2" t="s">
        <v>1345</v>
      </c>
      <c r="F2571" s="3" t="n">
        <v>4E-005</v>
      </c>
      <c r="G2571" s="3" t="n">
        <f aca="false">SUM($F$2:F2571)</f>
        <v>0.961896</v>
      </c>
      <c r="H2571" s="4"/>
      <c r="I2571" s="5"/>
      <c r="J2571" s="4"/>
      <c r="K2571" s="5"/>
      <c r="L2571" s="6"/>
      <c r="M2571" s="5" t="str">
        <f aca="false">IF(AND(N(K2571)&gt;0,N(L2571)&gt;0),K2571/L2571,"")</f>
        <v/>
      </c>
      <c r="N2571" s="2" t="s">
        <v>1226</v>
      </c>
    </row>
    <row r="2572" customFormat="false" ht="15" hidden="false" customHeight="false" outlineLevel="0" collapsed="false">
      <c r="A2572" s="2" t="n">
        <v>2571</v>
      </c>
      <c r="B2572" s="2" t="s">
        <v>5412</v>
      </c>
      <c r="C2572" s="2" t="s">
        <v>5413</v>
      </c>
      <c r="D2572" s="2"/>
      <c r="E2572" s="2" t="s">
        <v>52</v>
      </c>
      <c r="F2572" s="3" t="n">
        <v>4E-005</v>
      </c>
      <c r="G2572" s="3" t="n">
        <f aca="false">SUM($F$2:F2572)</f>
        <v>0.961936</v>
      </c>
      <c r="H2572" s="4"/>
      <c r="I2572" s="5"/>
      <c r="J2572" s="4"/>
      <c r="K2572" s="5"/>
      <c r="L2572" s="6"/>
      <c r="M2572" s="5" t="str">
        <f aca="false">IF(AND(N(K2572)&gt;0,N(L2572)&gt;0),K2572/L2572,"")</f>
        <v/>
      </c>
      <c r="N2572" s="2" t="s">
        <v>1226</v>
      </c>
    </row>
    <row r="2573" customFormat="false" ht="15" hidden="false" customHeight="false" outlineLevel="0" collapsed="false">
      <c r="A2573" s="2" t="n">
        <v>2572</v>
      </c>
      <c r="B2573" s="2" t="s">
        <v>5414</v>
      </c>
      <c r="C2573" s="2" t="s">
        <v>5415</v>
      </c>
      <c r="D2573" s="2"/>
      <c r="E2573" s="2" t="s">
        <v>1345</v>
      </c>
      <c r="F2573" s="3" t="n">
        <v>4E-005</v>
      </c>
      <c r="G2573" s="3" t="n">
        <f aca="false">SUM($F$2:F2573)</f>
        <v>0.961976</v>
      </c>
      <c r="H2573" s="4"/>
      <c r="I2573" s="5"/>
      <c r="J2573" s="4"/>
      <c r="K2573" s="5"/>
      <c r="L2573" s="6"/>
      <c r="M2573" s="5" t="str">
        <f aca="false">IF(AND(N(K2573)&gt;0,N(L2573)&gt;0),K2573/L2573,"")</f>
        <v/>
      </c>
      <c r="N2573" s="2" t="s">
        <v>1226</v>
      </c>
    </row>
    <row r="2574" customFormat="false" ht="15" hidden="false" customHeight="false" outlineLevel="0" collapsed="false">
      <c r="A2574" s="2" t="n">
        <v>2573</v>
      </c>
      <c r="B2574" s="2" t="s">
        <v>5416</v>
      </c>
      <c r="C2574" s="2" t="s">
        <v>5417</v>
      </c>
      <c r="D2574" s="2"/>
      <c r="E2574" s="2" t="s">
        <v>700</v>
      </c>
      <c r="F2574" s="3" t="n">
        <v>4E-005</v>
      </c>
      <c r="G2574" s="3" t="n">
        <f aca="false">SUM($F$2:F2574)</f>
        <v>0.962016</v>
      </c>
      <c r="H2574" s="4"/>
      <c r="I2574" s="5"/>
      <c r="J2574" s="4"/>
      <c r="K2574" s="5"/>
      <c r="L2574" s="6"/>
      <c r="M2574" s="5" t="str">
        <f aca="false">IF(AND(N(K2574)&gt;0,N(L2574)&gt;0),K2574/L2574,"")</f>
        <v/>
      </c>
      <c r="N2574" s="2" t="s">
        <v>1226</v>
      </c>
    </row>
    <row r="2575" customFormat="false" ht="15" hidden="false" customHeight="false" outlineLevel="0" collapsed="false">
      <c r="A2575" s="2" t="n">
        <v>2574</v>
      </c>
      <c r="B2575" s="2" t="s">
        <v>3817</v>
      </c>
      <c r="C2575" s="2" t="s">
        <v>5418</v>
      </c>
      <c r="D2575" s="2"/>
      <c r="E2575" s="2" t="s">
        <v>539</v>
      </c>
      <c r="F2575" s="3" t="n">
        <v>4E-005</v>
      </c>
      <c r="G2575" s="3" t="n">
        <f aca="false">SUM($F$2:F2575)</f>
        <v>0.962056</v>
      </c>
      <c r="H2575" s="4"/>
      <c r="I2575" s="5"/>
      <c r="J2575" s="4"/>
      <c r="K2575" s="5"/>
      <c r="L2575" s="6"/>
      <c r="M2575" s="5" t="str">
        <f aca="false">IF(AND(N(K2575)&gt;0,N(L2575)&gt;0),K2575/L2575,"")</f>
        <v/>
      </c>
      <c r="N2575" s="2" t="s">
        <v>1226</v>
      </c>
    </row>
    <row r="2576" customFormat="false" ht="15" hidden="false" customHeight="false" outlineLevel="0" collapsed="false">
      <c r="A2576" s="2" t="n">
        <v>2575</v>
      </c>
      <c r="B2576" s="2" t="s">
        <v>5419</v>
      </c>
      <c r="C2576" s="2" t="s">
        <v>5420</v>
      </c>
      <c r="D2576" s="2"/>
      <c r="E2576" s="2" t="s">
        <v>1345</v>
      </c>
      <c r="F2576" s="3" t="n">
        <v>4E-005</v>
      </c>
      <c r="G2576" s="3" t="n">
        <f aca="false">SUM($F$2:F2576)</f>
        <v>0.962096</v>
      </c>
      <c r="H2576" s="4"/>
      <c r="I2576" s="5"/>
      <c r="J2576" s="4"/>
      <c r="K2576" s="5"/>
      <c r="L2576" s="6"/>
      <c r="M2576" s="5" t="str">
        <f aca="false">IF(AND(N(K2576)&gt;0,N(L2576)&gt;0),K2576/L2576,"")</f>
        <v/>
      </c>
      <c r="N2576" s="2" t="s">
        <v>1226</v>
      </c>
    </row>
    <row r="2577" customFormat="false" ht="15" hidden="false" customHeight="false" outlineLevel="0" collapsed="false">
      <c r="A2577" s="2" t="n">
        <v>2576</v>
      </c>
      <c r="B2577" s="2" t="s">
        <v>5421</v>
      </c>
      <c r="C2577" s="2" t="s">
        <v>5422</v>
      </c>
      <c r="D2577" s="2"/>
      <c r="E2577" s="2" t="s">
        <v>289</v>
      </c>
      <c r="F2577" s="3" t="n">
        <v>4E-005</v>
      </c>
      <c r="G2577" s="3" t="n">
        <f aca="false">SUM($F$2:F2577)</f>
        <v>0.962136</v>
      </c>
      <c r="H2577" s="4"/>
      <c r="I2577" s="5"/>
      <c r="J2577" s="4"/>
      <c r="K2577" s="5"/>
      <c r="L2577" s="6"/>
      <c r="M2577" s="5" t="str">
        <f aca="false">IF(AND(N(K2577)&gt;0,N(L2577)&gt;0),K2577/L2577,"")</f>
        <v/>
      </c>
      <c r="N2577" s="2" t="s">
        <v>1226</v>
      </c>
    </row>
    <row r="2578" customFormat="false" ht="15" hidden="false" customHeight="false" outlineLevel="0" collapsed="false">
      <c r="A2578" s="2" t="n">
        <v>2577</v>
      </c>
      <c r="B2578" s="2" t="s">
        <v>5423</v>
      </c>
      <c r="C2578" s="2" t="s">
        <v>5424</v>
      </c>
      <c r="D2578" s="2"/>
      <c r="E2578" s="2" t="s">
        <v>1345</v>
      </c>
      <c r="F2578" s="3" t="n">
        <v>4E-005</v>
      </c>
      <c r="G2578" s="3" t="n">
        <f aca="false">SUM($F$2:F2578)</f>
        <v>0.962176</v>
      </c>
      <c r="H2578" s="4"/>
      <c r="I2578" s="5"/>
      <c r="J2578" s="4"/>
      <c r="K2578" s="5"/>
      <c r="L2578" s="6"/>
      <c r="M2578" s="5" t="str">
        <f aca="false">IF(AND(N(K2578)&gt;0,N(L2578)&gt;0),K2578/L2578,"")</f>
        <v/>
      </c>
      <c r="N2578" s="2" t="s">
        <v>1226</v>
      </c>
    </row>
    <row r="2579" customFormat="false" ht="15" hidden="false" customHeight="false" outlineLevel="0" collapsed="false">
      <c r="A2579" s="2" t="n">
        <v>2578</v>
      </c>
      <c r="B2579" s="2" t="s">
        <v>5425</v>
      </c>
      <c r="C2579" s="2" t="s">
        <v>5426</v>
      </c>
      <c r="D2579" s="2"/>
      <c r="E2579" s="2" t="s">
        <v>52</v>
      </c>
      <c r="F2579" s="3" t="n">
        <v>4E-005</v>
      </c>
      <c r="G2579" s="3" t="n">
        <f aca="false">SUM($F$2:F2579)</f>
        <v>0.962216</v>
      </c>
      <c r="H2579" s="4"/>
      <c r="I2579" s="5"/>
      <c r="J2579" s="4"/>
      <c r="K2579" s="5"/>
      <c r="L2579" s="6"/>
      <c r="M2579" s="5" t="str">
        <f aca="false">IF(AND(N(K2579)&gt;0,N(L2579)&gt;0),K2579/L2579,"")</f>
        <v/>
      </c>
      <c r="N2579" s="2" t="s">
        <v>1226</v>
      </c>
    </row>
    <row r="2580" customFormat="false" ht="15" hidden="false" customHeight="false" outlineLevel="0" collapsed="false">
      <c r="A2580" s="2" t="n">
        <v>2579</v>
      </c>
      <c r="B2580" s="2" t="s">
        <v>5427</v>
      </c>
      <c r="C2580" s="2" t="s">
        <v>5428</v>
      </c>
      <c r="D2580" s="2"/>
      <c r="E2580" s="2" t="s">
        <v>52</v>
      </c>
      <c r="F2580" s="3" t="n">
        <v>4E-005</v>
      </c>
      <c r="G2580" s="3" t="n">
        <f aca="false">SUM($F$2:F2580)</f>
        <v>0.962256</v>
      </c>
      <c r="H2580" s="4"/>
      <c r="I2580" s="5"/>
      <c r="J2580" s="4"/>
      <c r="K2580" s="5"/>
      <c r="L2580" s="6"/>
      <c r="M2580" s="5" t="str">
        <f aca="false">IF(AND(N(K2580)&gt;0,N(L2580)&gt;0),K2580/L2580,"")</f>
        <v/>
      </c>
      <c r="N2580" s="2" t="s">
        <v>1226</v>
      </c>
    </row>
    <row r="2581" customFormat="false" ht="15" hidden="false" customHeight="false" outlineLevel="0" collapsed="false">
      <c r="A2581" s="2" t="n">
        <v>2580</v>
      </c>
      <c r="B2581" s="2" t="s">
        <v>5429</v>
      </c>
      <c r="C2581" s="2" t="s">
        <v>5430</v>
      </c>
      <c r="D2581" s="2"/>
      <c r="E2581" s="2" t="s">
        <v>17</v>
      </c>
      <c r="F2581" s="3" t="n">
        <v>4E-005</v>
      </c>
      <c r="G2581" s="3" t="n">
        <f aca="false">SUM($F$2:F2581)</f>
        <v>0.962296</v>
      </c>
      <c r="H2581" s="4"/>
      <c r="I2581" s="5"/>
      <c r="J2581" s="4"/>
      <c r="K2581" s="5"/>
      <c r="L2581" s="6"/>
      <c r="M2581" s="5" t="str">
        <f aca="false">IF(AND(N(K2581)&gt;0,N(L2581)&gt;0),K2581/L2581,"")</f>
        <v/>
      </c>
      <c r="N2581" s="2" t="s">
        <v>1226</v>
      </c>
    </row>
    <row r="2582" customFormat="false" ht="15" hidden="false" customHeight="false" outlineLevel="0" collapsed="false">
      <c r="A2582" s="2" t="n">
        <v>2581</v>
      </c>
      <c r="B2582" s="2" t="s">
        <v>5431</v>
      </c>
      <c r="C2582" s="2" t="s">
        <v>5432</v>
      </c>
      <c r="D2582" s="2"/>
      <c r="E2582" s="2" t="s">
        <v>614</v>
      </c>
      <c r="F2582" s="3" t="n">
        <v>4E-005</v>
      </c>
      <c r="G2582" s="3" t="n">
        <f aca="false">SUM($F$2:F2582)</f>
        <v>0.962336</v>
      </c>
      <c r="H2582" s="4"/>
      <c r="I2582" s="5"/>
      <c r="J2582" s="4"/>
      <c r="K2582" s="5"/>
      <c r="L2582" s="6"/>
      <c r="M2582" s="5" t="str">
        <f aca="false">IF(AND(N(K2582)&gt;0,N(L2582)&gt;0),K2582/L2582,"")</f>
        <v/>
      </c>
      <c r="N2582" s="2" t="s">
        <v>1226</v>
      </c>
    </row>
    <row r="2583" customFormat="false" ht="15" hidden="false" customHeight="false" outlineLevel="0" collapsed="false">
      <c r="A2583" s="2" t="n">
        <v>2582</v>
      </c>
      <c r="B2583" s="2" t="s">
        <v>5433</v>
      </c>
      <c r="C2583" s="2" t="s">
        <v>5434</v>
      </c>
      <c r="D2583" s="2"/>
      <c r="E2583" s="2" t="s">
        <v>1345</v>
      </c>
      <c r="F2583" s="3" t="n">
        <v>4E-005</v>
      </c>
      <c r="G2583" s="3" t="n">
        <f aca="false">SUM($F$2:F2583)</f>
        <v>0.962376</v>
      </c>
      <c r="H2583" s="4"/>
      <c r="I2583" s="5"/>
      <c r="J2583" s="4"/>
      <c r="K2583" s="5"/>
      <c r="L2583" s="6"/>
      <c r="M2583" s="5" t="str">
        <f aca="false">IF(AND(N(K2583)&gt;0,N(L2583)&gt;0),K2583/L2583,"")</f>
        <v/>
      </c>
      <c r="N2583" s="2" t="s">
        <v>1226</v>
      </c>
    </row>
    <row r="2584" customFormat="false" ht="15" hidden="false" customHeight="false" outlineLevel="0" collapsed="false">
      <c r="A2584" s="2" t="n">
        <v>2583</v>
      </c>
      <c r="B2584" s="2" t="s">
        <v>5435</v>
      </c>
      <c r="C2584" s="2" t="s">
        <v>5436</v>
      </c>
      <c r="D2584" s="2"/>
      <c r="E2584" s="2" t="s">
        <v>33</v>
      </c>
      <c r="F2584" s="3" t="n">
        <v>4E-005</v>
      </c>
      <c r="G2584" s="3" t="n">
        <f aca="false">SUM($F$2:F2584)</f>
        <v>0.962416</v>
      </c>
      <c r="H2584" s="4"/>
      <c r="I2584" s="5"/>
      <c r="J2584" s="4"/>
      <c r="K2584" s="5"/>
      <c r="L2584" s="6"/>
      <c r="M2584" s="5" t="str">
        <f aca="false">IF(AND(N(K2584)&gt;0,N(L2584)&gt;0),K2584/L2584,"")</f>
        <v/>
      </c>
      <c r="N2584" s="2" t="s">
        <v>1226</v>
      </c>
    </row>
    <row r="2585" customFormat="false" ht="15" hidden="false" customHeight="false" outlineLevel="0" collapsed="false">
      <c r="A2585" s="2" t="n">
        <v>2584</v>
      </c>
      <c r="B2585" s="2" t="s">
        <v>5437</v>
      </c>
      <c r="C2585" s="2" t="s">
        <v>5438</v>
      </c>
      <c r="D2585" s="2"/>
      <c r="E2585" s="2" t="s">
        <v>289</v>
      </c>
      <c r="F2585" s="3" t="n">
        <v>4E-005</v>
      </c>
      <c r="G2585" s="3" t="n">
        <f aca="false">SUM($F$2:F2585)</f>
        <v>0.962456</v>
      </c>
      <c r="H2585" s="4"/>
      <c r="I2585" s="5"/>
      <c r="J2585" s="4"/>
      <c r="K2585" s="5"/>
      <c r="L2585" s="6"/>
      <c r="M2585" s="5" t="str">
        <f aca="false">IF(AND(N(K2585)&gt;0,N(L2585)&gt;0),K2585/L2585,"")</f>
        <v/>
      </c>
      <c r="N2585" s="2" t="s">
        <v>1226</v>
      </c>
    </row>
    <row r="2586" customFormat="false" ht="15" hidden="false" customHeight="false" outlineLevel="0" collapsed="false">
      <c r="A2586" s="2" t="n">
        <v>2585</v>
      </c>
      <c r="B2586" s="2" t="s">
        <v>5439</v>
      </c>
      <c r="C2586" s="2" t="s">
        <v>5440</v>
      </c>
      <c r="D2586" s="2"/>
      <c r="E2586" s="2" t="s">
        <v>289</v>
      </c>
      <c r="F2586" s="3" t="n">
        <v>4E-005</v>
      </c>
      <c r="G2586" s="3" t="n">
        <f aca="false">SUM($F$2:F2586)</f>
        <v>0.962496</v>
      </c>
      <c r="H2586" s="4"/>
      <c r="I2586" s="5"/>
      <c r="J2586" s="4"/>
      <c r="K2586" s="5"/>
      <c r="L2586" s="6"/>
      <c r="M2586" s="5" t="str">
        <f aca="false">IF(AND(N(K2586)&gt;0,N(L2586)&gt;0),K2586/L2586,"")</f>
        <v/>
      </c>
      <c r="N2586" s="2" t="s">
        <v>1226</v>
      </c>
    </row>
    <row r="2587" customFormat="false" ht="15" hidden="false" customHeight="false" outlineLevel="0" collapsed="false">
      <c r="A2587" s="2" t="n">
        <v>2586</v>
      </c>
      <c r="B2587" s="2" t="s">
        <v>4456</v>
      </c>
      <c r="C2587" s="2" t="s">
        <v>5441</v>
      </c>
      <c r="D2587" s="2"/>
      <c r="E2587" s="2" t="s">
        <v>29</v>
      </c>
      <c r="F2587" s="3" t="n">
        <v>4E-005</v>
      </c>
      <c r="G2587" s="3" t="n">
        <f aca="false">SUM($F$2:F2587)</f>
        <v>0.962536</v>
      </c>
      <c r="H2587" s="4"/>
      <c r="I2587" s="5"/>
      <c r="J2587" s="4"/>
      <c r="K2587" s="5"/>
      <c r="L2587" s="6"/>
      <c r="M2587" s="5" t="str">
        <f aca="false">IF(AND(N(K2587)&gt;0,N(L2587)&gt;0),K2587/L2587,"")</f>
        <v/>
      </c>
      <c r="N2587" s="2" t="s">
        <v>1226</v>
      </c>
    </row>
    <row r="2588" customFormat="false" ht="15" hidden="false" customHeight="false" outlineLevel="0" collapsed="false">
      <c r="A2588" s="2" t="n">
        <v>2587</v>
      </c>
      <c r="B2588" s="2" t="s">
        <v>5442</v>
      </c>
      <c r="C2588" s="2" t="s">
        <v>5443</v>
      </c>
      <c r="D2588" s="2"/>
      <c r="E2588" s="2" t="s">
        <v>1345</v>
      </c>
      <c r="F2588" s="3" t="n">
        <v>3.9E-005</v>
      </c>
      <c r="G2588" s="3" t="n">
        <f aca="false">SUM($F$2:F2588)</f>
        <v>0.962575</v>
      </c>
      <c r="H2588" s="4"/>
      <c r="I2588" s="5"/>
      <c r="J2588" s="4"/>
      <c r="K2588" s="5"/>
      <c r="L2588" s="6"/>
      <c r="M2588" s="5" t="str">
        <f aca="false">IF(AND(N(K2588)&gt;0,N(L2588)&gt;0),K2588/L2588,"")</f>
        <v/>
      </c>
      <c r="N2588" s="2" t="s">
        <v>1226</v>
      </c>
    </row>
    <row r="2589" customFormat="false" ht="15" hidden="false" customHeight="false" outlineLevel="0" collapsed="false">
      <c r="A2589" s="2" t="n">
        <v>2588</v>
      </c>
      <c r="B2589" s="2" t="s">
        <v>5444</v>
      </c>
      <c r="C2589" s="2" t="s">
        <v>5445</v>
      </c>
      <c r="D2589" s="2"/>
      <c r="E2589" s="2" t="s">
        <v>289</v>
      </c>
      <c r="F2589" s="3" t="n">
        <v>3.9E-005</v>
      </c>
      <c r="G2589" s="3" t="n">
        <f aca="false">SUM($F$2:F2589)</f>
        <v>0.962614</v>
      </c>
      <c r="H2589" s="4"/>
      <c r="I2589" s="5"/>
      <c r="J2589" s="4"/>
      <c r="K2589" s="5"/>
      <c r="L2589" s="6"/>
      <c r="M2589" s="5" t="str">
        <f aca="false">IF(AND(N(K2589)&gt;0,N(L2589)&gt;0),K2589/L2589,"")</f>
        <v/>
      </c>
      <c r="N2589" s="2" t="s">
        <v>1226</v>
      </c>
    </row>
    <row r="2590" customFormat="false" ht="15" hidden="false" customHeight="false" outlineLevel="0" collapsed="false">
      <c r="A2590" s="2" t="n">
        <v>2589</v>
      </c>
      <c r="B2590" s="2" t="s">
        <v>5446</v>
      </c>
      <c r="C2590" s="2" t="s">
        <v>5447</v>
      </c>
      <c r="D2590" s="2"/>
      <c r="E2590" s="2" t="s">
        <v>289</v>
      </c>
      <c r="F2590" s="3" t="n">
        <v>3.9E-005</v>
      </c>
      <c r="G2590" s="3" t="n">
        <f aca="false">SUM($F$2:F2590)</f>
        <v>0.962653</v>
      </c>
      <c r="H2590" s="4"/>
      <c r="I2590" s="5"/>
      <c r="J2590" s="4"/>
      <c r="K2590" s="5"/>
      <c r="L2590" s="6"/>
      <c r="M2590" s="5" t="str">
        <f aca="false">IF(AND(N(K2590)&gt;0,N(L2590)&gt;0),K2590/L2590,"")</f>
        <v/>
      </c>
      <c r="N2590" s="2" t="s">
        <v>1226</v>
      </c>
    </row>
    <row r="2591" customFormat="false" ht="15" hidden="false" customHeight="false" outlineLevel="0" collapsed="false">
      <c r="A2591" s="2" t="n">
        <v>2590</v>
      </c>
      <c r="B2591" s="2" t="s">
        <v>5448</v>
      </c>
      <c r="C2591" s="2" t="s">
        <v>5449</v>
      </c>
      <c r="D2591" s="2"/>
      <c r="E2591" s="2" t="s">
        <v>334</v>
      </c>
      <c r="F2591" s="3" t="n">
        <v>3.9E-005</v>
      </c>
      <c r="G2591" s="3" t="n">
        <f aca="false">SUM($F$2:F2591)</f>
        <v>0.962692</v>
      </c>
      <c r="H2591" s="4"/>
      <c r="I2591" s="5"/>
      <c r="J2591" s="4"/>
      <c r="K2591" s="5"/>
      <c r="L2591" s="6"/>
      <c r="M2591" s="5" t="str">
        <f aca="false">IF(AND(N(K2591)&gt;0,N(L2591)&gt;0),K2591/L2591,"")</f>
        <v/>
      </c>
      <c r="N2591" s="2" t="s">
        <v>1226</v>
      </c>
    </row>
    <row r="2592" customFormat="false" ht="15" hidden="false" customHeight="false" outlineLevel="0" collapsed="false">
      <c r="A2592" s="2" t="n">
        <v>2591</v>
      </c>
      <c r="B2592" s="2" t="s">
        <v>5450</v>
      </c>
      <c r="C2592" s="2" t="s">
        <v>5451</v>
      </c>
      <c r="D2592" s="2"/>
      <c r="E2592" s="2" t="s">
        <v>17</v>
      </c>
      <c r="F2592" s="3" t="n">
        <v>3.9E-005</v>
      </c>
      <c r="G2592" s="3" t="n">
        <f aca="false">SUM($F$2:F2592)</f>
        <v>0.962731</v>
      </c>
      <c r="H2592" s="4"/>
      <c r="I2592" s="5"/>
      <c r="J2592" s="4"/>
      <c r="K2592" s="5"/>
      <c r="L2592" s="6"/>
      <c r="M2592" s="5" t="str">
        <f aca="false">IF(AND(N(K2592)&gt;0,N(L2592)&gt;0),K2592/L2592,"")</f>
        <v/>
      </c>
      <c r="N2592" s="2" t="s">
        <v>1226</v>
      </c>
    </row>
    <row r="2593" customFormat="false" ht="15" hidden="false" customHeight="false" outlineLevel="0" collapsed="false">
      <c r="A2593" s="2" t="n">
        <v>2592</v>
      </c>
      <c r="B2593" s="2" t="s">
        <v>5452</v>
      </c>
      <c r="C2593" s="2" t="s">
        <v>5453</v>
      </c>
      <c r="D2593" s="2"/>
      <c r="E2593" s="2" t="s">
        <v>1215</v>
      </c>
      <c r="F2593" s="3" t="n">
        <v>3.9E-005</v>
      </c>
      <c r="G2593" s="3" t="n">
        <f aca="false">SUM($F$2:F2593)</f>
        <v>0.96277</v>
      </c>
      <c r="H2593" s="4"/>
      <c r="I2593" s="5"/>
      <c r="J2593" s="4"/>
      <c r="K2593" s="5"/>
      <c r="L2593" s="6"/>
      <c r="M2593" s="5" t="str">
        <f aca="false">IF(AND(N(K2593)&gt;0,N(L2593)&gt;0),K2593/L2593,"")</f>
        <v/>
      </c>
      <c r="N2593" s="2" t="s">
        <v>1226</v>
      </c>
    </row>
    <row r="2594" customFormat="false" ht="15" hidden="false" customHeight="false" outlineLevel="0" collapsed="false">
      <c r="A2594" s="2" t="n">
        <v>2593</v>
      </c>
      <c r="B2594" s="2" t="s">
        <v>5454</v>
      </c>
      <c r="C2594" s="2" t="s">
        <v>5455</v>
      </c>
      <c r="D2594" s="2"/>
      <c r="E2594" s="2" t="s">
        <v>21</v>
      </c>
      <c r="F2594" s="3" t="n">
        <v>3.9E-005</v>
      </c>
      <c r="G2594" s="3" t="n">
        <f aca="false">SUM($F$2:F2594)</f>
        <v>0.962809</v>
      </c>
      <c r="H2594" s="4"/>
      <c r="I2594" s="5"/>
      <c r="J2594" s="4"/>
      <c r="K2594" s="5"/>
      <c r="L2594" s="6"/>
      <c r="M2594" s="5" t="str">
        <f aca="false">IF(AND(N(K2594)&gt;0,N(L2594)&gt;0),K2594/L2594,"")</f>
        <v/>
      </c>
      <c r="N2594" s="2" t="s">
        <v>1226</v>
      </c>
    </row>
    <row r="2595" customFormat="false" ht="15" hidden="false" customHeight="false" outlineLevel="0" collapsed="false">
      <c r="A2595" s="2" t="n">
        <v>2594</v>
      </c>
      <c r="B2595" s="2" t="s">
        <v>5456</v>
      </c>
      <c r="C2595" s="2" t="s">
        <v>5457</v>
      </c>
      <c r="D2595" s="2"/>
      <c r="E2595" s="2" t="s">
        <v>1345</v>
      </c>
      <c r="F2595" s="3" t="n">
        <v>3.9E-005</v>
      </c>
      <c r="G2595" s="3" t="n">
        <f aca="false">SUM($F$2:F2595)</f>
        <v>0.962848</v>
      </c>
      <c r="H2595" s="4"/>
      <c r="I2595" s="5"/>
      <c r="J2595" s="4"/>
      <c r="K2595" s="5"/>
      <c r="L2595" s="6"/>
      <c r="M2595" s="5" t="str">
        <f aca="false">IF(AND(N(K2595)&gt;0,N(L2595)&gt;0),K2595/L2595,"")</f>
        <v/>
      </c>
      <c r="N2595" s="2" t="s">
        <v>1226</v>
      </c>
    </row>
    <row r="2596" customFormat="false" ht="15" hidden="false" customHeight="false" outlineLevel="0" collapsed="false">
      <c r="A2596" s="2" t="n">
        <v>2595</v>
      </c>
      <c r="B2596" s="2" t="s">
        <v>5458</v>
      </c>
      <c r="C2596" s="2" t="s">
        <v>5459</v>
      </c>
      <c r="D2596" s="2"/>
      <c r="E2596" s="2" t="s">
        <v>52</v>
      </c>
      <c r="F2596" s="3" t="n">
        <v>3.9E-005</v>
      </c>
      <c r="G2596" s="3" t="n">
        <f aca="false">SUM($F$2:F2596)</f>
        <v>0.962887</v>
      </c>
      <c r="H2596" s="4"/>
      <c r="I2596" s="5"/>
      <c r="J2596" s="4"/>
      <c r="K2596" s="5"/>
      <c r="L2596" s="6"/>
      <c r="M2596" s="5" t="str">
        <f aca="false">IF(AND(N(K2596)&gt;0,N(L2596)&gt;0),K2596/L2596,"")</f>
        <v/>
      </c>
      <c r="N2596" s="2" t="s">
        <v>1226</v>
      </c>
    </row>
    <row r="2597" customFormat="false" ht="15" hidden="false" customHeight="false" outlineLevel="0" collapsed="false">
      <c r="A2597" s="2" t="n">
        <v>2596</v>
      </c>
      <c r="B2597" s="2" t="s">
        <v>5460</v>
      </c>
      <c r="C2597" s="2" t="s">
        <v>5461</v>
      </c>
      <c r="D2597" s="2"/>
      <c r="E2597" s="2" t="s">
        <v>539</v>
      </c>
      <c r="F2597" s="3" t="n">
        <v>3.9E-005</v>
      </c>
      <c r="G2597" s="3" t="n">
        <f aca="false">SUM($F$2:F2597)</f>
        <v>0.962926</v>
      </c>
      <c r="H2597" s="4"/>
      <c r="I2597" s="5"/>
      <c r="J2597" s="4"/>
      <c r="K2597" s="5"/>
      <c r="L2597" s="6"/>
      <c r="M2597" s="5" t="str">
        <f aca="false">IF(AND(N(K2597)&gt;0,N(L2597)&gt;0),K2597/L2597,"")</f>
        <v/>
      </c>
      <c r="N2597" s="2" t="s">
        <v>1226</v>
      </c>
    </row>
    <row r="2598" customFormat="false" ht="15" hidden="false" customHeight="false" outlineLevel="0" collapsed="false">
      <c r="A2598" s="2" t="n">
        <v>2597</v>
      </c>
      <c r="B2598" s="2" t="s">
        <v>5462</v>
      </c>
      <c r="C2598" s="2" t="s">
        <v>5463</v>
      </c>
      <c r="D2598" s="2"/>
      <c r="E2598" s="2" t="s">
        <v>1345</v>
      </c>
      <c r="F2598" s="3" t="n">
        <v>3.9E-005</v>
      </c>
      <c r="G2598" s="3" t="n">
        <f aca="false">SUM($F$2:F2598)</f>
        <v>0.962965</v>
      </c>
      <c r="H2598" s="4"/>
      <c r="I2598" s="5"/>
      <c r="J2598" s="4"/>
      <c r="K2598" s="5"/>
      <c r="L2598" s="6"/>
      <c r="M2598" s="5" t="str">
        <f aca="false">IF(AND(N(K2598)&gt;0,N(L2598)&gt;0),K2598/L2598,"")</f>
        <v/>
      </c>
      <c r="N2598" s="2" t="s">
        <v>1226</v>
      </c>
    </row>
    <row r="2599" customFormat="false" ht="15" hidden="false" customHeight="false" outlineLevel="0" collapsed="false">
      <c r="A2599" s="2" t="n">
        <v>2598</v>
      </c>
      <c r="B2599" s="2" t="s">
        <v>5464</v>
      </c>
      <c r="C2599" s="2" t="s">
        <v>5465</v>
      </c>
      <c r="D2599" s="2"/>
      <c r="E2599" s="2" t="s">
        <v>43</v>
      </c>
      <c r="F2599" s="3" t="n">
        <v>3.9E-005</v>
      </c>
      <c r="G2599" s="3" t="n">
        <f aca="false">SUM($F$2:F2599)</f>
        <v>0.963004</v>
      </c>
      <c r="H2599" s="4"/>
      <c r="I2599" s="5"/>
      <c r="J2599" s="4"/>
      <c r="K2599" s="5"/>
      <c r="L2599" s="6"/>
      <c r="M2599" s="5" t="str">
        <f aca="false">IF(AND(N(K2599)&gt;0,N(L2599)&gt;0),K2599/L2599,"")</f>
        <v/>
      </c>
      <c r="N2599" s="2" t="s">
        <v>1226</v>
      </c>
    </row>
    <row r="2600" customFormat="false" ht="15" hidden="false" customHeight="false" outlineLevel="0" collapsed="false">
      <c r="A2600" s="2" t="n">
        <v>2599</v>
      </c>
      <c r="B2600" s="2" t="s">
        <v>5466</v>
      </c>
      <c r="C2600" s="2" t="s">
        <v>5467</v>
      </c>
      <c r="D2600" s="2"/>
      <c r="E2600" s="2" t="s">
        <v>2055</v>
      </c>
      <c r="F2600" s="3" t="n">
        <v>3.9E-005</v>
      </c>
      <c r="G2600" s="3" t="n">
        <f aca="false">SUM($F$2:F2600)</f>
        <v>0.963043</v>
      </c>
      <c r="H2600" s="4"/>
      <c r="I2600" s="5"/>
      <c r="J2600" s="4"/>
      <c r="K2600" s="5"/>
      <c r="L2600" s="6"/>
      <c r="M2600" s="5" t="str">
        <f aca="false">IF(AND(N(K2600)&gt;0,N(L2600)&gt;0),K2600/L2600,"")</f>
        <v/>
      </c>
      <c r="N2600" s="2" t="s">
        <v>1226</v>
      </c>
    </row>
    <row r="2601" customFormat="false" ht="15" hidden="false" customHeight="false" outlineLevel="0" collapsed="false">
      <c r="A2601" s="2" t="n">
        <v>2600</v>
      </c>
      <c r="B2601" s="2" t="s">
        <v>5468</v>
      </c>
      <c r="C2601" s="2" t="s">
        <v>5469</v>
      </c>
      <c r="D2601" s="2"/>
      <c r="E2601" s="2" t="s">
        <v>29</v>
      </c>
      <c r="F2601" s="3" t="n">
        <v>3.9E-005</v>
      </c>
      <c r="G2601" s="3" t="n">
        <f aca="false">SUM($F$2:F2601)</f>
        <v>0.963082</v>
      </c>
      <c r="H2601" s="4"/>
      <c r="I2601" s="5"/>
      <c r="J2601" s="4"/>
      <c r="K2601" s="5"/>
      <c r="L2601" s="6"/>
      <c r="M2601" s="5" t="str">
        <f aca="false">IF(AND(N(K2601)&gt;0,N(L2601)&gt;0),K2601/L2601,"")</f>
        <v/>
      </c>
      <c r="N2601" s="2" t="s">
        <v>1226</v>
      </c>
    </row>
    <row r="2602" customFormat="false" ht="15" hidden="false" customHeight="false" outlineLevel="0" collapsed="false">
      <c r="A2602" s="2" t="n">
        <v>2601</v>
      </c>
      <c r="B2602" s="2" t="s">
        <v>5470</v>
      </c>
      <c r="C2602" s="2" t="s">
        <v>5471</v>
      </c>
      <c r="D2602" s="2"/>
      <c r="E2602" s="2" t="s">
        <v>52</v>
      </c>
      <c r="F2602" s="3" t="n">
        <v>3.9E-005</v>
      </c>
      <c r="G2602" s="3" t="n">
        <f aca="false">SUM($F$2:F2602)</f>
        <v>0.963121</v>
      </c>
      <c r="H2602" s="4"/>
      <c r="I2602" s="5"/>
      <c r="J2602" s="4"/>
      <c r="K2602" s="5"/>
      <c r="L2602" s="6"/>
      <c r="M2602" s="5" t="str">
        <f aca="false">IF(AND(N(K2602)&gt;0,N(L2602)&gt;0),K2602/L2602,"")</f>
        <v/>
      </c>
      <c r="N2602" s="2" t="s">
        <v>1226</v>
      </c>
    </row>
    <row r="2603" customFormat="false" ht="15" hidden="false" customHeight="false" outlineLevel="0" collapsed="false">
      <c r="A2603" s="2" t="n">
        <v>2602</v>
      </c>
      <c r="B2603" s="2" t="s">
        <v>5472</v>
      </c>
      <c r="C2603" s="2" t="s">
        <v>5473</v>
      </c>
      <c r="D2603" s="2"/>
      <c r="E2603" s="2" t="s">
        <v>1345</v>
      </c>
      <c r="F2603" s="3" t="n">
        <v>3.9E-005</v>
      </c>
      <c r="G2603" s="3" t="n">
        <f aca="false">SUM($F$2:F2603)</f>
        <v>0.96316</v>
      </c>
      <c r="H2603" s="4"/>
      <c r="I2603" s="5"/>
      <c r="J2603" s="4"/>
      <c r="K2603" s="5"/>
      <c r="L2603" s="6"/>
      <c r="M2603" s="5" t="str">
        <f aca="false">IF(AND(N(K2603)&gt;0,N(L2603)&gt;0),K2603/L2603,"")</f>
        <v/>
      </c>
      <c r="N2603" s="2" t="s">
        <v>1226</v>
      </c>
    </row>
    <row r="2604" customFormat="false" ht="15" hidden="false" customHeight="false" outlineLevel="0" collapsed="false">
      <c r="A2604" s="2" t="n">
        <v>2603</v>
      </c>
      <c r="B2604" s="2" t="s">
        <v>5474</v>
      </c>
      <c r="C2604" s="2" t="s">
        <v>5475</v>
      </c>
      <c r="D2604" s="2"/>
      <c r="E2604" s="2" t="s">
        <v>334</v>
      </c>
      <c r="F2604" s="3" t="n">
        <v>3.9E-005</v>
      </c>
      <c r="G2604" s="3" t="n">
        <f aca="false">SUM($F$2:F2604)</f>
        <v>0.963199</v>
      </c>
      <c r="H2604" s="4"/>
      <c r="I2604" s="5"/>
      <c r="J2604" s="4"/>
      <c r="K2604" s="5"/>
      <c r="L2604" s="6"/>
      <c r="M2604" s="5" t="str">
        <f aca="false">IF(AND(N(K2604)&gt;0,N(L2604)&gt;0),K2604/L2604,"")</f>
        <v/>
      </c>
      <c r="N2604" s="2" t="s">
        <v>1226</v>
      </c>
    </row>
    <row r="2605" customFormat="false" ht="15" hidden="false" customHeight="false" outlineLevel="0" collapsed="false">
      <c r="A2605" s="2" t="n">
        <v>2604</v>
      </c>
      <c r="B2605" s="2" t="s">
        <v>5476</v>
      </c>
      <c r="C2605" s="2" t="s">
        <v>5477</v>
      </c>
      <c r="D2605" s="2"/>
      <c r="E2605" s="2" t="s">
        <v>1345</v>
      </c>
      <c r="F2605" s="3" t="n">
        <v>3.9E-005</v>
      </c>
      <c r="G2605" s="3" t="n">
        <f aca="false">SUM($F$2:F2605)</f>
        <v>0.963238</v>
      </c>
      <c r="H2605" s="4"/>
      <c r="I2605" s="5"/>
      <c r="J2605" s="4"/>
      <c r="K2605" s="5"/>
      <c r="L2605" s="6"/>
      <c r="M2605" s="5" t="str">
        <f aca="false">IF(AND(N(K2605)&gt;0,N(L2605)&gt;0),K2605/L2605,"")</f>
        <v/>
      </c>
      <c r="N2605" s="2" t="s">
        <v>1226</v>
      </c>
    </row>
    <row r="2606" customFormat="false" ht="15" hidden="false" customHeight="false" outlineLevel="0" collapsed="false">
      <c r="A2606" s="2" t="n">
        <v>2605</v>
      </c>
      <c r="B2606" s="2" t="s">
        <v>5478</v>
      </c>
      <c r="C2606" s="2" t="s">
        <v>5479</v>
      </c>
      <c r="D2606" s="2"/>
      <c r="E2606" s="2" t="s">
        <v>38</v>
      </c>
      <c r="F2606" s="3" t="n">
        <v>3.9E-005</v>
      </c>
      <c r="G2606" s="3" t="n">
        <f aca="false">SUM($F$2:F2606)</f>
        <v>0.963277</v>
      </c>
      <c r="H2606" s="4"/>
      <c r="I2606" s="5"/>
      <c r="J2606" s="4"/>
      <c r="K2606" s="5"/>
      <c r="L2606" s="6"/>
      <c r="M2606" s="5" t="str">
        <f aca="false">IF(AND(N(K2606)&gt;0,N(L2606)&gt;0),K2606/L2606,"")</f>
        <v/>
      </c>
      <c r="N2606" s="2" t="s">
        <v>1226</v>
      </c>
    </row>
    <row r="2607" customFormat="false" ht="15" hidden="false" customHeight="false" outlineLevel="0" collapsed="false">
      <c r="A2607" s="2" t="n">
        <v>2606</v>
      </c>
      <c r="B2607" s="2" t="s">
        <v>5480</v>
      </c>
      <c r="C2607" s="2" t="s">
        <v>5481</v>
      </c>
      <c r="D2607" s="2"/>
      <c r="E2607" s="2" t="s">
        <v>289</v>
      </c>
      <c r="F2607" s="3" t="n">
        <v>3.9E-005</v>
      </c>
      <c r="G2607" s="3" t="n">
        <f aca="false">SUM($F$2:F2607)</f>
        <v>0.963316</v>
      </c>
      <c r="H2607" s="4"/>
      <c r="I2607" s="5"/>
      <c r="J2607" s="4"/>
      <c r="K2607" s="5"/>
      <c r="L2607" s="6"/>
      <c r="M2607" s="5" t="str">
        <f aca="false">IF(AND(N(K2607)&gt;0,N(L2607)&gt;0),K2607/L2607,"")</f>
        <v/>
      </c>
      <c r="N2607" s="2" t="s">
        <v>1226</v>
      </c>
    </row>
    <row r="2608" customFormat="false" ht="15" hidden="false" customHeight="false" outlineLevel="0" collapsed="false">
      <c r="A2608" s="2" t="n">
        <v>2607</v>
      </c>
      <c r="B2608" s="2" t="s">
        <v>5482</v>
      </c>
      <c r="C2608" s="2" t="s">
        <v>5483</v>
      </c>
      <c r="D2608" s="2"/>
      <c r="E2608" s="2" t="s">
        <v>1345</v>
      </c>
      <c r="F2608" s="3" t="n">
        <v>3.9E-005</v>
      </c>
      <c r="G2608" s="3" t="n">
        <f aca="false">SUM($F$2:F2608)</f>
        <v>0.963355</v>
      </c>
      <c r="H2608" s="4"/>
      <c r="I2608" s="5"/>
      <c r="J2608" s="4"/>
      <c r="K2608" s="5"/>
      <c r="L2608" s="6"/>
      <c r="M2608" s="5" t="str">
        <f aca="false">IF(AND(N(K2608)&gt;0,N(L2608)&gt;0),K2608/L2608,"")</f>
        <v/>
      </c>
      <c r="N2608" s="2" t="s">
        <v>1226</v>
      </c>
    </row>
    <row r="2609" customFormat="false" ht="15" hidden="false" customHeight="false" outlineLevel="0" collapsed="false">
      <c r="A2609" s="2" t="n">
        <v>2608</v>
      </c>
      <c r="B2609" s="2" t="s">
        <v>5484</v>
      </c>
      <c r="C2609" s="2" t="s">
        <v>5485</v>
      </c>
      <c r="D2609" s="2"/>
      <c r="E2609" s="2" t="s">
        <v>289</v>
      </c>
      <c r="F2609" s="3" t="n">
        <v>3.9E-005</v>
      </c>
      <c r="G2609" s="3" t="n">
        <f aca="false">SUM($F$2:F2609)</f>
        <v>0.963394</v>
      </c>
      <c r="H2609" s="4"/>
      <c r="I2609" s="5"/>
      <c r="J2609" s="4"/>
      <c r="K2609" s="5"/>
      <c r="L2609" s="6"/>
      <c r="M2609" s="5" t="str">
        <f aca="false">IF(AND(N(K2609)&gt;0,N(L2609)&gt;0),K2609/L2609,"")</f>
        <v/>
      </c>
      <c r="N2609" s="2" t="s">
        <v>1226</v>
      </c>
    </row>
    <row r="2610" customFormat="false" ht="15" hidden="false" customHeight="false" outlineLevel="0" collapsed="false">
      <c r="A2610" s="2" t="n">
        <v>2609</v>
      </c>
      <c r="B2610" s="2" t="s">
        <v>5486</v>
      </c>
      <c r="C2610" s="2" t="s">
        <v>5487</v>
      </c>
      <c r="D2610" s="2"/>
      <c r="E2610" s="2" t="s">
        <v>289</v>
      </c>
      <c r="F2610" s="3" t="n">
        <v>3.8E-005</v>
      </c>
      <c r="G2610" s="3" t="n">
        <f aca="false">SUM($F$2:F2610)</f>
        <v>0.963432</v>
      </c>
      <c r="H2610" s="4"/>
      <c r="I2610" s="5"/>
      <c r="J2610" s="4"/>
      <c r="K2610" s="5"/>
      <c r="L2610" s="6"/>
      <c r="M2610" s="5" t="str">
        <f aca="false">IF(AND(N(K2610)&gt;0,N(L2610)&gt;0),K2610/L2610,"")</f>
        <v/>
      </c>
      <c r="N2610" s="2" t="s">
        <v>1226</v>
      </c>
    </row>
    <row r="2611" customFormat="false" ht="15" hidden="false" customHeight="false" outlineLevel="0" collapsed="false">
      <c r="A2611" s="2" t="n">
        <v>2610</v>
      </c>
      <c r="B2611" s="2" t="s">
        <v>5488</v>
      </c>
      <c r="C2611" s="2" t="s">
        <v>5489</v>
      </c>
      <c r="D2611" s="2"/>
      <c r="E2611" s="2" t="s">
        <v>1345</v>
      </c>
      <c r="F2611" s="3" t="n">
        <v>3.8E-005</v>
      </c>
      <c r="G2611" s="3" t="n">
        <f aca="false">SUM($F$2:F2611)</f>
        <v>0.96347</v>
      </c>
      <c r="H2611" s="4"/>
      <c r="I2611" s="5"/>
      <c r="J2611" s="4"/>
      <c r="K2611" s="5"/>
      <c r="L2611" s="6"/>
      <c r="M2611" s="5" t="str">
        <f aca="false">IF(AND(N(K2611)&gt;0,N(L2611)&gt;0),K2611/L2611,"")</f>
        <v/>
      </c>
      <c r="N2611" s="2" t="s">
        <v>1226</v>
      </c>
    </row>
    <row r="2612" customFormat="false" ht="15" hidden="false" customHeight="false" outlineLevel="0" collapsed="false">
      <c r="A2612" s="2" t="n">
        <v>2611</v>
      </c>
      <c r="B2612" s="2" t="s">
        <v>5490</v>
      </c>
      <c r="C2612" s="2" t="s">
        <v>5491</v>
      </c>
      <c r="D2612" s="2"/>
      <c r="E2612" s="2" t="s">
        <v>25</v>
      </c>
      <c r="F2612" s="3" t="n">
        <v>3.8E-005</v>
      </c>
      <c r="G2612" s="3" t="n">
        <f aca="false">SUM($F$2:F2612)</f>
        <v>0.963508</v>
      </c>
      <c r="H2612" s="4"/>
      <c r="I2612" s="5"/>
      <c r="J2612" s="4"/>
      <c r="K2612" s="5"/>
      <c r="L2612" s="6"/>
      <c r="M2612" s="5" t="str">
        <f aca="false">IF(AND(N(K2612)&gt;0,N(L2612)&gt;0),K2612/L2612,"")</f>
        <v/>
      </c>
      <c r="N2612" s="2" t="s">
        <v>1226</v>
      </c>
    </row>
    <row r="2613" customFormat="false" ht="15" hidden="false" customHeight="false" outlineLevel="0" collapsed="false">
      <c r="A2613" s="2" t="n">
        <v>2612</v>
      </c>
      <c r="B2613" s="2" t="s">
        <v>5492</v>
      </c>
      <c r="C2613" s="2" t="s">
        <v>5493</v>
      </c>
      <c r="D2613" s="2"/>
      <c r="E2613" s="2" t="s">
        <v>25</v>
      </c>
      <c r="F2613" s="3" t="n">
        <v>3.8E-005</v>
      </c>
      <c r="G2613" s="3" t="n">
        <f aca="false">SUM($F$2:F2613)</f>
        <v>0.963546</v>
      </c>
      <c r="H2613" s="4"/>
      <c r="I2613" s="5"/>
      <c r="J2613" s="4"/>
      <c r="K2613" s="5"/>
      <c r="L2613" s="6"/>
      <c r="M2613" s="5" t="str">
        <f aca="false">IF(AND(N(K2613)&gt;0,N(L2613)&gt;0),K2613/L2613,"")</f>
        <v/>
      </c>
      <c r="N2613" s="2" t="s">
        <v>1226</v>
      </c>
    </row>
    <row r="2614" customFormat="false" ht="15" hidden="false" customHeight="false" outlineLevel="0" collapsed="false">
      <c r="A2614" s="2" t="n">
        <v>2613</v>
      </c>
      <c r="B2614" s="2" t="s">
        <v>5494</v>
      </c>
      <c r="C2614" s="2" t="s">
        <v>5495</v>
      </c>
      <c r="D2614" s="2"/>
      <c r="E2614" s="2" t="s">
        <v>289</v>
      </c>
      <c r="F2614" s="3" t="n">
        <v>3.8E-005</v>
      </c>
      <c r="G2614" s="3" t="n">
        <f aca="false">SUM($F$2:F2614)</f>
        <v>0.963584</v>
      </c>
      <c r="H2614" s="4"/>
      <c r="I2614" s="5"/>
      <c r="J2614" s="4"/>
      <c r="K2614" s="5"/>
      <c r="L2614" s="6"/>
      <c r="M2614" s="5" t="str">
        <f aca="false">IF(AND(N(K2614)&gt;0,N(L2614)&gt;0),K2614/L2614,"")</f>
        <v/>
      </c>
      <c r="N2614" s="2" t="s">
        <v>1226</v>
      </c>
    </row>
    <row r="2615" customFormat="false" ht="15" hidden="false" customHeight="false" outlineLevel="0" collapsed="false">
      <c r="A2615" s="2" t="n">
        <v>2614</v>
      </c>
      <c r="B2615" s="2" t="s">
        <v>5496</v>
      </c>
      <c r="C2615" s="2" t="s">
        <v>5497</v>
      </c>
      <c r="D2615" s="2"/>
      <c r="E2615" s="2" t="s">
        <v>289</v>
      </c>
      <c r="F2615" s="3" t="n">
        <v>3.8E-005</v>
      </c>
      <c r="G2615" s="3" t="n">
        <f aca="false">SUM($F$2:F2615)</f>
        <v>0.963622</v>
      </c>
      <c r="H2615" s="4"/>
      <c r="I2615" s="5"/>
      <c r="J2615" s="4"/>
      <c r="K2615" s="5"/>
      <c r="L2615" s="6"/>
      <c r="M2615" s="5" t="str">
        <f aca="false">IF(AND(N(K2615)&gt;0,N(L2615)&gt;0),K2615/L2615,"")</f>
        <v/>
      </c>
      <c r="N2615" s="2" t="s">
        <v>1226</v>
      </c>
    </row>
    <row r="2616" customFormat="false" ht="15" hidden="false" customHeight="false" outlineLevel="0" collapsed="false">
      <c r="A2616" s="2" t="n">
        <v>2615</v>
      </c>
      <c r="B2616" s="2" t="s">
        <v>5498</v>
      </c>
      <c r="C2616" s="2" t="s">
        <v>5499</v>
      </c>
      <c r="D2616" s="2"/>
      <c r="E2616" s="2" t="s">
        <v>17</v>
      </c>
      <c r="F2616" s="3" t="n">
        <v>3.8E-005</v>
      </c>
      <c r="G2616" s="3" t="n">
        <f aca="false">SUM($F$2:F2616)</f>
        <v>0.96366</v>
      </c>
      <c r="H2616" s="4"/>
      <c r="I2616" s="5"/>
      <c r="J2616" s="4"/>
      <c r="K2616" s="5"/>
      <c r="L2616" s="6"/>
      <c r="M2616" s="5" t="str">
        <f aca="false">IF(AND(N(K2616)&gt;0,N(L2616)&gt;0),K2616/L2616,"")</f>
        <v/>
      </c>
      <c r="N2616" s="2" t="s">
        <v>1226</v>
      </c>
    </row>
    <row r="2617" customFormat="false" ht="15" hidden="false" customHeight="false" outlineLevel="0" collapsed="false">
      <c r="A2617" s="2" t="n">
        <v>2616</v>
      </c>
      <c r="B2617" s="2" t="s">
        <v>5500</v>
      </c>
      <c r="C2617" s="2" t="s">
        <v>5501</v>
      </c>
      <c r="D2617" s="2"/>
      <c r="E2617" s="2" t="s">
        <v>539</v>
      </c>
      <c r="F2617" s="3" t="n">
        <v>3.8E-005</v>
      </c>
      <c r="G2617" s="3" t="n">
        <f aca="false">SUM($F$2:F2617)</f>
        <v>0.963698</v>
      </c>
      <c r="H2617" s="4"/>
      <c r="I2617" s="5"/>
      <c r="J2617" s="4"/>
      <c r="K2617" s="5"/>
      <c r="L2617" s="6"/>
      <c r="M2617" s="5" t="str">
        <f aca="false">IF(AND(N(K2617)&gt;0,N(L2617)&gt;0),K2617/L2617,"")</f>
        <v/>
      </c>
      <c r="N2617" s="2" t="s">
        <v>1226</v>
      </c>
    </row>
    <row r="2618" customFormat="false" ht="15" hidden="false" customHeight="false" outlineLevel="0" collapsed="false">
      <c r="A2618" s="2" t="n">
        <v>2617</v>
      </c>
      <c r="B2618" s="2" t="s">
        <v>5502</v>
      </c>
      <c r="C2618" s="2" t="s">
        <v>5503</v>
      </c>
      <c r="D2618" s="2"/>
      <c r="E2618" s="2" t="s">
        <v>1050</v>
      </c>
      <c r="F2618" s="3" t="n">
        <v>3.8E-005</v>
      </c>
      <c r="G2618" s="3" t="n">
        <f aca="false">SUM($F$2:F2618)</f>
        <v>0.963736</v>
      </c>
      <c r="H2618" s="4"/>
      <c r="I2618" s="5"/>
      <c r="J2618" s="4"/>
      <c r="K2618" s="5"/>
      <c r="L2618" s="6"/>
      <c r="M2618" s="5" t="str">
        <f aca="false">IF(AND(N(K2618)&gt;0,N(L2618)&gt;0),K2618/L2618,"")</f>
        <v/>
      </c>
      <c r="N2618" s="2" t="s">
        <v>1226</v>
      </c>
    </row>
    <row r="2619" customFormat="false" ht="15" hidden="false" customHeight="false" outlineLevel="0" collapsed="false">
      <c r="A2619" s="2" t="n">
        <v>2618</v>
      </c>
      <c r="B2619" s="2" t="s">
        <v>5504</v>
      </c>
      <c r="C2619" s="2" t="s">
        <v>5505</v>
      </c>
      <c r="D2619" s="2"/>
      <c r="E2619" s="2" t="s">
        <v>25</v>
      </c>
      <c r="F2619" s="3" t="n">
        <v>3.8E-005</v>
      </c>
      <c r="G2619" s="3" t="n">
        <f aca="false">SUM($F$2:F2619)</f>
        <v>0.963774</v>
      </c>
      <c r="H2619" s="4"/>
      <c r="I2619" s="5"/>
      <c r="J2619" s="4"/>
      <c r="K2619" s="5"/>
      <c r="L2619" s="6"/>
      <c r="M2619" s="5" t="str">
        <f aca="false">IF(AND(N(K2619)&gt;0,N(L2619)&gt;0),K2619/L2619,"")</f>
        <v/>
      </c>
      <c r="N2619" s="2" t="s">
        <v>1226</v>
      </c>
    </row>
    <row r="2620" customFormat="false" ht="15" hidden="false" customHeight="false" outlineLevel="0" collapsed="false">
      <c r="A2620" s="2" t="n">
        <v>2619</v>
      </c>
      <c r="B2620" s="2" t="s">
        <v>5506</v>
      </c>
      <c r="C2620" s="2" t="s">
        <v>5507</v>
      </c>
      <c r="D2620" s="2"/>
      <c r="E2620" s="2" t="s">
        <v>1345</v>
      </c>
      <c r="F2620" s="3" t="n">
        <v>3.8E-005</v>
      </c>
      <c r="G2620" s="3" t="n">
        <f aca="false">SUM($F$2:F2620)</f>
        <v>0.963812</v>
      </c>
      <c r="H2620" s="4"/>
      <c r="I2620" s="5"/>
      <c r="J2620" s="4"/>
      <c r="K2620" s="5"/>
      <c r="L2620" s="6"/>
      <c r="M2620" s="5" t="str">
        <f aca="false">IF(AND(N(K2620)&gt;0,N(L2620)&gt;0),K2620/L2620,"")</f>
        <v/>
      </c>
      <c r="N2620" s="2" t="s">
        <v>1226</v>
      </c>
    </row>
    <row r="2621" customFormat="false" ht="15" hidden="false" customHeight="false" outlineLevel="0" collapsed="false">
      <c r="A2621" s="2" t="n">
        <v>2620</v>
      </c>
      <c r="B2621" s="2" t="s">
        <v>5508</v>
      </c>
      <c r="C2621" s="2" t="s">
        <v>5509</v>
      </c>
      <c r="D2621" s="2"/>
      <c r="E2621" s="2" t="s">
        <v>29</v>
      </c>
      <c r="F2621" s="3" t="n">
        <v>3.8E-005</v>
      </c>
      <c r="G2621" s="3" t="n">
        <f aca="false">SUM($F$2:F2621)</f>
        <v>0.96385</v>
      </c>
      <c r="H2621" s="4"/>
      <c r="I2621" s="5"/>
      <c r="J2621" s="4"/>
      <c r="K2621" s="5"/>
      <c r="L2621" s="6"/>
      <c r="M2621" s="5" t="str">
        <f aca="false">IF(AND(N(K2621)&gt;0,N(L2621)&gt;0),K2621/L2621,"")</f>
        <v/>
      </c>
      <c r="N2621" s="2" t="s">
        <v>1226</v>
      </c>
    </row>
    <row r="2622" customFormat="false" ht="15" hidden="false" customHeight="false" outlineLevel="0" collapsed="false">
      <c r="A2622" s="2" t="n">
        <v>2621</v>
      </c>
      <c r="B2622" s="2" t="s">
        <v>5510</v>
      </c>
      <c r="C2622" s="2" t="s">
        <v>5511</v>
      </c>
      <c r="D2622" s="2"/>
      <c r="E2622" s="2" t="s">
        <v>1345</v>
      </c>
      <c r="F2622" s="3" t="n">
        <v>3.8E-005</v>
      </c>
      <c r="G2622" s="3" t="n">
        <f aca="false">SUM($F$2:F2622)</f>
        <v>0.963888</v>
      </c>
      <c r="H2622" s="4"/>
      <c r="I2622" s="5"/>
      <c r="J2622" s="4"/>
      <c r="K2622" s="5"/>
      <c r="L2622" s="6"/>
      <c r="M2622" s="5" t="str">
        <f aca="false">IF(AND(N(K2622)&gt;0,N(L2622)&gt;0),K2622/L2622,"")</f>
        <v/>
      </c>
      <c r="N2622" s="2" t="s">
        <v>1226</v>
      </c>
    </row>
    <row r="2623" customFormat="false" ht="15" hidden="false" customHeight="false" outlineLevel="0" collapsed="false">
      <c r="A2623" s="2" t="n">
        <v>2622</v>
      </c>
      <c r="B2623" s="2" t="s">
        <v>5512</v>
      </c>
      <c r="C2623" s="2" t="s">
        <v>5513</v>
      </c>
      <c r="D2623" s="2"/>
      <c r="E2623" s="2" t="s">
        <v>17</v>
      </c>
      <c r="F2623" s="3" t="n">
        <v>3.8E-005</v>
      </c>
      <c r="G2623" s="3" t="n">
        <f aca="false">SUM($F$2:F2623)</f>
        <v>0.963926</v>
      </c>
      <c r="H2623" s="4"/>
      <c r="I2623" s="5"/>
      <c r="J2623" s="4"/>
      <c r="K2623" s="5"/>
      <c r="L2623" s="6"/>
      <c r="M2623" s="5" t="str">
        <f aca="false">IF(AND(N(K2623)&gt;0,N(L2623)&gt;0),K2623/L2623,"")</f>
        <v/>
      </c>
      <c r="N2623" s="2" t="s">
        <v>1226</v>
      </c>
    </row>
    <row r="2624" customFormat="false" ht="15" hidden="false" customHeight="false" outlineLevel="0" collapsed="false">
      <c r="A2624" s="2" t="n">
        <v>2623</v>
      </c>
      <c r="B2624" s="2" t="s">
        <v>5514</v>
      </c>
      <c r="C2624" s="2" t="s">
        <v>5515</v>
      </c>
      <c r="D2624" s="2"/>
      <c r="E2624" s="2" t="s">
        <v>1345</v>
      </c>
      <c r="F2624" s="3" t="n">
        <v>3.8E-005</v>
      </c>
      <c r="G2624" s="3" t="n">
        <f aca="false">SUM($F$2:F2624)</f>
        <v>0.963964</v>
      </c>
      <c r="H2624" s="4"/>
      <c r="I2624" s="5"/>
      <c r="J2624" s="4"/>
      <c r="K2624" s="5"/>
      <c r="L2624" s="6"/>
      <c r="M2624" s="5" t="str">
        <f aca="false">IF(AND(N(K2624)&gt;0,N(L2624)&gt;0),K2624/L2624,"")</f>
        <v/>
      </c>
      <c r="N2624" s="2" t="s">
        <v>1226</v>
      </c>
    </row>
    <row r="2625" customFormat="false" ht="15" hidden="false" customHeight="false" outlineLevel="0" collapsed="false">
      <c r="A2625" s="2" t="n">
        <v>2624</v>
      </c>
      <c r="B2625" s="2" t="s">
        <v>5516</v>
      </c>
      <c r="C2625" s="2" t="s">
        <v>5517</v>
      </c>
      <c r="D2625" s="2"/>
      <c r="E2625" s="2" t="s">
        <v>765</v>
      </c>
      <c r="F2625" s="3" t="n">
        <v>3.8E-005</v>
      </c>
      <c r="G2625" s="3" t="n">
        <f aca="false">SUM($F$2:F2625)</f>
        <v>0.964002</v>
      </c>
      <c r="H2625" s="4"/>
      <c r="I2625" s="5"/>
      <c r="J2625" s="4"/>
      <c r="K2625" s="5"/>
      <c r="L2625" s="6"/>
      <c r="M2625" s="5" t="str">
        <f aca="false">IF(AND(N(K2625)&gt;0,N(L2625)&gt;0),K2625/L2625,"")</f>
        <v/>
      </c>
      <c r="N2625" s="2" t="s">
        <v>1226</v>
      </c>
    </row>
    <row r="2626" customFormat="false" ht="15" hidden="false" customHeight="false" outlineLevel="0" collapsed="false">
      <c r="A2626" s="2" t="n">
        <v>2625</v>
      </c>
      <c r="B2626" s="2" t="s">
        <v>5518</v>
      </c>
      <c r="C2626" s="2" t="s">
        <v>5519</v>
      </c>
      <c r="D2626" s="2"/>
      <c r="E2626" s="2" t="s">
        <v>289</v>
      </c>
      <c r="F2626" s="3" t="n">
        <v>3.8E-005</v>
      </c>
      <c r="G2626" s="3" t="n">
        <f aca="false">SUM($F$2:F2626)</f>
        <v>0.96404</v>
      </c>
      <c r="H2626" s="4"/>
      <c r="I2626" s="5"/>
      <c r="J2626" s="4"/>
      <c r="K2626" s="5"/>
      <c r="L2626" s="6"/>
      <c r="M2626" s="5" t="str">
        <f aca="false">IF(AND(N(K2626)&gt;0,N(L2626)&gt;0),K2626/L2626,"")</f>
        <v/>
      </c>
      <c r="N2626" s="2" t="s">
        <v>1226</v>
      </c>
    </row>
    <row r="2627" customFormat="false" ht="15" hidden="false" customHeight="false" outlineLevel="0" collapsed="false">
      <c r="A2627" s="2" t="n">
        <v>2626</v>
      </c>
      <c r="B2627" s="2" t="s">
        <v>5520</v>
      </c>
      <c r="C2627" s="2" t="s">
        <v>5521</v>
      </c>
      <c r="D2627" s="2"/>
      <c r="E2627" s="2" t="s">
        <v>82</v>
      </c>
      <c r="F2627" s="3" t="n">
        <v>3.8E-005</v>
      </c>
      <c r="G2627" s="3" t="n">
        <f aca="false">SUM($F$2:F2627)</f>
        <v>0.964078</v>
      </c>
      <c r="H2627" s="4"/>
      <c r="I2627" s="5"/>
      <c r="J2627" s="4"/>
      <c r="K2627" s="5"/>
      <c r="L2627" s="6"/>
      <c r="M2627" s="5" t="str">
        <f aca="false">IF(AND(N(K2627)&gt;0,N(L2627)&gt;0),K2627/L2627,"")</f>
        <v/>
      </c>
      <c r="N2627" s="2" t="s">
        <v>1226</v>
      </c>
    </row>
    <row r="2628" customFormat="false" ht="15" hidden="false" customHeight="false" outlineLevel="0" collapsed="false">
      <c r="A2628" s="2" t="n">
        <v>2627</v>
      </c>
      <c r="B2628" s="2" t="s">
        <v>5522</v>
      </c>
      <c r="C2628" s="2" t="s">
        <v>5523</v>
      </c>
      <c r="D2628" s="2"/>
      <c r="E2628" s="2" t="s">
        <v>33</v>
      </c>
      <c r="F2628" s="3" t="n">
        <v>3.8E-005</v>
      </c>
      <c r="G2628" s="3" t="n">
        <f aca="false">SUM($F$2:F2628)</f>
        <v>0.964116</v>
      </c>
      <c r="H2628" s="4"/>
      <c r="I2628" s="5"/>
      <c r="J2628" s="4"/>
      <c r="K2628" s="5"/>
      <c r="L2628" s="6"/>
      <c r="M2628" s="5" t="str">
        <f aca="false">IF(AND(N(K2628)&gt;0,N(L2628)&gt;0),K2628/L2628,"")</f>
        <v/>
      </c>
      <c r="N2628" s="2" t="s">
        <v>1226</v>
      </c>
    </row>
    <row r="2629" customFormat="false" ht="15" hidden="false" customHeight="false" outlineLevel="0" collapsed="false">
      <c r="A2629" s="2" t="n">
        <v>2628</v>
      </c>
      <c r="B2629" s="2" t="s">
        <v>5524</v>
      </c>
      <c r="C2629" s="2" t="s">
        <v>5525</v>
      </c>
      <c r="D2629" s="2"/>
      <c r="E2629" s="2" t="s">
        <v>765</v>
      </c>
      <c r="F2629" s="3" t="n">
        <v>3.8E-005</v>
      </c>
      <c r="G2629" s="3" t="n">
        <f aca="false">SUM($F$2:F2629)</f>
        <v>0.964154</v>
      </c>
      <c r="H2629" s="4"/>
      <c r="I2629" s="5"/>
      <c r="J2629" s="4"/>
      <c r="K2629" s="5"/>
      <c r="L2629" s="6"/>
      <c r="M2629" s="5" t="str">
        <f aca="false">IF(AND(N(K2629)&gt;0,N(L2629)&gt;0),K2629/L2629,"")</f>
        <v/>
      </c>
      <c r="N2629" s="2" t="s">
        <v>1226</v>
      </c>
    </row>
    <row r="2630" customFormat="false" ht="15" hidden="false" customHeight="false" outlineLevel="0" collapsed="false">
      <c r="A2630" s="2" t="n">
        <v>2629</v>
      </c>
      <c r="B2630" s="2" t="s">
        <v>5526</v>
      </c>
      <c r="C2630" s="2" t="s">
        <v>5527</v>
      </c>
      <c r="D2630" s="2"/>
      <c r="E2630" s="2" t="s">
        <v>199</v>
      </c>
      <c r="F2630" s="3" t="n">
        <v>3.8E-005</v>
      </c>
      <c r="G2630" s="3" t="n">
        <f aca="false">SUM($F$2:F2630)</f>
        <v>0.964192</v>
      </c>
      <c r="H2630" s="4"/>
      <c r="I2630" s="5"/>
      <c r="J2630" s="4"/>
      <c r="K2630" s="5"/>
      <c r="L2630" s="6"/>
      <c r="M2630" s="5" t="str">
        <f aca="false">IF(AND(N(K2630)&gt;0,N(L2630)&gt;0),K2630/L2630,"")</f>
        <v/>
      </c>
      <c r="N2630" s="2" t="s">
        <v>1226</v>
      </c>
    </row>
    <row r="2631" customFormat="false" ht="15" hidden="false" customHeight="false" outlineLevel="0" collapsed="false">
      <c r="A2631" s="2" t="n">
        <v>2630</v>
      </c>
      <c r="B2631" s="2" t="s">
        <v>5528</v>
      </c>
      <c r="C2631" s="2" t="s">
        <v>5529</v>
      </c>
      <c r="D2631" s="2"/>
      <c r="E2631" s="2" t="s">
        <v>334</v>
      </c>
      <c r="F2631" s="3" t="n">
        <v>3.8E-005</v>
      </c>
      <c r="G2631" s="3" t="n">
        <f aca="false">SUM($F$2:F2631)</f>
        <v>0.96423</v>
      </c>
      <c r="H2631" s="4"/>
      <c r="I2631" s="5"/>
      <c r="J2631" s="4"/>
      <c r="K2631" s="5"/>
      <c r="L2631" s="6"/>
      <c r="M2631" s="5" t="str">
        <f aca="false">IF(AND(N(K2631)&gt;0,N(L2631)&gt;0),K2631/L2631,"")</f>
        <v/>
      </c>
      <c r="N2631" s="2" t="s">
        <v>1226</v>
      </c>
    </row>
    <row r="2632" customFormat="false" ht="15" hidden="false" customHeight="false" outlineLevel="0" collapsed="false">
      <c r="A2632" s="2" t="n">
        <v>2631</v>
      </c>
      <c r="B2632" s="2" t="s">
        <v>5530</v>
      </c>
      <c r="C2632" s="2" t="s">
        <v>5531</v>
      </c>
      <c r="D2632" s="2"/>
      <c r="E2632" s="2" t="s">
        <v>52</v>
      </c>
      <c r="F2632" s="3" t="n">
        <v>3.8E-005</v>
      </c>
      <c r="G2632" s="3" t="n">
        <f aca="false">SUM($F$2:F2632)</f>
        <v>0.964268</v>
      </c>
      <c r="H2632" s="4"/>
      <c r="I2632" s="5"/>
      <c r="J2632" s="4"/>
      <c r="K2632" s="5"/>
      <c r="L2632" s="6"/>
      <c r="M2632" s="5" t="str">
        <f aca="false">IF(AND(N(K2632)&gt;0,N(L2632)&gt;0),K2632/L2632,"")</f>
        <v/>
      </c>
      <c r="N2632" s="2" t="s">
        <v>1226</v>
      </c>
    </row>
    <row r="2633" customFormat="false" ht="15" hidden="false" customHeight="false" outlineLevel="0" collapsed="false">
      <c r="A2633" s="2" t="n">
        <v>2632</v>
      </c>
      <c r="B2633" s="2" t="s">
        <v>5532</v>
      </c>
      <c r="C2633" s="2" t="s">
        <v>5533</v>
      </c>
      <c r="D2633" s="2"/>
      <c r="E2633" s="2" t="s">
        <v>25</v>
      </c>
      <c r="F2633" s="3" t="n">
        <v>3.8E-005</v>
      </c>
      <c r="G2633" s="3" t="n">
        <f aca="false">SUM($F$2:F2633)</f>
        <v>0.964306</v>
      </c>
      <c r="H2633" s="4"/>
      <c r="I2633" s="5"/>
      <c r="J2633" s="4"/>
      <c r="K2633" s="5"/>
      <c r="L2633" s="6"/>
      <c r="M2633" s="5" t="str">
        <f aca="false">IF(AND(N(K2633)&gt;0,N(L2633)&gt;0),K2633/L2633,"")</f>
        <v/>
      </c>
      <c r="N2633" s="2" t="s">
        <v>1226</v>
      </c>
    </row>
    <row r="2634" customFormat="false" ht="15" hidden="false" customHeight="false" outlineLevel="0" collapsed="false">
      <c r="A2634" s="2" t="n">
        <v>2633</v>
      </c>
      <c r="B2634" s="2" t="s">
        <v>5534</v>
      </c>
      <c r="C2634" s="2" t="s">
        <v>5535</v>
      </c>
      <c r="D2634" s="2"/>
      <c r="E2634" s="2" t="s">
        <v>289</v>
      </c>
      <c r="F2634" s="3" t="n">
        <v>3.8E-005</v>
      </c>
      <c r="G2634" s="3" t="n">
        <f aca="false">SUM($F$2:F2634)</f>
        <v>0.964344</v>
      </c>
      <c r="H2634" s="4"/>
      <c r="I2634" s="5"/>
      <c r="J2634" s="4"/>
      <c r="K2634" s="5"/>
      <c r="L2634" s="6"/>
      <c r="M2634" s="5" t="str">
        <f aca="false">IF(AND(N(K2634)&gt;0,N(L2634)&gt;0),K2634/L2634,"")</f>
        <v/>
      </c>
      <c r="N2634" s="2" t="s">
        <v>1226</v>
      </c>
    </row>
    <row r="2635" customFormat="false" ht="15" hidden="false" customHeight="false" outlineLevel="0" collapsed="false">
      <c r="A2635" s="2" t="n">
        <v>2634</v>
      </c>
      <c r="B2635" s="2" t="s">
        <v>5536</v>
      </c>
      <c r="C2635" s="2" t="s">
        <v>5537</v>
      </c>
      <c r="D2635" s="2"/>
      <c r="E2635" s="2" t="s">
        <v>1345</v>
      </c>
      <c r="F2635" s="3" t="n">
        <v>3.8E-005</v>
      </c>
      <c r="G2635" s="3" t="n">
        <f aca="false">SUM($F$2:F2635)</f>
        <v>0.964382</v>
      </c>
      <c r="H2635" s="4"/>
      <c r="I2635" s="5"/>
      <c r="J2635" s="4"/>
      <c r="K2635" s="5"/>
      <c r="L2635" s="6"/>
      <c r="M2635" s="5" t="str">
        <f aca="false">IF(AND(N(K2635)&gt;0,N(L2635)&gt;0),K2635/L2635,"")</f>
        <v/>
      </c>
      <c r="N2635" s="2" t="s">
        <v>1226</v>
      </c>
    </row>
    <row r="2636" customFormat="false" ht="15" hidden="false" customHeight="false" outlineLevel="0" collapsed="false">
      <c r="A2636" s="2" t="n">
        <v>2635</v>
      </c>
      <c r="B2636" s="2" t="s">
        <v>5538</v>
      </c>
      <c r="C2636" s="2" t="s">
        <v>5539</v>
      </c>
      <c r="D2636" s="2"/>
      <c r="E2636" s="2" t="s">
        <v>21</v>
      </c>
      <c r="F2636" s="3" t="n">
        <v>3.8E-005</v>
      </c>
      <c r="G2636" s="3" t="n">
        <f aca="false">SUM($F$2:F2636)</f>
        <v>0.96442</v>
      </c>
      <c r="H2636" s="4"/>
      <c r="I2636" s="5"/>
      <c r="J2636" s="4"/>
      <c r="K2636" s="5"/>
      <c r="L2636" s="6"/>
      <c r="M2636" s="5" t="str">
        <f aca="false">IF(AND(N(K2636)&gt;0,N(L2636)&gt;0),K2636/L2636,"")</f>
        <v/>
      </c>
      <c r="N2636" s="2" t="s">
        <v>1226</v>
      </c>
    </row>
    <row r="2637" customFormat="false" ht="15" hidden="false" customHeight="false" outlineLevel="0" collapsed="false">
      <c r="A2637" s="2" t="n">
        <v>2636</v>
      </c>
      <c r="B2637" s="2" t="s">
        <v>5540</v>
      </c>
      <c r="C2637" s="2" t="s">
        <v>5541</v>
      </c>
      <c r="D2637" s="2"/>
      <c r="E2637" s="2" t="s">
        <v>1019</v>
      </c>
      <c r="F2637" s="3" t="n">
        <v>3.8E-005</v>
      </c>
      <c r="G2637" s="3" t="n">
        <f aca="false">SUM($F$2:F2637)</f>
        <v>0.964458</v>
      </c>
      <c r="H2637" s="4"/>
      <c r="I2637" s="5"/>
      <c r="J2637" s="4"/>
      <c r="K2637" s="5"/>
      <c r="L2637" s="6"/>
      <c r="M2637" s="5" t="str">
        <f aca="false">IF(AND(N(K2637)&gt;0,N(L2637)&gt;0),K2637/L2637,"")</f>
        <v/>
      </c>
      <c r="N2637" s="2" t="s">
        <v>1226</v>
      </c>
    </row>
    <row r="2638" customFormat="false" ht="15" hidden="false" customHeight="false" outlineLevel="0" collapsed="false">
      <c r="A2638" s="2" t="n">
        <v>2637</v>
      </c>
      <c r="B2638" s="2" t="s">
        <v>5542</v>
      </c>
      <c r="C2638" s="2" t="s">
        <v>5543</v>
      </c>
      <c r="D2638" s="2"/>
      <c r="E2638" s="2" t="s">
        <v>33</v>
      </c>
      <c r="F2638" s="3" t="n">
        <v>3.8E-005</v>
      </c>
      <c r="G2638" s="3" t="n">
        <f aca="false">SUM($F$2:F2638)</f>
        <v>0.964496</v>
      </c>
      <c r="H2638" s="4"/>
      <c r="I2638" s="5"/>
      <c r="J2638" s="4"/>
      <c r="K2638" s="5"/>
      <c r="L2638" s="6"/>
      <c r="M2638" s="5" t="str">
        <f aca="false">IF(AND(N(K2638)&gt;0,N(L2638)&gt;0),K2638/L2638,"")</f>
        <v/>
      </c>
      <c r="N2638" s="2" t="s">
        <v>1226</v>
      </c>
    </row>
    <row r="2639" customFormat="false" ht="15" hidden="false" customHeight="false" outlineLevel="0" collapsed="false">
      <c r="A2639" s="2" t="n">
        <v>2638</v>
      </c>
      <c r="B2639" s="2" t="s">
        <v>5544</v>
      </c>
      <c r="C2639" s="2" t="s">
        <v>5545</v>
      </c>
      <c r="D2639" s="2"/>
      <c r="E2639" s="2" t="s">
        <v>82</v>
      </c>
      <c r="F2639" s="3" t="n">
        <v>3.8E-005</v>
      </c>
      <c r="G2639" s="3" t="n">
        <f aca="false">SUM($F$2:F2639)</f>
        <v>0.964534</v>
      </c>
      <c r="H2639" s="4"/>
      <c r="I2639" s="5"/>
      <c r="J2639" s="4"/>
      <c r="K2639" s="5"/>
      <c r="L2639" s="6"/>
      <c r="M2639" s="5" t="str">
        <f aca="false">IF(AND(N(K2639)&gt;0,N(L2639)&gt;0),K2639/L2639,"")</f>
        <v/>
      </c>
      <c r="N2639" s="2" t="s">
        <v>1226</v>
      </c>
    </row>
    <row r="2640" customFormat="false" ht="15" hidden="false" customHeight="false" outlineLevel="0" collapsed="false">
      <c r="A2640" s="2" t="n">
        <v>2639</v>
      </c>
      <c r="B2640" s="2" t="s">
        <v>5546</v>
      </c>
      <c r="C2640" s="2" t="s">
        <v>5547</v>
      </c>
      <c r="D2640" s="2"/>
      <c r="E2640" s="2" t="s">
        <v>1345</v>
      </c>
      <c r="F2640" s="3" t="n">
        <v>3.8E-005</v>
      </c>
      <c r="G2640" s="3" t="n">
        <f aca="false">SUM($F$2:F2640)</f>
        <v>0.964572</v>
      </c>
      <c r="H2640" s="4"/>
      <c r="I2640" s="5"/>
      <c r="J2640" s="4"/>
      <c r="K2640" s="5"/>
      <c r="L2640" s="6"/>
      <c r="M2640" s="5" t="str">
        <f aca="false">IF(AND(N(K2640)&gt;0,N(L2640)&gt;0),K2640/L2640,"")</f>
        <v/>
      </c>
      <c r="N2640" s="2" t="s">
        <v>1226</v>
      </c>
    </row>
    <row r="2641" customFormat="false" ht="15" hidden="false" customHeight="false" outlineLevel="0" collapsed="false">
      <c r="A2641" s="2" t="n">
        <v>2640</v>
      </c>
      <c r="B2641" s="2" t="s">
        <v>5548</v>
      </c>
      <c r="C2641" s="2" t="s">
        <v>5549</v>
      </c>
      <c r="D2641" s="2"/>
      <c r="E2641" s="2" t="s">
        <v>765</v>
      </c>
      <c r="F2641" s="3" t="n">
        <v>3.8E-005</v>
      </c>
      <c r="G2641" s="3" t="n">
        <f aca="false">SUM($F$2:F2641)</f>
        <v>0.96461</v>
      </c>
      <c r="H2641" s="4"/>
      <c r="I2641" s="5"/>
      <c r="J2641" s="4"/>
      <c r="K2641" s="5"/>
      <c r="L2641" s="6"/>
      <c r="M2641" s="5" t="str">
        <f aca="false">IF(AND(N(K2641)&gt;0,N(L2641)&gt;0),K2641/L2641,"")</f>
        <v/>
      </c>
      <c r="N2641" s="2" t="s">
        <v>1226</v>
      </c>
    </row>
    <row r="2642" customFormat="false" ht="15" hidden="false" customHeight="false" outlineLevel="0" collapsed="false">
      <c r="A2642" s="2" t="n">
        <v>2641</v>
      </c>
      <c r="B2642" s="2" t="s">
        <v>5550</v>
      </c>
      <c r="C2642" s="2" t="s">
        <v>5551</v>
      </c>
      <c r="D2642" s="2"/>
      <c r="E2642" s="2" t="s">
        <v>289</v>
      </c>
      <c r="F2642" s="3" t="n">
        <v>3.8E-005</v>
      </c>
      <c r="G2642" s="3" t="n">
        <f aca="false">SUM($F$2:F2642)</f>
        <v>0.964648</v>
      </c>
      <c r="H2642" s="4"/>
      <c r="I2642" s="5"/>
      <c r="J2642" s="4"/>
      <c r="K2642" s="5"/>
      <c r="L2642" s="6"/>
      <c r="M2642" s="5" t="str">
        <f aca="false">IF(AND(N(K2642)&gt;0,N(L2642)&gt;0),K2642/L2642,"")</f>
        <v/>
      </c>
      <c r="N2642" s="2" t="s">
        <v>1226</v>
      </c>
    </row>
    <row r="2643" customFormat="false" ht="15" hidden="false" customHeight="false" outlineLevel="0" collapsed="false">
      <c r="A2643" s="2" t="n">
        <v>2642</v>
      </c>
      <c r="B2643" s="2" t="s">
        <v>5552</v>
      </c>
      <c r="C2643" s="2" t="s">
        <v>5553</v>
      </c>
      <c r="D2643" s="2"/>
      <c r="E2643" s="2" t="s">
        <v>1345</v>
      </c>
      <c r="F2643" s="3" t="n">
        <v>3.8E-005</v>
      </c>
      <c r="G2643" s="3" t="n">
        <f aca="false">SUM($F$2:F2643)</f>
        <v>0.964686</v>
      </c>
      <c r="H2643" s="4"/>
      <c r="I2643" s="5"/>
      <c r="J2643" s="4"/>
      <c r="K2643" s="5"/>
      <c r="L2643" s="6"/>
      <c r="M2643" s="5" t="str">
        <f aca="false">IF(AND(N(K2643)&gt;0,N(L2643)&gt;0),K2643/L2643,"")</f>
        <v/>
      </c>
      <c r="N2643" s="2" t="s">
        <v>1226</v>
      </c>
    </row>
    <row r="2644" customFormat="false" ht="15" hidden="false" customHeight="false" outlineLevel="0" collapsed="false">
      <c r="A2644" s="2" t="n">
        <v>2643</v>
      </c>
      <c r="B2644" s="2" t="s">
        <v>1101</v>
      </c>
      <c r="C2644" s="2" t="s">
        <v>5554</v>
      </c>
      <c r="D2644" s="2"/>
      <c r="E2644" s="2" t="s">
        <v>29</v>
      </c>
      <c r="F2644" s="3" t="n">
        <v>3.8E-005</v>
      </c>
      <c r="G2644" s="3" t="n">
        <f aca="false">SUM($F$2:F2644)</f>
        <v>0.964724</v>
      </c>
      <c r="H2644" s="4"/>
      <c r="I2644" s="5"/>
      <c r="J2644" s="4"/>
      <c r="K2644" s="5"/>
      <c r="L2644" s="6"/>
      <c r="M2644" s="5" t="str">
        <f aca="false">IF(AND(N(K2644)&gt;0,N(L2644)&gt;0),K2644/L2644,"")</f>
        <v/>
      </c>
      <c r="N2644" s="2" t="s">
        <v>1226</v>
      </c>
    </row>
    <row r="2645" customFormat="false" ht="15" hidden="false" customHeight="false" outlineLevel="0" collapsed="false">
      <c r="A2645" s="2" t="n">
        <v>2644</v>
      </c>
      <c r="B2645" s="2" t="s">
        <v>5555</v>
      </c>
      <c r="C2645" s="2" t="s">
        <v>5556</v>
      </c>
      <c r="D2645" s="2"/>
      <c r="E2645" s="2" t="s">
        <v>1019</v>
      </c>
      <c r="F2645" s="3" t="n">
        <v>3.8E-005</v>
      </c>
      <c r="G2645" s="3" t="n">
        <f aca="false">SUM($F$2:F2645)</f>
        <v>0.964762</v>
      </c>
      <c r="H2645" s="4"/>
      <c r="I2645" s="5"/>
      <c r="J2645" s="4"/>
      <c r="K2645" s="5"/>
      <c r="L2645" s="6"/>
      <c r="M2645" s="5" t="str">
        <f aca="false">IF(AND(N(K2645)&gt;0,N(L2645)&gt;0),K2645/L2645,"")</f>
        <v/>
      </c>
      <c r="N2645" s="2" t="s">
        <v>1226</v>
      </c>
    </row>
    <row r="2646" customFormat="false" ht="15" hidden="false" customHeight="false" outlineLevel="0" collapsed="false">
      <c r="A2646" s="2" t="n">
        <v>2645</v>
      </c>
      <c r="B2646" s="2" t="s">
        <v>5557</v>
      </c>
      <c r="C2646" s="2" t="s">
        <v>5558</v>
      </c>
      <c r="D2646" s="2"/>
      <c r="E2646" s="2" t="s">
        <v>21</v>
      </c>
      <c r="F2646" s="3" t="n">
        <v>3.8E-005</v>
      </c>
      <c r="G2646" s="3" t="n">
        <f aca="false">SUM($F$2:F2646)</f>
        <v>0.9648</v>
      </c>
      <c r="H2646" s="4"/>
      <c r="I2646" s="5"/>
      <c r="J2646" s="4"/>
      <c r="K2646" s="5"/>
      <c r="L2646" s="6"/>
      <c r="M2646" s="5" t="str">
        <f aca="false">IF(AND(N(K2646)&gt;0,N(L2646)&gt;0),K2646/L2646,"")</f>
        <v/>
      </c>
      <c r="N2646" s="2" t="s">
        <v>1226</v>
      </c>
    </row>
    <row r="2647" customFormat="false" ht="15" hidden="false" customHeight="false" outlineLevel="0" collapsed="false">
      <c r="A2647" s="2" t="n">
        <v>2646</v>
      </c>
      <c r="B2647" s="2" t="s">
        <v>5559</v>
      </c>
      <c r="C2647" s="2" t="s">
        <v>5560</v>
      </c>
      <c r="D2647" s="2"/>
      <c r="E2647" s="2" t="s">
        <v>1345</v>
      </c>
      <c r="F2647" s="3" t="n">
        <v>3.8E-005</v>
      </c>
      <c r="G2647" s="3" t="n">
        <f aca="false">SUM($F$2:F2647)</f>
        <v>0.964838</v>
      </c>
      <c r="H2647" s="4"/>
      <c r="I2647" s="5"/>
      <c r="J2647" s="4"/>
      <c r="K2647" s="5"/>
      <c r="L2647" s="6"/>
      <c r="M2647" s="5" t="str">
        <f aca="false">IF(AND(N(K2647)&gt;0,N(L2647)&gt;0),K2647/L2647,"")</f>
        <v/>
      </c>
      <c r="N2647" s="2" t="s">
        <v>1226</v>
      </c>
    </row>
    <row r="2648" customFormat="false" ht="15" hidden="false" customHeight="false" outlineLevel="0" collapsed="false">
      <c r="A2648" s="2" t="n">
        <v>2647</v>
      </c>
      <c r="B2648" s="2" t="s">
        <v>5561</v>
      </c>
      <c r="C2648" s="2" t="s">
        <v>5562</v>
      </c>
      <c r="D2648" s="2"/>
      <c r="E2648" s="2" t="s">
        <v>25</v>
      </c>
      <c r="F2648" s="3" t="n">
        <v>3.8E-005</v>
      </c>
      <c r="G2648" s="3" t="n">
        <f aca="false">SUM($F$2:F2648)</f>
        <v>0.964876</v>
      </c>
      <c r="H2648" s="4"/>
      <c r="I2648" s="5"/>
      <c r="J2648" s="4"/>
      <c r="K2648" s="5"/>
      <c r="L2648" s="6"/>
      <c r="M2648" s="5" t="str">
        <f aca="false">IF(AND(N(K2648)&gt;0,N(L2648)&gt;0),K2648/L2648,"")</f>
        <v/>
      </c>
      <c r="N2648" s="2" t="s">
        <v>1226</v>
      </c>
    </row>
    <row r="2649" customFormat="false" ht="15" hidden="false" customHeight="false" outlineLevel="0" collapsed="false">
      <c r="A2649" s="2" t="n">
        <v>2648</v>
      </c>
      <c r="B2649" s="2" t="s">
        <v>5563</v>
      </c>
      <c r="C2649" s="2" t="s">
        <v>5564</v>
      </c>
      <c r="D2649" s="2"/>
      <c r="E2649" s="2" t="s">
        <v>82</v>
      </c>
      <c r="F2649" s="3" t="n">
        <v>3.7E-005</v>
      </c>
      <c r="G2649" s="3" t="n">
        <f aca="false">SUM($F$2:F2649)</f>
        <v>0.964913</v>
      </c>
      <c r="H2649" s="4"/>
      <c r="I2649" s="5"/>
      <c r="J2649" s="4"/>
      <c r="K2649" s="5"/>
      <c r="L2649" s="6"/>
      <c r="M2649" s="5" t="str">
        <f aca="false">IF(AND(N(K2649)&gt;0,N(L2649)&gt;0),K2649/L2649,"")</f>
        <v/>
      </c>
      <c r="N2649" s="2" t="s">
        <v>1226</v>
      </c>
    </row>
    <row r="2650" customFormat="false" ht="15" hidden="false" customHeight="false" outlineLevel="0" collapsed="false">
      <c r="A2650" s="2" t="n">
        <v>2649</v>
      </c>
      <c r="B2650" s="2" t="s">
        <v>5565</v>
      </c>
      <c r="C2650" s="2" t="s">
        <v>5566</v>
      </c>
      <c r="D2650" s="2"/>
      <c r="E2650" s="2" t="s">
        <v>679</v>
      </c>
      <c r="F2650" s="3" t="n">
        <v>3.7E-005</v>
      </c>
      <c r="G2650" s="3" t="n">
        <f aca="false">SUM($F$2:F2650)</f>
        <v>0.96495</v>
      </c>
      <c r="H2650" s="4"/>
      <c r="I2650" s="5"/>
      <c r="J2650" s="4"/>
      <c r="K2650" s="5"/>
      <c r="L2650" s="6"/>
      <c r="M2650" s="5" t="str">
        <f aca="false">IF(AND(N(K2650)&gt;0,N(L2650)&gt;0),K2650/L2650,"")</f>
        <v/>
      </c>
      <c r="N2650" s="2" t="s">
        <v>1226</v>
      </c>
    </row>
    <row r="2651" customFormat="false" ht="15" hidden="false" customHeight="false" outlineLevel="0" collapsed="false">
      <c r="A2651" s="2" t="n">
        <v>2650</v>
      </c>
      <c r="B2651" s="2" t="s">
        <v>5567</v>
      </c>
      <c r="C2651" s="2" t="s">
        <v>5568</v>
      </c>
      <c r="D2651" s="2"/>
      <c r="E2651" s="2" t="s">
        <v>52</v>
      </c>
      <c r="F2651" s="3" t="n">
        <v>3.7E-005</v>
      </c>
      <c r="G2651" s="3" t="n">
        <f aca="false">SUM($F$2:F2651)</f>
        <v>0.964987</v>
      </c>
      <c r="H2651" s="4"/>
      <c r="I2651" s="5"/>
      <c r="J2651" s="4"/>
      <c r="K2651" s="5"/>
      <c r="L2651" s="6"/>
      <c r="M2651" s="5" t="str">
        <f aca="false">IF(AND(N(K2651)&gt;0,N(L2651)&gt;0),K2651/L2651,"")</f>
        <v/>
      </c>
      <c r="N2651" s="2" t="s">
        <v>1226</v>
      </c>
    </row>
    <row r="2652" customFormat="false" ht="15" hidden="false" customHeight="false" outlineLevel="0" collapsed="false">
      <c r="A2652" s="2" t="n">
        <v>2651</v>
      </c>
      <c r="B2652" s="2" t="s">
        <v>5569</v>
      </c>
      <c r="C2652" s="2" t="s">
        <v>5570</v>
      </c>
      <c r="D2652" s="2"/>
      <c r="E2652" s="2" t="s">
        <v>52</v>
      </c>
      <c r="F2652" s="3" t="n">
        <v>3.7E-005</v>
      </c>
      <c r="G2652" s="3" t="n">
        <f aca="false">SUM($F$2:F2652)</f>
        <v>0.965024</v>
      </c>
      <c r="H2652" s="4"/>
      <c r="I2652" s="5"/>
      <c r="J2652" s="4"/>
      <c r="K2652" s="5"/>
      <c r="L2652" s="6"/>
      <c r="M2652" s="5" t="str">
        <f aca="false">IF(AND(N(K2652)&gt;0,N(L2652)&gt;0),K2652/L2652,"")</f>
        <v/>
      </c>
      <c r="N2652" s="2" t="s">
        <v>1226</v>
      </c>
    </row>
    <row r="2653" customFormat="false" ht="15" hidden="false" customHeight="false" outlineLevel="0" collapsed="false">
      <c r="A2653" s="2" t="n">
        <v>2652</v>
      </c>
      <c r="B2653" s="2" t="s">
        <v>5571</v>
      </c>
      <c r="C2653" s="2" t="s">
        <v>5572</v>
      </c>
      <c r="D2653" s="2"/>
      <c r="E2653" s="2" t="s">
        <v>17</v>
      </c>
      <c r="F2653" s="3" t="n">
        <v>3.7E-005</v>
      </c>
      <c r="G2653" s="3" t="n">
        <f aca="false">SUM($F$2:F2653)</f>
        <v>0.965061</v>
      </c>
      <c r="H2653" s="4"/>
      <c r="I2653" s="5"/>
      <c r="J2653" s="4"/>
      <c r="K2653" s="5"/>
      <c r="L2653" s="6"/>
      <c r="M2653" s="5" t="str">
        <f aca="false">IF(AND(N(K2653)&gt;0,N(L2653)&gt;0),K2653/L2653,"")</f>
        <v/>
      </c>
      <c r="N2653" s="2" t="s">
        <v>1226</v>
      </c>
    </row>
    <row r="2654" customFormat="false" ht="15" hidden="false" customHeight="false" outlineLevel="0" collapsed="false">
      <c r="A2654" s="2" t="n">
        <v>2653</v>
      </c>
      <c r="B2654" s="2" t="s">
        <v>5573</v>
      </c>
      <c r="C2654" s="2" t="s">
        <v>5574</v>
      </c>
      <c r="D2654" s="2"/>
      <c r="E2654" s="2" t="s">
        <v>1345</v>
      </c>
      <c r="F2654" s="3" t="n">
        <v>3.7E-005</v>
      </c>
      <c r="G2654" s="3" t="n">
        <f aca="false">SUM($F$2:F2654)</f>
        <v>0.965098</v>
      </c>
      <c r="H2654" s="4"/>
      <c r="I2654" s="5"/>
      <c r="J2654" s="4"/>
      <c r="K2654" s="5"/>
      <c r="L2654" s="6"/>
      <c r="M2654" s="5" t="str">
        <f aca="false">IF(AND(N(K2654)&gt;0,N(L2654)&gt;0),K2654/L2654,"")</f>
        <v/>
      </c>
      <c r="N2654" s="2" t="s">
        <v>1226</v>
      </c>
    </row>
    <row r="2655" customFormat="false" ht="15" hidden="false" customHeight="false" outlineLevel="0" collapsed="false">
      <c r="A2655" s="2" t="n">
        <v>2654</v>
      </c>
      <c r="B2655" s="2" t="s">
        <v>5575</v>
      </c>
      <c r="C2655" s="2" t="s">
        <v>5576</v>
      </c>
      <c r="D2655" s="2"/>
      <c r="E2655" s="2" t="s">
        <v>43</v>
      </c>
      <c r="F2655" s="3" t="n">
        <v>3.7E-005</v>
      </c>
      <c r="G2655" s="3" t="n">
        <f aca="false">SUM($F$2:F2655)</f>
        <v>0.965135</v>
      </c>
      <c r="H2655" s="4"/>
      <c r="I2655" s="5"/>
      <c r="J2655" s="4"/>
      <c r="K2655" s="5"/>
      <c r="L2655" s="6"/>
      <c r="M2655" s="5" t="str">
        <f aca="false">IF(AND(N(K2655)&gt;0,N(L2655)&gt;0),K2655/L2655,"")</f>
        <v/>
      </c>
      <c r="N2655" s="2" t="s">
        <v>1226</v>
      </c>
    </row>
    <row r="2656" customFormat="false" ht="15" hidden="false" customHeight="false" outlineLevel="0" collapsed="false">
      <c r="A2656" s="2" t="n">
        <v>2655</v>
      </c>
      <c r="B2656" s="2" t="s">
        <v>5577</v>
      </c>
      <c r="C2656" s="2" t="s">
        <v>5578</v>
      </c>
      <c r="D2656" s="2"/>
      <c r="E2656" s="2" t="s">
        <v>25</v>
      </c>
      <c r="F2656" s="3" t="n">
        <v>3.7E-005</v>
      </c>
      <c r="G2656" s="3" t="n">
        <f aca="false">SUM($F$2:F2656)</f>
        <v>0.965172</v>
      </c>
      <c r="H2656" s="4"/>
      <c r="I2656" s="5"/>
      <c r="J2656" s="4"/>
      <c r="K2656" s="5"/>
      <c r="L2656" s="6"/>
      <c r="M2656" s="5" t="str">
        <f aca="false">IF(AND(N(K2656)&gt;0,N(L2656)&gt;0),K2656/L2656,"")</f>
        <v/>
      </c>
      <c r="N2656" s="2" t="s">
        <v>1226</v>
      </c>
    </row>
    <row r="2657" customFormat="false" ht="15" hidden="false" customHeight="false" outlineLevel="0" collapsed="false">
      <c r="A2657" s="2" t="n">
        <v>2656</v>
      </c>
      <c r="B2657" s="2" t="s">
        <v>5579</v>
      </c>
      <c r="C2657" s="2" t="s">
        <v>5580</v>
      </c>
      <c r="D2657" s="2"/>
      <c r="E2657" s="2" t="s">
        <v>52</v>
      </c>
      <c r="F2657" s="3" t="n">
        <v>3.7E-005</v>
      </c>
      <c r="G2657" s="3" t="n">
        <f aca="false">SUM($F$2:F2657)</f>
        <v>0.965209</v>
      </c>
      <c r="H2657" s="4"/>
      <c r="I2657" s="5"/>
      <c r="J2657" s="4"/>
      <c r="K2657" s="5"/>
      <c r="L2657" s="6"/>
      <c r="M2657" s="5" t="str">
        <f aca="false">IF(AND(N(K2657)&gt;0,N(L2657)&gt;0),K2657/L2657,"")</f>
        <v/>
      </c>
      <c r="N2657" s="2" t="s">
        <v>1226</v>
      </c>
    </row>
    <row r="2658" customFormat="false" ht="15" hidden="false" customHeight="false" outlineLevel="0" collapsed="false">
      <c r="A2658" s="2" t="n">
        <v>2657</v>
      </c>
      <c r="B2658" s="2" t="s">
        <v>5581</v>
      </c>
      <c r="C2658" s="2" t="s">
        <v>5582</v>
      </c>
      <c r="D2658" s="2"/>
      <c r="E2658" s="2" t="s">
        <v>25</v>
      </c>
      <c r="F2658" s="3" t="n">
        <v>3.7E-005</v>
      </c>
      <c r="G2658" s="3" t="n">
        <f aca="false">SUM($F$2:F2658)</f>
        <v>0.965246</v>
      </c>
      <c r="H2658" s="4"/>
      <c r="I2658" s="5"/>
      <c r="J2658" s="4"/>
      <c r="K2658" s="5"/>
      <c r="L2658" s="6"/>
      <c r="M2658" s="5" t="str">
        <f aca="false">IF(AND(N(K2658)&gt;0,N(L2658)&gt;0),K2658/L2658,"")</f>
        <v/>
      </c>
      <c r="N2658" s="2" t="s">
        <v>1226</v>
      </c>
    </row>
    <row r="2659" customFormat="false" ht="15" hidden="false" customHeight="false" outlineLevel="0" collapsed="false">
      <c r="A2659" s="2" t="n">
        <v>2658</v>
      </c>
      <c r="B2659" s="2" t="s">
        <v>5583</v>
      </c>
      <c r="C2659" s="2" t="s">
        <v>5584</v>
      </c>
      <c r="D2659" s="2"/>
      <c r="E2659" s="2" t="s">
        <v>52</v>
      </c>
      <c r="F2659" s="3" t="n">
        <v>3.7E-005</v>
      </c>
      <c r="G2659" s="3" t="n">
        <f aca="false">SUM($F$2:F2659)</f>
        <v>0.965283</v>
      </c>
      <c r="H2659" s="4"/>
      <c r="I2659" s="5"/>
      <c r="J2659" s="4"/>
      <c r="K2659" s="5"/>
      <c r="L2659" s="6"/>
      <c r="M2659" s="5" t="str">
        <f aca="false">IF(AND(N(K2659)&gt;0,N(L2659)&gt;0),K2659/L2659,"")</f>
        <v/>
      </c>
      <c r="N2659" s="2" t="s">
        <v>1226</v>
      </c>
    </row>
    <row r="2660" customFormat="false" ht="15" hidden="false" customHeight="false" outlineLevel="0" collapsed="false">
      <c r="A2660" s="2" t="n">
        <v>2659</v>
      </c>
      <c r="B2660" s="2" t="s">
        <v>5585</v>
      </c>
      <c r="C2660" s="2" t="s">
        <v>5586</v>
      </c>
      <c r="D2660" s="2"/>
      <c r="E2660" s="2" t="s">
        <v>1345</v>
      </c>
      <c r="F2660" s="3" t="n">
        <v>3.7E-005</v>
      </c>
      <c r="G2660" s="3" t="n">
        <f aca="false">SUM($F$2:F2660)</f>
        <v>0.96532</v>
      </c>
      <c r="H2660" s="4"/>
      <c r="I2660" s="5"/>
      <c r="J2660" s="4"/>
      <c r="K2660" s="5"/>
      <c r="L2660" s="6"/>
      <c r="M2660" s="5" t="str">
        <f aca="false">IF(AND(N(K2660)&gt;0,N(L2660)&gt;0),K2660/L2660,"")</f>
        <v/>
      </c>
      <c r="N2660" s="2" t="s">
        <v>1226</v>
      </c>
    </row>
    <row r="2661" customFormat="false" ht="15" hidden="false" customHeight="false" outlineLevel="0" collapsed="false">
      <c r="A2661" s="2" t="n">
        <v>2660</v>
      </c>
      <c r="B2661" s="2" t="s">
        <v>5587</v>
      </c>
      <c r="C2661" s="2" t="s">
        <v>5588</v>
      </c>
      <c r="D2661" s="2"/>
      <c r="E2661" s="2" t="s">
        <v>1345</v>
      </c>
      <c r="F2661" s="3" t="n">
        <v>3.7E-005</v>
      </c>
      <c r="G2661" s="3" t="n">
        <f aca="false">SUM($F$2:F2661)</f>
        <v>0.965357</v>
      </c>
      <c r="H2661" s="4"/>
      <c r="I2661" s="5"/>
      <c r="J2661" s="4"/>
      <c r="K2661" s="5"/>
      <c r="L2661" s="6"/>
      <c r="M2661" s="5" t="str">
        <f aca="false">IF(AND(N(K2661)&gt;0,N(L2661)&gt;0),K2661/L2661,"")</f>
        <v/>
      </c>
      <c r="N2661" s="2" t="s">
        <v>1226</v>
      </c>
    </row>
    <row r="2662" customFormat="false" ht="15" hidden="false" customHeight="false" outlineLevel="0" collapsed="false">
      <c r="A2662" s="2" t="n">
        <v>2661</v>
      </c>
      <c r="B2662" s="2" t="s">
        <v>5589</v>
      </c>
      <c r="C2662" s="2" t="s">
        <v>5590</v>
      </c>
      <c r="D2662" s="2"/>
      <c r="E2662" s="2" t="s">
        <v>289</v>
      </c>
      <c r="F2662" s="3" t="n">
        <v>3.7E-005</v>
      </c>
      <c r="G2662" s="3" t="n">
        <f aca="false">SUM($F$2:F2662)</f>
        <v>0.965394</v>
      </c>
      <c r="H2662" s="4"/>
      <c r="I2662" s="5"/>
      <c r="J2662" s="4"/>
      <c r="K2662" s="5"/>
      <c r="L2662" s="6"/>
      <c r="M2662" s="5" t="str">
        <f aca="false">IF(AND(N(K2662)&gt;0,N(L2662)&gt;0),K2662/L2662,"")</f>
        <v/>
      </c>
      <c r="N2662" s="2" t="s">
        <v>1226</v>
      </c>
    </row>
    <row r="2663" customFormat="false" ht="15" hidden="false" customHeight="false" outlineLevel="0" collapsed="false">
      <c r="A2663" s="2" t="n">
        <v>2662</v>
      </c>
      <c r="B2663" s="2" t="s">
        <v>5591</v>
      </c>
      <c r="C2663" s="2" t="s">
        <v>5592</v>
      </c>
      <c r="D2663" s="2"/>
      <c r="E2663" s="2" t="s">
        <v>334</v>
      </c>
      <c r="F2663" s="3" t="n">
        <v>3.7E-005</v>
      </c>
      <c r="G2663" s="3" t="n">
        <f aca="false">SUM($F$2:F2663)</f>
        <v>0.965431</v>
      </c>
      <c r="H2663" s="4"/>
      <c r="I2663" s="5"/>
      <c r="J2663" s="4"/>
      <c r="K2663" s="5"/>
      <c r="L2663" s="6"/>
      <c r="M2663" s="5" t="str">
        <f aca="false">IF(AND(N(K2663)&gt;0,N(L2663)&gt;0),K2663/L2663,"")</f>
        <v/>
      </c>
      <c r="N2663" s="2" t="s">
        <v>1226</v>
      </c>
    </row>
    <row r="2664" customFormat="false" ht="15" hidden="false" customHeight="false" outlineLevel="0" collapsed="false">
      <c r="A2664" s="2" t="n">
        <v>2663</v>
      </c>
      <c r="B2664" s="2" t="s">
        <v>5593</v>
      </c>
      <c r="C2664" s="2" t="s">
        <v>5594</v>
      </c>
      <c r="D2664" s="2"/>
      <c r="E2664" s="2" t="s">
        <v>29</v>
      </c>
      <c r="F2664" s="3" t="n">
        <v>3.7E-005</v>
      </c>
      <c r="G2664" s="3" t="n">
        <f aca="false">SUM($F$2:F2664)</f>
        <v>0.965468</v>
      </c>
      <c r="H2664" s="4"/>
      <c r="I2664" s="5"/>
      <c r="J2664" s="4"/>
      <c r="K2664" s="5"/>
      <c r="L2664" s="6"/>
      <c r="M2664" s="5" t="str">
        <f aca="false">IF(AND(N(K2664)&gt;0,N(L2664)&gt;0),K2664/L2664,"")</f>
        <v/>
      </c>
      <c r="N2664" s="2" t="s">
        <v>1226</v>
      </c>
    </row>
    <row r="2665" customFormat="false" ht="15" hidden="false" customHeight="false" outlineLevel="0" collapsed="false">
      <c r="A2665" s="2" t="n">
        <v>2664</v>
      </c>
      <c r="B2665" s="2" t="s">
        <v>2893</v>
      </c>
      <c r="C2665" s="2" t="s">
        <v>5595</v>
      </c>
      <c r="D2665" s="2"/>
      <c r="E2665" s="2" t="s">
        <v>17</v>
      </c>
      <c r="F2665" s="3" t="n">
        <v>3.7E-005</v>
      </c>
      <c r="G2665" s="3" t="n">
        <f aca="false">SUM($F$2:F2665)</f>
        <v>0.965505</v>
      </c>
      <c r="H2665" s="4"/>
      <c r="I2665" s="5"/>
      <c r="J2665" s="4"/>
      <c r="K2665" s="5"/>
      <c r="L2665" s="6"/>
      <c r="M2665" s="5" t="str">
        <f aca="false">IF(AND(N(K2665)&gt;0,N(L2665)&gt;0),K2665/L2665,"")</f>
        <v/>
      </c>
      <c r="N2665" s="2" t="s">
        <v>1226</v>
      </c>
    </row>
    <row r="2666" customFormat="false" ht="15" hidden="false" customHeight="false" outlineLevel="0" collapsed="false">
      <c r="A2666" s="2" t="n">
        <v>2665</v>
      </c>
      <c r="B2666" s="2" t="s">
        <v>5596</v>
      </c>
      <c r="C2666" s="2" t="s">
        <v>5597</v>
      </c>
      <c r="D2666" s="2"/>
      <c r="E2666" s="2" t="s">
        <v>43</v>
      </c>
      <c r="F2666" s="3" t="n">
        <v>3.7E-005</v>
      </c>
      <c r="G2666" s="3" t="n">
        <f aca="false">SUM($F$2:F2666)</f>
        <v>0.965542</v>
      </c>
      <c r="H2666" s="4"/>
      <c r="I2666" s="5"/>
      <c r="J2666" s="4"/>
      <c r="K2666" s="5"/>
      <c r="L2666" s="6"/>
      <c r="M2666" s="5" t="str">
        <f aca="false">IF(AND(N(K2666)&gt;0,N(L2666)&gt;0),K2666/L2666,"")</f>
        <v/>
      </c>
      <c r="N2666" s="2" t="s">
        <v>1226</v>
      </c>
    </row>
    <row r="2667" customFormat="false" ht="15" hidden="false" customHeight="false" outlineLevel="0" collapsed="false">
      <c r="A2667" s="2" t="n">
        <v>2666</v>
      </c>
      <c r="B2667" s="2" t="s">
        <v>5598</v>
      </c>
      <c r="C2667" s="2" t="s">
        <v>5599</v>
      </c>
      <c r="D2667" s="2"/>
      <c r="E2667" s="2" t="s">
        <v>25</v>
      </c>
      <c r="F2667" s="3" t="n">
        <v>3.7E-005</v>
      </c>
      <c r="G2667" s="3" t="n">
        <f aca="false">SUM($F$2:F2667)</f>
        <v>0.965579</v>
      </c>
      <c r="H2667" s="4"/>
      <c r="I2667" s="5"/>
      <c r="J2667" s="4"/>
      <c r="K2667" s="5"/>
      <c r="L2667" s="6"/>
      <c r="M2667" s="5" t="str">
        <f aca="false">IF(AND(N(K2667)&gt;0,N(L2667)&gt;0),K2667/L2667,"")</f>
        <v/>
      </c>
      <c r="N2667" s="2" t="s">
        <v>1226</v>
      </c>
    </row>
    <row r="2668" customFormat="false" ht="15" hidden="false" customHeight="false" outlineLevel="0" collapsed="false">
      <c r="A2668" s="2" t="n">
        <v>2667</v>
      </c>
      <c r="B2668" s="2" t="s">
        <v>5600</v>
      </c>
      <c r="C2668" s="2" t="s">
        <v>5601</v>
      </c>
      <c r="D2668" s="2"/>
      <c r="E2668" s="2" t="s">
        <v>29</v>
      </c>
      <c r="F2668" s="3" t="n">
        <v>3.7E-005</v>
      </c>
      <c r="G2668" s="3" t="n">
        <f aca="false">SUM($F$2:F2668)</f>
        <v>0.965616</v>
      </c>
      <c r="H2668" s="4"/>
      <c r="I2668" s="5"/>
      <c r="J2668" s="4"/>
      <c r="K2668" s="5"/>
      <c r="L2668" s="6"/>
      <c r="M2668" s="5" t="str">
        <f aca="false">IF(AND(N(K2668)&gt;0,N(L2668)&gt;0),K2668/L2668,"")</f>
        <v/>
      </c>
      <c r="N2668" s="2" t="s">
        <v>1226</v>
      </c>
    </row>
    <row r="2669" customFormat="false" ht="15" hidden="false" customHeight="false" outlineLevel="0" collapsed="false">
      <c r="A2669" s="2" t="n">
        <v>2668</v>
      </c>
      <c r="B2669" s="2" t="s">
        <v>5602</v>
      </c>
      <c r="C2669" s="2" t="s">
        <v>5603</v>
      </c>
      <c r="D2669" s="2"/>
      <c r="E2669" s="2" t="s">
        <v>539</v>
      </c>
      <c r="F2669" s="3" t="n">
        <v>3.6E-005</v>
      </c>
      <c r="G2669" s="3" t="n">
        <f aca="false">SUM($F$2:F2669)</f>
        <v>0.965652</v>
      </c>
      <c r="H2669" s="4"/>
      <c r="I2669" s="5"/>
      <c r="J2669" s="4"/>
      <c r="K2669" s="5"/>
      <c r="L2669" s="6"/>
      <c r="M2669" s="5" t="str">
        <f aca="false">IF(AND(N(K2669)&gt;0,N(L2669)&gt;0),K2669/L2669,"")</f>
        <v/>
      </c>
      <c r="N2669" s="2" t="s">
        <v>1226</v>
      </c>
    </row>
    <row r="2670" customFormat="false" ht="15" hidden="false" customHeight="false" outlineLevel="0" collapsed="false">
      <c r="A2670" s="2" t="n">
        <v>2669</v>
      </c>
      <c r="B2670" s="2" t="s">
        <v>5604</v>
      </c>
      <c r="C2670" s="2" t="s">
        <v>5605</v>
      </c>
      <c r="D2670" s="2"/>
      <c r="E2670" s="2" t="s">
        <v>52</v>
      </c>
      <c r="F2670" s="3" t="n">
        <v>3.6E-005</v>
      </c>
      <c r="G2670" s="3" t="n">
        <f aca="false">SUM($F$2:F2670)</f>
        <v>0.965688</v>
      </c>
      <c r="H2670" s="4"/>
      <c r="I2670" s="5"/>
      <c r="J2670" s="4"/>
      <c r="K2670" s="5"/>
      <c r="L2670" s="6"/>
      <c r="M2670" s="5" t="str">
        <f aca="false">IF(AND(N(K2670)&gt;0,N(L2670)&gt;0),K2670/L2670,"")</f>
        <v/>
      </c>
      <c r="N2670" s="2" t="s">
        <v>1226</v>
      </c>
    </row>
    <row r="2671" customFormat="false" ht="15" hidden="false" customHeight="false" outlineLevel="0" collapsed="false">
      <c r="A2671" s="2" t="n">
        <v>2670</v>
      </c>
      <c r="B2671" s="2" t="s">
        <v>5606</v>
      </c>
      <c r="C2671" s="2" t="s">
        <v>5607</v>
      </c>
      <c r="D2671" s="2"/>
      <c r="E2671" s="2" t="s">
        <v>43</v>
      </c>
      <c r="F2671" s="3" t="n">
        <v>3.6E-005</v>
      </c>
      <c r="G2671" s="3" t="n">
        <f aca="false">SUM($F$2:F2671)</f>
        <v>0.965724</v>
      </c>
      <c r="H2671" s="4"/>
      <c r="I2671" s="5"/>
      <c r="J2671" s="4"/>
      <c r="K2671" s="5"/>
      <c r="L2671" s="6"/>
      <c r="M2671" s="5" t="str">
        <f aca="false">IF(AND(N(K2671)&gt;0,N(L2671)&gt;0),K2671/L2671,"")</f>
        <v/>
      </c>
      <c r="N2671" s="2" t="s">
        <v>1226</v>
      </c>
    </row>
    <row r="2672" customFormat="false" ht="15" hidden="false" customHeight="false" outlineLevel="0" collapsed="false">
      <c r="A2672" s="2" t="n">
        <v>2671</v>
      </c>
      <c r="B2672" s="2" t="s">
        <v>5608</v>
      </c>
      <c r="C2672" s="2" t="s">
        <v>5609</v>
      </c>
      <c r="D2672" s="2"/>
      <c r="E2672" s="2" t="s">
        <v>21</v>
      </c>
      <c r="F2672" s="3" t="n">
        <v>3.6E-005</v>
      </c>
      <c r="G2672" s="3" t="n">
        <f aca="false">SUM($F$2:F2672)</f>
        <v>0.96576</v>
      </c>
      <c r="H2672" s="4"/>
      <c r="I2672" s="5"/>
      <c r="J2672" s="4"/>
      <c r="K2672" s="5"/>
      <c r="L2672" s="6"/>
      <c r="M2672" s="5" t="str">
        <f aca="false">IF(AND(N(K2672)&gt;0,N(L2672)&gt;0),K2672/L2672,"")</f>
        <v/>
      </c>
      <c r="N2672" s="2" t="s">
        <v>1226</v>
      </c>
    </row>
    <row r="2673" customFormat="false" ht="15" hidden="false" customHeight="false" outlineLevel="0" collapsed="false">
      <c r="A2673" s="2" t="n">
        <v>2672</v>
      </c>
      <c r="B2673" s="2" t="s">
        <v>5610</v>
      </c>
      <c r="C2673" s="2" t="s">
        <v>5611</v>
      </c>
      <c r="D2673" s="2"/>
      <c r="E2673" s="2" t="s">
        <v>52</v>
      </c>
      <c r="F2673" s="3" t="n">
        <v>3.6E-005</v>
      </c>
      <c r="G2673" s="3" t="n">
        <f aca="false">SUM($F$2:F2673)</f>
        <v>0.965796</v>
      </c>
      <c r="H2673" s="4"/>
      <c r="I2673" s="5"/>
      <c r="J2673" s="4"/>
      <c r="K2673" s="5"/>
      <c r="L2673" s="6"/>
      <c r="M2673" s="5" t="str">
        <f aca="false">IF(AND(N(K2673)&gt;0,N(L2673)&gt;0),K2673/L2673,"")</f>
        <v/>
      </c>
      <c r="N2673" s="2" t="s">
        <v>1226</v>
      </c>
    </row>
    <row r="2674" customFormat="false" ht="15" hidden="false" customHeight="false" outlineLevel="0" collapsed="false">
      <c r="A2674" s="2" t="n">
        <v>2673</v>
      </c>
      <c r="B2674" s="2" t="s">
        <v>5612</v>
      </c>
      <c r="C2674" s="2" t="s">
        <v>5613</v>
      </c>
      <c r="D2674" s="2"/>
      <c r="E2674" s="2" t="s">
        <v>33</v>
      </c>
      <c r="F2674" s="3" t="n">
        <v>3.6E-005</v>
      </c>
      <c r="G2674" s="3" t="n">
        <f aca="false">SUM($F$2:F2674)</f>
        <v>0.965832</v>
      </c>
      <c r="H2674" s="4"/>
      <c r="I2674" s="5"/>
      <c r="J2674" s="4"/>
      <c r="K2674" s="5"/>
      <c r="L2674" s="6"/>
      <c r="M2674" s="5" t="str">
        <f aca="false">IF(AND(N(K2674)&gt;0,N(L2674)&gt;0),K2674/L2674,"")</f>
        <v/>
      </c>
      <c r="N2674" s="2" t="s">
        <v>1226</v>
      </c>
    </row>
    <row r="2675" customFormat="false" ht="15" hidden="false" customHeight="false" outlineLevel="0" collapsed="false">
      <c r="A2675" s="2" t="n">
        <v>2674</v>
      </c>
      <c r="B2675" s="2" t="s">
        <v>5614</v>
      </c>
      <c r="C2675" s="2" t="s">
        <v>5615</v>
      </c>
      <c r="D2675" s="2"/>
      <c r="E2675" s="2" t="s">
        <v>33</v>
      </c>
      <c r="F2675" s="3" t="n">
        <v>3.6E-005</v>
      </c>
      <c r="G2675" s="3" t="n">
        <f aca="false">SUM($F$2:F2675)</f>
        <v>0.965868</v>
      </c>
      <c r="H2675" s="4"/>
      <c r="I2675" s="5"/>
      <c r="J2675" s="4"/>
      <c r="K2675" s="5"/>
      <c r="L2675" s="6"/>
      <c r="M2675" s="5" t="str">
        <f aca="false">IF(AND(N(K2675)&gt;0,N(L2675)&gt;0),K2675/L2675,"")</f>
        <v/>
      </c>
      <c r="N2675" s="2" t="s">
        <v>1226</v>
      </c>
    </row>
    <row r="2676" customFormat="false" ht="15" hidden="false" customHeight="false" outlineLevel="0" collapsed="false">
      <c r="A2676" s="2" t="n">
        <v>2675</v>
      </c>
      <c r="B2676" s="2" t="s">
        <v>5616</v>
      </c>
      <c r="C2676" s="2" t="s">
        <v>5617</v>
      </c>
      <c r="D2676" s="2"/>
      <c r="E2676" s="2" t="s">
        <v>539</v>
      </c>
      <c r="F2676" s="3" t="n">
        <v>3.6E-005</v>
      </c>
      <c r="G2676" s="3" t="n">
        <f aca="false">SUM($F$2:F2676)</f>
        <v>0.965904</v>
      </c>
      <c r="H2676" s="4"/>
      <c r="I2676" s="5"/>
      <c r="J2676" s="4"/>
      <c r="K2676" s="5"/>
      <c r="L2676" s="6"/>
      <c r="M2676" s="5" t="str">
        <f aca="false">IF(AND(N(K2676)&gt;0,N(L2676)&gt;0),K2676/L2676,"")</f>
        <v/>
      </c>
      <c r="N2676" s="2" t="s">
        <v>1226</v>
      </c>
    </row>
    <row r="2677" customFormat="false" ht="15" hidden="false" customHeight="false" outlineLevel="0" collapsed="false">
      <c r="A2677" s="2" t="n">
        <v>2676</v>
      </c>
      <c r="B2677" s="2" t="s">
        <v>5618</v>
      </c>
      <c r="C2677" s="2" t="s">
        <v>5619</v>
      </c>
      <c r="D2677" s="2"/>
      <c r="E2677" s="2" t="s">
        <v>826</v>
      </c>
      <c r="F2677" s="3" t="n">
        <v>3.6E-005</v>
      </c>
      <c r="G2677" s="3" t="n">
        <f aca="false">SUM($F$2:F2677)</f>
        <v>0.96594</v>
      </c>
      <c r="H2677" s="4"/>
      <c r="I2677" s="5"/>
      <c r="J2677" s="4"/>
      <c r="K2677" s="5"/>
      <c r="L2677" s="6"/>
      <c r="M2677" s="5" t="str">
        <f aca="false">IF(AND(N(K2677)&gt;0,N(L2677)&gt;0),K2677/L2677,"")</f>
        <v/>
      </c>
      <c r="N2677" s="2" t="s">
        <v>1226</v>
      </c>
    </row>
    <row r="2678" customFormat="false" ht="15" hidden="false" customHeight="false" outlineLevel="0" collapsed="false">
      <c r="A2678" s="2" t="n">
        <v>2677</v>
      </c>
      <c r="B2678" s="2" t="s">
        <v>5620</v>
      </c>
      <c r="C2678" s="2" t="s">
        <v>5621</v>
      </c>
      <c r="D2678" s="2"/>
      <c r="E2678" s="2" t="s">
        <v>48</v>
      </c>
      <c r="F2678" s="3" t="n">
        <v>3.6E-005</v>
      </c>
      <c r="G2678" s="3" t="n">
        <f aca="false">SUM($F$2:F2678)</f>
        <v>0.965976</v>
      </c>
      <c r="H2678" s="4"/>
      <c r="I2678" s="5"/>
      <c r="J2678" s="4"/>
      <c r="K2678" s="5"/>
      <c r="L2678" s="6"/>
      <c r="M2678" s="5" t="str">
        <f aca="false">IF(AND(N(K2678)&gt;0,N(L2678)&gt;0),K2678/L2678,"")</f>
        <v/>
      </c>
      <c r="N2678" s="2" t="s">
        <v>1226</v>
      </c>
    </row>
    <row r="2679" customFormat="false" ht="15" hidden="false" customHeight="false" outlineLevel="0" collapsed="false">
      <c r="A2679" s="2" t="n">
        <v>2678</v>
      </c>
      <c r="B2679" s="2" t="s">
        <v>5622</v>
      </c>
      <c r="C2679" s="2" t="s">
        <v>5623</v>
      </c>
      <c r="D2679" s="2"/>
      <c r="E2679" s="2" t="s">
        <v>289</v>
      </c>
      <c r="F2679" s="3" t="n">
        <v>3.6E-005</v>
      </c>
      <c r="G2679" s="3" t="n">
        <f aca="false">SUM($F$2:F2679)</f>
        <v>0.966012</v>
      </c>
      <c r="H2679" s="4"/>
      <c r="I2679" s="5"/>
      <c r="J2679" s="4"/>
      <c r="K2679" s="5"/>
      <c r="L2679" s="6"/>
      <c r="M2679" s="5" t="str">
        <f aca="false">IF(AND(N(K2679)&gt;0,N(L2679)&gt;0),K2679/L2679,"")</f>
        <v/>
      </c>
      <c r="N2679" s="2" t="s">
        <v>1226</v>
      </c>
    </row>
    <row r="2680" customFormat="false" ht="15" hidden="false" customHeight="false" outlineLevel="0" collapsed="false">
      <c r="A2680" s="2" t="n">
        <v>2679</v>
      </c>
      <c r="B2680" s="2" t="s">
        <v>5624</v>
      </c>
      <c r="C2680" s="2" t="s">
        <v>5625</v>
      </c>
      <c r="D2680" s="2"/>
      <c r="E2680" s="2" t="s">
        <v>289</v>
      </c>
      <c r="F2680" s="3" t="n">
        <v>3.6E-005</v>
      </c>
      <c r="G2680" s="3" t="n">
        <f aca="false">SUM($F$2:F2680)</f>
        <v>0.966048</v>
      </c>
      <c r="H2680" s="4"/>
      <c r="I2680" s="5"/>
      <c r="J2680" s="4"/>
      <c r="K2680" s="5"/>
      <c r="L2680" s="6"/>
      <c r="M2680" s="5" t="str">
        <f aca="false">IF(AND(N(K2680)&gt;0,N(L2680)&gt;0),K2680/L2680,"")</f>
        <v/>
      </c>
      <c r="N2680" s="2" t="s">
        <v>1226</v>
      </c>
    </row>
    <row r="2681" customFormat="false" ht="15" hidden="false" customHeight="false" outlineLevel="0" collapsed="false">
      <c r="A2681" s="2" t="n">
        <v>2680</v>
      </c>
      <c r="B2681" s="2" t="s">
        <v>4278</v>
      </c>
      <c r="C2681" s="2" t="s">
        <v>5626</v>
      </c>
      <c r="D2681" s="2"/>
      <c r="E2681" s="2" t="s">
        <v>43</v>
      </c>
      <c r="F2681" s="3" t="n">
        <v>3.6E-005</v>
      </c>
      <c r="G2681" s="3" t="n">
        <f aca="false">SUM($F$2:F2681)</f>
        <v>0.966084</v>
      </c>
      <c r="H2681" s="4"/>
      <c r="I2681" s="5"/>
      <c r="J2681" s="4"/>
      <c r="K2681" s="5"/>
      <c r="L2681" s="6"/>
      <c r="M2681" s="5" t="str">
        <f aca="false">IF(AND(N(K2681)&gt;0,N(L2681)&gt;0),K2681/L2681,"")</f>
        <v/>
      </c>
      <c r="N2681" s="2" t="s">
        <v>1226</v>
      </c>
    </row>
    <row r="2682" customFormat="false" ht="15" hidden="false" customHeight="false" outlineLevel="0" collapsed="false">
      <c r="A2682" s="2" t="n">
        <v>2681</v>
      </c>
      <c r="B2682" s="2" t="s">
        <v>5627</v>
      </c>
      <c r="C2682" s="2" t="s">
        <v>5628</v>
      </c>
      <c r="D2682" s="2"/>
      <c r="E2682" s="2" t="s">
        <v>1050</v>
      </c>
      <c r="F2682" s="3" t="n">
        <v>3.6E-005</v>
      </c>
      <c r="G2682" s="3" t="n">
        <f aca="false">SUM($F$2:F2682)</f>
        <v>0.96612</v>
      </c>
      <c r="H2682" s="4"/>
      <c r="I2682" s="5"/>
      <c r="J2682" s="4"/>
      <c r="K2682" s="5"/>
      <c r="L2682" s="6"/>
      <c r="M2682" s="5" t="str">
        <f aca="false">IF(AND(N(K2682)&gt;0,N(L2682)&gt;0),K2682/L2682,"")</f>
        <v/>
      </c>
      <c r="N2682" s="2" t="s">
        <v>1226</v>
      </c>
    </row>
    <row r="2683" customFormat="false" ht="15" hidden="false" customHeight="false" outlineLevel="0" collapsed="false">
      <c r="A2683" s="2" t="n">
        <v>2682</v>
      </c>
      <c r="B2683" s="2" t="s">
        <v>5629</v>
      </c>
      <c r="C2683" s="2" t="s">
        <v>5630</v>
      </c>
      <c r="D2683" s="2"/>
      <c r="E2683" s="2" t="s">
        <v>1345</v>
      </c>
      <c r="F2683" s="3" t="n">
        <v>3.6E-005</v>
      </c>
      <c r="G2683" s="3" t="n">
        <f aca="false">SUM($F$2:F2683)</f>
        <v>0.966156</v>
      </c>
      <c r="H2683" s="4"/>
      <c r="I2683" s="5"/>
      <c r="J2683" s="4"/>
      <c r="K2683" s="5"/>
      <c r="L2683" s="6"/>
      <c r="M2683" s="5" t="str">
        <f aca="false">IF(AND(N(K2683)&gt;0,N(L2683)&gt;0),K2683/L2683,"")</f>
        <v/>
      </c>
      <c r="N2683" s="2" t="s">
        <v>1226</v>
      </c>
    </row>
    <row r="2684" customFormat="false" ht="15" hidden="false" customHeight="false" outlineLevel="0" collapsed="false">
      <c r="A2684" s="2" t="n">
        <v>2683</v>
      </c>
      <c r="B2684" s="2" t="s">
        <v>5631</v>
      </c>
      <c r="C2684" s="2" t="s">
        <v>5632</v>
      </c>
      <c r="D2684" s="2"/>
      <c r="E2684" s="2" t="s">
        <v>1345</v>
      </c>
      <c r="F2684" s="3" t="n">
        <v>3.6E-005</v>
      </c>
      <c r="G2684" s="3" t="n">
        <f aca="false">SUM($F$2:F2684)</f>
        <v>0.966192</v>
      </c>
      <c r="H2684" s="4"/>
      <c r="I2684" s="5"/>
      <c r="J2684" s="4"/>
      <c r="K2684" s="5"/>
      <c r="L2684" s="6"/>
      <c r="M2684" s="5" t="str">
        <f aca="false">IF(AND(N(K2684)&gt;0,N(L2684)&gt;0),K2684/L2684,"")</f>
        <v/>
      </c>
      <c r="N2684" s="2" t="s">
        <v>1226</v>
      </c>
    </row>
    <row r="2685" customFormat="false" ht="15" hidden="false" customHeight="false" outlineLevel="0" collapsed="false">
      <c r="A2685" s="2" t="n">
        <v>2684</v>
      </c>
      <c r="B2685" s="2" t="s">
        <v>5633</v>
      </c>
      <c r="C2685" s="2" t="s">
        <v>5634</v>
      </c>
      <c r="D2685" s="2"/>
      <c r="E2685" s="2" t="s">
        <v>296</v>
      </c>
      <c r="F2685" s="3" t="n">
        <v>3.6E-005</v>
      </c>
      <c r="G2685" s="3" t="n">
        <f aca="false">SUM($F$2:F2685)</f>
        <v>0.966228</v>
      </c>
      <c r="H2685" s="4"/>
      <c r="I2685" s="5"/>
      <c r="J2685" s="4"/>
      <c r="K2685" s="5"/>
      <c r="L2685" s="6"/>
      <c r="M2685" s="5" t="str">
        <f aca="false">IF(AND(N(K2685)&gt;0,N(L2685)&gt;0),K2685/L2685,"")</f>
        <v/>
      </c>
      <c r="N2685" s="2" t="s">
        <v>1226</v>
      </c>
    </row>
    <row r="2686" customFormat="false" ht="15" hidden="false" customHeight="false" outlineLevel="0" collapsed="false">
      <c r="A2686" s="2" t="n">
        <v>2685</v>
      </c>
      <c r="B2686" s="2" t="s">
        <v>5635</v>
      </c>
      <c r="C2686" s="2" t="s">
        <v>5636</v>
      </c>
      <c r="D2686" s="2"/>
      <c r="E2686" s="2" t="s">
        <v>1345</v>
      </c>
      <c r="F2686" s="3" t="n">
        <v>3.6E-005</v>
      </c>
      <c r="G2686" s="3" t="n">
        <f aca="false">SUM($F$2:F2686)</f>
        <v>0.966264</v>
      </c>
      <c r="H2686" s="4"/>
      <c r="I2686" s="5"/>
      <c r="J2686" s="4"/>
      <c r="K2686" s="5"/>
      <c r="L2686" s="6"/>
      <c r="M2686" s="5" t="str">
        <f aca="false">IF(AND(N(K2686)&gt;0,N(L2686)&gt;0),K2686/L2686,"")</f>
        <v/>
      </c>
      <c r="N2686" s="2" t="s">
        <v>1226</v>
      </c>
    </row>
    <row r="2687" customFormat="false" ht="15" hidden="false" customHeight="false" outlineLevel="0" collapsed="false">
      <c r="A2687" s="2" t="n">
        <v>2686</v>
      </c>
      <c r="B2687" s="2" t="s">
        <v>5637</v>
      </c>
      <c r="C2687" s="2" t="s">
        <v>5638</v>
      </c>
      <c r="D2687" s="2"/>
      <c r="E2687" s="2" t="s">
        <v>289</v>
      </c>
      <c r="F2687" s="3" t="n">
        <v>3.6E-005</v>
      </c>
      <c r="G2687" s="3" t="n">
        <f aca="false">SUM($F$2:F2687)</f>
        <v>0.9663</v>
      </c>
      <c r="H2687" s="4"/>
      <c r="I2687" s="5"/>
      <c r="J2687" s="4"/>
      <c r="K2687" s="5"/>
      <c r="L2687" s="6"/>
      <c r="M2687" s="5" t="str">
        <f aca="false">IF(AND(N(K2687)&gt;0,N(L2687)&gt;0),K2687/L2687,"")</f>
        <v/>
      </c>
      <c r="N2687" s="2" t="s">
        <v>1226</v>
      </c>
    </row>
    <row r="2688" customFormat="false" ht="15" hidden="false" customHeight="false" outlineLevel="0" collapsed="false">
      <c r="A2688" s="2" t="n">
        <v>2687</v>
      </c>
      <c r="B2688" s="2" t="s">
        <v>5639</v>
      </c>
      <c r="C2688" s="2" t="s">
        <v>5640</v>
      </c>
      <c r="D2688" s="2"/>
      <c r="E2688" s="2" t="s">
        <v>52</v>
      </c>
      <c r="F2688" s="3" t="n">
        <v>3.6E-005</v>
      </c>
      <c r="G2688" s="3" t="n">
        <f aca="false">SUM($F$2:F2688)</f>
        <v>0.966336</v>
      </c>
      <c r="H2688" s="4"/>
      <c r="I2688" s="5"/>
      <c r="J2688" s="4"/>
      <c r="K2688" s="5"/>
      <c r="L2688" s="6"/>
      <c r="M2688" s="5" t="str">
        <f aca="false">IF(AND(N(K2688)&gt;0,N(L2688)&gt;0),K2688/L2688,"")</f>
        <v/>
      </c>
      <c r="N2688" s="2" t="s">
        <v>1226</v>
      </c>
    </row>
    <row r="2689" customFormat="false" ht="15" hidden="false" customHeight="false" outlineLevel="0" collapsed="false">
      <c r="A2689" s="2" t="n">
        <v>2688</v>
      </c>
      <c r="B2689" s="2" t="s">
        <v>5641</v>
      </c>
      <c r="C2689" s="2" t="s">
        <v>5642</v>
      </c>
      <c r="D2689" s="2"/>
      <c r="E2689" s="2" t="s">
        <v>1215</v>
      </c>
      <c r="F2689" s="3" t="n">
        <v>3.6E-005</v>
      </c>
      <c r="G2689" s="3" t="n">
        <f aca="false">SUM($F$2:F2689)</f>
        <v>0.966372</v>
      </c>
      <c r="H2689" s="4"/>
      <c r="I2689" s="5"/>
      <c r="J2689" s="4"/>
      <c r="K2689" s="5"/>
      <c r="L2689" s="6"/>
      <c r="M2689" s="5" t="str">
        <f aca="false">IF(AND(N(K2689)&gt;0,N(L2689)&gt;0),K2689/L2689,"")</f>
        <v/>
      </c>
      <c r="N2689" s="2" t="s">
        <v>1226</v>
      </c>
    </row>
    <row r="2690" customFormat="false" ht="15" hidden="false" customHeight="false" outlineLevel="0" collapsed="false">
      <c r="A2690" s="2" t="n">
        <v>2689</v>
      </c>
      <c r="B2690" s="2" t="s">
        <v>5643</v>
      </c>
      <c r="C2690" s="2" t="s">
        <v>5644</v>
      </c>
      <c r="D2690" s="2"/>
      <c r="E2690" s="2" t="s">
        <v>1345</v>
      </c>
      <c r="F2690" s="3" t="n">
        <v>3.6E-005</v>
      </c>
      <c r="G2690" s="3" t="n">
        <f aca="false">SUM($F$2:F2690)</f>
        <v>0.966408</v>
      </c>
      <c r="H2690" s="4"/>
      <c r="I2690" s="5"/>
      <c r="J2690" s="4"/>
      <c r="K2690" s="5"/>
      <c r="L2690" s="6"/>
      <c r="M2690" s="5" t="str">
        <f aca="false">IF(AND(N(K2690)&gt;0,N(L2690)&gt;0),K2690/L2690,"")</f>
        <v/>
      </c>
      <c r="N2690" s="2" t="s">
        <v>1226</v>
      </c>
    </row>
    <row r="2691" customFormat="false" ht="15" hidden="false" customHeight="false" outlineLevel="0" collapsed="false">
      <c r="A2691" s="2" t="n">
        <v>2690</v>
      </c>
      <c r="B2691" s="2" t="s">
        <v>5645</v>
      </c>
      <c r="C2691" s="2" t="s">
        <v>5646</v>
      </c>
      <c r="D2691" s="2"/>
      <c r="E2691" s="2" t="s">
        <v>52</v>
      </c>
      <c r="F2691" s="3" t="n">
        <v>3.6E-005</v>
      </c>
      <c r="G2691" s="3" t="n">
        <f aca="false">SUM($F$2:F2691)</f>
        <v>0.966444</v>
      </c>
      <c r="H2691" s="4"/>
      <c r="I2691" s="5"/>
      <c r="J2691" s="4"/>
      <c r="K2691" s="5"/>
      <c r="L2691" s="6"/>
      <c r="M2691" s="5" t="str">
        <f aca="false">IF(AND(N(K2691)&gt;0,N(L2691)&gt;0),K2691/L2691,"")</f>
        <v/>
      </c>
      <c r="N2691" s="2" t="s">
        <v>1226</v>
      </c>
    </row>
    <row r="2692" customFormat="false" ht="15" hidden="false" customHeight="false" outlineLevel="0" collapsed="false">
      <c r="A2692" s="2" t="n">
        <v>2691</v>
      </c>
      <c r="B2692" s="2" t="s">
        <v>5647</v>
      </c>
      <c r="C2692" s="2" t="s">
        <v>5648</v>
      </c>
      <c r="D2692" s="2"/>
      <c r="E2692" s="2" t="s">
        <v>2055</v>
      </c>
      <c r="F2692" s="3" t="n">
        <v>3.6E-005</v>
      </c>
      <c r="G2692" s="3" t="n">
        <f aca="false">SUM($F$2:F2692)</f>
        <v>0.96648</v>
      </c>
      <c r="H2692" s="4"/>
      <c r="I2692" s="5"/>
      <c r="J2692" s="4"/>
      <c r="K2692" s="5"/>
      <c r="L2692" s="6"/>
      <c r="M2692" s="5" t="str">
        <f aca="false">IF(AND(N(K2692)&gt;0,N(L2692)&gt;0),K2692/L2692,"")</f>
        <v/>
      </c>
      <c r="N2692" s="2" t="s">
        <v>1226</v>
      </c>
    </row>
    <row r="2693" customFormat="false" ht="15" hidden="false" customHeight="false" outlineLevel="0" collapsed="false">
      <c r="A2693" s="2" t="n">
        <v>2692</v>
      </c>
      <c r="B2693" s="2" t="s">
        <v>5649</v>
      </c>
      <c r="C2693" s="2" t="s">
        <v>5650</v>
      </c>
      <c r="D2693" s="2"/>
      <c r="E2693" s="2" t="s">
        <v>199</v>
      </c>
      <c r="F2693" s="3" t="n">
        <v>3.6E-005</v>
      </c>
      <c r="G2693" s="3" t="n">
        <f aca="false">SUM($F$2:F2693)</f>
        <v>0.966516</v>
      </c>
      <c r="H2693" s="4"/>
      <c r="I2693" s="5"/>
      <c r="J2693" s="4"/>
      <c r="K2693" s="5"/>
      <c r="L2693" s="6"/>
      <c r="M2693" s="5" t="str">
        <f aca="false">IF(AND(N(K2693)&gt;0,N(L2693)&gt;0),K2693/L2693,"")</f>
        <v/>
      </c>
      <c r="N2693" s="2" t="s">
        <v>1226</v>
      </c>
    </row>
    <row r="2694" customFormat="false" ht="15" hidden="false" customHeight="false" outlineLevel="0" collapsed="false">
      <c r="A2694" s="2" t="n">
        <v>2693</v>
      </c>
      <c r="B2694" s="2" t="s">
        <v>5651</v>
      </c>
      <c r="C2694" s="2" t="s">
        <v>5652</v>
      </c>
      <c r="D2694" s="2"/>
      <c r="E2694" s="2" t="s">
        <v>43</v>
      </c>
      <c r="F2694" s="3" t="n">
        <v>3.6E-005</v>
      </c>
      <c r="G2694" s="3" t="n">
        <f aca="false">SUM($F$2:F2694)</f>
        <v>0.966552</v>
      </c>
      <c r="H2694" s="4"/>
      <c r="I2694" s="5"/>
      <c r="J2694" s="4"/>
      <c r="K2694" s="5"/>
      <c r="L2694" s="6"/>
      <c r="M2694" s="5" t="str">
        <f aca="false">IF(AND(N(K2694)&gt;0,N(L2694)&gt;0),K2694/L2694,"")</f>
        <v/>
      </c>
      <c r="N2694" s="2" t="s">
        <v>1226</v>
      </c>
    </row>
    <row r="2695" customFormat="false" ht="15" hidden="false" customHeight="false" outlineLevel="0" collapsed="false">
      <c r="A2695" s="2" t="n">
        <v>2694</v>
      </c>
      <c r="B2695" s="2" t="s">
        <v>5653</v>
      </c>
      <c r="C2695" s="2" t="s">
        <v>5654</v>
      </c>
      <c r="D2695" s="2"/>
      <c r="E2695" s="2" t="s">
        <v>29</v>
      </c>
      <c r="F2695" s="3" t="n">
        <v>3.6E-005</v>
      </c>
      <c r="G2695" s="3" t="n">
        <f aca="false">SUM($F$2:F2695)</f>
        <v>0.966588</v>
      </c>
      <c r="H2695" s="4"/>
      <c r="I2695" s="5"/>
      <c r="J2695" s="4"/>
      <c r="K2695" s="5"/>
      <c r="L2695" s="6"/>
      <c r="M2695" s="5" t="str">
        <f aca="false">IF(AND(N(K2695)&gt;0,N(L2695)&gt;0),K2695/L2695,"")</f>
        <v/>
      </c>
      <c r="N2695" s="2" t="s">
        <v>1226</v>
      </c>
    </row>
    <row r="2696" customFormat="false" ht="15" hidden="false" customHeight="false" outlineLevel="0" collapsed="false">
      <c r="A2696" s="2" t="n">
        <v>2695</v>
      </c>
      <c r="B2696" s="2" t="s">
        <v>5655</v>
      </c>
      <c r="C2696" s="2" t="s">
        <v>5656</v>
      </c>
      <c r="D2696" s="2"/>
      <c r="E2696" s="2" t="s">
        <v>1050</v>
      </c>
      <c r="F2696" s="3" t="n">
        <v>3.6E-005</v>
      </c>
      <c r="G2696" s="3" t="n">
        <f aca="false">SUM($F$2:F2696)</f>
        <v>0.966624</v>
      </c>
      <c r="H2696" s="4"/>
      <c r="I2696" s="5"/>
      <c r="J2696" s="4"/>
      <c r="K2696" s="5"/>
      <c r="L2696" s="6"/>
      <c r="M2696" s="5" t="str">
        <f aca="false">IF(AND(N(K2696)&gt;0,N(L2696)&gt;0),K2696/L2696,"")</f>
        <v/>
      </c>
      <c r="N2696" s="2" t="s">
        <v>1226</v>
      </c>
    </row>
    <row r="2697" customFormat="false" ht="15" hidden="false" customHeight="false" outlineLevel="0" collapsed="false">
      <c r="A2697" s="2" t="n">
        <v>2696</v>
      </c>
      <c r="B2697" s="2" t="s">
        <v>5657</v>
      </c>
      <c r="C2697" s="2" t="s">
        <v>5658</v>
      </c>
      <c r="D2697" s="2"/>
      <c r="E2697" s="2" t="s">
        <v>43</v>
      </c>
      <c r="F2697" s="3" t="n">
        <v>3.6E-005</v>
      </c>
      <c r="G2697" s="3" t="n">
        <f aca="false">SUM($F$2:F2697)</f>
        <v>0.96666</v>
      </c>
      <c r="H2697" s="4"/>
      <c r="I2697" s="5"/>
      <c r="J2697" s="4"/>
      <c r="K2697" s="5"/>
      <c r="L2697" s="6"/>
      <c r="M2697" s="5" t="str">
        <f aca="false">IF(AND(N(K2697)&gt;0,N(L2697)&gt;0),K2697/L2697,"")</f>
        <v/>
      </c>
      <c r="N2697" s="2" t="s">
        <v>1226</v>
      </c>
    </row>
    <row r="2698" customFormat="false" ht="15" hidden="false" customHeight="false" outlineLevel="0" collapsed="false">
      <c r="A2698" s="2" t="n">
        <v>2697</v>
      </c>
      <c r="B2698" s="2" t="s">
        <v>301</v>
      </c>
      <c r="C2698" s="2" t="s">
        <v>3386</v>
      </c>
      <c r="D2698" s="2"/>
      <c r="E2698" s="2" t="s">
        <v>43</v>
      </c>
      <c r="F2698" s="3" t="n">
        <v>3.6E-005</v>
      </c>
      <c r="G2698" s="3" t="n">
        <f aca="false">SUM($F$2:F2698)</f>
        <v>0.966696</v>
      </c>
      <c r="H2698" s="4"/>
      <c r="I2698" s="5"/>
      <c r="J2698" s="4"/>
      <c r="K2698" s="5"/>
      <c r="L2698" s="6"/>
      <c r="M2698" s="5" t="str">
        <f aca="false">IF(AND(N(K2698)&gt;0,N(L2698)&gt;0),K2698/L2698,"")</f>
        <v/>
      </c>
      <c r="N2698" s="2" t="s">
        <v>34</v>
      </c>
    </row>
    <row r="2699" customFormat="false" ht="15" hidden="false" customHeight="false" outlineLevel="0" collapsed="false">
      <c r="A2699" s="2" t="n">
        <v>2698</v>
      </c>
      <c r="B2699" s="2" t="s">
        <v>5659</v>
      </c>
      <c r="C2699" s="2" t="s">
        <v>5660</v>
      </c>
      <c r="D2699" s="2"/>
      <c r="E2699" s="2" t="s">
        <v>25</v>
      </c>
      <c r="F2699" s="3" t="n">
        <v>3.6E-005</v>
      </c>
      <c r="G2699" s="3" t="n">
        <f aca="false">SUM($F$2:F2699)</f>
        <v>0.966732</v>
      </c>
      <c r="H2699" s="4"/>
      <c r="I2699" s="5"/>
      <c r="J2699" s="4"/>
      <c r="K2699" s="5"/>
      <c r="L2699" s="6"/>
      <c r="M2699" s="5" t="str">
        <f aca="false">IF(AND(N(K2699)&gt;0,N(L2699)&gt;0),K2699/L2699,"")</f>
        <v/>
      </c>
      <c r="N2699" s="2" t="s">
        <v>1226</v>
      </c>
    </row>
    <row r="2700" customFormat="false" ht="15" hidden="false" customHeight="false" outlineLevel="0" collapsed="false">
      <c r="A2700" s="2" t="n">
        <v>2699</v>
      </c>
      <c r="B2700" s="2" t="s">
        <v>5661</v>
      </c>
      <c r="C2700" s="2" t="s">
        <v>5662</v>
      </c>
      <c r="D2700" s="2"/>
      <c r="E2700" s="2" t="s">
        <v>52</v>
      </c>
      <c r="F2700" s="3" t="n">
        <v>3.6E-005</v>
      </c>
      <c r="G2700" s="3" t="n">
        <f aca="false">SUM($F$2:F2700)</f>
        <v>0.966768</v>
      </c>
      <c r="H2700" s="4"/>
      <c r="I2700" s="5"/>
      <c r="J2700" s="4"/>
      <c r="K2700" s="5"/>
      <c r="L2700" s="6"/>
      <c r="M2700" s="5" t="str">
        <f aca="false">IF(AND(N(K2700)&gt;0,N(L2700)&gt;0),K2700/L2700,"")</f>
        <v/>
      </c>
      <c r="N2700" s="2" t="s">
        <v>1226</v>
      </c>
    </row>
    <row r="2701" customFormat="false" ht="15" hidden="false" customHeight="false" outlineLevel="0" collapsed="false">
      <c r="A2701" s="2" t="n">
        <v>2700</v>
      </c>
      <c r="B2701" s="2" t="s">
        <v>5663</v>
      </c>
      <c r="C2701" s="2" t="s">
        <v>5664</v>
      </c>
      <c r="D2701" s="2"/>
      <c r="E2701" s="2" t="s">
        <v>1345</v>
      </c>
      <c r="F2701" s="3" t="n">
        <v>3.6E-005</v>
      </c>
      <c r="G2701" s="3" t="n">
        <f aca="false">SUM($F$2:F2701)</f>
        <v>0.966804</v>
      </c>
      <c r="H2701" s="4"/>
      <c r="I2701" s="5"/>
      <c r="J2701" s="4"/>
      <c r="K2701" s="5"/>
      <c r="L2701" s="6"/>
      <c r="M2701" s="5" t="str">
        <f aca="false">IF(AND(N(K2701)&gt;0,N(L2701)&gt;0),K2701/L2701,"")</f>
        <v/>
      </c>
      <c r="N2701" s="2" t="s">
        <v>1226</v>
      </c>
    </row>
    <row r="2702" customFormat="false" ht="15" hidden="false" customHeight="false" outlineLevel="0" collapsed="false">
      <c r="A2702" s="2" t="n">
        <v>2701</v>
      </c>
      <c r="B2702" s="2" t="s">
        <v>5665</v>
      </c>
      <c r="C2702" s="2" t="s">
        <v>5666</v>
      </c>
      <c r="D2702" s="2"/>
      <c r="E2702" s="2" t="s">
        <v>1345</v>
      </c>
      <c r="F2702" s="3" t="n">
        <v>3.6E-005</v>
      </c>
      <c r="G2702" s="3" t="n">
        <f aca="false">SUM($F$2:F2702)</f>
        <v>0.96684</v>
      </c>
      <c r="H2702" s="4"/>
      <c r="I2702" s="5"/>
      <c r="J2702" s="4"/>
      <c r="K2702" s="5"/>
      <c r="L2702" s="6"/>
      <c r="M2702" s="5" t="str">
        <f aca="false">IF(AND(N(K2702)&gt;0,N(L2702)&gt;0),K2702/L2702,"")</f>
        <v/>
      </c>
      <c r="N2702" s="2" t="s">
        <v>1226</v>
      </c>
    </row>
    <row r="2703" customFormat="false" ht="15" hidden="false" customHeight="false" outlineLevel="0" collapsed="false">
      <c r="A2703" s="2" t="n">
        <v>2702</v>
      </c>
      <c r="B2703" s="2" t="s">
        <v>5667</v>
      </c>
      <c r="C2703" s="2" t="s">
        <v>5668</v>
      </c>
      <c r="D2703" s="2"/>
      <c r="E2703" s="2" t="s">
        <v>289</v>
      </c>
      <c r="F2703" s="3" t="n">
        <v>3.6E-005</v>
      </c>
      <c r="G2703" s="3" t="n">
        <f aca="false">SUM($F$2:F2703)</f>
        <v>0.966876</v>
      </c>
      <c r="H2703" s="4"/>
      <c r="I2703" s="5"/>
      <c r="J2703" s="4"/>
      <c r="K2703" s="5"/>
      <c r="L2703" s="6"/>
      <c r="M2703" s="5" t="str">
        <f aca="false">IF(AND(N(K2703)&gt;0,N(L2703)&gt;0),K2703/L2703,"")</f>
        <v/>
      </c>
      <c r="N2703" s="2" t="s">
        <v>1226</v>
      </c>
    </row>
    <row r="2704" customFormat="false" ht="15" hidden="false" customHeight="false" outlineLevel="0" collapsed="false">
      <c r="A2704" s="2" t="n">
        <v>2703</v>
      </c>
      <c r="B2704" s="2" t="s">
        <v>5669</v>
      </c>
      <c r="C2704" s="2" t="s">
        <v>5670</v>
      </c>
      <c r="D2704" s="2"/>
      <c r="E2704" s="2" t="s">
        <v>1345</v>
      </c>
      <c r="F2704" s="3" t="n">
        <v>3.6E-005</v>
      </c>
      <c r="G2704" s="3" t="n">
        <f aca="false">SUM($F$2:F2704)</f>
        <v>0.966912</v>
      </c>
      <c r="H2704" s="4"/>
      <c r="I2704" s="5"/>
      <c r="J2704" s="4"/>
      <c r="K2704" s="5"/>
      <c r="L2704" s="6"/>
      <c r="M2704" s="5" t="str">
        <f aca="false">IF(AND(N(K2704)&gt;0,N(L2704)&gt;0),K2704/L2704,"")</f>
        <v/>
      </c>
      <c r="N2704" s="2" t="s">
        <v>1226</v>
      </c>
    </row>
    <row r="2705" customFormat="false" ht="15" hidden="false" customHeight="false" outlineLevel="0" collapsed="false">
      <c r="A2705" s="2" t="n">
        <v>2704</v>
      </c>
      <c r="B2705" s="2" t="s">
        <v>5671</v>
      </c>
      <c r="C2705" s="2" t="s">
        <v>5672</v>
      </c>
      <c r="D2705" s="2"/>
      <c r="E2705" s="2" t="s">
        <v>289</v>
      </c>
      <c r="F2705" s="3" t="n">
        <v>3.5E-005</v>
      </c>
      <c r="G2705" s="3" t="n">
        <f aca="false">SUM($F$2:F2705)</f>
        <v>0.966947</v>
      </c>
      <c r="H2705" s="4"/>
      <c r="I2705" s="5"/>
      <c r="J2705" s="4"/>
      <c r="K2705" s="5"/>
      <c r="L2705" s="6"/>
      <c r="M2705" s="5" t="str">
        <f aca="false">IF(AND(N(K2705)&gt;0,N(L2705)&gt;0),K2705/L2705,"")</f>
        <v/>
      </c>
      <c r="N2705" s="2" t="s">
        <v>1226</v>
      </c>
    </row>
    <row r="2706" customFormat="false" ht="15" hidden="false" customHeight="false" outlineLevel="0" collapsed="false">
      <c r="A2706" s="2" t="n">
        <v>2705</v>
      </c>
      <c r="B2706" s="2" t="s">
        <v>5673</v>
      </c>
      <c r="C2706" s="2" t="s">
        <v>5674</v>
      </c>
      <c r="D2706" s="2"/>
      <c r="E2706" s="2" t="s">
        <v>17</v>
      </c>
      <c r="F2706" s="3" t="n">
        <v>3.5E-005</v>
      </c>
      <c r="G2706" s="3" t="n">
        <f aca="false">SUM($F$2:F2706)</f>
        <v>0.966982</v>
      </c>
      <c r="H2706" s="4"/>
      <c r="I2706" s="5"/>
      <c r="J2706" s="4"/>
      <c r="K2706" s="5"/>
      <c r="L2706" s="6"/>
      <c r="M2706" s="5" t="str">
        <f aca="false">IF(AND(N(K2706)&gt;0,N(L2706)&gt;0),K2706/L2706,"")</f>
        <v/>
      </c>
      <c r="N2706" s="2" t="s">
        <v>1226</v>
      </c>
    </row>
    <row r="2707" customFormat="false" ht="15" hidden="false" customHeight="false" outlineLevel="0" collapsed="false">
      <c r="A2707" s="2" t="n">
        <v>2706</v>
      </c>
      <c r="B2707" s="2" t="s">
        <v>5675</v>
      </c>
      <c r="C2707" s="2" t="s">
        <v>5676</v>
      </c>
      <c r="D2707" s="2"/>
      <c r="E2707" s="2" t="s">
        <v>1345</v>
      </c>
      <c r="F2707" s="3" t="n">
        <v>3.5E-005</v>
      </c>
      <c r="G2707" s="3" t="n">
        <f aca="false">SUM($F$2:F2707)</f>
        <v>0.967017</v>
      </c>
      <c r="H2707" s="4"/>
      <c r="I2707" s="5"/>
      <c r="J2707" s="4"/>
      <c r="K2707" s="5"/>
      <c r="L2707" s="6"/>
      <c r="M2707" s="5" t="str">
        <f aca="false">IF(AND(N(K2707)&gt;0,N(L2707)&gt;0),K2707/L2707,"")</f>
        <v/>
      </c>
      <c r="N2707" s="2" t="s">
        <v>1226</v>
      </c>
    </row>
    <row r="2708" customFormat="false" ht="15" hidden="false" customHeight="false" outlineLevel="0" collapsed="false">
      <c r="A2708" s="2" t="n">
        <v>2707</v>
      </c>
      <c r="B2708" s="2" t="s">
        <v>5677</v>
      </c>
      <c r="C2708" s="2" t="s">
        <v>5678</v>
      </c>
      <c r="D2708" s="2"/>
      <c r="E2708" s="2" t="s">
        <v>17</v>
      </c>
      <c r="F2708" s="3" t="n">
        <v>3.5E-005</v>
      </c>
      <c r="G2708" s="3" t="n">
        <f aca="false">SUM($F$2:F2708)</f>
        <v>0.967052</v>
      </c>
      <c r="H2708" s="4"/>
      <c r="I2708" s="5"/>
      <c r="J2708" s="4"/>
      <c r="K2708" s="5"/>
      <c r="L2708" s="6"/>
      <c r="M2708" s="5" t="str">
        <f aca="false">IF(AND(N(K2708)&gt;0,N(L2708)&gt;0),K2708/L2708,"")</f>
        <v/>
      </c>
      <c r="N2708" s="2" t="s">
        <v>1226</v>
      </c>
    </row>
    <row r="2709" customFormat="false" ht="15" hidden="false" customHeight="false" outlineLevel="0" collapsed="false">
      <c r="A2709" s="2" t="n">
        <v>2708</v>
      </c>
      <c r="B2709" s="2" t="s">
        <v>5679</v>
      </c>
      <c r="C2709" s="2" t="s">
        <v>5680</v>
      </c>
      <c r="D2709" s="2"/>
      <c r="E2709" s="2" t="s">
        <v>1345</v>
      </c>
      <c r="F2709" s="3" t="n">
        <v>3.5E-005</v>
      </c>
      <c r="G2709" s="3" t="n">
        <f aca="false">SUM($F$2:F2709)</f>
        <v>0.967087</v>
      </c>
      <c r="H2709" s="4"/>
      <c r="I2709" s="5"/>
      <c r="J2709" s="4"/>
      <c r="K2709" s="5"/>
      <c r="L2709" s="6"/>
      <c r="M2709" s="5" t="str">
        <f aca="false">IF(AND(N(K2709)&gt;0,N(L2709)&gt;0),K2709/L2709,"")</f>
        <v/>
      </c>
      <c r="N2709" s="2" t="s">
        <v>1226</v>
      </c>
    </row>
    <row r="2710" customFormat="false" ht="15" hidden="false" customHeight="false" outlineLevel="0" collapsed="false">
      <c r="A2710" s="2" t="n">
        <v>2709</v>
      </c>
      <c r="B2710" s="2" t="s">
        <v>5681</v>
      </c>
      <c r="C2710" s="2" t="s">
        <v>5682</v>
      </c>
      <c r="D2710" s="2"/>
      <c r="E2710" s="2" t="s">
        <v>539</v>
      </c>
      <c r="F2710" s="3" t="n">
        <v>3.5E-005</v>
      </c>
      <c r="G2710" s="3" t="n">
        <f aca="false">SUM($F$2:F2710)</f>
        <v>0.967122</v>
      </c>
      <c r="H2710" s="4"/>
      <c r="I2710" s="5"/>
      <c r="J2710" s="4"/>
      <c r="K2710" s="5"/>
      <c r="L2710" s="6"/>
      <c r="M2710" s="5" t="str">
        <f aca="false">IF(AND(N(K2710)&gt;0,N(L2710)&gt;0),K2710/L2710,"")</f>
        <v/>
      </c>
      <c r="N2710" s="2" t="s">
        <v>1226</v>
      </c>
    </row>
    <row r="2711" customFormat="false" ht="15" hidden="false" customHeight="false" outlineLevel="0" collapsed="false">
      <c r="A2711" s="2" t="n">
        <v>2710</v>
      </c>
      <c r="B2711" s="2" t="s">
        <v>5683</v>
      </c>
      <c r="C2711" s="2" t="s">
        <v>5684</v>
      </c>
      <c r="D2711" s="2"/>
      <c r="E2711" s="2" t="s">
        <v>38</v>
      </c>
      <c r="F2711" s="3" t="n">
        <v>3.5E-005</v>
      </c>
      <c r="G2711" s="3" t="n">
        <f aca="false">SUM($F$2:F2711)</f>
        <v>0.967157</v>
      </c>
      <c r="H2711" s="4"/>
      <c r="I2711" s="5"/>
      <c r="J2711" s="4"/>
      <c r="K2711" s="5"/>
      <c r="L2711" s="6"/>
      <c r="M2711" s="5" t="str">
        <f aca="false">IF(AND(N(K2711)&gt;0,N(L2711)&gt;0),K2711/L2711,"")</f>
        <v/>
      </c>
      <c r="N2711" s="2" t="s">
        <v>1226</v>
      </c>
    </row>
    <row r="2712" customFormat="false" ht="15" hidden="false" customHeight="false" outlineLevel="0" collapsed="false">
      <c r="A2712" s="2" t="n">
        <v>2711</v>
      </c>
      <c r="B2712" s="2" t="s">
        <v>5685</v>
      </c>
      <c r="C2712" s="2" t="s">
        <v>5686</v>
      </c>
      <c r="D2712" s="2"/>
      <c r="E2712" s="2" t="s">
        <v>289</v>
      </c>
      <c r="F2712" s="3" t="n">
        <v>3.5E-005</v>
      </c>
      <c r="G2712" s="3" t="n">
        <f aca="false">SUM($F$2:F2712)</f>
        <v>0.967192</v>
      </c>
      <c r="H2712" s="4"/>
      <c r="I2712" s="5"/>
      <c r="J2712" s="4"/>
      <c r="K2712" s="5"/>
      <c r="L2712" s="6"/>
      <c r="M2712" s="5" t="str">
        <f aca="false">IF(AND(N(K2712)&gt;0,N(L2712)&gt;0),K2712/L2712,"")</f>
        <v/>
      </c>
      <c r="N2712" s="2" t="s">
        <v>1226</v>
      </c>
    </row>
    <row r="2713" customFormat="false" ht="15" hidden="false" customHeight="false" outlineLevel="0" collapsed="false">
      <c r="A2713" s="2" t="n">
        <v>2712</v>
      </c>
      <c r="B2713" s="2" t="s">
        <v>5687</v>
      </c>
      <c r="C2713" s="2" t="s">
        <v>5688</v>
      </c>
      <c r="D2713" s="2"/>
      <c r="E2713" s="2" t="s">
        <v>860</v>
      </c>
      <c r="F2713" s="3" t="n">
        <v>3.5E-005</v>
      </c>
      <c r="G2713" s="3" t="n">
        <f aca="false">SUM($F$2:F2713)</f>
        <v>0.967227</v>
      </c>
      <c r="H2713" s="4"/>
      <c r="I2713" s="5"/>
      <c r="J2713" s="4"/>
      <c r="K2713" s="5"/>
      <c r="L2713" s="6"/>
      <c r="M2713" s="5" t="str">
        <f aca="false">IF(AND(N(K2713)&gt;0,N(L2713)&gt;0),K2713/L2713,"")</f>
        <v/>
      </c>
      <c r="N2713" s="2" t="s">
        <v>1226</v>
      </c>
    </row>
    <row r="2714" customFormat="false" ht="15" hidden="false" customHeight="false" outlineLevel="0" collapsed="false">
      <c r="A2714" s="2" t="n">
        <v>2713</v>
      </c>
      <c r="B2714" s="2" t="s">
        <v>5689</v>
      </c>
      <c r="C2714" s="2" t="s">
        <v>5690</v>
      </c>
      <c r="D2714" s="2"/>
      <c r="E2714" s="2" t="s">
        <v>1284</v>
      </c>
      <c r="F2714" s="3" t="n">
        <v>3.5E-005</v>
      </c>
      <c r="G2714" s="3" t="n">
        <f aca="false">SUM($F$2:F2714)</f>
        <v>0.967262</v>
      </c>
      <c r="H2714" s="4"/>
      <c r="I2714" s="5"/>
      <c r="J2714" s="4"/>
      <c r="K2714" s="5"/>
      <c r="L2714" s="6"/>
      <c r="M2714" s="5" t="str">
        <f aca="false">IF(AND(N(K2714)&gt;0,N(L2714)&gt;0),K2714/L2714,"")</f>
        <v/>
      </c>
      <c r="N2714" s="2" t="s">
        <v>1226</v>
      </c>
    </row>
    <row r="2715" customFormat="false" ht="15" hidden="false" customHeight="false" outlineLevel="0" collapsed="false">
      <c r="A2715" s="2" t="n">
        <v>2714</v>
      </c>
      <c r="B2715" s="2" t="s">
        <v>5691</v>
      </c>
      <c r="C2715" s="2" t="s">
        <v>5692</v>
      </c>
      <c r="D2715" s="2"/>
      <c r="E2715" s="2" t="s">
        <v>25</v>
      </c>
      <c r="F2715" s="3" t="n">
        <v>3.5E-005</v>
      </c>
      <c r="G2715" s="3" t="n">
        <f aca="false">SUM($F$2:F2715)</f>
        <v>0.967297</v>
      </c>
      <c r="H2715" s="4"/>
      <c r="I2715" s="5"/>
      <c r="J2715" s="4"/>
      <c r="K2715" s="5"/>
      <c r="L2715" s="6"/>
      <c r="M2715" s="5" t="str">
        <f aca="false">IF(AND(N(K2715)&gt;0,N(L2715)&gt;0),K2715/L2715,"")</f>
        <v/>
      </c>
      <c r="N2715" s="2" t="s">
        <v>1226</v>
      </c>
    </row>
    <row r="2716" customFormat="false" ht="15" hidden="false" customHeight="false" outlineLevel="0" collapsed="false">
      <c r="A2716" s="2" t="n">
        <v>2715</v>
      </c>
      <c r="B2716" s="2" t="s">
        <v>5693</v>
      </c>
      <c r="C2716" s="2" t="s">
        <v>5694</v>
      </c>
      <c r="D2716" s="2"/>
      <c r="E2716" s="2" t="s">
        <v>43</v>
      </c>
      <c r="F2716" s="3" t="n">
        <v>3.5E-005</v>
      </c>
      <c r="G2716" s="3" t="n">
        <f aca="false">SUM($F$2:F2716)</f>
        <v>0.967332</v>
      </c>
      <c r="H2716" s="4"/>
      <c r="I2716" s="5"/>
      <c r="J2716" s="4"/>
      <c r="K2716" s="5"/>
      <c r="L2716" s="6"/>
      <c r="M2716" s="5" t="str">
        <f aca="false">IF(AND(N(K2716)&gt;0,N(L2716)&gt;0),K2716/L2716,"")</f>
        <v/>
      </c>
      <c r="N2716" s="2" t="s">
        <v>1226</v>
      </c>
    </row>
    <row r="2717" customFormat="false" ht="15" hidden="false" customHeight="false" outlineLevel="0" collapsed="false">
      <c r="A2717" s="2" t="n">
        <v>2716</v>
      </c>
      <c r="B2717" s="2" t="s">
        <v>2634</v>
      </c>
      <c r="C2717" s="2" t="s">
        <v>5695</v>
      </c>
      <c r="D2717" s="2"/>
      <c r="E2717" s="2" t="s">
        <v>29</v>
      </c>
      <c r="F2717" s="3" t="n">
        <v>3.5E-005</v>
      </c>
      <c r="G2717" s="3" t="n">
        <f aca="false">SUM($F$2:F2717)</f>
        <v>0.967367</v>
      </c>
      <c r="H2717" s="4"/>
      <c r="I2717" s="5"/>
      <c r="J2717" s="4"/>
      <c r="K2717" s="5"/>
      <c r="L2717" s="6"/>
      <c r="M2717" s="5" t="str">
        <f aca="false">IF(AND(N(K2717)&gt;0,N(L2717)&gt;0),K2717/L2717,"")</f>
        <v/>
      </c>
      <c r="N2717" s="2" t="s">
        <v>1226</v>
      </c>
    </row>
    <row r="2718" customFormat="false" ht="15" hidden="false" customHeight="false" outlineLevel="0" collapsed="false">
      <c r="A2718" s="2" t="n">
        <v>2717</v>
      </c>
      <c r="B2718" s="2" t="s">
        <v>5696</v>
      </c>
      <c r="C2718" s="2" t="s">
        <v>5697</v>
      </c>
      <c r="D2718" s="2"/>
      <c r="E2718" s="2" t="s">
        <v>539</v>
      </c>
      <c r="F2718" s="3" t="n">
        <v>3.5E-005</v>
      </c>
      <c r="G2718" s="3" t="n">
        <f aca="false">SUM($F$2:F2718)</f>
        <v>0.967402</v>
      </c>
      <c r="H2718" s="4"/>
      <c r="I2718" s="5"/>
      <c r="J2718" s="4"/>
      <c r="K2718" s="5"/>
      <c r="L2718" s="6"/>
      <c r="M2718" s="5" t="str">
        <f aca="false">IF(AND(N(K2718)&gt;0,N(L2718)&gt;0),K2718/L2718,"")</f>
        <v/>
      </c>
      <c r="N2718" s="2" t="s">
        <v>1226</v>
      </c>
    </row>
    <row r="2719" customFormat="false" ht="15" hidden="false" customHeight="false" outlineLevel="0" collapsed="false">
      <c r="A2719" s="2" t="n">
        <v>2718</v>
      </c>
      <c r="B2719" s="2" t="s">
        <v>5698</v>
      </c>
      <c r="C2719" s="2" t="s">
        <v>5699</v>
      </c>
      <c r="D2719" s="2"/>
      <c r="E2719" s="2" t="s">
        <v>52</v>
      </c>
      <c r="F2719" s="3" t="n">
        <v>3.5E-005</v>
      </c>
      <c r="G2719" s="3" t="n">
        <f aca="false">SUM($F$2:F2719)</f>
        <v>0.967437</v>
      </c>
      <c r="H2719" s="4"/>
      <c r="I2719" s="5"/>
      <c r="J2719" s="4"/>
      <c r="K2719" s="5"/>
      <c r="L2719" s="6"/>
      <c r="M2719" s="5" t="str">
        <f aca="false">IF(AND(N(K2719)&gt;0,N(L2719)&gt;0),K2719/L2719,"")</f>
        <v/>
      </c>
      <c r="N2719" s="2" t="s">
        <v>1226</v>
      </c>
    </row>
    <row r="2720" customFormat="false" ht="15" hidden="false" customHeight="false" outlineLevel="0" collapsed="false">
      <c r="A2720" s="2" t="n">
        <v>2719</v>
      </c>
      <c r="B2720" s="2" t="s">
        <v>5700</v>
      </c>
      <c r="C2720" s="2" t="s">
        <v>5701</v>
      </c>
      <c r="D2720" s="2"/>
      <c r="E2720" s="2" t="s">
        <v>33</v>
      </c>
      <c r="F2720" s="3" t="n">
        <v>3.5E-005</v>
      </c>
      <c r="G2720" s="3" t="n">
        <f aca="false">SUM($F$2:F2720)</f>
        <v>0.967472</v>
      </c>
      <c r="H2720" s="4"/>
      <c r="I2720" s="5"/>
      <c r="J2720" s="4"/>
      <c r="K2720" s="5"/>
      <c r="L2720" s="6"/>
      <c r="M2720" s="5" t="str">
        <f aca="false">IF(AND(N(K2720)&gt;0,N(L2720)&gt;0),K2720/L2720,"")</f>
        <v/>
      </c>
      <c r="N2720" s="2" t="s">
        <v>1226</v>
      </c>
    </row>
    <row r="2721" customFormat="false" ht="15" hidden="false" customHeight="false" outlineLevel="0" collapsed="false">
      <c r="A2721" s="2" t="n">
        <v>2720</v>
      </c>
      <c r="B2721" s="2" t="s">
        <v>5702</v>
      </c>
      <c r="C2721" s="2" t="s">
        <v>5703</v>
      </c>
      <c r="D2721" s="2"/>
      <c r="E2721" s="2" t="s">
        <v>614</v>
      </c>
      <c r="F2721" s="3" t="n">
        <v>3.5E-005</v>
      </c>
      <c r="G2721" s="3" t="n">
        <f aca="false">SUM($F$2:F2721)</f>
        <v>0.967507</v>
      </c>
      <c r="H2721" s="4"/>
      <c r="I2721" s="5"/>
      <c r="J2721" s="4"/>
      <c r="K2721" s="5"/>
      <c r="L2721" s="6"/>
      <c r="M2721" s="5" t="str">
        <f aca="false">IF(AND(N(K2721)&gt;0,N(L2721)&gt;0),K2721/L2721,"")</f>
        <v/>
      </c>
      <c r="N2721" s="2" t="s">
        <v>1226</v>
      </c>
    </row>
    <row r="2722" customFormat="false" ht="15" hidden="false" customHeight="false" outlineLevel="0" collapsed="false">
      <c r="A2722" s="2" t="n">
        <v>2721</v>
      </c>
      <c r="B2722" s="2" t="s">
        <v>5704</v>
      </c>
      <c r="C2722" s="2" t="s">
        <v>5705</v>
      </c>
      <c r="D2722" s="2"/>
      <c r="E2722" s="2" t="s">
        <v>289</v>
      </c>
      <c r="F2722" s="3" t="n">
        <v>3.5E-005</v>
      </c>
      <c r="G2722" s="3" t="n">
        <f aca="false">SUM($F$2:F2722)</f>
        <v>0.967542</v>
      </c>
      <c r="H2722" s="4"/>
      <c r="I2722" s="5"/>
      <c r="J2722" s="4"/>
      <c r="K2722" s="5"/>
      <c r="L2722" s="6"/>
      <c r="M2722" s="5" t="str">
        <f aca="false">IF(AND(N(K2722)&gt;0,N(L2722)&gt;0),K2722/L2722,"")</f>
        <v/>
      </c>
      <c r="N2722" s="2" t="s">
        <v>1226</v>
      </c>
    </row>
    <row r="2723" customFormat="false" ht="15" hidden="false" customHeight="false" outlineLevel="0" collapsed="false">
      <c r="A2723" s="2" t="n">
        <v>2722</v>
      </c>
      <c r="B2723" s="2" t="s">
        <v>5706</v>
      </c>
      <c r="C2723" s="2" t="s">
        <v>5707</v>
      </c>
      <c r="D2723" s="2"/>
      <c r="E2723" s="2" t="s">
        <v>296</v>
      </c>
      <c r="F2723" s="3" t="n">
        <v>3.5E-005</v>
      </c>
      <c r="G2723" s="3" t="n">
        <f aca="false">SUM($F$2:F2723)</f>
        <v>0.967577</v>
      </c>
      <c r="H2723" s="4"/>
      <c r="I2723" s="5"/>
      <c r="J2723" s="4"/>
      <c r="K2723" s="5"/>
      <c r="L2723" s="6"/>
      <c r="M2723" s="5" t="str">
        <f aca="false">IF(AND(N(K2723)&gt;0,N(L2723)&gt;0),K2723/L2723,"")</f>
        <v/>
      </c>
      <c r="N2723" s="2" t="s">
        <v>1226</v>
      </c>
    </row>
    <row r="2724" customFormat="false" ht="15" hidden="false" customHeight="false" outlineLevel="0" collapsed="false">
      <c r="A2724" s="2" t="n">
        <v>2723</v>
      </c>
      <c r="B2724" s="2" t="s">
        <v>5708</v>
      </c>
      <c r="C2724" s="2" t="s">
        <v>5709</v>
      </c>
      <c r="D2724" s="2"/>
      <c r="E2724" s="2" t="s">
        <v>25</v>
      </c>
      <c r="F2724" s="3" t="n">
        <v>3.5E-005</v>
      </c>
      <c r="G2724" s="3" t="n">
        <f aca="false">SUM($F$2:F2724)</f>
        <v>0.967612</v>
      </c>
      <c r="H2724" s="4"/>
      <c r="I2724" s="5"/>
      <c r="J2724" s="4"/>
      <c r="K2724" s="5"/>
      <c r="L2724" s="6"/>
      <c r="M2724" s="5" t="str">
        <f aca="false">IF(AND(N(K2724)&gt;0,N(L2724)&gt;0),K2724/L2724,"")</f>
        <v/>
      </c>
      <c r="N2724" s="2" t="s">
        <v>1226</v>
      </c>
    </row>
    <row r="2725" customFormat="false" ht="15" hidden="false" customHeight="false" outlineLevel="0" collapsed="false">
      <c r="A2725" s="2" t="n">
        <v>2724</v>
      </c>
      <c r="B2725" s="2" t="s">
        <v>5710</v>
      </c>
      <c r="C2725" s="2" t="s">
        <v>5711</v>
      </c>
      <c r="D2725" s="2"/>
      <c r="E2725" s="2" t="s">
        <v>539</v>
      </c>
      <c r="F2725" s="3" t="n">
        <v>3.5E-005</v>
      </c>
      <c r="G2725" s="3" t="n">
        <f aca="false">SUM($F$2:F2725)</f>
        <v>0.967647</v>
      </c>
      <c r="H2725" s="4"/>
      <c r="I2725" s="5"/>
      <c r="J2725" s="4"/>
      <c r="K2725" s="5"/>
      <c r="L2725" s="6"/>
      <c r="M2725" s="5" t="str">
        <f aca="false">IF(AND(N(K2725)&gt;0,N(L2725)&gt;0),K2725/L2725,"")</f>
        <v/>
      </c>
      <c r="N2725" s="2" t="s">
        <v>1226</v>
      </c>
    </row>
    <row r="2726" customFormat="false" ht="15" hidden="false" customHeight="false" outlineLevel="0" collapsed="false">
      <c r="A2726" s="2" t="n">
        <v>2725</v>
      </c>
      <c r="B2726" s="2" t="s">
        <v>5712</v>
      </c>
      <c r="C2726" s="2" t="s">
        <v>5713</v>
      </c>
      <c r="D2726" s="2"/>
      <c r="E2726" s="2" t="s">
        <v>25</v>
      </c>
      <c r="F2726" s="3" t="n">
        <v>3.5E-005</v>
      </c>
      <c r="G2726" s="3" t="n">
        <f aca="false">SUM($F$2:F2726)</f>
        <v>0.967682</v>
      </c>
      <c r="H2726" s="4"/>
      <c r="I2726" s="5"/>
      <c r="J2726" s="4"/>
      <c r="K2726" s="5"/>
      <c r="L2726" s="6"/>
      <c r="M2726" s="5" t="str">
        <f aca="false">IF(AND(N(K2726)&gt;0,N(L2726)&gt;0),K2726/L2726,"")</f>
        <v/>
      </c>
      <c r="N2726" s="2" t="s">
        <v>1226</v>
      </c>
    </row>
    <row r="2727" customFormat="false" ht="15" hidden="false" customHeight="false" outlineLevel="0" collapsed="false">
      <c r="A2727" s="2" t="n">
        <v>2726</v>
      </c>
      <c r="B2727" s="2" t="s">
        <v>5714</v>
      </c>
      <c r="C2727" s="2" t="s">
        <v>5715</v>
      </c>
      <c r="D2727" s="2"/>
      <c r="E2727" s="2" t="s">
        <v>289</v>
      </c>
      <c r="F2727" s="3" t="n">
        <v>3.5E-005</v>
      </c>
      <c r="G2727" s="3" t="n">
        <f aca="false">SUM($F$2:F2727)</f>
        <v>0.967717</v>
      </c>
      <c r="H2727" s="4"/>
      <c r="I2727" s="5"/>
      <c r="J2727" s="4"/>
      <c r="K2727" s="5"/>
      <c r="L2727" s="6"/>
      <c r="M2727" s="5" t="str">
        <f aca="false">IF(AND(N(K2727)&gt;0,N(L2727)&gt;0),K2727/L2727,"")</f>
        <v/>
      </c>
      <c r="N2727" s="2" t="s">
        <v>1226</v>
      </c>
    </row>
    <row r="2728" customFormat="false" ht="15" hidden="false" customHeight="false" outlineLevel="0" collapsed="false">
      <c r="A2728" s="2" t="n">
        <v>2727</v>
      </c>
      <c r="B2728" s="2" t="s">
        <v>5716</v>
      </c>
      <c r="C2728" s="2" t="s">
        <v>5717</v>
      </c>
      <c r="D2728" s="2"/>
      <c r="E2728" s="2" t="s">
        <v>1050</v>
      </c>
      <c r="F2728" s="3" t="n">
        <v>3.5E-005</v>
      </c>
      <c r="G2728" s="3" t="n">
        <f aca="false">SUM($F$2:F2728)</f>
        <v>0.967752</v>
      </c>
      <c r="H2728" s="4"/>
      <c r="I2728" s="5"/>
      <c r="J2728" s="4"/>
      <c r="K2728" s="5"/>
      <c r="L2728" s="6"/>
      <c r="M2728" s="5" t="str">
        <f aca="false">IF(AND(N(K2728)&gt;0,N(L2728)&gt;0),K2728/L2728,"")</f>
        <v/>
      </c>
      <c r="N2728" s="2" t="s">
        <v>1226</v>
      </c>
    </row>
    <row r="2729" customFormat="false" ht="15" hidden="false" customHeight="false" outlineLevel="0" collapsed="false">
      <c r="A2729" s="2" t="n">
        <v>2728</v>
      </c>
      <c r="B2729" s="2" t="s">
        <v>5718</v>
      </c>
      <c r="C2729" s="2" t="s">
        <v>5719</v>
      </c>
      <c r="D2729" s="2"/>
      <c r="E2729" s="2" t="s">
        <v>33</v>
      </c>
      <c r="F2729" s="3" t="n">
        <v>3.5E-005</v>
      </c>
      <c r="G2729" s="3" t="n">
        <f aca="false">SUM($F$2:F2729)</f>
        <v>0.967787</v>
      </c>
      <c r="H2729" s="4"/>
      <c r="I2729" s="5"/>
      <c r="J2729" s="4"/>
      <c r="K2729" s="5"/>
      <c r="L2729" s="6"/>
      <c r="M2729" s="5" t="str">
        <f aca="false">IF(AND(N(K2729)&gt;0,N(L2729)&gt;0),K2729/L2729,"")</f>
        <v/>
      </c>
      <c r="N2729" s="2" t="s">
        <v>1226</v>
      </c>
    </row>
    <row r="2730" customFormat="false" ht="15" hidden="false" customHeight="false" outlineLevel="0" collapsed="false">
      <c r="A2730" s="2" t="n">
        <v>2729</v>
      </c>
      <c r="B2730" s="2" t="s">
        <v>5720</v>
      </c>
      <c r="C2730" s="2" t="s">
        <v>5721</v>
      </c>
      <c r="D2730" s="2"/>
      <c r="E2730" s="2" t="s">
        <v>17</v>
      </c>
      <c r="F2730" s="3" t="n">
        <v>3.5E-005</v>
      </c>
      <c r="G2730" s="3" t="n">
        <f aca="false">SUM($F$2:F2730)</f>
        <v>0.967822</v>
      </c>
      <c r="H2730" s="4"/>
      <c r="I2730" s="5"/>
      <c r="J2730" s="4"/>
      <c r="K2730" s="5"/>
      <c r="L2730" s="6"/>
      <c r="M2730" s="5" t="str">
        <f aca="false">IF(AND(N(K2730)&gt;0,N(L2730)&gt;0),K2730/L2730,"")</f>
        <v/>
      </c>
      <c r="N2730" s="2" t="s">
        <v>1226</v>
      </c>
    </row>
    <row r="2731" customFormat="false" ht="15" hidden="false" customHeight="false" outlineLevel="0" collapsed="false">
      <c r="A2731" s="2" t="n">
        <v>2730</v>
      </c>
      <c r="B2731" s="2" t="s">
        <v>5722</v>
      </c>
      <c r="C2731" s="2" t="s">
        <v>5723</v>
      </c>
      <c r="D2731" s="2"/>
      <c r="E2731" s="2" t="s">
        <v>1345</v>
      </c>
      <c r="F2731" s="3" t="n">
        <v>3.5E-005</v>
      </c>
      <c r="G2731" s="3" t="n">
        <f aca="false">SUM($F$2:F2731)</f>
        <v>0.967857</v>
      </c>
      <c r="H2731" s="4"/>
      <c r="I2731" s="5"/>
      <c r="J2731" s="4"/>
      <c r="K2731" s="5"/>
      <c r="L2731" s="6"/>
      <c r="M2731" s="5" t="str">
        <f aca="false">IF(AND(N(K2731)&gt;0,N(L2731)&gt;0),K2731/L2731,"")</f>
        <v/>
      </c>
      <c r="N2731" s="2" t="s">
        <v>1226</v>
      </c>
    </row>
    <row r="2732" customFormat="false" ht="15" hidden="false" customHeight="false" outlineLevel="0" collapsed="false">
      <c r="A2732" s="2" t="n">
        <v>2731</v>
      </c>
      <c r="B2732" s="2" t="s">
        <v>5724</v>
      </c>
      <c r="C2732" s="2" t="s">
        <v>5725</v>
      </c>
      <c r="D2732" s="2"/>
      <c r="E2732" s="2" t="s">
        <v>82</v>
      </c>
      <c r="F2732" s="3" t="n">
        <v>3.5E-005</v>
      </c>
      <c r="G2732" s="3" t="n">
        <f aca="false">SUM($F$2:F2732)</f>
        <v>0.967892</v>
      </c>
      <c r="H2732" s="4"/>
      <c r="I2732" s="5"/>
      <c r="J2732" s="4"/>
      <c r="K2732" s="5"/>
      <c r="L2732" s="6"/>
      <c r="M2732" s="5" t="str">
        <f aca="false">IF(AND(N(K2732)&gt;0,N(L2732)&gt;0),K2732/L2732,"")</f>
        <v/>
      </c>
      <c r="N2732" s="2" t="s">
        <v>1226</v>
      </c>
    </row>
    <row r="2733" customFormat="false" ht="15" hidden="false" customHeight="false" outlineLevel="0" collapsed="false">
      <c r="A2733" s="2" t="n">
        <v>2732</v>
      </c>
      <c r="B2733" s="2" t="s">
        <v>5726</v>
      </c>
      <c r="C2733" s="2" t="s">
        <v>5727</v>
      </c>
      <c r="D2733" s="2"/>
      <c r="E2733" s="2" t="s">
        <v>289</v>
      </c>
      <c r="F2733" s="3" t="n">
        <v>3.5E-005</v>
      </c>
      <c r="G2733" s="3" t="n">
        <f aca="false">SUM($F$2:F2733)</f>
        <v>0.967927</v>
      </c>
      <c r="H2733" s="4"/>
      <c r="I2733" s="5"/>
      <c r="J2733" s="4"/>
      <c r="K2733" s="5"/>
      <c r="L2733" s="6"/>
      <c r="M2733" s="5" t="str">
        <f aca="false">IF(AND(N(K2733)&gt;0,N(L2733)&gt;0),K2733/L2733,"")</f>
        <v/>
      </c>
      <c r="N2733" s="2" t="s">
        <v>1226</v>
      </c>
    </row>
    <row r="2734" customFormat="false" ht="15" hidden="false" customHeight="false" outlineLevel="0" collapsed="false">
      <c r="A2734" s="2" t="n">
        <v>2733</v>
      </c>
      <c r="B2734" s="2" t="s">
        <v>5728</v>
      </c>
      <c r="C2734" s="2" t="s">
        <v>5729</v>
      </c>
      <c r="D2734" s="2"/>
      <c r="E2734" s="2" t="s">
        <v>25</v>
      </c>
      <c r="F2734" s="3" t="n">
        <v>3.5E-005</v>
      </c>
      <c r="G2734" s="3" t="n">
        <f aca="false">SUM($F$2:F2734)</f>
        <v>0.967962</v>
      </c>
      <c r="H2734" s="4"/>
      <c r="I2734" s="5"/>
      <c r="J2734" s="4"/>
      <c r="K2734" s="5"/>
      <c r="L2734" s="6"/>
      <c r="M2734" s="5" t="str">
        <f aca="false">IF(AND(N(K2734)&gt;0,N(L2734)&gt;0),K2734/L2734,"")</f>
        <v/>
      </c>
      <c r="N2734" s="2" t="s">
        <v>1226</v>
      </c>
    </row>
    <row r="2735" customFormat="false" ht="15" hidden="false" customHeight="false" outlineLevel="0" collapsed="false">
      <c r="A2735" s="2" t="n">
        <v>2734</v>
      </c>
      <c r="B2735" s="2" t="s">
        <v>5730</v>
      </c>
      <c r="C2735" s="2" t="s">
        <v>5731</v>
      </c>
      <c r="D2735" s="2"/>
      <c r="E2735" s="2" t="s">
        <v>539</v>
      </c>
      <c r="F2735" s="3" t="n">
        <v>3.5E-005</v>
      </c>
      <c r="G2735" s="3" t="n">
        <f aca="false">SUM($F$2:F2735)</f>
        <v>0.967997</v>
      </c>
      <c r="H2735" s="4"/>
      <c r="I2735" s="5"/>
      <c r="J2735" s="4"/>
      <c r="K2735" s="5"/>
      <c r="L2735" s="6"/>
      <c r="M2735" s="5" t="str">
        <f aca="false">IF(AND(N(K2735)&gt;0,N(L2735)&gt;0),K2735/L2735,"")</f>
        <v/>
      </c>
      <c r="N2735" s="2" t="s">
        <v>1226</v>
      </c>
    </row>
    <row r="2736" customFormat="false" ht="15" hidden="false" customHeight="false" outlineLevel="0" collapsed="false">
      <c r="A2736" s="2" t="n">
        <v>2735</v>
      </c>
      <c r="B2736" s="2" t="s">
        <v>5732</v>
      </c>
      <c r="C2736" s="2" t="s">
        <v>5733</v>
      </c>
      <c r="D2736" s="2"/>
      <c r="E2736" s="2" t="s">
        <v>334</v>
      </c>
      <c r="F2736" s="3" t="n">
        <v>3.5E-005</v>
      </c>
      <c r="G2736" s="3" t="n">
        <f aca="false">SUM($F$2:F2736)</f>
        <v>0.968032</v>
      </c>
      <c r="H2736" s="4"/>
      <c r="I2736" s="5"/>
      <c r="J2736" s="4"/>
      <c r="K2736" s="5"/>
      <c r="L2736" s="6"/>
      <c r="M2736" s="5" t="str">
        <f aca="false">IF(AND(N(K2736)&gt;0,N(L2736)&gt;0),K2736/L2736,"")</f>
        <v/>
      </c>
      <c r="N2736" s="2" t="s">
        <v>1226</v>
      </c>
    </row>
    <row r="2737" customFormat="false" ht="15" hidden="false" customHeight="false" outlineLevel="0" collapsed="false">
      <c r="A2737" s="2" t="n">
        <v>2736</v>
      </c>
      <c r="B2737" s="2" t="s">
        <v>5734</v>
      </c>
      <c r="C2737" s="2" t="s">
        <v>5735</v>
      </c>
      <c r="D2737" s="2"/>
      <c r="E2737" s="2" t="s">
        <v>289</v>
      </c>
      <c r="F2737" s="3" t="n">
        <v>3.5E-005</v>
      </c>
      <c r="G2737" s="3" t="n">
        <f aca="false">SUM($F$2:F2737)</f>
        <v>0.968067</v>
      </c>
      <c r="H2737" s="4"/>
      <c r="I2737" s="5"/>
      <c r="J2737" s="4"/>
      <c r="K2737" s="5"/>
      <c r="L2737" s="6"/>
      <c r="M2737" s="5" t="str">
        <f aca="false">IF(AND(N(K2737)&gt;0,N(L2737)&gt;0),K2737/L2737,"")</f>
        <v/>
      </c>
      <c r="N2737" s="2" t="s">
        <v>1226</v>
      </c>
    </row>
    <row r="2738" customFormat="false" ht="15" hidden="false" customHeight="false" outlineLevel="0" collapsed="false">
      <c r="A2738" s="2" t="n">
        <v>2737</v>
      </c>
      <c r="B2738" s="2" t="s">
        <v>5736</v>
      </c>
      <c r="C2738" s="2" t="s">
        <v>5737</v>
      </c>
      <c r="D2738" s="2"/>
      <c r="E2738" s="2" t="s">
        <v>1245</v>
      </c>
      <c r="F2738" s="3" t="n">
        <v>3.5E-005</v>
      </c>
      <c r="G2738" s="3" t="n">
        <f aca="false">SUM($F$2:F2738)</f>
        <v>0.968102</v>
      </c>
      <c r="H2738" s="4"/>
      <c r="I2738" s="5"/>
      <c r="J2738" s="4"/>
      <c r="K2738" s="5"/>
      <c r="L2738" s="6"/>
      <c r="M2738" s="5" t="str">
        <f aca="false">IF(AND(N(K2738)&gt;0,N(L2738)&gt;0),K2738/L2738,"")</f>
        <v/>
      </c>
      <c r="N2738" s="2" t="s">
        <v>1226</v>
      </c>
    </row>
    <row r="2739" customFormat="false" ht="15" hidden="false" customHeight="false" outlineLevel="0" collapsed="false">
      <c r="A2739" s="2" t="n">
        <v>2738</v>
      </c>
      <c r="B2739" s="2" t="s">
        <v>5738</v>
      </c>
      <c r="C2739" s="2" t="s">
        <v>5739</v>
      </c>
      <c r="D2739" s="2"/>
      <c r="E2739" s="2" t="s">
        <v>43</v>
      </c>
      <c r="F2739" s="3" t="n">
        <v>3.5E-005</v>
      </c>
      <c r="G2739" s="3" t="n">
        <f aca="false">SUM($F$2:F2739)</f>
        <v>0.968137</v>
      </c>
      <c r="H2739" s="4"/>
      <c r="I2739" s="5"/>
      <c r="J2739" s="4"/>
      <c r="K2739" s="5"/>
      <c r="L2739" s="6"/>
      <c r="M2739" s="5" t="str">
        <f aca="false">IF(AND(N(K2739)&gt;0,N(L2739)&gt;0),K2739/L2739,"")</f>
        <v/>
      </c>
      <c r="N2739" s="2" t="s">
        <v>1226</v>
      </c>
    </row>
    <row r="2740" customFormat="false" ht="15" hidden="false" customHeight="false" outlineLevel="0" collapsed="false">
      <c r="A2740" s="2" t="n">
        <v>2739</v>
      </c>
      <c r="B2740" s="2" t="s">
        <v>5740</v>
      </c>
      <c r="C2740" s="2" t="s">
        <v>5741</v>
      </c>
      <c r="D2740" s="2"/>
      <c r="E2740" s="2" t="s">
        <v>29</v>
      </c>
      <c r="F2740" s="3" t="n">
        <v>3.5E-005</v>
      </c>
      <c r="G2740" s="3" t="n">
        <f aca="false">SUM($F$2:F2740)</f>
        <v>0.968172</v>
      </c>
      <c r="H2740" s="4"/>
      <c r="I2740" s="5"/>
      <c r="J2740" s="4"/>
      <c r="K2740" s="5"/>
      <c r="L2740" s="6"/>
      <c r="M2740" s="5" t="str">
        <f aca="false">IF(AND(N(K2740)&gt;0,N(L2740)&gt;0),K2740/L2740,"")</f>
        <v/>
      </c>
      <c r="N2740" s="2" t="s">
        <v>1226</v>
      </c>
    </row>
    <row r="2741" customFormat="false" ht="15" hidden="false" customHeight="false" outlineLevel="0" collapsed="false">
      <c r="A2741" s="2" t="n">
        <v>2740</v>
      </c>
      <c r="B2741" s="2" t="s">
        <v>5742</v>
      </c>
      <c r="C2741" s="2" t="s">
        <v>5743</v>
      </c>
      <c r="D2741" s="2"/>
      <c r="E2741" s="2" t="s">
        <v>1345</v>
      </c>
      <c r="F2741" s="3" t="n">
        <v>3.5E-005</v>
      </c>
      <c r="G2741" s="3" t="n">
        <f aca="false">SUM($F$2:F2741)</f>
        <v>0.968207</v>
      </c>
      <c r="H2741" s="4"/>
      <c r="I2741" s="5"/>
      <c r="J2741" s="4"/>
      <c r="K2741" s="5"/>
      <c r="L2741" s="6"/>
      <c r="M2741" s="5" t="str">
        <f aca="false">IF(AND(N(K2741)&gt;0,N(L2741)&gt;0),K2741/L2741,"")</f>
        <v/>
      </c>
      <c r="N2741" s="2" t="s">
        <v>1226</v>
      </c>
    </row>
    <row r="2742" customFormat="false" ht="15" hidden="false" customHeight="false" outlineLevel="0" collapsed="false">
      <c r="A2742" s="2" t="n">
        <v>2741</v>
      </c>
      <c r="B2742" s="2" t="s">
        <v>5744</v>
      </c>
      <c r="C2742" s="2" t="s">
        <v>5745</v>
      </c>
      <c r="D2742" s="2"/>
      <c r="E2742" s="2" t="s">
        <v>48</v>
      </c>
      <c r="F2742" s="3" t="n">
        <v>3.5E-005</v>
      </c>
      <c r="G2742" s="3" t="n">
        <f aca="false">SUM($F$2:F2742)</f>
        <v>0.968242</v>
      </c>
      <c r="H2742" s="4"/>
      <c r="I2742" s="5"/>
      <c r="J2742" s="4"/>
      <c r="K2742" s="5"/>
      <c r="L2742" s="6"/>
      <c r="M2742" s="5" t="str">
        <f aca="false">IF(AND(N(K2742)&gt;0,N(L2742)&gt;0),K2742/L2742,"")</f>
        <v/>
      </c>
      <c r="N2742" s="2" t="s">
        <v>1226</v>
      </c>
    </row>
    <row r="2743" customFormat="false" ht="15" hidden="false" customHeight="false" outlineLevel="0" collapsed="false">
      <c r="A2743" s="2" t="n">
        <v>2742</v>
      </c>
      <c r="B2743" s="2" t="s">
        <v>5746</v>
      </c>
      <c r="C2743" s="2" t="s">
        <v>5747</v>
      </c>
      <c r="D2743" s="2"/>
      <c r="E2743" s="2" t="s">
        <v>25</v>
      </c>
      <c r="F2743" s="3" t="n">
        <v>3.4E-005</v>
      </c>
      <c r="G2743" s="3" t="n">
        <f aca="false">SUM($F$2:F2743)</f>
        <v>0.968276</v>
      </c>
      <c r="H2743" s="4"/>
      <c r="I2743" s="5"/>
      <c r="J2743" s="4"/>
      <c r="K2743" s="5"/>
      <c r="L2743" s="6"/>
      <c r="M2743" s="5" t="str">
        <f aca="false">IF(AND(N(K2743)&gt;0,N(L2743)&gt;0),K2743/L2743,"")</f>
        <v/>
      </c>
      <c r="N2743" s="2" t="s">
        <v>1226</v>
      </c>
    </row>
    <row r="2744" customFormat="false" ht="15" hidden="false" customHeight="false" outlineLevel="0" collapsed="false">
      <c r="A2744" s="2" t="n">
        <v>2743</v>
      </c>
      <c r="B2744" s="2" t="s">
        <v>5748</v>
      </c>
      <c r="C2744" s="2" t="s">
        <v>5749</v>
      </c>
      <c r="D2744" s="2"/>
      <c r="E2744" s="2" t="s">
        <v>700</v>
      </c>
      <c r="F2744" s="3" t="n">
        <v>3.4E-005</v>
      </c>
      <c r="G2744" s="3" t="n">
        <f aca="false">SUM($F$2:F2744)</f>
        <v>0.96831</v>
      </c>
      <c r="H2744" s="4"/>
      <c r="I2744" s="5"/>
      <c r="J2744" s="4"/>
      <c r="K2744" s="5"/>
      <c r="L2744" s="6"/>
      <c r="M2744" s="5" t="str">
        <f aca="false">IF(AND(N(K2744)&gt;0,N(L2744)&gt;0),K2744/L2744,"")</f>
        <v/>
      </c>
      <c r="N2744" s="2" t="s">
        <v>1226</v>
      </c>
    </row>
    <row r="2745" customFormat="false" ht="15" hidden="false" customHeight="false" outlineLevel="0" collapsed="false">
      <c r="A2745" s="2" t="n">
        <v>2744</v>
      </c>
      <c r="B2745" s="2" t="s">
        <v>5750</v>
      </c>
      <c r="C2745" s="2" t="s">
        <v>5751</v>
      </c>
      <c r="D2745" s="2"/>
      <c r="E2745" s="2" t="s">
        <v>289</v>
      </c>
      <c r="F2745" s="3" t="n">
        <v>3.4E-005</v>
      </c>
      <c r="G2745" s="3" t="n">
        <f aca="false">SUM($F$2:F2745)</f>
        <v>0.968344</v>
      </c>
      <c r="H2745" s="4"/>
      <c r="I2745" s="5"/>
      <c r="J2745" s="4"/>
      <c r="K2745" s="5"/>
      <c r="L2745" s="6"/>
      <c r="M2745" s="5" t="str">
        <f aca="false">IF(AND(N(K2745)&gt;0,N(L2745)&gt;0),K2745/L2745,"")</f>
        <v/>
      </c>
      <c r="N2745" s="2" t="s">
        <v>1226</v>
      </c>
    </row>
    <row r="2746" customFormat="false" ht="15" hidden="false" customHeight="false" outlineLevel="0" collapsed="false">
      <c r="A2746" s="2" t="n">
        <v>2745</v>
      </c>
      <c r="B2746" s="2" t="s">
        <v>5752</v>
      </c>
      <c r="C2746" s="2" t="s">
        <v>5753</v>
      </c>
      <c r="D2746" s="2"/>
      <c r="E2746" s="2" t="s">
        <v>1345</v>
      </c>
      <c r="F2746" s="3" t="n">
        <v>3.4E-005</v>
      </c>
      <c r="G2746" s="3" t="n">
        <f aca="false">SUM($F$2:F2746)</f>
        <v>0.968378</v>
      </c>
      <c r="H2746" s="4"/>
      <c r="I2746" s="5"/>
      <c r="J2746" s="4"/>
      <c r="K2746" s="5"/>
      <c r="L2746" s="6"/>
      <c r="M2746" s="5" t="str">
        <f aca="false">IF(AND(N(K2746)&gt;0,N(L2746)&gt;0),K2746/L2746,"")</f>
        <v/>
      </c>
      <c r="N2746" s="2" t="s">
        <v>1226</v>
      </c>
    </row>
    <row r="2747" customFormat="false" ht="15" hidden="false" customHeight="false" outlineLevel="0" collapsed="false">
      <c r="A2747" s="2" t="n">
        <v>2746</v>
      </c>
      <c r="B2747" s="2" t="s">
        <v>5754</v>
      </c>
      <c r="C2747" s="2" t="s">
        <v>5755</v>
      </c>
      <c r="D2747" s="2"/>
      <c r="E2747" s="2" t="s">
        <v>1295</v>
      </c>
      <c r="F2747" s="3" t="n">
        <v>3.4E-005</v>
      </c>
      <c r="G2747" s="3" t="n">
        <f aca="false">SUM($F$2:F2747)</f>
        <v>0.968412</v>
      </c>
      <c r="H2747" s="4"/>
      <c r="I2747" s="5"/>
      <c r="J2747" s="4"/>
      <c r="K2747" s="5"/>
      <c r="L2747" s="6"/>
      <c r="M2747" s="5" t="str">
        <f aca="false">IF(AND(N(K2747)&gt;0,N(L2747)&gt;0),K2747/L2747,"")</f>
        <v/>
      </c>
      <c r="N2747" s="2" t="s">
        <v>1226</v>
      </c>
    </row>
    <row r="2748" customFormat="false" ht="15" hidden="false" customHeight="false" outlineLevel="0" collapsed="false">
      <c r="A2748" s="2" t="n">
        <v>2747</v>
      </c>
      <c r="B2748" s="2" t="s">
        <v>5756</v>
      </c>
      <c r="C2748" s="2" t="s">
        <v>5757</v>
      </c>
      <c r="D2748" s="2"/>
      <c r="E2748" s="2" t="s">
        <v>539</v>
      </c>
      <c r="F2748" s="3" t="n">
        <v>3.4E-005</v>
      </c>
      <c r="G2748" s="3" t="n">
        <f aca="false">SUM($F$2:F2748)</f>
        <v>0.968446</v>
      </c>
      <c r="H2748" s="4"/>
      <c r="I2748" s="5"/>
      <c r="J2748" s="4"/>
      <c r="K2748" s="5"/>
      <c r="L2748" s="6"/>
      <c r="M2748" s="5" t="str">
        <f aca="false">IF(AND(N(K2748)&gt;0,N(L2748)&gt;0),K2748/L2748,"")</f>
        <v/>
      </c>
      <c r="N2748" s="2" t="s">
        <v>1226</v>
      </c>
    </row>
    <row r="2749" customFormat="false" ht="15" hidden="false" customHeight="false" outlineLevel="0" collapsed="false">
      <c r="A2749" s="2" t="n">
        <v>2748</v>
      </c>
      <c r="B2749" s="2" t="s">
        <v>5758</v>
      </c>
      <c r="C2749" s="2" t="s">
        <v>5759</v>
      </c>
      <c r="D2749" s="2"/>
      <c r="E2749" s="2" t="s">
        <v>52</v>
      </c>
      <c r="F2749" s="3" t="n">
        <v>3.4E-005</v>
      </c>
      <c r="G2749" s="3" t="n">
        <f aca="false">SUM($F$2:F2749)</f>
        <v>0.96848</v>
      </c>
      <c r="H2749" s="4"/>
      <c r="I2749" s="5"/>
      <c r="J2749" s="4"/>
      <c r="K2749" s="5"/>
      <c r="L2749" s="6"/>
      <c r="M2749" s="5" t="str">
        <f aca="false">IF(AND(N(K2749)&gt;0,N(L2749)&gt;0),K2749/L2749,"")</f>
        <v/>
      </c>
      <c r="N2749" s="2" t="s">
        <v>1226</v>
      </c>
    </row>
    <row r="2750" customFormat="false" ht="15" hidden="false" customHeight="false" outlineLevel="0" collapsed="false">
      <c r="A2750" s="2" t="n">
        <v>2749</v>
      </c>
      <c r="B2750" s="2" t="s">
        <v>5760</v>
      </c>
      <c r="C2750" s="2" t="s">
        <v>5761</v>
      </c>
      <c r="D2750" s="2"/>
      <c r="E2750" s="2" t="s">
        <v>1345</v>
      </c>
      <c r="F2750" s="3" t="n">
        <v>3.4E-005</v>
      </c>
      <c r="G2750" s="3" t="n">
        <f aca="false">SUM($F$2:F2750)</f>
        <v>0.968514</v>
      </c>
      <c r="H2750" s="4"/>
      <c r="I2750" s="5"/>
      <c r="J2750" s="4"/>
      <c r="K2750" s="5"/>
      <c r="L2750" s="6"/>
      <c r="M2750" s="5" t="str">
        <f aca="false">IF(AND(N(K2750)&gt;0,N(L2750)&gt;0),K2750/L2750,"")</f>
        <v/>
      </c>
      <c r="N2750" s="2" t="s">
        <v>1226</v>
      </c>
    </row>
    <row r="2751" customFormat="false" ht="15" hidden="false" customHeight="false" outlineLevel="0" collapsed="false">
      <c r="A2751" s="2" t="n">
        <v>2750</v>
      </c>
      <c r="B2751" s="2" t="s">
        <v>5762</v>
      </c>
      <c r="C2751" s="2" t="s">
        <v>5763</v>
      </c>
      <c r="D2751" s="2"/>
      <c r="E2751" s="2" t="s">
        <v>29</v>
      </c>
      <c r="F2751" s="3" t="n">
        <v>3.4E-005</v>
      </c>
      <c r="G2751" s="3" t="n">
        <f aca="false">SUM($F$2:F2751)</f>
        <v>0.968548</v>
      </c>
      <c r="H2751" s="4"/>
      <c r="I2751" s="5"/>
      <c r="J2751" s="4"/>
      <c r="K2751" s="5"/>
      <c r="L2751" s="6"/>
      <c r="M2751" s="5" t="str">
        <f aca="false">IF(AND(N(K2751)&gt;0,N(L2751)&gt;0),K2751/L2751,"")</f>
        <v/>
      </c>
      <c r="N2751" s="2" t="s">
        <v>1226</v>
      </c>
    </row>
    <row r="2752" customFormat="false" ht="15" hidden="false" customHeight="false" outlineLevel="0" collapsed="false">
      <c r="A2752" s="2" t="n">
        <v>2751</v>
      </c>
      <c r="B2752" s="2" t="s">
        <v>5764</v>
      </c>
      <c r="C2752" s="2" t="s">
        <v>5765</v>
      </c>
      <c r="D2752" s="2"/>
      <c r="E2752" s="2" t="s">
        <v>1345</v>
      </c>
      <c r="F2752" s="3" t="n">
        <v>3.4E-005</v>
      </c>
      <c r="G2752" s="3" t="n">
        <f aca="false">SUM($F$2:F2752)</f>
        <v>0.968582</v>
      </c>
      <c r="H2752" s="4"/>
      <c r="I2752" s="5"/>
      <c r="J2752" s="4"/>
      <c r="K2752" s="5"/>
      <c r="L2752" s="6"/>
      <c r="M2752" s="5" t="str">
        <f aca="false">IF(AND(N(K2752)&gt;0,N(L2752)&gt;0),K2752/L2752,"")</f>
        <v/>
      </c>
      <c r="N2752" s="2" t="s">
        <v>1226</v>
      </c>
    </row>
    <row r="2753" customFormat="false" ht="15" hidden="false" customHeight="false" outlineLevel="0" collapsed="false">
      <c r="A2753" s="2" t="n">
        <v>2752</v>
      </c>
      <c r="B2753" s="2" t="s">
        <v>5766</v>
      </c>
      <c r="C2753" s="2" t="s">
        <v>5767</v>
      </c>
      <c r="D2753" s="2"/>
      <c r="E2753" s="2" t="s">
        <v>48</v>
      </c>
      <c r="F2753" s="3" t="n">
        <v>3.4E-005</v>
      </c>
      <c r="G2753" s="3" t="n">
        <f aca="false">SUM($F$2:F2753)</f>
        <v>0.968616</v>
      </c>
      <c r="H2753" s="4"/>
      <c r="I2753" s="5"/>
      <c r="J2753" s="4"/>
      <c r="K2753" s="5"/>
      <c r="L2753" s="6"/>
      <c r="M2753" s="5" t="str">
        <f aca="false">IF(AND(N(K2753)&gt;0,N(L2753)&gt;0),K2753/L2753,"")</f>
        <v/>
      </c>
      <c r="N2753" s="2" t="s">
        <v>1226</v>
      </c>
    </row>
    <row r="2754" customFormat="false" ht="15" hidden="false" customHeight="false" outlineLevel="0" collapsed="false">
      <c r="A2754" s="2" t="n">
        <v>2753</v>
      </c>
      <c r="B2754" s="2" t="s">
        <v>5768</v>
      </c>
      <c r="C2754" s="2" t="s">
        <v>5769</v>
      </c>
      <c r="D2754" s="2"/>
      <c r="E2754" s="2" t="s">
        <v>52</v>
      </c>
      <c r="F2754" s="3" t="n">
        <v>3.4E-005</v>
      </c>
      <c r="G2754" s="3" t="n">
        <f aca="false">SUM($F$2:F2754)</f>
        <v>0.96865</v>
      </c>
      <c r="H2754" s="4"/>
      <c r="I2754" s="5"/>
      <c r="J2754" s="4"/>
      <c r="K2754" s="5"/>
      <c r="L2754" s="6"/>
      <c r="M2754" s="5" t="str">
        <f aca="false">IF(AND(N(K2754)&gt;0,N(L2754)&gt;0),K2754/L2754,"")</f>
        <v/>
      </c>
      <c r="N2754" s="2" t="s">
        <v>1226</v>
      </c>
    </row>
    <row r="2755" customFormat="false" ht="15" hidden="false" customHeight="false" outlineLevel="0" collapsed="false">
      <c r="A2755" s="2" t="n">
        <v>2754</v>
      </c>
      <c r="B2755" s="2" t="s">
        <v>5770</v>
      </c>
      <c r="C2755" s="2" t="s">
        <v>5771</v>
      </c>
      <c r="D2755" s="2"/>
      <c r="E2755" s="2" t="s">
        <v>52</v>
      </c>
      <c r="F2755" s="3" t="n">
        <v>3.4E-005</v>
      </c>
      <c r="G2755" s="3" t="n">
        <f aca="false">SUM($F$2:F2755)</f>
        <v>0.968684</v>
      </c>
      <c r="H2755" s="4"/>
      <c r="I2755" s="5"/>
      <c r="J2755" s="4"/>
      <c r="K2755" s="5"/>
      <c r="L2755" s="6"/>
      <c r="M2755" s="5" t="str">
        <f aca="false">IF(AND(N(K2755)&gt;0,N(L2755)&gt;0),K2755/L2755,"")</f>
        <v/>
      </c>
      <c r="N2755" s="2" t="s">
        <v>1226</v>
      </c>
    </row>
    <row r="2756" customFormat="false" ht="15" hidden="false" customHeight="false" outlineLevel="0" collapsed="false">
      <c r="A2756" s="2" t="n">
        <v>2755</v>
      </c>
      <c r="B2756" s="2" t="s">
        <v>5772</v>
      </c>
      <c r="C2756" s="2" t="s">
        <v>5773</v>
      </c>
      <c r="D2756" s="2"/>
      <c r="E2756" s="2" t="s">
        <v>29</v>
      </c>
      <c r="F2756" s="3" t="n">
        <v>3.4E-005</v>
      </c>
      <c r="G2756" s="3" t="n">
        <f aca="false">SUM($F$2:F2756)</f>
        <v>0.968718</v>
      </c>
      <c r="H2756" s="4"/>
      <c r="I2756" s="5"/>
      <c r="J2756" s="4"/>
      <c r="K2756" s="5"/>
      <c r="L2756" s="6"/>
      <c r="M2756" s="5" t="str">
        <f aca="false">IF(AND(N(K2756)&gt;0,N(L2756)&gt;0),K2756/L2756,"")</f>
        <v/>
      </c>
      <c r="N2756" s="2" t="s">
        <v>1226</v>
      </c>
    </row>
    <row r="2757" customFormat="false" ht="15" hidden="false" customHeight="false" outlineLevel="0" collapsed="false">
      <c r="A2757" s="2" t="n">
        <v>2756</v>
      </c>
      <c r="B2757" s="2" t="s">
        <v>5774</v>
      </c>
      <c r="C2757" s="2" t="s">
        <v>5775</v>
      </c>
      <c r="D2757" s="2"/>
      <c r="E2757" s="2" t="s">
        <v>25</v>
      </c>
      <c r="F2757" s="3" t="n">
        <v>3.4E-005</v>
      </c>
      <c r="G2757" s="3" t="n">
        <f aca="false">SUM($F$2:F2757)</f>
        <v>0.968752</v>
      </c>
      <c r="H2757" s="4"/>
      <c r="I2757" s="5"/>
      <c r="J2757" s="4"/>
      <c r="K2757" s="5"/>
      <c r="L2757" s="6"/>
      <c r="M2757" s="5" t="str">
        <f aca="false">IF(AND(N(K2757)&gt;0,N(L2757)&gt;0),K2757/L2757,"")</f>
        <v/>
      </c>
      <c r="N2757" s="2" t="s">
        <v>1226</v>
      </c>
    </row>
    <row r="2758" customFormat="false" ht="15" hidden="false" customHeight="false" outlineLevel="0" collapsed="false">
      <c r="A2758" s="2" t="n">
        <v>2757</v>
      </c>
      <c r="B2758" s="2" t="s">
        <v>5776</v>
      </c>
      <c r="C2758" s="2" t="s">
        <v>5777</v>
      </c>
      <c r="D2758" s="2"/>
      <c r="E2758" s="2" t="s">
        <v>700</v>
      </c>
      <c r="F2758" s="3" t="n">
        <v>3.4E-005</v>
      </c>
      <c r="G2758" s="3" t="n">
        <f aca="false">SUM($F$2:F2758)</f>
        <v>0.968786</v>
      </c>
      <c r="H2758" s="4"/>
      <c r="I2758" s="5"/>
      <c r="J2758" s="4"/>
      <c r="K2758" s="5"/>
      <c r="L2758" s="6"/>
      <c r="M2758" s="5" t="str">
        <f aca="false">IF(AND(N(K2758)&gt;0,N(L2758)&gt;0),K2758/L2758,"")</f>
        <v/>
      </c>
      <c r="N2758" s="2" t="s">
        <v>1226</v>
      </c>
    </row>
    <row r="2759" customFormat="false" ht="15" hidden="false" customHeight="false" outlineLevel="0" collapsed="false">
      <c r="A2759" s="2" t="n">
        <v>2758</v>
      </c>
      <c r="B2759" s="2" t="s">
        <v>5778</v>
      </c>
      <c r="C2759" s="2" t="s">
        <v>5779</v>
      </c>
      <c r="D2759" s="2"/>
      <c r="E2759" s="2" t="s">
        <v>1345</v>
      </c>
      <c r="F2759" s="3" t="n">
        <v>3.4E-005</v>
      </c>
      <c r="G2759" s="3" t="n">
        <f aca="false">SUM($F$2:F2759)</f>
        <v>0.96882</v>
      </c>
      <c r="H2759" s="4"/>
      <c r="I2759" s="5"/>
      <c r="J2759" s="4"/>
      <c r="K2759" s="5"/>
      <c r="L2759" s="6"/>
      <c r="M2759" s="5" t="str">
        <f aca="false">IF(AND(N(K2759)&gt;0,N(L2759)&gt;0),K2759/L2759,"")</f>
        <v/>
      </c>
      <c r="N2759" s="2" t="s">
        <v>1226</v>
      </c>
    </row>
    <row r="2760" customFormat="false" ht="15" hidden="false" customHeight="false" outlineLevel="0" collapsed="false">
      <c r="A2760" s="2" t="n">
        <v>2759</v>
      </c>
      <c r="B2760" s="2" t="s">
        <v>5780</v>
      </c>
      <c r="C2760" s="2" t="s">
        <v>5781</v>
      </c>
      <c r="D2760" s="2"/>
      <c r="E2760" s="2" t="s">
        <v>25</v>
      </c>
      <c r="F2760" s="3" t="n">
        <v>3.4E-005</v>
      </c>
      <c r="G2760" s="3" t="n">
        <f aca="false">SUM($F$2:F2760)</f>
        <v>0.968854</v>
      </c>
      <c r="H2760" s="4"/>
      <c r="I2760" s="5"/>
      <c r="J2760" s="4"/>
      <c r="K2760" s="5"/>
      <c r="L2760" s="6"/>
      <c r="M2760" s="5" t="str">
        <f aca="false">IF(AND(N(K2760)&gt;0,N(L2760)&gt;0),K2760/L2760,"")</f>
        <v/>
      </c>
      <c r="N2760" s="2" t="s">
        <v>1226</v>
      </c>
    </row>
    <row r="2761" customFormat="false" ht="15" hidden="false" customHeight="false" outlineLevel="0" collapsed="false">
      <c r="A2761" s="2" t="n">
        <v>2760</v>
      </c>
      <c r="B2761" s="2" t="s">
        <v>5782</v>
      </c>
      <c r="C2761" s="2" t="s">
        <v>5783</v>
      </c>
      <c r="D2761" s="2"/>
      <c r="E2761" s="2" t="s">
        <v>52</v>
      </c>
      <c r="F2761" s="3" t="n">
        <v>3.4E-005</v>
      </c>
      <c r="G2761" s="3" t="n">
        <f aca="false">SUM($F$2:F2761)</f>
        <v>0.968888</v>
      </c>
      <c r="H2761" s="4"/>
      <c r="I2761" s="5"/>
      <c r="J2761" s="4"/>
      <c r="K2761" s="5"/>
      <c r="L2761" s="6"/>
      <c r="M2761" s="5" t="str">
        <f aca="false">IF(AND(N(K2761)&gt;0,N(L2761)&gt;0),K2761/L2761,"")</f>
        <v/>
      </c>
      <c r="N2761" s="2" t="s">
        <v>1226</v>
      </c>
    </row>
    <row r="2762" customFormat="false" ht="15" hidden="false" customHeight="false" outlineLevel="0" collapsed="false">
      <c r="A2762" s="2" t="n">
        <v>2761</v>
      </c>
      <c r="B2762" s="2" t="s">
        <v>5784</v>
      </c>
      <c r="C2762" s="2" t="s">
        <v>5785</v>
      </c>
      <c r="D2762" s="2"/>
      <c r="E2762" s="2" t="s">
        <v>1345</v>
      </c>
      <c r="F2762" s="3" t="n">
        <v>3.4E-005</v>
      </c>
      <c r="G2762" s="3" t="n">
        <f aca="false">SUM($F$2:F2762)</f>
        <v>0.968922</v>
      </c>
      <c r="H2762" s="4"/>
      <c r="I2762" s="5"/>
      <c r="J2762" s="4"/>
      <c r="K2762" s="5"/>
      <c r="L2762" s="6"/>
      <c r="M2762" s="5" t="str">
        <f aca="false">IF(AND(N(K2762)&gt;0,N(L2762)&gt;0),K2762/L2762,"")</f>
        <v/>
      </c>
      <c r="N2762" s="2" t="s">
        <v>1226</v>
      </c>
    </row>
    <row r="2763" customFormat="false" ht="15" hidden="false" customHeight="false" outlineLevel="0" collapsed="false">
      <c r="A2763" s="2" t="n">
        <v>2762</v>
      </c>
      <c r="B2763" s="2" t="s">
        <v>5786</v>
      </c>
      <c r="C2763" s="2" t="s">
        <v>5787</v>
      </c>
      <c r="D2763" s="2"/>
      <c r="E2763" s="2" t="s">
        <v>1345</v>
      </c>
      <c r="F2763" s="3" t="n">
        <v>3.4E-005</v>
      </c>
      <c r="G2763" s="3" t="n">
        <f aca="false">SUM($F$2:F2763)</f>
        <v>0.968956</v>
      </c>
      <c r="H2763" s="4"/>
      <c r="I2763" s="5"/>
      <c r="J2763" s="4"/>
      <c r="K2763" s="5"/>
      <c r="L2763" s="6"/>
      <c r="M2763" s="5" t="str">
        <f aca="false">IF(AND(N(K2763)&gt;0,N(L2763)&gt;0),K2763/L2763,"")</f>
        <v/>
      </c>
      <c r="N2763" s="2" t="s">
        <v>1226</v>
      </c>
    </row>
    <row r="2764" customFormat="false" ht="15" hidden="false" customHeight="false" outlineLevel="0" collapsed="false">
      <c r="A2764" s="2" t="n">
        <v>2763</v>
      </c>
      <c r="B2764" s="2" t="s">
        <v>1398</v>
      </c>
      <c r="C2764" s="2" t="s">
        <v>5788</v>
      </c>
      <c r="D2764" s="2"/>
      <c r="E2764" s="2" t="s">
        <v>43</v>
      </c>
      <c r="F2764" s="3" t="n">
        <v>3.4E-005</v>
      </c>
      <c r="G2764" s="3" t="n">
        <f aca="false">SUM($F$2:F2764)</f>
        <v>0.96899</v>
      </c>
      <c r="H2764" s="4"/>
      <c r="I2764" s="5"/>
      <c r="J2764" s="4"/>
      <c r="K2764" s="5"/>
      <c r="L2764" s="6"/>
      <c r="M2764" s="5" t="str">
        <f aca="false">IF(AND(N(K2764)&gt;0,N(L2764)&gt;0),K2764/L2764,"")</f>
        <v/>
      </c>
      <c r="N2764" s="2" t="s">
        <v>1226</v>
      </c>
    </row>
    <row r="2765" customFormat="false" ht="15" hidden="false" customHeight="false" outlineLevel="0" collapsed="false">
      <c r="A2765" s="2" t="n">
        <v>2764</v>
      </c>
      <c r="B2765" s="2" t="s">
        <v>5789</v>
      </c>
      <c r="C2765" s="2" t="s">
        <v>5790</v>
      </c>
      <c r="D2765" s="2"/>
      <c r="E2765" s="2" t="s">
        <v>1345</v>
      </c>
      <c r="F2765" s="3" t="n">
        <v>3.4E-005</v>
      </c>
      <c r="G2765" s="3" t="n">
        <f aca="false">SUM($F$2:F2765)</f>
        <v>0.969024</v>
      </c>
      <c r="H2765" s="4"/>
      <c r="I2765" s="5"/>
      <c r="J2765" s="4"/>
      <c r="K2765" s="5"/>
      <c r="L2765" s="6"/>
      <c r="M2765" s="5" t="str">
        <f aca="false">IF(AND(N(K2765)&gt;0,N(L2765)&gt;0),K2765/L2765,"")</f>
        <v/>
      </c>
      <c r="N2765" s="2" t="s">
        <v>1226</v>
      </c>
    </row>
    <row r="2766" customFormat="false" ht="15" hidden="false" customHeight="false" outlineLevel="0" collapsed="false">
      <c r="A2766" s="2" t="n">
        <v>2765</v>
      </c>
      <c r="B2766" s="2" t="s">
        <v>5791</v>
      </c>
      <c r="C2766" s="2" t="s">
        <v>5792</v>
      </c>
      <c r="D2766" s="2"/>
      <c r="E2766" s="2" t="s">
        <v>1345</v>
      </c>
      <c r="F2766" s="3" t="n">
        <v>3.4E-005</v>
      </c>
      <c r="G2766" s="3" t="n">
        <f aca="false">SUM($F$2:F2766)</f>
        <v>0.969058</v>
      </c>
      <c r="H2766" s="4"/>
      <c r="I2766" s="5"/>
      <c r="J2766" s="4"/>
      <c r="K2766" s="5"/>
      <c r="L2766" s="6"/>
      <c r="M2766" s="5" t="str">
        <f aca="false">IF(AND(N(K2766)&gt;0,N(L2766)&gt;0),K2766/L2766,"")</f>
        <v/>
      </c>
      <c r="N2766" s="2" t="s">
        <v>1226</v>
      </c>
    </row>
    <row r="2767" customFormat="false" ht="15" hidden="false" customHeight="false" outlineLevel="0" collapsed="false">
      <c r="A2767" s="2" t="n">
        <v>2766</v>
      </c>
      <c r="B2767" s="2" t="s">
        <v>5793</v>
      </c>
      <c r="C2767" s="2" t="s">
        <v>5794</v>
      </c>
      <c r="D2767" s="2"/>
      <c r="E2767" s="2" t="s">
        <v>289</v>
      </c>
      <c r="F2767" s="3" t="n">
        <v>3.4E-005</v>
      </c>
      <c r="G2767" s="3" t="n">
        <f aca="false">SUM($F$2:F2767)</f>
        <v>0.969092</v>
      </c>
      <c r="H2767" s="4"/>
      <c r="I2767" s="5"/>
      <c r="J2767" s="4"/>
      <c r="K2767" s="5"/>
      <c r="L2767" s="6"/>
      <c r="M2767" s="5" t="str">
        <f aca="false">IF(AND(N(K2767)&gt;0,N(L2767)&gt;0),K2767/L2767,"")</f>
        <v/>
      </c>
      <c r="N2767" s="2" t="s">
        <v>1226</v>
      </c>
    </row>
    <row r="2768" customFormat="false" ht="15" hidden="false" customHeight="false" outlineLevel="0" collapsed="false">
      <c r="A2768" s="2" t="n">
        <v>2767</v>
      </c>
      <c r="B2768" s="2" t="s">
        <v>5795</v>
      </c>
      <c r="C2768" s="2" t="s">
        <v>5796</v>
      </c>
      <c r="D2768" s="2"/>
      <c r="E2768" s="2" t="s">
        <v>1295</v>
      </c>
      <c r="F2768" s="3" t="n">
        <v>3.4E-005</v>
      </c>
      <c r="G2768" s="3" t="n">
        <f aca="false">SUM($F$2:F2768)</f>
        <v>0.969126</v>
      </c>
      <c r="H2768" s="4"/>
      <c r="I2768" s="5"/>
      <c r="J2768" s="4"/>
      <c r="K2768" s="5"/>
      <c r="L2768" s="6"/>
      <c r="M2768" s="5" t="str">
        <f aca="false">IF(AND(N(K2768)&gt;0,N(L2768)&gt;0),K2768/L2768,"")</f>
        <v/>
      </c>
      <c r="N2768" s="2" t="s">
        <v>1226</v>
      </c>
    </row>
    <row r="2769" customFormat="false" ht="15" hidden="false" customHeight="false" outlineLevel="0" collapsed="false">
      <c r="A2769" s="2" t="n">
        <v>2768</v>
      </c>
      <c r="B2769" s="2" t="s">
        <v>5797</v>
      </c>
      <c r="C2769" s="2" t="s">
        <v>5798</v>
      </c>
      <c r="D2769" s="2"/>
      <c r="E2769" s="2" t="s">
        <v>33</v>
      </c>
      <c r="F2769" s="3" t="n">
        <v>3.4E-005</v>
      </c>
      <c r="G2769" s="3" t="n">
        <f aca="false">SUM($F$2:F2769)</f>
        <v>0.96916</v>
      </c>
      <c r="H2769" s="4"/>
      <c r="I2769" s="5"/>
      <c r="J2769" s="4"/>
      <c r="K2769" s="5"/>
      <c r="L2769" s="6"/>
      <c r="M2769" s="5" t="str">
        <f aca="false">IF(AND(N(K2769)&gt;0,N(L2769)&gt;0),K2769/L2769,"")</f>
        <v/>
      </c>
      <c r="N2769" s="2" t="s">
        <v>1226</v>
      </c>
    </row>
    <row r="2770" customFormat="false" ht="15" hidden="false" customHeight="false" outlineLevel="0" collapsed="false">
      <c r="A2770" s="2" t="n">
        <v>2769</v>
      </c>
      <c r="B2770" s="2" t="s">
        <v>5799</v>
      </c>
      <c r="C2770" s="2" t="s">
        <v>5800</v>
      </c>
      <c r="D2770" s="2"/>
      <c r="E2770" s="2" t="s">
        <v>25</v>
      </c>
      <c r="F2770" s="3" t="n">
        <v>3.4E-005</v>
      </c>
      <c r="G2770" s="3" t="n">
        <f aca="false">SUM($F$2:F2770)</f>
        <v>0.969194</v>
      </c>
      <c r="H2770" s="4"/>
      <c r="I2770" s="5"/>
      <c r="J2770" s="4"/>
      <c r="K2770" s="5"/>
      <c r="L2770" s="6"/>
      <c r="M2770" s="5" t="str">
        <f aca="false">IF(AND(N(K2770)&gt;0,N(L2770)&gt;0),K2770/L2770,"")</f>
        <v/>
      </c>
      <c r="N2770" s="2" t="s">
        <v>1226</v>
      </c>
    </row>
    <row r="2771" customFormat="false" ht="15" hidden="false" customHeight="false" outlineLevel="0" collapsed="false">
      <c r="A2771" s="2" t="n">
        <v>2770</v>
      </c>
      <c r="B2771" s="2" t="s">
        <v>5801</v>
      </c>
      <c r="C2771" s="2" t="s">
        <v>5802</v>
      </c>
      <c r="D2771" s="2"/>
      <c r="E2771" s="2" t="s">
        <v>52</v>
      </c>
      <c r="F2771" s="3" t="n">
        <v>3.4E-005</v>
      </c>
      <c r="G2771" s="3" t="n">
        <f aca="false">SUM($F$2:F2771)</f>
        <v>0.969228</v>
      </c>
      <c r="H2771" s="4"/>
      <c r="I2771" s="5"/>
      <c r="J2771" s="4"/>
      <c r="K2771" s="5"/>
      <c r="L2771" s="6"/>
      <c r="M2771" s="5" t="str">
        <f aca="false">IF(AND(N(K2771)&gt;0,N(L2771)&gt;0),K2771/L2771,"")</f>
        <v/>
      </c>
      <c r="N2771" s="2" t="s">
        <v>1226</v>
      </c>
    </row>
    <row r="2772" customFormat="false" ht="15" hidden="false" customHeight="false" outlineLevel="0" collapsed="false">
      <c r="A2772" s="2" t="n">
        <v>2771</v>
      </c>
      <c r="B2772" s="2" t="s">
        <v>5803</v>
      </c>
      <c r="C2772" s="2" t="s">
        <v>5804</v>
      </c>
      <c r="D2772" s="2"/>
      <c r="E2772" s="2" t="s">
        <v>43</v>
      </c>
      <c r="F2772" s="3" t="n">
        <v>3.4E-005</v>
      </c>
      <c r="G2772" s="3" t="n">
        <f aca="false">SUM($F$2:F2772)</f>
        <v>0.969262</v>
      </c>
      <c r="H2772" s="4"/>
      <c r="I2772" s="5"/>
      <c r="J2772" s="4"/>
      <c r="K2772" s="5"/>
      <c r="L2772" s="6"/>
      <c r="M2772" s="5" t="str">
        <f aca="false">IF(AND(N(K2772)&gt;0,N(L2772)&gt;0),K2772/L2772,"")</f>
        <v/>
      </c>
      <c r="N2772" s="2" t="s">
        <v>1226</v>
      </c>
    </row>
    <row r="2773" customFormat="false" ht="15" hidden="false" customHeight="false" outlineLevel="0" collapsed="false">
      <c r="A2773" s="2" t="n">
        <v>2772</v>
      </c>
      <c r="B2773" s="2" t="s">
        <v>5805</v>
      </c>
      <c r="C2773" s="2" t="s">
        <v>5806</v>
      </c>
      <c r="D2773" s="2"/>
      <c r="E2773" s="2" t="s">
        <v>25</v>
      </c>
      <c r="F2773" s="3" t="n">
        <v>3.4E-005</v>
      </c>
      <c r="G2773" s="3" t="n">
        <f aca="false">SUM($F$2:F2773)</f>
        <v>0.969296</v>
      </c>
      <c r="H2773" s="4"/>
      <c r="I2773" s="5"/>
      <c r="J2773" s="4"/>
      <c r="K2773" s="5"/>
      <c r="L2773" s="6"/>
      <c r="M2773" s="5" t="str">
        <f aca="false">IF(AND(N(K2773)&gt;0,N(L2773)&gt;0),K2773/L2773,"")</f>
        <v/>
      </c>
      <c r="N2773" s="2" t="s">
        <v>1226</v>
      </c>
    </row>
    <row r="2774" customFormat="false" ht="15" hidden="false" customHeight="false" outlineLevel="0" collapsed="false">
      <c r="A2774" s="2" t="n">
        <v>2773</v>
      </c>
      <c r="B2774" s="2" t="s">
        <v>5807</v>
      </c>
      <c r="C2774" s="2" t="s">
        <v>5808</v>
      </c>
      <c r="D2774" s="2"/>
      <c r="E2774" s="2" t="s">
        <v>21</v>
      </c>
      <c r="F2774" s="3" t="n">
        <v>3.4E-005</v>
      </c>
      <c r="G2774" s="3" t="n">
        <f aca="false">SUM($F$2:F2774)</f>
        <v>0.96933</v>
      </c>
      <c r="H2774" s="4"/>
      <c r="I2774" s="5"/>
      <c r="J2774" s="4"/>
      <c r="K2774" s="5"/>
      <c r="L2774" s="6"/>
      <c r="M2774" s="5" t="str">
        <f aca="false">IF(AND(N(K2774)&gt;0,N(L2774)&gt;0),K2774/L2774,"")</f>
        <v/>
      </c>
      <c r="N2774" s="2" t="s">
        <v>1226</v>
      </c>
    </row>
    <row r="2775" customFormat="false" ht="15" hidden="false" customHeight="false" outlineLevel="0" collapsed="false">
      <c r="A2775" s="2" t="n">
        <v>2774</v>
      </c>
      <c r="B2775" s="2" t="s">
        <v>5809</v>
      </c>
      <c r="C2775" s="2" t="s">
        <v>5810</v>
      </c>
      <c r="D2775" s="2"/>
      <c r="E2775" s="2" t="s">
        <v>52</v>
      </c>
      <c r="F2775" s="3" t="n">
        <v>3.4E-005</v>
      </c>
      <c r="G2775" s="3" t="n">
        <f aca="false">SUM($F$2:F2775)</f>
        <v>0.969364</v>
      </c>
      <c r="H2775" s="4"/>
      <c r="I2775" s="5"/>
      <c r="J2775" s="4"/>
      <c r="K2775" s="5"/>
      <c r="L2775" s="6"/>
      <c r="M2775" s="5" t="str">
        <f aca="false">IF(AND(N(K2775)&gt;0,N(L2775)&gt;0),K2775/L2775,"")</f>
        <v/>
      </c>
      <c r="N2775" s="2" t="s">
        <v>1226</v>
      </c>
    </row>
    <row r="2776" customFormat="false" ht="15" hidden="false" customHeight="false" outlineLevel="0" collapsed="false">
      <c r="A2776" s="2" t="n">
        <v>2775</v>
      </c>
      <c r="B2776" s="2" t="s">
        <v>5811</v>
      </c>
      <c r="C2776" s="2" t="s">
        <v>5812</v>
      </c>
      <c r="D2776" s="2"/>
      <c r="E2776" s="2" t="s">
        <v>38</v>
      </c>
      <c r="F2776" s="3" t="n">
        <v>3.4E-005</v>
      </c>
      <c r="G2776" s="3" t="n">
        <f aca="false">SUM($F$2:F2776)</f>
        <v>0.969398</v>
      </c>
      <c r="H2776" s="4"/>
      <c r="I2776" s="5"/>
      <c r="J2776" s="4"/>
      <c r="K2776" s="5"/>
      <c r="L2776" s="6"/>
      <c r="M2776" s="5" t="str">
        <f aca="false">IF(AND(N(K2776)&gt;0,N(L2776)&gt;0),K2776/L2776,"")</f>
        <v/>
      </c>
      <c r="N2776" s="2" t="s">
        <v>1226</v>
      </c>
    </row>
    <row r="2777" customFormat="false" ht="15" hidden="false" customHeight="false" outlineLevel="0" collapsed="false">
      <c r="A2777" s="2" t="n">
        <v>2776</v>
      </c>
      <c r="B2777" s="2" t="s">
        <v>5813</v>
      </c>
      <c r="C2777" s="2" t="s">
        <v>5814</v>
      </c>
      <c r="D2777" s="2"/>
      <c r="E2777" s="2" t="s">
        <v>82</v>
      </c>
      <c r="F2777" s="3" t="n">
        <v>3.4E-005</v>
      </c>
      <c r="G2777" s="3" t="n">
        <f aca="false">SUM($F$2:F2777)</f>
        <v>0.969432</v>
      </c>
      <c r="H2777" s="4"/>
      <c r="I2777" s="5"/>
      <c r="J2777" s="4"/>
      <c r="K2777" s="5"/>
      <c r="L2777" s="6"/>
      <c r="M2777" s="5" t="str">
        <f aca="false">IF(AND(N(K2777)&gt;0,N(L2777)&gt;0),K2777/L2777,"")</f>
        <v/>
      </c>
      <c r="N2777" s="2" t="s">
        <v>1226</v>
      </c>
    </row>
    <row r="2778" customFormat="false" ht="15" hidden="false" customHeight="false" outlineLevel="0" collapsed="false">
      <c r="A2778" s="2" t="n">
        <v>2777</v>
      </c>
      <c r="B2778" s="2" t="s">
        <v>5815</v>
      </c>
      <c r="C2778" s="2" t="s">
        <v>5816</v>
      </c>
      <c r="D2778" s="2"/>
      <c r="E2778" s="2" t="s">
        <v>17</v>
      </c>
      <c r="F2778" s="3" t="n">
        <v>3.4E-005</v>
      </c>
      <c r="G2778" s="3" t="n">
        <f aca="false">SUM($F$2:F2778)</f>
        <v>0.969466</v>
      </c>
      <c r="H2778" s="4"/>
      <c r="I2778" s="5"/>
      <c r="J2778" s="4"/>
      <c r="K2778" s="5"/>
      <c r="L2778" s="6"/>
      <c r="M2778" s="5" t="str">
        <f aca="false">IF(AND(N(K2778)&gt;0,N(L2778)&gt;0),K2778/L2778,"")</f>
        <v/>
      </c>
      <c r="N2778" s="2" t="s">
        <v>1226</v>
      </c>
    </row>
    <row r="2779" customFormat="false" ht="15" hidden="false" customHeight="false" outlineLevel="0" collapsed="false">
      <c r="A2779" s="2" t="n">
        <v>2778</v>
      </c>
      <c r="B2779" s="2" t="s">
        <v>5817</v>
      </c>
      <c r="C2779" s="2" t="s">
        <v>5818</v>
      </c>
      <c r="D2779" s="2"/>
      <c r="E2779" s="2" t="s">
        <v>1345</v>
      </c>
      <c r="F2779" s="3" t="n">
        <v>3.4E-005</v>
      </c>
      <c r="G2779" s="3" t="n">
        <f aca="false">SUM($F$2:F2779)</f>
        <v>0.9695</v>
      </c>
      <c r="H2779" s="4"/>
      <c r="I2779" s="5"/>
      <c r="J2779" s="4"/>
      <c r="K2779" s="5"/>
      <c r="L2779" s="6"/>
      <c r="M2779" s="5" t="str">
        <f aca="false">IF(AND(N(K2779)&gt;0,N(L2779)&gt;0),K2779/L2779,"")</f>
        <v/>
      </c>
      <c r="N2779" s="2" t="s">
        <v>1226</v>
      </c>
    </row>
    <row r="2780" customFormat="false" ht="15" hidden="false" customHeight="false" outlineLevel="0" collapsed="false">
      <c r="A2780" s="2" t="n">
        <v>2779</v>
      </c>
      <c r="B2780" s="2" t="s">
        <v>5819</v>
      </c>
      <c r="C2780" s="2" t="s">
        <v>5820</v>
      </c>
      <c r="D2780" s="2"/>
      <c r="E2780" s="2" t="s">
        <v>52</v>
      </c>
      <c r="F2780" s="3" t="n">
        <v>3.4E-005</v>
      </c>
      <c r="G2780" s="3" t="n">
        <f aca="false">SUM($F$2:F2780)</f>
        <v>0.969534</v>
      </c>
      <c r="H2780" s="4"/>
      <c r="I2780" s="5"/>
      <c r="J2780" s="4"/>
      <c r="K2780" s="5"/>
      <c r="L2780" s="6"/>
      <c r="M2780" s="5" t="str">
        <f aca="false">IF(AND(N(K2780)&gt;0,N(L2780)&gt;0),K2780/L2780,"")</f>
        <v/>
      </c>
      <c r="N2780" s="2" t="s">
        <v>1226</v>
      </c>
    </row>
    <row r="2781" customFormat="false" ht="15" hidden="false" customHeight="false" outlineLevel="0" collapsed="false">
      <c r="A2781" s="2" t="n">
        <v>2780</v>
      </c>
      <c r="B2781" s="2" t="s">
        <v>5821</v>
      </c>
      <c r="C2781" s="2" t="s">
        <v>5822</v>
      </c>
      <c r="D2781" s="2"/>
      <c r="E2781" s="2" t="s">
        <v>826</v>
      </c>
      <c r="F2781" s="3" t="n">
        <v>3.3E-005</v>
      </c>
      <c r="G2781" s="3" t="n">
        <f aca="false">SUM($F$2:F2781)</f>
        <v>0.969567</v>
      </c>
      <c r="H2781" s="4"/>
      <c r="I2781" s="5"/>
      <c r="J2781" s="4"/>
      <c r="K2781" s="5"/>
      <c r="L2781" s="6"/>
      <c r="M2781" s="5" t="str">
        <f aca="false">IF(AND(N(K2781)&gt;0,N(L2781)&gt;0),K2781/L2781,"")</f>
        <v/>
      </c>
      <c r="N2781" s="2" t="s">
        <v>1226</v>
      </c>
    </row>
    <row r="2782" customFormat="false" ht="15" hidden="false" customHeight="false" outlineLevel="0" collapsed="false">
      <c r="A2782" s="2" t="n">
        <v>2781</v>
      </c>
      <c r="B2782" s="2" t="s">
        <v>5823</v>
      </c>
      <c r="C2782" s="2" t="s">
        <v>5824</v>
      </c>
      <c r="D2782" s="2"/>
      <c r="E2782" s="2" t="s">
        <v>52</v>
      </c>
      <c r="F2782" s="3" t="n">
        <v>3.3E-005</v>
      </c>
      <c r="G2782" s="3" t="n">
        <f aca="false">SUM($F$2:F2782)</f>
        <v>0.9696</v>
      </c>
      <c r="H2782" s="4"/>
      <c r="I2782" s="5"/>
      <c r="J2782" s="4"/>
      <c r="K2782" s="5"/>
      <c r="L2782" s="6"/>
      <c r="M2782" s="5" t="str">
        <f aca="false">IF(AND(N(K2782)&gt;0,N(L2782)&gt;0),K2782/L2782,"")</f>
        <v/>
      </c>
      <c r="N2782" s="2" t="s">
        <v>1226</v>
      </c>
    </row>
    <row r="2783" customFormat="false" ht="15" hidden="false" customHeight="false" outlineLevel="0" collapsed="false">
      <c r="A2783" s="2" t="n">
        <v>2782</v>
      </c>
      <c r="B2783" s="2" t="s">
        <v>5825</v>
      </c>
      <c r="C2783" s="2" t="s">
        <v>5826</v>
      </c>
      <c r="D2783" s="2"/>
      <c r="E2783" s="2" t="s">
        <v>17</v>
      </c>
      <c r="F2783" s="3" t="n">
        <v>3.3E-005</v>
      </c>
      <c r="G2783" s="3" t="n">
        <f aca="false">SUM($F$2:F2783)</f>
        <v>0.969633</v>
      </c>
      <c r="H2783" s="4"/>
      <c r="I2783" s="5"/>
      <c r="J2783" s="4"/>
      <c r="K2783" s="5"/>
      <c r="L2783" s="6"/>
      <c r="M2783" s="5" t="str">
        <f aca="false">IF(AND(N(K2783)&gt;0,N(L2783)&gt;0),K2783/L2783,"")</f>
        <v/>
      </c>
      <c r="N2783" s="2" t="s">
        <v>1226</v>
      </c>
    </row>
    <row r="2784" customFormat="false" ht="15" hidden="false" customHeight="false" outlineLevel="0" collapsed="false">
      <c r="A2784" s="2" t="n">
        <v>2783</v>
      </c>
      <c r="B2784" s="2" t="s">
        <v>5827</v>
      </c>
      <c r="C2784" s="2" t="s">
        <v>5828</v>
      </c>
      <c r="D2784" s="2"/>
      <c r="E2784" s="2" t="s">
        <v>1345</v>
      </c>
      <c r="F2784" s="3" t="n">
        <v>3.3E-005</v>
      </c>
      <c r="G2784" s="3" t="n">
        <f aca="false">SUM($F$2:F2784)</f>
        <v>0.969666</v>
      </c>
      <c r="H2784" s="4"/>
      <c r="I2784" s="5"/>
      <c r="J2784" s="4"/>
      <c r="K2784" s="5"/>
      <c r="L2784" s="6"/>
      <c r="M2784" s="5" t="str">
        <f aca="false">IF(AND(N(K2784)&gt;0,N(L2784)&gt;0),K2784/L2784,"")</f>
        <v/>
      </c>
      <c r="N2784" s="2" t="s">
        <v>1226</v>
      </c>
    </row>
    <row r="2785" customFormat="false" ht="15" hidden="false" customHeight="false" outlineLevel="0" collapsed="false">
      <c r="A2785" s="2" t="n">
        <v>2784</v>
      </c>
      <c r="B2785" s="2" t="s">
        <v>5829</v>
      </c>
      <c r="C2785" s="2" t="s">
        <v>5830</v>
      </c>
      <c r="D2785" s="2"/>
      <c r="E2785" s="2" t="s">
        <v>199</v>
      </c>
      <c r="F2785" s="3" t="n">
        <v>3.3E-005</v>
      </c>
      <c r="G2785" s="3" t="n">
        <f aca="false">SUM($F$2:F2785)</f>
        <v>0.969699</v>
      </c>
      <c r="H2785" s="4"/>
      <c r="I2785" s="5"/>
      <c r="J2785" s="4"/>
      <c r="K2785" s="5"/>
      <c r="L2785" s="6"/>
      <c r="M2785" s="5" t="str">
        <f aca="false">IF(AND(N(K2785)&gt;0,N(L2785)&gt;0),K2785/L2785,"")</f>
        <v/>
      </c>
      <c r="N2785" s="2" t="s">
        <v>1226</v>
      </c>
    </row>
    <row r="2786" customFormat="false" ht="15" hidden="false" customHeight="false" outlineLevel="0" collapsed="false">
      <c r="A2786" s="2" t="n">
        <v>2785</v>
      </c>
      <c r="B2786" s="2" t="s">
        <v>5831</v>
      </c>
      <c r="C2786" s="2" t="s">
        <v>5832</v>
      </c>
      <c r="D2786" s="2"/>
      <c r="E2786" s="2" t="s">
        <v>52</v>
      </c>
      <c r="F2786" s="3" t="n">
        <v>3.3E-005</v>
      </c>
      <c r="G2786" s="3" t="n">
        <f aca="false">SUM($F$2:F2786)</f>
        <v>0.969732</v>
      </c>
      <c r="H2786" s="4"/>
      <c r="I2786" s="5"/>
      <c r="J2786" s="4"/>
      <c r="K2786" s="5"/>
      <c r="L2786" s="6"/>
      <c r="M2786" s="5" t="str">
        <f aca="false">IF(AND(N(K2786)&gt;0,N(L2786)&gt;0),K2786/L2786,"")</f>
        <v/>
      </c>
      <c r="N2786" s="2" t="s">
        <v>1226</v>
      </c>
    </row>
    <row r="2787" customFormat="false" ht="15" hidden="false" customHeight="false" outlineLevel="0" collapsed="false">
      <c r="A2787" s="2" t="n">
        <v>2786</v>
      </c>
      <c r="B2787" s="2" t="s">
        <v>5833</v>
      </c>
      <c r="C2787" s="2" t="s">
        <v>5834</v>
      </c>
      <c r="D2787" s="2"/>
      <c r="E2787" s="2" t="s">
        <v>29</v>
      </c>
      <c r="F2787" s="3" t="n">
        <v>3.3E-005</v>
      </c>
      <c r="G2787" s="3" t="n">
        <f aca="false">SUM($F$2:F2787)</f>
        <v>0.969765</v>
      </c>
      <c r="H2787" s="4"/>
      <c r="I2787" s="5"/>
      <c r="J2787" s="4"/>
      <c r="K2787" s="5"/>
      <c r="L2787" s="6"/>
      <c r="M2787" s="5" t="str">
        <f aca="false">IF(AND(N(K2787)&gt;0,N(L2787)&gt;0),K2787/L2787,"")</f>
        <v/>
      </c>
      <c r="N2787" s="2" t="s">
        <v>1226</v>
      </c>
    </row>
    <row r="2788" customFormat="false" ht="15" hidden="false" customHeight="false" outlineLevel="0" collapsed="false">
      <c r="A2788" s="2" t="n">
        <v>2787</v>
      </c>
      <c r="B2788" s="2" t="s">
        <v>5835</v>
      </c>
      <c r="C2788" s="2" t="s">
        <v>5836</v>
      </c>
      <c r="D2788" s="2"/>
      <c r="E2788" s="2" t="s">
        <v>52</v>
      </c>
      <c r="F2788" s="3" t="n">
        <v>3.3E-005</v>
      </c>
      <c r="G2788" s="3" t="n">
        <f aca="false">SUM($F$2:F2788)</f>
        <v>0.969798</v>
      </c>
      <c r="H2788" s="4"/>
      <c r="I2788" s="5"/>
      <c r="J2788" s="4"/>
      <c r="K2788" s="5"/>
      <c r="L2788" s="6"/>
      <c r="M2788" s="5" t="str">
        <f aca="false">IF(AND(N(K2788)&gt;0,N(L2788)&gt;0),K2788/L2788,"")</f>
        <v/>
      </c>
      <c r="N2788" s="2" t="s">
        <v>1226</v>
      </c>
    </row>
    <row r="2789" customFormat="false" ht="15" hidden="false" customHeight="false" outlineLevel="0" collapsed="false">
      <c r="A2789" s="2" t="n">
        <v>2788</v>
      </c>
      <c r="B2789" s="2" t="s">
        <v>5837</v>
      </c>
      <c r="C2789" s="2" t="s">
        <v>5838</v>
      </c>
      <c r="D2789" s="2"/>
      <c r="E2789" s="2" t="s">
        <v>1345</v>
      </c>
      <c r="F2789" s="3" t="n">
        <v>3.3E-005</v>
      </c>
      <c r="G2789" s="3" t="n">
        <f aca="false">SUM($F$2:F2789)</f>
        <v>0.969831</v>
      </c>
      <c r="H2789" s="4"/>
      <c r="I2789" s="5"/>
      <c r="J2789" s="4"/>
      <c r="K2789" s="5"/>
      <c r="L2789" s="6"/>
      <c r="M2789" s="5" t="str">
        <f aca="false">IF(AND(N(K2789)&gt;0,N(L2789)&gt;0),K2789/L2789,"")</f>
        <v/>
      </c>
      <c r="N2789" s="2" t="s">
        <v>1226</v>
      </c>
    </row>
    <row r="2790" customFormat="false" ht="15" hidden="false" customHeight="false" outlineLevel="0" collapsed="false">
      <c r="A2790" s="2" t="n">
        <v>2789</v>
      </c>
      <c r="B2790" s="2" t="s">
        <v>5839</v>
      </c>
      <c r="C2790" s="2" t="s">
        <v>5840</v>
      </c>
      <c r="D2790" s="2"/>
      <c r="E2790" s="2" t="s">
        <v>539</v>
      </c>
      <c r="F2790" s="3" t="n">
        <v>3.3E-005</v>
      </c>
      <c r="G2790" s="3" t="n">
        <f aca="false">SUM($F$2:F2790)</f>
        <v>0.969864</v>
      </c>
      <c r="H2790" s="4"/>
      <c r="I2790" s="5"/>
      <c r="J2790" s="4"/>
      <c r="K2790" s="5"/>
      <c r="L2790" s="6"/>
      <c r="M2790" s="5" t="str">
        <f aca="false">IF(AND(N(K2790)&gt;0,N(L2790)&gt;0),K2790/L2790,"")</f>
        <v/>
      </c>
      <c r="N2790" s="2" t="s">
        <v>1226</v>
      </c>
    </row>
    <row r="2791" customFormat="false" ht="15" hidden="false" customHeight="false" outlineLevel="0" collapsed="false">
      <c r="A2791" s="2" t="n">
        <v>2790</v>
      </c>
      <c r="B2791" s="2" t="s">
        <v>5841</v>
      </c>
      <c r="C2791" s="2" t="s">
        <v>5842</v>
      </c>
      <c r="D2791" s="2"/>
      <c r="E2791" s="2" t="s">
        <v>1345</v>
      </c>
      <c r="F2791" s="3" t="n">
        <v>3.3E-005</v>
      </c>
      <c r="G2791" s="3" t="n">
        <f aca="false">SUM($F$2:F2791)</f>
        <v>0.969897</v>
      </c>
      <c r="H2791" s="4"/>
      <c r="I2791" s="5"/>
      <c r="J2791" s="4"/>
      <c r="K2791" s="5"/>
      <c r="L2791" s="6"/>
      <c r="M2791" s="5" t="str">
        <f aca="false">IF(AND(N(K2791)&gt;0,N(L2791)&gt;0),K2791/L2791,"")</f>
        <v/>
      </c>
      <c r="N2791" s="2" t="s">
        <v>1226</v>
      </c>
    </row>
    <row r="2792" customFormat="false" ht="15" hidden="false" customHeight="false" outlineLevel="0" collapsed="false">
      <c r="A2792" s="2" t="n">
        <v>2791</v>
      </c>
      <c r="B2792" s="2" t="s">
        <v>5843</v>
      </c>
      <c r="C2792" s="2" t="s">
        <v>5844</v>
      </c>
      <c r="D2792" s="2"/>
      <c r="E2792" s="2" t="s">
        <v>52</v>
      </c>
      <c r="F2792" s="3" t="n">
        <v>3.3E-005</v>
      </c>
      <c r="G2792" s="3" t="n">
        <f aca="false">SUM($F$2:F2792)</f>
        <v>0.96993</v>
      </c>
      <c r="H2792" s="4"/>
      <c r="I2792" s="5"/>
      <c r="J2792" s="4"/>
      <c r="K2792" s="5"/>
      <c r="L2792" s="6"/>
      <c r="M2792" s="5" t="str">
        <f aca="false">IF(AND(N(K2792)&gt;0,N(L2792)&gt;0),K2792/L2792,"")</f>
        <v/>
      </c>
      <c r="N2792" s="2" t="s">
        <v>1226</v>
      </c>
    </row>
    <row r="2793" customFormat="false" ht="15" hidden="false" customHeight="false" outlineLevel="0" collapsed="false">
      <c r="A2793" s="2" t="n">
        <v>2792</v>
      </c>
      <c r="B2793" s="2" t="s">
        <v>5845</v>
      </c>
      <c r="C2793" s="2" t="s">
        <v>5846</v>
      </c>
      <c r="D2793" s="2"/>
      <c r="E2793" s="2" t="s">
        <v>1345</v>
      </c>
      <c r="F2793" s="3" t="n">
        <v>3.3E-005</v>
      </c>
      <c r="G2793" s="3" t="n">
        <f aca="false">SUM($F$2:F2793)</f>
        <v>0.969963</v>
      </c>
      <c r="H2793" s="4"/>
      <c r="I2793" s="5"/>
      <c r="J2793" s="4"/>
      <c r="K2793" s="5"/>
      <c r="L2793" s="6"/>
      <c r="M2793" s="5" t="str">
        <f aca="false">IF(AND(N(K2793)&gt;0,N(L2793)&gt;0),K2793/L2793,"")</f>
        <v/>
      </c>
      <c r="N2793" s="2" t="s">
        <v>1226</v>
      </c>
    </row>
    <row r="2794" customFormat="false" ht="15" hidden="false" customHeight="false" outlineLevel="0" collapsed="false">
      <c r="A2794" s="2" t="n">
        <v>2793</v>
      </c>
      <c r="B2794" s="2" t="s">
        <v>5847</v>
      </c>
      <c r="C2794" s="2" t="s">
        <v>5848</v>
      </c>
      <c r="D2794" s="2"/>
      <c r="E2794" s="2" t="s">
        <v>52</v>
      </c>
      <c r="F2794" s="3" t="n">
        <v>3.3E-005</v>
      </c>
      <c r="G2794" s="3" t="n">
        <f aca="false">SUM($F$2:F2794)</f>
        <v>0.969996</v>
      </c>
      <c r="H2794" s="4"/>
      <c r="I2794" s="5"/>
      <c r="J2794" s="4"/>
      <c r="K2794" s="5"/>
      <c r="L2794" s="6"/>
      <c r="M2794" s="5" t="str">
        <f aca="false">IF(AND(N(K2794)&gt;0,N(L2794)&gt;0),K2794/L2794,"")</f>
        <v/>
      </c>
      <c r="N2794" s="2" t="s">
        <v>1226</v>
      </c>
    </row>
    <row r="2795" customFormat="false" ht="15" hidden="false" customHeight="false" outlineLevel="0" collapsed="false">
      <c r="A2795" s="2" t="n">
        <v>2794</v>
      </c>
      <c r="B2795" s="2" t="s">
        <v>5849</v>
      </c>
      <c r="C2795" s="2" t="s">
        <v>5850</v>
      </c>
      <c r="D2795" s="2"/>
      <c r="E2795" s="2" t="s">
        <v>289</v>
      </c>
      <c r="F2795" s="3" t="n">
        <v>3.3E-005</v>
      </c>
      <c r="G2795" s="3" t="n">
        <f aca="false">SUM($F$2:F2795)</f>
        <v>0.970029</v>
      </c>
      <c r="H2795" s="4"/>
      <c r="I2795" s="5"/>
      <c r="J2795" s="4"/>
      <c r="K2795" s="5"/>
      <c r="L2795" s="6"/>
      <c r="M2795" s="5" t="str">
        <f aca="false">IF(AND(N(K2795)&gt;0,N(L2795)&gt;0),K2795/L2795,"")</f>
        <v/>
      </c>
      <c r="N2795" s="2" t="s">
        <v>1226</v>
      </c>
    </row>
    <row r="2796" customFormat="false" ht="15" hidden="false" customHeight="false" outlineLevel="0" collapsed="false">
      <c r="A2796" s="2" t="n">
        <v>2795</v>
      </c>
      <c r="B2796" s="2" t="s">
        <v>5851</v>
      </c>
      <c r="C2796" s="2" t="s">
        <v>5852</v>
      </c>
      <c r="D2796" s="2"/>
      <c r="E2796" s="2" t="s">
        <v>1284</v>
      </c>
      <c r="F2796" s="3" t="n">
        <v>3.3E-005</v>
      </c>
      <c r="G2796" s="3" t="n">
        <f aca="false">SUM($F$2:F2796)</f>
        <v>0.970062</v>
      </c>
      <c r="H2796" s="4"/>
      <c r="I2796" s="5"/>
      <c r="J2796" s="4"/>
      <c r="K2796" s="5"/>
      <c r="L2796" s="6"/>
      <c r="M2796" s="5" t="str">
        <f aca="false">IF(AND(N(K2796)&gt;0,N(L2796)&gt;0),K2796/L2796,"")</f>
        <v/>
      </c>
      <c r="N2796" s="2" t="s">
        <v>1226</v>
      </c>
    </row>
    <row r="2797" customFormat="false" ht="15" hidden="false" customHeight="false" outlineLevel="0" collapsed="false">
      <c r="A2797" s="2" t="n">
        <v>2796</v>
      </c>
      <c r="B2797" s="2" t="s">
        <v>5853</v>
      </c>
      <c r="C2797" s="2" t="s">
        <v>5854</v>
      </c>
      <c r="D2797" s="2"/>
      <c r="E2797" s="2" t="s">
        <v>199</v>
      </c>
      <c r="F2797" s="3" t="n">
        <v>3.3E-005</v>
      </c>
      <c r="G2797" s="3" t="n">
        <f aca="false">SUM($F$2:F2797)</f>
        <v>0.970095</v>
      </c>
      <c r="H2797" s="4"/>
      <c r="I2797" s="5"/>
      <c r="J2797" s="4"/>
      <c r="K2797" s="5"/>
      <c r="L2797" s="6"/>
      <c r="M2797" s="5" t="str">
        <f aca="false">IF(AND(N(K2797)&gt;0,N(L2797)&gt;0),K2797/L2797,"")</f>
        <v/>
      </c>
      <c r="N2797" s="2" t="s">
        <v>1226</v>
      </c>
    </row>
    <row r="2798" customFormat="false" ht="15" hidden="false" customHeight="false" outlineLevel="0" collapsed="false">
      <c r="A2798" s="2" t="n">
        <v>2797</v>
      </c>
      <c r="B2798" s="2" t="s">
        <v>5855</v>
      </c>
      <c r="C2798" s="2" t="s">
        <v>5856</v>
      </c>
      <c r="D2798" s="2"/>
      <c r="E2798" s="2" t="s">
        <v>1345</v>
      </c>
      <c r="F2798" s="3" t="n">
        <v>3.3E-005</v>
      </c>
      <c r="G2798" s="3" t="n">
        <f aca="false">SUM($F$2:F2798)</f>
        <v>0.970128</v>
      </c>
      <c r="H2798" s="4"/>
      <c r="I2798" s="5"/>
      <c r="J2798" s="4"/>
      <c r="K2798" s="5"/>
      <c r="L2798" s="6"/>
      <c r="M2798" s="5" t="str">
        <f aca="false">IF(AND(N(K2798)&gt;0,N(L2798)&gt;0),K2798/L2798,"")</f>
        <v/>
      </c>
      <c r="N2798" s="2" t="s">
        <v>1226</v>
      </c>
    </row>
    <row r="2799" customFormat="false" ht="15" hidden="false" customHeight="false" outlineLevel="0" collapsed="false">
      <c r="A2799" s="2" t="n">
        <v>2798</v>
      </c>
      <c r="B2799" s="2" t="s">
        <v>5857</v>
      </c>
      <c r="C2799" s="2" t="s">
        <v>5858</v>
      </c>
      <c r="D2799" s="2"/>
      <c r="E2799" s="2" t="s">
        <v>289</v>
      </c>
      <c r="F2799" s="3" t="n">
        <v>3.3E-005</v>
      </c>
      <c r="G2799" s="3" t="n">
        <f aca="false">SUM($F$2:F2799)</f>
        <v>0.970161</v>
      </c>
      <c r="H2799" s="4"/>
      <c r="I2799" s="5"/>
      <c r="J2799" s="4"/>
      <c r="K2799" s="5"/>
      <c r="L2799" s="6"/>
      <c r="M2799" s="5" t="str">
        <f aca="false">IF(AND(N(K2799)&gt;0,N(L2799)&gt;0),K2799/L2799,"")</f>
        <v/>
      </c>
      <c r="N2799" s="2" t="s">
        <v>1226</v>
      </c>
    </row>
    <row r="2800" customFormat="false" ht="15" hidden="false" customHeight="false" outlineLevel="0" collapsed="false">
      <c r="A2800" s="2" t="n">
        <v>2799</v>
      </c>
      <c r="B2800" s="2" t="s">
        <v>5859</v>
      </c>
      <c r="C2800" s="2" t="s">
        <v>5860</v>
      </c>
      <c r="D2800" s="2"/>
      <c r="E2800" s="2" t="s">
        <v>1295</v>
      </c>
      <c r="F2800" s="3" t="n">
        <v>3.3E-005</v>
      </c>
      <c r="G2800" s="3" t="n">
        <f aca="false">SUM($F$2:F2800)</f>
        <v>0.970194</v>
      </c>
      <c r="H2800" s="4"/>
      <c r="I2800" s="5"/>
      <c r="J2800" s="4"/>
      <c r="K2800" s="5"/>
      <c r="L2800" s="6"/>
      <c r="M2800" s="5" t="str">
        <f aca="false">IF(AND(N(K2800)&gt;0,N(L2800)&gt;0),K2800/L2800,"")</f>
        <v/>
      </c>
      <c r="N2800" s="2" t="s">
        <v>1226</v>
      </c>
    </row>
    <row r="2801" customFormat="false" ht="15" hidden="false" customHeight="false" outlineLevel="0" collapsed="false">
      <c r="A2801" s="2" t="n">
        <v>2800</v>
      </c>
      <c r="B2801" s="2" t="s">
        <v>5861</v>
      </c>
      <c r="C2801" s="2" t="s">
        <v>5862</v>
      </c>
      <c r="D2801" s="2"/>
      <c r="E2801" s="2" t="s">
        <v>48</v>
      </c>
      <c r="F2801" s="3" t="n">
        <v>3.3E-005</v>
      </c>
      <c r="G2801" s="3" t="n">
        <f aca="false">SUM($F$2:F2801)</f>
        <v>0.970227</v>
      </c>
      <c r="H2801" s="4"/>
      <c r="I2801" s="5"/>
      <c r="J2801" s="4"/>
      <c r="K2801" s="5"/>
      <c r="L2801" s="6"/>
      <c r="M2801" s="5" t="str">
        <f aca="false">IF(AND(N(K2801)&gt;0,N(L2801)&gt;0),K2801/L2801,"")</f>
        <v/>
      </c>
      <c r="N2801" s="2" t="s">
        <v>1226</v>
      </c>
    </row>
    <row r="2802" customFormat="false" ht="15" hidden="false" customHeight="false" outlineLevel="0" collapsed="false">
      <c r="A2802" s="2" t="n">
        <v>2801</v>
      </c>
      <c r="B2802" s="2" t="s">
        <v>5863</v>
      </c>
      <c r="C2802" s="2" t="s">
        <v>5864</v>
      </c>
      <c r="D2802" s="2"/>
      <c r="E2802" s="2" t="s">
        <v>539</v>
      </c>
      <c r="F2802" s="3" t="n">
        <v>3.3E-005</v>
      </c>
      <c r="G2802" s="3" t="n">
        <f aca="false">SUM($F$2:F2802)</f>
        <v>0.97026</v>
      </c>
      <c r="H2802" s="4"/>
      <c r="I2802" s="5"/>
      <c r="J2802" s="4"/>
      <c r="K2802" s="5"/>
      <c r="L2802" s="6"/>
      <c r="M2802" s="5" t="str">
        <f aca="false">IF(AND(N(K2802)&gt;0,N(L2802)&gt;0),K2802/L2802,"")</f>
        <v/>
      </c>
      <c r="N2802" s="2" t="s">
        <v>1226</v>
      </c>
    </row>
    <row r="2803" customFormat="false" ht="15" hidden="false" customHeight="false" outlineLevel="0" collapsed="false">
      <c r="A2803" s="2" t="n">
        <v>2802</v>
      </c>
      <c r="B2803" s="2" t="s">
        <v>5865</v>
      </c>
      <c r="C2803" s="2" t="s">
        <v>5866</v>
      </c>
      <c r="D2803" s="2"/>
      <c r="E2803" s="2" t="s">
        <v>43</v>
      </c>
      <c r="F2803" s="3" t="n">
        <v>3.3E-005</v>
      </c>
      <c r="G2803" s="3" t="n">
        <f aca="false">SUM($F$2:F2803)</f>
        <v>0.970293</v>
      </c>
      <c r="H2803" s="4"/>
      <c r="I2803" s="5"/>
      <c r="J2803" s="4"/>
      <c r="K2803" s="5"/>
      <c r="L2803" s="6"/>
      <c r="M2803" s="5" t="str">
        <f aca="false">IF(AND(N(K2803)&gt;0,N(L2803)&gt;0),K2803/L2803,"")</f>
        <v/>
      </c>
      <c r="N2803" s="2" t="s">
        <v>1226</v>
      </c>
    </row>
    <row r="2804" customFormat="false" ht="15" hidden="false" customHeight="false" outlineLevel="0" collapsed="false">
      <c r="A2804" s="2" t="n">
        <v>2803</v>
      </c>
      <c r="B2804" s="2" t="s">
        <v>5867</v>
      </c>
      <c r="C2804" s="2" t="s">
        <v>5868</v>
      </c>
      <c r="D2804" s="2"/>
      <c r="E2804" s="2" t="s">
        <v>43</v>
      </c>
      <c r="F2804" s="3" t="n">
        <v>3.3E-005</v>
      </c>
      <c r="G2804" s="3" t="n">
        <f aca="false">SUM($F$2:F2804)</f>
        <v>0.970326</v>
      </c>
      <c r="H2804" s="4"/>
      <c r="I2804" s="5"/>
      <c r="J2804" s="4"/>
      <c r="K2804" s="5"/>
      <c r="L2804" s="6"/>
      <c r="M2804" s="5" t="str">
        <f aca="false">IF(AND(N(K2804)&gt;0,N(L2804)&gt;0),K2804/L2804,"")</f>
        <v/>
      </c>
      <c r="N2804" s="2" t="s">
        <v>1226</v>
      </c>
    </row>
    <row r="2805" customFormat="false" ht="15" hidden="false" customHeight="false" outlineLevel="0" collapsed="false">
      <c r="A2805" s="2" t="n">
        <v>2804</v>
      </c>
      <c r="B2805" s="2" t="s">
        <v>5869</v>
      </c>
      <c r="C2805" s="2" t="s">
        <v>5870</v>
      </c>
      <c r="D2805" s="2"/>
      <c r="E2805" s="2" t="s">
        <v>1345</v>
      </c>
      <c r="F2805" s="3" t="n">
        <v>3.3E-005</v>
      </c>
      <c r="G2805" s="3" t="n">
        <f aca="false">SUM($F$2:F2805)</f>
        <v>0.970359</v>
      </c>
      <c r="H2805" s="4"/>
      <c r="I2805" s="5"/>
      <c r="J2805" s="4"/>
      <c r="K2805" s="5"/>
      <c r="L2805" s="6"/>
      <c r="M2805" s="5" t="str">
        <f aca="false">IF(AND(N(K2805)&gt;0,N(L2805)&gt;0),K2805/L2805,"")</f>
        <v/>
      </c>
      <c r="N2805" s="2" t="s">
        <v>1226</v>
      </c>
    </row>
    <row r="2806" customFormat="false" ht="15" hidden="false" customHeight="false" outlineLevel="0" collapsed="false">
      <c r="A2806" s="2" t="n">
        <v>2805</v>
      </c>
      <c r="B2806" s="2" t="s">
        <v>5871</v>
      </c>
      <c r="C2806" s="2" t="s">
        <v>5872</v>
      </c>
      <c r="D2806" s="2"/>
      <c r="E2806" s="2" t="s">
        <v>52</v>
      </c>
      <c r="F2806" s="3" t="n">
        <v>3.3E-005</v>
      </c>
      <c r="G2806" s="3" t="n">
        <f aca="false">SUM($F$2:F2806)</f>
        <v>0.970392</v>
      </c>
      <c r="H2806" s="4"/>
      <c r="I2806" s="5"/>
      <c r="J2806" s="4"/>
      <c r="K2806" s="5"/>
      <c r="L2806" s="6"/>
      <c r="M2806" s="5" t="str">
        <f aca="false">IF(AND(N(K2806)&gt;0,N(L2806)&gt;0),K2806/L2806,"")</f>
        <v/>
      </c>
      <c r="N2806" s="2" t="s">
        <v>1226</v>
      </c>
    </row>
    <row r="2807" customFormat="false" ht="15" hidden="false" customHeight="false" outlineLevel="0" collapsed="false">
      <c r="A2807" s="2" t="n">
        <v>2806</v>
      </c>
      <c r="B2807" s="2" t="s">
        <v>5873</v>
      </c>
      <c r="C2807" s="2" t="s">
        <v>5874</v>
      </c>
      <c r="D2807" s="2"/>
      <c r="E2807" s="2" t="s">
        <v>25</v>
      </c>
      <c r="F2807" s="3" t="n">
        <v>3.3E-005</v>
      </c>
      <c r="G2807" s="3" t="n">
        <f aca="false">SUM($F$2:F2807)</f>
        <v>0.970425</v>
      </c>
      <c r="H2807" s="4"/>
      <c r="I2807" s="5"/>
      <c r="J2807" s="4"/>
      <c r="K2807" s="5"/>
      <c r="L2807" s="6"/>
      <c r="M2807" s="5" t="str">
        <f aca="false">IF(AND(N(K2807)&gt;0,N(L2807)&gt;0),K2807/L2807,"")</f>
        <v/>
      </c>
      <c r="N2807" s="2" t="s">
        <v>1226</v>
      </c>
    </row>
    <row r="2808" customFormat="false" ht="15" hidden="false" customHeight="false" outlineLevel="0" collapsed="false">
      <c r="A2808" s="2" t="n">
        <v>2807</v>
      </c>
      <c r="B2808" s="2" t="s">
        <v>5875</v>
      </c>
      <c r="C2808" s="2" t="s">
        <v>5876</v>
      </c>
      <c r="D2808" s="2"/>
      <c r="E2808" s="2" t="s">
        <v>1345</v>
      </c>
      <c r="F2808" s="3" t="n">
        <v>3.3E-005</v>
      </c>
      <c r="G2808" s="3" t="n">
        <f aca="false">SUM($F$2:F2808)</f>
        <v>0.970458</v>
      </c>
      <c r="H2808" s="4"/>
      <c r="I2808" s="5"/>
      <c r="J2808" s="4"/>
      <c r="K2808" s="5"/>
      <c r="L2808" s="6"/>
      <c r="M2808" s="5" t="str">
        <f aca="false">IF(AND(N(K2808)&gt;0,N(L2808)&gt;0),K2808/L2808,"")</f>
        <v/>
      </c>
      <c r="N2808" s="2" t="s">
        <v>1226</v>
      </c>
    </row>
    <row r="2809" customFormat="false" ht="15" hidden="false" customHeight="false" outlineLevel="0" collapsed="false">
      <c r="A2809" s="2" t="n">
        <v>2808</v>
      </c>
      <c r="B2809" s="2" t="s">
        <v>5877</v>
      </c>
      <c r="C2809" s="2" t="s">
        <v>5878</v>
      </c>
      <c r="D2809" s="2"/>
      <c r="E2809" s="2" t="s">
        <v>25</v>
      </c>
      <c r="F2809" s="3" t="n">
        <v>3.3E-005</v>
      </c>
      <c r="G2809" s="3" t="n">
        <f aca="false">SUM($F$2:F2809)</f>
        <v>0.970491</v>
      </c>
      <c r="H2809" s="4"/>
      <c r="I2809" s="5"/>
      <c r="J2809" s="4"/>
      <c r="K2809" s="5"/>
      <c r="L2809" s="6"/>
      <c r="M2809" s="5" t="str">
        <f aca="false">IF(AND(N(K2809)&gt;0,N(L2809)&gt;0),K2809/L2809,"")</f>
        <v/>
      </c>
      <c r="N2809" s="2" t="s">
        <v>1226</v>
      </c>
    </row>
    <row r="2810" customFormat="false" ht="15" hidden="false" customHeight="false" outlineLevel="0" collapsed="false">
      <c r="A2810" s="2" t="n">
        <v>2809</v>
      </c>
      <c r="B2810" s="2" t="s">
        <v>5879</v>
      </c>
      <c r="C2810" s="2" t="s">
        <v>5880</v>
      </c>
      <c r="D2810" s="2"/>
      <c r="E2810" s="2" t="s">
        <v>82</v>
      </c>
      <c r="F2810" s="3" t="n">
        <v>3.3E-005</v>
      </c>
      <c r="G2810" s="3" t="n">
        <f aca="false">SUM($F$2:F2810)</f>
        <v>0.970524</v>
      </c>
      <c r="H2810" s="4"/>
      <c r="I2810" s="5"/>
      <c r="J2810" s="4"/>
      <c r="K2810" s="5"/>
      <c r="L2810" s="6"/>
      <c r="M2810" s="5" t="str">
        <f aca="false">IF(AND(N(K2810)&gt;0,N(L2810)&gt;0),K2810/L2810,"")</f>
        <v/>
      </c>
      <c r="N2810" s="2" t="s">
        <v>1226</v>
      </c>
    </row>
    <row r="2811" customFormat="false" ht="15" hidden="false" customHeight="false" outlineLevel="0" collapsed="false">
      <c r="A2811" s="2" t="n">
        <v>2810</v>
      </c>
      <c r="B2811" s="2" t="s">
        <v>5881</v>
      </c>
      <c r="C2811" s="2" t="s">
        <v>5882</v>
      </c>
      <c r="D2811" s="2"/>
      <c r="E2811" s="2" t="s">
        <v>1345</v>
      </c>
      <c r="F2811" s="3" t="n">
        <v>3.3E-005</v>
      </c>
      <c r="G2811" s="3" t="n">
        <f aca="false">SUM($F$2:F2811)</f>
        <v>0.970557</v>
      </c>
      <c r="H2811" s="4"/>
      <c r="I2811" s="5"/>
      <c r="J2811" s="4"/>
      <c r="K2811" s="5"/>
      <c r="L2811" s="6"/>
      <c r="M2811" s="5" t="str">
        <f aca="false">IF(AND(N(K2811)&gt;0,N(L2811)&gt;0),K2811/L2811,"")</f>
        <v/>
      </c>
      <c r="N2811" s="2" t="s">
        <v>1226</v>
      </c>
    </row>
    <row r="2812" customFormat="false" ht="15" hidden="false" customHeight="false" outlineLevel="0" collapsed="false">
      <c r="A2812" s="2" t="n">
        <v>2811</v>
      </c>
      <c r="B2812" s="2" t="s">
        <v>5883</v>
      </c>
      <c r="C2812" s="2" t="s">
        <v>5884</v>
      </c>
      <c r="D2812" s="2"/>
      <c r="E2812" s="2" t="s">
        <v>1345</v>
      </c>
      <c r="F2812" s="3" t="n">
        <v>3.3E-005</v>
      </c>
      <c r="G2812" s="3" t="n">
        <f aca="false">SUM($F$2:F2812)</f>
        <v>0.97059</v>
      </c>
      <c r="H2812" s="4"/>
      <c r="I2812" s="5"/>
      <c r="J2812" s="4"/>
      <c r="K2812" s="5"/>
      <c r="L2812" s="6"/>
      <c r="M2812" s="5" t="str">
        <f aca="false">IF(AND(N(K2812)&gt;0,N(L2812)&gt;0),K2812/L2812,"")</f>
        <v/>
      </c>
      <c r="N2812" s="2" t="s">
        <v>1226</v>
      </c>
    </row>
    <row r="2813" customFormat="false" ht="15" hidden="false" customHeight="false" outlineLevel="0" collapsed="false">
      <c r="A2813" s="2" t="n">
        <v>2812</v>
      </c>
      <c r="B2813" s="2" t="s">
        <v>5885</v>
      </c>
      <c r="C2813" s="2" t="s">
        <v>5886</v>
      </c>
      <c r="D2813" s="2"/>
      <c r="E2813" s="2" t="s">
        <v>25</v>
      </c>
      <c r="F2813" s="3" t="n">
        <v>3.3E-005</v>
      </c>
      <c r="G2813" s="3" t="n">
        <f aca="false">SUM($F$2:F2813)</f>
        <v>0.970623</v>
      </c>
      <c r="H2813" s="4"/>
      <c r="I2813" s="5"/>
      <c r="J2813" s="4"/>
      <c r="K2813" s="5"/>
      <c r="L2813" s="6"/>
      <c r="M2813" s="5" t="str">
        <f aca="false">IF(AND(N(K2813)&gt;0,N(L2813)&gt;0),K2813/L2813,"")</f>
        <v/>
      </c>
      <c r="N2813" s="2" t="s">
        <v>1226</v>
      </c>
    </row>
    <row r="2814" customFormat="false" ht="15" hidden="false" customHeight="false" outlineLevel="0" collapsed="false">
      <c r="A2814" s="2" t="n">
        <v>2813</v>
      </c>
      <c r="B2814" s="2" t="s">
        <v>5887</v>
      </c>
      <c r="C2814" s="2" t="s">
        <v>5888</v>
      </c>
      <c r="D2814" s="2"/>
      <c r="E2814" s="2" t="s">
        <v>25</v>
      </c>
      <c r="F2814" s="3" t="n">
        <v>3.3E-005</v>
      </c>
      <c r="G2814" s="3" t="n">
        <f aca="false">SUM($F$2:F2814)</f>
        <v>0.970656</v>
      </c>
      <c r="H2814" s="4"/>
      <c r="I2814" s="5"/>
      <c r="J2814" s="4"/>
      <c r="K2814" s="5"/>
      <c r="L2814" s="6"/>
      <c r="M2814" s="5" t="str">
        <f aca="false">IF(AND(N(K2814)&gt;0,N(L2814)&gt;0),K2814/L2814,"")</f>
        <v/>
      </c>
      <c r="N2814" s="2" t="s">
        <v>1226</v>
      </c>
    </row>
    <row r="2815" customFormat="false" ht="15" hidden="false" customHeight="false" outlineLevel="0" collapsed="false">
      <c r="A2815" s="2" t="n">
        <v>2814</v>
      </c>
      <c r="B2815" s="2" t="s">
        <v>5889</v>
      </c>
      <c r="C2815" s="2" t="s">
        <v>5890</v>
      </c>
      <c r="D2815" s="2"/>
      <c r="E2815" s="2" t="s">
        <v>52</v>
      </c>
      <c r="F2815" s="3" t="n">
        <v>3.3E-005</v>
      </c>
      <c r="G2815" s="3" t="n">
        <f aca="false">SUM($F$2:F2815)</f>
        <v>0.970689</v>
      </c>
      <c r="H2815" s="4"/>
      <c r="I2815" s="5"/>
      <c r="J2815" s="4"/>
      <c r="K2815" s="5"/>
      <c r="L2815" s="6"/>
      <c r="M2815" s="5" t="str">
        <f aca="false">IF(AND(N(K2815)&gt;0,N(L2815)&gt;0),K2815/L2815,"")</f>
        <v/>
      </c>
      <c r="N2815" s="2" t="s">
        <v>1226</v>
      </c>
    </row>
    <row r="2816" customFormat="false" ht="15" hidden="false" customHeight="false" outlineLevel="0" collapsed="false">
      <c r="A2816" s="2" t="n">
        <v>2815</v>
      </c>
      <c r="B2816" s="2" t="s">
        <v>5891</v>
      </c>
      <c r="C2816" s="2" t="s">
        <v>5892</v>
      </c>
      <c r="D2816" s="2"/>
      <c r="E2816" s="2" t="s">
        <v>29</v>
      </c>
      <c r="F2816" s="3" t="n">
        <v>3.2E-005</v>
      </c>
      <c r="G2816" s="3" t="n">
        <f aca="false">SUM($F$2:F2816)</f>
        <v>0.970721</v>
      </c>
      <c r="H2816" s="4"/>
      <c r="I2816" s="5"/>
      <c r="J2816" s="4"/>
      <c r="K2816" s="5"/>
      <c r="L2816" s="6"/>
      <c r="M2816" s="5" t="str">
        <f aca="false">IF(AND(N(K2816)&gt;0,N(L2816)&gt;0),K2816/L2816,"")</f>
        <v/>
      </c>
      <c r="N2816" s="2" t="s">
        <v>1226</v>
      </c>
    </row>
    <row r="2817" customFormat="false" ht="15" hidden="false" customHeight="false" outlineLevel="0" collapsed="false">
      <c r="A2817" s="2" t="n">
        <v>2816</v>
      </c>
      <c r="B2817" s="2" t="s">
        <v>5893</v>
      </c>
      <c r="C2817" s="2" t="s">
        <v>5894</v>
      </c>
      <c r="D2817" s="2"/>
      <c r="E2817" s="2" t="s">
        <v>289</v>
      </c>
      <c r="F2817" s="3" t="n">
        <v>3.2E-005</v>
      </c>
      <c r="G2817" s="3" t="n">
        <f aca="false">SUM($F$2:F2817)</f>
        <v>0.970753</v>
      </c>
      <c r="H2817" s="4"/>
      <c r="I2817" s="5"/>
      <c r="J2817" s="4"/>
      <c r="K2817" s="5"/>
      <c r="L2817" s="6"/>
      <c r="M2817" s="5" t="str">
        <f aca="false">IF(AND(N(K2817)&gt;0,N(L2817)&gt;0),K2817/L2817,"")</f>
        <v/>
      </c>
      <c r="N2817" s="2" t="s">
        <v>1226</v>
      </c>
    </row>
    <row r="2818" customFormat="false" ht="15" hidden="false" customHeight="false" outlineLevel="0" collapsed="false">
      <c r="A2818" s="2" t="n">
        <v>2817</v>
      </c>
      <c r="B2818" s="2" t="s">
        <v>5895</v>
      </c>
      <c r="C2818" s="2" t="s">
        <v>5896</v>
      </c>
      <c r="D2818" s="2"/>
      <c r="E2818" s="2" t="s">
        <v>52</v>
      </c>
      <c r="F2818" s="3" t="n">
        <v>3.2E-005</v>
      </c>
      <c r="G2818" s="3" t="n">
        <f aca="false">SUM($F$2:F2818)</f>
        <v>0.970785</v>
      </c>
      <c r="H2818" s="4"/>
      <c r="I2818" s="5"/>
      <c r="J2818" s="4"/>
      <c r="K2818" s="5"/>
      <c r="L2818" s="6"/>
      <c r="M2818" s="5" t="str">
        <f aca="false">IF(AND(N(K2818)&gt;0,N(L2818)&gt;0),K2818/L2818,"")</f>
        <v/>
      </c>
      <c r="N2818" s="2" t="s">
        <v>1226</v>
      </c>
    </row>
    <row r="2819" customFormat="false" ht="15" hidden="false" customHeight="false" outlineLevel="0" collapsed="false">
      <c r="A2819" s="2" t="n">
        <v>2818</v>
      </c>
      <c r="B2819" s="2" t="s">
        <v>5897</v>
      </c>
      <c r="C2819" s="2" t="s">
        <v>5898</v>
      </c>
      <c r="D2819" s="2"/>
      <c r="E2819" s="2" t="s">
        <v>1345</v>
      </c>
      <c r="F2819" s="3" t="n">
        <v>3.2E-005</v>
      </c>
      <c r="G2819" s="3" t="n">
        <f aca="false">SUM($F$2:F2819)</f>
        <v>0.970817</v>
      </c>
      <c r="H2819" s="4"/>
      <c r="I2819" s="5"/>
      <c r="J2819" s="4"/>
      <c r="K2819" s="5"/>
      <c r="L2819" s="6"/>
      <c r="M2819" s="5" t="str">
        <f aca="false">IF(AND(N(K2819)&gt;0,N(L2819)&gt;0),K2819/L2819,"")</f>
        <v/>
      </c>
      <c r="N2819" s="2" t="s">
        <v>1226</v>
      </c>
    </row>
    <row r="2820" customFormat="false" ht="15" hidden="false" customHeight="false" outlineLevel="0" collapsed="false">
      <c r="A2820" s="2" t="n">
        <v>2819</v>
      </c>
      <c r="B2820" s="2" t="s">
        <v>5899</v>
      </c>
      <c r="C2820" s="2" t="s">
        <v>5900</v>
      </c>
      <c r="D2820" s="2"/>
      <c r="E2820" s="2" t="s">
        <v>1215</v>
      </c>
      <c r="F2820" s="3" t="n">
        <v>3.2E-005</v>
      </c>
      <c r="G2820" s="3" t="n">
        <f aca="false">SUM($F$2:F2820)</f>
        <v>0.970849</v>
      </c>
      <c r="H2820" s="4"/>
      <c r="I2820" s="5"/>
      <c r="J2820" s="4"/>
      <c r="K2820" s="5"/>
      <c r="L2820" s="6"/>
      <c r="M2820" s="5" t="str">
        <f aca="false">IF(AND(N(K2820)&gt;0,N(L2820)&gt;0),K2820/L2820,"")</f>
        <v/>
      </c>
      <c r="N2820" s="2" t="s">
        <v>1226</v>
      </c>
    </row>
    <row r="2821" customFormat="false" ht="15" hidden="false" customHeight="false" outlineLevel="0" collapsed="false">
      <c r="A2821" s="2" t="n">
        <v>2820</v>
      </c>
      <c r="B2821" s="2" t="s">
        <v>5901</v>
      </c>
      <c r="C2821" s="2" t="s">
        <v>5902</v>
      </c>
      <c r="D2821" s="2"/>
      <c r="E2821" s="2" t="s">
        <v>334</v>
      </c>
      <c r="F2821" s="3" t="n">
        <v>3.2E-005</v>
      </c>
      <c r="G2821" s="3" t="n">
        <f aca="false">SUM($F$2:F2821)</f>
        <v>0.970881</v>
      </c>
      <c r="H2821" s="4"/>
      <c r="I2821" s="5"/>
      <c r="J2821" s="4"/>
      <c r="K2821" s="5"/>
      <c r="L2821" s="6"/>
      <c r="M2821" s="5" t="str">
        <f aca="false">IF(AND(N(K2821)&gt;0,N(L2821)&gt;0),K2821/L2821,"")</f>
        <v/>
      </c>
      <c r="N2821" s="2" t="s">
        <v>1226</v>
      </c>
    </row>
    <row r="2822" customFormat="false" ht="15" hidden="false" customHeight="false" outlineLevel="0" collapsed="false">
      <c r="A2822" s="2" t="n">
        <v>2821</v>
      </c>
      <c r="B2822" s="2" t="s">
        <v>5903</v>
      </c>
      <c r="C2822" s="2" t="s">
        <v>5904</v>
      </c>
      <c r="D2822" s="2"/>
      <c r="E2822" s="2" t="s">
        <v>17</v>
      </c>
      <c r="F2822" s="3" t="n">
        <v>3.2E-005</v>
      </c>
      <c r="G2822" s="3" t="n">
        <f aca="false">SUM($F$2:F2822)</f>
        <v>0.970913</v>
      </c>
      <c r="H2822" s="4"/>
      <c r="I2822" s="5"/>
      <c r="J2822" s="4"/>
      <c r="K2822" s="5"/>
      <c r="L2822" s="6"/>
      <c r="M2822" s="5" t="str">
        <f aca="false">IF(AND(N(K2822)&gt;0,N(L2822)&gt;0),K2822/L2822,"")</f>
        <v/>
      </c>
      <c r="N2822" s="2" t="s">
        <v>1226</v>
      </c>
    </row>
    <row r="2823" customFormat="false" ht="15" hidden="false" customHeight="false" outlineLevel="0" collapsed="false">
      <c r="A2823" s="2" t="n">
        <v>2822</v>
      </c>
      <c r="B2823" s="2" t="s">
        <v>5905</v>
      </c>
      <c r="C2823" s="2" t="s">
        <v>5906</v>
      </c>
      <c r="D2823" s="2"/>
      <c r="E2823" s="2" t="s">
        <v>1345</v>
      </c>
      <c r="F2823" s="3" t="n">
        <v>3.2E-005</v>
      </c>
      <c r="G2823" s="3" t="n">
        <f aca="false">SUM($F$2:F2823)</f>
        <v>0.970945</v>
      </c>
      <c r="H2823" s="4"/>
      <c r="I2823" s="5"/>
      <c r="J2823" s="4"/>
      <c r="K2823" s="5"/>
      <c r="L2823" s="6"/>
      <c r="M2823" s="5" t="str">
        <f aca="false">IF(AND(N(K2823)&gt;0,N(L2823)&gt;0),K2823/L2823,"")</f>
        <v/>
      </c>
      <c r="N2823" s="2" t="s">
        <v>1226</v>
      </c>
    </row>
    <row r="2824" customFormat="false" ht="15" hidden="false" customHeight="false" outlineLevel="0" collapsed="false">
      <c r="A2824" s="2" t="n">
        <v>2823</v>
      </c>
      <c r="B2824" s="2" t="s">
        <v>5907</v>
      </c>
      <c r="C2824" s="2" t="s">
        <v>5908</v>
      </c>
      <c r="D2824" s="2"/>
      <c r="E2824" s="2" t="s">
        <v>1345</v>
      </c>
      <c r="F2824" s="3" t="n">
        <v>3.2E-005</v>
      </c>
      <c r="G2824" s="3" t="n">
        <f aca="false">SUM($F$2:F2824)</f>
        <v>0.970977</v>
      </c>
      <c r="H2824" s="4"/>
      <c r="I2824" s="5"/>
      <c r="J2824" s="4"/>
      <c r="K2824" s="5"/>
      <c r="L2824" s="6"/>
      <c r="M2824" s="5" t="str">
        <f aca="false">IF(AND(N(K2824)&gt;0,N(L2824)&gt;0),K2824/L2824,"")</f>
        <v/>
      </c>
      <c r="N2824" s="2" t="s">
        <v>1226</v>
      </c>
    </row>
    <row r="2825" customFormat="false" ht="15" hidden="false" customHeight="false" outlineLevel="0" collapsed="false">
      <c r="A2825" s="2" t="n">
        <v>2824</v>
      </c>
      <c r="B2825" s="2" t="s">
        <v>5909</v>
      </c>
      <c r="C2825" s="2" t="s">
        <v>5910</v>
      </c>
      <c r="D2825" s="2"/>
      <c r="E2825" s="2" t="s">
        <v>25</v>
      </c>
      <c r="F2825" s="3" t="n">
        <v>3.2E-005</v>
      </c>
      <c r="G2825" s="3" t="n">
        <f aca="false">SUM($F$2:F2825)</f>
        <v>0.971009</v>
      </c>
      <c r="H2825" s="4"/>
      <c r="I2825" s="5"/>
      <c r="J2825" s="4"/>
      <c r="K2825" s="5"/>
      <c r="L2825" s="6"/>
      <c r="M2825" s="5" t="str">
        <f aca="false">IF(AND(N(K2825)&gt;0,N(L2825)&gt;0),K2825/L2825,"")</f>
        <v/>
      </c>
      <c r="N2825" s="2" t="s">
        <v>1226</v>
      </c>
    </row>
    <row r="2826" customFormat="false" ht="15" hidden="false" customHeight="false" outlineLevel="0" collapsed="false">
      <c r="A2826" s="2" t="n">
        <v>2825</v>
      </c>
      <c r="B2826" s="2" t="s">
        <v>5911</v>
      </c>
      <c r="C2826" s="2" t="s">
        <v>5912</v>
      </c>
      <c r="D2826" s="2"/>
      <c r="E2826" s="2" t="s">
        <v>289</v>
      </c>
      <c r="F2826" s="3" t="n">
        <v>3.2E-005</v>
      </c>
      <c r="G2826" s="3" t="n">
        <f aca="false">SUM($F$2:F2826)</f>
        <v>0.971041</v>
      </c>
      <c r="H2826" s="4"/>
      <c r="I2826" s="5"/>
      <c r="J2826" s="4"/>
      <c r="K2826" s="5"/>
      <c r="L2826" s="6"/>
      <c r="M2826" s="5" t="str">
        <f aca="false">IF(AND(N(K2826)&gt;0,N(L2826)&gt;0),K2826/L2826,"")</f>
        <v/>
      </c>
      <c r="N2826" s="2" t="s">
        <v>1226</v>
      </c>
    </row>
    <row r="2827" customFormat="false" ht="15" hidden="false" customHeight="false" outlineLevel="0" collapsed="false">
      <c r="A2827" s="2" t="n">
        <v>2826</v>
      </c>
      <c r="B2827" s="2" t="s">
        <v>5913</v>
      </c>
      <c r="C2827" s="2" t="s">
        <v>5914</v>
      </c>
      <c r="D2827" s="2"/>
      <c r="E2827" s="2" t="s">
        <v>334</v>
      </c>
      <c r="F2827" s="3" t="n">
        <v>3.2E-005</v>
      </c>
      <c r="G2827" s="3" t="n">
        <f aca="false">SUM($F$2:F2827)</f>
        <v>0.971073</v>
      </c>
      <c r="H2827" s="4"/>
      <c r="I2827" s="5"/>
      <c r="J2827" s="4"/>
      <c r="K2827" s="5"/>
      <c r="L2827" s="6"/>
      <c r="M2827" s="5" t="str">
        <f aca="false">IF(AND(N(K2827)&gt;0,N(L2827)&gt;0),K2827/L2827,"")</f>
        <v/>
      </c>
      <c r="N2827" s="2" t="s">
        <v>1226</v>
      </c>
    </row>
    <row r="2828" customFormat="false" ht="15" hidden="false" customHeight="false" outlineLevel="0" collapsed="false">
      <c r="A2828" s="2" t="n">
        <v>2827</v>
      </c>
      <c r="B2828" s="2" t="s">
        <v>5915</v>
      </c>
      <c r="C2828" s="2" t="s">
        <v>5916</v>
      </c>
      <c r="D2828" s="2"/>
      <c r="E2828" s="2" t="s">
        <v>1345</v>
      </c>
      <c r="F2828" s="3" t="n">
        <v>3.2E-005</v>
      </c>
      <c r="G2828" s="3" t="n">
        <f aca="false">SUM($F$2:F2828)</f>
        <v>0.971105</v>
      </c>
      <c r="H2828" s="4"/>
      <c r="I2828" s="5"/>
      <c r="J2828" s="4"/>
      <c r="K2828" s="5"/>
      <c r="L2828" s="6"/>
      <c r="M2828" s="5" t="str">
        <f aca="false">IF(AND(N(K2828)&gt;0,N(L2828)&gt;0),K2828/L2828,"")</f>
        <v/>
      </c>
      <c r="N2828" s="2" t="s">
        <v>1226</v>
      </c>
    </row>
    <row r="2829" customFormat="false" ht="15" hidden="false" customHeight="false" outlineLevel="0" collapsed="false">
      <c r="A2829" s="2" t="n">
        <v>2828</v>
      </c>
      <c r="B2829" s="2" t="s">
        <v>5917</v>
      </c>
      <c r="C2829" s="2" t="s">
        <v>5918</v>
      </c>
      <c r="D2829" s="2"/>
      <c r="E2829" s="2" t="s">
        <v>289</v>
      </c>
      <c r="F2829" s="3" t="n">
        <v>3.2E-005</v>
      </c>
      <c r="G2829" s="3" t="n">
        <f aca="false">SUM($F$2:F2829)</f>
        <v>0.971137</v>
      </c>
      <c r="H2829" s="4"/>
      <c r="I2829" s="5"/>
      <c r="J2829" s="4"/>
      <c r="K2829" s="5"/>
      <c r="L2829" s="6"/>
      <c r="M2829" s="5" t="str">
        <f aca="false">IF(AND(N(K2829)&gt;0,N(L2829)&gt;0),K2829/L2829,"")</f>
        <v/>
      </c>
      <c r="N2829" s="2" t="s">
        <v>1226</v>
      </c>
    </row>
    <row r="2830" customFormat="false" ht="15" hidden="false" customHeight="false" outlineLevel="0" collapsed="false">
      <c r="A2830" s="2" t="n">
        <v>2829</v>
      </c>
      <c r="B2830" s="2" t="s">
        <v>5919</v>
      </c>
      <c r="C2830" s="2" t="s">
        <v>5920</v>
      </c>
      <c r="D2830" s="2"/>
      <c r="E2830" s="2" t="s">
        <v>1345</v>
      </c>
      <c r="F2830" s="3" t="n">
        <v>3.2E-005</v>
      </c>
      <c r="G2830" s="3" t="n">
        <f aca="false">SUM($F$2:F2830)</f>
        <v>0.971169</v>
      </c>
      <c r="H2830" s="4"/>
      <c r="I2830" s="5"/>
      <c r="J2830" s="4"/>
      <c r="K2830" s="5"/>
      <c r="L2830" s="6"/>
      <c r="M2830" s="5" t="str">
        <f aca="false">IF(AND(N(K2830)&gt;0,N(L2830)&gt;0),K2830/L2830,"")</f>
        <v/>
      </c>
      <c r="N2830" s="2" t="s">
        <v>1226</v>
      </c>
    </row>
    <row r="2831" customFormat="false" ht="15" hidden="false" customHeight="false" outlineLevel="0" collapsed="false">
      <c r="A2831" s="2" t="n">
        <v>2830</v>
      </c>
      <c r="B2831" s="2" t="s">
        <v>5921</v>
      </c>
      <c r="C2831" s="2" t="s">
        <v>5922</v>
      </c>
      <c r="D2831" s="2"/>
      <c r="E2831" s="2" t="s">
        <v>1245</v>
      </c>
      <c r="F2831" s="3" t="n">
        <v>3.2E-005</v>
      </c>
      <c r="G2831" s="3" t="n">
        <f aca="false">SUM($F$2:F2831)</f>
        <v>0.971201</v>
      </c>
      <c r="H2831" s="4"/>
      <c r="I2831" s="5"/>
      <c r="J2831" s="4"/>
      <c r="K2831" s="5"/>
      <c r="L2831" s="6"/>
      <c r="M2831" s="5" t="str">
        <f aca="false">IF(AND(N(K2831)&gt;0,N(L2831)&gt;0),K2831/L2831,"")</f>
        <v/>
      </c>
      <c r="N2831" s="2" t="s">
        <v>1226</v>
      </c>
    </row>
    <row r="2832" customFormat="false" ht="15" hidden="false" customHeight="false" outlineLevel="0" collapsed="false">
      <c r="A2832" s="2" t="n">
        <v>2831</v>
      </c>
      <c r="B2832" s="2" t="s">
        <v>5923</v>
      </c>
      <c r="C2832" s="2" t="s">
        <v>5924</v>
      </c>
      <c r="D2832" s="2"/>
      <c r="E2832" s="2" t="s">
        <v>539</v>
      </c>
      <c r="F2832" s="3" t="n">
        <v>3.2E-005</v>
      </c>
      <c r="G2832" s="3" t="n">
        <f aca="false">SUM($F$2:F2832)</f>
        <v>0.971233</v>
      </c>
      <c r="H2832" s="4"/>
      <c r="I2832" s="5"/>
      <c r="J2832" s="4"/>
      <c r="K2832" s="5"/>
      <c r="L2832" s="6"/>
      <c r="M2832" s="5" t="str">
        <f aca="false">IF(AND(N(K2832)&gt;0,N(L2832)&gt;0),K2832/L2832,"")</f>
        <v/>
      </c>
      <c r="N2832" s="2" t="s">
        <v>1226</v>
      </c>
    </row>
    <row r="2833" customFormat="false" ht="15" hidden="false" customHeight="false" outlineLevel="0" collapsed="false">
      <c r="A2833" s="2" t="n">
        <v>2832</v>
      </c>
      <c r="B2833" s="2" t="s">
        <v>5925</v>
      </c>
      <c r="C2833" s="2" t="s">
        <v>5926</v>
      </c>
      <c r="D2833" s="2"/>
      <c r="E2833" s="2" t="s">
        <v>52</v>
      </c>
      <c r="F2833" s="3" t="n">
        <v>3.2E-005</v>
      </c>
      <c r="G2833" s="3" t="n">
        <f aca="false">SUM($F$2:F2833)</f>
        <v>0.971265</v>
      </c>
      <c r="H2833" s="4"/>
      <c r="I2833" s="5"/>
      <c r="J2833" s="4"/>
      <c r="K2833" s="5"/>
      <c r="L2833" s="6"/>
      <c r="M2833" s="5" t="str">
        <f aca="false">IF(AND(N(K2833)&gt;0,N(L2833)&gt;0),K2833/L2833,"")</f>
        <v/>
      </c>
      <c r="N2833" s="2" t="s">
        <v>1226</v>
      </c>
    </row>
    <row r="2834" customFormat="false" ht="15" hidden="false" customHeight="false" outlineLevel="0" collapsed="false">
      <c r="A2834" s="2" t="n">
        <v>2833</v>
      </c>
      <c r="B2834" s="2" t="s">
        <v>5927</v>
      </c>
      <c r="C2834" s="2" t="s">
        <v>5928</v>
      </c>
      <c r="D2834" s="2"/>
      <c r="E2834" s="2" t="s">
        <v>25</v>
      </c>
      <c r="F2834" s="3" t="n">
        <v>3.2E-005</v>
      </c>
      <c r="G2834" s="3" t="n">
        <f aca="false">SUM($F$2:F2834)</f>
        <v>0.971297</v>
      </c>
      <c r="H2834" s="4"/>
      <c r="I2834" s="5"/>
      <c r="J2834" s="4"/>
      <c r="K2834" s="5"/>
      <c r="L2834" s="6"/>
      <c r="M2834" s="5" t="str">
        <f aca="false">IF(AND(N(K2834)&gt;0,N(L2834)&gt;0),K2834/L2834,"")</f>
        <v/>
      </c>
      <c r="N2834" s="2" t="s">
        <v>1226</v>
      </c>
    </row>
    <row r="2835" customFormat="false" ht="15" hidden="false" customHeight="false" outlineLevel="0" collapsed="false">
      <c r="A2835" s="2" t="n">
        <v>2834</v>
      </c>
      <c r="B2835" s="2" t="s">
        <v>5929</v>
      </c>
      <c r="C2835" s="2" t="s">
        <v>5930</v>
      </c>
      <c r="D2835" s="2"/>
      <c r="E2835" s="2" t="s">
        <v>25</v>
      </c>
      <c r="F2835" s="3" t="n">
        <v>3.2E-005</v>
      </c>
      <c r="G2835" s="3" t="n">
        <f aca="false">SUM($F$2:F2835)</f>
        <v>0.971329</v>
      </c>
      <c r="H2835" s="4"/>
      <c r="I2835" s="5"/>
      <c r="J2835" s="4"/>
      <c r="K2835" s="5"/>
      <c r="L2835" s="6"/>
      <c r="M2835" s="5" t="str">
        <f aca="false">IF(AND(N(K2835)&gt;0,N(L2835)&gt;0),K2835/L2835,"")</f>
        <v/>
      </c>
      <c r="N2835" s="2" t="s">
        <v>1226</v>
      </c>
    </row>
    <row r="2836" customFormat="false" ht="15" hidden="false" customHeight="false" outlineLevel="0" collapsed="false">
      <c r="A2836" s="2" t="n">
        <v>2835</v>
      </c>
      <c r="B2836" s="2" t="s">
        <v>301</v>
      </c>
      <c r="C2836" s="2" t="s">
        <v>5931</v>
      </c>
      <c r="D2836" s="2"/>
      <c r="E2836" s="2" t="s">
        <v>334</v>
      </c>
      <c r="F2836" s="3" t="n">
        <v>3.2E-005</v>
      </c>
      <c r="G2836" s="3" t="n">
        <f aca="false">SUM($F$2:F2836)</f>
        <v>0.971361</v>
      </c>
      <c r="H2836" s="4"/>
      <c r="I2836" s="5"/>
      <c r="J2836" s="4"/>
      <c r="K2836" s="5"/>
      <c r="L2836" s="6"/>
      <c r="M2836" s="5" t="str">
        <f aca="false">IF(AND(N(K2836)&gt;0,N(L2836)&gt;0),K2836/L2836,"")</f>
        <v/>
      </c>
      <c r="N2836" s="2" t="s">
        <v>34</v>
      </c>
    </row>
    <row r="2837" customFormat="false" ht="15" hidden="false" customHeight="false" outlineLevel="0" collapsed="false">
      <c r="A2837" s="2" t="n">
        <v>2836</v>
      </c>
      <c r="B2837" s="2" t="s">
        <v>5932</v>
      </c>
      <c r="C2837" s="2" t="s">
        <v>5933</v>
      </c>
      <c r="D2837" s="2"/>
      <c r="E2837" s="2" t="s">
        <v>52</v>
      </c>
      <c r="F2837" s="3" t="n">
        <v>3.2E-005</v>
      </c>
      <c r="G2837" s="3" t="n">
        <f aca="false">SUM($F$2:F2837)</f>
        <v>0.971393</v>
      </c>
      <c r="H2837" s="4"/>
      <c r="I2837" s="5"/>
      <c r="J2837" s="4"/>
      <c r="K2837" s="5"/>
      <c r="L2837" s="6"/>
      <c r="M2837" s="5" t="str">
        <f aca="false">IF(AND(N(K2837)&gt;0,N(L2837)&gt;0),K2837/L2837,"")</f>
        <v/>
      </c>
      <c r="N2837" s="2" t="s">
        <v>1226</v>
      </c>
    </row>
    <row r="2838" customFormat="false" ht="15" hidden="false" customHeight="false" outlineLevel="0" collapsed="false">
      <c r="A2838" s="2" t="n">
        <v>2837</v>
      </c>
      <c r="B2838" s="2" t="s">
        <v>5934</v>
      </c>
      <c r="C2838" s="2" t="s">
        <v>5935</v>
      </c>
      <c r="D2838" s="2"/>
      <c r="E2838" s="2" t="s">
        <v>33</v>
      </c>
      <c r="F2838" s="3" t="n">
        <v>3.2E-005</v>
      </c>
      <c r="G2838" s="3" t="n">
        <f aca="false">SUM($F$2:F2838)</f>
        <v>0.971425</v>
      </c>
      <c r="H2838" s="4"/>
      <c r="I2838" s="5"/>
      <c r="J2838" s="4"/>
      <c r="K2838" s="5"/>
      <c r="L2838" s="6"/>
      <c r="M2838" s="5" t="str">
        <f aca="false">IF(AND(N(K2838)&gt;0,N(L2838)&gt;0),K2838/L2838,"")</f>
        <v/>
      </c>
      <c r="N2838" s="2" t="s">
        <v>1226</v>
      </c>
    </row>
    <row r="2839" customFormat="false" ht="15" hidden="false" customHeight="false" outlineLevel="0" collapsed="false">
      <c r="A2839" s="2" t="n">
        <v>2838</v>
      </c>
      <c r="B2839" s="2" t="s">
        <v>5936</v>
      </c>
      <c r="C2839" s="2" t="s">
        <v>5937</v>
      </c>
      <c r="D2839" s="2"/>
      <c r="E2839" s="2" t="s">
        <v>1345</v>
      </c>
      <c r="F2839" s="3" t="n">
        <v>3.2E-005</v>
      </c>
      <c r="G2839" s="3" t="n">
        <f aca="false">SUM($F$2:F2839)</f>
        <v>0.971457</v>
      </c>
      <c r="H2839" s="4"/>
      <c r="I2839" s="5"/>
      <c r="J2839" s="4"/>
      <c r="K2839" s="5"/>
      <c r="L2839" s="6"/>
      <c r="M2839" s="5" t="str">
        <f aca="false">IF(AND(N(K2839)&gt;0,N(L2839)&gt;0),K2839/L2839,"")</f>
        <v/>
      </c>
      <c r="N2839" s="2" t="s">
        <v>1226</v>
      </c>
    </row>
    <row r="2840" customFormat="false" ht="15" hidden="false" customHeight="false" outlineLevel="0" collapsed="false">
      <c r="A2840" s="2" t="n">
        <v>2839</v>
      </c>
      <c r="B2840" s="2" t="s">
        <v>5938</v>
      </c>
      <c r="C2840" s="2" t="s">
        <v>5939</v>
      </c>
      <c r="D2840" s="2"/>
      <c r="E2840" s="2" t="s">
        <v>679</v>
      </c>
      <c r="F2840" s="3" t="n">
        <v>3.2E-005</v>
      </c>
      <c r="G2840" s="3" t="n">
        <f aca="false">SUM($F$2:F2840)</f>
        <v>0.971489</v>
      </c>
      <c r="H2840" s="4"/>
      <c r="I2840" s="5"/>
      <c r="J2840" s="4"/>
      <c r="K2840" s="5"/>
      <c r="L2840" s="6"/>
      <c r="M2840" s="5" t="str">
        <f aca="false">IF(AND(N(K2840)&gt;0,N(L2840)&gt;0),K2840/L2840,"")</f>
        <v/>
      </c>
      <c r="N2840" s="2" t="s">
        <v>1226</v>
      </c>
    </row>
    <row r="2841" customFormat="false" ht="15" hidden="false" customHeight="false" outlineLevel="0" collapsed="false">
      <c r="A2841" s="2" t="n">
        <v>2840</v>
      </c>
      <c r="B2841" s="2" t="s">
        <v>5940</v>
      </c>
      <c r="C2841" s="2" t="s">
        <v>5941</v>
      </c>
      <c r="D2841" s="2"/>
      <c r="E2841" s="2" t="s">
        <v>25</v>
      </c>
      <c r="F2841" s="3" t="n">
        <v>3.2E-005</v>
      </c>
      <c r="G2841" s="3" t="n">
        <f aca="false">SUM($F$2:F2841)</f>
        <v>0.971521</v>
      </c>
      <c r="H2841" s="4"/>
      <c r="I2841" s="5"/>
      <c r="J2841" s="4"/>
      <c r="K2841" s="5"/>
      <c r="L2841" s="6"/>
      <c r="M2841" s="5" t="str">
        <f aca="false">IF(AND(N(K2841)&gt;0,N(L2841)&gt;0),K2841/L2841,"")</f>
        <v/>
      </c>
      <c r="N2841" s="2" t="s">
        <v>1226</v>
      </c>
    </row>
    <row r="2842" customFormat="false" ht="15" hidden="false" customHeight="false" outlineLevel="0" collapsed="false">
      <c r="A2842" s="2" t="n">
        <v>2841</v>
      </c>
      <c r="B2842" s="2" t="s">
        <v>5942</v>
      </c>
      <c r="C2842" s="2" t="s">
        <v>5943</v>
      </c>
      <c r="D2842" s="2"/>
      <c r="E2842" s="2" t="s">
        <v>1295</v>
      </c>
      <c r="F2842" s="3" t="n">
        <v>3.2E-005</v>
      </c>
      <c r="G2842" s="3" t="n">
        <f aca="false">SUM($F$2:F2842)</f>
        <v>0.971553</v>
      </c>
      <c r="H2842" s="4"/>
      <c r="I2842" s="5"/>
      <c r="J2842" s="4"/>
      <c r="K2842" s="5"/>
      <c r="L2842" s="6"/>
      <c r="M2842" s="5" t="str">
        <f aca="false">IF(AND(N(K2842)&gt;0,N(L2842)&gt;0),K2842/L2842,"")</f>
        <v/>
      </c>
      <c r="N2842" s="2" t="s">
        <v>1226</v>
      </c>
    </row>
    <row r="2843" customFormat="false" ht="15" hidden="false" customHeight="false" outlineLevel="0" collapsed="false">
      <c r="A2843" s="2" t="n">
        <v>2842</v>
      </c>
      <c r="B2843" s="2" t="s">
        <v>5944</v>
      </c>
      <c r="C2843" s="2" t="s">
        <v>5945</v>
      </c>
      <c r="D2843" s="2"/>
      <c r="E2843" s="2" t="s">
        <v>52</v>
      </c>
      <c r="F2843" s="3" t="n">
        <v>3.2E-005</v>
      </c>
      <c r="G2843" s="3" t="n">
        <f aca="false">SUM($F$2:F2843)</f>
        <v>0.971585</v>
      </c>
      <c r="H2843" s="4"/>
      <c r="I2843" s="5"/>
      <c r="J2843" s="4"/>
      <c r="K2843" s="5"/>
      <c r="L2843" s="6"/>
      <c r="M2843" s="5" t="str">
        <f aca="false">IF(AND(N(K2843)&gt;0,N(L2843)&gt;0),K2843/L2843,"")</f>
        <v/>
      </c>
      <c r="N2843" s="2" t="s">
        <v>1226</v>
      </c>
    </row>
    <row r="2844" customFormat="false" ht="15" hidden="false" customHeight="false" outlineLevel="0" collapsed="false">
      <c r="A2844" s="2" t="n">
        <v>2843</v>
      </c>
      <c r="B2844" s="2" t="s">
        <v>5946</v>
      </c>
      <c r="C2844" s="2" t="s">
        <v>5947</v>
      </c>
      <c r="D2844" s="2"/>
      <c r="E2844" s="2" t="s">
        <v>52</v>
      </c>
      <c r="F2844" s="3" t="n">
        <v>3.2E-005</v>
      </c>
      <c r="G2844" s="3" t="n">
        <f aca="false">SUM($F$2:F2844)</f>
        <v>0.971617</v>
      </c>
      <c r="H2844" s="4"/>
      <c r="I2844" s="5"/>
      <c r="J2844" s="4"/>
      <c r="K2844" s="5"/>
      <c r="L2844" s="6"/>
      <c r="M2844" s="5" t="str">
        <f aca="false">IF(AND(N(K2844)&gt;0,N(L2844)&gt;0),K2844/L2844,"")</f>
        <v/>
      </c>
      <c r="N2844" s="2" t="s">
        <v>1226</v>
      </c>
    </row>
    <row r="2845" customFormat="false" ht="15" hidden="false" customHeight="false" outlineLevel="0" collapsed="false">
      <c r="A2845" s="2" t="n">
        <v>2844</v>
      </c>
      <c r="B2845" s="2" t="s">
        <v>5835</v>
      </c>
      <c r="C2845" s="2" t="s">
        <v>5948</v>
      </c>
      <c r="D2845" s="2"/>
      <c r="E2845" s="2" t="s">
        <v>43</v>
      </c>
      <c r="F2845" s="3" t="n">
        <v>3.2E-005</v>
      </c>
      <c r="G2845" s="3" t="n">
        <f aca="false">SUM($F$2:F2845)</f>
        <v>0.971649</v>
      </c>
      <c r="H2845" s="4"/>
      <c r="I2845" s="5"/>
      <c r="J2845" s="4"/>
      <c r="K2845" s="5"/>
      <c r="L2845" s="6"/>
      <c r="M2845" s="5" t="str">
        <f aca="false">IF(AND(N(K2845)&gt;0,N(L2845)&gt;0),K2845/L2845,"")</f>
        <v/>
      </c>
      <c r="N2845" s="2" t="s">
        <v>1226</v>
      </c>
    </row>
    <row r="2846" customFormat="false" ht="15" hidden="false" customHeight="false" outlineLevel="0" collapsed="false">
      <c r="A2846" s="2" t="n">
        <v>2845</v>
      </c>
      <c r="B2846" s="2" t="s">
        <v>5949</v>
      </c>
      <c r="C2846" s="2" t="s">
        <v>5950</v>
      </c>
      <c r="D2846" s="2"/>
      <c r="E2846" s="2" t="s">
        <v>1345</v>
      </c>
      <c r="F2846" s="3" t="n">
        <v>3.2E-005</v>
      </c>
      <c r="G2846" s="3" t="n">
        <f aca="false">SUM($F$2:F2846)</f>
        <v>0.971681</v>
      </c>
      <c r="H2846" s="4"/>
      <c r="I2846" s="5"/>
      <c r="J2846" s="4"/>
      <c r="K2846" s="5"/>
      <c r="L2846" s="6"/>
      <c r="M2846" s="5" t="str">
        <f aca="false">IF(AND(N(K2846)&gt;0,N(L2846)&gt;0),K2846/L2846,"")</f>
        <v/>
      </c>
      <c r="N2846" s="2" t="s">
        <v>1226</v>
      </c>
    </row>
    <row r="2847" customFormat="false" ht="15" hidden="false" customHeight="false" outlineLevel="0" collapsed="false">
      <c r="A2847" s="2" t="n">
        <v>2846</v>
      </c>
      <c r="B2847" s="2" t="s">
        <v>5951</v>
      </c>
      <c r="C2847" s="2" t="s">
        <v>5952</v>
      </c>
      <c r="D2847" s="2"/>
      <c r="E2847" s="2" t="s">
        <v>334</v>
      </c>
      <c r="F2847" s="3" t="n">
        <v>3.2E-005</v>
      </c>
      <c r="G2847" s="3" t="n">
        <f aca="false">SUM($F$2:F2847)</f>
        <v>0.971713</v>
      </c>
      <c r="H2847" s="4"/>
      <c r="I2847" s="5"/>
      <c r="J2847" s="4"/>
      <c r="K2847" s="5"/>
      <c r="L2847" s="6"/>
      <c r="M2847" s="5" t="str">
        <f aca="false">IF(AND(N(K2847)&gt;0,N(L2847)&gt;0),K2847/L2847,"")</f>
        <v/>
      </c>
      <c r="N2847" s="2" t="s">
        <v>1226</v>
      </c>
    </row>
    <row r="2848" customFormat="false" ht="15" hidden="false" customHeight="false" outlineLevel="0" collapsed="false">
      <c r="A2848" s="2" t="n">
        <v>2847</v>
      </c>
      <c r="B2848" s="2" t="s">
        <v>5953</v>
      </c>
      <c r="C2848" s="2" t="s">
        <v>5954</v>
      </c>
      <c r="D2848" s="2"/>
      <c r="E2848" s="2" t="s">
        <v>289</v>
      </c>
      <c r="F2848" s="3" t="n">
        <v>3.2E-005</v>
      </c>
      <c r="G2848" s="3" t="n">
        <f aca="false">SUM($F$2:F2848)</f>
        <v>0.971745</v>
      </c>
      <c r="H2848" s="4"/>
      <c r="I2848" s="5"/>
      <c r="J2848" s="4"/>
      <c r="K2848" s="5"/>
      <c r="L2848" s="6"/>
      <c r="M2848" s="5" t="str">
        <f aca="false">IF(AND(N(K2848)&gt;0,N(L2848)&gt;0),K2848/L2848,"")</f>
        <v/>
      </c>
      <c r="N2848" s="2" t="s">
        <v>1226</v>
      </c>
    </row>
    <row r="2849" customFormat="false" ht="15" hidden="false" customHeight="false" outlineLevel="0" collapsed="false">
      <c r="A2849" s="2" t="n">
        <v>2848</v>
      </c>
      <c r="B2849" s="2" t="s">
        <v>1987</v>
      </c>
      <c r="C2849" s="2" t="s">
        <v>5955</v>
      </c>
      <c r="D2849" s="2"/>
      <c r="E2849" s="2" t="s">
        <v>29</v>
      </c>
      <c r="F2849" s="3" t="n">
        <v>3.2E-005</v>
      </c>
      <c r="G2849" s="3" t="n">
        <f aca="false">SUM($F$2:F2849)</f>
        <v>0.971777</v>
      </c>
      <c r="H2849" s="4"/>
      <c r="I2849" s="5"/>
      <c r="J2849" s="4"/>
      <c r="K2849" s="5"/>
      <c r="L2849" s="6"/>
      <c r="M2849" s="5" t="str">
        <f aca="false">IF(AND(N(K2849)&gt;0,N(L2849)&gt;0),K2849/L2849,"")</f>
        <v/>
      </c>
      <c r="N2849" s="2" t="s">
        <v>1226</v>
      </c>
    </row>
    <row r="2850" customFormat="false" ht="15" hidden="false" customHeight="false" outlineLevel="0" collapsed="false">
      <c r="A2850" s="2" t="n">
        <v>2849</v>
      </c>
      <c r="B2850" s="2" t="s">
        <v>5956</v>
      </c>
      <c r="C2850" s="2" t="s">
        <v>5957</v>
      </c>
      <c r="D2850" s="2"/>
      <c r="E2850" s="2" t="s">
        <v>334</v>
      </c>
      <c r="F2850" s="3" t="n">
        <v>3.2E-005</v>
      </c>
      <c r="G2850" s="3" t="n">
        <f aca="false">SUM($F$2:F2850)</f>
        <v>0.971809</v>
      </c>
      <c r="H2850" s="4"/>
      <c r="I2850" s="5"/>
      <c r="J2850" s="4"/>
      <c r="K2850" s="5"/>
      <c r="L2850" s="6"/>
      <c r="M2850" s="5" t="str">
        <f aca="false">IF(AND(N(K2850)&gt;0,N(L2850)&gt;0),K2850/L2850,"")</f>
        <v/>
      </c>
      <c r="N2850" s="2" t="s">
        <v>1226</v>
      </c>
    </row>
    <row r="2851" customFormat="false" ht="15" hidden="false" customHeight="false" outlineLevel="0" collapsed="false">
      <c r="A2851" s="2" t="n">
        <v>2850</v>
      </c>
      <c r="B2851" s="2" t="s">
        <v>5958</v>
      </c>
      <c r="C2851" s="2" t="s">
        <v>5959</v>
      </c>
      <c r="D2851" s="2"/>
      <c r="E2851" s="2" t="s">
        <v>43</v>
      </c>
      <c r="F2851" s="3" t="n">
        <v>3.2E-005</v>
      </c>
      <c r="G2851" s="3" t="n">
        <f aca="false">SUM($F$2:F2851)</f>
        <v>0.971841</v>
      </c>
      <c r="H2851" s="4"/>
      <c r="I2851" s="5"/>
      <c r="J2851" s="4"/>
      <c r="K2851" s="5"/>
      <c r="L2851" s="6"/>
      <c r="M2851" s="5" t="str">
        <f aca="false">IF(AND(N(K2851)&gt;0,N(L2851)&gt;0),K2851/L2851,"")</f>
        <v/>
      </c>
      <c r="N2851" s="2" t="s">
        <v>1226</v>
      </c>
    </row>
    <row r="2852" customFormat="false" ht="15" hidden="false" customHeight="false" outlineLevel="0" collapsed="false">
      <c r="A2852" s="2" t="n">
        <v>2851</v>
      </c>
      <c r="B2852" s="2" t="s">
        <v>5960</v>
      </c>
      <c r="C2852" s="2" t="s">
        <v>5961</v>
      </c>
      <c r="D2852" s="2"/>
      <c r="E2852" s="2" t="s">
        <v>52</v>
      </c>
      <c r="F2852" s="3" t="n">
        <v>3.2E-005</v>
      </c>
      <c r="G2852" s="3" t="n">
        <f aca="false">SUM($F$2:F2852)</f>
        <v>0.971873</v>
      </c>
      <c r="H2852" s="4"/>
      <c r="I2852" s="5"/>
      <c r="J2852" s="4"/>
      <c r="K2852" s="5"/>
      <c r="L2852" s="6"/>
      <c r="M2852" s="5" t="str">
        <f aca="false">IF(AND(N(K2852)&gt;0,N(L2852)&gt;0),K2852/L2852,"")</f>
        <v/>
      </c>
      <c r="N2852" s="2" t="s">
        <v>1226</v>
      </c>
    </row>
    <row r="2853" customFormat="false" ht="15" hidden="false" customHeight="false" outlineLevel="0" collapsed="false">
      <c r="A2853" s="2" t="n">
        <v>2852</v>
      </c>
      <c r="B2853" s="2" t="s">
        <v>5962</v>
      </c>
      <c r="C2853" s="2" t="s">
        <v>5963</v>
      </c>
      <c r="D2853" s="2"/>
      <c r="E2853" s="2" t="s">
        <v>1345</v>
      </c>
      <c r="F2853" s="3" t="n">
        <v>3.1E-005</v>
      </c>
      <c r="G2853" s="3" t="n">
        <f aca="false">SUM($F$2:F2853)</f>
        <v>0.971904</v>
      </c>
      <c r="H2853" s="4"/>
      <c r="I2853" s="5"/>
      <c r="J2853" s="4"/>
      <c r="K2853" s="5"/>
      <c r="L2853" s="6"/>
      <c r="M2853" s="5" t="str">
        <f aca="false">IF(AND(N(K2853)&gt;0,N(L2853)&gt;0),K2853/L2853,"")</f>
        <v/>
      </c>
      <c r="N2853" s="2" t="s">
        <v>1226</v>
      </c>
    </row>
    <row r="2854" customFormat="false" ht="15" hidden="false" customHeight="false" outlineLevel="0" collapsed="false">
      <c r="A2854" s="2" t="n">
        <v>2853</v>
      </c>
      <c r="B2854" s="2" t="s">
        <v>5964</v>
      </c>
      <c r="C2854" s="2" t="s">
        <v>5965</v>
      </c>
      <c r="D2854" s="2"/>
      <c r="E2854" s="2" t="s">
        <v>29</v>
      </c>
      <c r="F2854" s="3" t="n">
        <v>3.1E-005</v>
      </c>
      <c r="G2854" s="3" t="n">
        <f aca="false">SUM($F$2:F2854)</f>
        <v>0.971935</v>
      </c>
      <c r="H2854" s="4"/>
      <c r="I2854" s="5"/>
      <c r="J2854" s="4"/>
      <c r="K2854" s="5"/>
      <c r="L2854" s="6"/>
      <c r="M2854" s="5" t="str">
        <f aca="false">IF(AND(N(K2854)&gt;0,N(L2854)&gt;0),K2854/L2854,"")</f>
        <v/>
      </c>
      <c r="N2854" s="2" t="s">
        <v>1226</v>
      </c>
    </row>
    <row r="2855" customFormat="false" ht="15" hidden="false" customHeight="false" outlineLevel="0" collapsed="false">
      <c r="A2855" s="2" t="n">
        <v>2854</v>
      </c>
      <c r="B2855" s="2" t="s">
        <v>5966</v>
      </c>
      <c r="C2855" s="2" t="s">
        <v>5967</v>
      </c>
      <c r="D2855" s="2"/>
      <c r="E2855" s="2" t="s">
        <v>43</v>
      </c>
      <c r="F2855" s="3" t="n">
        <v>3.1E-005</v>
      </c>
      <c r="G2855" s="3" t="n">
        <f aca="false">SUM($F$2:F2855)</f>
        <v>0.971966</v>
      </c>
      <c r="H2855" s="4"/>
      <c r="I2855" s="5"/>
      <c r="J2855" s="4"/>
      <c r="K2855" s="5"/>
      <c r="L2855" s="6"/>
      <c r="M2855" s="5" t="str">
        <f aca="false">IF(AND(N(K2855)&gt;0,N(L2855)&gt;0),K2855/L2855,"")</f>
        <v/>
      </c>
      <c r="N2855" s="2" t="s">
        <v>1226</v>
      </c>
    </row>
    <row r="2856" customFormat="false" ht="15" hidden="false" customHeight="false" outlineLevel="0" collapsed="false">
      <c r="A2856" s="2" t="n">
        <v>2855</v>
      </c>
      <c r="B2856" s="2" t="s">
        <v>5968</v>
      </c>
      <c r="C2856" s="2" t="s">
        <v>5969</v>
      </c>
      <c r="D2856" s="2"/>
      <c r="E2856" s="2" t="s">
        <v>25</v>
      </c>
      <c r="F2856" s="3" t="n">
        <v>3.1E-005</v>
      </c>
      <c r="G2856" s="3" t="n">
        <f aca="false">SUM($F$2:F2856)</f>
        <v>0.971997</v>
      </c>
      <c r="H2856" s="4"/>
      <c r="I2856" s="5"/>
      <c r="J2856" s="4"/>
      <c r="K2856" s="5"/>
      <c r="L2856" s="6"/>
      <c r="M2856" s="5" t="str">
        <f aca="false">IF(AND(N(K2856)&gt;0,N(L2856)&gt;0),K2856/L2856,"")</f>
        <v/>
      </c>
      <c r="N2856" s="2" t="s">
        <v>1226</v>
      </c>
    </row>
    <row r="2857" customFormat="false" ht="15" hidden="false" customHeight="false" outlineLevel="0" collapsed="false">
      <c r="A2857" s="2" t="n">
        <v>2856</v>
      </c>
      <c r="B2857" s="2" t="s">
        <v>5970</v>
      </c>
      <c r="C2857" s="2" t="s">
        <v>5971</v>
      </c>
      <c r="D2857" s="2"/>
      <c r="E2857" s="2" t="s">
        <v>29</v>
      </c>
      <c r="F2857" s="3" t="n">
        <v>3.1E-005</v>
      </c>
      <c r="G2857" s="3" t="n">
        <f aca="false">SUM($F$2:F2857)</f>
        <v>0.972028</v>
      </c>
      <c r="H2857" s="4"/>
      <c r="I2857" s="5"/>
      <c r="J2857" s="4"/>
      <c r="K2857" s="5"/>
      <c r="L2857" s="6"/>
      <c r="M2857" s="5" t="str">
        <f aca="false">IF(AND(N(K2857)&gt;0,N(L2857)&gt;0),K2857/L2857,"")</f>
        <v/>
      </c>
      <c r="N2857" s="2" t="s">
        <v>1226</v>
      </c>
    </row>
    <row r="2858" customFormat="false" ht="15" hidden="false" customHeight="false" outlineLevel="0" collapsed="false">
      <c r="A2858" s="2" t="n">
        <v>2857</v>
      </c>
      <c r="B2858" s="2" t="s">
        <v>5972</v>
      </c>
      <c r="C2858" s="2" t="s">
        <v>5973</v>
      </c>
      <c r="D2858" s="2"/>
      <c r="E2858" s="2" t="s">
        <v>289</v>
      </c>
      <c r="F2858" s="3" t="n">
        <v>3.1E-005</v>
      </c>
      <c r="G2858" s="3" t="n">
        <f aca="false">SUM($F$2:F2858)</f>
        <v>0.972059</v>
      </c>
      <c r="H2858" s="4"/>
      <c r="I2858" s="5"/>
      <c r="J2858" s="4"/>
      <c r="K2858" s="5"/>
      <c r="L2858" s="6"/>
      <c r="M2858" s="5" t="str">
        <f aca="false">IF(AND(N(K2858)&gt;0,N(L2858)&gt;0),K2858/L2858,"")</f>
        <v/>
      </c>
      <c r="N2858" s="2" t="s">
        <v>1226</v>
      </c>
    </row>
    <row r="2859" customFormat="false" ht="15" hidden="false" customHeight="false" outlineLevel="0" collapsed="false">
      <c r="A2859" s="2" t="n">
        <v>2858</v>
      </c>
      <c r="B2859" s="2" t="s">
        <v>1304</v>
      </c>
      <c r="C2859" s="2" t="s">
        <v>5974</v>
      </c>
      <c r="D2859" s="2"/>
      <c r="E2859" s="2" t="s">
        <v>2763</v>
      </c>
      <c r="F2859" s="3" t="n">
        <v>3.1E-005</v>
      </c>
      <c r="G2859" s="3" t="n">
        <f aca="false">SUM($F$2:F2859)</f>
        <v>0.97209</v>
      </c>
      <c r="H2859" s="4"/>
      <c r="I2859" s="5"/>
      <c r="J2859" s="4"/>
      <c r="K2859" s="5"/>
      <c r="L2859" s="6"/>
      <c r="M2859" s="5" t="str">
        <f aca="false">IF(AND(N(K2859)&gt;0,N(L2859)&gt;0),K2859/L2859,"")</f>
        <v/>
      </c>
      <c r="N2859" s="2" t="s">
        <v>1226</v>
      </c>
    </row>
    <row r="2860" customFormat="false" ht="15" hidden="false" customHeight="false" outlineLevel="0" collapsed="false">
      <c r="A2860" s="2" t="n">
        <v>2859</v>
      </c>
      <c r="B2860" s="2" t="s">
        <v>5975</v>
      </c>
      <c r="C2860" s="2" t="s">
        <v>5976</v>
      </c>
      <c r="D2860" s="2"/>
      <c r="E2860" s="2" t="s">
        <v>25</v>
      </c>
      <c r="F2860" s="3" t="n">
        <v>3.1E-005</v>
      </c>
      <c r="G2860" s="3" t="n">
        <f aca="false">SUM($F$2:F2860)</f>
        <v>0.972121</v>
      </c>
      <c r="H2860" s="4"/>
      <c r="I2860" s="5"/>
      <c r="J2860" s="4"/>
      <c r="K2860" s="5"/>
      <c r="L2860" s="6"/>
      <c r="M2860" s="5" t="str">
        <f aca="false">IF(AND(N(K2860)&gt;0,N(L2860)&gt;0),K2860/L2860,"")</f>
        <v/>
      </c>
      <c r="N2860" s="2" t="s">
        <v>1226</v>
      </c>
    </row>
    <row r="2861" customFormat="false" ht="15" hidden="false" customHeight="false" outlineLevel="0" collapsed="false">
      <c r="A2861" s="2" t="n">
        <v>2860</v>
      </c>
      <c r="B2861" s="2" t="s">
        <v>5977</v>
      </c>
      <c r="C2861" s="2" t="s">
        <v>5978</v>
      </c>
      <c r="D2861" s="2"/>
      <c r="E2861" s="2" t="s">
        <v>1295</v>
      </c>
      <c r="F2861" s="3" t="n">
        <v>3.1E-005</v>
      </c>
      <c r="G2861" s="3" t="n">
        <f aca="false">SUM($F$2:F2861)</f>
        <v>0.972152</v>
      </c>
      <c r="H2861" s="4"/>
      <c r="I2861" s="5"/>
      <c r="J2861" s="4"/>
      <c r="K2861" s="5"/>
      <c r="L2861" s="6"/>
      <c r="M2861" s="5" t="str">
        <f aca="false">IF(AND(N(K2861)&gt;0,N(L2861)&gt;0),K2861/L2861,"")</f>
        <v/>
      </c>
      <c r="N2861" s="2" t="s">
        <v>1226</v>
      </c>
    </row>
    <row r="2862" customFormat="false" ht="15" hidden="false" customHeight="false" outlineLevel="0" collapsed="false">
      <c r="A2862" s="2" t="n">
        <v>2861</v>
      </c>
      <c r="B2862" s="2" t="s">
        <v>5979</v>
      </c>
      <c r="C2862" s="2" t="s">
        <v>5980</v>
      </c>
      <c r="D2862" s="2"/>
      <c r="E2862" s="2" t="s">
        <v>52</v>
      </c>
      <c r="F2862" s="3" t="n">
        <v>3.1E-005</v>
      </c>
      <c r="G2862" s="3" t="n">
        <f aca="false">SUM($F$2:F2862)</f>
        <v>0.972183</v>
      </c>
      <c r="H2862" s="4"/>
      <c r="I2862" s="5"/>
      <c r="J2862" s="4"/>
      <c r="K2862" s="5"/>
      <c r="L2862" s="6"/>
      <c r="M2862" s="5" t="str">
        <f aca="false">IF(AND(N(K2862)&gt;0,N(L2862)&gt;0),K2862/L2862,"")</f>
        <v/>
      </c>
      <c r="N2862" s="2" t="s">
        <v>1226</v>
      </c>
    </row>
    <row r="2863" customFormat="false" ht="15" hidden="false" customHeight="false" outlineLevel="0" collapsed="false">
      <c r="A2863" s="2" t="n">
        <v>2862</v>
      </c>
      <c r="B2863" s="2" t="s">
        <v>5981</v>
      </c>
      <c r="C2863" s="2" t="s">
        <v>5982</v>
      </c>
      <c r="D2863" s="2"/>
      <c r="E2863" s="2" t="s">
        <v>289</v>
      </c>
      <c r="F2863" s="3" t="n">
        <v>3.1E-005</v>
      </c>
      <c r="G2863" s="3" t="n">
        <f aca="false">SUM($F$2:F2863)</f>
        <v>0.972214</v>
      </c>
      <c r="H2863" s="4"/>
      <c r="I2863" s="5"/>
      <c r="J2863" s="4"/>
      <c r="K2863" s="5"/>
      <c r="L2863" s="6"/>
      <c r="M2863" s="5" t="str">
        <f aca="false">IF(AND(N(K2863)&gt;0,N(L2863)&gt;0),K2863/L2863,"")</f>
        <v/>
      </c>
      <c r="N2863" s="2" t="s">
        <v>1226</v>
      </c>
    </row>
    <row r="2864" customFormat="false" ht="15" hidden="false" customHeight="false" outlineLevel="0" collapsed="false">
      <c r="A2864" s="2" t="n">
        <v>2863</v>
      </c>
      <c r="B2864" s="2" t="s">
        <v>5983</v>
      </c>
      <c r="C2864" s="2" t="s">
        <v>5984</v>
      </c>
      <c r="D2864" s="2"/>
      <c r="E2864" s="2" t="s">
        <v>1345</v>
      </c>
      <c r="F2864" s="3" t="n">
        <v>3.1E-005</v>
      </c>
      <c r="G2864" s="3" t="n">
        <f aca="false">SUM($F$2:F2864)</f>
        <v>0.972245</v>
      </c>
      <c r="H2864" s="4"/>
      <c r="I2864" s="5"/>
      <c r="J2864" s="4"/>
      <c r="K2864" s="5"/>
      <c r="L2864" s="6"/>
      <c r="M2864" s="5" t="str">
        <f aca="false">IF(AND(N(K2864)&gt;0,N(L2864)&gt;0),K2864/L2864,"")</f>
        <v/>
      </c>
      <c r="N2864" s="2" t="s">
        <v>1226</v>
      </c>
    </row>
    <row r="2865" customFormat="false" ht="15" hidden="false" customHeight="false" outlineLevel="0" collapsed="false">
      <c r="A2865" s="2" t="n">
        <v>2864</v>
      </c>
      <c r="B2865" s="2" t="s">
        <v>5985</v>
      </c>
      <c r="C2865" s="2" t="s">
        <v>5986</v>
      </c>
      <c r="D2865" s="2"/>
      <c r="E2865" s="2" t="s">
        <v>289</v>
      </c>
      <c r="F2865" s="3" t="n">
        <v>3.1E-005</v>
      </c>
      <c r="G2865" s="3" t="n">
        <f aca="false">SUM($F$2:F2865)</f>
        <v>0.972276</v>
      </c>
      <c r="H2865" s="4"/>
      <c r="I2865" s="5"/>
      <c r="J2865" s="4"/>
      <c r="K2865" s="5"/>
      <c r="L2865" s="6"/>
      <c r="M2865" s="5" t="str">
        <f aca="false">IF(AND(N(K2865)&gt;0,N(L2865)&gt;0),K2865/L2865,"")</f>
        <v/>
      </c>
      <c r="N2865" s="2" t="s">
        <v>1226</v>
      </c>
    </row>
    <row r="2866" customFormat="false" ht="15" hidden="false" customHeight="false" outlineLevel="0" collapsed="false">
      <c r="A2866" s="2" t="n">
        <v>2865</v>
      </c>
      <c r="B2866" s="2" t="s">
        <v>5987</v>
      </c>
      <c r="C2866" s="2" t="s">
        <v>5988</v>
      </c>
      <c r="D2866" s="2"/>
      <c r="E2866" s="2" t="s">
        <v>1050</v>
      </c>
      <c r="F2866" s="3" t="n">
        <v>3.1E-005</v>
      </c>
      <c r="G2866" s="3" t="n">
        <f aca="false">SUM($F$2:F2866)</f>
        <v>0.972307</v>
      </c>
      <c r="H2866" s="4"/>
      <c r="I2866" s="5"/>
      <c r="J2866" s="4"/>
      <c r="K2866" s="5"/>
      <c r="L2866" s="6"/>
      <c r="M2866" s="5" t="str">
        <f aca="false">IF(AND(N(K2866)&gt;0,N(L2866)&gt;0),K2866/L2866,"")</f>
        <v/>
      </c>
      <c r="N2866" s="2" t="s">
        <v>1226</v>
      </c>
    </row>
    <row r="2867" customFormat="false" ht="15" hidden="false" customHeight="false" outlineLevel="0" collapsed="false">
      <c r="A2867" s="2" t="n">
        <v>2866</v>
      </c>
      <c r="B2867" s="2" t="s">
        <v>5989</v>
      </c>
      <c r="C2867" s="2" t="s">
        <v>5990</v>
      </c>
      <c r="D2867" s="2"/>
      <c r="E2867" s="2" t="s">
        <v>43</v>
      </c>
      <c r="F2867" s="3" t="n">
        <v>3.1E-005</v>
      </c>
      <c r="G2867" s="3" t="n">
        <f aca="false">SUM($F$2:F2867)</f>
        <v>0.972338</v>
      </c>
      <c r="H2867" s="4"/>
      <c r="I2867" s="5"/>
      <c r="J2867" s="4"/>
      <c r="K2867" s="5"/>
      <c r="L2867" s="6"/>
      <c r="M2867" s="5" t="str">
        <f aca="false">IF(AND(N(K2867)&gt;0,N(L2867)&gt;0),K2867/L2867,"")</f>
        <v/>
      </c>
      <c r="N2867" s="2" t="s">
        <v>1226</v>
      </c>
    </row>
    <row r="2868" customFormat="false" ht="15" hidden="false" customHeight="false" outlineLevel="0" collapsed="false">
      <c r="A2868" s="2" t="n">
        <v>2867</v>
      </c>
      <c r="B2868" s="2" t="s">
        <v>5991</v>
      </c>
      <c r="C2868" s="2" t="s">
        <v>5992</v>
      </c>
      <c r="D2868" s="2"/>
      <c r="E2868" s="2" t="s">
        <v>289</v>
      </c>
      <c r="F2868" s="3" t="n">
        <v>3.1E-005</v>
      </c>
      <c r="G2868" s="3" t="n">
        <f aca="false">SUM($F$2:F2868)</f>
        <v>0.972369</v>
      </c>
      <c r="H2868" s="4"/>
      <c r="I2868" s="5"/>
      <c r="J2868" s="4"/>
      <c r="K2868" s="5"/>
      <c r="L2868" s="6"/>
      <c r="M2868" s="5" t="str">
        <f aca="false">IF(AND(N(K2868)&gt;0,N(L2868)&gt;0),K2868/L2868,"")</f>
        <v/>
      </c>
      <c r="N2868" s="2" t="s">
        <v>1226</v>
      </c>
    </row>
    <row r="2869" customFormat="false" ht="15" hidden="false" customHeight="false" outlineLevel="0" collapsed="false">
      <c r="A2869" s="2" t="n">
        <v>2868</v>
      </c>
      <c r="B2869" s="2" t="s">
        <v>5993</v>
      </c>
      <c r="C2869" s="2" t="s">
        <v>5994</v>
      </c>
      <c r="D2869" s="2"/>
      <c r="E2869" s="2" t="s">
        <v>52</v>
      </c>
      <c r="F2869" s="3" t="n">
        <v>3.1E-005</v>
      </c>
      <c r="G2869" s="3" t="n">
        <f aca="false">SUM($F$2:F2869)</f>
        <v>0.9724</v>
      </c>
      <c r="H2869" s="4"/>
      <c r="I2869" s="5"/>
      <c r="J2869" s="4"/>
      <c r="K2869" s="5"/>
      <c r="L2869" s="6"/>
      <c r="M2869" s="5" t="str">
        <f aca="false">IF(AND(N(K2869)&gt;0,N(L2869)&gt;0),K2869/L2869,"")</f>
        <v/>
      </c>
      <c r="N2869" s="2" t="s">
        <v>1226</v>
      </c>
    </row>
    <row r="2870" customFormat="false" ht="15" hidden="false" customHeight="false" outlineLevel="0" collapsed="false">
      <c r="A2870" s="2" t="n">
        <v>2869</v>
      </c>
      <c r="B2870" s="2" t="s">
        <v>5995</v>
      </c>
      <c r="C2870" s="2" t="s">
        <v>5996</v>
      </c>
      <c r="D2870" s="2"/>
      <c r="E2870" s="2" t="s">
        <v>199</v>
      </c>
      <c r="F2870" s="3" t="n">
        <v>3.1E-005</v>
      </c>
      <c r="G2870" s="3" t="n">
        <f aca="false">SUM($F$2:F2870)</f>
        <v>0.972431</v>
      </c>
      <c r="H2870" s="4"/>
      <c r="I2870" s="5"/>
      <c r="J2870" s="4"/>
      <c r="K2870" s="5"/>
      <c r="L2870" s="6"/>
      <c r="M2870" s="5" t="str">
        <f aca="false">IF(AND(N(K2870)&gt;0,N(L2870)&gt;0),K2870/L2870,"")</f>
        <v/>
      </c>
      <c r="N2870" s="2" t="s">
        <v>1226</v>
      </c>
    </row>
    <row r="2871" customFormat="false" ht="15" hidden="false" customHeight="false" outlineLevel="0" collapsed="false">
      <c r="A2871" s="2" t="n">
        <v>2870</v>
      </c>
      <c r="B2871" s="2" t="s">
        <v>5997</v>
      </c>
      <c r="C2871" s="2" t="s">
        <v>5998</v>
      </c>
      <c r="D2871" s="2"/>
      <c r="E2871" s="2" t="s">
        <v>199</v>
      </c>
      <c r="F2871" s="3" t="n">
        <v>3.1E-005</v>
      </c>
      <c r="G2871" s="3" t="n">
        <f aca="false">SUM($F$2:F2871)</f>
        <v>0.972462</v>
      </c>
      <c r="H2871" s="4"/>
      <c r="I2871" s="5"/>
      <c r="J2871" s="4"/>
      <c r="K2871" s="5"/>
      <c r="L2871" s="6"/>
      <c r="M2871" s="5" t="str">
        <f aca="false">IF(AND(N(K2871)&gt;0,N(L2871)&gt;0),K2871/L2871,"")</f>
        <v/>
      </c>
      <c r="N2871" s="2" t="s">
        <v>1226</v>
      </c>
    </row>
    <row r="2872" customFormat="false" ht="15" hidden="false" customHeight="false" outlineLevel="0" collapsed="false">
      <c r="A2872" s="2" t="n">
        <v>2871</v>
      </c>
      <c r="B2872" s="2" t="s">
        <v>5999</v>
      </c>
      <c r="C2872" s="2" t="s">
        <v>6000</v>
      </c>
      <c r="D2872" s="2"/>
      <c r="E2872" s="2" t="s">
        <v>52</v>
      </c>
      <c r="F2872" s="3" t="n">
        <v>3.1E-005</v>
      </c>
      <c r="G2872" s="3" t="n">
        <f aca="false">SUM($F$2:F2872)</f>
        <v>0.972493</v>
      </c>
      <c r="H2872" s="4"/>
      <c r="I2872" s="5"/>
      <c r="J2872" s="4"/>
      <c r="K2872" s="5"/>
      <c r="L2872" s="6"/>
      <c r="M2872" s="5" t="str">
        <f aca="false">IF(AND(N(K2872)&gt;0,N(L2872)&gt;0),K2872/L2872,"")</f>
        <v/>
      </c>
      <c r="N2872" s="2" t="s">
        <v>1226</v>
      </c>
    </row>
    <row r="2873" customFormat="false" ht="15" hidden="false" customHeight="false" outlineLevel="0" collapsed="false">
      <c r="A2873" s="2" t="n">
        <v>2872</v>
      </c>
      <c r="B2873" s="2" t="s">
        <v>6001</v>
      </c>
      <c r="C2873" s="2" t="s">
        <v>6002</v>
      </c>
      <c r="D2873" s="2"/>
      <c r="E2873" s="2" t="s">
        <v>1345</v>
      </c>
      <c r="F2873" s="3" t="n">
        <v>3.1E-005</v>
      </c>
      <c r="G2873" s="3" t="n">
        <f aca="false">SUM($F$2:F2873)</f>
        <v>0.972524</v>
      </c>
      <c r="H2873" s="4"/>
      <c r="I2873" s="5"/>
      <c r="J2873" s="4"/>
      <c r="K2873" s="5"/>
      <c r="L2873" s="6"/>
      <c r="M2873" s="5" t="str">
        <f aca="false">IF(AND(N(K2873)&gt;0,N(L2873)&gt;0),K2873/L2873,"")</f>
        <v/>
      </c>
      <c r="N2873" s="2" t="s">
        <v>1226</v>
      </c>
    </row>
    <row r="2874" customFormat="false" ht="15" hidden="false" customHeight="false" outlineLevel="0" collapsed="false">
      <c r="A2874" s="2" t="n">
        <v>2873</v>
      </c>
      <c r="B2874" s="2" t="s">
        <v>6003</v>
      </c>
      <c r="C2874" s="2" t="s">
        <v>6004</v>
      </c>
      <c r="D2874" s="2"/>
      <c r="E2874" s="2" t="s">
        <v>25</v>
      </c>
      <c r="F2874" s="3" t="n">
        <v>3.1E-005</v>
      </c>
      <c r="G2874" s="3" t="n">
        <f aca="false">SUM($F$2:F2874)</f>
        <v>0.972555</v>
      </c>
      <c r="H2874" s="4"/>
      <c r="I2874" s="5"/>
      <c r="J2874" s="4"/>
      <c r="K2874" s="5"/>
      <c r="L2874" s="6"/>
      <c r="M2874" s="5" t="str">
        <f aca="false">IF(AND(N(K2874)&gt;0,N(L2874)&gt;0),K2874/L2874,"")</f>
        <v/>
      </c>
      <c r="N2874" s="2" t="s">
        <v>1226</v>
      </c>
    </row>
    <row r="2875" customFormat="false" ht="15" hidden="false" customHeight="false" outlineLevel="0" collapsed="false">
      <c r="A2875" s="2" t="n">
        <v>2874</v>
      </c>
      <c r="B2875" s="2" t="s">
        <v>6005</v>
      </c>
      <c r="C2875" s="2" t="s">
        <v>6006</v>
      </c>
      <c r="D2875" s="2"/>
      <c r="E2875" s="2" t="s">
        <v>43</v>
      </c>
      <c r="F2875" s="3" t="n">
        <v>3.1E-005</v>
      </c>
      <c r="G2875" s="3" t="n">
        <f aca="false">SUM($F$2:F2875)</f>
        <v>0.972586</v>
      </c>
      <c r="H2875" s="4"/>
      <c r="I2875" s="5"/>
      <c r="J2875" s="4"/>
      <c r="K2875" s="5"/>
      <c r="L2875" s="6"/>
      <c r="M2875" s="5" t="str">
        <f aca="false">IF(AND(N(K2875)&gt;0,N(L2875)&gt;0),K2875/L2875,"")</f>
        <v/>
      </c>
      <c r="N2875" s="2" t="s">
        <v>1226</v>
      </c>
    </row>
    <row r="2876" customFormat="false" ht="15" hidden="false" customHeight="false" outlineLevel="0" collapsed="false">
      <c r="A2876" s="2" t="n">
        <v>2875</v>
      </c>
      <c r="B2876" s="2" t="s">
        <v>6007</v>
      </c>
      <c r="C2876" s="2" t="s">
        <v>6008</v>
      </c>
      <c r="D2876" s="2"/>
      <c r="E2876" s="2" t="s">
        <v>1295</v>
      </c>
      <c r="F2876" s="3" t="n">
        <v>3.1E-005</v>
      </c>
      <c r="G2876" s="3" t="n">
        <f aca="false">SUM($F$2:F2876)</f>
        <v>0.972617</v>
      </c>
      <c r="H2876" s="4"/>
      <c r="I2876" s="5"/>
      <c r="J2876" s="4"/>
      <c r="K2876" s="5"/>
      <c r="L2876" s="6"/>
      <c r="M2876" s="5" t="str">
        <f aca="false">IF(AND(N(K2876)&gt;0,N(L2876)&gt;0),K2876/L2876,"")</f>
        <v/>
      </c>
      <c r="N2876" s="2" t="s">
        <v>1226</v>
      </c>
    </row>
    <row r="2877" customFormat="false" ht="15" hidden="false" customHeight="false" outlineLevel="0" collapsed="false">
      <c r="A2877" s="2" t="n">
        <v>2876</v>
      </c>
      <c r="B2877" s="2" t="s">
        <v>6009</v>
      </c>
      <c r="C2877" s="2" t="s">
        <v>6010</v>
      </c>
      <c r="D2877" s="2"/>
      <c r="E2877" s="2" t="s">
        <v>289</v>
      </c>
      <c r="F2877" s="3" t="n">
        <v>3.1E-005</v>
      </c>
      <c r="G2877" s="3" t="n">
        <f aca="false">SUM($F$2:F2877)</f>
        <v>0.972648</v>
      </c>
      <c r="H2877" s="4"/>
      <c r="I2877" s="5"/>
      <c r="J2877" s="4"/>
      <c r="K2877" s="5"/>
      <c r="L2877" s="6"/>
      <c r="M2877" s="5" t="str">
        <f aca="false">IF(AND(N(K2877)&gt;0,N(L2877)&gt;0),K2877/L2877,"")</f>
        <v/>
      </c>
      <c r="N2877" s="2" t="s">
        <v>1226</v>
      </c>
    </row>
    <row r="2878" customFormat="false" ht="15" hidden="false" customHeight="false" outlineLevel="0" collapsed="false">
      <c r="A2878" s="2" t="n">
        <v>2877</v>
      </c>
      <c r="B2878" s="2" t="s">
        <v>5655</v>
      </c>
      <c r="C2878" s="2" t="s">
        <v>6011</v>
      </c>
      <c r="D2878" s="2"/>
      <c r="E2878" s="2" t="s">
        <v>289</v>
      </c>
      <c r="F2878" s="3" t="n">
        <v>3.1E-005</v>
      </c>
      <c r="G2878" s="3" t="n">
        <f aca="false">SUM($F$2:F2878)</f>
        <v>0.972679</v>
      </c>
      <c r="H2878" s="4"/>
      <c r="I2878" s="5"/>
      <c r="J2878" s="4"/>
      <c r="K2878" s="5"/>
      <c r="L2878" s="6"/>
      <c r="M2878" s="5" t="str">
        <f aca="false">IF(AND(N(K2878)&gt;0,N(L2878)&gt;0),K2878/L2878,"")</f>
        <v/>
      </c>
      <c r="N2878" s="2" t="s">
        <v>1226</v>
      </c>
    </row>
    <row r="2879" customFormat="false" ht="15" hidden="false" customHeight="false" outlineLevel="0" collapsed="false">
      <c r="A2879" s="2" t="n">
        <v>2878</v>
      </c>
      <c r="B2879" s="2" t="s">
        <v>6012</v>
      </c>
      <c r="C2879" s="2" t="s">
        <v>6013</v>
      </c>
      <c r="D2879" s="2"/>
      <c r="E2879" s="2" t="s">
        <v>43</v>
      </c>
      <c r="F2879" s="3" t="n">
        <v>3.1E-005</v>
      </c>
      <c r="G2879" s="3" t="n">
        <f aca="false">SUM($F$2:F2879)</f>
        <v>0.97271</v>
      </c>
      <c r="H2879" s="4"/>
      <c r="I2879" s="5"/>
      <c r="J2879" s="4"/>
      <c r="K2879" s="5"/>
      <c r="L2879" s="6"/>
      <c r="M2879" s="5" t="str">
        <f aca="false">IF(AND(N(K2879)&gt;0,N(L2879)&gt;0),K2879/L2879,"")</f>
        <v/>
      </c>
      <c r="N2879" s="2" t="s">
        <v>1226</v>
      </c>
    </row>
    <row r="2880" customFormat="false" ht="15" hidden="false" customHeight="false" outlineLevel="0" collapsed="false">
      <c r="A2880" s="2" t="n">
        <v>2879</v>
      </c>
      <c r="B2880" s="2" t="s">
        <v>6014</v>
      </c>
      <c r="C2880" s="2" t="s">
        <v>6015</v>
      </c>
      <c r="D2880" s="2"/>
      <c r="E2880" s="2" t="s">
        <v>21</v>
      </c>
      <c r="F2880" s="3" t="n">
        <v>3.1E-005</v>
      </c>
      <c r="G2880" s="3" t="n">
        <f aca="false">SUM($F$2:F2880)</f>
        <v>0.972741</v>
      </c>
      <c r="H2880" s="4"/>
      <c r="I2880" s="5"/>
      <c r="J2880" s="4"/>
      <c r="K2880" s="5"/>
      <c r="L2880" s="6"/>
      <c r="M2880" s="5" t="str">
        <f aca="false">IF(AND(N(K2880)&gt;0,N(L2880)&gt;0),K2880/L2880,"")</f>
        <v/>
      </c>
      <c r="N2880" s="2" t="s">
        <v>1226</v>
      </c>
    </row>
    <row r="2881" customFormat="false" ht="15" hidden="false" customHeight="false" outlineLevel="0" collapsed="false">
      <c r="A2881" s="2" t="n">
        <v>2880</v>
      </c>
      <c r="B2881" s="2" t="s">
        <v>6016</v>
      </c>
      <c r="C2881" s="2" t="s">
        <v>6017</v>
      </c>
      <c r="D2881" s="2"/>
      <c r="E2881" s="2" t="s">
        <v>25</v>
      </c>
      <c r="F2881" s="3" t="n">
        <v>3.1E-005</v>
      </c>
      <c r="G2881" s="3" t="n">
        <f aca="false">SUM($F$2:F2881)</f>
        <v>0.972772</v>
      </c>
      <c r="H2881" s="4"/>
      <c r="I2881" s="5"/>
      <c r="J2881" s="4"/>
      <c r="K2881" s="5"/>
      <c r="L2881" s="6"/>
      <c r="M2881" s="5" t="str">
        <f aca="false">IF(AND(N(K2881)&gt;0,N(L2881)&gt;0),K2881/L2881,"")</f>
        <v/>
      </c>
      <c r="N2881" s="2" t="s">
        <v>1226</v>
      </c>
    </row>
    <row r="2882" customFormat="false" ht="15" hidden="false" customHeight="false" outlineLevel="0" collapsed="false">
      <c r="A2882" s="2" t="n">
        <v>2881</v>
      </c>
      <c r="B2882" s="2" t="s">
        <v>6018</v>
      </c>
      <c r="C2882" s="2" t="s">
        <v>6019</v>
      </c>
      <c r="D2882" s="2"/>
      <c r="E2882" s="2" t="s">
        <v>17</v>
      </c>
      <c r="F2882" s="3" t="n">
        <v>3.1E-005</v>
      </c>
      <c r="G2882" s="3" t="n">
        <f aca="false">SUM($F$2:F2882)</f>
        <v>0.972803</v>
      </c>
      <c r="H2882" s="4"/>
      <c r="I2882" s="5"/>
      <c r="J2882" s="4"/>
      <c r="K2882" s="5"/>
      <c r="L2882" s="6"/>
      <c r="M2882" s="5" t="str">
        <f aca="false">IF(AND(N(K2882)&gt;0,N(L2882)&gt;0),K2882/L2882,"")</f>
        <v/>
      </c>
      <c r="N2882" s="2" t="s">
        <v>1226</v>
      </c>
    </row>
    <row r="2883" customFormat="false" ht="15" hidden="false" customHeight="false" outlineLevel="0" collapsed="false">
      <c r="A2883" s="2" t="n">
        <v>2882</v>
      </c>
      <c r="B2883" s="2" t="s">
        <v>6020</v>
      </c>
      <c r="C2883" s="2" t="s">
        <v>6021</v>
      </c>
      <c r="D2883" s="2"/>
      <c r="E2883" s="2" t="s">
        <v>25</v>
      </c>
      <c r="F2883" s="3" t="n">
        <v>3.1E-005</v>
      </c>
      <c r="G2883" s="3" t="n">
        <f aca="false">SUM($F$2:F2883)</f>
        <v>0.972834</v>
      </c>
      <c r="H2883" s="4"/>
      <c r="I2883" s="5"/>
      <c r="J2883" s="4"/>
      <c r="K2883" s="5"/>
      <c r="L2883" s="6"/>
      <c r="M2883" s="5" t="str">
        <f aca="false">IF(AND(N(K2883)&gt;0,N(L2883)&gt;0),K2883/L2883,"")</f>
        <v/>
      </c>
      <c r="N2883" s="2" t="s">
        <v>1226</v>
      </c>
    </row>
    <row r="2884" customFormat="false" ht="15" hidden="false" customHeight="false" outlineLevel="0" collapsed="false">
      <c r="A2884" s="2" t="n">
        <v>2883</v>
      </c>
      <c r="B2884" s="2" t="s">
        <v>6022</v>
      </c>
      <c r="C2884" s="2" t="s">
        <v>6023</v>
      </c>
      <c r="D2884" s="2"/>
      <c r="E2884" s="2" t="s">
        <v>334</v>
      </c>
      <c r="F2884" s="3" t="n">
        <v>3.1E-005</v>
      </c>
      <c r="G2884" s="3" t="n">
        <f aca="false">SUM($F$2:F2884)</f>
        <v>0.972865</v>
      </c>
      <c r="H2884" s="4"/>
      <c r="I2884" s="5"/>
      <c r="J2884" s="4"/>
      <c r="K2884" s="5"/>
      <c r="L2884" s="6"/>
      <c r="M2884" s="5" t="str">
        <f aca="false">IF(AND(N(K2884)&gt;0,N(L2884)&gt;0),K2884/L2884,"")</f>
        <v/>
      </c>
      <c r="N2884" s="2" t="s">
        <v>1226</v>
      </c>
    </row>
    <row r="2885" customFormat="false" ht="15" hidden="false" customHeight="false" outlineLevel="0" collapsed="false">
      <c r="A2885" s="2" t="n">
        <v>2884</v>
      </c>
      <c r="B2885" s="2" t="s">
        <v>6024</v>
      </c>
      <c r="C2885" s="2" t="s">
        <v>6025</v>
      </c>
      <c r="D2885" s="2"/>
      <c r="E2885" s="2" t="s">
        <v>1284</v>
      </c>
      <c r="F2885" s="3" t="n">
        <v>3.1E-005</v>
      </c>
      <c r="G2885" s="3" t="n">
        <f aca="false">SUM($F$2:F2885)</f>
        <v>0.972896</v>
      </c>
      <c r="H2885" s="4"/>
      <c r="I2885" s="5"/>
      <c r="J2885" s="4"/>
      <c r="K2885" s="5"/>
      <c r="L2885" s="6"/>
      <c r="M2885" s="5" t="str">
        <f aca="false">IF(AND(N(K2885)&gt;0,N(L2885)&gt;0),K2885/L2885,"")</f>
        <v/>
      </c>
      <c r="N2885" s="2" t="s">
        <v>1226</v>
      </c>
    </row>
    <row r="2886" customFormat="false" ht="15" hidden="false" customHeight="false" outlineLevel="0" collapsed="false">
      <c r="A2886" s="2" t="n">
        <v>2885</v>
      </c>
      <c r="B2886" s="2" t="s">
        <v>6026</v>
      </c>
      <c r="C2886" s="2" t="s">
        <v>6027</v>
      </c>
      <c r="D2886" s="2"/>
      <c r="E2886" s="2" t="s">
        <v>43</v>
      </c>
      <c r="F2886" s="3" t="n">
        <v>3.1E-005</v>
      </c>
      <c r="G2886" s="3" t="n">
        <f aca="false">SUM($F$2:F2886)</f>
        <v>0.972927</v>
      </c>
      <c r="H2886" s="4"/>
      <c r="I2886" s="5"/>
      <c r="J2886" s="4"/>
      <c r="K2886" s="5"/>
      <c r="L2886" s="6"/>
      <c r="M2886" s="5" t="str">
        <f aca="false">IF(AND(N(K2886)&gt;0,N(L2886)&gt;0),K2886/L2886,"")</f>
        <v/>
      </c>
      <c r="N2886" s="2" t="s">
        <v>1226</v>
      </c>
    </row>
    <row r="2887" customFormat="false" ht="15" hidden="false" customHeight="false" outlineLevel="0" collapsed="false">
      <c r="A2887" s="2" t="n">
        <v>2886</v>
      </c>
      <c r="B2887" s="2" t="s">
        <v>6028</v>
      </c>
      <c r="C2887" s="2" t="s">
        <v>6029</v>
      </c>
      <c r="D2887" s="2"/>
      <c r="E2887" s="2" t="s">
        <v>43</v>
      </c>
      <c r="F2887" s="3" t="n">
        <v>3.1E-005</v>
      </c>
      <c r="G2887" s="3" t="n">
        <f aca="false">SUM($F$2:F2887)</f>
        <v>0.972958</v>
      </c>
      <c r="H2887" s="4"/>
      <c r="I2887" s="5"/>
      <c r="J2887" s="4"/>
      <c r="K2887" s="5"/>
      <c r="L2887" s="6"/>
      <c r="M2887" s="5" t="str">
        <f aca="false">IF(AND(N(K2887)&gt;0,N(L2887)&gt;0),K2887/L2887,"")</f>
        <v/>
      </c>
      <c r="N2887" s="2" t="s">
        <v>1226</v>
      </c>
    </row>
    <row r="2888" customFormat="false" ht="15" hidden="false" customHeight="false" outlineLevel="0" collapsed="false">
      <c r="A2888" s="2" t="n">
        <v>2887</v>
      </c>
      <c r="B2888" s="2" t="s">
        <v>6030</v>
      </c>
      <c r="C2888" s="2" t="s">
        <v>6031</v>
      </c>
      <c r="D2888" s="2"/>
      <c r="E2888" s="2" t="s">
        <v>52</v>
      </c>
      <c r="F2888" s="3" t="n">
        <v>3.1E-005</v>
      </c>
      <c r="G2888" s="3" t="n">
        <f aca="false">SUM($F$2:F2888)</f>
        <v>0.972989</v>
      </c>
      <c r="H2888" s="4"/>
      <c r="I2888" s="5"/>
      <c r="J2888" s="4"/>
      <c r="K2888" s="5"/>
      <c r="L2888" s="6"/>
      <c r="M2888" s="5" t="str">
        <f aca="false">IF(AND(N(K2888)&gt;0,N(L2888)&gt;0),K2888/L2888,"")</f>
        <v/>
      </c>
      <c r="N2888" s="2" t="s">
        <v>1226</v>
      </c>
    </row>
    <row r="2889" customFormat="false" ht="15" hidden="false" customHeight="false" outlineLevel="0" collapsed="false">
      <c r="A2889" s="2" t="n">
        <v>2888</v>
      </c>
      <c r="B2889" s="2" t="s">
        <v>6032</v>
      </c>
      <c r="C2889" s="2" t="s">
        <v>6033</v>
      </c>
      <c r="D2889" s="2"/>
      <c r="E2889" s="2" t="s">
        <v>1215</v>
      </c>
      <c r="F2889" s="3" t="n">
        <v>3.1E-005</v>
      </c>
      <c r="G2889" s="3" t="n">
        <f aca="false">SUM($F$2:F2889)</f>
        <v>0.97302</v>
      </c>
      <c r="H2889" s="4"/>
      <c r="I2889" s="5"/>
      <c r="J2889" s="4"/>
      <c r="K2889" s="5"/>
      <c r="L2889" s="6"/>
      <c r="M2889" s="5" t="str">
        <f aca="false">IF(AND(N(K2889)&gt;0,N(L2889)&gt;0),K2889/L2889,"")</f>
        <v/>
      </c>
      <c r="N2889" s="2" t="s">
        <v>1226</v>
      </c>
    </row>
    <row r="2890" customFormat="false" ht="15" hidden="false" customHeight="false" outlineLevel="0" collapsed="false">
      <c r="A2890" s="2" t="n">
        <v>2889</v>
      </c>
      <c r="B2890" s="2" t="s">
        <v>6034</v>
      </c>
      <c r="C2890" s="2" t="s">
        <v>6035</v>
      </c>
      <c r="D2890" s="2"/>
      <c r="E2890" s="2" t="s">
        <v>29</v>
      </c>
      <c r="F2890" s="3" t="n">
        <v>3.1E-005</v>
      </c>
      <c r="G2890" s="3" t="n">
        <f aca="false">SUM($F$2:F2890)</f>
        <v>0.973051</v>
      </c>
      <c r="H2890" s="4"/>
      <c r="I2890" s="5"/>
      <c r="J2890" s="4"/>
      <c r="K2890" s="5"/>
      <c r="L2890" s="6"/>
      <c r="M2890" s="5" t="str">
        <f aca="false">IF(AND(N(K2890)&gt;0,N(L2890)&gt;0),K2890/L2890,"")</f>
        <v/>
      </c>
      <c r="N2890" s="2" t="s">
        <v>1226</v>
      </c>
    </row>
    <row r="2891" customFormat="false" ht="15" hidden="false" customHeight="false" outlineLevel="0" collapsed="false">
      <c r="A2891" s="2" t="n">
        <v>2890</v>
      </c>
      <c r="B2891" s="2" t="s">
        <v>6036</v>
      </c>
      <c r="C2891" s="2" t="s">
        <v>6037</v>
      </c>
      <c r="D2891" s="2"/>
      <c r="E2891" s="2" t="s">
        <v>1245</v>
      </c>
      <c r="F2891" s="3" t="n">
        <v>3.1E-005</v>
      </c>
      <c r="G2891" s="3" t="n">
        <f aca="false">SUM($F$2:F2891)</f>
        <v>0.973082</v>
      </c>
      <c r="H2891" s="4"/>
      <c r="I2891" s="5"/>
      <c r="J2891" s="4"/>
      <c r="K2891" s="5"/>
      <c r="L2891" s="6"/>
      <c r="M2891" s="5" t="str">
        <f aca="false">IF(AND(N(K2891)&gt;0,N(L2891)&gt;0),K2891/L2891,"")</f>
        <v/>
      </c>
      <c r="N2891" s="2" t="s">
        <v>1226</v>
      </c>
    </row>
    <row r="2892" customFormat="false" ht="15" hidden="false" customHeight="false" outlineLevel="0" collapsed="false">
      <c r="A2892" s="2" t="n">
        <v>2891</v>
      </c>
      <c r="B2892" s="2" t="s">
        <v>6038</v>
      </c>
      <c r="C2892" s="2" t="s">
        <v>6039</v>
      </c>
      <c r="D2892" s="2"/>
      <c r="E2892" s="2" t="s">
        <v>17</v>
      </c>
      <c r="F2892" s="3" t="n">
        <v>3.1E-005</v>
      </c>
      <c r="G2892" s="3" t="n">
        <f aca="false">SUM($F$2:F2892)</f>
        <v>0.973113</v>
      </c>
      <c r="H2892" s="4"/>
      <c r="I2892" s="5"/>
      <c r="J2892" s="4"/>
      <c r="K2892" s="5"/>
      <c r="L2892" s="6"/>
      <c r="M2892" s="5" t="str">
        <f aca="false">IF(AND(N(K2892)&gt;0,N(L2892)&gt;0),K2892/L2892,"")</f>
        <v/>
      </c>
      <c r="N2892" s="2" t="s">
        <v>1226</v>
      </c>
    </row>
    <row r="2893" customFormat="false" ht="15" hidden="false" customHeight="false" outlineLevel="0" collapsed="false">
      <c r="A2893" s="2" t="n">
        <v>2892</v>
      </c>
      <c r="B2893" s="2" t="s">
        <v>6040</v>
      </c>
      <c r="C2893" s="2" t="s">
        <v>6041</v>
      </c>
      <c r="D2893" s="2"/>
      <c r="E2893" s="2" t="s">
        <v>173</v>
      </c>
      <c r="F2893" s="3" t="n">
        <v>3E-005</v>
      </c>
      <c r="G2893" s="3" t="n">
        <f aca="false">SUM($F$2:F2893)</f>
        <v>0.973143</v>
      </c>
      <c r="H2893" s="4"/>
      <c r="I2893" s="5"/>
      <c r="J2893" s="4"/>
      <c r="K2893" s="5"/>
      <c r="L2893" s="6"/>
      <c r="M2893" s="5" t="str">
        <f aca="false">IF(AND(N(K2893)&gt;0,N(L2893)&gt;0),K2893/L2893,"")</f>
        <v/>
      </c>
      <c r="N2893" s="2" t="s">
        <v>1226</v>
      </c>
    </row>
    <row r="2894" customFormat="false" ht="15" hidden="false" customHeight="false" outlineLevel="0" collapsed="false">
      <c r="A2894" s="2" t="n">
        <v>2893</v>
      </c>
      <c r="B2894" s="2" t="s">
        <v>6042</v>
      </c>
      <c r="C2894" s="2" t="s">
        <v>6043</v>
      </c>
      <c r="D2894" s="2"/>
      <c r="E2894" s="2" t="s">
        <v>43</v>
      </c>
      <c r="F2894" s="3" t="n">
        <v>3E-005</v>
      </c>
      <c r="G2894" s="3" t="n">
        <f aca="false">SUM($F$2:F2894)</f>
        <v>0.973173</v>
      </c>
      <c r="H2894" s="4"/>
      <c r="I2894" s="5"/>
      <c r="J2894" s="4"/>
      <c r="K2894" s="5"/>
      <c r="L2894" s="6"/>
      <c r="M2894" s="5" t="str">
        <f aca="false">IF(AND(N(K2894)&gt;0,N(L2894)&gt;0),K2894/L2894,"")</f>
        <v/>
      </c>
      <c r="N2894" s="2" t="s">
        <v>1226</v>
      </c>
    </row>
    <row r="2895" customFormat="false" ht="15" hidden="false" customHeight="false" outlineLevel="0" collapsed="false">
      <c r="A2895" s="2" t="n">
        <v>2894</v>
      </c>
      <c r="B2895" s="2" t="s">
        <v>6044</v>
      </c>
      <c r="C2895" s="2" t="s">
        <v>6045</v>
      </c>
      <c r="D2895" s="2"/>
      <c r="E2895" s="2" t="s">
        <v>29</v>
      </c>
      <c r="F2895" s="3" t="n">
        <v>3E-005</v>
      </c>
      <c r="G2895" s="3" t="n">
        <f aca="false">SUM($F$2:F2895)</f>
        <v>0.973203</v>
      </c>
      <c r="H2895" s="4"/>
      <c r="I2895" s="5"/>
      <c r="J2895" s="4"/>
      <c r="K2895" s="5"/>
      <c r="L2895" s="6"/>
      <c r="M2895" s="5" t="str">
        <f aca="false">IF(AND(N(K2895)&gt;0,N(L2895)&gt;0),K2895/L2895,"")</f>
        <v/>
      </c>
      <c r="N2895" s="2" t="s">
        <v>1226</v>
      </c>
    </row>
    <row r="2896" customFormat="false" ht="15" hidden="false" customHeight="false" outlineLevel="0" collapsed="false">
      <c r="A2896" s="2" t="n">
        <v>2895</v>
      </c>
      <c r="B2896" s="2" t="s">
        <v>6046</v>
      </c>
      <c r="C2896" s="2" t="s">
        <v>6047</v>
      </c>
      <c r="D2896" s="2"/>
      <c r="E2896" s="2" t="s">
        <v>17</v>
      </c>
      <c r="F2896" s="3" t="n">
        <v>3E-005</v>
      </c>
      <c r="G2896" s="3" t="n">
        <f aca="false">SUM($F$2:F2896)</f>
        <v>0.973233</v>
      </c>
      <c r="H2896" s="4"/>
      <c r="I2896" s="5"/>
      <c r="J2896" s="4"/>
      <c r="K2896" s="5"/>
      <c r="L2896" s="6"/>
      <c r="M2896" s="5" t="str">
        <f aca="false">IF(AND(N(K2896)&gt;0,N(L2896)&gt;0),K2896/L2896,"")</f>
        <v/>
      </c>
      <c r="N2896" s="2" t="s">
        <v>1226</v>
      </c>
    </row>
    <row r="2897" customFormat="false" ht="15" hidden="false" customHeight="false" outlineLevel="0" collapsed="false">
      <c r="A2897" s="2" t="n">
        <v>2896</v>
      </c>
      <c r="B2897" s="2" t="s">
        <v>6048</v>
      </c>
      <c r="C2897" s="2" t="s">
        <v>6049</v>
      </c>
      <c r="D2897" s="2"/>
      <c r="E2897" s="2" t="s">
        <v>29</v>
      </c>
      <c r="F2897" s="3" t="n">
        <v>3E-005</v>
      </c>
      <c r="G2897" s="3" t="n">
        <f aca="false">SUM($F$2:F2897)</f>
        <v>0.973263</v>
      </c>
      <c r="H2897" s="4"/>
      <c r="I2897" s="5"/>
      <c r="J2897" s="4"/>
      <c r="K2897" s="5"/>
      <c r="L2897" s="6"/>
      <c r="M2897" s="5" t="str">
        <f aca="false">IF(AND(N(K2897)&gt;0,N(L2897)&gt;0),K2897/L2897,"")</f>
        <v/>
      </c>
      <c r="N2897" s="2" t="s">
        <v>1226</v>
      </c>
    </row>
    <row r="2898" customFormat="false" ht="15" hidden="false" customHeight="false" outlineLevel="0" collapsed="false">
      <c r="A2898" s="2" t="n">
        <v>2897</v>
      </c>
      <c r="B2898" s="2" t="s">
        <v>6050</v>
      </c>
      <c r="C2898" s="2" t="s">
        <v>6051</v>
      </c>
      <c r="D2898" s="2"/>
      <c r="E2898" s="2" t="s">
        <v>1019</v>
      </c>
      <c r="F2898" s="3" t="n">
        <v>3E-005</v>
      </c>
      <c r="G2898" s="3" t="n">
        <f aca="false">SUM($F$2:F2898)</f>
        <v>0.973293</v>
      </c>
      <c r="H2898" s="4"/>
      <c r="I2898" s="5"/>
      <c r="J2898" s="4"/>
      <c r="K2898" s="5"/>
      <c r="L2898" s="6"/>
      <c r="M2898" s="5" t="str">
        <f aca="false">IF(AND(N(K2898)&gt;0,N(L2898)&gt;0),K2898/L2898,"")</f>
        <v/>
      </c>
      <c r="N2898" s="2" t="s">
        <v>1226</v>
      </c>
    </row>
    <row r="2899" customFormat="false" ht="15" hidden="false" customHeight="false" outlineLevel="0" collapsed="false">
      <c r="A2899" s="2" t="n">
        <v>2898</v>
      </c>
      <c r="B2899" s="2" t="s">
        <v>6052</v>
      </c>
      <c r="C2899" s="2" t="s">
        <v>6053</v>
      </c>
      <c r="D2899" s="2"/>
      <c r="E2899" s="2" t="s">
        <v>82</v>
      </c>
      <c r="F2899" s="3" t="n">
        <v>3E-005</v>
      </c>
      <c r="G2899" s="3" t="n">
        <f aca="false">SUM($F$2:F2899)</f>
        <v>0.973323</v>
      </c>
      <c r="H2899" s="4"/>
      <c r="I2899" s="5"/>
      <c r="J2899" s="4"/>
      <c r="K2899" s="5"/>
      <c r="L2899" s="6"/>
      <c r="M2899" s="5" t="str">
        <f aca="false">IF(AND(N(K2899)&gt;0,N(L2899)&gt;0),K2899/L2899,"")</f>
        <v/>
      </c>
      <c r="N2899" s="2" t="s">
        <v>1226</v>
      </c>
    </row>
    <row r="2900" customFormat="false" ht="15" hidden="false" customHeight="false" outlineLevel="0" collapsed="false">
      <c r="A2900" s="2" t="n">
        <v>2899</v>
      </c>
      <c r="B2900" s="2" t="s">
        <v>6054</v>
      </c>
      <c r="C2900" s="2" t="s">
        <v>6055</v>
      </c>
      <c r="D2900" s="2"/>
      <c r="E2900" s="2" t="s">
        <v>33</v>
      </c>
      <c r="F2900" s="3" t="n">
        <v>3E-005</v>
      </c>
      <c r="G2900" s="3" t="n">
        <f aca="false">SUM($F$2:F2900)</f>
        <v>0.973353</v>
      </c>
      <c r="H2900" s="4"/>
      <c r="I2900" s="5"/>
      <c r="J2900" s="4"/>
      <c r="K2900" s="5"/>
      <c r="L2900" s="6"/>
      <c r="M2900" s="5" t="str">
        <f aca="false">IF(AND(N(K2900)&gt;0,N(L2900)&gt;0),K2900/L2900,"")</f>
        <v/>
      </c>
      <c r="N2900" s="2" t="s">
        <v>1226</v>
      </c>
    </row>
    <row r="2901" customFormat="false" ht="15" hidden="false" customHeight="false" outlineLevel="0" collapsed="false">
      <c r="A2901" s="2" t="n">
        <v>2900</v>
      </c>
      <c r="B2901" s="2" t="s">
        <v>6056</v>
      </c>
      <c r="C2901" s="2" t="s">
        <v>6057</v>
      </c>
      <c r="D2901" s="2"/>
      <c r="E2901" s="2" t="s">
        <v>17</v>
      </c>
      <c r="F2901" s="3" t="n">
        <v>3E-005</v>
      </c>
      <c r="G2901" s="3" t="n">
        <f aca="false">SUM($F$2:F2901)</f>
        <v>0.973383</v>
      </c>
      <c r="H2901" s="4"/>
      <c r="I2901" s="5"/>
      <c r="J2901" s="4"/>
      <c r="K2901" s="5"/>
      <c r="L2901" s="6"/>
      <c r="M2901" s="5" t="str">
        <f aca="false">IF(AND(N(K2901)&gt;0,N(L2901)&gt;0),K2901/L2901,"")</f>
        <v/>
      </c>
      <c r="N2901" s="2" t="s">
        <v>1226</v>
      </c>
    </row>
    <row r="2902" customFormat="false" ht="15" hidden="false" customHeight="false" outlineLevel="0" collapsed="false">
      <c r="A2902" s="2" t="n">
        <v>2901</v>
      </c>
      <c r="B2902" s="2" t="s">
        <v>6058</v>
      </c>
      <c r="C2902" s="2" t="s">
        <v>6059</v>
      </c>
      <c r="D2902" s="2"/>
      <c r="E2902" s="2" t="s">
        <v>21</v>
      </c>
      <c r="F2902" s="3" t="n">
        <v>3E-005</v>
      </c>
      <c r="G2902" s="3" t="n">
        <f aca="false">SUM($F$2:F2902)</f>
        <v>0.973413</v>
      </c>
      <c r="H2902" s="4"/>
      <c r="I2902" s="5"/>
      <c r="J2902" s="4"/>
      <c r="K2902" s="5"/>
      <c r="L2902" s="6"/>
      <c r="M2902" s="5" t="str">
        <f aca="false">IF(AND(N(K2902)&gt;0,N(L2902)&gt;0),K2902/L2902,"")</f>
        <v/>
      </c>
      <c r="N2902" s="2" t="s">
        <v>1226</v>
      </c>
    </row>
    <row r="2903" customFormat="false" ht="15" hidden="false" customHeight="false" outlineLevel="0" collapsed="false">
      <c r="A2903" s="2" t="n">
        <v>2902</v>
      </c>
      <c r="B2903" s="2" t="s">
        <v>6060</v>
      </c>
      <c r="C2903" s="2" t="s">
        <v>6061</v>
      </c>
      <c r="D2903" s="2"/>
      <c r="E2903" s="2" t="s">
        <v>82</v>
      </c>
      <c r="F2903" s="3" t="n">
        <v>3E-005</v>
      </c>
      <c r="G2903" s="3" t="n">
        <f aca="false">SUM($F$2:F2903)</f>
        <v>0.973443</v>
      </c>
      <c r="H2903" s="4"/>
      <c r="I2903" s="5"/>
      <c r="J2903" s="4"/>
      <c r="K2903" s="5"/>
      <c r="L2903" s="6"/>
      <c r="M2903" s="5" t="str">
        <f aca="false">IF(AND(N(K2903)&gt;0,N(L2903)&gt;0),K2903/L2903,"")</f>
        <v/>
      </c>
      <c r="N2903" s="2" t="s">
        <v>1226</v>
      </c>
    </row>
    <row r="2904" customFormat="false" ht="15" hidden="false" customHeight="false" outlineLevel="0" collapsed="false">
      <c r="A2904" s="2" t="n">
        <v>2903</v>
      </c>
      <c r="B2904" s="2" t="s">
        <v>6062</v>
      </c>
      <c r="C2904" s="2" t="s">
        <v>6063</v>
      </c>
      <c r="D2904" s="2"/>
      <c r="E2904" s="2" t="s">
        <v>82</v>
      </c>
      <c r="F2904" s="3" t="n">
        <v>3E-005</v>
      </c>
      <c r="G2904" s="3" t="n">
        <f aca="false">SUM($F$2:F2904)</f>
        <v>0.973473</v>
      </c>
      <c r="H2904" s="4"/>
      <c r="I2904" s="5"/>
      <c r="J2904" s="4"/>
      <c r="K2904" s="5"/>
      <c r="L2904" s="6"/>
      <c r="M2904" s="5" t="str">
        <f aca="false">IF(AND(N(K2904)&gt;0,N(L2904)&gt;0),K2904/L2904,"")</f>
        <v/>
      </c>
      <c r="N2904" s="2" t="s">
        <v>1226</v>
      </c>
    </row>
    <row r="2905" customFormat="false" ht="15" hidden="false" customHeight="false" outlineLevel="0" collapsed="false">
      <c r="A2905" s="2" t="n">
        <v>2904</v>
      </c>
      <c r="B2905" s="2" t="s">
        <v>6064</v>
      </c>
      <c r="C2905" s="2" t="s">
        <v>6065</v>
      </c>
      <c r="D2905" s="2"/>
      <c r="E2905" s="2" t="s">
        <v>1245</v>
      </c>
      <c r="F2905" s="3" t="n">
        <v>3E-005</v>
      </c>
      <c r="G2905" s="3" t="n">
        <f aca="false">SUM($F$2:F2905)</f>
        <v>0.973503</v>
      </c>
      <c r="H2905" s="4"/>
      <c r="I2905" s="5"/>
      <c r="J2905" s="4"/>
      <c r="K2905" s="5"/>
      <c r="L2905" s="6"/>
      <c r="M2905" s="5" t="str">
        <f aca="false">IF(AND(N(K2905)&gt;0,N(L2905)&gt;0),K2905/L2905,"")</f>
        <v/>
      </c>
      <c r="N2905" s="2" t="s">
        <v>1226</v>
      </c>
    </row>
    <row r="2906" customFormat="false" ht="15" hidden="false" customHeight="false" outlineLevel="0" collapsed="false">
      <c r="A2906" s="2" t="n">
        <v>2905</v>
      </c>
      <c r="B2906" s="2" t="s">
        <v>6066</v>
      </c>
      <c r="C2906" s="2" t="s">
        <v>6067</v>
      </c>
      <c r="D2906" s="2"/>
      <c r="E2906" s="2" t="s">
        <v>29</v>
      </c>
      <c r="F2906" s="3" t="n">
        <v>3E-005</v>
      </c>
      <c r="G2906" s="3" t="n">
        <f aca="false">SUM($F$2:F2906)</f>
        <v>0.973533</v>
      </c>
      <c r="H2906" s="4"/>
      <c r="I2906" s="5"/>
      <c r="J2906" s="4"/>
      <c r="K2906" s="5"/>
      <c r="L2906" s="6"/>
      <c r="M2906" s="5" t="str">
        <f aca="false">IF(AND(N(K2906)&gt;0,N(L2906)&gt;0),K2906/L2906,"")</f>
        <v/>
      </c>
      <c r="N2906" s="2" t="s">
        <v>1226</v>
      </c>
    </row>
    <row r="2907" customFormat="false" ht="15" hidden="false" customHeight="false" outlineLevel="0" collapsed="false">
      <c r="A2907" s="2" t="n">
        <v>2906</v>
      </c>
      <c r="B2907" s="2" t="s">
        <v>6068</v>
      </c>
      <c r="C2907" s="2" t="s">
        <v>6069</v>
      </c>
      <c r="D2907" s="2"/>
      <c r="E2907" s="2" t="s">
        <v>17</v>
      </c>
      <c r="F2907" s="3" t="n">
        <v>3E-005</v>
      </c>
      <c r="G2907" s="3" t="n">
        <f aca="false">SUM($F$2:F2907)</f>
        <v>0.973563</v>
      </c>
      <c r="H2907" s="4"/>
      <c r="I2907" s="5"/>
      <c r="J2907" s="4"/>
      <c r="K2907" s="5"/>
      <c r="L2907" s="6"/>
      <c r="M2907" s="5" t="str">
        <f aca="false">IF(AND(N(K2907)&gt;0,N(L2907)&gt;0),K2907/L2907,"")</f>
        <v/>
      </c>
      <c r="N2907" s="2" t="s">
        <v>1226</v>
      </c>
    </row>
    <row r="2908" customFormat="false" ht="15" hidden="false" customHeight="false" outlineLevel="0" collapsed="false">
      <c r="A2908" s="2" t="n">
        <v>2907</v>
      </c>
      <c r="B2908" s="2" t="s">
        <v>6070</v>
      </c>
      <c r="C2908" s="2" t="s">
        <v>6071</v>
      </c>
      <c r="D2908" s="2"/>
      <c r="E2908" s="2" t="s">
        <v>1050</v>
      </c>
      <c r="F2908" s="3" t="n">
        <v>3E-005</v>
      </c>
      <c r="G2908" s="3" t="n">
        <f aca="false">SUM($F$2:F2908)</f>
        <v>0.973593</v>
      </c>
      <c r="H2908" s="4"/>
      <c r="I2908" s="5"/>
      <c r="J2908" s="4"/>
      <c r="K2908" s="5"/>
      <c r="L2908" s="6"/>
      <c r="M2908" s="5" t="str">
        <f aca="false">IF(AND(N(K2908)&gt;0,N(L2908)&gt;0),K2908/L2908,"")</f>
        <v/>
      </c>
      <c r="N2908" s="2" t="s">
        <v>1226</v>
      </c>
    </row>
    <row r="2909" customFormat="false" ht="15" hidden="false" customHeight="false" outlineLevel="0" collapsed="false">
      <c r="A2909" s="2" t="n">
        <v>2908</v>
      </c>
      <c r="B2909" s="2" t="s">
        <v>6072</v>
      </c>
      <c r="C2909" s="2" t="s">
        <v>6073</v>
      </c>
      <c r="D2909" s="2"/>
      <c r="E2909" s="2" t="s">
        <v>17</v>
      </c>
      <c r="F2909" s="3" t="n">
        <v>3E-005</v>
      </c>
      <c r="G2909" s="3" t="n">
        <f aca="false">SUM($F$2:F2909)</f>
        <v>0.973623</v>
      </c>
      <c r="H2909" s="4"/>
      <c r="I2909" s="5"/>
      <c r="J2909" s="4"/>
      <c r="K2909" s="5"/>
      <c r="L2909" s="6"/>
      <c r="M2909" s="5" t="str">
        <f aca="false">IF(AND(N(K2909)&gt;0,N(L2909)&gt;0),K2909/L2909,"")</f>
        <v/>
      </c>
      <c r="N2909" s="2" t="s">
        <v>1226</v>
      </c>
    </row>
    <row r="2910" customFormat="false" ht="15" hidden="false" customHeight="false" outlineLevel="0" collapsed="false">
      <c r="A2910" s="2" t="n">
        <v>2909</v>
      </c>
      <c r="B2910" s="2" t="s">
        <v>6074</v>
      </c>
      <c r="C2910" s="2" t="s">
        <v>6075</v>
      </c>
      <c r="D2910" s="2"/>
      <c r="E2910" s="2" t="s">
        <v>52</v>
      </c>
      <c r="F2910" s="3" t="n">
        <v>3E-005</v>
      </c>
      <c r="G2910" s="3" t="n">
        <f aca="false">SUM($F$2:F2910)</f>
        <v>0.973653</v>
      </c>
      <c r="H2910" s="4"/>
      <c r="I2910" s="5"/>
      <c r="J2910" s="4"/>
      <c r="K2910" s="5"/>
      <c r="L2910" s="6"/>
      <c r="M2910" s="5" t="str">
        <f aca="false">IF(AND(N(K2910)&gt;0,N(L2910)&gt;0),K2910/L2910,"")</f>
        <v/>
      </c>
      <c r="N2910" s="2" t="s">
        <v>1226</v>
      </c>
    </row>
    <row r="2911" customFormat="false" ht="15" hidden="false" customHeight="false" outlineLevel="0" collapsed="false">
      <c r="A2911" s="2" t="n">
        <v>2910</v>
      </c>
      <c r="B2911" s="2" t="s">
        <v>6076</v>
      </c>
      <c r="C2911" s="2" t="s">
        <v>6077</v>
      </c>
      <c r="D2911" s="2"/>
      <c r="E2911" s="2" t="s">
        <v>38</v>
      </c>
      <c r="F2911" s="3" t="n">
        <v>3E-005</v>
      </c>
      <c r="G2911" s="3" t="n">
        <f aca="false">SUM($F$2:F2911)</f>
        <v>0.973683</v>
      </c>
      <c r="H2911" s="4"/>
      <c r="I2911" s="5"/>
      <c r="J2911" s="4"/>
      <c r="K2911" s="5"/>
      <c r="L2911" s="6"/>
      <c r="M2911" s="5" t="str">
        <f aca="false">IF(AND(N(K2911)&gt;0,N(L2911)&gt;0),K2911/L2911,"")</f>
        <v/>
      </c>
      <c r="N2911" s="2" t="s">
        <v>1226</v>
      </c>
    </row>
    <row r="2912" customFormat="false" ht="15" hidden="false" customHeight="false" outlineLevel="0" collapsed="false">
      <c r="A2912" s="2" t="n">
        <v>2911</v>
      </c>
      <c r="B2912" s="2" t="s">
        <v>117</v>
      </c>
      <c r="C2912" s="2" t="s">
        <v>6078</v>
      </c>
      <c r="D2912" s="2"/>
      <c r="E2912" s="2" t="s">
        <v>43</v>
      </c>
      <c r="F2912" s="3" t="n">
        <v>3E-005</v>
      </c>
      <c r="G2912" s="3" t="n">
        <f aca="false">SUM($F$2:F2912)</f>
        <v>0.973713</v>
      </c>
      <c r="H2912" s="4"/>
      <c r="I2912" s="5"/>
      <c r="J2912" s="4"/>
      <c r="K2912" s="5"/>
      <c r="L2912" s="6"/>
      <c r="M2912" s="5" t="str">
        <f aca="false">IF(AND(N(K2912)&gt;0,N(L2912)&gt;0),K2912/L2912,"")</f>
        <v/>
      </c>
      <c r="N2912" s="2" t="s">
        <v>1226</v>
      </c>
    </row>
    <row r="2913" customFormat="false" ht="15" hidden="false" customHeight="false" outlineLevel="0" collapsed="false">
      <c r="A2913" s="2" t="n">
        <v>2912</v>
      </c>
      <c r="B2913" s="2" t="s">
        <v>6079</v>
      </c>
      <c r="C2913" s="2" t="s">
        <v>6080</v>
      </c>
      <c r="D2913" s="2"/>
      <c r="E2913" s="2" t="s">
        <v>1215</v>
      </c>
      <c r="F2913" s="3" t="n">
        <v>3E-005</v>
      </c>
      <c r="G2913" s="3" t="n">
        <f aca="false">SUM($F$2:F2913)</f>
        <v>0.973743</v>
      </c>
      <c r="H2913" s="4"/>
      <c r="I2913" s="5"/>
      <c r="J2913" s="4"/>
      <c r="K2913" s="5"/>
      <c r="L2913" s="6"/>
      <c r="M2913" s="5" t="str">
        <f aca="false">IF(AND(N(K2913)&gt;0,N(L2913)&gt;0),K2913/L2913,"")</f>
        <v/>
      </c>
      <c r="N2913" s="2" t="s">
        <v>1226</v>
      </c>
    </row>
    <row r="2914" customFormat="false" ht="15" hidden="false" customHeight="false" outlineLevel="0" collapsed="false">
      <c r="A2914" s="2" t="n">
        <v>2913</v>
      </c>
      <c r="B2914" s="2" t="s">
        <v>6081</v>
      </c>
      <c r="C2914" s="2" t="s">
        <v>6082</v>
      </c>
      <c r="D2914" s="2"/>
      <c r="E2914" s="2" t="s">
        <v>33</v>
      </c>
      <c r="F2914" s="3" t="n">
        <v>3E-005</v>
      </c>
      <c r="G2914" s="3" t="n">
        <f aca="false">SUM($F$2:F2914)</f>
        <v>0.973773</v>
      </c>
      <c r="H2914" s="4"/>
      <c r="I2914" s="5"/>
      <c r="J2914" s="4"/>
      <c r="K2914" s="5"/>
      <c r="L2914" s="6"/>
      <c r="M2914" s="5" t="str">
        <f aca="false">IF(AND(N(K2914)&gt;0,N(L2914)&gt;0),K2914/L2914,"")</f>
        <v/>
      </c>
      <c r="N2914" s="2" t="s">
        <v>1226</v>
      </c>
    </row>
    <row r="2915" customFormat="false" ht="15" hidden="false" customHeight="false" outlineLevel="0" collapsed="false">
      <c r="A2915" s="2" t="n">
        <v>2914</v>
      </c>
      <c r="B2915" s="2" t="s">
        <v>6083</v>
      </c>
      <c r="C2915" s="2" t="s">
        <v>6084</v>
      </c>
      <c r="D2915" s="2"/>
      <c r="E2915" s="2" t="s">
        <v>52</v>
      </c>
      <c r="F2915" s="3" t="n">
        <v>3E-005</v>
      </c>
      <c r="G2915" s="3" t="n">
        <f aca="false">SUM($F$2:F2915)</f>
        <v>0.973803</v>
      </c>
      <c r="H2915" s="4"/>
      <c r="I2915" s="5"/>
      <c r="J2915" s="4"/>
      <c r="K2915" s="5"/>
      <c r="L2915" s="6"/>
      <c r="M2915" s="5" t="str">
        <f aca="false">IF(AND(N(K2915)&gt;0,N(L2915)&gt;0),K2915/L2915,"")</f>
        <v/>
      </c>
      <c r="N2915" s="2" t="s">
        <v>1226</v>
      </c>
    </row>
    <row r="2916" customFormat="false" ht="15" hidden="false" customHeight="false" outlineLevel="0" collapsed="false">
      <c r="A2916" s="2" t="n">
        <v>2915</v>
      </c>
      <c r="B2916" s="2" t="s">
        <v>6085</v>
      </c>
      <c r="C2916" s="2" t="s">
        <v>6086</v>
      </c>
      <c r="D2916" s="2"/>
      <c r="E2916" s="2" t="s">
        <v>1345</v>
      </c>
      <c r="F2916" s="3" t="n">
        <v>3E-005</v>
      </c>
      <c r="G2916" s="3" t="n">
        <f aca="false">SUM($F$2:F2916)</f>
        <v>0.973833</v>
      </c>
      <c r="H2916" s="4"/>
      <c r="I2916" s="5"/>
      <c r="J2916" s="4"/>
      <c r="K2916" s="5"/>
      <c r="L2916" s="6"/>
      <c r="M2916" s="5" t="str">
        <f aca="false">IF(AND(N(K2916)&gt;0,N(L2916)&gt;0),K2916/L2916,"")</f>
        <v/>
      </c>
      <c r="N2916" s="2" t="s">
        <v>1226</v>
      </c>
    </row>
    <row r="2917" customFormat="false" ht="15" hidden="false" customHeight="false" outlineLevel="0" collapsed="false">
      <c r="A2917" s="2" t="n">
        <v>2916</v>
      </c>
      <c r="B2917" s="2" t="s">
        <v>6087</v>
      </c>
      <c r="C2917" s="2" t="s">
        <v>6088</v>
      </c>
      <c r="D2917" s="2"/>
      <c r="E2917" s="2" t="s">
        <v>1345</v>
      </c>
      <c r="F2917" s="3" t="n">
        <v>3E-005</v>
      </c>
      <c r="G2917" s="3" t="n">
        <f aca="false">SUM($F$2:F2917)</f>
        <v>0.973863</v>
      </c>
      <c r="H2917" s="4"/>
      <c r="I2917" s="5"/>
      <c r="J2917" s="4"/>
      <c r="K2917" s="5"/>
      <c r="L2917" s="6"/>
      <c r="M2917" s="5" t="str">
        <f aca="false">IF(AND(N(K2917)&gt;0,N(L2917)&gt;0),K2917/L2917,"")</f>
        <v/>
      </c>
      <c r="N2917" s="2" t="s">
        <v>1226</v>
      </c>
    </row>
    <row r="2918" customFormat="false" ht="15" hidden="false" customHeight="false" outlineLevel="0" collapsed="false">
      <c r="A2918" s="2" t="n">
        <v>2917</v>
      </c>
      <c r="B2918" s="2" t="s">
        <v>6089</v>
      </c>
      <c r="C2918" s="2" t="s">
        <v>6090</v>
      </c>
      <c r="D2918" s="2"/>
      <c r="E2918" s="2" t="s">
        <v>48</v>
      </c>
      <c r="F2918" s="3" t="n">
        <v>3E-005</v>
      </c>
      <c r="G2918" s="3" t="n">
        <f aca="false">SUM($F$2:F2918)</f>
        <v>0.973893</v>
      </c>
      <c r="H2918" s="4"/>
      <c r="I2918" s="5"/>
      <c r="J2918" s="4"/>
      <c r="K2918" s="5"/>
      <c r="L2918" s="6"/>
      <c r="M2918" s="5" t="str">
        <f aca="false">IF(AND(N(K2918)&gt;0,N(L2918)&gt;0),K2918/L2918,"")</f>
        <v/>
      </c>
      <c r="N2918" s="2" t="s">
        <v>1226</v>
      </c>
    </row>
    <row r="2919" customFormat="false" ht="15" hidden="false" customHeight="false" outlineLevel="0" collapsed="false">
      <c r="A2919" s="2" t="n">
        <v>2918</v>
      </c>
      <c r="B2919" s="2" t="s">
        <v>6091</v>
      </c>
      <c r="C2919" s="2" t="s">
        <v>6092</v>
      </c>
      <c r="D2919" s="2"/>
      <c r="E2919" s="2" t="s">
        <v>334</v>
      </c>
      <c r="F2919" s="3" t="n">
        <v>3E-005</v>
      </c>
      <c r="G2919" s="3" t="n">
        <f aca="false">SUM($F$2:F2919)</f>
        <v>0.973923</v>
      </c>
      <c r="H2919" s="4"/>
      <c r="I2919" s="5"/>
      <c r="J2919" s="4"/>
      <c r="K2919" s="5"/>
      <c r="L2919" s="6"/>
      <c r="M2919" s="5" t="str">
        <f aca="false">IF(AND(N(K2919)&gt;0,N(L2919)&gt;0),K2919/L2919,"")</f>
        <v/>
      </c>
      <c r="N2919" s="2" t="s">
        <v>1226</v>
      </c>
    </row>
    <row r="2920" customFormat="false" ht="15" hidden="false" customHeight="false" outlineLevel="0" collapsed="false">
      <c r="A2920" s="2" t="n">
        <v>2919</v>
      </c>
      <c r="B2920" s="2" t="s">
        <v>6093</v>
      </c>
      <c r="C2920" s="2" t="s">
        <v>6094</v>
      </c>
      <c r="D2920" s="2"/>
      <c r="E2920" s="2" t="s">
        <v>1345</v>
      </c>
      <c r="F2920" s="3" t="n">
        <v>3E-005</v>
      </c>
      <c r="G2920" s="3" t="n">
        <f aca="false">SUM($F$2:F2920)</f>
        <v>0.973953</v>
      </c>
      <c r="H2920" s="4"/>
      <c r="I2920" s="5"/>
      <c r="J2920" s="4"/>
      <c r="K2920" s="5"/>
      <c r="L2920" s="6"/>
      <c r="M2920" s="5" t="str">
        <f aca="false">IF(AND(N(K2920)&gt;0,N(L2920)&gt;0),K2920/L2920,"")</f>
        <v/>
      </c>
      <c r="N2920" s="2" t="s">
        <v>1226</v>
      </c>
    </row>
    <row r="2921" customFormat="false" ht="15" hidden="false" customHeight="false" outlineLevel="0" collapsed="false">
      <c r="A2921" s="2" t="n">
        <v>2920</v>
      </c>
      <c r="B2921" s="2" t="s">
        <v>6095</v>
      </c>
      <c r="C2921" s="2" t="s">
        <v>6096</v>
      </c>
      <c r="D2921" s="2"/>
      <c r="E2921" s="2" t="s">
        <v>2055</v>
      </c>
      <c r="F2921" s="3" t="n">
        <v>3E-005</v>
      </c>
      <c r="G2921" s="3" t="n">
        <f aca="false">SUM($F$2:F2921)</f>
        <v>0.973983</v>
      </c>
      <c r="H2921" s="4"/>
      <c r="I2921" s="5"/>
      <c r="J2921" s="4"/>
      <c r="K2921" s="5"/>
      <c r="L2921" s="6"/>
      <c r="M2921" s="5" t="str">
        <f aca="false">IF(AND(N(K2921)&gt;0,N(L2921)&gt;0),K2921/L2921,"")</f>
        <v/>
      </c>
      <c r="N2921" s="2" t="s">
        <v>1226</v>
      </c>
    </row>
    <row r="2922" customFormat="false" ht="15" hidden="false" customHeight="false" outlineLevel="0" collapsed="false">
      <c r="A2922" s="2" t="n">
        <v>2921</v>
      </c>
      <c r="B2922" s="2" t="s">
        <v>6097</v>
      </c>
      <c r="C2922" s="2" t="s">
        <v>6098</v>
      </c>
      <c r="D2922" s="2"/>
      <c r="E2922" s="2" t="s">
        <v>29</v>
      </c>
      <c r="F2922" s="3" t="n">
        <v>3E-005</v>
      </c>
      <c r="G2922" s="3" t="n">
        <f aca="false">SUM($F$2:F2922)</f>
        <v>0.974013</v>
      </c>
      <c r="H2922" s="4"/>
      <c r="I2922" s="5"/>
      <c r="J2922" s="4"/>
      <c r="K2922" s="5"/>
      <c r="L2922" s="6"/>
      <c r="M2922" s="5" t="str">
        <f aca="false">IF(AND(N(K2922)&gt;0,N(L2922)&gt;0),K2922/L2922,"")</f>
        <v/>
      </c>
      <c r="N2922" s="2" t="s">
        <v>1226</v>
      </c>
    </row>
    <row r="2923" customFormat="false" ht="15" hidden="false" customHeight="false" outlineLevel="0" collapsed="false">
      <c r="A2923" s="2" t="n">
        <v>2922</v>
      </c>
      <c r="B2923" s="2" t="s">
        <v>6099</v>
      </c>
      <c r="C2923" s="2" t="s">
        <v>6100</v>
      </c>
      <c r="D2923" s="2"/>
      <c r="E2923" s="2" t="s">
        <v>29</v>
      </c>
      <c r="F2923" s="3" t="n">
        <v>3E-005</v>
      </c>
      <c r="G2923" s="3" t="n">
        <f aca="false">SUM($F$2:F2923)</f>
        <v>0.974043</v>
      </c>
      <c r="H2923" s="4"/>
      <c r="I2923" s="5"/>
      <c r="J2923" s="4"/>
      <c r="K2923" s="5"/>
      <c r="L2923" s="6"/>
      <c r="M2923" s="5" t="str">
        <f aca="false">IF(AND(N(K2923)&gt;0,N(L2923)&gt;0),K2923/L2923,"")</f>
        <v/>
      </c>
      <c r="N2923" s="2" t="s">
        <v>1226</v>
      </c>
    </row>
    <row r="2924" customFormat="false" ht="15" hidden="false" customHeight="false" outlineLevel="0" collapsed="false">
      <c r="A2924" s="2" t="n">
        <v>2923</v>
      </c>
      <c r="B2924" s="2" t="s">
        <v>6101</v>
      </c>
      <c r="C2924" s="2" t="s">
        <v>6102</v>
      </c>
      <c r="D2924" s="2"/>
      <c r="E2924" s="2" t="s">
        <v>21</v>
      </c>
      <c r="F2924" s="3" t="n">
        <v>3E-005</v>
      </c>
      <c r="G2924" s="3" t="n">
        <f aca="false">SUM($F$2:F2924)</f>
        <v>0.974073</v>
      </c>
      <c r="H2924" s="4"/>
      <c r="I2924" s="5"/>
      <c r="J2924" s="4"/>
      <c r="K2924" s="5"/>
      <c r="L2924" s="6"/>
      <c r="M2924" s="5" t="str">
        <f aca="false">IF(AND(N(K2924)&gt;0,N(L2924)&gt;0),K2924/L2924,"")</f>
        <v/>
      </c>
      <c r="N2924" s="2" t="s">
        <v>1226</v>
      </c>
    </row>
    <row r="2925" customFormat="false" ht="15" hidden="false" customHeight="false" outlineLevel="0" collapsed="false">
      <c r="A2925" s="2" t="n">
        <v>2924</v>
      </c>
      <c r="B2925" s="2" t="s">
        <v>6103</v>
      </c>
      <c r="C2925" s="2" t="s">
        <v>6104</v>
      </c>
      <c r="D2925" s="2"/>
      <c r="E2925" s="2" t="s">
        <v>29</v>
      </c>
      <c r="F2925" s="3" t="n">
        <v>3E-005</v>
      </c>
      <c r="G2925" s="3" t="n">
        <f aca="false">SUM($F$2:F2925)</f>
        <v>0.974103</v>
      </c>
      <c r="H2925" s="4"/>
      <c r="I2925" s="5"/>
      <c r="J2925" s="4"/>
      <c r="K2925" s="5"/>
      <c r="L2925" s="6"/>
      <c r="M2925" s="5" t="str">
        <f aca="false">IF(AND(N(K2925)&gt;0,N(L2925)&gt;0),K2925/L2925,"")</f>
        <v/>
      </c>
      <c r="N2925" s="2" t="s">
        <v>1226</v>
      </c>
    </row>
    <row r="2926" customFormat="false" ht="15" hidden="false" customHeight="false" outlineLevel="0" collapsed="false">
      <c r="A2926" s="2" t="n">
        <v>2925</v>
      </c>
      <c r="B2926" s="2" t="s">
        <v>6105</v>
      </c>
      <c r="C2926" s="2" t="s">
        <v>6106</v>
      </c>
      <c r="D2926" s="2"/>
      <c r="E2926" s="2" t="s">
        <v>1345</v>
      </c>
      <c r="F2926" s="3" t="n">
        <v>3E-005</v>
      </c>
      <c r="G2926" s="3" t="n">
        <f aca="false">SUM($F$2:F2926)</f>
        <v>0.974133</v>
      </c>
      <c r="H2926" s="4"/>
      <c r="I2926" s="5"/>
      <c r="J2926" s="4"/>
      <c r="K2926" s="5"/>
      <c r="L2926" s="6"/>
      <c r="M2926" s="5" t="str">
        <f aca="false">IF(AND(N(K2926)&gt;0,N(L2926)&gt;0),K2926/L2926,"")</f>
        <v/>
      </c>
      <c r="N2926" s="2" t="s">
        <v>1226</v>
      </c>
    </row>
    <row r="2927" customFormat="false" ht="15" hidden="false" customHeight="false" outlineLevel="0" collapsed="false">
      <c r="A2927" s="2" t="n">
        <v>2926</v>
      </c>
      <c r="B2927" s="2" t="s">
        <v>6107</v>
      </c>
      <c r="C2927" s="2" t="s">
        <v>6108</v>
      </c>
      <c r="D2927" s="2"/>
      <c r="E2927" s="2" t="s">
        <v>679</v>
      </c>
      <c r="F2927" s="3" t="n">
        <v>3E-005</v>
      </c>
      <c r="G2927" s="3" t="n">
        <f aca="false">SUM($F$2:F2927)</f>
        <v>0.974163</v>
      </c>
      <c r="H2927" s="4"/>
      <c r="I2927" s="5"/>
      <c r="J2927" s="4"/>
      <c r="K2927" s="5"/>
      <c r="L2927" s="6"/>
      <c r="M2927" s="5" t="str">
        <f aca="false">IF(AND(N(K2927)&gt;0,N(L2927)&gt;0),K2927/L2927,"")</f>
        <v/>
      </c>
      <c r="N2927" s="2" t="s">
        <v>1226</v>
      </c>
    </row>
    <row r="2928" customFormat="false" ht="15" hidden="false" customHeight="false" outlineLevel="0" collapsed="false">
      <c r="A2928" s="2" t="n">
        <v>2927</v>
      </c>
      <c r="B2928" s="2" t="s">
        <v>6109</v>
      </c>
      <c r="C2928" s="2" t="s">
        <v>6110</v>
      </c>
      <c r="D2928" s="2"/>
      <c r="E2928" s="2" t="s">
        <v>1345</v>
      </c>
      <c r="F2928" s="3" t="n">
        <v>3E-005</v>
      </c>
      <c r="G2928" s="3" t="n">
        <f aca="false">SUM($F$2:F2928)</f>
        <v>0.974193</v>
      </c>
      <c r="H2928" s="4"/>
      <c r="I2928" s="5"/>
      <c r="J2928" s="4"/>
      <c r="K2928" s="5"/>
      <c r="L2928" s="6"/>
      <c r="M2928" s="5" t="str">
        <f aca="false">IF(AND(N(K2928)&gt;0,N(L2928)&gt;0),K2928/L2928,"")</f>
        <v/>
      </c>
      <c r="N2928" s="2" t="s">
        <v>1226</v>
      </c>
    </row>
    <row r="2929" customFormat="false" ht="15" hidden="false" customHeight="false" outlineLevel="0" collapsed="false">
      <c r="A2929" s="2" t="n">
        <v>2928</v>
      </c>
      <c r="B2929" s="2" t="s">
        <v>6111</v>
      </c>
      <c r="C2929" s="2" t="s">
        <v>6112</v>
      </c>
      <c r="D2929" s="2"/>
      <c r="E2929" s="2" t="s">
        <v>1345</v>
      </c>
      <c r="F2929" s="3" t="n">
        <v>3E-005</v>
      </c>
      <c r="G2929" s="3" t="n">
        <f aca="false">SUM($F$2:F2929)</f>
        <v>0.974223</v>
      </c>
      <c r="H2929" s="4"/>
      <c r="I2929" s="5"/>
      <c r="J2929" s="4"/>
      <c r="K2929" s="5"/>
      <c r="L2929" s="6"/>
      <c r="M2929" s="5" t="str">
        <f aca="false">IF(AND(N(K2929)&gt;0,N(L2929)&gt;0),K2929/L2929,"")</f>
        <v/>
      </c>
      <c r="N2929" s="2" t="s">
        <v>1226</v>
      </c>
    </row>
    <row r="2930" customFormat="false" ht="15" hidden="false" customHeight="false" outlineLevel="0" collapsed="false">
      <c r="A2930" s="2" t="n">
        <v>2929</v>
      </c>
      <c r="B2930" s="2" t="s">
        <v>6113</v>
      </c>
      <c r="C2930" s="2" t="s">
        <v>6114</v>
      </c>
      <c r="D2930" s="2"/>
      <c r="E2930" s="2" t="s">
        <v>167</v>
      </c>
      <c r="F2930" s="3" t="n">
        <v>3E-005</v>
      </c>
      <c r="G2930" s="3" t="n">
        <f aca="false">SUM($F$2:F2930)</f>
        <v>0.974253</v>
      </c>
      <c r="H2930" s="4"/>
      <c r="I2930" s="5"/>
      <c r="J2930" s="4"/>
      <c r="K2930" s="5"/>
      <c r="L2930" s="6"/>
      <c r="M2930" s="5" t="str">
        <f aca="false">IF(AND(N(K2930)&gt;0,N(L2930)&gt;0),K2930/L2930,"")</f>
        <v/>
      </c>
      <c r="N2930" s="2" t="s">
        <v>1226</v>
      </c>
    </row>
    <row r="2931" customFormat="false" ht="15" hidden="false" customHeight="false" outlineLevel="0" collapsed="false">
      <c r="A2931" s="2" t="n">
        <v>2930</v>
      </c>
      <c r="B2931" s="2" t="s">
        <v>6115</v>
      </c>
      <c r="C2931" s="2" t="s">
        <v>6116</v>
      </c>
      <c r="D2931" s="2"/>
      <c r="E2931" s="2" t="s">
        <v>38</v>
      </c>
      <c r="F2931" s="3" t="n">
        <v>3E-005</v>
      </c>
      <c r="G2931" s="3" t="n">
        <f aca="false">SUM($F$2:F2931)</f>
        <v>0.974283</v>
      </c>
      <c r="H2931" s="4"/>
      <c r="I2931" s="5"/>
      <c r="J2931" s="4"/>
      <c r="K2931" s="5"/>
      <c r="L2931" s="6"/>
      <c r="M2931" s="5" t="str">
        <f aca="false">IF(AND(N(K2931)&gt;0,N(L2931)&gt;0),K2931/L2931,"")</f>
        <v/>
      </c>
      <c r="N2931" s="2" t="s">
        <v>1226</v>
      </c>
    </row>
    <row r="2932" customFormat="false" ht="15" hidden="false" customHeight="false" outlineLevel="0" collapsed="false">
      <c r="A2932" s="2" t="n">
        <v>2931</v>
      </c>
      <c r="B2932" s="2" t="s">
        <v>6117</v>
      </c>
      <c r="C2932" s="2" t="s">
        <v>6118</v>
      </c>
      <c r="D2932" s="2"/>
      <c r="E2932" s="2" t="s">
        <v>296</v>
      </c>
      <c r="F2932" s="3" t="n">
        <v>3E-005</v>
      </c>
      <c r="G2932" s="3" t="n">
        <f aca="false">SUM($F$2:F2932)</f>
        <v>0.974313</v>
      </c>
      <c r="H2932" s="4"/>
      <c r="I2932" s="5"/>
      <c r="J2932" s="4"/>
      <c r="K2932" s="5"/>
      <c r="L2932" s="6"/>
      <c r="M2932" s="5" t="str">
        <f aca="false">IF(AND(N(K2932)&gt;0,N(L2932)&gt;0),K2932/L2932,"")</f>
        <v/>
      </c>
      <c r="N2932" s="2" t="s">
        <v>1226</v>
      </c>
    </row>
    <row r="2933" customFormat="false" ht="15" hidden="false" customHeight="false" outlineLevel="0" collapsed="false">
      <c r="A2933" s="2" t="n">
        <v>2932</v>
      </c>
      <c r="B2933" s="2" t="s">
        <v>6119</v>
      </c>
      <c r="C2933" s="2" t="s">
        <v>6120</v>
      </c>
      <c r="D2933" s="2"/>
      <c r="E2933" s="2" t="s">
        <v>1345</v>
      </c>
      <c r="F2933" s="3" t="n">
        <v>3E-005</v>
      </c>
      <c r="G2933" s="3" t="n">
        <f aca="false">SUM($F$2:F2933)</f>
        <v>0.974343</v>
      </c>
      <c r="H2933" s="4"/>
      <c r="I2933" s="5"/>
      <c r="J2933" s="4"/>
      <c r="K2933" s="5"/>
      <c r="L2933" s="6"/>
      <c r="M2933" s="5" t="str">
        <f aca="false">IF(AND(N(K2933)&gt;0,N(L2933)&gt;0),K2933/L2933,"")</f>
        <v/>
      </c>
      <c r="N2933" s="2" t="s">
        <v>1226</v>
      </c>
    </row>
    <row r="2934" customFormat="false" ht="15" hidden="false" customHeight="false" outlineLevel="0" collapsed="false">
      <c r="A2934" s="2" t="n">
        <v>2933</v>
      </c>
      <c r="B2934" s="2" t="s">
        <v>301</v>
      </c>
      <c r="C2934" s="2" t="s">
        <v>6121</v>
      </c>
      <c r="D2934" s="2"/>
      <c r="E2934" s="2" t="s">
        <v>1345</v>
      </c>
      <c r="F2934" s="3" t="n">
        <v>3E-005</v>
      </c>
      <c r="G2934" s="3" t="n">
        <f aca="false">SUM($F$2:F2934)</f>
        <v>0.974373</v>
      </c>
      <c r="H2934" s="4"/>
      <c r="I2934" s="5"/>
      <c r="J2934" s="4"/>
      <c r="K2934" s="5"/>
      <c r="L2934" s="6"/>
      <c r="M2934" s="5" t="str">
        <f aca="false">IF(AND(N(K2934)&gt;0,N(L2934)&gt;0),K2934/L2934,"")</f>
        <v/>
      </c>
      <c r="N2934" s="2" t="s">
        <v>34</v>
      </c>
    </row>
    <row r="2935" customFormat="false" ht="15" hidden="false" customHeight="false" outlineLevel="0" collapsed="false">
      <c r="A2935" s="2" t="n">
        <v>2934</v>
      </c>
      <c r="B2935" s="2" t="s">
        <v>6122</v>
      </c>
      <c r="C2935" s="2" t="s">
        <v>6123</v>
      </c>
      <c r="D2935" s="2"/>
      <c r="E2935" s="2" t="s">
        <v>25</v>
      </c>
      <c r="F2935" s="3" t="n">
        <v>2.9E-005</v>
      </c>
      <c r="G2935" s="3" t="n">
        <f aca="false">SUM($F$2:F2935)</f>
        <v>0.974402</v>
      </c>
      <c r="H2935" s="4"/>
      <c r="I2935" s="5"/>
      <c r="J2935" s="4"/>
      <c r="K2935" s="5"/>
      <c r="L2935" s="6"/>
      <c r="M2935" s="5" t="str">
        <f aca="false">IF(AND(N(K2935)&gt;0,N(L2935)&gt;0),K2935/L2935,"")</f>
        <v/>
      </c>
      <c r="N2935" s="2" t="s">
        <v>1226</v>
      </c>
    </row>
    <row r="2936" customFormat="false" ht="15" hidden="false" customHeight="false" outlineLevel="0" collapsed="false">
      <c r="A2936" s="2" t="n">
        <v>2935</v>
      </c>
      <c r="B2936" s="2" t="s">
        <v>6124</v>
      </c>
      <c r="C2936" s="2" t="s">
        <v>6125</v>
      </c>
      <c r="D2936" s="2"/>
      <c r="E2936" s="2" t="s">
        <v>1345</v>
      </c>
      <c r="F2936" s="3" t="n">
        <v>2.9E-005</v>
      </c>
      <c r="G2936" s="3" t="n">
        <f aca="false">SUM($F$2:F2936)</f>
        <v>0.974431</v>
      </c>
      <c r="H2936" s="4"/>
      <c r="I2936" s="5"/>
      <c r="J2936" s="4"/>
      <c r="K2936" s="5"/>
      <c r="L2936" s="6"/>
      <c r="M2936" s="5" t="str">
        <f aca="false">IF(AND(N(K2936)&gt;0,N(L2936)&gt;0),K2936/L2936,"")</f>
        <v/>
      </c>
      <c r="N2936" s="2" t="s">
        <v>1226</v>
      </c>
    </row>
    <row r="2937" customFormat="false" ht="15" hidden="false" customHeight="false" outlineLevel="0" collapsed="false">
      <c r="A2937" s="2" t="n">
        <v>2936</v>
      </c>
      <c r="B2937" s="2" t="s">
        <v>6126</v>
      </c>
      <c r="C2937" s="2" t="s">
        <v>6127</v>
      </c>
      <c r="D2937" s="2"/>
      <c r="E2937" s="2" t="s">
        <v>765</v>
      </c>
      <c r="F2937" s="3" t="n">
        <v>2.9E-005</v>
      </c>
      <c r="G2937" s="3" t="n">
        <f aca="false">SUM($F$2:F2937)</f>
        <v>0.97446</v>
      </c>
      <c r="H2937" s="4"/>
      <c r="I2937" s="5"/>
      <c r="J2937" s="4"/>
      <c r="K2937" s="5"/>
      <c r="L2937" s="6"/>
      <c r="M2937" s="5" t="str">
        <f aca="false">IF(AND(N(K2937)&gt;0,N(L2937)&gt;0),K2937/L2937,"")</f>
        <v/>
      </c>
      <c r="N2937" s="2" t="s">
        <v>1226</v>
      </c>
    </row>
    <row r="2938" customFormat="false" ht="15" hidden="false" customHeight="false" outlineLevel="0" collapsed="false">
      <c r="A2938" s="2" t="n">
        <v>2937</v>
      </c>
      <c r="B2938" s="2" t="s">
        <v>6128</v>
      </c>
      <c r="C2938" s="2" t="s">
        <v>6129</v>
      </c>
      <c r="D2938" s="2"/>
      <c r="E2938" s="2" t="s">
        <v>82</v>
      </c>
      <c r="F2938" s="3" t="n">
        <v>2.9E-005</v>
      </c>
      <c r="G2938" s="3" t="n">
        <f aca="false">SUM($F$2:F2938)</f>
        <v>0.974489</v>
      </c>
      <c r="H2938" s="4"/>
      <c r="I2938" s="5"/>
      <c r="J2938" s="4"/>
      <c r="K2938" s="5"/>
      <c r="L2938" s="6"/>
      <c r="M2938" s="5" t="str">
        <f aca="false">IF(AND(N(K2938)&gt;0,N(L2938)&gt;0),K2938/L2938,"")</f>
        <v/>
      </c>
      <c r="N2938" s="2" t="s">
        <v>1226</v>
      </c>
    </row>
    <row r="2939" customFormat="false" ht="15" hidden="false" customHeight="false" outlineLevel="0" collapsed="false">
      <c r="A2939" s="2" t="n">
        <v>2938</v>
      </c>
      <c r="B2939" s="2" t="s">
        <v>6130</v>
      </c>
      <c r="C2939" s="2" t="s">
        <v>6131</v>
      </c>
      <c r="D2939" s="2"/>
      <c r="E2939" s="2" t="s">
        <v>289</v>
      </c>
      <c r="F2939" s="3" t="n">
        <v>2.9E-005</v>
      </c>
      <c r="G2939" s="3" t="n">
        <f aca="false">SUM($F$2:F2939)</f>
        <v>0.974518</v>
      </c>
      <c r="H2939" s="4"/>
      <c r="I2939" s="5"/>
      <c r="J2939" s="4"/>
      <c r="K2939" s="5"/>
      <c r="L2939" s="6"/>
      <c r="M2939" s="5" t="str">
        <f aca="false">IF(AND(N(K2939)&gt;0,N(L2939)&gt;0),K2939/L2939,"")</f>
        <v/>
      </c>
      <c r="N2939" s="2" t="s">
        <v>1226</v>
      </c>
    </row>
    <row r="2940" customFormat="false" ht="15" hidden="false" customHeight="false" outlineLevel="0" collapsed="false">
      <c r="A2940" s="2" t="n">
        <v>2939</v>
      </c>
      <c r="B2940" s="2" t="s">
        <v>6132</v>
      </c>
      <c r="C2940" s="2" t="s">
        <v>6133</v>
      </c>
      <c r="D2940" s="2"/>
      <c r="E2940" s="2" t="s">
        <v>1345</v>
      </c>
      <c r="F2940" s="3" t="n">
        <v>2.9E-005</v>
      </c>
      <c r="G2940" s="3" t="n">
        <f aca="false">SUM($F$2:F2940)</f>
        <v>0.974547</v>
      </c>
      <c r="H2940" s="4"/>
      <c r="I2940" s="5"/>
      <c r="J2940" s="4"/>
      <c r="K2940" s="5"/>
      <c r="L2940" s="6"/>
      <c r="M2940" s="5" t="str">
        <f aca="false">IF(AND(N(K2940)&gt;0,N(L2940)&gt;0),K2940/L2940,"")</f>
        <v/>
      </c>
      <c r="N2940" s="2" t="s">
        <v>1226</v>
      </c>
    </row>
    <row r="2941" customFormat="false" ht="15" hidden="false" customHeight="false" outlineLevel="0" collapsed="false">
      <c r="A2941" s="2" t="n">
        <v>2940</v>
      </c>
      <c r="B2941" s="2" t="s">
        <v>6134</v>
      </c>
      <c r="C2941" s="2" t="s">
        <v>6135</v>
      </c>
      <c r="D2941" s="2"/>
      <c r="E2941" s="2" t="s">
        <v>52</v>
      </c>
      <c r="F2941" s="3" t="n">
        <v>2.9E-005</v>
      </c>
      <c r="G2941" s="3" t="n">
        <f aca="false">SUM($F$2:F2941)</f>
        <v>0.974576</v>
      </c>
      <c r="H2941" s="4"/>
      <c r="I2941" s="5"/>
      <c r="J2941" s="4"/>
      <c r="K2941" s="5"/>
      <c r="L2941" s="6"/>
      <c r="M2941" s="5" t="str">
        <f aca="false">IF(AND(N(K2941)&gt;0,N(L2941)&gt;0),K2941/L2941,"")</f>
        <v/>
      </c>
      <c r="N2941" s="2" t="s">
        <v>1226</v>
      </c>
    </row>
    <row r="2942" customFormat="false" ht="15" hidden="false" customHeight="false" outlineLevel="0" collapsed="false">
      <c r="A2942" s="2" t="n">
        <v>2941</v>
      </c>
      <c r="B2942" s="2" t="s">
        <v>6136</v>
      </c>
      <c r="C2942" s="2" t="s">
        <v>6137</v>
      </c>
      <c r="D2942" s="2"/>
      <c r="E2942" s="2" t="s">
        <v>1345</v>
      </c>
      <c r="F2942" s="3" t="n">
        <v>2.9E-005</v>
      </c>
      <c r="G2942" s="3" t="n">
        <f aca="false">SUM($F$2:F2942)</f>
        <v>0.974605</v>
      </c>
      <c r="H2942" s="4"/>
      <c r="I2942" s="5"/>
      <c r="J2942" s="4"/>
      <c r="K2942" s="5"/>
      <c r="L2942" s="6"/>
      <c r="M2942" s="5" t="str">
        <f aca="false">IF(AND(N(K2942)&gt;0,N(L2942)&gt;0),K2942/L2942,"")</f>
        <v/>
      </c>
      <c r="N2942" s="2" t="s">
        <v>1226</v>
      </c>
    </row>
    <row r="2943" customFormat="false" ht="15" hidden="false" customHeight="false" outlineLevel="0" collapsed="false">
      <c r="A2943" s="2" t="n">
        <v>2942</v>
      </c>
      <c r="B2943" s="2" t="s">
        <v>6138</v>
      </c>
      <c r="C2943" s="2" t="s">
        <v>6139</v>
      </c>
      <c r="D2943" s="2"/>
      <c r="E2943" s="2" t="s">
        <v>1345</v>
      </c>
      <c r="F2943" s="3" t="n">
        <v>2.9E-005</v>
      </c>
      <c r="G2943" s="3" t="n">
        <f aca="false">SUM($F$2:F2943)</f>
        <v>0.974634</v>
      </c>
      <c r="H2943" s="4"/>
      <c r="I2943" s="5"/>
      <c r="J2943" s="4"/>
      <c r="K2943" s="5"/>
      <c r="L2943" s="6"/>
      <c r="M2943" s="5" t="str">
        <f aca="false">IF(AND(N(K2943)&gt;0,N(L2943)&gt;0),K2943/L2943,"")</f>
        <v/>
      </c>
      <c r="N2943" s="2" t="s">
        <v>1226</v>
      </c>
    </row>
    <row r="2944" customFormat="false" ht="15" hidden="false" customHeight="false" outlineLevel="0" collapsed="false">
      <c r="A2944" s="2" t="n">
        <v>2943</v>
      </c>
      <c r="B2944" s="2" t="s">
        <v>6140</v>
      </c>
      <c r="C2944" s="2" t="s">
        <v>6141</v>
      </c>
      <c r="D2944" s="2"/>
      <c r="E2944" s="2" t="s">
        <v>1345</v>
      </c>
      <c r="F2944" s="3" t="n">
        <v>2.9E-005</v>
      </c>
      <c r="G2944" s="3" t="n">
        <f aca="false">SUM($F$2:F2944)</f>
        <v>0.974663</v>
      </c>
      <c r="H2944" s="4"/>
      <c r="I2944" s="5"/>
      <c r="J2944" s="4"/>
      <c r="K2944" s="5"/>
      <c r="L2944" s="6"/>
      <c r="M2944" s="5" t="str">
        <f aca="false">IF(AND(N(K2944)&gt;0,N(L2944)&gt;0),K2944/L2944,"")</f>
        <v/>
      </c>
      <c r="N2944" s="2" t="s">
        <v>1226</v>
      </c>
    </row>
    <row r="2945" customFormat="false" ht="15" hidden="false" customHeight="false" outlineLevel="0" collapsed="false">
      <c r="A2945" s="2" t="n">
        <v>2944</v>
      </c>
      <c r="B2945" s="2" t="s">
        <v>6142</v>
      </c>
      <c r="C2945" s="2" t="s">
        <v>6143</v>
      </c>
      <c r="D2945" s="2"/>
      <c r="E2945" s="2" t="s">
        <v>1345</v>
      </c>
      <c r="F2945" s="3" t="n">
        <v>2.9E-005</v>
      </c>
      <c r="G2945" s="3" t="n">
        <f aca="false">SUM($F$2:F2945)</f>
        <v>0.974692</v>
      </c>
      <c r="H2945" s="4"/>
      <c r="I2945" s="5"/>
      <c r="J2945" s="4"/>
      <c r="K2945" s="5"/>
      <c r="L2945" s="6"/>
      <c r="M2945" s="5" t="str">
        <f aca="false">IF(AND(N(K2945)&gt;0,N(L2945)&gt;0),K2945/L2945,"")</f>
        <v/>
      </c>
      <c r="N2945" s="2" t="s">
        <v>1226</v>
      </c>
    </row>
    <row r="2946" customFormat="false" ht="15" hidden="false" customHeight="false" outlineLevel="0" collapsed="false">
      <c r="A2946" s="2" t="n">
        <v>2945</v>
      </c>
      <c r="B2946" s="2" t="s">
        <v>6144</v>
      </c>
      <c r="C2946" s="2" t="s">
        <v>6145</v>
      </c>
      <c r="D2946" s="2"/>
      <c r="E2946" s="2" t="s">
        <v>289</v>
      </c>
      <c r="F2946" s="3" t="n">
        <v>2.9E-005</v>
      </c>
      <c r="G2946" s="3" t="n">
        <f aca="false">SUM($F$2:F2946)</f>
        <v>0.974721</v>
      </c>
      <c r="H2946" s="4"/>
      <c r="I2946" s="5"/>
      <c r="J2946" s="4"/>
      <c r="K2946" s="5"/>
      <c r="L2946" s="6"/>
      <c r="M2946" s="5" t="str">
        <f aca="false">IF(AND(N(K2946)&gt;0,N(L2946)&gt;0),K2946/L2946,"")</f>
        <v/>
      </c>
      <c r="N2946" s="2" t="s">
        <v>1226</v>
      </c>
    </row>
    <row r="2947" customFormat="false" ht="15" hidden="false" customHeight="false" outlineLevel="0" collapsed="false">
      <c r="A2947" s="2" t="n">
        <v>2946</v>
      </c>
      <c r="B2947" s="2" t="s">
        <v>6146</v>
      </c>
      <c r="C2947" s="2" t="s">
        <v>6147</v>
      </c>
      <c r="D2947" s="2"/>
      <c r="E2947" s="2" t="s">
        <v>539</v>
      </c>
      <c r="F2947" s="3" t="n">
        <v>2.9E-005</v>
      </c>
      <c r="G2947" s="3" t="n">
        <f aca="false">SUM($F$2:F2947)</f>
        <v>0.97475</v>
      </c>
      <c r="H2947" s="4"/>
      <c r="I2947" s="5"/>
      <c r="J2947" s="4"/>
      <c r="K2947" s="5"/>
      <c r="L2947" s="6"/>
      <c r="M2947" s="5" t="str">
        <f aca="false">IF(AND(N(K2947)&gt;0,N(L2947)&gt;0),K2947/L2947,"")</f>
        <v/>
      </c>
      <c r="N2947" s="2" t="s">
        <v>1226</v>
      </c>
    </row>
    <row r="2948" customFormat="false" ht="15" hidden="false" customHeight="false" outlineLevel="0" collapsed="false">
      <c r="A2948" s="2" t="n">
        <v>2947</v>
      </c>
      <c r="B2948" s="2" t="s">
        <v>6148</v>
      </c>
      <c r="C2948" s="2" t="s">
        <v>6149</v>
      </c>
      <c r="D2948" s="2"/>
      <c r="E2948" s="2" t="s">
        <v>52</v>
      </c>
      <c r="F2948" s="3" t="n">
        <v>2.9E-005</v>
      </c>
      <c r="G2948" s="3" t="n">
        <f aca="false">SUM($F$2:F2948)</f>
        <v>0.974779</v>
      </c>
      <c r="H2948" s="4"/>
      <c r="I2948" s="5"/>
      <c r="J2948" s="4"/>
      <c r="K2948" s="5"/>
      <c r="L2948" s="6"/>
      <c r="M2948" s="5" t="str">
        <f aca="false">IF(AND(N(K2948)&gt;0,N(L2948)&gt;0),K2948/L2948,"")</f>
        <v/>
      </c>
      <c r="N2948" s="2" t="s">
        <v>1226</v>
      </c>
    </row>
    <row r="2949" customFormat="false" ht="15" hidden="false" customHeight="false" outlineLevel="0" collapsed="false">
      <c r="A2949" s="2" t="n">
        <v>2948</v>
      </c>
      <c r="B2949" s="2" t="s">
        <v>6150</v>
      </c>
      <c r="C2949" s="2" t="s">
        <v>6151</v>
      </c>
      <c r="D2949" s="2"/>
      <c r="E2949" s="2" t="s">
        <v>1345</v>
      </c>
      <c r="F2949" s="3" t="n">
        <v>2.9E-005</v>
      </c>
      <c r="G2949" s="3" t="n">
        <f aca="false">SUM($F$2:F2949)</f>
        <v>0.974808</v>
      </c>
      <c r="H2949" s="4"/>
      <c r="I2949" s="5"/>
      <c r="J2949" s="4"/>
      <c r="K2949" s="5"/>
      <c r="L2949" s="6"/>
      <c r="M2949" s="5" t="str">
        <f aca="false">IF(AND(N(K2949)&gt;0,N(L2949)&gt;0),K2949/L2949,"")</f>
        <v/>
      </c>
      <c r="N2949" s="2" t="s">
        <v>1226</v>
      </c>
    </row>
    <row r="2950" customFormat="false" ht="15" hidden="false" customHeight="false" outlineLevel="0" collapsed="false">
      <c r="A2950" s="2" t="n">
        <v>2949</v>
      </c>
      <c r="B2950" s="2" t="s">
        <v>6152</v>
      </c>
      <c r="C2950" s="2" t="s">
        <v>6153</v>
      </c>
      <c r="D2950" s="2"/>
      <c r="E2950" s="2" t="s">
        <v>289</v>
      </c>
      <c r="F2950" s="3" t="n">
        <v>2.9E-005</v>
      </c>
      <c r="G2950" s="3" t="n">
        <f aca="false">SUM($F$2:F2950)</f>
        <v>0.974837</v>
      </c>
      <c r="H2950" s="4"/>
      <c r="I2950" s="5"/>
      <c r="J2950" s="4"/>
      <c r="K2950" s="5"/>
      <c r="L2950" s="6"/>
      <c r="M2950" s="5" t="str">
        <f aca="false">IF(AND(N(K2950)&gt;0,N(L2950)&gt;0),K2950/L2950,"")</f>
        <v/>
      </c>
      <c r="N2950" s="2" t="s">
        <v>1226</v>
      </c>
    </row>
    <row r="2951" customFormat="false" ht="15" hidden="false" customHeight="false" outlineLevel="0" collapsed="false">
      <c r="A2951" s="2" t="n">
        <v>2950</v>
      </c>
      <c r="B2951" s="2" t="s">
        <v>6154</v>
      </c>
      <c r="C2951" s="2" t="s">
        <v>6155</v>
      </c>
      <c r="D2951" s="2"/>
      <c r="E2951" s="2" t="s">
        <v>679</v>
      </c>
      <c r="F2951" s="3" t="n">
        <v>2.9E-005</v>
      </c>
      <c r="G2951" s="3" t="n">
        <f aca="false">SUM($F$2:F2951)</f>
        <v>0.974866</v>
      </c>
      <c r="H2951" s="4"/>
      <c r="I2951" s="5"/>
      <c r="J2951" s="4"/>
      <c r="K2951" s="5"/>
      <c r="L2951" s="6"/>
      <c r="M2951" s="5" t="str">
        <f aca="false">IF(AND(N(K2951)&gt;0,N(L2951)&gt;0),K2951/L2951,"")</f>
        <v/>
      </c>
      <c r="N2951" s="2" t="s">
        <v>1226</v>
      </c>
    </row>
    <row r="2952" customFormat="false" ht="15" hidden="false" customHeight="false" outlineLevel="0" collapsed="false">
      <c r="A2952" s="2" t="n">
        <v>2951</v>
      </c>
      <c r="B2952" s="2" t="s">
        <v>6156</v>
      </c>
      <c r="C2952" s="2" t="s">
        <v>6157</v>
      </c>
      <c r="D2952" s="2"/>
      <c r="E2952" s="2" t="s">
        <v>48</v>
      </c>
      <c r="F2952" s="3" t="n">
        <v>2.9E-005</v>
      </c>
      <c r="G2952" s="3" t="n">
        <f aca="false">SUM($F$2:F2952)</f>
        <v>0.974895</v>
      </c>
      <c r="H2952" s="4"/>
      <c r="I2952" s="5"/>
      <c r="J2952" s="4"/>
      <c r="K2952" s="5"/>
      <c r="L2952" s="6"/>
      <c r="M2952" s="5" t="str">
        <f aca="false">IF(AND(N(K2952)&gt;0,N(L2952)&gt;0),K2952/L2952,"")</f>
        <v/>
      </c>
      <c r="N2952" s="2" t="s">
        <v>1226</v>
      </c>
    </row>
    <row r="2953" customFormat="false" ht="15" hidden="false" customHeight="false" outlineLevel="0" collapsed="false">
      <c r="A2953" s="2" t="n">
        <v>2952</v>
      </c>
      <c r="B2953" s="2" t="s">
        <v>6158</v>
      </c>
      <c r="C2953" s="2" t="s">
        <v>6159</v>
      </c>
      <c r="D2953" s="2"/>
      <c r="E2953" s="2" t="s">
        <v>52</v>
      </c>
      <c r="F2953" s="3" t="n">
        <v>2.9E-005</v>
      </c>
      <c r="G2953" s="3" t="n">
        <f aca="false">SUM($F$2:F2953)</f>
        <v>0.974924</v>
      </c>
      <c r="H2953" s="4"/>
      <c r="I2953" s="5"/>
      <c r="J2953" s="4"/>
      <c r="K2953" s="5"/>
      <c r="L2953" s="6"/>
      <c r="M2953" s="5" t="str">
        <f aca="false">IF(AND(N(K2953)&gt;0,N(L2953)&gt;0),K2953/L2953,"")</f>
        <v/>
      </c>
      <c r="N2953" s="2" t="s">
        <v>1226</v>
      </c>
    </row>
    <row r="2954" customFormat="false" ht="15" hidden="false" customHeight="false" outlineLevel="0" collapsed="false">
      <c r="A2954" s="2" t="n">
        <v>2953</v>
      </c>
      <c r="B2954" s="2" t="s">
        <v>6160</v>
      </c>
      <c r="C2954" s="2" t="s">
        <v>6161</v>
      </c>
      <c r="D2954" s="2"/>
      <c r="E2954" s="2" t="s">
        <v>21</v>
      </c>
      <c r="F2954" s="3" t="n">
        <v>2.9E-005</v>
      </c>
      <c r="G2954" s="3" t="n">
        <f aca="false">SUM($F$2:F2954)</f>
        <v>0.974953</v>
      </c>
      <c r="H2954" s="4"/>
      <c r="I2954" s="5"/>
      <c r="J2954" s="4"/>
      <c r="K2954" s="5"/>
      <c r="L2954" s="6"/>
      <c r="M2954" s="5" t="str">
        <f aca="false">IF(AND(N(K2954)&gt;0,N(L2954)&gt;0),K2954/L2954,"")</f>
        <v/>
      </c>
      <c r="N2954" s="2" t="s">
        <v>1226</v>
      </c>
    </row>
    <row r="2955" customFormat="false" ht="15" hidden="false" customHeight="false" outlineLevel="0" collapsed="false">
      <c r="A2955" s="2" t="n">
        <v>2954</v>
      </c>
      <c r="B2955" s="2" t="s">
        <v>6162</v>
      </c>
      <c r="C2955" s="2" t="s">
        <v>6163</v>
      </c>
      <c r="D2955" s="2"/>
      <c r="E2955" s="2" t="s">
        <v>765</v>
      </c>
      <c r="F2955" s="3" t="n">
        <v>2.9E-005</v>
      </c>
      <c r="G2955" s="3" t="n">
        <f aca="false">SUM($F$2:F2955)</f>
        <v>0.974982</v>
      </c>
      <c r="H2955" s="4"/>
      <c r="I2955" s="5"/>
      <c r="J2955" s="4"/>
      <c r="K2955" s="5"/>
      <c r="L2955" s="6"/>
      <c r="M2955" s="5" t="str">
        <f aca="false">IF(AND(N(K2955)&gt;0,N(L2955)&gt;0),K2955/L2955,"")</f>
        <v/>
      </c>
      <c r="N2955" s="2" t="s">
        <v>1226</v>
      </c>
    </row>
    <row r="2956" customFormat="false" ht="15" hidden="false" customHeight="false" outlineLevel="0" collapsed="false">
      <c r="A2956" s="2" t="n">
        <v>2955</v>
      </c>
      <c r="B2956" s="2" t="s">
        <v>6164</v>
      </c>
      <c r="C2956" s="2" t="s">
        <v>6165</v>
      </c>
      <c r="D2956" s="2"/>
      <c r="E2956" s="2" t="s">
        <v>1345</v>
      </c>
      <c r="F2956" s="3" t="n">
        <v>2.9E-005</v>
      </c>
      <c r="G2956" s="3" t="n">
        <f aca="false">SUM($F$2:F2956)</f>
        <v>0.975011</v>
      </c>
      <c r="H2956" s="4"/>
      <c r="I2956" s="5"/>
      <c r="J2956" s="4"/>
      <c r="K2956" s="5"/>
      <c r="L2956" s="6"/>
      <c r="M2956" s="5" t="str">
        <f aca="false">IF(AND(N(K2956)&gt;0,N(L2956)&gt;0),K2956/L2956,"")</f>
        <v/>
      </c>
      <c r="N2956" s="2" t="s">
        <v>1226</v>
      </c>
    </row>
    <row r="2957" customFormat="false" ht="15" hidden="false" customHeight="false" outlineLevel="0" collapsed="false">
      <c r="A2957" s="2" t="n">
        <v>2956</v>
      </c>
      <c r="B2957" s="2" t="s">
        <v>6166</v>
      </c>
      <c r="C2957" s="2" t="s">
        <v>6167</v>
      </c>
      <c r="D2957" s="2"/>
      <c r="E2957" s="2" t="s">
        <v>25</v>
      </c>
      <c r="F2957" s="3" t="n">
        <v>2.9E-005</v>
      </c>
      <c r="G2957" s="3" t="n">
        <f aca="false">SUM($F$2:F2957)</f>
        <v>0.97504</v>
      </c>
      <c r="H2957" s="4"/>
      <c r="I2957" s="5"/>
      <c r="J2957" s="4"/>
      <c r="K2957" s="5"/>
      <c r="L2957" s="6"/>
      <c r="M2957" s="5" t="str">
        <f aca="false">IF(AND(N(K2957)&gt;0,N(L2957)&gt;0),K2957/L2957,"")</f>
        <v/>
      </c>
      <c r="N2957" s="2" t="s">
        <v>1226</v>
      </c>
    </row>
    <row r="2958" customFormat="false" ht="15" hidden="false" customHeight="false" outlineLevel="0" collapsed="false">
      <c r="A2958" s="2" t="n">
        <v>2957</v>
      </c>
      <c r="B2958" s="2" t="s">
        <v>6168</v>
      </c>
      <c r="C2958" s="2" t="s">
        <v>6169</v>
      </c>
      <c r="D2958" s="2"/>
      <c r="E2958" s="2" t="s">
        <v>48</v>
      </c>
      <c r="F2958" s="3" t="n">
        <v>2.9E-005</v>
      </c>
      <c r="G2958" s="3" t="n">
        <f aca="false">SUM($F$2:F2958)</f>
        <v>0.975069</v>
      </c>
      <c r="H2958" s="4"/>
      <c r="I2958" s="5"/>
      <c r="J2958" s="4"/>
      <c r="K2958" s="5"/>
      <c r="L2958" s="6"/>
      <c r="M2958" s="5" t="str">
        <f aca="false">IF(AND(N(K2958)&gt;0,N(L2958)&gt;0),K2958/L2958,"")</f>
        <v/>
      </c>
      <c r="N2958" s="2" t="s">
        <v>1226</v>
      </c>
    </row>
    <row r="2959" customFormat="false" ht="15" hidden="false" customHeight="false" outlineLevel="0" collapsed="false">
      <c r="A2959" s="2" t="n">
        <v>2958</v>
      </c>
      <c r="B2959" s="2" t="s">
        <v>6170</v>
      </c>
      <c r="C2959" s="2" t="s">
        <v>6171</v>
      </c>
      <c r="D2959" s="2"/>
      <c r="E2959" s="2" t="s">
        <v>1345</v>
      </c>
      <c r="F2959" s="3" t="n">
        <v>2.9E-005</v>
      </c>
      <c r="G2959" s="3" t="n">
        <f aca="false">SUM($F$2:F2959)</f>
        <v>0.975098</v>
      </c>
      <c r="H2959" s="4"/>
      <c r="I2959" s="5"/>
      <c r="J2959" s="4"/>
      <c r="K2959" s="5"/>
      <c r="L2959" s="6"/>
      <c r="M2959" s="5" t="str">
        <f aca="false">IF(AND(N(K2959)&gt;0,N(L2959)&gt;0),K2959/L2959,"")</f>
        <v/>
      </c>
      <c r="N2959" s="2" t="s">
        <v>1226</v>
      </c>
    </row>
    <row r="2960" customFormat="false" ht="15" hidden="false" customHeight="false" outlineLevel="0" collapsed="false">
      <c r="A2960" s="2" t="n">
        <v>2959</v>
      </c>
      <c r="B2960" s="2" t="s">
        <v>6172</v>
      </c>
      <c r="C2960" s="2" t="s">
        <v>6173</v>
      </c>
      <c r="D2960" s="2"/>
      <c r="E2960" s="2" t="s">
        <v>29</v>
      </c>
      <c r="F2960" s="3" t="n">
        <v>2.9E-005</v>
      </c>
      <c r="G2960" s="3" t="n">
        <f aca="false">SUM($F$2:F2960)</f>
        <v>0.975127</v>
      </c>
      <c r="H2960" s="4"/>
      <c r="I2960" s="5"/>
      <c r="J2960" s="4"/>
      <c r="K2960" s="5"/>
      <c r="L2960" s="6"/>
      <c r="M2960" s="5" t="str">
        <f aca="false">IF(AND(N(K2960)&gt;0,N(L2960)&gt;0),K2960/L2960,"")</f>
        <v/>
      </c>
      <c r="N2960" s="2" t="s">
        <v>1226</v>
      </c>
    </row>
    <row r="2961" customFormat="false" ht="15" hidden="false" customHeight="false" outlineLevel="0" collapsed="false">
      <c r="A2961" s="2" t="n">
        <v>2960</v>
      </c>
      <c r="B2961" s="2" t="s">
        <v>6174</v>
      </c>
      <c r="C2961" s="2" t="s">
        <v>6175</v>
      </c>
      <c r="D2961" s="2"/>
      <c r="E2961" s="2" t="s">
        <v>289</v>
      </c>
      <c r="F2961" s="3" t="n">
        <v>2.9E-005</v>
      </c>
      <c r="G2961" s="3" t="n">
        <f aca="false">SUM($F$2:F2961)</f>
        <v>0.975156</v>
      </c>
      <c r="H2961" s="4"/>
      <c r="I2961" s="5"/>
      <c r="J2961" s="4"/>
      <c r="K2961" s="5"/>
      <c r="L2961" s="6"/>
      <c r="M2961" s="5" t="str">
        <f aca="false">IF(AND(N(K2961)&gt;0,N(L2961)&gt;0),K2961/L2961,"")</f>
        <v/>
      </c>
      <c r="N2961" s="2" t="s">
        <v>1226</v>
      </c>
    </row>
    <row r="2962" customFormat="false" ht="15" hidden="false" customHeight="false" outlineLevel="0" collapsed="false">
      <c r="A2962" s="2" t="n">
        <v>2961</v>
      </c>
      <c r="B2962" s="2" t="s">
        <v>6176</v>
      </c>
      <c r="C2962" s="2" t="s">
        <v>6177</v>
      </c>
      <c r="D2962" s="2"/>
      <c r="E2962" s="2" t="s">
        <v>1345</v>
      </c>
      <c r="F2962" s="3" t="n">
        <v>2.9E-005</v>
      </c>
      <c r="G2962" s="3" t="n">
        <f aca="false">SUM($F$2:F2962)</f>
        <v>0.975185</v>
      </c>
      <c r="H2962" s="4"/>
      <c r="I2962" s="5"/>
      <c r="J2962" s="4"/>
      <c r="K2962" s="5"/>
      <c r="L2962" s="6"/>
      <c r="M2962" s="5" t="str">
        <f aca="false">IF(AND(N(K2962)&gt;0,N(L2962)&gt;0),K2962/L2962,"")</f>
        <v/>
      </c>
      <c r="N2962" s="2" t="s">
        <v>1226</v>
      </c>
    </row>
    <row r="2963" customFormat="false" ht="15" hidden="false" customHeight="false" outlineLevel="0" collapsed="false">
      <c r="A2963" s="2" t="n">
        <v>2962</v>
      </c>
      <c r="B2963" s="2" t="s">
        <v>6178</v>
      </c>
      <c r="C2963" s="2" t="s">
        <v>6179</v>
      </c>
      <c r="D2963" s="2"/>
      <c r="E2963" s="2" t="s">
        <v>25</v>
      </c>
      <c r="F2963" s="3" t="n">
        <v>2.9E-005</v>
      </c>
      <c r="G2963" s="3" t="n">
        <f aca="false">SUM($F$2:F2963)</f>
        <v>0.975214</v>
      </c>
      <c r="H2963" s="4"/>
      <c r="I2963" s="5"/>
      <c r="J2963" s="4"/>
      <c r="K2963" s="5"/>
      <c r="L2963" s="6"/>
      <c r="M2963" s="5" t="str">
        <f aca="false">IF(AND(N(K2963)&gt;0,N(L2963)&gt;0),K2963/L2963,"")</f>
        <v/>
      </c>
      <c r="N2963" s="2" t="s">
        <v>1226</v>
      </c>
    </row>
    <row r="2964" customFormat="false" ht="15" hidden="false" customHeight="false" outlineLevel="0" collapsed="false">
      <c r="A2964" s="2" t="n">
        <v>2963</v>
      </c>
      <c r="B2964" s="2" t="s">
        <v>6180</v>
      </c>
      <c r="C2964" s="2" t="s">
        <v>6181</v>
      </c>
      <c r="D2964" s="2"/>
      <c r="E2964" s="2" t="s">
        <v>52</v>
      </c>
      <c r="F2964" s="3" t="n">
        <v>2.9E-005</v>
      </c>
      <c r="G2964" s="3" t="n">
        <f aca="false">SUM($F$2:F2964)</f>
        <v>0.975243</v>
      </c>
      <c r="H2964" s="4"/>
      <c r="I2964" s="5"/>
      <c r="J2964" s="4"/>
      <c r="K2964" s="5"/>
      <c r="L2964" s="6"/>
      <c r="M2964" s="5" t="str">
        <f aca="false">IF(AND(N(K2964)&gt;0,N(L2964)&gt;0),K2964/L2964,"")</f>
        <v/>
      </c>
      <c r="N2964" s="2" t="s">
        <v>1226</v>
      </c>
    </row>
    <row r="2965" customFormat="false" ht="15" hidden="false" customHeight="false" outlineLevel="0" collapsed="false">
      <c r="A2965" s="2" t="n">
        <v>2964</v>
      </c>
      <c r="B2965" s="2" t="s">
        <v>6182</v>
      </c>
      <c r="C2965" s="2" t="s">
        <v>6183</v>
      </c>
      <c r="D2965" s="2"/>
      <c r="E2965" s="2" t="s">
        <v>29</v>
      </c>
      <c r="F2965" s="3" t="n">
        <v>2.9E-005</v>
      </c>
      <c r="G2965" s="3" t="n">
        <f aca="false">SUM($F$2:F2965)</f>
        <v>0.975272</v>
      </c>
      <c r="H2965" s="4"/>
      <c r="I2965" s="5"/>
      <c r="J2965" s="4"/>
      <c r="K2965" s="5"/>
      <c r="L2965" s="6"/>
      <c r="M2965" s="5" t="str">
        <f aca="false">IF(AND(N(K2965)&gt;0,N(L2965)&gt;0),K2965/L2965,"")</f>
        <v/>
      </c>
      <c r="N2965" s="2" t="s">
        <v>1226</v>
      </c>
    </row>
    <row r="2966" customFormat="false" ht="15" hidden="false" customHeight="false" outlineLevel="0" collapsed="false">
      <c r="A2966" s="2" t="n">
        <v>2965</v>
      </c>
      <c r="B2966" s="2" t="s">
        <v>6184</v>
      </c>
      <c r="C2966" s="2" t="s">
        <v>6185</v>
      </c>
      <c r="D2966" s="2"/>
      <c r="E2966" s="2" t="s">
        <v>1345</v>
      </c>
      <c r="F2966" s="3" t="n">
        <v>2.9E-005</v>
      </c>
      <c r="G2966" s="3" t="n">
        <f aca="false">SUM($F$2:F2966)</f>
        <v>0.975301</v>
      </c>
      <c r="H2966" s="4"/>
      <c r="I2966" s="5"/>
      <c r="J2966" s="4"/>
      <c r="K2966" s="5"/>
      <c r="L2966" s="6"/>
      <c r="M2966" s="5" t="str">
        <f aca="false">IF(AND(N(K2966)&gt;0,N(L2966)&gt;0),K2966/L2966,"")</f>
        <v/>
      </c>
      <c r="N2966" s="2" t="s">
        <v>1226</v>
      </c>
    </row>
    <row r="2967" customFormat="false" ht="15" hidden="false" customHeight="false" outlineLevel="0" collapsed="false">
      <c r="A2967" s="2" t="n">
        <v>2966</v>
      </c>
      <c r="B2967" s="2" t="s">
        <v>6186</v>
      </c>
      <c r="C2967" s="2" t="s">
        <v>6187</v>
      </c>
      <c r="D2967" s="2"/>
      <c r="E2967" s="2" t="s">
        <v>29</v>
      </c>
      <c r="F2967" s="3" t="n">
        <v>2.9E-005</v>
      </c>
      <c r="G2967" s="3" t="n">
        <f aca="false">SUM($F$2:F2967)</f>
        <v>0.97533</v>
      </c>
      <c r="H2967" s="4"/>
      <c r="I2967" s="5"/>
      <c r="J2967" s="4"/>
      <c r="K2967" s="5"/>
      <c r="L2967" s="6"/>
      <c r="M2967" s="5" t="str">
        <f aca="false">IF(AND(N(K2967)&gt;0,N(L2967)&gt;0),K2967/L2967,"")</f>
        <v/>
      </c>
      <c r="N2967" s="2" t="s">
        <v>1226</v>
      </c>
    </row>
    <row r="2968" customFormat="false" ht="15" hidden="false" customHeight="false" outlineLevel="0" collapsed="false">
      <c r="A2968" s="2" t="n">
        <v>2967</v>
      </c>
      <c r="B2968" s="2" t="s">
        <v>6188</v>
      </c>
      <c r="C2968" s="2" t="s">
        <v>6189</v>
      </c>
      <c r="D2968" s="2"/>
      <c r="E2968" s="2" t="s">
        <v>25</v>
      </c>
      <c r="F2968" s="3" t="n">
        <v>2.9E-005</v>
      </c>
      <c r="G2968" s="3" t="n">
        <f aca="false">SUM($F$2:F2968)</f>
        <v>0.975359</v>
      </c>
      <c r="H2968" s="4"/>
      <c r="I2968" s="5"/>
      <c r="J2968" s="4"/>
      <c r="K2968" s="5"/>
      <c r="L2968" s="6"/>
      <c r="M2968" s="5" t="str">
        <f aca="false">IF(AND(N(K2968)&gt;0,N(L2968)&gt;0),K2968/L2968,"")</f>
        <v/>
      </c>
      <c r="N2968" s="2" t="s">
        <v>1226</v>
      </c>
    </row>
    <row r="2969" customFormat="false" ht="15" hidden="false" customHeight="false" outlineLevel="0" collapsed="false">
      <c r="A2969" s="2" t="n">
        <v>2968</v>
      </c>
      <c r="B2969" s="2" t="s">
        <v>6190</v>
      </c>
      <c r="C2969" s="2" t="s">
        <v>6191</v>
      </c>
      <c r="D2969" s="2"/>
      <c r="E2969" s="2" t="s">
        <v>1345</v>
      </c>
      <c r="F2969" s="3" t="n">
        <v>2.9E-005</v>
      </c>
      <c r="G2969" s="3" t="n">
        <f aca="false">SUM($F$2:F2969)</f>
        <v>0.975388</v>
      </c>
      <c r="H2969" s="4"/>
      <c r="I2969" s="5"/>
      <c r="J2969" s="4"/>
      <c r="K2969" s="5"/>
      <c r="L2969" s="6"/>
      <c r="M2969" s="5" t="str">
        <f aca="false">IF(AND(N(K2969)&gt;0,N(L2969)&gt;0),K2969/L2969,"")</f>
        <v/>
      </c>
      <c r="N2969" s="2" t="s">
        <v>1226</v>
      </c>
    </row>
    <row r="2970" customFormat="false" ht="15" hidden="false" customHeight="false" outlineLevel="0" collapsed="false">
      <c r="A2970" s="2" t="n">
        <v>2969</v>
      </c>
      <c r="B2970" s="2" t="s">
        <v>609</v>
      </c>
      <c r="C2970" s="2" t="s">
        <v>6192</v>
      </c>
      <c r="D2970" s="2"/>
      <c r="E2970" s="2" t="s">
        <v>765</v>
      </c>
      <c r="F2970" s="3" t="n">
        <v>2.8E-005</v>
      </c>
      <c r="G2970" s="3" t="n">
        <f aca="false">SUM($F$2:F2970)</f>
        <v>0.975416</v>
      </c>
      <c r="H2970" s="4"/>
      <c r="I2970" s="5"/>
      <c r="J2970" s="4"/>
      <c r="K2970" s="5"/>
      <c r="L2970" s="6"/>
      <c r="M2970" s="5" t="str">
        <f aca="false">IF(AND(N(K2970)&gt;0,N(L2970)&gt;0),K2970/L2970,"")</f>
        <v/>
      </c>
      <c r="N2970" s="2" t="s">
        <v>1226</v>
      </c>
    </row>
    <row r="2971" customFormat="false" ht="15" hidden="false" customHeight="false" outlineLevel="0" collapsed="false">
      <c r="A2971" s="2" t="n">
        <v>2970</v>
      </c>
      <c r="B2971" s="2" t="s">
        <v>6193</v>
      </c>
      <c r="C2971" s="2" t="s">
        <v>6194</v>
      </c>
      <c r="D2971" s="2"/>
      <c r="E2971" s="2" t="s">
        <v>1345</v>
      </c>
      <c r="F2971" s="3" t="n">
        <v>2.8E-005</v>
      </c>
      <c r="G2971" s="3" t="n">
        <f aca="false">SUM($F$2:F2971)</f>
        <v>0.975444</v>
      </c>
      <c r="H2971" s="4"/>
      <c r="I2971" s="5"/>
      <c r="J2971" s="4"/>
      <c r="K2971" s="5"/>
      <c r="L2971" s="6"/>
      <c r="M2971" s="5" t="str">
        <f aca="false">IF(AND(N(K2971)&gt;0,N(L2971)&gt;0),K2971/L2971,"")</f>
        <v/>
      </c>
      <c r="N2971" s="2" t="s">
        <v>1226</v>
      </c>
    </row>
    <row r="2972" customFormat="false" ht="15" hidden="false" customHeight="false" outlineLevel="0" collapsed="false">
      <c r="A2972" s="2" t="n">
        <v>2971</v>
      </c>
      <c r="B2972" s="2" t="s">
        <v>6195</v>
      </c>
      <c r="C2972" s="2" t="s">
        <v>6196</v>
      </c>
      <c r="D2972" s="2"/>
      <c r="E2972" s="2" t="s">
        <v>679</v>
      </c>
      <c r="F2972" s="3" t="n">
        <v>2.8E-005</v>
      </c>
      <c r="G2972" s="3" t="n">
        <f aca="false">SUM($F$2:F2972)</f>
        <v>0.975472</v>
      </c>
      <c r="H2972" s="4"/>
      <c r="I2972" s="5"/>
      <c r="J2972" s="4"/>
      <c r="K2972" s="5"/>
      <c r="L2972" s="6"/>
      <c r="M2972" s="5" t="str">
        <f aca="false">IF(AND(N(K2972)&gt;0,N(L2972)&gt;0),K2972/L2972,"")</f>
        <v/>
      </c>
      <c r="N2972" s="2" t="s">
        <v>1226</v>
      </c>
    </row>
    <row r="2973" customFormat="false" ht="15" hidden="false" customHeight="false" outlineLevel="0" collapsed="false">
      <c r="A2973" s="2" t="n">
        <v>2972</v>
      </c>
      <c r="B2973" s="2" t="s">
        <v>6197</v>
      </c>
      <c r="C2973" s="2" t="s">
        <v>6198</v>
      </c>
      <c r="D2973" s="2"/>
      <c r="E2973" s="2" t="s">
        <v>1345</v>
      </c>
      <c r="F2973" s="3" t="n">
        <v>2.8E-005</v>
      </c>
      <c r="G2973" s="3" t="n">
        <f aca="false">SUM($F$2:F2973)</f>
        <v>0.9755</v>
      </c>
      <c r="H2973" s="4"/>
      <c r="I2973" s="5"/>
      <c r="J2973" s="4"/>
      <c r="K2973" s="5"/>
      <c r="L2973" s="6"/>
      <c r="M2973" s="5" t="str">
        <f aca="false">IF(AND(N(K2973)&gt;0,N(L2973)&gt;0),K2973/L2973,"")</f>
        <v/>
      </c>
      <c r="N2973" s="2" t="s">
        <v>1226</v>
      </c>
    </row>
    <row r="2974" customFormat="false" ht="15" hidden="false" customHeight="false" outlineLevel="0" collapsed="false">
      <c r="A2974" s="2" t="n">
        <v>2973</v>
      </c>
      <c r="B2974" s="2" t="s">
        <v>6199</v>
      </c>
      <c r="C2974" s="2" t="s">
        <v>6200</v>
      </c>
      <c r="D2974" s="2"/>
      <c r="E2974" s="2" t="s">
        <v>1345</v>
      </c>
      <c r="F2974" s="3" t="n">
        <v>2.8E-005</v>
      </c>
      <c r="G2974" s="3" t="n">
        <f aca="false">SUM($F$2:F2974)</f>
        <v>0.975528</v>
      </c>
      <c r="H2974" s="4"/>
      <c r="I2974" s="5"/>
      <c r="J2974" s="4"/>
      <c r="K2974" s="5"/>
      <c r="L2974" s="6"/>
      <c r="M2974" s="5" t="str">
        <f aca="false">IF(AND(N(K2974)&gt;0,N(L2974)&gt;0),K2974/L2974,"")</f>
        <v/>
      </c>
      <c r="N2974" s="2" t="s">
        <v>1226</v>
      </c>
    </row>
    <row r="2975" customFormat="false" ht="15" hidden="false" customHeight="false" outlineLevel="0" collapsed="false">
      <c r="A2975" s="2" t="n">
        <v>2974</v>
      </c>
      <c r="B2975" s="2" t="s">
        <v>6201</v>
      </c>
      <c r="C2975" s="2" t="s">
        <v>6202</v>
      </c>
      <c r="D2975" s="2"/>
      <c r="E2975" s="2" t="s">
        <v>43</v>
      </c>
      <c r="F2975" s="3" t="n">
        <v>2.8E-005</v>
      </c>
      <c r="G2975" s="3" t="n">
        <f aca="false">SUM($F$2:F2975)</f>
        <v>0.975556</v>
      </c>
      <c r="H2975" s="4"/>
      <c r="I2975" s="5"/>
      <c r="J2975" s="4"/>
      <c r="K2975" s="5"/>
      <c r="L2975" s="6"/>
      <c r="M2975" s="5" t="str">
        <f aca="false">IF(AND(N(K2975)&gt;0,N(L2975)&gt;0),K2975/L2975,"")</f>
        <v/>
      </c>
      <c r="N2975" s="2" t="s">
        <v>1226</v>
      </c>
    </row>
    <row r="2976" customFormat="false" ht="15" hidden="false" customHeight="false" outlineLevel="0" collapsed="false">
      <c r="A2976" s="2" t="n">
        <v>2975</v>
      </c>
      <c r="B2976" s="2" t="s">
        <v>6203</v>
      </c>
      <c r="C2976" s="2" t="s">
        <v>6204</v>
      </c>
      <c r="D2976" s="2"/>
      <c r="E2976" s="2" t="s">
        <v>1295</v>
      </c>
      <c r="F2976" s="3" t="n">
        <v>2.8E-005</v>
      </c>
      <c r="G2976" s="3" t="n">
        <f aca="false">SUM($F$2:F2976)</f>
        <v>0.975584</v>
      </c>
      <c r="H2976" s="4"/>
      <c r="I2976" s="5"/>
      <c r="J2976" s="4"/>
      <c r="K2976" s="5"/>
      <c r="L2976" s="6"/>
      <c r="M2976" s="5" t="str">
        <f aca="false">IF(AND(N(K2976)&gt;0,N(L2976)&gt;0),K2976/L2976,"")</f>
        <v/>
      </c>
      <c r="N2976" s="2" t="s">
        <v>1226</v>
      </c>
    </row>
    <row r="2977" customFormat="false" ht="15" hidden="false" customHeight="false" outlineLevel="0" collapsed="false">
      <c r="A2977" s="2" t="n">
        <v>2976</v>
      </c>
      <c r="B2977" s="2" t="s">
        <v>6205</v>
      </c>
      <c r="C2977" s="2" t="s">
        <v>6206</v>
      </c>
      <c r="D2977" s="2"/>
      <c r="E2977" s="2" t="s">
        <v>1345</v>
      </c>
      <c r="F2977" s="3" t="n">
        <v>2.8E-005</v>
      </c>
      <c r="G2977" s="3" t="n">
        <f aca="false">SUM($F$2:F2977)</f>
        <v>0.975612</v>
      </c>
      <c r="H2977" s="4"/>
      <c r="I2977" s="5"/>
      <c r="J2977" s="4"/>
      <c r="K2977" s="5"/>
      <c r="L2977" s="6"/>
      <c r="M2977" s="5" t="str">
        <f aca="false">IF(AND(N(K2977)&gt;0,N(L2977)&gt;0),K2977/L2977,"")</f>
        <v/>
      </c>
      <c r="N2977" s="2" t="s">
        <v>1226</v>
      </c>
    </row>
    <row r="2978" customFormat="false" ht="15" hidden="false" customHeight="false" outlineLevel="0" collapsed="false">
      <c r="A2978" s="2" t="n">
        <v>2977</v>
      </c>
      <c r="B2978" s="2" t="s">
        <v>6207</v>
      </c>
      <c r="C2978" s="2" t="s">
        <v>6208</v>
      </c>
      <c r="D2978" s="2"/>
      <c r="E2978" s="2" t="s">
        <v>25</v>
      </c>
      <c r="F2978" s="3" t="n">
        <v>2.8E-005</v>
      </c>
      <c r="G2978" s="3" t="n">
        <f aca="false">SUM($F$2:F2978)</f>
        <v>0.97564</v>
      </c>
      <c r="H2978" s="4"/>
      <c r="I2978" s="5"/>
      <c r="J2978" s="4"/>
      <c r="K2978" s="5"/>
      <c r="L2978" s="6"/>
      <c r="M2978" s="5" t="str">
        <f aca="false">IF(AND(N(K2978)&gt;0,N(L2978)&gt;0),K2978/L2978,"")</f>
        <v/>
      </c>
      <c r="N2978" s="2" t="s">
        <v>1226</v>
      </c>
    </row>
    <row r="2979" customFormat="false" ht="15" hidden="false" customHeight="false" outlineLevel="0" collapsed="false">
      <c r="A2979" s="2" t="n">
        <v>2978</v>
      </c>
      <c r="B2979" s="2" t="s">
        <v>6209</v>
      </c>
      <c r="C2979" s="2" t="s">
        <v>6210</v>
      </c>
      <c r="D2979" s="2"/>
      <c r="E2979" s="2" t="s">
        <v>52</v>
      </c>
      <c r="F2979" s="3" t="n">
        <v>2.8E-005</v>
      </c>
      <c r="G2979" s="3" t="n">
        <f aca="false">SUM($F$2:F2979)</f>
        <v>0.975668</v>
      </c>
      <c r="H2979" s="4"/>
      <c r="I2979" s="5"/>
      <c r="J2979" s="4"/>
      <c r="K2979" s="5"/>
      <c r="L2979" s="6"/>
      <c r="M2979" s="5" t="str">
        <f aca="false">IF(AND(N(K2979)&gt;0,N(L2979)&gt;0),K2979/L2979,"")</f>
        <v/>
      </c>
      <c r="N2979" s="2" t="s">
        <v>1226</v>
      </c>
    </row>
    <row r="2980" customFormat="false" ht="15" hidden="false" customHeight="false" outlineLevel="0" collapsed="false">
      <c r="A2980" s="2" t="n">
        <v>2979</v>
      </c>
      <c r="B2980" s="2" t="s">
        <v>6211</v>
      </c>
      <c r="C2980" s="2" t="s">
        <v>6212</v>
      </c>
      <c r="D2980" s="2"/>
      <c r="E2980" s="2" t="s">
        <v>52</v>
      </c>
      <c r="F2980" s="3" t="n">
        <v>2.8E-005</v>
      </c>
      <c r="G2980" s="3" t="n">
        <f aca="false">SUM($F$2:F2980)</f>
        <v>0.975696</v>
      </c>
      <c r="H2980" s="4"/>
      <c r="I2980" s="5"/>
      <c r="J2980" s="4"/>
      <c r="K2980" s="5"/>
      <c r="L2980" s="6"/>
      <c r="M2980" s="5" t="str">
        <f aca="false">IF(AND(N(K2980)&gt;0,N(L2980)&gt;0),K2980/L2980,"")</f>
        <v/>
      </c>
      <c r="N2980" s="2" t="s">
        <v>1226</v>
      </c>
    </row>
    <row r="2981" customFormat="false" ht="15" hidden="false" customHeight="false" outlineLevel="0" collapsed="false">
      <c r="A2981" s="2" t="n">
        <v>2980</v>
      </c>
      <c r="B2981" s="2" t="s">
        <v>6213</v>
      </c>
      <c r="C2981" s="2" t="s">
        <v>6214</v>
      </c>
      <c r="D2981" s="2"/>
      <c r="E2981" s="2" t="s">
        <v>1345</v>
      </c>
      <c r="F2981" s="3" t="n">
        <v>2.8E-005</v>
      </c>
      <c r="G2981" s="3" t="n">
        <f aca="false">SUM($F$2:F2981)</f>
        <v>0.975724</v>
      </c>
      <c r="H2981" s="4"/>
      <c r="I2981" s="5"/>
      <c r="J2981" s="4"/>
      <c r="K2981" s="5"/>
      <c r="L2981" s="6"/>
      <c r="M2981" s="5" t="str">
        <f aca="false">IF(AND(N(K2981)&gt;0,N(L2981)&gt;0),K2981/L2981,"")</f>
        <v/>
      </c>
      <c r="N2981" s="2" t="s">
        <v>1226</v>
      </c>
    </row>
    <row r="2982" customFormat="false" ht="15" hidden="false" customHeight="false" outlineLevel="0" collapsed="false">
      <c r="A2982" s="2" t="n">
        <v>2981</v>
      </c>
      <c r="B2982" s="2" t="s">
        <v>6215</v>
      </c>
      <c r="C2982" s="2" t="s">
        <v>6216</v>
      </c>
      <c r="D2982" s="2"/>
      <c r="E2982" s="2" t="s">
        <v>539</v>
      </c>
      <c r="F2982" s="3" t="n">
        <v>2.8E-005</v>
      </c>
      <c r="G2982" s="3" t="n">
        <f aca="false">SUM($F$2:F2982)</f>
        <v>0.975752</v>
      </c>
      <c r="H2982" s="4"/>
      <c r="I2982" s="5"/>
      <c r="J2982" s="4"/>
      <c r="K2982" s="5"/>
      <c r="L2982" s="6"/>
      <c r="M2982" s="5" t="str">
        <f aca="false">IF(AND(N(K2982)&gt;0,N(L2982)&gt;0),K2982/L2982,"")</f>
        <v/>
      </c>
      <c r="N2982" s="2" t="s">
        <v>1226</v>
      </c>
    </row>
    <row r="2983" customFormat="false" ht="15" hidden="false" customHeight="false" outlineLevel="0" collapsed="false">
      <c r="A2983" s="2" t="n">
        <v>2982</v>
      </c>
      <c r="B2983" s="2" t="s">
        <v>6217</v>
      </c>
      <c r="C2983" s="2" t="s">
        <v>6218</v>
      </c>
      <c r="D2983" s="2"/>
      <c r="E2983" s="2" t="s">
        <v>826</v>
      </c>
      <c r="F2983" s="3" t="n">
        <v>2.8E-005</v>
      </c>
      <c r="G2983" s="3" t="n">
        <f aca="false">SUM($F$2:F2983)</f>
        <v>0.97578</v>
      </c>
      <c r="H2983" s="4"/>
      <c r="I2983" s="5"/>
      <c r="J2983" s="4"/>
      <c r="K2983" s="5"/>
      <c r="L2983" s="6"/>
      <c r="M2983" s="5" t="str">
        <f aca="false">IF(AND(N(K2983)&gt;0,N(L2983)&gt;0),K2983/L2983,"")</f>
        <v/>
      </c>
      <c r="N2983" s="2" t="s">
        <v>1226</v>
      </c>
    </row>
    <row r="2984" customFormat="false" ht="15" hidden="false" customHeight="false" outlineLevel="0" collapsed="false">
      <c r="A2984" s="2" t="n">
        <v>2983</v>
      </c>
      <c r="B2984" s="2" t="s">
        <v>6219</v>
      </c>
      <c r="C2984" s="2" t="s">
        <v>6220</v>
      </c>
      <c r="D2984" s="2"/>
      <c r="E2984" s="2" t="s">
        <v>29</v>
      </c>
      <c r="F2984" s="3" t="n">
        <v>2.8E-005</v>
      </c>
      <c r="G2984" s="3" t="n">
        <f aca="false">SUM($F$2:F2984)</f>
        <v>0.975808</v>
      </c>
      <c r="H2984" s="4"/>
      <c r="I2984" s="5"/>
      <c r="J2984" s="4"/>
      <c r="K2984" s="5"/>
      <c r="L2984" s="6"/>
      <c r="M2984" s="5" t="str">
        <f aca="false">IF(AND(N(K2984)&gt;0,N(L2984)&gt;0),K2984/L2984,"")</f>
        <v/>
      </c>
      <c r="N2984" s="2" t="s">
        <v>1226</v>
      </c>
    </row>
    <row r="2985" customFormat="false" ht="15" hidden="false" customHeight="false" outlineLevel="0" collapsed="false">
      <c r="A2985" s="2" t="n">
        <v>2984</v>
      </c>
      <c r="B2985" s="2" t="s">
        <v>6221</v>
      </c>
      <c r="C2985" s="2" t="s">
        <v>6222</v>
      </c>
      <c r="D2985" s="2"/>
      <c r="E2985" s="2" t="s">
        <v>1295</v>
      </c>
      <c r="F2985" s="3" t="n">
        <v>2.8E-005</v>
      </c>
      <c r="G2985" s="3" t="n">
        <f aca="false">SUM($F$2:F2985)</f>
        <v>0.975836</v>
      </c>
      <c r="H2985" s="4"/>
      <c r="I2985" s="5"/>
      <c r="J2985" s="4"/>
      <c r="K2985" s="5"/>
      <c r="L2985" s="6"/>
      <c r="M2985" s="5" t="str">
        <f aca="false">IF(AND(N(K2985)&gt;0,N(L2985)&gt;0),K2985/L2985,"")</f>
        <v/>
      </c>
      <c r="N2985" s="2" t="s">
        <v>1226</v>
      </c>
    </row>
    <row r="2986" customFormat="false" ht="15" hidden="false" customHeight="false" outlineLevel="0" collapsed="false">
      <c r="A2986" s="2" t="n">
        <v>2985</v>
      </c>
      <c r="B2986" s="2" t="s">
        <v>6223</v>
      </c>
      <c r="C2986" s="2" t="s">
        <v>6224</v>
      </c>
      <c r="D2986" s="2"/>
      <c r="E2986" s="2" t="s">
        <v>289</v>
      </c>
      <c r="F2986" s="3" t="n">
        <v>2.8E-005</v>
      </c>
      <c r="G2986" s="3" t="n">
        <f aca="false">SUM($F$2:F2986)</f>
        <v>0.975864</v>
      </c>
      <c r="H2986" s="4"/>
      <c r="I2986" s="5"/>
      <c r="J2986" s="4"/>
      <c r="K2986" s="5"/>
      <c r="L2986" s="6"/>
      <c r="M2986" s="5" t="str">
        <f aca="false">IF(AND(N(K2986)&gt;0,N(L2986)&gt;0),K2986/L2986,"")</f>
        <v/>
      </c>
      <c r="N2986" s="2" t="s">
        <v>1226</v>
      </c>
    </row>
    <row r="2987" customFormat="false" ht="15" hidden="false" customHeight="false" outlineLevel="0" collapsed="false">
      <c r="A2987" s="2" t="n">
        <v>2986</v>
      </c>
      <c r="B2987" s="2" t="s">
        <v>6225</v>
      </c>
      <c r="C2987" s="2" t="s">
        <v>6226</v>
      </c>
      <c r="D2987" s="2"/>
      <c r="E2987" s="2" t="s">
        <v>43</v>
      </c>
      <c r="F2987" s="3" t="n">
        <v>2.8E-005</v>
      </c>
      <c r="G2987" s="3" t="n">
        <f aca="false">SUM($F$2:F2987)</f>
        <v>0.975892</v>
      </c>
      <c r="H2987" s="4"/>
      <c r="I2987" s="5"/>
      <c r="J2987" s="4"/>
      <c r="K2987" s="5"/>
      <c r="L2987" s="6"/>
      <c r="M2987" s="5" t="str">
        <f aca="false">IF(AND(N(K2987)&gt;0,N(L2987)&gt;0),K2987/L2987,"")</f>
        <v/>
      </c>
      <c r="N2987" s="2" t="s">
        <v>1226</v>
      </c>
    </row>
    <row r="2988" customFormat="false" ht="15" hidden="false" customHeight="false" outlineLevel="0" collapsed="false">
      <c r="A2988" s="2" t="n">
        <v>2987</v>
      </c>
      <c r="B2988" s="2" t="s">
        <v>6227</v>
      </c>
      <c r="C2988" s="2" t="s">
        <v>6228</v>
      </c>
      <c r="D2988" s="2"/>
      <c r="E2988" s="2" t="s">
        <v>1345</v>
      </c>
      <c r="F2988" s="3" t="n">
        <v>2.8E-005</v>
      </c>
      <c r="G2988" s="3" t="n">
        <f aca="false">SUM($F$2:F2988)</f>
        <v>0.97592</v>
      </c>
      <c r="H2988" s="4"/>
      <c r="I2988" s="5"/>
      <c r="J2988" s="4"/>
      <c r="K2988" s="5"/>
      <c r="L2988" s="6"/>
      <c r="M2988" s="5" t="str">
        <f aca="false">IF(AND(N(K2988)&gt;0,N(L2988)&gt;0),K2988/L2988,"")</f>
        <v/>
      </c>
      <c r="N2988" s="2" t="s">
        <v>1226</v>
      </c>
    </row>
    <row r="2989" customFormat="false" ht="15" hidden="false" customHeight="false" outlineLevel="0" collapsed="false">
      <c r="A2989" s="2" t="n">
        <v>2988</v>
      </c>
      <c r="B2989" s="2" t="s">
        <v>6229</v>
      </c>
      <c r="C2989" s="2" t="s">
        <v>6230</v>
      </c>
      <c r="D2989" s="2"/>
      <c r="E2989" s="2" t="s">
        <v>1345</v>
      </c>
      <c r="F2989" s="3" t="n">
        <v>2.8E-005</v>
      </c>
      <c r="G2989" s="3" t="n">
        <f aca="false">SUM($F$2:F2989)</f>
        <v>0.975948</v>
      </c>
      <c r="H2989" s="4"/>
      <c r="I2989" s="5"/>
      <c r="J2989" s="4"/>
      <c r="K2989" s="5"/>
      <c r="L2989" s="6"/>
      <c r="M2989" s="5" t="str">
        <f aca="false">IF(AND(N(K2989)&gt;0,N(L2989)&gt;0),K2989/L2989,"")</f>
        <v/>
      </c>
      <c r="N2989" s="2" t="s">
        <v>1226</v>
      </c>
    </row>
    <row r="2990" customFormat="false" ht="15" hidden="false" customHeight="false" outlineLevel="0" collapsed="false">
      <c r="A2990" s="2" t="n">
        <v>2989</v>
      </c>
      <c r="B2990" s="2" t="s">
        <v>6231</v>
      </c>
      <c r="C2990" s="2" t="s">
        <v>6232</v>
      </c>
      <c r="D2990" s="2"/>
      <c r="E2990" s="2" t="s">
        <v>289</v>
      </c>
      <c r="F2990" s="3" t="n">
        <v>2.8E-005</v>
      </c>
      <c r="G2990" s="3" t="n">
        <f aca="false">SUM($F$2:F2990)</f>
        <v>0.975976</v>
      </c>
      <c r="H2990" s="4"/>
      <c r="I2990" s="5"/>
      <c r="J2990" s="4"/>
      <c r="K2990" s="5"/>
      <c r="L2990" s="6"/>
      <c r="M2990" s="5" t="str">
        <f aca="false">IF(AND(N(K2990)&gt;0,N(L2990)&gt;0),K2990/L2990,"")</f>
        <v/>
      </c>
      <c r="N2990" s="2" t="s">
        <v>1226</v>
      </c>
    </row>
    <row r="2991" customFormat="false" ht="15" hidden="false" customHeight="false" outlineLevel="0" collapsed="false">
      <c r="A2991" s="2" t="n">
        <v>2990</v>
      </c>
      <c r="B2991" s="2" t="s">
        <v>6233</v>
      </c>
      <c r="C2991" s="2" t="s">
        <v>6234</v>
      </c>
      <c r="D2991" s="2"/>
      <c r="E2991" s="2" t="s">
        <v>33</v>
      </c>
      <c r="F2991" s="3" t="n">
        <v>2.8E-005</v>
      </c>
      <c r="G2991" s="3" t="n">
        <f aca="false">SUM($F$2:F2991)</f>
        <v>0.976004</v>
      </c>
      <c r="H2991" s="4"/>
      <c r="I2991" s="5"/>
      <c r="J2991" s="4"/>
      <c r="K2991" s="5"/>
      <c r="L2991" s="6"/>
      <c r="M2991" s="5" t="str">
        <f aca="false">IF(AND(N(K2991)&gt;0,N(L2991)&gt;0),K2991/L2991,"")</f>
        <v/>
      </c>
      <c r="N2991" s="2" t="s">
        <v>1226</v>
      </c>
    </row>
    <row r="2992" customFormat="false" ht="15" hidden="false" customHeight="false" outlineLevel="0" collapsed="false">
      <c r="A2992" s="2" t="n">
        <v>2991</v>
      </c>
      <c r="B2992" s="2" t="s">
        <v>6235</v>
      </c>
      <c r="C2992" s="2" t="s">
        <v>6236</v>
      </c>
      <c r="D2992" s="2"/>
      <c r="E2992" s="2" t="s">
        <v>1345</v>
      </c>
      <c r="F2992" s="3" t="n">
        <v>2.8E-005</v>
      </c>
      <c r="G2992" s="3" t="n">
        <f aca="false">SUM($F$2:F2992)</f>
        <v>0.976032</v>
      </c>
      <c r="H2992" s="4"/>
      <c r="I2992" s="5"/>
      <c r="J2992" s="4"/>
      <c r="K2992" s="5"/>
      <c r="L2992" s="6"/>
      <c r="M2992" s="5" t="str">
        <f aca="false">IF(AND(N(K2992)&gt;0,N(L2992)&gt;0),K2992/L2992,"")</f>
        <v/>
      </c>
      <c r="N2992" s="2" t="s">
        <v>1226</v>
      </c>
    </row>
    <row r="2993" customFormat="false" ht="15" hidden="false" customHeight="false" outlineLevel="0" collapsed="false">
      <c r="A2993" s="2" t="n">
        <v>2992</v>
      </c>
      <c r="B2993" s="2" t="s">
        <v>6237</v>
      </c>
      <c r="C2993" s="2" t="s">
        <v>6238</v>
      </c>
      <c r="D2993" s="2"/>
      <c r="E2993" s="2" t="s">
        <v>17</v>
      </c>
      <c r="F2993" s="3" t="n">
        <v>2.8E-005</v>
      </c>
      <c r="G2993" s="3" t="n">
        <f aca="false">SUM($F$2:F2993)</f>
        <v>0.97606</v>
      </c>
      <c r="H2993" s="4"/>
      <c r="I2993" s="5"/>
      <c r="J2993" s="4"/>
      <c r="K2993" s="5"/>
      <c r="L2993" s="6"/>
      <c r="M2993" s="5" t="str">
        <f aca="false">IF(AND(N(K2993)&gt;0,N(L2993)&gt;0),K2993/L2993,"")</f>
        <v/>
      </c>
      <c r="N2993" s="2" t="s">
        <v>1226</v>
      </c>
    </row>
    <row r="2994" customFormat="false" ht="15" hidden="false" customHeight="false" outlineLevel="0" collapsed="false">
      <c r="A2994" s="2" t="n">
        <v>2993</v>
      </c>
      <c r="B2994" s="2" t="s">
        <v>6239</v>
      </c>
      <c r="C2994" s="2" t="s">
        <v>6240</v>
      </c>
      <c r="D2994" s="2"/>
      <c r="E2994" s="2" t="s">
        <v>48</v>
      </c>
      <c r="F2994" s="3" t="n">
        <v>2.8E-005</v>
      </c>
      <c r="G2994" s="3" t="n">
        <f aca="false">SUM($F$2:F2994)</f>
        <v>0.976088</v>
      </c>
      <c r="H2994" s="4"/>
      <c r="I2994" s="5"/>
      <c r="J2994" s="4"/>
      <c r="K2994" s="5"/>
      <c r="L2994" s="6"/>
      <c r="M2994" s="5" t="str">
        <f aca="false">IF(AND(N(K2994)&gt;0,N(L2994)&gt;0),K2994/L2994,"")</f>
        <v/>
      </c>
      <c r="N2994" s="2" t="s">
        <v>1226</v>
      </c>
    </row>
    <row r="2995" customFormat="false" ht="15" hidden="false" customHeight="false" outlineLevel="0" collapsed="false">
      <c r="A2995" s="2" t="n">
        <v>2994</v>
      </c>
      <c r="B2995" s="2" t="s">
        <v>6241</v>
      </c>
      <c r="C2995" s="2" t="s">
        <v>6242</v>
      </c>
      <c r="D2995" s="2"/>
      <c r="E2995" s="2" t="s">
        <v>289</v>
      </c>
      <c r="F2995" s="3" t="n">
        <v>2.8E-005</v>
      </c>
      <c r="G2995" s="3" t="n">
        <f aca="false">SUM($F$2:F2995)</f>
        <v>0.976116</v>
      </c>
      <c r="H2995" s="4"/>
      <c r="I2995" s="5"/>
      <c r="J2995" s="4"/>
      <c r="K2995" s="5"/>
      <c r="L2995" s="6"/>
      <c r="M2995" s="5" t="str">
        <f aca="false">IF(AND(N(K2995)&gt;0,N(L2995)&gt;0),K2995/L2995,"")</f>
        <v/>
      </c>
      <c r="N2995" s="2" t="s">
        <v>1226</v>
      </c>
    </row>
    <row r="2996" customFormat="false" ht="15" hidden="false" customHeight="false" outlineLevel="0" collapsed="false">
      <c r="A2996" s="2" t="n">
        <v>2995</v>
      </c>
      <c r="B2996" s="2" t="s">
        <v>6243</v>
      </c>
      <c r="C2996" s="2" t="s">
        <v>6244</v>
      </c>
      <c r="D2996" s="2"/>
      <c r="E2996" s="2" t="s">
        <v>38</v>
      </c>
      <c r="F2996" s="3" t="n">
        <v>2.8E-005</v>
      </c>
      <c r="G2996" s="3" t="n">
        <f aca="false">SUM($F$2:F2996)</f>
        <v>0.976144</v>
      </c>
      <c r="H2996" s="4"/>
      <c r="I2996" s="5"/>
      <c r="J2996" s="4"/>
      <c r="K2996" s="5"/>
      <c r="L2996" s="6"/>
      <c r="M2996" s="5" t="str">
        <f aca="false">IF(AND(N(K2996)&gt;0,N(L2996)&gt;0),K2996/L2996,"")</f>
        <v/>
      </c>
      <c r="N2996" s="2" t="s">
        <v>1226</v>
      </c>
    </row>
    <row r="2997" customFormat="false" ht="15" hidden="false" customHeight="false" outlineLevel="0" collapsed="false">
      <c r="A2997" s="2" t="n">
        <v>2996</v>
      </c>
      <c r="B2997" s="2" t="s">
        <v>6245</v>
      </c>
      <c r="C2997" s="2" t="s">
        <v>6246</v>
      </c>
      <c r="D2997" s="2"/>
      <c r="E2997" s="2" t="s">
        <v>173</v>
      </c>
      <c r="F2997" s="3" t="n">
        <v>2.8E-005</v>
      </c>
      <c r="G2997" s="3" t="n">
        <f aca="false">SUM($F$2:F2997)</f>
        <v>0.976172</v>
      </c>
      <c r="H2997" s="4"/>
      <c r="I2997" s="5"/>
      <c r="J2997" s="4"/>
      <c r="K2997" s="5"/>
      <c r="L2997" s="6"/>
      <c r="M2997" s="5" t="str">
        <f aca="false">IF(AND(N(K2997)&gt;0,N(L2997)&gt;0),K2997/L2997,"")</f>
        <v/>
      </c>
      <c r="N2997" s="2" t="s">
        <v>1226</v>
      </c>
    </row>
    <row r="2998" customFormat="false" ht="15" hidden="false" customHeight="false" outlineLevel="0" collapsed="false">
      <c r="A2998" s="2" t="n">
        <v>2997</v>
      </c>
      <c r="B2998" s="2" t="s">
        <v>6247</v>
      </c>
      <c r="C2998" s="2" t="s">
        <v>6248</v>
      </c>
      <c r="D2998" s="2"/>
      <c r="E2998" s="2" t="s">
        <v>1345</v>
      </c>
      <c r="F2998" s="3" t="n">
        <v>2.8E-005</v>
      </c>
      <c r="G2998" s="3" t="n">
        <f aca="false">SUM($F$2:F2998)</f>
        <v>0.9762</v>
      </c>
      <c r="H2998" s="4"/>
      <c r="I2998" s="5"/>
      <c r="J2998" s="4"/>
      <c r="K2998" s="5"/>
      <c r="L2998" s="6"/>
      <c r="M2998" s="5" t="str">
        <f aca="false">IF(AND(N(K2998)&gt;0,N(L2998)&gt;0),K2998/L2998,"")</f>
        <v/>
      </c>
      <c r="N2998" s="2" t="s">
        <v>1226</v>
      </c>
    </row>
    <row r="2999" customFormat="false" ht="15" hidden="false" customHeight="false" outlineLevel="0" collapsed="false">
      <c r="A2999" s="2" t="n">
        <v>2998</v>
      </c>
      <c r="B2999" s="2" t="s">
        <v>6249</v>
      </c>
      <c r="C2999" s="2" t="s">
        <v>6250</v>
      </c>
      <c r="D2999" s="2"/>
      <c r="E2999" s="2" t="s">
        <v>82</v>
      </c>
      <c r="F2999" s="3" t="n">
        <v>2.8E-005</v>
      </c>
      <c r="G2999" s="3" t="n">
        <f aca="false">SUM($F$2:F2999)</f>
        <v>0.976228</v>
      </c>
      <c r="H2999" s="4"/>
      <c r="I2999" s="5"/>
      <c r="J2999" s="4"/>
      <c r="K2999" s="5"/>
      <c r="L2999" s="6"/>
      <c r="M2999" s="5" t="str">
        <f aca="false">IF(AND(N(K2999)&gt;0,N(L2999)&gt;0),K2999/L2999,"")</f>
        <v/>
      </c>
      <c r="N2999" s="2" t="s">
        <v>1226</v>
      </c>
    </row>
    <row r="3000" customFormat="false" ht="15" hidden="false" customHeight="false" outlineLevel="0" collapsed="false">
      <c r="A3000" s="2" t="n">
        <v>2999</v>
      </c>
      <c r="B3000" s="2" t="s">
        <v>6251</v>
      </c>
      <c r="C3000" s="2" t="s">
        <v>6252</v>
      </c>
      <c r="D3000" s="2"/>
      <c r="E3000" s="2" t="s">
        <v>1345</v>
      </c>
      <c r="F3000" s="3" t="n">
        <v>2.8E-005</v>
      </c>
      <c r="G3000" s="3" t="n">
        <f aca="false">SUM($F$2:F3000)</f>
        <v>0.976256</v>
      </c>
      <c r="H3000" s="4"/>
      <c r="I3000" s="5"/>
      <c r="J3000" s="4"/>
      <c r="K3000" s="5"/>
      <c r="L3000" s="6"/>
      <c r="M3000" s="5" t="str">
        <f aca="false">IF(AND(N(K3000)&gt;0,N(L3000)&gt;0),K3000/L3000,"")</f>
        <v/>
      </c>
      <c r="N3000" s="2" t="s">
        <v>1226</v>
      </c>
    </row>
    <row r="3001" customFormat="false" ht="15" hidden="false" customHeight="false" outlineLevel="0" collapsed="false">
      <c r="A3001" s="2" t="n">
        <v>3000</v>
      </c>
      <c r="B3001" s="2" t="s">
        <v>6253</v>
      </c>
      <c r="C3001" s="2" t="s">
        <v>6254</v>
      </c>
      <c r="D3001" s="2"/>
      <c r="E3001" s="2" t="s">
        <v>1345</v>
      </c>
      <c r="F3001" s="3" t="n">
        <v>2.8E-005</v>
      </c>
      <c r="G3001" s="3" t="n">
        <f aca="false">SUM($F$2:F3001)</f>
        <v>0.976284</v>
      </c>
      <c r="H3001" s="4"/>
      <c r="I3001" s="5"/>
      <c r="J3001" s="4"/>
      <c r="K3001" s="5"/>
      <c r="L3001" s="6"/>
      <c r="M3001" s="5" t="str">
        <f aca="false">IF(AND(N(K3001)&gt;0,N(L3001)&gt;0),K3001/L3001,"")</f>
        <v/>
      </c>
      <c r="N3001" s="2" t="s">
        <v>1226</v>
      </c>
    </row>
    <row r="3002" customFormat="false" ht="15" hidden="false" customHeight="false" outlineLevel="0" collapsed="false">
      <c r="A3002" s="2" t="n">
        <v>3001</v>
      </c>
      <c r="B3002" s="2" t="s">
        <v>6255</v>
      </c>
      <c r="C3002" s="2" t="s">
        <v>6256</v>
      </c>
      <c r="D3002" s="2"/>
      <c r="E3002" s="2" t="s">
        <v>1345</v>
      </c>
      <c r="F3002" s="3" t="n">
        <v>2.8E-005</v>
      </c>
      <c r="G3002" s="3" t="n">
        <f aca="false">SUM($F$2:F3002)</f>
        <v>0.976312</v>
      </c>
      <c r="H3002" s="4"/>
      <c r="I3002" s="5"/>
      <c r="J3002" s="4"/>
      <c r="K3002" s="5"/>
      <c r="L3002" s="6"/>
      <c r="M3002" s="5" t="str">
        <f aca="false">IF(AND(N(K3002)&gt;0,N(L3002)&gt;0),K3002/L3002,"")</f>
        <v/>
      </c>
      <c r="N3002" s="2" t="s">
        <v>1226</v>
      </c>
    </row>
    <row r="3003" customFormat="false" ht="15" hidden="false" customHeight="false" outlineLevel="0" collapsed="false">
      <c r="A3003" s="2" t="n">
        <v>3002</v>
      </c>
      <c r="B3003" s="2" t="s">
        <v>6257</v>
      </c>
      <c r="C3003" s="2" t="s">
        <v>6258</v>
      </c>
      <c r="D3003" s="2"/>
      <c r="E3003" s="2" t="s">
        <v>826</v>
      </c>
      <c r="F3003" s="3" t="n">
        <v>2.7E-005</v>
      </c>
      <c r="G3003" s="3" t="n">
        <f aca="false">SUM($F$2:F3003)</f>
        <v>0.976339</v>
      </c>
      <c r="H3003" s="4"/>
      <c r="I3003" s="5"/>
      <c r="J3003" s="4"/>
      <c r="K3003" s="5"/>
      <c r="L3003" s="6"/>
      <c r="M3003" s="5" t="str">
        <f aca="false">IF(AND(N(K3003)&gt;0,N(L3003)&gt;0),K3003/L3003,"")</f>
        <v/>
      </c>
      <c r="N3003" s="2" t="s">
        <v>1226</v>
      </c>
    </row>
    <row r="3004" customFormat="false" ht="15" hidden="false" customHeight="false" outlineLevel="0" collapsed="false">
      <c r="A3004" s="2" t="n">
        <v>3003</v>
      </c>
      <c r="B3004" s="2" t="s">
        <v>6259</v>
      </c>
      <c r="C3004" s="2" t="s">
        <v>6260</v>
      </c>
      <c r="D3004" s="2"/>
      <c r="E3004" s="2" t="s">
        <v>1345</v>
      </c>
      <c r="F3004" s="3" t="n">
        <v>2.7E-005</v>
      </c>
      <c r="G3004" s="3" t="n">
        <f aca="false">SUM($F$2:F3004)</f>
        <v>0.976366</v>
      </c>
      <c r="H3004" s="4"/>
      <c r="I3004" s="5"/>
      <c r="J3004" s="4"/>
      <c r="K3004" s="5"/>
      <c r="L3004" s="6"/>
      <c r="M3004" s="5" t="str">
        <f aca="false">IF(AND(N(K3004)&gt;0,N(L3004)&gt;0),K3004/L3004,"")</f>
        <v/>
      </c>
      <c r="N3004" s="2" t="s">
        <v>1226</v>
      </c>
    </row>
    <row r="3005" customFormat="false" ht="15" hidden="false" customHeight="false" outlineLevel="0" collapsed="false">
      <c r="A3005" s="2" t="n">
        <v>3004</v>
      </c>
      <c r="B3005" s="2" t="s">
        <v>6261</v>
      </c>
      <c r="C3005" s="2" t="s">
        <v>6262</v>
      </c>
      <c r="D3005" s="2"/>
      <c r="E3005" s="2" t="s">
        <v>43</v>
      </c>
      <c r="F3005" s="3" t="n">
        <v>2.7E-005</v>
      </c>
      <c r="G3005" s="3" t="n">
        <f aca="false">SUM($F$2:F3005)</f>
        <v>0.976393</v>
      </c>
      <c r="H3005" s="4"/>
      <c r="I3005" s="5"/>
      <c r="J3005" s="4"/>
      <c r="K3005" s="5"/>
      <c r="L3005" s="6"/>
      <c r="M3005" s="5" t="str">
        <f aca="false">IF(AND(N(K3005)&gt;0,N(L3005)&gt;0),K3005/L3005,"")</f>
        <v/>
      </c>
      <c r="N3005" s="2" t="s">
        <v>1226</v>
      </c>
    </row>
    <row r="3006" customFormat="false" ht="15" hidden="false" customHeight="false" outlineLevel="0" collapsed="false">
      <c r="A3006" s="2" t="n">
        <v>3005</v>
      </c>
      <c r="B3006" s="2" t="s">
        <v>6263</v>
      </c>
      <c r="C3006" s="2" t="s">
        <v>6264</v>
      </c>
      <c r="D3006" s="2"/>
      <c r="E3006" s="2" t="s">
        <v>52</v>
      </c>
      <c r="F3006" s="3" t="n">
        <v>2.7E-005</v>
      </c>
      <c r="G3006" s="3" t="n">
        <f aca="false">SUM($F$2:F3006)</f>
        <v>0.97642</v>
      </c>
      <c r="H3006" s="4"/>
      <c r="I3006" s="5"/>
      <c r="J3006" s="4"/>
      <c r="K3006" s="5"/>
      <c r="L3006" s="6"/>
      <c r="M3006" s="5" t="str">
        <f aca="false">IF(AND(N(K3006)&gt;0,N(L3006)&gt;0),K3006/L3006,"")</f>
        <v/>
      </c>
      <c r="N3006" s="2" t="s">
        <v>1226</v>
      </c>
    </row>
    <row r="3007" customFormat="false" ht="15" hidden="false" customHeight="false" outlineLevel="0" collapsed="false">
      <c r="A3007" s="2" t="n">
        <v>3006</v>
      </c>
      <c r="B3007" s="2" t="s">
        <v>6265</v>
      </c>
      <c r="C3007" s="2" t="s">
        <v>6266</v>
      </c>
      <c r="D3007" s="2"/>
      <c r="E3007" s="2" t="s">
        <v>1345</v>
      </c>
      <c r="F3007" s="3" t="n">
        <v>2.7E-005</v>
      </c>
      <c r="G3007" s="3" t="n">
        <f aca="false">SUM($F$2:F3007)</f>
        <v>0.976447</v>
      </c>
      <c r="H3007" s="4"/>
      <c r="I3007" s="5"/>
      <c r="J3007" s="4"/>
      <c r="K3007" s="5"/>
      <c r="L3007" s="6"/>
      <c r="M3007" s="5" t="str">
        <f aca="false">IF(AND(N(K3007)&gt;0,N(L3007)&gt;0),K3007/L3007,"")</f>
        <v/>
      </c>
      <c r="N3007" s="2" t="s">
        <v>1226</v>
      </c>
    </row>
    <row r="3008" customFormat="false" ht="15" hidden="false" customHeight="false" outlineLevel="0" collapsed="false">
      <c r="A3008" s="2" t="n">
        <v>3007</v>
      </c>
      <c r="B3008" s="2" t="s">
        <v>6267</v>
      </c>
      <c r="C3008" s="2" t="s">
        <v>6268</v>
      </c>
      <c r="D3008" s="2"/>
      <c r="E3008" s="2" t="s">
        <v>25</v>
      </c>
      <c r="F3008" s="3" t="n">
        <v>2.7E-005</v>
      </c>
      <c r="G3008" s="3" t="n">
        <f aca="false">SUM($F$2:F3008)</f>
        <v>0.976474</v>
      </c>
      <c r="H3008" s="4"/>
      <c r="I3008" s="5"/>
      <c r="J3008" s="4"/>
      <c r="K3008" s="5"/>
      <c r="L3008" s="6"/>
      <c r="M3008" s="5" t="str">
        <f aca="false">IF(AND(N(K3008)&gt;0,N(L3008)&gt;0),K3008/L3008,"")</f>
        <v/>
      </c>
      <c r="N3008" s="2" t="s">
        <v>1226</v>
      </c>
    </row>
    <row r="3009" customFormat="false" ht="15" hidden="false" customHeight="false" outlineLevel="0" collapsed="false">
      <c r="A3009" s="2" t="n">
        <v>3008</v>
      </c>
      <c r="B3009" s="2" t="s">
        <v>6269</v>
      </c>
      <c r="C3009" s="2" t="s">
        <v>6270</v>
      </c>
      <c r="D3009" s="2"/>
      <c r="E3009" s="2" t="s">
        <v>17</v>
      </c>
      <c r="F3009" s="3" t="n">
        <v>2.7E-005</v>
      </c>
      <c r="G3009" s="3" t="n">
        <f aca="false">SUM($F$2:F3009)</f>
        <v>0.976501</v>
      </c>
      <c r="H3009" s="4"/>
      <c r="I3009" s="5"/>
      <c r="J3009" s="4"/>
      <c r="K3009" s="5"/>
      <c r="L3009" s="6"/>
      <c r="M3009" s="5" t="str">
        <f aca="false">IF(AND(N(K3009)&gt;0,N(L3009)&gt;0),K3009/L3009,"")</f>
        <v/>
      </c>
      <c r="N3009" s="2" t="s">
        <v>1226</v>
      </c>
    </row>
    <row r="3010" customFormat="false" ht="15" hidden="false" customHeight="false" outlineLevel="0" collapsed="false">
      <c r="A3010" s="2" t="n">
        <v>3009</v>
      </c>
      <c r="B3010" s="2" t="s">
        <v>6271</v>
      </c>
      <c r="C3010" s="2" t="s">
        <v>6272</v>
      </c>
      <c r="D3010" s="2"/>
      <c r="E3010" s="2" t="s">
        <v>1345</v>
      </c>
      <c r="F3010" s="3" t="n">
        <v>2.7E-005</v>
      </c>
      <c r="G3010" s="3" t="n">
        <f aca="false">SUM($F$2:F3010)</f>
        <v>0.976528</v>
      </c>
      <c r="H3010" s="4"/>
      <c r="I3010" s="5"/>
      <c r="J3010" s="4"/>
      <c r="K3010" s="5"/>
      <c r="L3010" s="6"/>
      <c r="M3010" s="5" t="str">
        <f aca="false">IF(AND(N(K3010)&gt;0,N(L3010)&gt;0),K3010/L3010,"")</f>
        <v/>
      </c>
      <c r="N3010" s="2" t="s">
        <v>1226</v>
      </c>
    </row>
    <row r="3011" customFormat="false" ht="15" hidden="false" customHeight="false" outlineLevel="0" collapsed="false">
      <c r="A3011" s="2" t="n">
        <v>3010</v>
      </c>
      <c r="B3011" s="2" t="s">
        <v>6273</v>
      </c>
      <c r="C3011" s="2" t="s">
        <v>6274</v>
      </c>
      <c r="D3011" s="2"/>
      <c r="E3011" s="2" t="s">
        <v>334</v>
      </c>
      <c r="F3011" s="3" t="n">
        <v>2.7E-005</v>
      </c>
      <c r="G3011" s="3" t="n">
        <f aca="false">SUM($F$2:F3011)</f>
        <v>0.976555</v>
      </c>
      <c r="H3011" s="4"/>
      <c r="I3011" s="5"/>
      <c r="J3011" s="4"/>
      <c r="K3011" s="5"/>
      <c r="L3011" s="6"/>
      <c r="M3011" s="5" t="str">
        <f aca="false">IF(AND(N(K3011)&gt;0,N(L3011)&gt;0),K3011/L3011,"")</f>
        <v/>
      </c>
      <c r="N3011" s="2" t="s">
        <v>1226</v>
      </c>
    </row>
    <row r="3012" customFormat="false" ht="15" hidden="false" customHeight="false" outlineLevel="0" collapsed="false">
      <c r="A3012" s="2" t="n">
        <v>3011</v>
      </c>
      <c r="B3012" s="2" t="s">
        <v>6275</v>
      </c>
      <c r="C3012" s="2" t="s">
        <v>6276</v>
      </c>
      <c r="D3012" s="2"/>
      <c r="E3012" s="2" t="s">
        <v>1345</v>
      </c>
      <c r="F3012" s="3" t="n">
        <v>2.7E-005</v>
      </c>
      <c r="G3012" s="3" t="n">
        <f aca="false">SUM($F$2:F3012)</f>
        <v>0.976582</v>
      </c>
      <c r="H3012" s="4"/>
      <c r="I3012" s="5"/>
      <c r="J3012" s="4"/>
      <c r="K3012" s="5"/>
      <c r="L3012" s="6"/>
      <c r="M3012" s="5" t="str">
        <f aca="false">IF(AND(N(K3012)&gt;0,N(L3012)&gt;0),K3012/L3012,"")</f>
        <v/>
      </c>
      <c r="N3012" s="2" t="s">
        <v>1226</v>
      </c>
    </row>
    <row r="3013" customFormat="false" ht="15" hidden="false" customHeight="false" outlineLevel="0" collapsed="false">
      <c r="A3013" s="2" t="n">
        <v>3012</v>
      </c>
      <c r="B3013" s="2" t="s">
        <v>6277</v>
      </c>
      <c r="C3013" s="2" t="s">
        <v>6278</v>
      </c>
      <c r="D3013" s="2"/>
      <c r="E3013" s="2" t="s">
        <v>1345</v>
      </c>
      <c r="F3013" s="3" t="n">
        <v>2.7E-005</v>
      </c>
      <c r="G3013" s="3" t="n">
        <f aca="false">SUM($F$2:F3013)</f>
        <v>0.976609</v>
      </c>
      <c r="H3013" s="4"/>
      <c r="I3013" s="5"/>
      <c r="J3013" s="4"/>
      <c r="K3013" s="5"/>
      <c r="L3013" s="6"/>
      <c r="M3013" s="5" t="str">
        <f aca="false">IF(AND(N(K3013)&gt;0,N(L3013)&gt;0),K3013/L3013,"")</f>
        <v/>
      </c>
      <c r="N3013" s="2" t="s">
        <v>1226</v>
      </c>
    </row>
    <row r="3014" customFormat="false" ht="15" hidden="false" customHeight="false" outlineLevel="0" collapsed="false">
      <c r="A3014" s="2" t="n">
        <v>3013</v>
      </c>
      <c r="B3014" s="2" t="s">
        <v>6279</v>
      </c>
      <c r="C3014" s="2" t="s">
        <v>6280</v>
      </c>
      <c r="D3014" s="2"/>
      <c r="E3014" s="2" t="s">
        <v>21</v>
      </c>
      <c r="F3014" s="3" t="n">
        <v>2.7E-005</v>
      </c>
      <c r="G3014" s="3" t="n">
        <f aca="false">SUM($F$2:F3014)</f>
        <v>0.976636</v>
      </c>
      <c r="H3014" s="4"/>
      <c r="I3014" s="5"/>
      <c r="J3014" s="4"/>
      <c r="K3014" s="5"/>
      <c r="L3014" s="6"/>
      <c r="M3014" s="5" t="str">
        <f aca="false">IF(AND(N(K3014)&gt;0,N(L3014)&gt;0),K3014/L3014,"")</f>
        <v/>
      </c>
      <c r="N3014" s="2" t="s">
        <v>1226</v>
      </c>
    </row>
    <row r="3015" customFormat="false" ht="15" hidden="false" customHeight="false" outlineLevel="0" collapsed="false">
      <c r="A3015" s="2" t="n">
        <v>3014</v>
      </c>
      <c r="B3015" s="2" t="s">
        <v>6281</v>
      </c>
      <c r="C3015" s="2" t="s">
        <v>6282</v>
      </c>
      <c r="D3015" s="2"/>
      <c r="E3015" s="2" t="s">
        <v>289</v>
      </c>
      <c r="F3015" s="3" t="n">
        <v>2.7E-005</v>
      </c>
      <c r="G3015" s="3" t="n">
        <f aca="false">SUM($F$2:F3015)</f>
        <v>0.976663</v>
      </c>
      <c r="H3015" s="4"/>
      <c r="I3015" s="5"/>
      <c r="J3015" s="4"/>
      <c r="K3015" s="5"/>
      <c r="L3015" s="6"/>
      <c r="M3015" s="5" t="str">
        <f aca="false">IF(AND(N(K3015)&gt;0,N(L3015)&gt;0),K3015/L3015,"")</f>
        <v/>
      </c>
      <c r="N3015" s="2" t="s">
        <v>1226</v>
      </c>
    </row>
    <row r="3016" customFormat="false" ht="15" hidden="false" customHeight="false" outlineLevel="0" collapsed="false">
      <c r="A3016" s="2" t="n">
        <v>3015</v>
      </c>
      <c r="B3016" s="2" t="s">
        <v>6283</v>
      </c>
      <c r="C3016" s="2" t="s">
        <v>6284</v>
      </c>
      <c r="D3016" s="2"/>
      <c r="E3016" s="2" t="s">
        <v>1215</v>
      </c>
      <c r="F3016" s="3" t="n">
        <v>2.7E-005</v>
      </c>
      <c r="G3016" s="3" t="n">
        <f aca="false">SUM($F$2:F3016)</f>
        <v>0.97669</v>
      </c>
      <c r="H3016" s="4"/>
      <c r="I3016" s="5"/>
      <c r="J3016" s="4"/>
      <c r="K3016" s="5"/>
      <c r="L3016" s="6"/>
      <c r="M3016" s="5" t="str">
        <f aca="false">IF(AND(N(K3016)&gt;0,N(L3016)&gt;0),K3016/L3016,"")</f>
        <v/>
      </c>
      <c r="N3016" s="2" t="s">
        <v>1226</v>
      </c>
    </row>
    <row r="3017" customFormat="false" ht="15" hidden="false" customHeight="false" outlineLevel="0" collapsed="false">
      <c r="A3017" s="2" t="n">
        <v>3016</v>
      </c>
      <c r="B3017" s="2" t="s">
        <v>6285</v>
      </c>
      <c r="C3017" s="2" t="s">
        <v>6286</v>
      </c>
      <c r="D3017" s="2"/>
      <c r="E3017" s="2" t="s">
        <v>1345</v>
      </c>
      <c r="F3017" s="3" t="n">
        <v>2.7E-005</v>
      </c>
      <c r="G3017" s="3" t="n">
        <f aca="false">SUM($F$2:F3017)</f>
        <v>0.976717</v>
      </c>
      <c r="H3017" s="4"/>
      <c r="I3017" s="5"/>
      <c r="J3017" s="4"/>
      <c r="K3017" s="5"/>
      <c r="L3017" s="6"/>
      <c r="M3017" s="5" t="str">
        <f aca="false">IF(AND(N(K3017)&gt;0,N(L3017)&gt;0),K3017/L3017,"")</f>
        <v/>
      </c>
      <c r="N3017" s="2" t="s">
        <v>1226</v>
      </c>
    </row>
    <row r="3018" customFormat="false" ht="15" hidden="false" customHeight="false" outlineLevel="0" collapsed="false">
      <c r="A3018" s="2" t="n">
        <v>3017</v>
      </c>
      <c r="B3018" s="2" t="s">
        <v>6287</v>
      </c>
      <c r="C3018" s="2" t="s">
        <v>6288</v>
      </c>
      <c r="D3018" s="2"/>
      <c r="E3018" s="2" t="s">
        <v>1345</v>
      </c>
      <c r="F3018" s="3" t="n">
        <v>2.7E-005</v>
      </c>
      <c r="G3018" s="3" t="n">
        <f aca="false">SUM($F$2:F3018)</f>
        <v>0.976744</v>
      </c>
      <c r="H3018" s="4"/>
      <c r="I3018" s="5"/>
      <c r="J3018" s="4"/>
      <c r="K3018" s="5"/>
      <c r="L3018" s="6"/>
      <c r="M3018" s="5" t="str">
        <f aca="false">IF(AND(N(K3018)&gt;0,N(L3018)&gt;0),K3018/L3018,"")</f>
        <v/>
      </c>
      <c r="N3018" s="2" t="s">
        <v>1226</v>
      </c>
    </row>
    <row r="3019" customFormat="false" ht="15" hidden="false" customHeight="false" outlineLevel="0" collapsed="false">
      <c r="A3019" s="2" t="n">
        <v>3018</v>
      </c>
      <c r="B3019" s="2" t="s">
        <v>6289</v>
      </c>
      <c r="C3019" s="2" t="s">
        <v>6290</v>
      </c>
      <c r="D3019" s="2"/>
      <c r="E3019" s="2" t="s">
        <v>1295</v>
      </c>
      <c r="F3019" s="3" t="n">
        <v>2.7E-005</v>
      </c>
      <c r="G3019" s="3" t="n">
        <f aca="false">SUM($F$2:F3019)</f>
        <v>0.976771</v>
      </c>
      <c r="H3019" s="4"/>
      <c r="I3019" s="5"/>
      <c r="J3019" s="4"/>
      <c r="K3019" s="5"/>
      <c r="L3019" s="6"/>
      <c r="M3019" s="5" t="str">
        <f aca="false">IF(AND(N(K3019)&gt;0,N(L3019)&gt;0),K3019/L3019,"")</f>
        <v/>
      </c>
      <c r="N3019" s="2" t="s">
        <v>1226</v>
      </c>
    </row>
    <row r="3020" customFormat="false" ht="15" hidden="false" customHeight="false" outlineLevel="0" collapsed="false">
      <c r="A3020" s="2" t="n">
        <v>3019</v>
      </c>
      <c r="B3020" s="2" t="s">
        <v>6291</v>
      </c>
      <c r="C3020" s="2" t="s">
        <v>6292</v>
      </c>
      <c r="D3020" s="2"/>
      <c r="E3020" s="2" t="s">
        <v>1345</v>
      </c>
      <c r="F3020" s="3" t="n">
        <v>2.7E-005</v>
      </c>
      <c r="G3020" s="3" t="n">
        <f aca="false">SUM($F$2:F3020)</f>
        <v>0.976798</v>
      </c>
      <c r="H3020" s="4"/>
      <c r="I3020" s="5"/>
      <c r="J3020" s="4"/>
      <c r="K3020" s="5"/>
      <c r="L3020" s="6"/>
      <c r="M3020" s="5" t="str">
        <f aca="false">IF(AND(N(K3020)&gt;0,N(L3020)&gt;0),K3020/L3020,"")</f>
        <v/>
      </c>
      <c r="N3020" s="2" t="s">
        <v>1226</v>
      </c>
    </row>
    <row r="3021" customFormat="false" ht="15" hidden="false" customHeight="false" outlineLevel="0" collapsed="false">
      <c r="A3021" s="2" t="n">
        <v>3020</v>
      </c>
      <c r="B3021" s="2" t="s">
        <v>6293</v>
      </c>
      <c r="C3021" s="2" t="s">
        <v>6294</v>
      </c>
      <c r="D3021" s="2"/>
      <c r="E3021" s="2" t="s">
        <v>29</v>
      </c>
      <c r="F3021" s="3" t="n">
        <v>2.7E-005</v>
      </c>
      <c r="G3021" s="3" t="n">
        <f aca="false">SUM($F$2:F3021)</f>
        <v>0.976825</v>
      </c>
      <c r="H3021" s="4"/>
      <c r="I3021" s="5"/>
      <c r="J3021" s="4"/>
      <c r="K3021" s="5"/>
      <c r="L3021" s="6"/>
      <c r="M3021" s="5" t="str">
        <f aca="false">IF(AND(N(K3021)&gt;0,N(L3021)&gt;0),K3021/L3021,"")</f>
        <v/>
      </c>
      <c r="N3021" s="2" t="s">
        <v>1226</v>
      </c>
    </row>
    <row r="3022" customFormat="false" ht="15" hidden="false" customHeight="false" outlineLevel="0" collapsed="false">
      <c r="A3022" s="2" t="n">
        <v>3021</v>
      </c>
      <c r="B3022" s="2" t="s">
        <v>6295</v>
      </c>
      <c r="C3022" s="2" t="s">
        <v>6296</v>
      </c>
      <c r="D3022" s="2"/>
      <c r="E3022" s="2" t="s">
        <v>1345</v>
      </c>
      <c r="F3022" s="3" t="n">
        <v>2.7E-005</v>
      </c>
      <c r="G3022" s="3" t="n">
        <f aca="false">SUM($F$2:F3022)</f>
        <v>0.976852</v>
      </c>
      <c r="H3022" s="4"/>
      <c r="I3022" s="5"/>
      <c r="J3022" s="4"/>
      <c r="K3022" s="5"/>
      <c r="L3022" s="6"/>
      <c r="M3022" s="5" t="str">
        <f aca="false">IF(AND(N(K3022)&gt;0,N(L3022)&gt;0),K3022/L3022,"")</f>
        <v/>
      </c>
      <c r="N3022" s="2" t="s">
        <v>1226</v>
      </c>
    </row>
    <row r="3023" customFormat="false" ht="15" hidden="false" customHeight="false" outlineLevel="0" collapsed="false">
      <c r="A3023" s="2" t="n">
        <v>3022</v>
      </c>
      <c r="B3023" s="2" t="s">
        <v>6297</v>
      </c>
      <c r="C3023" s="2" t="s">
        <v>6298</v>
      </c>
      <c r="D3023" s="2"/>
      <c r="E3023" s="2" t="s">
        <v>1345</v>
      </c>
      <c r="F3023" s="3" t="n">
        <v>2.7E-005</v>
      </c>
      <c r="G3023" s="3" t="n">
        <f aca="false">SUM($F$2:F3023)</f>
        <v>0.976879</v>
      </c>
      <c r="H3023" s="4"/>
      <c r="I3023" s="5"/>
      <c r="J3023" s="4"/>
      <c r="K3023" s="5"/>
      <c r="L3023" s="6"/>
      <c r="M3023" s="5" t="str">
        <f aca="false">IF(AND(N(K3023)&gt;0,N(L3023)&gt;0),K3023/L3023,"")</f>
        <v/>
      </c>
      <c r="N3023" s="2" t="s">
        <v>1226</v>
      </c>
    </row>
    <row r="3024" customFormat="false" ht="15" hidden="false" customHeight="false" outlineLevel="0" collapsed="false">
      <c r="A3024" s="2" t="n">
        <v>3023</v>
      </c>
      <c r="B3024" s="2" t="s">
        <v>6299</v>
      </c>
      <c r="C3024" s="2" t="s">
        <v>6300</v>
      </c>
      <c r="D3024" s="2"/>
      <c r="E3024" s="2" t="s">
        <v>1345</v>
      </c>
      <c r="F3024" s="3" t="n">
        <v>2.7E-005</v>
      </c>
      <c r="G3024" s="3" t="n">
        <f aca="false">SUM($F$2:F3024)</f>
        <v>0.976906</v>
      </c>
      <c r="H3024" s="4"/>
      <c r="I3024" s="5"/>
      <c r="J3024" s="4"/>
      <c r="K3024" s="5"/>
      <c r="L3024" s="6"/>
      <c r="M3024" s="5" t="str">
        <f aca="false">IF(AND(N(K3024)&gt;0,N(L3024)&gt;0),K3024/L3024,"")</f>
        <v/>
      </c>
      <c r="N3024" s="2" t="s">
        <v>1226</v>
      </c>
    </row>
    <row r="3025" customFormat="false" ht="15" hidden="false" customHeight="false" outlineLevel="0" collapsed="false">
      <c r="A3025" s="2" t="n">
        <v>3024</v>
      </c>
      <c r="B3025" s="2" t="s">
        <v>6301</v>
      </c>
      <c r="C3025" s="2" t="s">
        <v>6302</v>
      </c>
      <c r="D3025" s="2"/>
      <c r="E3025" s="2" t="s">
        <v>539</v>
      </c>
      <c r="F3025" s="3" t="n">
        <v>2.7E-005</v>
      </c>
      <c r="G3025" s="3" t="n">
        <f aca="false">SUM($F$2:F3025)</f>
        <v>0.976933</v>
      </c>
      <c r="H3025" s="4"/>
      <c r="I3025" s="5"/>
      <c r="J3025" s="4"/>
      <c r="K3025" s="5"/>
      <c r="L3025" s="6"/>
      <c r="M3025" s="5" t="str">
        <f aca="false">IF(AND(N(K3025)&gt;0,N(L3025)&gt;0),K3025/L3025,"")</f>
        <v/>
      </c>
      <c r="N3025" s="2" t="s">
        <v>1226</v>
      </c>
    </row>
    <row r="3026" customFormat="false" ht="15" hidden="false" customHeight="false" outlineLevel="0" collapsed="false">
      <c r="A3026" s="2" t="n">
        <v>3025</v>
      </c>
      <c r="B3026" s="2" t="s">
        <v>6303</v>
      </c>
      <c r="C3026" s="2" t="s">
        <v>6304</v>
      </c>
      <c r="D3026" s="2"/>
      <c r="E3026" s="2" t="s">
        <v>2055</v>
      </c>
      <c r="F3026" s="3" t="n">
        <v>2.7E-005</v>
      </c>
      <c r="G3026" s="3" t="n">
        <f aca="false">SUM($F$2:F3026)</f>
        <v>0.97696</v>
      </c>
      <c r="H3026" s="4"/>
      <c r="I3026" s="5"/>
      <c r="J3026" s="4"/>
      <c r="K3026" s="5"/>
      <c r="L3026" s="6"/>
      <c r="M3026" s="5" t="str">
        <f aca="false">IF(AND(N(K3026)&gt;0,N(L3026)&gt;0),K3026/L3026,"")</f>
        <v/>
      </c>
      <c r="N3026" s="2" t="s">
        <v>1226</v>
      </c>
    </row>
    <row r="3027" customFormat="false" ht="15" hidden="false" customHeight="false" outlineLevel="0" collapsed="false">
      <c r="A3027" s="2" t="n">
        <v>3026</v>
      </c>
      <c r="B3027" s="2" t="s">
        <v>6305</v>
      </c>
      <c r="C3027" s="2" t="s">
        <v>6306</v>
      </c>
      <c r="D3027" s="2"/>
      <c r="E3027" s="2" t="s">
        <v>52</v>
      </c>
      <c r="F3027" s="3" t="n">
        <v>2.7E-005</v>
      </c>
      <c r="G3027" s="3" t="n">
        <f aca="false">SUM($F$2:F3027)</f>
        <v>0.976987</v>
      </c>
      <c r="H3027" s="4"/>
      <c r="I3027" s="5"/>
      <c r="J3027" s="4"/>
      <c r="K3027" s="5"/>
      <c r="L3027" s="6"/>
      <c r="M3027" s="5" t="str">
        <f aca="false">IF(AND(N(K3027)&gt;0,N(L3027)&gt;0),K3027/L3027,"")</f>
        <v/>
      </c>
      <c r="N3027" s="2" t="s">
        <v>1226</v>
      </c>
    </row>
    <row r="3028" customFormat="false" ht="15" hidden="false" customHeight="false" outlineLevel="0" collapsed="false">
      <c r="A3028" s="2" t="n">
        <v>3027</v>
      </c>
      <c r="B3028" s="2" t="s">
        <v>6307</v>
      </c>
      <c r="C3028" s="2" t="s">
        <v>6308</v>
      </c>
      <c r="D3028" s="2"/>
      <c r="E3028" s="2" t="s">
        <v>539</v>
      </c>
      <c r="F3028" s="3" t="n">
        <v>2.7E-005</v>
      </c>
      <c r="G3028" s="3" t="n">
        <f aca="false">SUM($F$2:F3028)</f>
        <v>0.977014</v>
      </c>
      <c r="H3028" s="4"/>
      <c r="I3028" s="5"/>
      <c r="J3028" s="4"/>
      <c r="K3028" s="5"/>
      <c r="L3028" s="6"/>
      <c r="M3028" s="5" t="str">
        <f aca="false">IF(AND(N(K3028)&gt;0,N(L3028)&gt;0),K3028/L3028,"")</f>
        <v/>
      </c>
      <c r="N3028" s="2" t="s">
        <v>1226</v>
      </c>
    </row>
    <row r="3029" customFormat="false" ht="15" hidden="false" customHeight="false" outlineLevel="0" collapsed="false">
      <c r="A3029" s="2" t="n">
        <v>3028</v>
      </c>
      <c r="B3029" s="2" t="s">
        <v>6309</v>
      </c>
      <c r="C3029" s="2" t="s">
        <v>6310</v>
      </c>
      <c r="D3029" s="2"/>
      <c r="E3029" s="2" t="s">
        <v>52</v>
      </c>
      <c r="F3029" s="3" t="n">
        <v>2.7E-005</v>
      </c>
      <c r="G3029" s="3" t="n">
        <f aca="false">SUM($F$2:F3029)</f>
        <v>0.977041</v>
      </c>
      <c r="H3029" s="4"/>
      <c r="I3029" s="5"/>
      <c r="J3029" s="4"/>
      <c r="K3029" s="5"/>
      <c r="L3029" s="6"/>
      <c r="M3029" s="5" t="str">
        <f aca="false">IF(AND(N(K3029)&gt;0,N(L3029)&gt;0),K3029/L3029,"")</f>
        <v/>
      </c>
      <c r="N3029" s="2" t="s">
        <v>1226</v>
      </c>
    </row>
    <row r="3030" customFormat="false" ht="15" hidden="false" customHeight="false" outlineLevel="0" collapsed="false">
      <c r="A3030" s="2" t="n">
        <v>3029</v>
      </c>
      <c r="B3030" s="2" t="s">
        <v>6311</v>
      </c>
      <c r="C3030" s="2" t="s">
        <v>6312</v>
      </c>
      <c r="D3030" s="2"/>
      <c r="E3030" s="2" t="s">
        <v>289</v>
      </c>
      <c r="F3030" s="3" t="n">
        <v>2.7E-005</v>
      </c>
      <c r="G3030" s="3" t="n">
        <f aca="false">SUM($F$2:F3030)</f>
        <v>0.977068</v>
      </c>
      <c r="H3030" s="4"/>
      <c r="I3030" s="5"/>
      <c r="J3030" s="4"/>
      <c r="K3030" s="5"/>
      <c r="L3030" s="6"/>
      <c r="M3030" s="5" t="str">
        <f aca="false">IF(AND(N(K3030)&gt;0,N(L3030)&gt;0),K3030/L3030,"")</f>
        <v/>
      </c>
      <c r="N3030" s="2" t="s">
        <v>1226</v>
      </c>
    </row>
    <row r="3031" customFormat="false" ht="15" hidden="false" customHeight="false" outlineLevel="0" collapsed="false">
      <c r="A3031" s="2" t="n">
        <v>3030</v>
      </c>
      <c r="B3031" s="2" t="s">
        <v>6313</v>
      </c>
      <c r="C3031" s="2" t="s">
        <v>6314</v>
      </c>
      <c r="D3031" s="2"/>
      <c r="E3031" s="2" t="s">
        <v>29</v>
      </c>
      <c r="F3031" s="3" t="n">
        <v>2.7E-005</v>
      </c>
      <c r="G3031" s="3" t="n">
        <f aca="false">SUM($F$2:F3031)</f>
        <v>0.977095</v>
      </c>
      <c r="H3031" s="4"/>
      <c r="I3031" s="5"/>
      <c r="J3031" s="4"/>
      <c r="K3031" s="5"/>
      <c r="L3031" s="6"/>
      <c r="M3031" s="5" t="str">
        <f aca="false">IF(AND(N(K3031)&gt;0,N(L3031)&gt;0),K3031/L3031,"")</f>
        <v/>
      </c>
      <c r="N3031" s="2" t="s">
        <v>1226</v>
      </c>
    </row>
    <row r="3032" customFormat="false" ht="15" hidden="false" customHeight="false" outlineLevel="0" collapsed="false">
      <c r="A3032" s="2" t="n">
        <v>3031</v>
      </c>
      <c r="B3032" s="2" t="s">
        <v>6315</v>
      </c>
      <c r="C3032" s="2" t="s">
        <v>6316</v>
      </c>
      <c r="D3032" s="2"/>
      <c r="E3032" s="2" t="s">
        <v>1345</v>
      </c>
      <c r="F3032" s="3" t="n">
        <v>2.7E-005</v>
      </c>
      <c r="G3032" s="3" t="n">
        <f aca="false">SUM($F$2:F3032)</f>
        <v>0.977122</v>
      </c>
      <c r="H3032" s="4"/>
      <c r="I3032" s="5"/>
      <c r="J3032" s="4"/>
      <c r="K3032" s="5"/>
      <c r="L3032" s="6"/>
      <c r="M3032" s="5" t="str">
        <f aca="false">IF(AND(N(K3032)&gt;0,N(L3032)&gt;0),K3032/L3032,"")</f>
        <v/>
      </c>
      <c r="N3032" s="2" t="s">
        <v>1226</v>
      </c>
    </row>
    <row r="3033" customFormat="false" ht="15" hidden="false" customHeight="false" outlineLevel="0" collapsed="false">
      <c r="A3033" s="2" t="n">
        <v>3032</v>
      </c>
      <c r="B3033" s="2" t="s">
        <v>6317</v>
      </c>
      <c r="C3033" s="2" t="s">
        <v>6318</v>
      </c>
      <c r="D3033" s="2"/>
      <c r="E3033" s="2" t="s">
        <v>25</v>
      </c>
      <c r="F3033" s="3" t="n">
        <v>2.7E-005</v>
      </c>
      <c r="G3033" s="3" t="n">
        <f aca="false">SUM($F$2:F3033)</f>
        <v>0.977149</v>
      </c>
      <c r="H3033" s="4"/>
      <c r="I3033" s="5"/>
      <c r="J3033" s="4"/>
      <c r="K3033" s="5"/>
      <c r="L3033" s="6"/>
      <c r="M3033" s="5" t="str">
        <f aca="false">IF(AND(N(K3033)&gt;0,N(L3033)&gt;0),K3033/L3033,"")</f>
        <v/>
      </c>
      <c r="N3033" s="2" t="s">
        <v>1226</v>
      </c>
    </row>
    <row r="3034" customFormat="false" ht="15" hidden="false" customHeight="false" outlineLevel="0" collapsed="false">
      <c r="A3034" s="2" t="n">
        <v>3033</v>
      </c>
      <c r="B3034" s="2" t="s">
        <v>6319</v>
      </c>
      <c r="C3034" s="2" t="s">
        <v>6320</v>
      </c>
      <c r="D3034" s="2"/>
      <c r="E3034" s="2" t="s">
        <v>33</v>
      </c>
      <c r="F3034" s="3" t="n">
        <v>2.7E-005</v>
      </c>
      <c r="G3034" s="3" t="n">
        <f aca="false">SUM($F$2:F3034)</f>
        <v>0.977176</v>
      </c>
      <c r="H3034" s="4"/>
      <c r="I3034" s="5"/>
      <c r="J3034" s="4"/>
      <c r="K3034" s="5"/>
      <c r="L3034" s="6"/>
      <c r="M3034" s="5" t="str">
        <f aca="false">IF(AND(N(K3034)&gt;0,N(L3034)&gt;0),K3034/L3034,"")</f>
        <v/>
      </c>
      <c r="N3034" s="2" t="s">
        <v>1226</v>
      </c>
    </row>
    <row r="3035" customFormat="false" ht="15" hidden="false" customHeight="false" outlineLevel="0" collapsed="false">
      <c r="A3035" s="2" t="n">
        <v>3034</v>
      </c>
      <c r="B3035" s="2" t="s">
        <v>6321</v>
      </c>
      <c r="C3035" s="2" t="s">
        <v>6322</v>
      </c>
      <c r="D3035" s="2"/>
      <c r="E3035" s="2" t="s">
        <v>1284</v>
      </c>
      <c r="F3035" s="3" t="n">
        <v>2.7E-005</v>
      </c>
      <c r="G3035" s="3" t="n">
        <f aca="false">SUM($F$2:F3035)</f>
        <v>0.977203</v>
      </c>
      <c r="H3035" s="4"/>
      <c r="I3035" s="5"/>
      <c r="J3035" s="4"/>
      <c r="K3035" s="5"/>
      <c r="L3035" s="6"/>
      <c r="M3035" s="5" t="str">
        <f aca="false">IF(AND(N(K3035)&gt;0,N(L3035)&gt;0),K3035/L3035,"")</f>
        <v/>
      </c>
      <c r="N3035" s="2" t="s">
        <v>1226</v>
      </c>
    </row>
    <row r="3036" customFormat="false" ht="15" hidden="false" customHeight="false" outlineLevel="0" collapsed="false">
      <c r="A3036" s="2" t="n">
        <v>3035</v>
      </c>
      <c r="B3036" s="2" t="s">
        <v>6323</v>
      </c>
      <c r="C3036" s="2" t="s">
        <v>6324</v>
      </c>
      <c r="D3036" s="2"/>
      <c r="E3036" s="2" t="s">
        <v>826</v>
      </c>
      <c r="F3036" s="3" t="n">
        <v>2.7E-005</v>
      </c>
      <c r="G3036" s="3" t="n">
        <f aca="false">SUM($F$2:F3036)</f>
        <v>0.97723</v>
      </c>
      <c r="H3036" s="4"/>
      <c r="I3036" s="5"/>
      <c r="J3036" s="4"/>
      <c r="K3036" s="5"/>
      <c r="L3036" s="6"/>
      <c r="M3036" s="5" t="str">
        <f aca="false">IF(AND(N(K3036)&gt;0,N(L3036)&gt;0),K3036/L3036,"")</f>
        <v/>
      </c>
      <c r="N3036" s="2" t="s">
        <v>1226</v>
      </c>
    </row>
    <row r="3037" customFormat="false" ht="15" hidden="false" customHeight="false" outlineLevel="0" collapsed="false">
      <c r="A3037" s="2" t="n">
        <v>3036</v>
      </c>
      <c r="B3037" s="2" t="s">
        <v>6325</v>
      </c>
      <c r="C3037" s="2" t="s">
        <v>6326</v>
      </c>
      <c r="D3037" s="2"/>
      <c r="E3037" s="2" t="s">
        <v>1345</v>
      </c>
      <c r="F3037" s="3" t="n">
        <v>2.7E-005</v>
      </c>
      <c r="G3037" s="3" t="n">
        <f aca="false">SUM($F$2:F3037)</f>
        <v>0.977257</v>
      </c>
      <c r="H3037" s="4"/>
      <c r="I3037" s="5"/>
      <c r="J3037" s="4"/>
      <c r="K3037" s="5"/>
      <c r="L3037" s="6"/>
      <c r="M3037" s="5" t="str">
        <f aca="false">IF(AND(N(K3037)&gt;0,N(L3037)&gt;0),K3037/L3037,"")</f>
        <v/>
      </c>
      <c r="N3037" s="2" t="s">
        <v>1226</v>
      </c>
    </row>
    <row r="3038" customFormat="false" ht="15" hidden="false" customHeight="false" outlineLevel="0" collapsed="false">
      <c r="A3038" s="2" t="n">
        <v>3037</v>
      </c>
      <c r="B3038" s="2" t="s">
        <v>6327</v>
      </c>
      <c r="C3038" s="2" t="s">
        <v>6328</v>
      </c>
      <c r="D3038" s="2"/>
      <c r="E3038" s="2" t="s">
        <v>296</v>
      </c>
      <c r="F3038" s="3" t="n">
        <v>2.7E-005</v>
      </c>
      <c r="G3038" s="3" t="n">
        <f aca="false">SUM($F$2:F3038)</f>
        <v>0.977284</v>
      </c>
      <c r="H3038" s="4"/>
      <c r="I3038" s="5"/>
      <c r="J3038" s="4"/>
      <c r="K3038" s="5"/>
      <c r="L3038" s="6"/>
      <c r="M3038" s="5" t="str">
        <f aca="false">IF(AND(N(K3038)&gt;0,N(L3038)&gt;0),K3038/L3038,"")</f>
        <v/>
      </c>
      <c r="N3038" s="2" t="s">
        <v>1226</v>
      </c>
    </row>
    <row r="3039" customFormat="false" ht="15" hidden="false" customHeight="false" outlineLevel="0" collapsed="false">
      <c r="A3039" s="2" t="n">
        <v>3038</v>
      </c>
      <c r="B3039" s="2" t="s">
        <v>6329</v>
      </c>
      <c r="C3039" s="2" t="s">
        <v>6330</v>
      </c>
      <c r="D3039" s="2"/>
      <c r="E3039" s="2" t="s">
        <v>1345</v>
      </c>
      <c r="F3039" s="3" t="n">
        <v>2.7E-005</v>
      </c>
      <c r="G3039" s="3" t="n">
        <f aca="false">SUM($F$2:F3039)</f>
        <v>0.977311</v>
      </c>
      <c r="H3039" s="4"/>
      <c r="I3039" s="5"/>
      <c r="J3039" s="4"/>
      <c r="K3039" s="5"/>
      <c r="L3039" s="6"/>
      <c r="M3039" s="5" t="str">
        <f aca="false">IF(AND(N(K3039)&gt;0,N(L3039)&gt;0),K3039/L3039,"")</f>
        <v/>
      </c>
      <c r="N3039" s="2" t="s">
        <v>1226</v>
      </c>
    </row>
    <row r="3040" customFormat="false" ht="15" hidden="false" customHeight="false" outlineLevel="0" collapsed="false">
      <c r="A3040" s="2" t="n">
        <v>3039</v>
      </c>
      <c r="B3040" s="2" t="s">
        <v>6331</v>
      </c>
      <c r="C3040" s="2" t="s">
        <v>6332</v>
      </c>
      <c r="D3040" s="2"/>
      <c r="E3040" s="2" t="s">
        <v>25</v>
      </c>
      <c r="F3040" s="3" t="n">
        <v>2.7E-005</v>
      </c>
      <c r="G3040" s="3" t="n">
        <f aca="false">SUM($F$2:F3040)</f>
        <v>0.977338</v>
      </c>
      <c r="H3040" s="4"/>
      <c r="I3040" s="5"/>
      <c r="J3040" s="4"/>
      <c r="K3040" s="5"/>
      <c r="L3040" s="6"/>
      <c r="M3040" s="5" t="str">
        <f aca="false">IF(AND(N(K3040)&gt;0,N(L3040)&gt;0),K3040/L3040,"")</f>
        <v/>
      </c>
      <c r="N3040" s="2" t="s">
        <v>1226</v>
      </c>
    </row>
    <row r="3041" customFormat="false" ht="15" hidden="false" customHeight="false" outlineLevel="0" collapsed="false">
      <c r="A3041" s="2" t="n">
        <v>3040</v>
      </c>
      <c r="B3041" s="2" t="s">
        <v>6333</v>
      </c>
      <c r="C3041" s="2" t="s">
        <v>6334</v>
      </c>
      <c r="D3041" s="2"/>
      <c r="E3041" s="2" t="s">
        <v>43</v>
      </c>
      <c r="F3041" s="3" t="n">
        <v>2.7E-005</v>
      </c>
      <c r="G3041" s="3" t="n">
        <f aca="false">SUM($F$2:F3041)</f>
        <v>0.977365</v>
      </c>
      <c r="H3041" s="4"/>
      <c r="I3041" s="5"/>
      <c r="J3041" s="4"/>
      <c r="K3041" s="5"/>
      <c r="L3041" s="6"/>
      <c r="M3041" s="5" t="str">
        <f aca="false">IF(AND(N(K3041)&gt;0,N(L3041)&gt;0),K3041/L3041,"")</f>
        <v/>
      </c>
      <c r="N3041" s="2" t="s">
        <v>1226</v>
      </c>
    </row>
    <row r="3042" customFormat="false" ht="15" hidden="false" customHeight="false" outlineLevel="0" collapsed="false">
      <c r="A3042" s="2" t="n">
        <v>3041</v>
      </c>
      <c r="B3042" s="2" t="s">
        <v>6335</v>
      </c>
      <c r="C3042" s="2" t="s">
        <v>6336</v>
      </c>
      <c r="D3042" s="2"/>
      <c r="E3042" s="2" t="s">
        <v>29</v>
      </c>
      <c r="F3042" s="3" t="n">
        <v>2.7E-005</v>
      </c>
      <c r="G3042" s="3" t="n">
        <f aca="false">SUM($F$2:F3042)</f>
        <v>0.977392</v>
      </c>
      <c r="H3042" s="4"/>
      <c r="I3042" s="5"/>
      <c r="J3042" s="4"/>
      <c r="K3042" s="5"/>
      <c r="L3042" s="6"/>
      <c r="M3042" s="5" t="str">
        <f aca="false">IF(AND(N(K3042)&gt;0,N(L3042)&gt;0),K3042/L3042,"")</f>
        <v/>
      </c>
      <c r="N3042" s="2" t="s">
        <v>1226</v>
      </c>
    </row>
    <row r="3043" customFormat="false" ht="15" hidden="false" customHeight="false" outlineLevel="0" collapsed="false">
      <c r="A3043" s="2" t="n">
        <v>3042</v>
      </c>
      <c r="B3043" s="2" t="s">
        <v>6337</v>
      </c>
      <c r="C3043" s="2" t="s">
        <v>6338</v>
      </c>
      <c r="D3043" s="2"/>
      <c r="E3043" s="2" t="s">
        <v>52</v>
      </c>
      <c r="F3043" s="3" t="n">
        <v>2.6E-005</v>
      </c>
      <c r="G3043" s="3" t="n">
        <f aca="false">SUM($F$2:F3043)</f>
        <v>0.977418</v>
      </c>
      <c r="H3043" s="4"/>
      <c r="I3043" s="5"/>
      <c r="J3043" s="4"/>
      <c r="K3043" s="5"/>
      <c r="L3043" s="6"/>
      <c r="M3043" s="5" t="str">
        <f aca="false">IF(AND(N(K3043)&gt;0,N(L3043)&gt;0),K3043/L3043,"")</f>
        <v/>
      </c>
      <c r="N3043" s="2" t="s">
        <v>1226</v>
      </c>
    </row>
    <row r="3044" customFormat="false" ht="15" hidden="false" customHeight="false" outlineLevel="0" collapsed="false">
      <c r="A3044" s="2" t="n">
        <v>3043</v>
      </c>
      <c r="B3044" s="2" t="s">
        <v>6339</v>
      </c>
      <c r="C3044" s="2" t="s">
        <v>6340</v>
      </c>
      <c r="D3044" s="2"/>
      <c r="E3044" s="2" t="s">
        <v>289</v>
      </c>
      <c r="F3044" s="3" t="n">
        <v>2.6E-005</v>
      </c>
      <c r="G3044" s="3" t="n">
        <f aca="false">SUM($F$2:F3044)</f>
        <v>0.977444</v>
      </c>
      <c r="H3044" s="4"/>
      <c r="I3044" s="5"/>
      <c r="J3044" s="4"/>
      <c r="K3044" s="5"/>
      <c r="L3044" s="6"/>
      <c r="M3044" s="5" t="str">
        <f aca="false">IF(AND(N(K3044)&gt;0,N(L3044)&gt;0),K3044/L3044,"")</f>
        <v/>
      </c>
      <c r="N3044" s="2" t="s">
        <v>1226</v>
      </c>
    </row>
    <row r="3045" customFormat="false" ht="15" hidden="false" customHeight="false" outlineLevel="0" collapsed="false">
      <c r="A3045" s="2" t="n">
        <v>3044</v>
      </c>
      <c r="B3045" s="2" t="s">
        <v>6341</v>
      </c>
      <c r="C3045" s="2" t="s">
        <v>6342</v>
      </c>
      <c r="D3045" s="2"/>
      <c r="E3045" s="2" t="s">
        <v>52</v>
      </c>
      <c r="F3045" s="3" t="n">
        <v>2.6E-005</v>
      </c>
      <c r="G3045" s="3" t="n">
        <f aca="false">SUM($F$2:F3045)</f>
        <v>0.97747</v>
      </c>
      <c r="H3045" s="4"/>
      <c r="I3045" s="5"/>
      <c r="J3045" s="4"/>
      <c r="K3045" s="5"/>
      <c r="L3045" s="6"/>
      <c r="M3045" s="5" t="str">
        <f aca="false">IF(AND(N(K3045)&gt;0,N(L3045)&gt;0),K3045/L3045,"")</f>
        <v/>
      </c>
      <c r="N3045" s="2" t="s">
        <v>1226</v>
      </c>
    </row>
    <row r="3046" customFormat="false" ht="15" hidden="false" customHeight="false" outlineLevel="0" collapsed="false">
      <c r="A3046" s="2" t="n">
        <v>3045</v>
      </c>
      <c r="B3046" s="2" t="s">
        <v>6343</v>
      </c>
      <c r="C3046" s="2" t="s">
        <v>6344</v>
      </c>
      <c r="D3046" s="2"/>
      <c r="E3046" s="2" t="s">
        <v>1345</v>
      </c>
      <c r="F3046" s="3" t="n">
        <v>2.6E-005</v>
      </c>
      <c r="G3046" s="3" t="n">
        <f aca="false">SUM($F$2:F3046)</f>
        <v>0.977496</v>
      </c>
      <c r="H3046" s="4"/>
      <c r="I3046" s="5"/>
      <c r="J3046" s="4"/>
      <c r="K3046" s="5"/>
      <c r="L3046" s="6"/>
      <c r="M3046" s="5" t="str">
        <f aca="false">IF(AND(N(K3046)&gt;0,N(L3046)&gt;0),K3046/L3046,"")</f>
        <v/>
      </c>
      <c r="N3046" s="2" t="s">
        <v>1226</v>
      </c>
    </row>
    <row r="3047" customFormat="false" ht="15" hidden="false" customHeight="false" outlineLevel="0" collapsed="false">
      <c r="A3047" s="2" t="n">
        <v>3046</v>
      </c>
      <c r="B3047" s="2" t="s">
        <v>6345</v>
      </c>
      <c r="C3047" s="2" t="s">
        <v>6346</v>
      </c>
      <c r="D3047" s="2"/>
      <c r="E3047" s="2" t="s">
        <v>539</v>
      </c>
      <c r="F3047" s="3" t="n">
        <v>2.6E-005</v>
      </c>
      <c r="G3047" s="3" t="n">
        <f aca="false">SUM($F$2:F3047)</f>
        <v>0.977522</v>
      </c>
      <c r="H3047" s="4"/>
      <c r="I3047" s="5"/>
      <c r="J3047" s="4"/>
      <c r="K3047" s="5"/>
      <c r="L3047" s="6"/>
      <c r="M3047" s="5" t="str">
        <f aca="false">IF(AND(N(K3047)&gt;0,N(L3047)&gt;0),K3047/L3047,"")</f>
        <v/>
      </c>
      <c r="N3047" s="2" t="s">
        <v>1226</v>
      </c>
    </row>
    <row r="3048" customFormat="false" ht="15" hidden="false" customHeight="false" outlineLevel="0" collapsed="false">
      <c r="A3048" s="2" t="n">
        <v>3047</v>
      </c>
      <c r="B3048" s="2" t="s">
        <v>6347</v>
      </c>
      <c r="C3048" s="2" t="s">
        <v>6348</v>
      </c>
      <c r="D3048" s="2"/>
      <c r="E3048" s="2" t="s">
        <v>334</v>
      </c>
      <c r="F3048" s="3" t="n">
        <v>2.6E-005</v>
      </c>
      <c r="G3048" s="3" t="n">
        <f aca="false">SUM($F$2:F3048)</f>
        <v>0.977548</v>
      </c>
      <c r="H3048" s="4"/>
      <c r="I3048" s="5"/>
      <c r="J3048" s="4"/>
      <c r="K3048" s="5"/>
      <c r="L3048" s="6"/>
      <c r="M3048" s="5" t="str">
        <f aca="false">IF(AND(N(K3048)&gt;0,N(L3048)&gt;0),K3048/L3048,"")</f>
        <v/>
      </c>
      <c r="N3048" s="2" t="s">
        <v>1226</v>
      </c>
    </row>
    <row r="3049" customFormat="false" ht="15" hidden="false" customHeight="false" outlineLevel="0" collapsed="false">
      <c r="A3049" s="2" t="n">
        <v>3048</v>
      </c>
      <c r="B3049" s="2" t="s">
        <v>6349</v>
      </c>
      <c r="C3049" s="2" t="s">
        <v>6350</v>
      </c>
      <c r="D3049" s="2"/>
      <c r="E3049" s="2" t="s">
        <v>25</v>
      </c>
      <c r="F3049" s="3" t="n">
        <v>2.6E-005</v>
      </c>
      <c r="G3049" s="3" t="n">
        <f aca="false">SUM($F$2:F3049)</f>
        <v>0.977574</v>
      </c>
      <c r="H3049" s="4"/>
      <c r="I3049" s="5"/>
      <c r="J3049" s="4"/>
      <c r="K3049" s="5"/>
      <c r="L3049" s="6"/>
      <c r="M3049" s="5" t="str">
        <f aca="false">IF(AND(N(K3049)&gt;0,N(L3049)&gt;0),K3049/L3049,"")</f>
        <v/>
      </c>
      <c r="N3049" s="2" t="s">
        <v>1226</v>
      </c>
    </row>
    <row r="3050" customFormat="false" ht="15" hidden="false" customHeight="false" outlineLevel="0" collapsed="false">
      <c r="A3050" s="2" t="n">
        <v>3049</v>
      </c>
      <c r="B3050" s="2" t="s">
        <v>6351</v>
      </c>
      <c r="C3050" s="2" t="s">
        <v>6352</v>
      </c>
      <c r="D3050" s="2"/>
      <c r="E3050" s="2" t="s">
        <v>1345</v>
      </c>
      <c r="F3050" s="3" t="n">
        <v>2.6E-005</v>
      </c>
      <c r="G3050" s="3" t="n">
        <f aca="false">SUM($F$2:F3050)</f>
        <v>0.9776</v>
      </c>
      <c r="H3050" s="4"/>
      <c r="I3050" s="5"/>
      <c r="J3050" s="4"/>
      <c r="K3050" s="5"/>
      <c r="L3050" s="6"/>
      <c r="M3050" s="5" t="str">
        <f aca="false">IF(AND(N(K3050)&gt;0,N(L3050)&gt;0),K3050/L3050,"")</f>
        <v/>
      </c>
      <c r="N3050" s="2" t="s">
        <v>1226</v>
      </c>
    </row>
    <row r="3051" customFormat="false" ht="15" hidden="false" customHeight="false" outlineLevel="0" collapsed="false">
      <c r="A3051" s="2" t="n">
        <v>3050</v>
      </c>
      <c r="B3051" s="2" t="s">
        <v>6353</v>
      </c>
      <c r="C3051" s="2" t="s">
        <v>6354</v>
      </c>
      <c r="D3051" s="2"/>
      <c r="E3051" s="2" t="s">
        <v>1345</v>
      </c>
      <c r="F3051" s="3" t="n">
        <v>2.6E-005</v>
      </c>
      <c r="G3051" s="3" t="n">
        <f aca="false">SUM($F$2:F3051)</f>
        <v>0.977626</v>
      </c>
      <c r="H3051" s="4"/>
      <c r="I3051" s="5"/>
      <c r="J3051" s="4"/>
      <c r="K3051" s="5"/>
      <c r="L3051" s="6"/>
      <c r="M3051" s="5" t="str">
        <f aca="false">IF(AND(N(K3051)&gt;0,N(L3051)&gt;0),K3051/L3051,"")</f>
        <v/>
      </c>
      <c r="N3051" s="2" t="s">
        <v>1226</v>
      </c>
    </row>
    <row r="3052" customFormat="false" ht="15" hidden="false" customHeight="false" outlineLevel="0" collapsed="false">
      <c r="A3052" s="2" t="n">
        <v>3051</v>
      </c>
      <c r="B3052" s="2" t="s">
        <v>6355</v>
      </c>
      <c r="C3052" s="2" t="s">
        <v>6356</v>
      </c>
      <c r="D3052" s="2"/>
      <c r="E3052" s="2" t="s">
        <v>25</v>
      </c>
      <c r="F3052" s="3" t="n">
        <v>2.6E-005</v>
      </c>
      <c r="G3052" s="3" t="n">
        <f aca="false">SUM($F$2:F3052)</f>
        <v>0.977652</v>
      </c>
      <c r="H3052" s="4"/>
      <c r="I3052" s="5"/>
      <c r="J3052" s="4"/>
      <c r="K3052" s="5"/>
      <c r="L3052" s="6"/>
      <c r="M3052" s="5" t="str">
        <f aca="false">IF(AND(N(K3052)&gt;0,N(L3052)&gt;0),K3052/L3052,"")</f>
        <v/>
      </c>
      <c r="N3052" s="2" t="s">
        <v>1226</v>
      </c>
    </row>
    <row r="3053" customFormat="false" ht="15" hidden="false" customHeight="false" outlineLevel="0" collapsed="false">
      <c r="A3053" s="2" t="n">
        <v>3052</v>
      </c>
      <c r="B3053" s="2" t="s">
        <v>6357</v>
      </c>
      <c r="C3053" s="2" t="s">
        <v>6358</v>
      </c>
      <c r="D3053" s="2"/>
      <c r="E3053" s="2" t="s">
        <v>29</v>
      </c>
      <c r="F3053" s="3" t="n">
        <v>2.6E-005</v>
      </c>
      <c r="G3053" s="3" t="n">
        <f aca="false">SUM($F$2:F3053)</f>
        <v>0.977678</v>
      </c>
      <c r="H3053" s="4"/>
      <c r="I3053" s="5"/>
      <c r="J3053" s="4"/>
      <c r="K3053" s="5"/>
      <c r="L3053" s="6"/>
      <c r="M3053" s="5" t="str">
        <f aca="false">IF(AND(N(K3053)&gt;0,N(L3053)&gt;0),K3053/L3053,"")</f>
        <v/>
      </c>
      <c r="N3053" s="2" t="s">
        <v>1226</v>
      </c>
    </row>
    <row r="3054" customFormat="false" ht="15" hidden="false" customHeight="false" outlineLevel="0" collapsed="false">
      <c r="A3054" s="2" t="n">
        <v>3053</v>
      </c>
      <c r="B3054" s="2" t="s">
        <v>6359</v>
      </c>
      <c r="C3054" s="2" t="s">
        <v>6360</v>
      </c>
      <c r="D3054" s="2"/>
      <c r="E3054" s="2" t="s">
        <v>1345</v>
      </c>
      <c r="F3054" s="3" t="n">
        <v>2.6E-005</v>
      </c>
      <c r="G3054" s="3" t="n">
        <f aca="false">SUM($F$2:F3054)</f>
        <v>0.977704</v>
      </c>
      <c r="H3054" s="4"/>
      <c r="I3054" s="5"/>
      <c r="J3054" s="4"/>
      <c r="K3054" s="5"/>
      <c r="L3054" s="6"/>
      <c r="M3054" s="5" t="str">
        <f aca="false">IF(AND(N(K3054)&gt;0,N(L3054)&gt;0),K3054/L3054,"")</f>
        <v/>
      </c>
      <c r="N3054" s="2" t="s">
        <v>1226</v>
      </c>
    </row>
    <row r="3055" customFormat="false" ht="15" hidden="false" customHeight="false" outlineLevel="0" collapsed="false">
      <c r="A3055" s="2" t="n">
        <v>3054</v>
      </c>
      <c r="B3055" s="2" t="s">
        <v>6361</v>
      </c>
      <c r="C3055" s="2" t="s">
        <v>6362</v>
      </c>
      <c r="D3055" s="2"/>
      <c r="E3055" s="2" t="s">
        <v>1345</v>
      </c>
      <c r="F3055" s="3" t="n">
        <v>2.6E-005</v>
      </c>
      <c r="G3055" s="3" t="n">
        <f aca="false">SUM($F$2:F3055)</f>
        <v>0.97773</v>
      </c>
      <c r="H3055" s="4"/>
      <c r="I3055" s="5"/>
      <c r="J3055" s="4"/>
      <c r="K3055" s="5"/>
      <c r="L3055" s="6"/>
      <c r="M3055" s="5" t="str">
        <f aca="false">IF(AND(N(K3055)&gt;0,N(L3055)&gt;0),K3055/L3055,"")</f>
        <v/>
      </c>
      <c r="N3055" s="2" t="s">
        <v>1226</v>
      </c>
    </row>
    <row r="3056" customFormat="false" ht="15" hidden="false" customHeight="false" outlineLevel="0" collapsed="false">
      <c r="A3056" s="2" t="n">
        <v>3055</v>
      </c>
      <c r="B3056" s="2" t="s">
        <v>6363</v>
      </c>
      <c r="C3056" s="2" t="s">
        <v>6364</v>
      </c>
      <c r="D3056" s="2"/>
      <c r="E3056" s="2" t="s">
        <v>199</v>
      </c>
      <c r="F3056" s="3" t="n">
        <v>2.6E-005</v>
      </c>
      <c r="G3056" s="3" t="n">
        <f aca="false">SUM($F$2:F3056)</f>
        <v>0.977756</v>
      </c>
      <c r="H3056" s="4"/>
      <c r="I3056" s="5"/>
      <c r="J3056" s="4"/>
      <c r="K3056" s="5"/>
      <c r="L3056" s="6"/>
      <c r="M3056" s="5" t="str">
        <f aca="false">IF(AND(N(K3056)&gt;0,N(L3056)&gt;0),K3056/L3056,"")</f>
        <v/>
      </c>
      <c r="N3056" s="2" t="s">
        <v>1226</v>
      </c>
    </row>
    <row r="3057" customFormat="false" ht="15" hidden="false" customHeight="false" outlineLevel="0" collapsed="false">
      <c r="A3057" s="2" t="n">
        <v>3056</v>
      </c>
      <c r="B3057" s="2" t="s">
        <v>6365</v>
      </c>
      <c r="C3057" s="2" t="s">
        <v>6366</v>
      </c>
      <c r="D3057" s="2"/>
      <c r="E3057" s="2" t="s">
        <v>33</v>
      </c>
      <c r="F3057" s="3" t="n">
        <v>2.6E-005</v>
      </c>
      <c r="G3057" s="3" t="n">
        <f aca="false">SUM($F$2:F3057)</f>
        <v>0.977782</v>
      </c>
      <c r="H3057" s="4"/>
      <c r="I3057" s="5"/>
      <c r="J3057" s="4"/>
      <c r="K3057" s="5"/>
      <c r="L3057" s="6"/>
      <c r="M3057" s="5" t="str">
        <f aca="false">IF(AND(N(K3057)&gt;0,N(L3057)&gt;0),K3057/L3057,"")</f>
        <v/>
      </c>
      <c r="N3057" s="2" t="s">
        <v>1226</v>
      </c>
    </row>
    <row r="3058" customFormat="false" ht="15" hidden="false" customHeight="false" outlineLevel="0" collapsed="false">
      <c r="A3058" s="2" t="n">
        <v>3057</v>
      </c>
      <c r="B3058" s="2" t="s">
        <v>6367</v>
      </c>
      <c r="C3058" s="2" t="s">
        <v>6368</v>
      </c>
      <c r="D3058" s="2"/>
      <c r="E3058" s="2" t="s">
        <v>1345</v>
      </c>
      <c r="F3058" s="3" t="n">
        <v>2.6E-005</v>
      </c>
      <c r="G3058" s="3" t="n">
        <f aca="false">SUM($F$2:F3058)</f>
        <v>0.977808</v>
      </c>
      <c r="H3058" s="4"/>
      <c r="I3058" s="5"/>
      <c r="J3058" s="4"/>
      <c r="K3058" s="5"/>
      <c r="L3058" s="6"/>
      <c r="M3058" s="5" t="str">
        <f aca="false">IF(AND(N(K3058)&gt;0,N(L3058)&gt;0),K3058/L3058,"")</f>
        <v/>
      </c>
      <c r="N3058" s="2" t="s">
        <v>1226</v>
      </c>
    </row>
    <row r="3059" customFormat="false" ht="15" hidden="false" customHeight="false" outlineLevel="0" collapsed="false">
      <c r="A3059" s="2" t="n">
        <v>3058</v>
      </c>
      <c r="B3059" s="2" t="s">
        <v>6369</v>
      </c>
      <c r="C3059" s="2" t="s">
        <v>6370</v>
      </c>
      <c r="D3059" s="2"/>
      <c r="E3059" s="2" t="s">
        <v>1345</v>
      </c>
      <c r="F3059" s="3" t="n">
        <v>2.6E-005</v>
      </c>
      <c r="G3059" s="3" t="n">
        <f aca="false">SUM($F$2:F3059)</f>
        <v>0.977834</v>
      </c>
      <c r="H3059" s="4"/>
      <c r="I3059" s="5"/>
      <c r="J3059" s="4"/>
      <c r="K3059" s="5"/>
      <c r="L3059" s="6"/>
      <c r="M3059" s="5" t="str">
        <f aca="false">IF(AND(N(K3059)&gt;0,N(L3059)&gt;0),K3059/L3059,"")</f>
        <v/>
      </c>
      <c r="N3059" s="2" t="s">
        <v>1226</v>
      </c>
    </row>
    <row r="3060" customFormat="false" ht="15" hidden="false" customHeight="false" outlineLevel="0" collapsed="false">
      <c r="A3060" s="2" t="n">
        <v>3059</v>
      </c>
      <c r="B3060" s="2" t="s">
        <v>6371</v>
      </c>
      <c r="C3060" s="2" t="s">
        <v>6372</v>
      </c>
      <c r="D3060" s="2"/>
      <c r="E3060" s="2" t="s">
        <v>1345</v>
      </c>
      <c r="F3060" s="3" t="n">
        <v>2.6E-005</v>
      </c>
      <c r="G3060" s="3" t="n">
        <f aca="false">SUM($F$2:F3060)</f>
        <v>0.97786</v>
      </c>
      <c r="H3060" s="4"/>
      <c r="I3060" s="5"/>
      <c r="J3060" s="4"/>
      <c r="K3060" s="5"/>
      <c r="L3060" s="6"/>
      <c r="M3060" s="5" t="str">
        <f aca="false">IF(AND(N(K3060)&gt;0,N(L3060)&gt;0),K3060/L3060,"")</f>
        <v/>
      </c>
      <c r="N3060" s="2" t="s">
        <v>1226</v>
      </c>
    </row>
    <row r="3061" customFormat="false" ht="15" hidden="false" customHeight="false" outlineLevel="0" collapsed="false">
      <c r="A3061" s="2" t="n">
        <v>3060</v>
      </c>
      <c r="B3061" s="2" t="s">
        <v>6373</v>
      </c>
      <c r="C3061" s="2" t="s">
        <v>6374</v>
      </c>
      <c r="D3061" s="2"/>
      <c r="E3061" s="2" t="s">
        <v>1345</v>
      </c>
      <c r="F3061" s="3" t="n">
        <v>2.6E-005</v>
      </c>
      <c r="G3061" s="3" t="n">
        <f aca="false">SUM($F$2:F3061)</f>
        <v>0.977886</v>
      </c>
      <c r="H3061" s="4"/>
      <c r="I3061" s="5"/>
      <c r="J3061" s="4"/>
      <c r="K3061" s="5"/>
      <c r="L3061" s="6"/>
      <c r="M3061" s="5" t="str">
        <f aca="false">IF(AND(N(K3061)&gt;0,N(L3061)&gt;0),K3061/L3061,"")</f>
        <v/>
      </c>
      <c r="N3061" s="2" t="s">
        <v>1226</v>
      </c>
    </row>
    <row r="3062" customFormat="false" ht="15" hidden="false" customHeight="false" outlineLevel="0" collapsed="false">
      <c r="A3062" s="2" t="n">
        <v>3061</v>
      </c>
      <c r="B3062" s="2" t="s">
        <v>6375</v>
      </c>
      <c r="C3062" s="2" t="s">
        <v>6376</v>
      </c>
      <c r="D3062" s="2"/>
      <c r="E3062" s="2" t="s">
        <v>334</v>
      </c>
      <c r="F3062" s="3" t="n">
        <v>2.6E-005</v>
      </c>
      <c r="G3062" s="3" t="n">
        <f aca="false">SUM($F$2:F3062)</f>
        <v>0.977912</v>
      </c>
      <c r="H3062" s="4"/>
      <c r="I3062" s="5"/>
      <c r="J3062" s="4"/>
      <c r="K3062" s="5"/>
      <c r="L3062" s="6"/>
      <c r="M3062" s="5" t="str">
        <f aca="false">IF(AND(N(K3062)&gt;0,N(L3062)&gt;0),K3062/L3062,"")</f>
        <v/>
      </c>
      <c r="N3062" s="2" t="s">
        <v>1226</v>
      </c>
    </row>
    <row r="3063" customFormat="false" ht="15" hidden="false" customHeight="false" outlineLevel="0" collapsed="false">
      <c r="A3063" s="2" t="n">
        <v>3062</v>
      </c>
      <c r="B3063" s="2" t="s">
        <v>3445</v>
      </c>
      <c r="C3063" s="2" t="s">
        <v>6377</v>
      </c>
      <c r="D3063" s="2"/>
      <c r="E3063" s="2" t="s">
        <v>29</v>
      </c>
      <c r="F3063" s="3" t="n">
        <v>2.6E-005</v>
      </c>
      <c r="G3063" s="3" t="n">
        <f aca="false">SUM($F$2:F3063)</f>
        <v>0.977938</v>
      </c>
      <c r="H3063" s="4"/>
      <c r="I3063" s="5"/>
      <c r="J3063" s="4"/>
      <c r="K3063" s="5"/>
      <c r="L3063" s="6"/>
      <c r="M3063" s="5" t="str">
        <f aca="false">IF(AND(N(K3063)&gt;0,N(L3063)&gt;0),K3063/L3063,"")</f>
        <v/>
      </c>
      <c r="N3063" s="2" t="s">
        <v>1226</v>
      </c>
    </row>
    <row r="3064" customFormat="false" ht="15" hidden="false" customHeight="false" outlineLevel="0" collapsed="false">
      <c r="A3064" s="2" t="n">
        <v>3063</v>
      </c>
      <c r="B3064" s="2" t="s">
        <v>6378</v>
      </c>
      <c r="C3064" s="2" t="s">
        <v>6379</v>
      </c>
      <c r="D3064" s="2"/>
      <c r="E3064" s="2" t="s">
        <v>29</v>
      </c>
      <c r="F3064" s="3" t="n">
        <v>2.6E-005</v>
      </c>
      <c r="G3064" s="3" t="n">
        <f aca="false">SUM($F$2:F3064)</f>
        <v>0.977964</v>
      </c>
      <c r="H3064" s="4"/>
      <c r="I3064" s="5"/>
      <c r="J3064" s="4"/>
      <c r="K3064" s="5"/>
      <c r="L3064" s="6"/>
      <c r="M3064" s="5" t="str">
        <f aca="false">IF(AND(N(K3064)&gt;0,N(L3064)&gt;0),K3064/L3064,"")</f>
        <v/>
      </c>
      <c r="N3064" s="2" t="s">
        <v>1226</v>
      </c>
    </row>
    <row r="3065" customFormat="false" ht="15" hidden="false" customHeight="false" outlineLevel="0" collapsed="false">
      <c r="A3065" s="2" t="n">
        <v>3064</v>
      </c>
      <c r="B3065" s="2" t="s">
        <v>6380</v>
      </c>
      <c r="C3065" s="2" t="s">
        <v>6381</v>
      </c>
      <c r="D3065" s="2"/>
      <c r="E3065" s="2" t="s">
        <v>296</v>
      </c>
      <c r="F3065" s="3" t="n">
        <v>2.6E-005</v>
      </c>
      <c r="G3065" s="3" t="n">
        <f aca="false">SUM($F$2:F3065)</f>
        <v>0.97799</v>
      </c>
      <c r="H3065" s="4"/>
      <c r="I3065" s="5"/>
      <c r="J3065" s="4"/>
      <c r="K3065" s="5"/>
      <c r="L3065" s="6"/>
      <c r="M3065" s="5" t="str">
        <f aca="false">IF(AND(N(K3065)&gt;0,N(L3065)&gt;0),K3065/L3065,"")</f>
        <v/>
      </c>
      <c r="N3065" s="2" t="s">
        <v>1226</v>
      </c>
    </row>
    <row r="3066" customFormat="false" ht="15" hidden="false" customHeight="false" outlineLevel="0" collapsed="false">
      <c r="A3066" s="2" t="n">
        <v>3065</v>
      </c>
      <c r="B3066" s="2" t="s">
        <v>6382</v>
      </c>
      <c r="C3066" s="2" t="s">
        <v>6383</v>
      </c>
      <c r="D3066" s="2"/>
      <c r="E3066" s="2" t="s">
        <v>289</v>
      </c>
      <c r="F3066" s="3" t="n">
        <v>2.6E-005</v>
      </c>
      <c r="G3066" s="3" t="n">
        <f aca="false">SUM($F$2:F3066)</f>
        <v>0.978016</v>
      </c>
      <c r="H3066" s="4"/>
      <c r="I3066" s="5"/>
      <c r="J3066" s="4"/>
      <c r="K3066" s="5"/>
      <c r="L3066" s="6"/>
      <c r="M3066" s="5" t="str">
        <f aca="false">IF(AND(N(K3066)&gt;0,N(L3066)&gt;0),K3066/L3066,"")</f>
        <v/>
      </c>
      <c r="N3066" s="2" t="s">
        <v>1226</v>
      </c>
    </row>
    <row r="3067" customFormat="false" ht="15" hidden="false" customHeight="false" outlineLevel="0" collapsed="false">
      <c r="A3067" s="2" t="n">
        <v>3066</v>
      </c>
      <c r="B3067" s="2" t="s">
        <v>6384</v>
      </c>
      <c r="C3067" s="2" t="s">
        <v>6385</v>
      </c>
      <c r="D3067" s="2"/>
      <c r="E3067" s="2" t="s">
        <v>1284</v>
      </c>
      <c r="F3067" s="3" t="n">
        <v>2.6E-005</v>
      </c>
      <c r="G3067" s="3" t="n">
        <f aca="false">SUM($F$2:F3067)</f>
        <v>0.978042</v>
      </c>
      <c r="H3067" s="4"/>
      <c r="I3067" s="5"/>
      <c r="J3067" s="4"/>
      <c r="K3067" s="5"/>
      <c r="L3067" s="6"/>
      <c r="M3067" s="5" t="str">
        <f aca="false">IF(AND(N(K3067)&gt;0,N(L3067)&gt;0),K3067/L3067,"")</f>
        <v/>
      </c>
      <c r="N3067" s="2" t="s">
        <v>1226</v>
      </c>
    </row>
    <row r="3068" customFormat="false" ht="15" hidden="false" customHeight="false" outlineLevel="0" collapsed="false">
      <c r="A3068" s="2" t="n">
        <v>3067</v>
      </c>
      <c r="B3068" s="2" t="s">
        <v>6386</v>
      </c>
      <c r="C3068" s="2" t="s">
        <v>6387</v>
      </c>
      <c r="D3068" s="2"/>
      <c r="E3068" s="2" t="s">
        <v>52</v>
      </c>
      <c r="F3068" s="3" t="n">
        <v>2.6E-005</v>
      </c>
      <c r="G3068" s="3" t="n">
        <f aca="false">SUM($F$2:F3068)</f>
        <v>0.978068</v>
      </c>
      <c r="H3068" s="4"/>
      <c r="I3068" s="5"/>
      <c r="J3068" s="4"/>
      <c r="K3068" s="5"/>
      <c r="L3068" s="6"/>
      <c r="M3068" s="5" t="str">
        <f aca="false">IF(AND(N(K3068)&gt;0,N(L3068)&gt;0),K3068/L3068,"")</f>
        <v/>
      </c>
      <c r="N3068" s="2" t="s">
        <v>1226</v>
      </c>
    </row>
    <row r="3069" customFormat="false" ht="15" hidden="false" customHeight="false" outlineLevel="0" collapsed="false">
      <c r="A3069" s="2" t="n">
        <v>3068</v>
      </c>
      <c r="B3069" s="2" t="s">
        <v>6388</v>
      </c>
      <c r="C3069" s="2" t="s">
        <v>6389</v>
      </c>
      <c r="D3069" s="2"/>
      <c r="E3069" s="2" t="s">
        <v>614</v>
      </c>
      <c r="F3069" s="3" t="n">
        <v>2.6E-005</v>
      </c>
      <c r="G3069" s="3" t="n">
        <f aca="false">SUM($F$2:F3069)</f>
        <v>0.978094</v>
      </c>
      <c r="H3069" s="4"/>
      <c r="I3069" s="5"/>
      <c r="J3069" s="4"/>
      <c r="K3069" s="5"/>
      <c r="L3069" s="6"/>
      <c r="M3069" s="5" t="str">
        <f aca="false">IF(AND(N(K3069)&gt;0,N(L3069)&gt;0),K3069/L3069,"")</f>
        <v/>
      </c>
      <c r="N3069" s="2" t="s">
        <v>1226</v>
      </c>
    </row>
    <row r="3070" customFormat="false" ht="15" hidden="false" customHeight="false" outlineLevel="0" collapsed="false">
      <c r="A3070" s="2" t="n">
        <v>3069</v>
      </c>
      <c r="B3070" s="2" t="s">
        <v>6390</v>
      </c>
      <c r="C3070" s="2" t="s">
        <v>6391</v>
      </c>
      <c r="D3070" s="2"/>
      <c r="E3070" s="2" t="s">
        <v>25</v>
      </c>
      <c r="F3070" s="3" t="n">
        <v>2.6E-005</v>
      </c>
      <c r="G3070" s="3" t="n">
        <f aca="false">SUM($F$2:F3070)</f>
        <v>0.97812</v>
      </c>
      <c r="H3070" s="4"/>
      <c r="I3070" s="5"/>
      <c r="J3070" s="4"/>
      <c r="K3070" s="5"/>
      <c r="L3070" s="6"/>
      <c r="M3070" s="5" t="str">
        <f aca="false">IF(AND(N(K3070)&gt;0,N(L3070)&gt;0),K3070/L3070,"")</f>
        <v/>
      </c>
      <c r="N3070" s="2" t="s">
        <v>1226</v>
      </c>
    </row>
    <row r="3071" customFormat="false" ht="15" hidden="false" customHeight="false" outlineLevel="0" collapsed="false">
      <c r="A3071" s="2" t="n">
        <v>3070</v>
      </c>
      <c r="B3071" s="2" t="s">
        <v>6392</v>
      </c>
      <c r="C3071" s="2" t="s">
        <v>6393</v>
      </c>
      <c r="D3071" s="2"/>
      <c r="E3071" s="2" t="s">
        <v>2055</v>
      </c>
      <c r="F3071" s="3" t="n">
        <v>2.6E-005</v>
      </c>
      <c r="G3071" s="3" t="n">
        <f aca="false">SUM($F$2:F3071)</f>
        <v>0.978146</v>
      </c>
      <c r="H3071" s="4"/>
      <c r="I3071" s="5"/>
      <c r="J3071" s="4"/>
      <c r="K3071" s="5"/>
      <c r="L3071" s="6"/>
      <c r="M3071" s="5" t="str">
        <f aca="false">IF(AND(N(K3071)&gt;0,N(L3071)&gt;0),K3071/L3071,"")</f>
        <v/>
      </c>
      <c r="N3071" s="2" t="s">
        <v>1226</v>
      </c>
    </row>
    <row r="3072" customFormat="false" ht="15" hidden="false" customHeight="false" outlineLevel="0" collapsed="false">
      <c r="A3072" s="2" t="n">
        <v>3071</v>
      </c>
      <c r="B3072" s="2" t="s">
        <v>6394</v>
      </c>
      <c r="C3072" s="2" t="s">
        <v>6395</v>
      </c>
      <c r="D3072" s="2"/>
      <c r="E3072" s="2" t="s">
        <v>1345</v>
      </c>
      <c r="F3072" s="3" t="n">
        <v>2.6E-005</v>
      </c>
      <c r="G3072" s="3" t="n">
        <f aca="false">SUM($F$2:F3072)</f>
        <v>0.978172</v>
      </c>
      <c r="H3072" s="4"/>
      <c r="I3072" s="5"/>
      <c r="J3072" s="4"/>
      <c r="K3072" s="5"/>
      <c r="L3072" s="6"/>
      <c r="M3072" s="5" t="str">
        <f aca="false">IF(AND(N(K3072)&gt;0,N(L3072)&gt;0),K3072/L3072,"")</f>
        <v/>
      </c>
      <c r="N3072" s="2" t="s">
        <v>1226</v>
      </c>
    </row>
    <row r="3073" customFormat="false" ht="15" hidden="false" customHeight="false" outlineLevel="0" collapsed="false">
      <c r="A3073" s="2" t="n">
        <v>3072</v>
      </c>
      <c r="B3073" s="2" t="s">
        <v>6396</v>
      </c>
      <c r="C3073" s="2" t="s">
        <v>6397</v>
      </c>
      <c r="D3073" s="2"/>
      <c r="E3073" s="2" t="s">
        <v>614</v>
      </c>
      <c r="F3073" s="3" t="n">
        <v>2.6E-005</v>
      </c>
      <c r="G3073" s="3" t="n">
        <f aca="false">SUM($F$2:F3073)</f>
        <v>0.978198</v>
      </c>
      <c r="H3073" s="4"/>
      <c r="I3073" s="5"/>
      <c r="J3073" s="4"/>
      <c r="K3073" s="5"/>
      <c r="L3073" s="6"/>
      <c r="M3073" s="5" t="str">
        <f aca="false">IF(AND(N(K3073)&gt;0,N(L3073)&gt;0),K3073/L3073,"")</f>
        <v/>
      </c>
      <c r="N3073" s="2" t="s">
        <v>1226</v>
      </c>
    </row>
    <row r="3074" customFormat="false" ht="15" hidden="false" customHeight="false" outlineLevel="0" collapsed="false">
      <c r="A3074" s="2" t="n">
        <v>3073</v>
      </c>
      <c r="B3074" s="2" t="s">
        <v>6398</v>
      </c>
      <c r="C3074" s="2" t="s">
        <v>6399</v>
      </c>
      <c r="D3074" s="2"/>
      <c r="E3074" s="2" t="s">
        <v>679</v>
      </c>
      <c r="F3074" s="3" t="n">
        <v>2.6E-005</v>
      </c>
      <c r="G3074" s="3" t="n">
        <f aca="false">SUM($F$2:F3074)</f>
        <v>0.978224</v>
      </c>
      <c r="H3074" s="4"/>
      <c r="I3074" s="5"/>
      <c r="J3074" s="4"/>
      <c r="K3074" s="5"/>
      <c r="L3074" s="6"/>
      <c r="M3074" s="5" t="str">
        <f aca="false">IF(AND(N(K3074)&gt;0,N(L3074)&gt;0),K3074/L3074,"")</f>
        <v/>
      </c>
      <c r="N3074" s="2" t="s">
        <v>1226</v>
      </c>
    </row>
    <row r="3075" customFormat="false" ht="15" hidden="false" customHeight="false" outlineLevel="0" collapsed="false">
      <c r="A3075" s="2" t="n">
        <v>3074</v>
      </c>
      <c r="B3075" s="2" t="s">
        <v>6400</v>
      </c>
      <c r="C3075" s="2" t="s">
        <v>6401</v>
      </c>
      <c r="D3075" s="2"/>
      <c r="E3075" s="2" t="s">
        <v>25</v>
      </c>
      <c r="F3075" s="3" t="n">
        <v>2.6E-005</v>
      </c>
      <c r="G3075" s="3" t="n">
        <f aca="false">SUM($F$2:F3075)</f>
        <v>0.97825</v>
      </c>
      <c r="H3075" s="4"/>
      <c r="I3075" s="5"/>
      <c r="J3075" s="4"/>
      <c r="K3075" s="5"/>
      <c r="L3075" s="6"/>
      <c r="M3075" s="5" t="str">
        <f aca="false">IF(AND(N(K3075)&gt;0,N(L3075)&gt;0),K3075/L3075,"")</f>
        <v/>
      </c>
      <c r="N3075" s="2" t="s">
        <v>1226</v>
      </c>
    </row>
    <row r="3076" customFormat="false" ht="15" hidden="false" customHeight="false" outlineLevel="0" collapsed="false">
      <c r="A3076" s="2" t="n">
        <v>3075</v>
      </c>
      <c r="B3076" s="2" t="s">
        <v>6402</v>
      </c>
      <c r="C3076" s="2" t="s">
        <v>6403</v>
      </c>
      <c r="D3076" s="2"/>
      <c r="E3076" s="2" t="s">
        <v>1345</v>
      </c>
      <c r="F3076" s="3" t="n">
        <v>2.6E-005</v>
      </c>
      <c r="G3076" s="3" t="n">
        <f aca="false">SUM($F$2:F3076)</f>
        <v>0.978276</v>
      </c>
      <c r="H3076" s="4"/>
      <c r="I3076" s="5"/>
      <c r="J3076" s="4"/>
      <c r="K3076" s="5"/>
      <c r="L3076" s="6"/>
      <c r="M3076" s="5" t="str">
        <f aca="false">IF(AND(N(K3076)&gt;0,N(L3076)&gt;0),K3076/L3076,"")</f>
        <v/>
      </c>
      <c r="N3076" s="2" t="s">
        <v>1226</v>
      </c>
    </row>
    <row r="3077" customFormat="false" ht="15" hidden="false" customHeight="false" outlineLevel="0" collapsed="false">
      <c r="A3077" s="2" t="n">
        <v>3076</v>
      </c>
      <c r="B3077" s="2" t="s">
        <v>6404</v>
      </c>
      <c r="C3077" s="2" t="s">
        <v>6405</v>
      </c>
      <c r="D3077" s="2"/>
      <c r="E3077" s="2" t="s">
        <v>289</v>
      </c>
      <c r="F3077" s="3" t="n">
        <v>2.6E-005</v>
      </c>
      <c r="G3077" s="3" t="n">
        <f aca="false">SUM($F$2:F3077)</f>
        <v>0.978302</v>
      </c>
      <c r="H3077" s="4"/>
      <c r="I3077" s="5"/>
      <c r="J3077" s="4"/>
      <c r="K3077" s="5"/>
      <c r="L3077" s="6"/>
      <c r="M3077" s="5" t="str">
        <f aca="false">IF(AND(N(K3077)&gt;0,N(L3077)&gt;0),K3077/L3077,"")</f>
        <v/>
      </c>
      <c r="N3077" s="2" t="s">
        <v>1226</v>
      </c>
    </row>
    <row r="3078" customFormat="false" ht="15" hidden="false" customHeight="false" outlineLevel="0" collapsed="false">
      <c r="A3078" s="2" t="n">
        <v>3077</v>
      </c>
      <c r="B3078" s="2" t="s">
        <v>6406</v>
      </c>
      <c r="C3078" s="2" t="s">
        <v>6407</v>
      </c>
      <c r="D3078" s="2"/>
      <c r="E3078" s="2" t="s">
        <v>1345</v>
      </c>
      <c r="F3078" s="3" t="n">
        <v>2.6E-005</v>
      </c>
      <c r="G3078" s="3" t="n">
        <f aca="false">SUM($F$2:F3078)</f>
        <v>0.978328</v>
      </c>
      <c r="H3078" s="4"/>
      <c r="I3078" s="5"/>
      <c r="J3078" s="4"/>
      <c r="K3078" s="5"/>
      <c r="L3078" s="6"/>
      <c r="M3078" s="5" t="str">
        <f aca="false">IF(AND(N(K3078)&gt;0,N(L3078)&gt;0),K3078/L3078,"")</f>
        <v/>
      </c>
      <c r="N3078" s="2" t="s">
        <v>1226</v>
      </c>
    </row>
    <row r="3079" customFormat="false" ht="15" hidden="false" customHeight="false" outlineLevel="0" collapsed="false">
      <c r="A3079" s="2" t="n">
        <v>3078</v>
      </c>
      <c r="B3079" s="2" t="s">
        <v>6408</v>
      </c>
      <c r="C3079" s="2" t="s">
        <v>6409</v>
      </c>
      <c r="D3079" s="2"/>
      <c r="E3079" s="2" t="s">
        <v>1345</v>
      </c>
      <c r="F3079" s="3" t="n">
        <v>2.6E-005</v>
      </c>
      <c r="G3079" s="3" t="n">
        <f aca="false">SUM($F$2:F3079)</f>
        <v>0.978354</v>
      </c>
      <c r="H3079" s="4"/>
      <c r="I3079" s="5"/>
      <c r="J3079" s="4"/>
      <c r="K3079" s="5"/>
      <c r="L3079" s="6"/>
      <c r="M3079" s="5" t="str">
        <f aca="false">IF(AND(N(K3079)&gt;0,N(L3079)&gt;0),K3079/L3079,"")</f>
        <v/>
      </c>
      <c r="N3079" s="2" t="s">
        <v>1226</v>
      </c>
    </row>
    <row r="3080" customFormat="false" ht="15" hidden="false" customHeight="false" outlineLevel="0" collapsed="false">
      <c r="A3080" s="2" t="n">
        <v>3079</v>
      </c>
      <c r="B3080" s="2" t="s">
        <v>6410</v>
      </c>
      <c r="C3080" s="2" t="s">
        <v>6411</v>
      </c>
      <c r="D3080" s="2"/>
      <c r="E3080" s="2" t="s">
        <v>1345</v>
      </c>
      <c r="F3080" s="3" t="n">
        <v>2.6E-005</v>
      </c>
      <c r="G3080" s="3" t="n">
        <f aca="false">SUM($F$2:F3080)</f>
        <v>0.97838</v>
      </c>
      <c r="H3080" s="4"/>
      <c r="I3080" s="5"/>
      <c r="J3080" s="4"/>
      <c r="K3080" s="5"/>
      <c r="L3080" s="6"/>
      <c r="M3080" s="5" t="str">
        <f aca="false">IF(AND(N(K3080)&gt;0,N(L3080)&gt;0),K3080/L3080,"")</f>
        <v/>
      </c>
      <c r="N3080" s="2" t="s">
        <v>1226</v>
      </c>
    </row>
    <row r="3081" customFormat="false" ht="15" hidden="false" customHeight="false" outlineLevel="0" collapsed="false">
      <c r="A3081" s="2" t="n">
        <v>3080</v>
      </c>
      <c r="B3081" s="2" t="s">
        <v>6412</v>
      </c>
      <c r="C3081" s="2" t="s">
        <v>6413</v>
      </c>
      <c r="D3081" s="2"/>
      <c r="E3081" s="2" t="s">
        <v>765</v>
      </c>
      <c r="F3081" s="3" t="n">
        <v>2.6E-005</v>
      </c>
      <c r="G3081" s="3" t="n">
        <f aca="false">SUM($F$2:F3081)</f>
        <v>0.978406</v>
      </c>
      <c r="H3081" s="4"/>
      <c r="I3081" s="5"/>
      <c r="J3081" s="4"/>
      <c r="K3081" s="5"/>
      <c r="L3081" s="6"/>
      <c r="M3081" s="5" t="str">
        <f aca="false">IF(AND(N(K3081)&gt;0,N(L3081)&gt;0),K3081/L3081,"")</f>
        <v/>
      </c>
      <c r="N3081" s="2" t="s">
        <v>1226</v>
      </c>
    </row>
    <row r="3082" customFormat="false" ht="15" hidden="false" customHeight="false" outlineLevel="0" collapsed="false">
      <c r="A3082" s="2" t="n">
        <v>3081</v>
      </c>
      <c r="B3082" s="2" t="s">
        <v>6414</v>
      </c>
      <c r="C3082" s="2" t="s">
        <v>6415</v>
      </c>
      <c r="D3082" s="2"/>
      <c r="E3082" s="2" t="s">
        <v>289</v>
      </c>
      <c r="F3082" s="3" t="n">
        <v>2.6E-005</v>
      </c>
      <c r="G3082" s="3" t="n">
        <f aca="false">SUM($F$2:F3082)</f>
        <v>0.978432</v>
      </c>
      <c r="H3082" s="4"/>
      <c r="I3082" s="5"/>
      <c r="J3082" s="4"/>
      <c r="K3082" s="5"/>
      <c r="L3082" s="6"/>
      <c r="M3082" s="5" t="str">
        <f aca="false">IF(AND(N(K3082)&gt;0,N(L3082)&gt;0),K3082/L3082,"")</f>
        <v/>
      </c>
      <c r="N3082" s="2" t="s">
        <v>1226</v>
      </c>
    </row>
    <row r="3083" customFormat="false" ht="15" hidden="false" customHeight="false" outlineLevel="0" collapsed="false">
      <c r="A3083" s="2" t="n">
        <v>3082</v>
      </c>
      <c r="B3083" s="2" t="s">
        <v>6416</v>
      </c>
      <c r="C3083" s="2" t="s">
        <v>6417</v>
      </c>
      <c r="D3083" s="2"/>
      <c r="E3083" s="2" t="s">
        <v>25</v>
      </c>
      <c r="F3083" s="3" t="n">
        <v>2.6E-005</v>
      </c>
      <c r="G3083" s="3" t="n">
        <f aca="false">SUM($F$2:F3083)</f>
        <v>0.978458</v>
      </c>
      <c r="H3083" s="4"/>
      <c r="I3083" s="5"/>
      <c r="J3083" s="4"/>
      <c r="K3083" s="5"/>
      <c r="L3083" s="6"/>
      <c r="M3083" s="5" t="str">
        <f aca="false">IF(AND(N(K3083)&gt;0,N(L3083)&gt;0),K3083/L3083,"")</f>
        <v/>
      </c>
      <c r="N3083" s="2" t="s">
        <v>1226</v>
      </c>
    </row>
    <row r="3084" customFormat="false" ht="15" hidden="false" customHeight="false" outlineLevel="0" collapsed="false">
      <c r="A3084" s="2" t="n">
        <v>3083</v>
      </c>
      <c r="B3084" s="2" t="s">
        <v>6418</v>
      </c>
      <c r="C3084" s="2" t="s">
        <v>6419</v>
      </c>
      <c r="D3084" s="2"/>
      <c r="E3084" s="2" t="s">
        <v>1345</v>
      </c>
      <c r="F3084" s="3" t="n">
        <v>2.5E-005</v>
      </c>
      <c r="G3084" s="3" t="n">
        <f aca="false">SUM($F$2:F3084)</f>
        <v>0.978483</v>
      </c>
      <c r="H3084" s="4"/>
      <c r="I3084" s="5"/>
      <c r="J3084" s="4"/>
      <c r="K3084" s="5"/>
      <c r="L3084" s="6"/>
      <c r="M3084" s="5" t="str">
        <f aca="false">IF(AND(N(K3084)&gt;0,N(L3084)&gt;0),K3084/L3084,"")</f>
        <v/>
      </c>
      <c r="N3084" s="2" t="s">
        <v>1226</v>
      </c>
    </row>
    <row r="3085" customFormat="false" ht="15" hidden="false" customHeight="false" outlineLevel="0" collapsed="false">
      <c r="A3085" s="2" t="n">
        <v>3084</v>
      </c>
      <c r="B3085" s="2" t="s">
        <v>6420</v>
      </c>
      <c r="C3085" s="2" t="s">
        <v>6421</v>
      </c>
      <c r="D3085" s="2"/>
      <c r="E3085" s="2" t="s">
        <v>1345</v>
      </c>
      <c r="F3085" s="3" t="n">
        <v>2.5E-005</v>
      </c>
      <c r="G3085" s="3" t="n">
        <f aca="false">SUM($F$2:F3085)</f>
        <v>0.978508</v>
      </c>
      <c r="H3085" s="4"/>
      <c r="I3085" s="5"/>
      <c r="J3085" s="4"/>
      <c r="K3085" s="5"/>
      <c r="L3085" s="6"/>
      <c r="M3085" s="5" t="str">
        <f aca="false">IF(AND(N(K3085)&gt;0,N(L3085)&gt;0),K3085/L3085,"")</f>
        <v/>
      </c>
      <c r="N3085" s="2" t="s">
        <v>1226</v>
      </c>
    </row>
    <row r="3086" customFormat="false" ht="15" hidden="false" customHeight="false" outlineLevel="0" collapsed="false">
      <c r="A3086" s="2" t="n">
        <v>3085</v>
      </c>
      <c r="B3086" s="2" t="s">
        <v>6422</v>
      </c>
      <c r="C3086" s="2" t="s">
        <v>6423</v>
      </c>
      <c r="D3086" s="2"/>
      <c r="E3086" s="2" t="s">
        <v>17</v>
      </c>
      <c r="F3086" s="3" t="n">
        <v>2.5E-005</v>
      </c>
      <c r="G3086" s="3" t="n">
        <f aca="false">SUM($F$2:F3086)</f>
        <v>0.978533</v>
      </c>
      <c r="H3086" s="4"/>
      <c r="I3086" s="5"/>
      <c r="J3086" s="4"/>
      <c r="K3086" s="5"/>
      <c r="L3086" s="6"/>
      <c r="M3086" s="5" t="str">
        <f aca="false">IF(AND(N(K3086)&gt;0,N(L3086)&gt;0),K3086/L3086,"")</f>
        <v/>
      </c>
      <c r="N3086" s="2" t="s">
        <v>1226</v>
      </c>
    </row>
    <row r="3087" customFormat="false" ht="15" hidden="false" customHeight="false" outlineLevel="0" collapsed="false">
      <c r="A3087" s="2" t="n">
        <v>3086</v>
      </c>
      <c r="B3087" s="2" t="s">
        <v>6424</v>
      </c>
      <c r="C3087" s="2" t="s">
        <v>6425</v>
      </c>
      <c r="D3087" s="2"/>
      <c r="E3087" s="2" t="s">
        <v>48</v>
      </c>
      <c r="F3087" s="3" t="n">
        <v>2.5E-005</v>
      </c>
      <c r="G3087" s="3" t="n">
        <f aca="false">SUM($F$2:F3087)</f>
        <v>0.978558</v>
      </c>
      <c r="H3087" s="4"/>
      <c r="I3087" s="5"/>
      <c r="J3087" s="4"/>
      <c r="K3087" s="5"/>
      <c r="L3087" s="6"/>
      <c r="M3087" s="5" t="str">
        <f aca="false">IF(AND(N(K3087)&gt;0,N(L3087)&gt;0),K3087/L3087,"")</f>
        <v/>
      </c>
      <c r="N3087" s="2" t="s">
        <v>1226</v>
      </c>
    </row>
    <row r="3088" customFormat="false" ht="15" hidden="false" customHeight="false" outlineLevel="0" collapsed="false">
      <c r="A3088" s="2" t="n">
        <v>3087</v>
      </c>
      <c r="B3088" s="2" t="s">
        <v>6426</v>
      </c>
      <c r="C3088" s="2" t="s">
        <v>6427</v>
      </c>
      <c r="D3088" s="2"/>
      <c r="E3088" s="2" t="s">
        <v>1345</v>
      </c>
      <c r="F3088" s="3" t="n">
        <v>2.5E-005</v>
      </c>
      <c r="G3088" s="3" t="n">
        <f aca="false">SUM($F$2:F3088)</f>
        <v>0.978583</v>
      </c>
      <c r="H3088" s="4"/>
      <c r="I3088" s="5"/>
      <c r="J3088" s="4"/>
      <c r="K3088" s="5"/>
      <c r="L3088" s="6"/>
      <c r="M3088" s="5" t="str">
        <f aca="false">IF(AND(N(K3088)&gt;0,N(L3088)&gt;0),K3088/L3088,"")</f>
        <v/>
      </c>
      <c r="N3088" s="2" t="s">
        <v>1226</v>
      </c>
    </row>
    <row r="3089" customFormat="false" ht="15" hidden="false" customHeight="false" outlineLevel="0" collapsed="false">
      <c r="A3089" s="2" t="n">
        <v>3088</v>
      </c>
      <c r="B3089" s="2" t="s">
        <v>6428</v>
      </c>
      <c r="C3089" s="2" t="s">
        <v>6429</v>
      </c>
      <c r="D3089" s="2"/>
      <c r="E3089" s="2" t="s">
        <v>33</v>
      </c>
      <c r="F3089" s="3" t="n">
        <v>2.5E-005</v>
      </c>
      <c r="G3089" s="3" t="n">
        <f aca="false">SUM($F$2:F3089)</f>
        <v>0.978608</v>
      </c>
      <c r="H3089" s="4"/>
      <c r="I3089" s="5"/>
      <c r="J3089" s="4"/>
      <c r="K3089" s="5"/>
      <c r="L3089" s="6"/>
      <c r="M3089" s="5" t="str">
        <f aca="false">IF(AND(N(K3089)&gt;0,N(L3089)&gt;0),K3089/L3089,"")</f>
        <v/>
      </c>
      <c r="N3089" s="2" t="s">
        <v>1226</v>
      </c>
    </row>
    <row r="3090" customFormat="false" ht="15" hidden="false" customHeight="false" outlineLevel="0" collapsed="false">
      <c r="A3090" s="2" t="n">
        <v>3089</v>
      </c>
      <c r="B3090" s="2" t="s">
        <v>6430</v>
      </c>
      <c r="C3090" s="2" t="s">
        <v>6431</v>
      </c>
      <c r="D3090" s="2"/>
      <c r="E3090" s="2" t="s">
        <v>29</v>
      </c>
      <c r="F3090" s="3" t="n">
        <v>2.5E-005</v>
      </c>
      <c r="G3090" s="3" t="n">
        <f aca="false">SUM($F$2:F3090)</f>
        <v>0.978633</v>
      </c>
      <c r="H3090" s="4"/>
      <c r="I3090" s="5"/>
      <c r="J3090" s="4"/>
      <c r="K3090" s="5"/>
      <c r="L3090" s="6"/>
      <c r="M3090" s="5" t="str">
        <f aca="false">IF(AND(N(K3090)&gt;0,N(L3090)&gt;0),K3090/L3090,"")</f>
        <v/>
      </c>
      <c r="N3090" s="2" t="s">
        <v>1226</v>
      </c>
    </row>
    <row r="3091" customFormat="false" ht="15" hidden="false" customHeight="false" outlineLevel="0" collapsed="false">
      <c r="A3091" s="2" t="n">
        <v>3090</v>
      </c>
      <c r="B3091" s="2" t="s">
        <v>6432</v>
      </c>
      <c r="C3091" s="2" t="s">
        <v>6433</v>
      </c>
      <c r="D3091" s="2"/>
      <c r="E3091" s="2" t="s">
        <v>1345</v>
      </c>
      <c r="F3091" s="3" t="n">
        <v>2.5E-005</v>
      </c>
      <c r="G3091" s="3" t="n">
        <f aca="false">SUM($F$2:F3091)</f>
        <v>0.978658</v>
      </c>
      <c r="H3091" s="4"/>
      <c r="I3091" s="5"/>
      <c r="J3091" s="4"/>
      <c r="K3091" s="5"/>
      <c r="L3091" s="6"/>
      <c r="M3091" s="5" t="str">
        <f aca="false">IF(AND(N(K3091)&gt;0,N(L3091)&gt;0),K3091/L3091,"")</f>
        <v/>
      </c>
      <c r="N3091" s="2" t="s">
        <v>1226</v>
      </c>
    </row>
    <row r="3092" customFormat="false" ht="15" hidden="false" customHeight="false" outlineLevel="0" collapsed="false">
      <c r="A3092" s="2" t="n">
        <v>3091</v>
      </c>
      <c r="B3092" s="2" t="s">
        <v>6434</v>
      </c>
      <c r="C3092" s="2" t="s">
        <v>6435</v>
      </c>
      <c r="D3092" s="2"/>
      <c r="E3092" s="2" t="s">
        <v>38</v>
      </c>
      <c r="F3092" s="3" t="n">
        <v>2.5E-005</v>
      </c>
      <c r="G3092" s="3" t="n">
        <f aca="false">SUM($F$2:F3092)</f>
        <v>0.978683</v>
      </c>
      <c r="H3092" s="4"/>
      <c r="I3092" s="5"/>
      <c r="J3092" s="4"/>
      <c r="K3092" s="5"/>
      <c r="L3092" s="6"/>
      <c r="M3092" s="5" t="str">
        <f aca="false">IF(AND(N(K3092)&gt;0,N(L3092)&gt;0),K3092/L3092,"")</f>
        <v/>
      </c>
      <c r="N3092" s="2" t="s">
        <v>1226</v>
      </c>
    </row>
    <row r="3093" customFormat="false" ht="15" hidden="false" customHeight="false" outlineLevel="0" collapsed="false">
      <c r="A3093" s="2" t="n">
        <v>3092</v>
      </c>
      <c r="B3093" s="2" t="s">
        <v>6436</v>
      </c>
      <c r="C3093" s="2" t="s">
        <v>6437</v>
      </c>
      <c r="D3093" s="2"/>
      <c r="E3093" s="2" t="s">
        <v>52</v>
      </c>
      <c r="F3093" s="3" t="n">
        <v>2.5E-005</v>
      </c>
      <c r="G3093" s="3" t="n">
        <f aca="false">SUM($F$2:F3093)</f>
        <v>0.978708</v>
      </c>
      <c r="H3093" s="4"/>
      <c r="I3093" s="5"/>
      <c r="J3093" s="4"/>
      <c r="K3093" s="5"/>
      <c r="L3093" s="6"/>
      <c r="M3093" s="5" t="str">
        <f aca="false">IF(AND(N(K3093)&gt;0,N(L3093)&gt;0),K3093/L3093,"")</f>
        <v/>
      </c>
      <c r="N3093" s="2" t="s">
        <v>1226</v>
      </c>
    </row>
    <row r="3094" customFormat="false" ht="15" hidden="false" customHeight="false" outlineLevel="0" collapsed="false">
      <c r="A3094" s="2" t="n">
        <v>3093</v>
      </c>
      <c r="B3094" s="2" t="s">
        <v>6438</v>
      </c>
      <c r="C3094" s="2" t="s">
        <v>6439</v>
      </c>
      <c r="D3094" s="2"/>
      <c r="E3094" s="2" t="s">
        <v>21</v>
      </c>
      <c r="F3094" s="3" t="n">
        <v>2.5E-005</v>
      </c>
      <c r="G3094" s="3" t="n">
        <f aca="false">SUM($F$2:F3094)</f>
        <v>0.978733</v>
      </c>
      <c r="H3094" s="4"/>
      <c r="I3094" s="5"/>
      <c r="J3094" s="4"/>
      <c r="K3094" s="5"/>
      <c r="L3094" s="6"/>
      <c r="M3094" s="5" t="str">
        <f aca="false">IF(AND(N(K3094)&gt;0,N(L3094)&gt;0),K3094/L3094,"")</f>
        <v/>
      </c>
      <c r="N3094" s="2" t="s">
        <v>1226</v>
      </c>
    </row>
    <row r="3095" customFormat="false" ht="15" hidden="false" customHeight="false" outlineLevel="0" collapsed="false">
      <c r="A3095" s="2" t="n">
        <v>3094</v>
      </c>
      <c r="B3095" s="2" t="s">
        <v>6440</v>
      </c>
      <c r="C3095" s="2" t="s">
        <v>6441</v>
      </c>
      <c r="D3095" s="2"/>
      <c r="E3095" s="2" t="s">
        <v>29</v>
      </c>
      <c r="F3095" s="3" t="n">
        <v>2.5E-005</v>
      </c>
      <c r="G3095" s="3" t="n">
        <f aca="false">SUM($F$2:F3095)</f>
        <v>0.978758</v>
      </c>
      <c r="H3095" s="4"/>
      <c r="I3095" s="5"/>
      <c r="J3095" s="4"/>
      <c r="K3095" s="5"/>
      <c r="L3095" s="6"/>
      <c r="M3095" s="5" t="str">
        <f aca="false">IF(AND(N(K3095)&gt;0,N(L3095)&gt;0),K3095/L3095,"")</f>
        <v/>
      </c>
      <c r="N3095" s="2" t="s">
        <v>1226</v>
      </c>
    </row>
    <row r="3096" customFormat="false" ht="15" hidden="false" customHeight="false" outlineLevel="0" collapsed="false">
      <c r="A3096" s="2" t="n">
        <v>3095</v>
      </c>
      <c r="B3096" s="2" t="s">
        <v>3099</v>
      </c>
      <c r="C3096" s="2" t="s">
        <v>6442</v>
      </c>
      <c r="D3096" s="2"/>
      <c r="E3096" s="2" t="s">
        <v>17</v>
      </c>
      <c r="F3096" s="3" t="n">
        <v>2.5E-005</v>
      </c>
      <c r="G3096" s="3" t="n">
        <f aca="false">SUM($F$2:F3096)</f>
        <v>0.978783</v>
      </c>
      <c r="H3096" s="4"/>
      <c r="I3096" s="5"/>
      <c r="J3096" s="4"/>
      <c r="K3096" s="5"/>
      <c r="L3096" s="6"/>
      <c r="M3096" s="5" t="str">
        <f aca="false">IF(AND(N(K3096)&gt;0,N(L3096)&gt;0),K3096/L3096,"")</f>
        <v/>
      </c>
      <c r="N3096" s="2" t="s">
        <v>1226</v>
      </c>
    </row>
    <row r="3097" customFormat="false" ht="15" hidden="false" customHeight="false" outlineLevel="0" collapsed="false">
      <c r="A3097" s="2" t="n">
        <v>3096</v>
      </c>
      <c r="B3097" s="2" t="s">
        <v>6443</v>
      </c>
      <c r="C3097" s="2" t="s">
        <v>6444</v>
      </c>
      <c r="D3097" s="2"/>
      <c r="E3097" s="2" t="s">
        <v>296</v>
      </c>
      <c r="F3097" s="3" t="n">
        <v>2.5E-005</v>
      </c>
      <c r="G3097" s="3" t="n">
        <f aca="false">SUM($F$2:F3097)</f>
        <v>0.978808</v>
      </c>
      <c r="H3097" s="4"/>
      <c r="I3097" s="5"/>
      <c r="J3097" s="4"/>
      <c r="K3097" s="5"/>
      <c r="L3097" s="6"/>
      <c r="M3097" s="5" t="str">
        <f aca="false">IF(AND(N(K3097)&gt;0,N(L3097)&gt;0),K3097/L3097,"")</f>
        <v/>
      </c>
      <c r="N3097" s="2" t="s">
        <v>1226</v>
      </c>
    </row>
    <row r="3098" customFormat="false" ht="15" hidden="false" customHeight="false" outlineLevel="0" collapsed="false">
      <c r="A3098" s="2" t="n">
        <v>3097</v>
      </c>
      <c r="B3098" s="2" t="s">
        <v>6445</v>
      </c>
      <c r="C3098" s="2" t="s">
        <v>6446</v>
      </c>
      <c r="D3098" s="2"/>
      <c r="E3098" s="2" t="s">
        <v>1345</v>
      </c>
      <c r="F3098" s="3" t="n">
        <v>2.5E-005</v>
      </c>
      <c r="G3098" s="3" t="n">
        <f aca="false">SUM($F$2:F3098)</f>
        <v>0.978833</v>
      </c>
      <c r="H3098" s="4"/>
      <c r="I3098" s="5"/>
      <c r="J3098" s="4"/>
      <c r="K3098" s="5"/>
      <c r="L3098" s="6"/>
      <c r="M3098" s="5" t="str">
        <f aca="false">IF(AND(N(K3098)&gt;0,N(L3098)&gt;0),K3098/L3098,"")</f>
        <v/>
      </c>
      <c r="N3098" s="2" t="s">
        <v>1226</v>
      </c>
    </row>
    <row r="3099" customFormat="false" ht="15" hidden="false" customHeight="false" outlineLevel="0" collapsed="false">
      <c r="A3099" s="2" t="n">
        <v>3098</v>
      </c>
      <c r="B3099" s="2" t="s">
        <v>6447</v>
      </c>
      <c r="C3099" s="2" t="s">
        <v>6448</v>
      </c>
      <c r="D3099" s="2"/>
      <c r="E3099" s="2" t="s">
        <v>52</v>
      </c>
      <c r="F3099" s="3" t="n">
        <v>2.5E-005</v>
      </c>
      <c r="G3099" s="3" t="n">
        <f aca="false">SUM($F$2:F3099)</f>
        <v>0.978858</v>
      </c>
      <c r="H3099" s="4"/>
      <c r="I3099" s="5"/>
      <c r="J3099" s="4"/>
      <c r="K3099" s="5"/>
      <c r="L3099" s="6"/>
      <c r="M3099" s="5" t="str">
        <f aca="false">IF(AND(N(K3099)&gt;0,N(L3099)&gt;0),K3099/L3099,"")</f>
        <v/>
      </c>
      <c r="N3099" s="2" t="s">
        <v>1226</v>
      </c>
    </row>
    <row r="3100" customFormat="false" ht="15" hidden="false" customHeight="false" outlineLevel="0" collapsed="false">
      <c r="A3100" s="2" t="n">
        <v>3099</v>
      </c>
      <c r="B3100" s="2" t="s">
        <v>6449</v>
      </c>
      <c r="C3100" s="2" t="s">
        <v>6450</v>
      </c>
      <c r="D3100" s="2"/>
      <c r="E3100" s="2" t="s">
        <v>33</v>
      </c>
      <c r="F3100" s="3" t="n">
        <v>2.5E-005</v>
      </c>
      <c r="G3100" s="3" t="n">
        <f aca="false">SUM($F$2:F3100)</f>
        <v>0.978883</v>
      </c>
      <c r="H3100" s="4"/>
      <c r="I3100" s="5"/>
      <c r="J3100" s="4"/>
      <c r="K3100" s="5"/>
      <c r="L3100" s="6"/>
      <c r="M3100" s="5" t="str">
        <f aca="false">IF(AND(N(K3100)&gt;0,N(L3100)&gt;0),K3100/L3100,"")</f>
        <v/>
      </c>
      <c r="N3100" s="2" t="s">
        <v>1226</v>
      </c>
    </row>
    <row r="3101" customFormat="false" ht="15" hidden="false" customHeight="false" outlineLevel="0" collapsed="false">
      <c r="A3101" s="2" t="n">
        <v>3100</v>
      </c>
      <c r="B3101" s="2" t="s">
        <v>6451</v>
      </c>
      <c r="C3101" s="2" t="s">
        <v>6452</v>
      </c>
      <c r="D3101" s="2"/>
      <c r="E3101" s="2" t="s">
        <v>1345</v>
      </c>
      <c r="F3101" s="3" t="n">
        <v>2.5E-005</v>
      </c>
      <c r="G3101" s="3" t="n">
        <f aca="false">SUM($F$2:F3101)</f>
        <v>0.978908</v>
      </c>
      <c r="H3101" s="4"/>
      <c r="I3101" s="5"/>
      <c r="J3101" s="4"/>
      <c r="K3101" s="5"/>
      <c r="L3101" s="6"/>
      <c r="M3101" s="5" t="str">
        <f aca="false">IF(AND(N(K3101)&gt;0,N(L3101)&gt;0),K3101/L3101,"")</f>
        <v/>
      </c>
      <c r="N3101" s="2" t="s">
        <v>1226</v>
      </c>
    </row>
    <row r="3102" customFormat="false" ht="15" hidden="false" customHeight="false" outlineLevel="0" collapsed="false">
      <c r="A3102" s="2" t="n">
        <v>3101</v>
      </c>
      <c r="B3102" s="2" t="s">
        <v>6453</v>
      </c>
      <c r="C3102" s="2" t="s">
        <v>6454</v>
      </c>
      <c r="D3102" s="2"/>
      <c r="E3102" s="2" t="s">
        <v>52</v>
      </c>
      <c r="F3102" s="3" t="n">
        <v>2.5E-005</v>
      </c>
      <c r="G3102" s="3" t="n">
        <f aca="false">SUM($F$2:F3102)</f>
        <v>0.978933</v>
      </c>
      <c r="H3102" s="4"/>
      <c r="I3102" s="5"/>
      <c r="J3102" s="4"/>
      <c r="K3102" s="5"/>
      <c r="L3102" s="6"/>
      <c r="M3102" s="5" t="str">
        <f aca="false">IF(AND(N(K3102)&gt;0,N(L3102)&gt;0),K3102/L3102,"")</f>
        <v/>
      </c>
      <c r="N3102" s="2" t="s">
        <v>1226</v>
      </c>
    </row>
    <row r="3103" customFormat="false" ht="15" hidden="false" customHeight="false" outlineLevel="0" collapsed="false">
      <c r="A3103" s="2" t="n">
        <v>3102</v>
      </c>
      <c r="B3103" s="2" t="s">
        <v>6455</v>
      </c>
      <c r="C3103" s="2" t="s">
        <v>6456</v>
      </c>
      <c r="D3103" s="2"/>
      <c r="E3103" s="2" t="s">
        <v>52</v>
      </c>
      <c r="F3103" s="3" t="n">
        <v>2.5E-005</v>
      </c>
      <c r="G3103" s="3" t="n">
        <f aca="false">SUM($F$2:F3103)</f>
        <v>0.978958</v>
      </c>
      <c r="H3103" s="4"/>
      <c r="I3103" s="5"/>
      <c r="J3103" s="4"/>
      <c r="K3103" s="5"/>
      <c r="L3103" s="6"/>
      <c r="M3103" s="5" t="str">
        <f aca="false">IF(AND(N(K3103)&gt;0,N(L3103)&gt;0),K3103/L3103,"")</f>
        <v/>
      </c>
      <c r="N3103" s="2" t="s">
        <v>1226</v>
      </c>
    </row>
    <row r="3104" customFormat="false" ht="15" hidden="false" customHeight="false" outlineLevel="0" collapsed="false">
      <c r="A3104" s="2" t="n">
        <v>3103</v>
      </c>
      <c r="B3104" s="2" t="s">
        <v>6457</v>
      </c>
      <c r="C3104" s="2" t="s">
        <v>6458</v>
      </c>
      <c r="D3104" s="2"/>
      <c r="E3104" s="2" t="s">
        <v>17</v>
      </c>
      <c r="F3104" s="3" t="n">
        <v>2.5E-005</v>
      </c>
      <c r="G3104" s="3" t="n">
        <f aca="false">SUM($F$2:F3104)</f>
        <v>0.978983</v>
      </c>
      <c r="H3104" s="4"/>
      <c r="I3104" s="5"/>
      <c r="J3104" s="4"/>
      <c r="K3104" s="5"/>
      <c r="L3104" s="6"/>
      <c r="M3104" s="5" t="str">
        <f aca="false">IF(AND(N(K3104)&gt;0,N(L3104)&gt;0),K3104/L3104,"")</f>
        <v/>
      </c>
      <c r="N3104" s="2" t="s">
        <v>1226</v>
      </c>
    </row>
    <row r="3105" customFormat="false" ht="15" hidden="false" customHeight="false" outlineLevel="0" collapsed="false">
      <c r="A3105" s="2" t="n">
        <v>3104</v>
      </c>
      <c r="B3105" s="2" t="s">
        <v>6459</v>
      </c>
      <c r="C3105" s="2" t="s">
        <v>6460</v>
      </c>
      <c r="D3105" s="2"/>
      <c r="E3105" s="2" t="s">
        <v>1345</v>
      </c>
      <c r="F3105" s="3" t="n">
        <v>2.5E-005</v>
      </c>
      <c r="G3105" s="3" t="n">
        <f aca="false">SUM($F$2:F3105)</f>
        <v>0.979008</v>
      </c>
      <c r="H3105" s="4"/>
      <c r="I3105" s="5"/>
      <c r="J3105" s="4"/>
      <c r="K3105" s="5"/>
      <c r="L3105" s="6"/>
      <c r="M3105" s="5" t="str">
        <f aca="false">IF(AND(N(K3105)&gt;0,N(L3105)&gt;0),K3105/L3105,"")</f>
        <v/>
      </c>
      <c r="N3105" s="2" t="s">
        <v>1226</v>
      </c>
    </row>
    <row r="3106" customFormat="false" ht="15" hidden="false" customHeight="false" outlineLevel="0" collapsed="false">
      <c r="A3106" s="2" t="n">
        <v>3105</v>
      </c>
      <c r="B3106" s="2" t="s">
        <v>6461</v>
      </c>
      <c r="C3106" s="2" t="s">
        <v>6462</v>
      </c>
      <c r="D3106" s="2"/>
      <c r="E3106" s="2" t="s">
        <v>33</v>
      </c>
      <c r="F3106" s="3" t="n">
        <v>2.5E-005</v>
      </c>
      <c r="G3106" s="3" t="n">
        <f aca="false">SUM($F$2:F3106)</f>
        <v>0.979033</v>
      </c>
      <c r="H3106" s="4"/>
      <c r="I3106" s="5"/>
      <c r="J3106" s="4"/>
      <c r="K3106" s="5"/>
      <c r="L3106" s="6"/>
      <c r="M3106" s="5" t="str">
        <f aca="false">IF(AND(N(K3106)&gt;0,N(L3106)&gt;0),K3106/L3106,"")</f>
        <v/>
      </c>
      <c r="N3106" s="2" t="s">
        <v>1226</v>
      </c>
    </row>
    <row r="3107" customFormat="false" ht="15" hidden="false" customHeight="false" outlineLevel="0" collapsed="false">
      <c r="A3107" s="2" t="n">
        <v>3106</v>
      </c>
      <c r="B3107" s="2" t="s">
        <v>6463</v>
      </c>
      <c r="C3107" s="2" t="s">
        <v>6464</v>
      </c>
      <c r="D3107" s="2"/>
      <c r="E3107" s="2" t="s">
        <v>29</v>
      </c>
      <c r="F3107" s="3" t="n">
        <v>2.5E-005</v>
      </c>
      <c r="G3107" s="3" t="n">
        <f aca="false">SUM($F$2:F3107)</f>
        <v>0.979058</v>
      </c>
      <c r="H3107" s="4"/>
      <c r="I3107" s="5"/>
      <c r="J3107" s="4"/>
      <c r="K3107" s="5"/>
      <c r="L3107" s="6"/>
      <c r="M3107" s="5" t="str">
        <f aca="false">IF(AND(N(K3107)&gt;0,N(L3107)&gt;0),K3107/L3107,"")</f>
        <v/>
      </c>
      <c r="N3107" s="2" t="s">
        <v>1226</v>
      </c>
    </row>
    <row r="3108" customFormat="false" ht="15" hidden="false" customHeight="false" outlineLevel="0" collapsed="false">
      <c r="A3108" s="2" t="n">
        <v>3107</v>
      </c>
      <c r="B3108" s="2" t="s">
        <v>6465</v>
      </c>
      <c r="C3108" s="2" t="s">
        <v>6466</v>
      </c>
      <c r="D3108" s="2"/>
      <c r="E3108" s="2" t="s">
        <v>289</v>
      </c>
      <c r="F3108" s="3" t="n">
        <v>2.5E-005</v>
      </c>
      <c r="G3108" s="3" t="n">
        <f aca="false">SUM($F$2:F3108)</f>
        <v>0.979083</v>
      </c>
      <c r="H3108" s="4"/>
      <c r="I3108" s="5"/>
      <c r="J3108" s="4"/>
      <c r="K3108" s="5"/>
      <c r="L3108" s="6"/>
      <c r="M3108" s="5" t="str">
        <f aca="false">IF(AND(N(K3108)&gt;0,N(L3108)&gt;0),K3108/L3108,"")</f>
        <v/>
      </c>
      <c r="N3108" s="2" t="s">
        <v>1226</v>
      </c>
    </row>
    <row r="3109" customFormat="false" ht="15" hidden="false" customHeight="false" outlineLevel="0" collapsed="false">
      <c r="A3109" s="2" t="n">
        <v>3108</v>
      </c>
      <c r="B3109" s="2" t="s">
        <v>6467</v>
      </c>
      <c r="C3109" s="2" t="s">
        <v>6468</v>
      </c>
      <c r="D3109" s="2"/>
      <c r="E3109" s="2" t="s">
        <v>289</v>
      </c>
      <c r="F3109" s="3" t="n">
        <v>2.5E-005</v>
      </c>
      <c r="G3109" s="3" t="n">
        <f aca="false">SUM($F$2:F3109)</f>
        <v>0.979108</v>
      </c>
      <c r="H3109" s="4"/>
      <c r="I3109" s="5"/>
      <c r="J3109" s="4"/>
      <c r="K3109" s="5"/>
      <c r="L3109" s="6"/>
      <c r="M3109" s="5" t="str">
        <f aca="false">IF(AND(N(K3109)&gt;0,N(L3109)&gt;0),K3109/L3109,"")</f>
        <v/>
      </c>
      <c r="N3109" s="2" t="s">
        <v>1226</v>
      </c>
    </row>
    <row r="3110" customFormat="false" ht="15" hidden="false" customHeight="false" outlineLevel="0" collapsed="false">
      <c r="A3110" s="2" t="n">
        <v>3109</v>
      </c>
      <c r="B3110" s="2" t="s">
        <v>6469</v>
      </c>
      <c r="C3110" s="2" t="s">
        <v>6470</v>
      </c>
      <c r="D3110" s="2"/>
      <c r="E3110" s="2" t="s">
        <v>1245</v>
      </c>
      <c r="F3110" s="3" t="n">
        <v>2.5E-005</v>
      </c>
      <c r="G3110" s="3" t="n">
        <f aca="false">SUM($F$2:F3110)</f>
        <v>0.979133</v>
      </c>
      <c r="H3110" s="4"/>
      <c r="I3110" s="5"/>
      <c r="J3110" s="4"/>
      <c r="K3110" s="5"/>
      <c r="L3110" s="6"/>
      <c r="M3110" s="5" t="str">
        <f aca="false">IF(AND(N(K3110)&gt;0,N(L3110)&gt;0),K3110/L3110,"")</f>
        <v/>
      </c>
      <c r="N3110" s="2" t="s">
        <v>1226</v>
      </c>
    </row>
    <row r="3111" customFormat="false" ht="15" hidden="false" customHeight="false" outlineLevel="0" collapsed="false">
      <c r="A3111" s="2" t="n">
        <v>3110</v>
      </c>
      <c r="B3111" s="2" t="s">
        <v>6471</v>
      </c>
      <c r="C3111" s="2" t="s">
        <v>6472</v>
      </c>
      <c r="D3111" s="2"/>
      <c r="E3111" s="2" t="s">
        <v>1345</v>
      </c>
      <c r="F3111" s="3" t="n">
        <v>2.5E-005</v>
      </c>
      <c r="G3111" s="3" t="n">
        <f aca="false">SUM($F$2:F3111)</f>
        <v>0.979158</v>
      </c>
      <c r="H3111" s="4"/>
      <c r="I3111" s="5"/>
      <c r="J3111" s="4"/>
      <c r="K3111" s="5"/>
      <c r="L3111" s="6"/>
      <c r="M3111" s="5" t="str">
        <f aca="false">IF(AND(N(K3111)&gt;0,N(L3111)&gt;0),K3111/L3111,"")</f>
        <v/>
      </c>
      <c r="N3111" s="2" t="s">
        <v>1226</v>
      </c>
    </row>
    <row r="3112" customFormat="false" ht="15" hidden="false" customHeight="false" outlineLevel="0" collapsed="false">
      <c r="A3112" s="2" t="n">
        <v>3111</v>
      </c>
      <c r="B3112" s="2" t="s">
        <v>6473</v>
      </c>
      <c r="C3112" s="2" t="s">
        <v>6474</v>
      </c>
      <c r="D3112" s="2"/>
      <c r="E3112" s="2" t="s">
        <v>29</v>
      </c>
      <c r="F3112" s="3" t="n">
        <v>2.5E-005</v>
      </c>
      <c r="G3112" s="3" t="n">
        <f aca="false">SUM($F$2:F3112)</f>
        <v>0.979183</v>
      </c>
      <c r="H3112" s="4"/>
      <c r="I3112" s="5"/>
      <c r="J3112" s="4"/>
      <c r="K3112" s="5"/>
      <c r="L3112" s="6"/>
      <c r="M3112" s="5" t="str">
        <f aca="false">IF(AND(N(K3112)&gt;0,N(L3112)&gt;0),K3112/L3112,"")</f>
        <v/>
      </c>
      <c r="N3112" s="2" t="s">
        <v>1226</v>
      </c>
    </row>
    <row r="3113" customFormat="false" ht="15" hidden="false" customHeight="false" outlineLevel="0" collapsed="false">
      <c r="A3113" s="2" t="n">
        <v>3112</v>
      </c>
      <c r="B3113" s="2" t="s">
        <v>6475</v>
      </c>
      <c r="C3113" s="2" t="s">
        <v>6476</v>
      </c>
      <c r="D3113" s="2"/>
      <c r="E3113" s="2" t="s">
        <v>43</v>
      </c>
      <c r="F3113" s="3" t="n">
        <v>2.5E-005</v>
      </c>
      <c r="G3113" s="3" t="n">
        <f aca="false">SUM($F$2:F3113)</f>
        <v>0.979208</v>
      </c>
      <c r="H3113" s="4"/>
      <c r="I3113" s="5"/>
      <c r="J3113" s="4"/>
      <c r="K3113" s="5"/>
      <c r="L3113" s="6"/>
      <c r="M3113" s="5" t="str">
        <f aca="false">IF(AND(N(K3113)&gt;0,N(L3113)&gt;0),K3113/L3113,"")</f>
        <v/>
      </c>
      <c r="N3113" s="2" t="s">
        <v>1226</v>
      </c>
    </row>
    <row r="3114" customFormat="false" ht="15" hidden="false" customHeight="false" outlineLevel="0" collapsed="false">
      <c r="A3114" s="2" t="n">
        <v>3113</v>
      </c>
      <c r="B3114" s="2" t="s">
        <v>6477</v>
      </c>
      <c r="C3114" s="2" t="s">
        <v>6478</v>
      </c>
      <c r="D3114" s="2"/>
      <c r="E3114" s="2" t="s">
        <v>289</v>
      </c>
      <c r="F3114" s="3" t="n">
        <v>2.5E-005</v>
      </c>
      <c r="G3114" s="3" t="n">
        <f aca="false">SUM($F$2:F3114)</f>
        <v>0.979233</v>
      </c>
      <c r="H3114" s="4"/>
      <c r="I3114" s="5"/>
      <c r="J3114" s="4"/>
      <c r="K3114" s="5"/>
      <c r="L3114" s="6"/>
      <c r="M3114" s="5" t="str">
        <f aca="false">IF(AND(N(K3114)&gt;0,N(L3114)&gt;0),K3114/L3114,"")</f>
        <v/>
      </c>
      <c r="N3114" s="2" t="s">
        <v>1226</v>
      </c>
    </row>
    <row r="3115" customFormat="false" ht="15" hidden="false" customHeight="false" outlineLevel="0" collapsed="false">
      <c r="A3115" s="2" t="n">
        <v>3114</v>
      </c>
      <c r="B3115" s="2" t="s">
        <v>6479</v>
      </c>
      <c r="C3115" s="2" t="s">
        <v>6480</v>
      </c>
      <c r="D3115" s="2"/>
      <c r="E3115" s="2" t="s">
        <v>1345</v>
      </c>
      <c r="F3115" s="3" t="n">
        <v>2.5E-005</v>
      </c>
      <c r="G3115" s="3" t="n">
        <f aca="false">SUM($F$2:F3115)</f>
        <v>0.979258</v>
      </c>
      <c r="H3115" s="4"/>
      <c r="I3115" s="5"/>
      <c r="J3115" s="4"/>
      <c r="K3115" s="5"/>
      <c r="L3115" s="6"/>
      <c r="M3115" s="5" t="str">
        <f aca="false">IF(AND(N(K3115)&gt;0,N(L3115)&gt;0),K3115/L3115,"")</f>
        <v/>
      </c>
      <c r="N3115" s="2" t="s">
        <v>1226</v>
      </c>
    </row>
    <row r="3116" customFormat="false" ht="15" hidden="false" customHeight="false" outlineLevel="0" collapsed="false">
      <c r="A3116" s="2" t="n">
        <v>3115</v>
      </c>
      <c r="B3116" s="2" t="s">
        <v>6481</v>
      </c>
      <c r="C3116" s="2" t="s">
        <v>6482</v>
      </c>
      <c r="D3116" s="2"/>
      <c r="E3116" s="2" t="s">
        <v>33</v>
      </c>
      <c r="F3116" s="3" t="n">
        <v>2.5E-005</v>
      </c>
      <c r="G3116" s="3" t="n">
        <f aca="false">SUM($F$2:F3116)</f>
        <v>0.979283</v>
      </c>
      <c r="H3116" s="4"/>
      <c r="I3116" s="5"/>
      <c r="J3116" s="4"/>
      <c r="K3116" s="5"/>
      <c r="L3116" s="6"/>
      <c r="M3116" s="5" t="str">
        <f aca="false">IF(AND(N(K3116)&gt;0,N(L3116)&gt;0),K3116/L3116,"")</f>
        <v/>
      </c>
      <c r="N3116" s="2" t="s">
        <v>1226</v>
      </c>
    </row>
    <row r="3117" customFormat="false" ht="15" hidden="false" customHeight="false" outlineLevel="0" collapsed="false">
      <c r="A3117" s="2" t="n">
        <v>3116</v>
      </c>
      <c r="B3117" s="2" t="s">
        <v>6483</v>
      </c>
      <c r="C3117" s="2" t="s">
        <v>6484</v>
      </c>
      <c r="D3117" s="2"/>
      <c r="E3117" s="2" t="s">
        <v>1345</v>
      </c>
      <c r="F3117" s="3" t="n">
        <v>2.5E-005</v>
      </c>
      <c r="G3117" s="3" t="n">
        <f aca="false">SUM($F$2:F3117)</f>
        <v>0.979308</v>
      </c>
      <c r="H3117" s="4"/>
      <c r="I3117" s="5"/>
      <c r="J3117" s="4"/>
      <c r="K3117" s="5"/>
      <c r="L3117" s="6"/>
      <c r="M3117" s="5" t="str">
        <f aca="false">IF(AND(N(K3117)&gt;0,N(L3117)&gt;0),K3117/L3117,"")</f>
        <v/>
      </c>
      <c r="N3117" s="2" t="s">
        <v>1226</v>
      </c>
    </row>
    <row r="3118" customFormat="false" ht="15" hidden="false" customHeight="false" outlineLevel="0" collapsed="false">
      <c r="A3118" s="2" t="n">
        <v>3117</v>
      </c>
      <c r="B3118" s="2" t="s">
        <v>6485</v>
      </c>
      <c r="C3118" s="2" t="s">
        <v>6486</v>
      </c>
      <c r="D3118" s="2"/>
      <c r="E3118" s="2" t="s">
        <v>1345</v>
      </c>
      <c r="F3118" s="3" t="n">
        <v>2.5E-005</v>
      </c>
      <c r="G3118" s="3" t="n">
        <f aca="false">SUM($F$2:F3118)</f>
        <v>0.979333</v>
      </c>
      <c r="H3118" s="4"/>
      <c r="I3118" s="5"/>
      <c r="J3118" s="4"/>
      <c r="K3118" s="5"/>
      <c r="L3118" s="6"/>
      <c r="M3118" s="5" t="str">
        <f aca="false">IF(AND(N(K3118)&gt;0,N(L3118)&gt;0),K3118/L3118,"")</f>
        <v/>
      </c>
      <c r="N3118" s="2" t="s">
        <v>1226</v>
      </c>
    </row>
    <row r="3119" customFormat="false" ht="15" hidden="false" customHeight="false" outlineLevel="0" collapsed="false">
      <c r="A3119" s="2" t="n">
        <v>3118</v>
      </c>
      <c r="B3119" s="2" t="s">
        <v>6487</v>
      </c>
      <c r="C3119" s="2" t="s">
        <v>6488</v>
      </c>
      <c r="D3119" s="2"/>
      <c r="E3119" s="2" t="s">
        <v>29</v>
      </c>
      <c r="F3119" s="3" t="n">
        <v>2.5E-005</v>
      </c>
      <c r="G3119" s="3" t="n">
        <f aca="false">SUM($F$2:F3119)</f>
        <v>0.979358</v>
      </c>
      <c r="H3119" s="4"/>
      <c r="I3119" s="5"/>
      <c r="J3119" s="4"/>
      <c r="K3119" s="5"/>
      <c r="L3119" s="6"/>
      <c r="M3119" s="5" t="str">
        <f aca="false">IF(AND(N(K3119)&gt;0,N(L3119)&gt;0),K3119/L3119,"")</f>
        <v/>
      </c>
      <c r="N3119" s="2" t="s">
        <v>1226</v>
      </c>
    </row>
    <row r="3120" customFormat="false" ht="15" hidden="false" customHeight="false" outlineLevel="0" collapsed="false">
      <c r="A3120" s="2" t="n">
        <v>3119</v>
      </c>
      <c r="B3120" s="2" t="s">
        <v>6489</v>
      </c>
      <c r="C3120" s="2" t="s">
        <v>6490</v>
      </c>
      <c r="D3120" s="2"/>
      <c r="E3120" s="2" t="s">
        <v>29</v>
      </c>
      <c r="F3120" s="3" t="n">
        <v>2.5E-005</v>
      </c>
      <c r="G3120" s="3" t="n">
        <f aca="false">SUM($F$2:F3120)</f>
        <v>0.979383</v>
      </c>
      <c r="H3120" s="4"/>
      <c r="I3120" s="5"/>
      <c r="J3120" s="4"/>
      <c r="K3120" s="5"/>
      <c r="L3120" s="6"/>
      <c r="M3120" s="5" t="str">
        <f aca="false">IF(AND(N(K3120)&gt;0,N(L3120)&gt;0),K3120/L3120,"")</f>
        <v/>
      </c>
      <c r="N3120" s="2" t="s">
        <v>1226</v>
      </c>
    </row>
    <row r="3121" customFormat="false" ht="15" hidden="false" customHeight="false" outlineLevel="0" collapsed="false">
      <c r="A3121" s="2" t="n">
        <v>3120</v>
      </c>
      <c r="B3121" s="2" t="s">
        <v>6491</v>
      </c>
      <c r="C3121" s="2" t="s">
        <v>6492</v>
      </c>
      <c r="D3121" s="2"/>
      <c r="E3121" s="2" t="s">
        <v>765</v>
      </c>
      <c r="F3121" s="3" t="n">
        <v>2.5E-005</v>
      </c>
      <c r="G3121" s="3" t="n">
        <f aca="false">SUM($F$2:F3121)</f>
        <v>0.979408</v>
      </c>
      <c r="H3121" s="4"/>
      <c r="I3121" s="5"/>
      <c r="J3121" s="4"/>
      <c r="K3121" s="5"/>
      <c r="L3121" s="6"/>
      <c r="M3121" s="5" t="str">
        <f aca="false">IF(AND(N(K3121)&gt;0,N(L3121)&gt;0),K3121/L3121,"")</f>
        <v/>
      </c>
      <c r="N3121" s="2" t="s">
        <v>1226</v>
      </c>
    </row>
    <row r="3122" customFormat="false" ht="15" hidden="false" customHeight="false" outlineLevel="0" collapsed="false">
      <c r="A3122" s="2" t="n">
        <v>3121</v>
      </c>
      <c r="B3122" s="2" t="s">
        <v>6493</v>
      </c>
      <c r="C3122" s="2" t="s">
        <v>6494</v>
      </c>
      <c r="D3122" s="2"/>
      <c r="E3122" s="2" t="s">
        <v>25</v>
      </c>
      <c r="F3122" s="3" t="n">
        <v>2.5E-005</v>
      </c>
      <c r="G3122" s="3" t="n">
        <f aca="false">SUM($F$2:F3122)</f>
        <v>0.979433</v>
      </c>
      <c r="H3122" s="4"/>
      <c r="I3122" s="5"/>
      <c r="J3122" s="4"/>
      <c r="K3122" s="5"/>
      <c r="L3122" s="6"/>
      <c r="M3122" s="5" t="str">
        <f aca="false">IF(AND(N(K3122)&gt;0,N(L3122)&gt;0),K3122/L3122,"")</f>
        <v/>
      </c>
      <c r="N3122" s="2" t="s">
        <v>1226</v>
      </c>
    </row>
    <row r="3123" customFormat="false" ht="15" hidden="false" customHeight="false" outlineLevel="0" collapsed="false">
      <c r="A3123" s="2" t="n">
        <v>3122</v>
      </c>
      <c r="B3123" s="2" t="s">
        <v>6495</v>
      </c>
      <c r="C3123" s="2" t="s">
        <v>6496</v>
      </c>
      <c r="D3123" s="2"/>
      <c r="E3123" s="2" t="s">
        <v>43</v>
      </c>
      <c r="F3123" s="3" t="n">
        <v>2.4E-005</v>
      </c>
      <c r="G3123" s="3" t="n">
        <f aca="false">SUM($F$2:F3123)</f>
        <v>0.979457</v>
      </c>
      <c r="H3123" s="4"/>
      <c r="I3123" s="5"/>
      <c r="J3123" s="4"/>
      <c r="K3123" s="5"/>
      <c r="L3123" s="6"/>
      <c r="M3123" s="5" t="str">
        <f aca="false">IF(AND(N(K3123)&gt;0,N(L3123)&gt;0),K3123/L3123,"")</f>
        <v/>
      </c>
      <c r="N3123" s="2" t="s">
        <v>1226</v>
      </c>
    </row>
    <row r="3124" customFormat="false" ht="15" hidden="false" customHeight="false" outlineLevel="0" collapsed="false">
      <c r="A3124" s="2" t="n">
        <v>3123</v>
      </c>
      <c r="B3124" s="2" t="s">
        <v>6497</v>
      </c>
      <c r="C3124" s="2" t="s">
        <v>6498</v>
      </c>
      <c r="D3124" s="2"/>
      <c r="E3124" s="2" t="s">
        <v>29</v>
      </c>
      <c r="F3124" s="3" t="n">
        <v>2.4E-005</v>
      </c>
      <c r="G3124" s="3" t="n">
        <f aca="false">SUM($F$2:F3124)</f>
        <v>0.979481</v>
      </c>
      <c r="H3124" s="4"/>
      <c r="I3124" s="5"/>
      <c r="J3124" s="4"/>
      <c r="K3124" s="5"/>
      <c r="L3124" s="6"/>
      <c r="M3124" s="5" t="str">
        <f aca="false">IF(AND(N(K3124)&gt;0,N(L3124)&gt;0),K3124/L3124,"")</f>
        <v/>
      </c>
      <c r="N3124" s="2" t="s">
        <v>1226</v>
      </c>
    </row>
    <row r="3125" customFormat="false" ht="15" hidden="false" customHeight="false" outlineLevel="0" collapsed="false">
      <c r="A3125" s="2" t="n">
        <v>3124</v>
      </c>
      <c r="B3125" s="2" t="s">
        <v>5696</v>
      </c>
      <c r="C3125" s="2" t="s">
        <v>6499</v>
      </c>
      <c r="D3125" s="2"/>
      <c r="E3125" s="2" t="s">
        <v>43</v>
      </c>
      <c r="F3125" s="3" t="n">
        <v>2.4E-005</v>
      </c>
      <c r="G3125" s="3" t="n">
        <f aca="false">SUM($F$2:F3125)</f>
        <v>0.979505</v>
      </c>
      <c r="H3125" s="4"/>
      <c r="I3125" s="5"/>
      <c r="J3125" s="4"/>
      <c r="K3125" s="5"/>
      <c r="L3125" s="6"/>
      <c r="M3125" s="5" t="str">
        <f aca="false">IF(AND(N(K3125)&gt;0,N(L3125)&gt;0),K3125/L3125,"")</f>
        <v/>
      </c>
      <c r="N3125" s="2" t="s">
        <v>1226</v>
      </c>
    </row>
    <row r="3126" customFormat="false" ht="15" hidden="false" customHeight="false" outlineLevel="0" collapsed="false">
      <c r="A3126" s="2" t="n">
        <v>3125</v>
      </c>
      <c r="B3126" s="2" t="s">
        <v>6500</v>
      </c>
      <c r="C3126" s="2" t="s">
        <v>6501</v>
      </c>
      <c r="D3126" s="2"/>
      <c r="E3126" s="2" t="s">
        <v>1345</v>
      </c>
      <c r="F3126" s="3" t="n">
        <v>2.4E-005</v>
      </c>
      <c r="G3126" s="3" t="n">
        <f aca="false">SUM($F$2:F3126)</f>
        <v>0.979529</v>
      </c>
      <c r="H3126" s="4"/>
      <c r="I3126" s="5"/>
      <c r="J3126" s="4"/>
      <c r="K3126" s="5"/>
      <c r="L3126" s="6"/>
      <c r="M3126" s="5" t="str">
        <f aca="false">IF(AND(N(K3126)&gt;0,N(L3126)&gt;0),K3126/L3126,"")</f>
        <v/>
      </c>
      <c r="N3126" s="2" t="s">
        <v>1226</v>
      </c>
    </row>
    <row r="3127" customFormat="false" ht="15" hidden="false" customHeight="false" outlineLevel="0" collapsed="false">
      <c r="A3127" s="2" t="n">
        <v>3126</v>
      </c>
      <c r="B3127" s="2" t="s">
        <v>6502</v>
      </c>
      <c r="C3127" s="2" t="s">
        <v>6503</v>
      </c>
      <c r="D3127" s="2"/>
      <c r="E3127" s="2" t="s">
        <v>43</v>
      </c>
      <c r="F3127" s="3" t="n">
        <v>2.4E-005</v>
      </c>
      <c r="G3127" s="3" t="n">
        <f aca="false">SUM($F$2:F3127)</f>
        <v>0.979553</v>
      </c>
      <c r="H3127" s="4"/>
      <c r="I3127" s="5"/>
      <c r="J3127" s="4"/>
      <c r="K3127" s="5"/>
      <c r="L3127" s="6"/>
      <c r="M3127" s="5" t="str">
        <f aca="false">IF(AND(N(K3127)&gt;0,N(L3127)&gt;0),K3127/L3127,"")</f>
        <v/>
      </c>
      <c r="N3127" s="2" t="s">
        <v>1226</v>
      </c>
    </row>
    <row r="3128" customFormat="false" ht="15" hidden="false" customHeight="false" outlineLevel="0" collapsed="false">
      <c r="A3128" s="2" t="n">
        <v>3127</v>
      </c>
      <c r="B3128" s="2" t="s">
        <v>6504</v>
      </c>
      <c r="C3128" s="2" t="s">
        <v>6505</v>
      </c>
      <c r="D3128" s="2"/>
      <c r="E3128" s="2" t="s">
        <v>52</v>
      </c>
      <c r="F3128" s="3" t="n">
        <v>2.4E-005</v>
      </c>
      <c r="G3128" s="3" t="n">
        <f aca="false">SUM($F$2:F3128)</f>
        <v>0.979577</v>
      </c>
      <c r="H3128" s="4"/>
      <c r="I3128" s="5"/>
      <c r="J3128" s="4"/>
      <c r="K3128" s="5"/>
      <c r="L3128" s="6"/>
      <c r="M3128" s="5" t="str">
        <f aca="false">IF(AND(N(K3128)&gt;0,N(L3128)&gt;0),K3128/L3128,"")</f>
        <v/>
      </c>
      <c r="N3128" s="2" t="s">
        <v>1226</v>
      </c>
    </row>
    <row r="3129" customFormat="false" ht="15" hidden="false" customHeight="false" outlineLevel="0" collapsed="false">
      <c r="A3129" s="2" t="n">
        <v>3128</v>
      </c>
      <c r="B3129" s="2" t="s">
        <v>6506</v>
      </c>
      <c r="C3129" s="2" t="s">
        <v>6507</v>
      </c>
      <c r="D3129" s="2"/>
      <c r="E3129" s="2" t="s">
        <v>52</v>
      </c>
      <c r="F3129" s="3" t="n">
        <v>2.4E-005</v>
      </c>
      <c r="G3129" s="3" t="n">
        <f aca="false">SUM($F$2:F3129)</f>
        <v>0.979601</v>
      </c>
      <c r="H3129" s="4"/>
      <c r="I3129" s="5"/>
      <c r="J3129" s="4"/>
      <c r="K3129" s="5"/>
      <c r="L3129" s="6"/>
      <c r="M3129" s="5" t="str">
        <f aca="false">IF(AND(N(K3129)&gt;0,N(L3129)&gt;0),K3129/L3129,"")</f>
        <v/>
      </c>
      <c r="N3129" s="2" t="s">
        <v>1226</v>
      </c>
    </row>
    <row r="3130" customFormat="false" ht="15" hidden="false" customHeight="false" outlineLevel="0" collapsed="false">
      <c r="A3130" s="2" t="n">
        <v>3129</v>
      </c>
      <c r="B3130" s="2" t="s">
        <v>6508</v>
      </c>
      <c r="C3130" s="2" t="s">
        <v>6509</v>
      </c>
      <c r="D3130" s="2"/>
      <c r="E3130" s="2" t="s">
        <v>1345</v>
      </c>
      <c r="F3130" s="3" t="n">
        <v>2.4E-005</v>
      </c>
      <c r="G3130" s="3" t="n">
        <f aca="false">SUM($F$2:F3130)</f>
        <v>0.979625</v>
      </c>
      <c r="H3130" s="4"/>
      <c r="I3130" s="5"/>
      <c r="J3130" s="4"/>
      <c r="K3130" s="5"/>
      <c r="L3130" s="6"/>
      <c r="M3130" s="5" t="str">
        <f aca="false">IF(AND(N(K3130)&gt;0,N(L3130)&gt;0),K3130/L3130,"")</f>
        <v/>
      </c>
      <c r="N3130" s="2" t="s">
        <v>1226</v>
      </c>
    </row>
    <row r="3131" customFormat="false" ht="15" hidden="false" customHeight="false" outlineLevel="0" collapsed="false">
      <c r="A3131" s="2" t="n">
        <v>3130</v>
      </c>
      <c r="B3131" s="2" t="s">
        <v>6510</v>
      </c>
      <c r="C3131" s="2" t="s">
        <v>6511</v>
      </c>
      <c r="D3131" s="2"/>
      <c r="E3131" s="2" t="s">
        <v>43</v>
      </c>
      <c r="F3131" s="3" t="n">
        <v>2.4E-005</v>
      </c>
      <c r="G3131" s="3" t="n">
        <f aca="false">SUM($F$2:F3131)</f>
        <v>0.979649</v>
      </c>
      <c r="H3131" s="4"/>
      <c r="I3131" s="5"/>
      <c r="J3131" s="4"/>
      <c r="K3131" s="5"/>
      <c r="L3131" s="6"/>
      <c r="M3131" s="5" t="str">
        <f aca="false">IF(AND(N(K3131)&gt;0,N(L3131)&gt;0),K3131/L3131,"")</f>
        <v/>
      </c>
      <c r="N3131" s="2" t="s">
        <v>1226</v>
      </c>
    </row>
    <row r="3132" customFormat="false" ht="15" hidden="false" customHeight="false" outlineLevel="0" collapsed="false">
      <c r="A3132" s="2" t="n">
        <v>3131</v>
      </c>
      <c r="B3132" s="2" t="s">
        <v>6512</v>
      </c>
      <c r="C3132" s="2" t="s">
        <v>6513</v>
      </c>
      <c r="D3132" s="2"/>
      <c r="E3132" s="2" t="s">
        <v>29</v>
      </c>
      <c r="F3132" s="3" t="n">
        <v>2.4E-005</v>
      </c>
      <c r="G3132" s="3" t="n">
        <f aca="false">SUM($F$2:F3132)</f>
        <v>0.979673</v>
      </c>
      <c r="H3132" s="4"/>
      <c r="I3132" s="5"/>
      <c r="J3132" s="4"/>
      <c r="K3132" s="5"/>
      <c r="L3132" s="6"/>
      <c r="M3132" s="5" t="str">
        <f aca="false">IF(AND(N(K3132)&gt;0,N(L3132)&gt;0),K3132/L3132,"")</f>
        <v/>
      </c>
      <c r="N3132" s="2" t="s">
        <v>1226</v>
      </c>
    </row>
    <row r="3133" customFormat="false" ht="15" hidden="false" customHeight="false" outlineLevel="0" collapsed="false">
      <c r="A3133" s="2" t="n">
        <v>3132</v>
      </c>
      <c r="B3133" s="2" t="s">
        <v>6514</v>
      </c>
      <c r="C3133" s="2" t="s">
        <v>6515</v>
      </c>
      <c r="D3133" s="2"/>
      <c r="E3133" s="2" t="s">
        <v>289</v>
      </c>
      <c r="F3133" s="3" t="n">
        <v>2.4E-005</v>
      </c>
      <c r="G3133" s="3" t="n">
        <f aca="false">SUM($F$2:F3133)</f>
        <v>0.979697</v>
      </c>
      <c r="H3133" s="4"/>
      <c r="I3133" s="5"/>
      <c r="J3133" s="4"/>
      <c r="K3133" s="5"/>
      <c r="L3133" s="6"/>
      <c r="M3133" s="5" t="str">
        <f aca="false">IF(AND(N(K3133)&gt;0,N(L3133)&gt;0),K3133/L3133,"")</f>
        <v/>
      </c>
      <c r="N3133" s="2" t="s">
        <v>1226</v>
      </c>
    </row>
    <row r="3134" customFormat="false" ht="15" hidden="false" customHeight="false" outlineLevel="0" collapsed="false">
      <c r="A3134" s="2" t="n">
        <v>3133</v>
      </c>
      <c r="B3134" s="2" t="s">
        <v>6516</v>
      </c>
      <c r="C3134" s="2" t="s">
        <v>6517</v>
      </c>
      <c r="D3134" s="2"/>
      <c r="E3134" s="2" t="s">
        <v>334</v>
      </c>
      <c r="F3134" s="3" t="n">
        <v>2.4E-005</v>
      </c>
      <c r="G3134" s="3" t="n">
        <f aca="false">SUM($F$2:F3134)</f>
        <v>0.979721</v>
      </c>
      <c r="H3134" s="4"/>
      <c r="I3134" s="5"/>
      <c r="J3134" s="4"/>
      <c r="K3134" s="5"/>
      <c r="L3134" s="6"/>
      <c r="M3134" s="5" t="str">
        <f aca="false">IF(AND(N(K3134)&gt;0,N(L3134)&gt;0),K3134/L3134,"")</f>
        <v/>
      </c>
      <c r="N3134" s="2" t="s">
        <v>1226</v>
      </c>
    </row>
    <row r="3135" customFormat="false" ht="15" hidden="false" customHeight="false" outlineLevel="0" collapsed="false">
      <c r="A3135" s="2" t="n">
        <v>3134</v>
      </c>
      <c r="B3135" s="2" t="s">
        <v>6518</v>
      </c>
      <c r="C3135" s="2" t="s">
        <v>6519</v>
      </c>
      <c r="D3135" s="2"/>
      <c r="E3135" s="2" t="s">
        <v>25</v>
      </c>
      <c r="F3135" s="3" t="n">
        <v>2.4E-005</v>
      </c>
      <c r="G3135" s="3" t="n">
        <f aca="false">SUM($F$2:F3135)</f>
        <v>0.979745</v>
      </c>
      <c r="H3135" s="4"/>
      <c r="I3135" s="5"/>
      <c r="J3135" s="4"/>
      <c r="K3135" s="5"/>
      <c r="L3135" s="6"/>
      <c r="M3135" s="5" t="str">
        <f aca="false">IF(AND(N(K3135)&gt;0,N(L3135)&gt;0),K3135/L3135,"")</f>
        <v/>
      </c>
      <c r="N3135" s="2" t="s">
        <v>1226</v>
      </c>
    </row>
    <row r="3136" customFormat="false" ht="15" hidden="false" customHeight="false" outlineLevel="0" collapsed="false">
      <c r="A3136" s="2" t="n">
        <v>3135</v>
      </c>
      <c r="B3136" s="2" t="s">
        <v>6520</v>
      </c>
      <c r="C3136" s="2" t="s">
        <v>6521</v>
      </c>
      <c r="D3136" s="2"/>
      <c r="E3136" s="2" t="s">
        <v>17</v>
      </c>
      <c r="F3136" s="3" t="n">
        <v>2.4E-005</v>
      </c>
      <c r="G3136" s="3" t="n">
        <f aca="false">SUM($F$2:F3136)</f>
        <v>0.979769</v>
      </c>
      <c r="H3136" s="4"/>
      <c r="I3136" s="5"/>
      <c r="J3136" s="4"/>
      <c r="K3136" s="5"/>
      <c r="L3136" s="6"/>
      <c r="M3136" s="5" t="str">
        <f aca="false">IF(AND(N(K3136)&gt;0,N(L3136)&gt;0),K3136/L3136,"")</f>
        <v/>
      </c>
      <c r="N3136" s="2" t="s">
        <v>1226</v>
      </c>
    </row>
    <row r="3137" customFormat="false" ht="15" hidden="false" customHeight="false" outlineLevel="0" collapsed="false">
      <c r="A3137" s="2" t="n">
        <v>3136</v>
      </c>
      <c r="B3137" s="2" t="s">
        <v>6522</v>
      </c>
      <c r="C3137" s="2" t="s">
        <v>6523</v>
      </c>
      <c r="D3137" s="2"/>
      <c r="E3137" s="2" t="s">
        <v>1345</v>
      </c>
      <c r="F3137" s="3" t="n">
        <v>2.4E-005</v>
      </c>
      <c r="G3137" s="3" t="n">
        <f aca="false">SUM($F$2:F3137)</f>
        <v>0.979793</v>
      </c>
      <c r="H3137" s="4"/>
      <c r="I3137" s="5"/>
      <c r="J3137" s="4"/>
      <c r="K3137" s="5"/>
      <c r="L3137" s="6"/>
      <c r="M3137" s="5" t="str">
        <f aca="false">IF(AND(N(K3137)&gt;0,N(L3137)&gt;0),K3137/L3137,"")</f>
        <v/>
      </c>
      <c r="N3137" s="2" t="s">
        <v>1226</v>
      </c>
    </row>
    <row r="3138" customFormat="false" ht="15" hidden="false" customHeight="false" outlineLevel="0" collapsed="false">
      <c r="A3138" s="2" t="n">
        <v>3137</v>
      </c>
      <c r="B3138" s="2" t="s">
        <v>6524</v>
      </c>
      <c r="C3138" s="2" t="s">
        <v>6525</v>
      </c>
      <c r="D3138" s="2"/>
      <c r="E3138" s="2" t="s">
        <v>199</v>
      </c>
      <c r="F3138" s="3" t="n">
        <v>2.4E-005</v>
      </c>
      <c r="G3138" s="3" t="n">
        <f aca="false">SUM($F$2:F3138)</f>
        <v>0.979817</v>
      </c>
      <c r="H3138" s="4"/>
      <c r="I3138" s="5"/>
      <c r="J3138" s="4"/>
      <c r="K3138" s="5"/>
      <c r="L3138" s="6"/>
      <c r="M3138" s="5" t="str">
        <f aca="false">IF(AND(N(K3138)&gt;0,N(L3138)&gt;0),K3138/L3138,"")</f>
        <v/>
      </c>
      <c r="N3138" s="2" t="s">
        <v>1226</v>
      </c>
    </row>
    <row r="3139" customFormat="false" ht="15" hidden="false" customHeight="false" outlineLevel="0" collapsed="false">
      <c r="A3139" s="2" t="n">
        <v>3138</v>
      </c>
      <c r="B3139" s="2" t="s">
        <v>6526</v>
      </c>
      <c r="C3139" s="2" t="s">
        <v>6527</v>
      </c>
      <c r="D3139" s="2"/>
      <c r="E3139" s="2" t="s">
        <v>1345</v>
      </c>
      <c r="F3139" s="3" t="n">
        <v>2.4E-005</v>
      </c>
      <c r="G3139" s="3" t="n">
        <f aca="false">SUM($F$2:F3139)</f>
        <v>0.979841</v>
      </c>
      <c r="H3139" s="4"/>
      <c r="I3139" s="5"/>
      <c r="J3139" s="4"/>
      <c r="K3139" s="5"/>
      <c r="L3139" s="6"/>
      <c r="M3139" s="5" t="str">
        <f aca="false">IF(AND(N(K3139)&gt;0,N(L3139)&gt;0),K3139/L3139,"")</f>
        <v/>
      </c>
      <c r="N3139" s="2" t="s">
        <v>1226</v>
      </c>
    </row>
    <row r="3140" customFormat="false" ht="15" hidden="false" customHeight="false" outlineLevel="0" collapsed="false">
      <c r="A3140" s="2" t="n">
        <v>3139</v>
      </c>
      <c r="B3140" s="2" t="s">
        <v>6528</v>
      </c>
      <c r="C3140" s="2" t="s">
        <v>6529</v>
      </c>
      <c r="D3140" s="2"/>
      <c r="E3140" s="2" t="s">
        <v>1345</v>
      </c>
      <c r="F3140" s="3" t="n">
        <v>2.4E-005</v>
      </c>
      <c r="G3140" s="3" t="n">
        <f aca="false">SUM($F$2:F3140)</f>
        <v>0.979865</v>
      </c>
      <c r="H3140" s="4"/>
      <c r="I3140" s="5"/>
      <c r="J3140" s="4"/>
      <c r="K3140" s="5"/>
      <c r="L3140" s="6"/>
      <c r="M3140" s="5" t="str">
        <f aca="false">IF(AND(N(K3140)&gt;0,N(L3140)&gt;0),K3140/L3140,"")</f>
        <v/>
      </c>
      <c r="N3140" s="2" t="s">
        <v>1226</v>
      </c>
    </row>
    <row r="3141" customFormat="false" ht="15" hidden="false" customHeight="false" outlineLevel="0" collapsed="false">
      <c r="A3141" s="2" t="n">
        <v>3140</v>
      </c>
      <c r="B3141" s="2" t="s">
        <v>6530</v>
      </c>
      <c r="C3141" s="2" t="s">
        <v>6531</v>
      </c>
      <c r="D3141" s="2"/>
      <c r="E3141" s="2" t="s">
        <v>1050</v>
      </c>
      <c r="F3141" s="3" t="n">
        <v>2.4E-005</v>
      </c>
      <c r="G3141" s="3" t="n">
        <f aca="false">SUM($F$2:F3141)</f>
        <v>0.979889</v>
      </c>
      <c r="H3141" s="4"/>
      <c r="I3141" s="5"/>
      <c r="J3141" s="4"/>
      <c r="K3141" s="5"/>
      <c r="L3141" s="6"/>
      <c r="M3141" s="5" t="str">
        <f aca="false">IF(AND(N(K3141)&gt;0,N(L3141)&gt;0),K3141/L3141,"")</f>
        <v/>
      </c>
      <c r="N3141" s="2" t="s">
        <v>1226</v>
      </c>
    </row>
    <row r="3142" customFormat="false" ht="15" hidden="false" customHeight="false" outlineLevel="0" collapsed="false">
      <c r="A3142" s="2" t="n">
        <v>3141</v>
      </c>
      <c r="B3142" s="2" t="s">
        <v>6532</v>
      </c>
      <c r="C3142" s="2" t="s">
        <v>6533</v>
      </c>
      <c r="D3142" s="2"/>
      <c r="E3142" s="2" t="s">
        <v>1245</v>
      </c>
      <c r="F3142" s="3" t="n">
        <v>2.4E-005</v>
      </c>
      <c r="G3142" s="3" t="n">
        <f aca="false">SUM($F$2:F3142)</f>
        <v>0.979913</v>
      </c>
      <c r="H3142" s="4"/>
      <c r="I3142" s="5"/>
      <c r="J3142" s="4"/>
      <c r="K3142" s="5"/>
      <c r="L3142" s="6"/>
      <c r="M3142" s="5" t="str">
        <f aca="false">IF(AND(N(K3142)&gt;0,N(L3142)&gt;0),K3142/L3142,"")</f>
        <v/>
      </c>
      <c r="N3142" s="2" t="s">
        <v>1226</v>
      </c>
    </row>
    <row r="3143" customFormat="false" ht="15" hidden="false" customHeight="false" outlineLevel="0" collapsed="false">
      <c r="A3143" s="2" t="n">
        <v>3142</v>
      </c>
      <c r="B3143" s="2" t="s">
        <v>6534</v>
      </c>
      <c r="C3143" s="2" t="s">
        <v>6535</v>
      </c>
      <c r="D3143" s="2"/>
      <c r="E3143" s="2" t="s">
        <v>1345</v>
      </c>
      <c r="F3143" s="3" t="n">
        <v>2.4E-005</v>
      </c>
      <c r="G3143" s="3" t="n">
        <f aca="false">SUM($F$2:F3143)</f>
        <v>0.979937</v>
      </c>
      <c r="H3143" s="4"/>
      <c r="I3143" s="5"/>
      <c r="J3143" s="4"/>
      <c r="K3143" s="5"/>
      <c r="L3143" s="6"/>
      <c r="M3143" s="5" t="str">
        <f aca="false">IF(AND(N(K3143)&gt;0,N(L3143)&gt;0),K3143/L3143,"")</f>
        <v/>
      </c>
      <c r="N3143" s="2" t="s">
        <v>1226</v>
      </c>
    </row>
    <row r="3144" customFormat="false" ht="15" hidden="false" customHeight="false" outlineLevel="0" collapsed="false">
      <c r="A3144" s="2" t="n">
        <v>3143</v>
      </c>
      <c r="B3144" s="2" t="s">
        <v>6536</v>
      </c>
      <c r="C3144" s="2" t="s">
        <v>6537</v>
      </c>
      <c r="D3144" s="2"/>
      <c r="E3144" s="2" t="s">
        <v>1245</v>
      </c>
      <c r="F3144" s="3" t="n">
        <v>2.4E-005</v>
      </c>
      <c r="G3144" s="3" t="n">
        <f aca="false">SUM($F$2:F3144)</f>
        <v>0.979961</v>
      </c>
      <c r="H3144" s="4"/>
      <c r="I3144" s="5"/>
      <c r="J3144" s="4"/>
      <c r="K3144" s="5"/>
      <c r="L3144" s="6"/>
      <c r="M3144" s="5" t="str">
        <f aca="false">IF(AND(N(K3144)&gt;0,N(L3144)&gt;0),K3144/L3144,"")</f>
        <v/>
      </c>
      <c r="N3144" s="2" t="s">
        <v>1226</v>
      </c>
    </row>
    <row r="3145" customFormat="false" ht="15" hidden="false" customHeight="false" outlineLevel="0" collapsed="false">
      <c r="A3145" s="2" t="n">
        <v>3144</v>
      </c>
      <c r="B3145" s="2" t="s">
        <v>6538</v>
      </c>
      <c r="C3145" s="2" t="s">
        <v>6539</v>
      </c>
      <c r="D3145" s="2"/>
      <c r="E3145" s="2" t="s">
        <v>1345</v>
      </c>
      <c r="F3145" s="3" t="n">
        <v>2.4E-005</v>
      </c>
      <c r="G3145" s="3" t="n">
        <f aca="false">SUM($F$2:F3145)</f>
        <v>0.979985</v>
      </c>
      <c r="H3145" s="4"/>
      <c r="I3145" s="5"/>
      <c r="J3145" s="4"/>
      <c r="K3145" s="5"/>
      <c r="L3145" s="6"/>
      <c r="M3145" s="5" t="str">
        <f aca="false">IF(AND(N(K3145)&gt;0,N(L3145)&gt;0),K3145/L3145,"")</f>
        <v/>
      </c>
      <c r="N3145" s="2" t="s">
        <v>1226</v>
      </c>
    </row>
    <row r="3146" customFormat="false" ht="15" hidden="false" customHeight="false" outlineLevel="0" collapsed="false">
      <c r="A3146" s="2" t="n">
        <v>3145</v>
      </c>
      <c r="B3146" s="2" t="s">
        <v>6540</v>
      </c>
      <c r="C3146" s="2" t="s">
        <v>6541</v>
      </c>
      <c r="D3146" s="2"/>
      <c r="E3146" s="2" t="s">
        <v>52</v>
      </c>
      <c r="F3146" s="3" t="n">
        <v>2.4E-005</v>
      </c>
      <c r="G3146" s="3" t="n">
        <f aca="false">SUM($F$2:F3146)</f>
        <v>0.980009</v>
      </c>
      <c r="H3146" s="4"/>
      <c r="I3146" s="5"/>
      <c r="J3146" s="4"/>
      <c r="K3146" s="5"/>
      <c r="L3146" s="6"/>
      <c r="M3146" s="5" t="str">
        <f aca="false">IF(AND(N(K3146)&gt;0,N(L3146)&gt;0),K3146/L3146,"")</f>
        <v/>
      </c>
      <c r="N3146" s="2" t="s">
        <v>1226</v>
      </c>
    </row>
    <row r="3147" customFormat="false" ht="15" hidden="false" customHeight="false" outlineLevel="0" collapsed="false">
      <c r="A3147" s="2" t="n">
        <v>3146</v>
      </c>
      <c r="B3147" s="2" t="s">
        <v>6542</v>
      </c>
      <c r="C3147" s="2" t="s">
        <v>6543</v>
      </c>
      <c r="D3147" s="2"/>
      <c r="E3147" s="2" t="s">
        <v>289</v>
      </c>
      <c r="F3147" s="3" t="n">
        <v>2.4E-005</v>
      </c>
      <c r="G3147" s="3" t="n">
        <f aca="false">SUM($F$2:F3147)</f>
        <v>0.980033</v>
      </c>
      <c r="H3147" s="4"/>
      <c r="I3147" s="5"/>
      <c r="J3147" s="4"/>
      <c r="K3147" s="5"/>
      <c r="L3147" s="6"/>
      <c r="M3147" s="5" t="str">
        <f aca="false">IF(AND(N(K3147)&gt;0,N(L3147)&gt;0),K3147/L3147,"")</f>
        <v/>
      </c>
      <c r="N3147" s="2" t="s">
        <v>1226</v>
      </c>
    </row>
    <row r="3148" customFormat="false" ht="15" hidden="false" customHeight="false" outlineLevel="0" collapsed="false">
      <c r="A3148" s="2" t="n">
        <v>3147</v>
      </c>
      <c r="B3148" s="2" t="s">
        <v>6544</v>
      </c>
      <c r="C3148" s="2" t="s">
        <v>6545</v>
      </c>
      <c r="D3148" s="2"/>
      <c r="E3148" s="2" t="s">
        <v>289</v>
      </c>
      <c r="F3148" s="3" t="n">
        <v>2.4E-005</v>
      </c>
      <c r="G3148" s="3" t="n">
        <f aca="false">SUM($F$2:F3148)</f>
        <v>0.980057</v>
      </c>
      <c r="H3148" s="4"/>
      <c r="I3148" s="5"/>
      <c r="J3148" s="4"/>
      <c r="K3148" s="5"/>
      <c r="L3148" s="6"/>
      <c r="M3148" s="5" t="str">
        <f aca="false">IF(AND(N(K3148)&gt;0,N(L3148)&gt;0),K3148/L3148,"")</f>
        <v/>
      </c>
      <c r="N3148" s="2" t="s">
        <v>1226</v>
      </c>
    </row>
    <row r="3149" customFormat="false" ht="15" hidden="false" customHeight="false" outlineLevel="0" collapsed="false">
      <c r="A3149" s="2" t="n">
        <v>3148</v>
      </c>
      <c r="B3149" s="2" t="s">
        <v>6546</v>
      </c>
      <c r="C3149" s="2" t="s">
        <v>6547</v>
      </c>
      <c r="D3149" s="2"/>
      <c r="E3149" s="2" t="s">
        <v>679</v>
      </c>
      <c r="F3149" s="3" t="n">
        <v>2.4E-005</v>
      </c>
      <c r="G3149" s="3" t="n">
        <f aca="false">SUM($F$2:F3149)</f>
        <v>0.980081</v>
      </c>
      <c r="H3149" s="4"/>
      <c r="I3149" s="5"/>
      <c r="J3149" s="4"/>
      <c r="K3149" s="5"/>
      <c r="L3149" s="6"/>
      <c r="M3149" s="5" t="str">
        <f aca="false">IF(AND(N(K3149)&gt;0,N(L3149)&gt;0),K3149/L3149,"")</f>
        <v/>
      </c>
      <c r="N3149" s="2" t="s">
        <v>1226</v>
      </c>
    </row>
    <row r="3150" customFormat="false" ht="15" hidden="false" customHeight="false" outlineLevel="0" collapsed="false">
      <c r="A3150" s="2" t="n">
        <v>3149</v>
      </c>
      <c r="B3150" s="2" t="s">
        <v>6548</v>
      </c>
      <c r="C3150" s="2" t="s">
        <v>6549</v>
      </c>
      <c r="D3150" s="2"/>
      <c r="E3150" s="2" t="s">
        <v>17</v>
      </c>
      <c r="F3150" s="3" t="n">
        <v>2.4E-005</v>
      </c>
      <c r="G3150" s="3" t="n">
        <f aca="false">SUM($F$2:F3150)</f>
        <v>0.980105</v>
      </c>
      <c r="H3150" s="4"/>
      <c r="I3150" s="5"/>
      <c r="J3150" s="4"/>
      <c r="K3150" s="5"/>
      <c r="L3150" s="6"/>
      <c r="M3150" s="5" t="str">
        <f aca="false">IF(AND(N(K3150)&gt;0,N(L3150)&gt;0),K3150/L3150,"")</f>
        <v/>
      </c>
      <c r="N3150" s="2" t="s">
        <v>1226</v>
      </c>
    </row>
    <row r="3151" customFormat="false" ht="15" hidden="false" customHeight="false" outlineLevel="0" collapsed="false">
      <c r="A3151" s="2" t="n">
        <v>3150</v>
      </c>
      <c r="B3151" s="2" t="s">
        <v>6550</v>
      </c>
      <c r="C3151" s="2" t="s">
        <v>6551</v>
      </c>
      <c r="D3151" s="2"/>
      <c r="E3151" s="2" t="s">
        <v>1345</v>
      </c>
      <c r="F3151" s="3" t="n">
        <v>2.4E-005</v>
      </c>
      <c r="G3151" s="3" t="n">
        <f aca="false">SUM($F$2:F3151)</f>
        <v>0.980129</v>
      </c>
      <c r="H3151" s="4"/>
      <c r="I3151" s="5"/>
      <c r="J3151" s="4"/>
      <c r="K3151" s="5"/>
      <c r="L3151" s="6"/>
      <c r="M3151" s="5" t="str">
        <f aca="false">IF(AND(N(K3151)&gt;0,N(L3151)&gt;0),K3151/L3151,"")</f>
        <v/>
      </c>
      <c r="N3151" s="2" t="s">
        <v>1226</v>
      </c>
    </row>
    <row r="3152" customFormat="false" ht="15" hidden="false" customHeight="false" outlineLevel="0" collapsed="false">
      <c r="A3152" s="2" t="n">
        <v>3151</v>
      </c>
      <c r="B3152" s="2" t="s">
        <v>6552</v>
      </c>
      <c r="C3152" s="2" t="s">
        <v>6553</v>
      </c>
      <c r="D3152" s="2"/>
      <c r="E3152" s="2" t="s">
        <v>1345</v>
      </c>
      <c r="F3152" s="3" t="n">
        <v>2.4E-005</v>
      </c>
      <c r="G3152" s="3" t="n">
        <f aca="false">SUM($F$2:F3152)</f>
        <v>0.980153</v>
      </c>
      <c r="H3152" s="4"/>
      <c r="I3152" s="5"/>
      <c r="J3152" s="4"/>
      <c r="K3152" s="5"/>
      <c r="L3152" s="6"/>
      <c r="M3152" s="5" t="str">
        <f aca="false">IF(AND(N(K3152)&gt;0,N(L3152)&gt;0),K3152/L3152,"")</f>
        <v/>
      </c>
      <c r="N3152" s="2" t="s">
        <v>1226</v>
      </c>
    </row>
    <row r="3153" customFormat="false" ht="15" hidden="false" customHeight="false" outlineLevel="0" collapsed="false">
      <c r="A3153" s="2" t="n">
        <v>3152</v>
      </c>
      <c r="B3153" s="2" t="s">
        <v>6554</v>
      </c>
      <c r="C3153" s="2" t="s">
        <v>6555</v>
      </c>
      <c r="D3153" s="2"/>
      <c r="E3153" s="2" t="s">
        <v>1345</v>
      </c>
      <c r="F3153" s="3" t="n">
        <v>2.4E-005</v>
      </c>
      <c r="G3153" s="3" t="n">
        <f aca="false">SUM($F$2:F3153)</f>
        <v>0.980177</v>
      </c>
      <c r="H3153" s="4"/>
      <c r="I3153" s="5"/>
      <c r="J3153" s="4"/>
      <c r="K3153" s="5"/>
      <c r="L3153" s="6"/>
      <c r="M3153" s="5" t="str">
        <f aca="false">IF(AND(N(K3153)&gt;0,N(L3153)&gt;0),K3153/L3153,"")</f>
        <v/>
      </c>
      <c r="N3153" s="2" t="s">
        <v>1226</v>
      </c>
    </row>
    <row r="3154" customFormat="false" ht="15" hidden="false" customHeight="false" outlineLevel="0" collapsed="false">
      <c r="A3154" s="2" t="n">
        <v>3153</v>
      </c>
      <c r="B3154" s="2" t="s">
        <v>6556</v>
      </c>
      <c r="C3154" s="2" t="s">
        <v>6557</v>
      </c>
      <c r="D3154" s="2"/>
      <c r="E3154" s="2" t="s">
        <v>1345</v>
      </c>
      <c r="F3154" s="3" t="n">
        <v>2.4E-005</v>
      </c>
      <c r="G3154" s="3" t="n">
        <f aca="false">SUM($F$2:F3154)</f>
        <v>0.980201</v>
      </c>
      <c r="H3154" s="4"/>
      <c r="I3154" s="5"/>
      <c r="J3154" s="4"/>
      <c r="K3154" s="5"/>
      <c r="L3154" s="6"/>
      <c r="M3154" s="5" t="str">
        <f aca="false">IF(AND(N(K3154)&gt;0,N(L3154)&gt;0),K3154/L3154,"")</f>
        <v/>
      </c>
      <c r="N3154" s="2" t="s">
        <v>1226</v>
      </c>
    </row>
    <row r="3155" customFormat="false" ht="15" hidden="false" customHeight="false" outlineLevel="0" collapsed="false">
      <c r="A3155" s="2" t="n">
        <v>3154</v>
      </c>
      <c r="B3155" s="2" t="s">
        <v>6558</v>
      </c>
      <c r="C3155" s="2" t="s">
        <v>6559</v>
      </c>
      <c r="D3155" s="2"/>
      <c r="E3155" s="2" t="s">
        <v>1345</v>
      </c>
      <c r="F3155" s="3" t="n">
        <v>2.3E-005</v>
      </c>
      <c r="G3155" s="3" t="n">
        <f aca="false">SUM($F$2:F3155)</f>
        <v>0.980224</v>
      </c>
      <c r="H3155" s="4"/>
      <c r="I3155" s="5"/>
      <c r="J3155" s="4"/>
      <c r="K3155" s="5"/>
      <c r="L3155" s="6"/>
      <c r="M3155" s="5" t="str">
        <f aca="false">IF(AND(N(K3155)&gt;0,N(L3155)&gt;0),K3155/L3155,"")</f>
        <v/>
      </c>
      <c r="N3155" s="2" t="s">
        <v>1226</v>
      </c>
    </row>
    <row r="3156" customFormat="false" ht="15" hidden="false" customHeight="false" outlineLevel="0" collapsed="false">
      <c r="A3156" s="2" t="n">
        <v>3155</v>
      </c>
      <c r="B3156" s="2" t="s">
        <v>6560</v>
      </c>
      <c r="C3156" s="2" t="s">
        <v>6561</v>
      </c>
      <c r="D3156" s="2"/>
      <c r="E3156" s="2" t="s">
        <v>679</v>
      </c>
      <c r="F3156" s="3" t="n">
        <v>2.3E-005</v>
      </c>
      <c r="G3156" s="3" t="n">
        <f aca="false">SUM($F$2:F3156)</f>
        <v>0.980247</v>
      </c>
      <c r="H3156" s="4"/>
      <c r="I3156" s="5"/>
      <c r="J3156" s="4"/>
      <c r="K3156" s="5"/>
      <c r="L3156" s="6"/>
      <c r="M3156" s="5" t="str">
        <f aca="false">IF(AND(N(K3156)&gt;0,N(L3156)&gt;0),K3156/L3156,"")</f>
        <v/>
      </c>
      <c r="N3156" s="2" t="s">
        <v>1226</v>
      </c>
    </row>
    <row r="3157" customFormat="false" ht="15" hidden="false" customHeight="false" outlineLevel="0" collapsed="false">
      <c r="A3157" s="2" t="n">
        <v>3156</v>
      </c>
      <c r="B3157" s="2" t="s">
        <v>6562</v>
      </c>
      <c r="C3157" s="2" t="s">
        <v>6563</v>
      </c>
      <c r="D3157" s="2"/>
      <c r="E3157" s="2" t="s">
        <v>1345</v>
      </c>
      <c r="F3157" s="3" t="n">
        <v>2.3E-005</v>
      </c>
      <c r="G3157" s="3" t="n">
        <f aca="false">SUM($F$2:F3157)</f>
        <v>0.98027</v>
      </c>
      <c r="H3157" s="4"/>
      <c r="I3157" s="5"/>
      <c r="J3157" s="4"/>
      <c r="K3157" s="5"/>
      <c r="L3157" s="6"/>
      <c r="M3157" s="5" t="str">
        <f aca="false">IF(AND(N(K3157)&gt;0,N(L3157)&gt;0),K3157/L3157,"")</f>
        <v/>
      </c>
      <c r="N3157" s="2" t="s">
        <v>1226</v>
      </c>
    </row>
    <row r="3158" customFormat="false" ht="15" hidden="false" customHeight="false" outlineLevel="0" collapsed="false">
      <c r="A3158" s="2" t="n">
        <v>3157</v>
      </c>
      <c r="B3158" s="2" t="s">
        <v>6564</v>
      </c>
      <c r="C3158" s="2" t="s">
        <v>6565</v>
      </c>
      <c r="D3158" s="2"/>
      <c r="E3158" s="2" t="s">
        <v>1345</v>
      </c>
      <c r="F3158" s="3" t="n">
        <v>2.3E-005</v>
      </c>
      <c r="G3158" s="3" t="n">
        <f aca="false">SUM($F$2:F3158)</f>
        <v>0.980293</v>
      </c>
      <c r="H3158" s="4"/>
      <c r="I3158" s="5"/>
      <c r="J3158" s="4"/>
      <c r="K3158" s="5"/>
      <c r="L3158" s="6"/>
      <c r="M3158" s="5" t="str">
        <f aca="false">IF(AND(N(K3158)&gt;0,N(L3158)&gt;0),K3158/L3158,"")</f>
        <v/>
      </c>
      <c r="N3158" s="2" t="s">
        <v>1226</v>
      </c>
    </row>
    <row r="3159" customFormat="false" ht="15" hidden="false" customHeight="false" outlineLevel="0" collapsed="false">
      <c r="A3159" s="2" t="n">
        <v>3158</v>
      </c>
      <c r="B3159" s="2" t="s">
        <v>6566</v>
      </c>
      <c r="C3159" s="2" t="s">
        <v>6567</v>
      </c>
      <c r="D3159" s="2"/>
      <c r="E3159" s="2" t="s">
        <v>1345</v>
      </c>
      <c r="F3159" s="3" t="n">
        <v>2.3E-005</v>
      </c>
      <c r="G3159" s="3" t="n">
        <f aca="false">SUM($F$2:F3159)</f>
        <v>0.980316</v>
      </c>
      <c r="H3159" s="4"/>
      <c r="I3159" s="5"/>
      <c r="J3159" s="4"/>
      <c r="K3159" s="5"/>
      <c r="L3159" s="6"/>
      <c r="M3159" s="5" t="str">
        <f aca="false">IF(AND(N(K3159)&gt;0,N(L3159)&gt;0),K3159/L3159,"")</f>
        <v/>
      </c>
      <c r="N3159" s="2" t="s">
        <v>1226</v>
      </c>
    </row>
    <row r="3160" customFormat="false" ht="15" hidden="false" customHeight="false" outlineLevel="0" collapsed="false">
      <c r="A3160" s="2" t="n">
        <v>3159</v>
      </c>
      <c r="B3160" s="2" t="s">
        <v>6568</v>
      </c>
      <c r="C3160" s="2" t="s">
        <v>6569</v>
      </c>
      <c r="D3160" s="2"/>
      <c r="E3160" s="2" t="s">
        <v>199</v>
      </c>
      <c r="F3160" s="3" t="n">
        <v>2.3E-005</v>
      </c>
      <c r="G3160" s="3" t="n">
        <f aca="false">SUM($F$2:F3160)</f>
        <v>0.980339</v>
      </c>
      <c r="H3160" s="4"/>
      <c r="I3160" s="5"/>
      <c r="J3160" s="4"/>
      <c r="K3160" s="5"/>
      <c r="L3160" s="6"/>
      <c r="M3160" s="5" t="str">
        <f aca="false">IF(AND(N(K3160)&gt;0,N(L3160)&gt;0),K3160/L3160,"")</f>
        <v/>
      </c>
      <c r="N3160" s="2" t="s">
        <v>1226</v>
      </c>
    </row>
    <row r="3161" customFormat="false" ht="15" hidden="false" customHeight="false" outlineLevel="0" collapsed="false">
      <c r="A3161" s="2" t="n">
        <v>3160</v>
      </c>
      <c r="B3161" s="2" t="s">
        <v>6570</v>
      </c>
      <c r="C3161" s="2" t="s">
        <v>6571</v>
      </c>
      <c r="D3161" s="2"/>
      <c r="E3161" s="2" t="s">
        <v>296</v>
      </c>
      <c r="F3161" s="3" t="n">
        <v>2.3E-005</v>
      </c>
      <c r="G3161" s="3" t="n">
        <f aca="false">SUM($F$2:F3161)</f>
        <v>0.980362</v>
      </c>
      <c r="H3161" s="4"/>
      <c r="I3161" s="5"/>
      <c r="J3161" s="4"/>
      <c r="K3161" s="5"/>
      <c r="L3161" s="6"/>
      <c r="M3161" s="5" t="str">
        <f aca="false">IF(AND(N(K3161)&gt;0,N(L3161)&gt;0),K3161/L3161,"")</f>
        <v/>
      </c>
      <c r="N3161" s="2" t="s">
        <v>1226</v>
      </c>
    </row>
    <row r="3162" customFormat="false" ht="15" hidden="false" customHeight="false" outlineLevel="0" collapsed="false">
      <c r="A3162" s="2" t="n">
        <v>3161</v>
      </c>
      <c r="B3162" s="2" t="s">
        <v>6572</v>
      </c>
      <c r="C3162" s="2" t="s">
        <v>6573</v>
      </c>
      <c r="D3162" s="2"/>
      <c r="E3162" s="2" t="s">
        <v>539</v>
      </c>
      <c r="F3162" s="3" t="n">
        <v>2.3E-005</v>
      </c>
      <c r="G3162" s="3" t="n">
        <f aca="false">SUM($F$2:F3162)</f>
        <v>0.980385</v>
      </c>
      <c r="H3162" s="4"/>
      <c r="I3162" s="5"/>
      <c r="J3162" s="4"/>
      <c r="K3162" s="5"/>
      <c r="L3162" s="6"/>
      <c r="M3162" s="5" t="str">
        <f aca="false">IF(AND(N(K3162)&gt;0,N(L3162)&gt;0),K3162/L3162,"")</f>
        <v/>
      </c>
      <c r="N3162" s="2" t="s">
        <v>1226</v>
      </c>
    </row>
    <row r="3163" customFormat="false" ht="15" hidden="false" customHeight="false" outlineLevel="0" collapsed="false">
      <c r="A3163" s="2" t="n">
        <v>3162</v>
      </c>
      <c r="B3163" s="2" t="s">
        <v>6574</v>
      </c>
      <c r="C3163" s="2" t="s">
        <v>6575</v>
      </c>
      <c r="D3163" s="2"/>
      <c r="E3163" s="2" t="s">
        <v>52</v>
      </c>
      <c r="F3163" s="3" t="n">
        <v>2.3E-005</v>
      </c>
      <c r="G3163" s="3" t="n">
        <f aca="false">SUM($F$2:F3163)</f>
        <v>0.980408</v>
      </c>
      <c r="H3163" s="4"/>
      <c r="I3163" s="5"/>
      <c r="J3163" s="4"/>
      <c r="K3163" s="5"/>
      <c r="L3163" s="6"/>
      <c r="M3163" s="5" t="str">
        <f aca="false">IF(AND(N(K3163)&gt;0,N(L3163)&gt;0),K3163/L3163,"")</f>
        <v/>
      </c>
      <c r="N3163" s="2" t="s">
        <v>1226</v>
      </c>
    </row>
    <row r="3164" customFormat="false" ht="15" hidden="false" customHeight="false" outlineLevel="0" collapsed="false">
      <c r="A3164" s="2" t="n">
        <v>3163</v>
      </c>
      <c r="B3164" s="2" t="s">
        <v>6576</v>
      </c>
      <c r="C3164" s="2" t="s">
        <v>6577</v>
      </c>
      <c r="D3164" s="2"/>
      <c r="E3164" s="2" t="s">
        <v>1345</v>
      </c>
      <c r="F3164" s="3" t="n">
        <v>2.3E-005</v>
      </c>
      <c r="G3164" s="3" t="n">
        <f aca="false">SUM($F$2:F3164)</f>
        <v>0.980431</v>
      </c>
      <c r="H3164" s="4"/>
      <c r="I3164" s="5"/>
      <c r="J3164" s="4"/>
      <c r="K3164" s="5"/>
      <c r="L3164" s="6"/>
      <c r="M3164" s="5" t="str">
        <f aca="false">IF(AND(N(K3164)&gt;0,N(L3164)&gt;0),K3164/L3164,"")</f>
        <v/>
      </c>
      <c r="N3164" s="2" t="s">
        <v>1226</v>
      </c>
    </row>
    <row r="3165" customFormat="false" ht="15" hidden="false" customHeight="false" outlineLevel="0" collapsed="false">
      <c r="A3165" s="2" t="n">
        <v>3164</v>
      </c>
      <c r="B3165" s="2" t="s">
        <v>6578</v>
      </c>
      <c r="C3165" s="2" t="s">
        <v>6579</v>
      </c>
      <c r="D3165" s="2"/>
      <c r="E3165" s="2" t="s">
        <v>289</v>
      </c>
      <c r="F3165" s="3" t="n">
        <v>2.3E-005</v>
      </c>
      <c r="G3165" s="3" t="n">
        <f aca="false">SUM($F$2:F3165)</f>
        <v>0.980454</v>
      </c>
      <c r="H3165" s="4"/>
      <c r="I3165" s="5"/>
      <c r="J3165" s="4"/>
      <c r="K3165" s="5"/>
      <c r="L3165" s="6"/>
      <c r="M3165" s="5" t="str">
        <f aca="false">IF(AND(N(K3165)&gt;0,N(L3165)&gt;0),K3165/L3165,"")</f>
        <v/>
      </c>
      <c r="N3165" s="2" t="s">
        <v>1226</v>
      </c>
    </row>
    <row r="3166" customFormat="false" ht="15" hidden="false" customHeight="false" outlineLevel="0" collapsed="false">
      <c r="A3166" s="2" t="n">
        <v>3165</v>
      </c>
      <c r="B3166" s="2" t="s">
        <v>6580</v>
      </c>
      <c r="C3166" s="2" t="s">
        <v>6581</v>
      </c>
      <c r="D3166" s="2"/>
      <c r="E3166" s="2" t="s">
        <v>289</v>
      </c>
      <c r="F3166" s="3" t="n">
        <v>2.3E-005</v>
      </c>
      <c r="G3166" s="3" t="n">
        <f aca="false">SUM($F$2:F3166)</f>
        <v>0.980477</v>
      </c>
      <c r="H3166" s="4"/>
      <c r="I3166" s="5"/>
      <c r="J3166" s="4"/>
      <c r="K3166" s="5"/>
      <c r="L3166" s="6"/>
      <c r="M3166" s="5" t="str">
        <f aca="false">IF(AND(N(K3166)&gt;0,N(L3166)&gt;0),K3166/L3166,"")</f>
        <v/>
      </c>
      <c r="N3166" s="2" t="s">
        <v>1226</v>
      </c>
    </row>
    <row r="3167" customFormat="false" ht="15" hidden="false" customHeight="false" outlineLevel="0" collapsed="false">
      <c r="A3167" s="2" t="n">
        <v>3166</v>
      </c>
      <c r="B3167" s="2" t="s">
        <v>6582</v>
      </c>
      <c r="C3167" s="2" t="s">
        <v>6583</v>
      </c>
      <c r="D3167" s="2"/>
      <c r="E3167" s="2" t="s">
        <v>25</v>
      </c>
      <c r="F3167" s="3" t="n">
        <v>2.3E-005</v>
      </c>
      <c r="G3167" s="3" t="n">
        <f aca="false">SUM($F$2:F3167)</f>
        <v>0.9805</v>
      </c>
      <c r="H3167" s="4"/>
      <c r="I3167" s="5"/>
      <c r="J3167" s="4"/>
      <c r="K3167" s="5"/>
      <c r="L3167" s="6"/>
      <c r="M3167" s="5" t="str">
        <f aca="false">IF(AND(N(K3167)&gt;0,N(L3167)&gt;0),K3167/L3167,"")</f>
        <v/>
      </c>
      <c r="N3167" s="2" t="s">
        <v>1226</v>
      </c>
    </row>
    <row r="3168" customFormat="false" ht="15" hidden="false" customHeight="false" outlineLevel="0" collapsed="false">
      <c r="A3168" s="2" t="n">
        <v>3167</v>
      </c>
      <c r="B3168" s="2" t="s">
        <v>6584</v>
      </c>
      <c r="C3168" s="2" t="s">
        <v>6585</v>
      </c>
      <c r="D3168" s="2"/>
      <c r="E3168" s="2" t="s">
        <v>33</v>
      </c>
      <c r="F3168" s="3" t="n">
        <v>2.3E-005</v>
      </c>
      <c r="G3168" s="3" t="n">
        <f aca="false">SUM($F$2:F3168)</f>
        <v>0.980523</v>
      </c>
      <c r="H3168" s="4"/>
      <c r="I3168" s="5"/>
      <c r="J3168" s="4"/>
      <c r="K3168" s="5"/>
      <c r="L3168" s="6"/>
      <c r="M3168" s="5" t="str">
        <f aca="false">IF(AND(N(K3168)&gt;0,N(L3168)&gt;0),K3168/L3168,"")</f>
        <v/>
      </c>
      <c r="N3168" s="2" t="s">
        <v>1226</v>
      </c>
    </row>
    <row r="3169" customFormat="false" ht="15" hidden="false" customHeight="false" outlineLevel="0" collapsed="false">
      <c r="A3169" s="2" t="n">
        <v>3168</v>
      </c>
      <c r="B3169" s="2" t="s">
        <v>6586</v>
      </c>
      <c r="C3169" s="2" t="s">
        <v>6587</v>
      </c>
      <c r="D3169" s="2"/>
      <c r="E3169" s="2" t="s">
        <v>1050</v>
      </c>
      <c r="F3169" s="3" t="n">
        <v>2.3E-005</v>
      </c>
      <c r="G3169" s="3" t="n">
        <f aca="false">SUM($F$2:F3169)</f>
        <v>0.980546</v>
      </c>
      <c r="H3169" s="4"/>
      <c r="I3169" s="5"/>
      <c r="J3169" s="4"/>
      <c r="K3169" s="5"/>
      <c r="L3169" s="6"/>
      <c r="M3169" s="5" t="str">
        <f aca="false">IF(AND(N(K3169)&gt;0,N(L3169)&gt;0),K3169/L3169,"")</f>
        <v/>
      </c>
      <c r="N3169" s="2" t="s">
        <v>1226</v>
      </c>
    </row>
    <row r="3170" customFormat="false" ht="15" hidden="false" customHeight="false" outlineLevel="0" collapsed="false">
      <c r="A3170" s="2" t="n">
        <v>3169</v>
      </c>
      <c r="B3170" s="2" t="s">
        <v>2634</v>
      </c>
      <c r="C3170" s="2" t="s">
        <v>6588</v>
      </c>
      <c r="D3170" s="2"/>
      <c r="E3170" s="2" t="s">
        <v>29</v>
      </c>
      <c r="F3170" s="3" t="n">
        <v>2.3E-005</v>
      </c>
      <c r="G3170" s="3" t="n">
        <f aca="false">SUM($F$2:F3170)</f>
        <v>0.980569</v>
      </c>
      <c r="H3170" s="4"/>
      <c r="I3170" s="5"/>
      <c r="J3170" s="4"/>
      <c r="K3170" s="5"/>
      <c r="L3170" s="6"/>
      <c r="M3170" s="5" t="str">
        <f aca="false">IF(AND(N(K3170)&gt;0,N(L3170)&gt;0),K3170/L3170,"")</f>
        <v/>
      </c>
      <c r="N3170" s="2" t="s">
        <v>1226</v>
      </c>
    </row>
    <row r="3171" customFormat="false" ht="15" hidden="false" customHeight="false" outlineLevel="0" collapsed="false">
      <c r="A3171" s="2" t="n">
        <v>3170</v>
      </c>
      <c r="B3171" s="2" t="s">
        <v>6589</v>
      </c>
      <c r="C3171" s="2" t="s">
        <v>6590</v>
      </c>
      <c r="D3171" s="2"/>
      <c r="E3171" s="2" t="s">
        <v>1295</v>
      </c>
      <c r="F3171" s="3" t="n">
        <v>2.3E-005</v>
      </c>
      <c r="G3171" s="3" t="n">
        <f aca="false">SUM($F$2:F3171)</f>
        <v>0.980592</v>
      </c>
      <c r="H3171" s="4"/>
      <c r="I3171" s="5"/>
      <c r="J3171" s="4"/>
      <c r="K3171" s="5"/>
      <c r="L3171" s="6"/>
      <c r="M3171" s="5" t="str">
        <f aca="false">IF(AND(N(K3171)&gt;0,N(L3171)&gt;0),K3171/L3171,"")</f>
        <v/>
      </c>
      <c r="N3171" s="2" t="s">
        <v>1226</v>
      </c>
    </row>
    <row r="3172" customFormat="false" ht="15" hidden="false" customHeight="false" outlineLevel="0" collapsed="false">
      <c r="A3172" s="2" t="n">
        <v>3171</v>
      </c>
      <c r="B3172" s="2" t="s">
        <v>6591</v>
      </c>
      <c r="C3172" s="2" t="s">
        <v>6592</v>
      </c>
      <c r="D3172" s="2"/>
      <c r="E3172" s="2" t="s">
        <v>43</v>
      </c>
      <c r="F3172" s="3" t="n">
        <v>2.3E-005</v>
      </c>
      <c r="G3172" s="3" t="n">
        <f aca="false">SUM($F$2:F3172)</f>
        <v>0.980615</v>
      </c>
      <c r="H3172" s="4"/>
      <c r="I3172" s="5"/>
      <c r="J3172" s="4"/>
      <c r="K3172" s="5"/>
      <c r="L3172" s="6"/>
      <c r="M3172" s="5" t="str">
        <f aca="false">IF(AND(N(K3172)&gt;0,N(L3172)&gt;0),K3172/L3172,"")</f>
        <v/>
      </c>
      <c r="N3172" s="2" t="s">
        <v>1226</v>
      </c>
    </row>
    <row r="3173" customFormat="false" ht="15" hidden="false" customHeight="false" outlineLevel="0" collapsed="false">
      <c r="A3173" s="2" t="n">
        <v>3172</v>
      </c>
      <c r="B3173" s="2" t="s">
        <v>6593</v>
      </c>
      <c r="C3173" s="2" t="s">
        <v>6594</v>
      </c>
      <c r="D3173" s="2"/>
      <c r="E3173" s="2" t="s">
        <v>1345</v>
      </c>
      <c r="F3173" s="3" t="n">
        <v>2.3E-005</v>
      </c>
      <c r="G3173" s="3" t="n">
        <f aca="false">SUM($F$2:F3173)</f>
        <v>0.980638</v>
      </c>
      <c r="H3173" s="4"/>
      <c r="I3173" s="5"/>
      <c r="J3173" s="4"/>
      <c r="K3173" s="5"/>
      <c r="L3173" s="6"/>
      <c r="M3173" s="5" t="str">
        <f aca="false">IF(AND(N(K3173)&gt;0,N(L3173)&gt;0),K3173/L3173,"")</f>
        <v/>
      </c>
      <c r="N3173" s="2" t="s">
        <v>1226</v>
      </c>
    </row>
    <row r="3174" customFormat="false" ht="15" hidden="false" customHeight="false" outlineLevel="0" collapsed="false">
      <c r="A3174" s="2" t="n">
        <v>3173</v>
      </c>
      <c r="B3174" s="2" t="s">
        <v>6595</v>
      </c>
      <c r="C3174" s="2" t="s">
        <v>6596</v>
      </c>
      <c r="D3174" s="2"/>
      <c r="E3174" s="2" t="s">
        <v>173</v>
      </c>
      <c r="F3174" s="3" t="n">
        <v>2.3E-005</v>
      </c>
      <c r="G3174" s="3" t="n">
        <f aca="false">SUM($F$2:F3174)</f>
        <v>0.980661</v>
      </c>
      <c r="H3174" s="4"/>
      <c r="I3174" s="5"/>
      <c r="J3174" s="4"/>
      <c r="K3174" s="5"/>
      <c r="L3174" s="6"/>
      <c r="M3174" s="5" t="str">
        <f aca="false">IF(AND(N(K3174)&gt;0,N(L3174)&gt;0),K3174/L3174,"")</f>
        <v/>
      </c>
      <c r="N3174" s="2" t="s">
        <v>1226</v>
      </c>
    </row>
    <row r="3175" customFormat="false" ht="15" hidden="false" customHeight="false" outlineLevel="0" collapsed="false">
      <c r="A3175" s="2" t="n">
        <v>3174</v>
      </c>
      <c r="B3175" s="2" t="s">
        <v>6597</v>
      </c>
      <c r="C3175" s="2" t="s">
        <v>6598</v>
      </c>
      <c r="D3175" s="2"/>
      <c r="E3175" s="2" t="s">
        <v>1345</v>
      </c>
      <c r="F3175" s="3" t="n">
        <v>2.3E-005</v>
      </c>
      <c r="G3175" s="3" t="n">
        <f aca="false">SUM($F$2:F3175)</f>
        <v>0.980684</v>
      </c>
      <c r="H3175" s="4"/>
      <c r="I3175" s="5"/>
      <c r="J3175" s="4"/>
      <c r="K3175" s="5"/>
      <c r="L3175" s="6"/>
      <c r="M3175" s="5" t="str">
        <f aca="false">IF(AND(N(K3175)&gt;0,N(L3175)&gt;0),K3175/L3175,"")</f>
        <v/>
      </c>
      <c r="N3175" s="2" t="s">
        <v>1226</v>
      </c>
    </row>
    <row r="3176" customFormat="false" ht="15" hidden="false" customHeight="false" outlineLevel="0" collapsed="false">
      <c r="A3176" s="2" t="n">
        <v>3175</v>
      </c>
      <c r="B3176" s="2" t="s">
        <v>6599</v>
      </c>
      <c r="C3176" s="2" t="s">
        <v>6600</v>
      </c>
      <c r="D3176" s="2"/>
      <c r="E3176" s="2" t="s">
        <v>1295</v>
      </c>
      <c r="F3176" s="3" t="n">
        <v>2.3E-005</v>
      </c>
      <c r="G3176" s="3" t="n">
        <f aca="false">SUM($F$2:F3176)</f>
        <v>0.980707</v>
      </c>
      <c r="H3176" s="4"/>
      <c r="I3176" s="5"/>
      <c r="J3176" s="4"/>
      <c r="K3176" s="5"/>
      <c r="L3176" s="6"/>
      <c r="M3176" s="5" t="str">
        <f aca="false">IF(AND(N(K3176)&gt;0,N(L3176)&gt;0),K3176/L3176,"")</f>
        <v/>
      </c>
      <c r="N3176" s="2" t="s">
        <v>1226</v>
      </c>
    </row>
    <row r="3177" customFormat="false" ht="15" hidden="false" customHeight="false" outlineLevel="0" collapsed="false">
      <c r="A3177" s="2" t="n">
        <v>3176</v>
      </c>
      <c r="B3177" s="2" t="s">
        <v>6601</v>
      </c>
      <c r="C3177" s="2" t="s">
        <v>6602</v>
      </c>
      <c r="D3177" s="2"/>
      <c r="E3177" s="2" t="s">
        <v>52</v>
      </c>
      <c r="F3177" s="3" t="n">
        <v>2.3E-005</v>
      </c>
      <c r="G3177" s="3" t="n">
        <f aca="false">SUM($F$2:F3177)</f>
        <v>0.98073</v>
      </c>
      <c r="H3177" s="4"/>
      <c r="I3177" s="5"/>
      <c r="J3177" s="4"/>
      <c r="K3177" s="5"/>
      <c r="L3177" s="6"/>
      <c r="M3177" s="5" t="str">
        <f aca="false">IF(AND(N(K3177)&gt;0,N(L3177)&gt;0),K3177/L3177,"")</f>
        <v/>
      </c>
      <c r="N3177" s="2" t="s">
        <v>1226</v>
      </c>
    </row>
    <row r="3178" customFormat="false" ht="15" hidden="false" customHeight="false" outlineLevel="0" collapsed="false">
      <c r="A3178" s="2" t="n">
        <v>3177</v>
      </c>
      <c r="B3178" s="2" t="s">
        <v>301</v>
      </c>
      <c r="C3178" s="2" t="s">
        <v>6603</v>
      </c>
      <c r="D3178" s="2"/>
      <c r="E3178" s="2" t="s">
        <v>1588</v>
      </c>
      <c r="F3178" s="3" t="n">
        <v>2.3E-005</v>
      </c>
      <c r="G3178" s="3" t="n">
        <f aca="false">SUM($F$2:F3178)</f>
        <v>0.980753</v>
      </c>
      <c r="H3178" s="4"/>
      <c r="I3178" s="5"/>
      <c r="J3178" s="4"/>
      <c r="K3178" s="5"/>
      <c r="L3178" s="6"/>
      <c r="M3178" s="5" t="str">
        <f aca="false">IF(AND(N(K3178)&gt;0,N(L3178)&gt;0),K3178/L3178,"")</f>
        <v/>
      </c>
      <c r="N3178" s="2" t="s">
        <v>34</v>
      </c>
    </row>
    <row r="3179" customFormat="false" ht="15" hidden="false" customHeight="false" outlineLevel="0" collapsed="false">
      <c r="A3179" s="2" t="n">
        <v>3178</v>
      </c>
      <c r="B3179" s="2" t="s">
        <v>6604</v>
      </c>
      <c r="C3179" s="2" t="s">
        <v>6605</v>
      </c>
      <c r="D3179" s="2"/>
      <c r="E3179" s="2" t="s">
        <v>25</v>
      </c>
      <c r="F3179" s="3" t="n">
        <v>2.3E-005</v>
      </c>
      <c r="G3179" s="3" t="n">
        <f aca="false">SUM($F$2:F3179)</f>
        <v>0.980776</v>
      </c>
      <c r="H3179" s="4"/>
      <c r="I3179" s="5"/>
      <c r="J3179" s="4"/>
      <c r="K3179" s="5"/>
      <c r="L3179" s="6"/>
      <c r="M3179" s="5" t="str">
        <f aca="false">IF(AND(N(K3179)&gt;0,N(L3179)&gt;0),K3179/L3179,"")</f>
        <v/>
      </c>
      <c r="N3179" s="2" t="s">
        <v>1226</v>
      </c>
    </row>
    <row r="3180" customFormat="false" ht="15" hidden="false" customHeight="false" outlineLevel="0" collapsed="false">
      <c r="A3180" s="2" t="n">
        <v>3179</v>
      </c>
      <c r="B3180" s="2" t="s">
        <v>6606</v>
      </c>
      <c r="C3180" s="2" t="s">
        <v>6607</v>
      </c>
      <c r="D3180" s="2"/>
      <c r="E3180" s="2" t="s">
        <v>25</v>
      </c>
      <c r="F3180" s="3" t="n">
        <v>2.3E-005</v>
      </c>
      <c r="G3180" s="3" t="n">
        <f aca="false">SUM($F$2:F3180)</f>
        <v>0.980799</v>
      </c>
      <c r="H3180" s="4"/>
      <c r="I3180" s="5"/>
      <c r="J3180" s="4"/>
      <c r="K3180" s="5"/>
      <c r="L3180" s="6"/>
      <c r="M3180" s="5" t="str">
        <f aca="false">IF(AND(N(K3180)&gt;0,N(L3180)&gt;0),K3180/L3180,"")</f>
        <v/>
      </c>
      <c r="N3180" s="2" t="s">
        <v>1226</v>
      </c>
    </row>
    <row r="3181" customFormat="false" ht="15" hidden="false" customHeight="false" outlineLevel="0" collapsed="false">
      <c r="A3181" s="2" t="n">
        <v>3180</v>
      </c>
      <c r="B3181" s="2" t="s">
        <v>6608</v>
      </c>
      <c r="C3181" s="2" t="s">
        <v>6609</v>
      </c>
      <c r="D3181" s="2"/>
      <c r="E3181" s="2" t="s">
        <v>52</v>
      </c>
      <c r="F3181" s="3" t="n">
        <v>2.3E-005</v>
      </c>
      <c r="G3181" s="3" t="n">
        <f aca="false">SUM($F$2:F3181)</f>
        <v>0.980822</v>
      </c>
      <c r="H3181" s="4"/>
      <c r="I3181" s="5"/>
      <c r="J3181" s="4"/>
      <c r="K3181" s="5"/>
      <c r="L3181" s="6"/>
      <c r="M3181" s="5" t="str">
        <f aca="false">IF(AND(N(K3181)&gt;0,N(L3181)&gt;0),K3181/L3181,"")</f>
        <v/>
      </c>
      <c r="N3181" s="2" t="s">
        <v>1226</v>
      </c>
    </row>
    <row r="3182" customFormat="false" ht="15" hidden="false" customHeight="false" outlineLevel="0" collapsed="false">
      <c r="A3182" s="2" t="n">
        <v>3181</v>
      </c>
      <c r="B3182" s="2" t="s">
        <v>6610</v>
      </c>
      <c r="C3182" s="2" t="s">
        <v>6611</v>
      </c>
      <c r="D3182" s="2"/>
      <c r="E3182" s="2" t="s">
        <v>289</v>
      </c>
      <c r="F3182" s="3" t="n">
        <v>2.3E-005</v>
      </c>
      <c r="G3182" s="3" t="n">
        <f aca="false">SUM($F$2:F3182)</f>
        <v>0.980845</v>
      </c>
      <c r="H3182" s="4"/>
      <c r="I3182" s="5"/>
      <c r="J3182" s="4"/>
      <c r="K3182" s="5"/>
      <c r="L3182" s="6"/>
      <c r="M3182" s="5" t="str">
        <f aca="false">IF(AND(N(K3182)&gt;0,N(L3182)&gt;0),K3182/L3182,"")</f>
        <v/>
      </c>
      <c r="N3182" s="2" t="s">
        <v>1226</v>
      </c>
    </row>
    <row r="3183" customFormat="false" ht="15" hidden="false" customHeight="false" outlineLevel="0" collapsed="false">
      <c r="A3183" s="2" t="n">
        <v>3182</v>
      </c>
      <c r="B3183" s="2" t="s">
        <v>5366</v>
      </c>
      <c r="C3183" s="2" t="s">
        <v>6612</v>
      </c>
      <c r="D3183" s="2"/>
      <c r="E3183" s="2" t="s">
        <v>289</v>
      </c>
      <c r="F3183" s="3" t="n">
        <v>2.3E-005</v>
      </c>
      <c r="G3183" s="3" t="n">
        <f aca="false">SUM($F$2:F3183)</f>
        <v>0.980868</v>
      </c>
      <c r="H3183" s="4"/>
      <c r="I3183" s="5"/>
      <c r="J3183" s="4"/>
      <c r="K3183" s="5"/>
      <c r="L3183" s="6"/>
      <c r="M3183" s="5" t="str">
        <f aca="false">IF(AND(N(K3183)&gt;0,N(L3183)&gt;0),K3183/L3183,"")</f>
        <v/>
      </c>
      <c r="N3183" s="2" t="s">
        <v>1226</v>
      </c>
    </row>
    <row r="3184" customFormat="false" ht="15" hidden="false" customHeight="false" outlineLevel="0" collapsed="false">
      <c r="A3184" s="2" t="n">
        <v>3183</v>
      </c>
      <c r="B3184" s="2" t="s">
        <v>6613</v>
      </c>
      <c r="C3184" s="2" t="s">
        <v>6614</v>
      </c>
      <c r="D3184" s="2"/>
      <c r="E3184" s="2" t="s">
        <v>29</v>
      </c>
      <c r="F3184" s="3" t="n">
        <v>2.3E-005</v>
      </c>
      <c r="G3184" s="3" t="n">
        <f aca="false">SUM($F$2:F3184)</f>
        <v>0.980891</v>
      </c>
      <c r="H3184" s="4"/>
      <c r="I3184" s="5"/>
      <c r="J3184" s="4"/>
      <c r="K3184" s="5"/>
      <c r="L3184" s="6"/>
      <c r="M3184" s="5" t="str">
        <f aca="false">IF(AND(N(K3184)&gt;0,N(L3184)&gt;0),K3184/L3184,"")</f>
        <v/>
      </c>
      <c r="N3184" s="2" t="s">
        <v>1226</v>
      </c>
    </row>
    <row r="3185" customFormat="false" ht="15" hidden="false" customHeight="false" outlineLevel="0" collapsed="false">
      <c r="A3185" s="2" t="n">
        <v>3184</v>
      </c>
      <c r="B3185" s="2" t="s">
        <v>6615</v>
      </c>
      <c r="C3185" s="2" t="s">
        <v>6616</v>
      </c>
      <c r="D3185" s="2"/>
      <c r="E3185" s="2" t="s">
        <v>1345</v>
      </c>
      <c r="F3185" s="3" t="n">
        <v>2.3E-005</v>
      </c>
      <c r="G3185" s="3" t="n">
        <f aca="false">SUM($F$2:F3185)</f>
        <v>0.980914</v>
      </c>
      <c r="H3185" s="4"/>
      <c r="I3185" s="5"/>
      <c r="J3185" s="4"/>
      <c r="K3185" s="5"/>
      <c r="L3185" s="6"/>
      <c r="M3185" s="5" t="str">
        <f aca="false">IF(AND(N(K3185)&gt;0,N(L3185)&gt;0),K3185/L3185,"")</f>
        <v/>
      </c>
      <c r="N3185" s="2" t="s">
        <v>1226</v>
      </c>
    </row>
    <row r="3186" customFormat="false" ht="15" hidden="false" customHeight="false" outlineLevel="0" collapsed="false">
      <c r="A3186" s="2" t="n">
        <v>3185</v>
      </c>
      <c r="B3186" s="2" t="s">
        <v>6617</v>
      </c>
      <c r="C3186" s="2" t="s">
        <v>6618</v>
      </c>
      <c r="D3186" s="2"/>
      <c r="E3186" s="2" t="s">
        <v>1345</v>
      </c>
      <c r="F3186" s="3" t="n">
        <v>2.3E-005</v>
      </c>
      <c r="G3186" s="3" t="n">
        <f aca="false">SUM($F$2:F3186)</f>
        <v>0.980937</v>
      </c>
      <c r="H3186" s="4"/>
      <c r="I3186" s="5"/>
      <c r="J3186" s="4"/>
      <c r="K3186" s="5"/>
      <c r="L3186" s="6"/>
      <c r="M3186" s="5" t="str">
        <f aca="false">IF(AND(N(K3186)&gt;0,N(L3186)&gt;0),K3186/L3186,"")</f>
        <v/>
      </c>
      <c r="N3186" s="2" t="s">
        <v>1226</v>
      </c>
    </row>
    <row r="3187" customFormat="false" ht="15" hidden="false" customHeight="false" outlineLevel="0" collapsed="false">
      <c r="A3187" s="2" t="n">
        <v>3186</v>
      </c>
      <c r="B3187" s="2" t="s">
        <v>6619</v>
      </c>
      <c r="C3187" s="2" t="s">
        <v>6620</v>
      </c>
      <c r="D3187" s="2"/>
      <c r="E3187" s="2" t="s">
        <v>17</v>
      </c>
      <c r="F3187" s="3" t="n">
        <v>2.3E-005</v>
      </c>
      <c r="G3187" s="3" t="n">
        <f aca="false">SUM($F$2:F3187)</f>
        <v>0.98096</v>
      </c>
      <c r="H3187" s="4"/>
      <c r="I3187" s="5"/>
      <c r="J3187" s="4"/>
      <c r="K3187" s="5"/>
      <c r="L3187" s="6"/>
      <c r="M3187" s="5" t="str">
        <f aca="false">IF(AND(N(K3187)&gt;0,N(L3187)&gt;0),K3187/L3187,"")</f>
        <v/>
      </c>
      <c r="N3187" s="2" t="s">
        <v>1226</v>
      </c>
    </row>
    <row r="3188" customFormat="false" ht="15" hidden="false" customHeight="false" outlineLevel="0" collapsed="false">
      <c r="A3188" s="2" t="n">
        <v>3187</v>
      </c>
      <c r="B3188" s="2" t="s">
        <v>6621</v>
      </c>
      <c r="C3188" s="2" t="s">
        <v>6622</v>
      </c>
      <c r="D3188" s="2"/>
      <c r="E3188" s="2" t="s">
        <v>29</v>
      </c>
      <c r="F3188" s="3" t="n">
        <v>2.3E-005</v>
      </c>
      <c r="G3188" s="3" t="n">
        <f aca="false">SUM($F$2:F3188)</f>
        <v>0.980983</v>
      </c>
      <c r="H3188" s="4"/>
      <c r="I3188" s="5"/>
      <c r="J3188" s="4"/>
      <c r="K3188" s="5"/>
      <c r="L3188" s="6"/>
      <c r="M3188" s="5" t="str">
        <f aca="false">IF(AND(N(K3188)&gt;0,N(L3188)&gt;0),K3188/L3188,"")</f>
        <v/>
      </c>
      <c r="N3188" s="2" t="s">
        <v>1226</v>
      </c>
    </row>
    <row r="3189" customFormat="false" ht="15" hidden="false" customHeight="false" outlineLevel="0" collapsed="false">
      <c r="A3189" s="2" t="n">
        <v>3188</v>
      </c>
      <c r="B3189" s="2" t="s">
        <v>6623</v>
      </c>
      <c r="C3189" s="2" t="s">
        <v>6624</v>
      </c>
      <c r="D3189" s="2"/>
      <c r="E3189" s="2" t="s">
        <v>1245</v>
      </c>
      <c r="F3189" s="3" t="n">
        <v>2.3E-005</v>
      </c>
      <c r="G3189" s="3" t="n">
        <f aca="false">SUM($F$2:F3189)</f>
        <v>0.981006</v>
      </c>
      <c r="H3189" s="4"/>
      <c r="I3189" s="5"/>
      <c r="J3189" s="4"/>
      <c r="K3189" s="5"/>
      <c r="L3189" s="6"/>
      <c r="M3189" s="5" t="str">
        <f aca="false">IF(AND(N(K3189)&gt;0,N(L3189)&gt;0),K3189/L3189,"")</f>
        <v/>
      </c>
      <c r="N3189" s="2" t="s">
        <v>1226</v>
      </c>
    </row>
    <row r="3190" customFormat="false" ht="15" hidden="false" customHeight="false" outlineLevel="0" collapsed="false">
      <c r="A3190" s="2" t="n">
        <v>3189</v>
      </c>
      <c r="B3190" s="2" t="s">
        <v>6625</v>
      </c>
      <c r="C3190" s="2" t="s">
        <v>6626</v>
      </c>
      <c r="D3190" s="2"/>
      <c r="E3190" s="2" t="s">
        <v>1345</v>
      </c>
      <c r="F3190" s="3" t="n">
        <v>2.3E-005</v>
      </c>
      <c r="G3190" s="3" t="n">
        <f aca="false">SUM($F$2:F3190)</f>
        <v>0.981029</v>
      </c>
      <c r="H3190" s="4"/>
      <c r="I3190" s="5"/>
      <c r="J3190" s="4"/>
      <c r="K3190" s="5"/>
      <c r="L3190" s="6"/>
      <c r="M3190" s="5" t="str">
        <f aca="false">IF(AND(N(K3190)&gt;0,N(L3190)&gt;0),K3190/L3190,"")</f>
        <v/>
      </c>
      <c r="N3190" s="2" t="s">
        <v>1226</v>
      </c>
    </row>
    <row r="3191" customFormat="false" ht="15" hidden="false" customHeight="false" outlineLevel="0" collapsed="false">
      <c r="A3191" s="2" t="n">
        <v>3190</v>
      </c>
      <c r="B3191" s="2" t="s">
        <v>6627</v>
      </c>
      <c r="C3191" s="2" t="s">
        <v>6628</v>
      </c>
      <c r="D3191" s="2"/>
      <c r="E3191" s="2" t="s">
        <v>1345</v>
      </c>
      <c r="F3191" s="3" t="n">
        <v>2.3E-005</v>
      </c>
      <c r="G3191" s="3" t="n">
        <f aca="false">SUM($F$2:F3191)</f>
        <v>0.981052</v>
      </c>
      <c r="H3191" s="4"/>
      <c r="I3191" s="5"/>
      <c r="J3191" s="4"/>
      <c r="K3191" s="5"/>
      <c r="L3191" s="6"/>
      <c r="M3191" s="5" t="str">
        <f aca="false">IF(AND(N(K3191)&gt;0,N(L3191)&gt;0),K3191/L3191,"")</f>
        <v/>
      </c>
      <c r="N3191" s="2" t="s">
        <v>1226</v>
      </c>
    </row>
    <row r="3192" customFormat="false" ht="15" hidden="false" customHeight="false" outlineLevel="0" collapsed="false">
      <c r="A3192" s="2" t="n">
        <v>3191</v>
      </c>
      <c r="B3192" s="2" t="s">
        <v>6629</v>
      </c>
      <c r="C3192" s="2" t="s">
        <v>6630</v>
      </c>
      <c r="D3192" s="2"/>
      <c r="E3192" s="2" t="s">
        <v>82</v>
      </c>
      <c r="F3192" s="3" t="n">
        <v>2.3E-005</v>
      </c>
      <c r="G3192" s="3" t="n">
        <f aca="false">SUM($F$2:F3192)</f>
        <v>0.981075</v>
      </c>
      <c r="H3192" s="4"/>
      <c r="I3192" s="5"/>
      <c r="J3192" s="4"/>
      <c r="K3192" s="5"/>
      <c r="L3192" s="6"/>
      <c r="M3192" s="5" t="str">
        <f aca="false">IF(AND(N(K3192)&gt;0,N(L3192)&gt;0),K3192/L3192,"")</f>
        <v/>
      </c>
      <c r="N3192" s="2" t="s">
        <v>1226</v>
      </c>
    </row>
    <row r="3193" customFormat="false" ht="15" hidden="false" customHeight="false" outlineLevel="0" collapsed="false">
      <c r="A3193" s="2" t="n">
        <v>3192</v>
      </c>
      <c r="B3193" s="2" t="s">
        <v>301</v>
      </c>
      <c r="C3193" s="2" t="s">
        <v>6631</v>
      </c>
      <c r="D3193" s="2"/>
      <c r="E3193" s="2" t="s">
        <v>1334</v>
      </c>
      <c r="F3193" s="3" t="n">
        <v>2.3E-005</v>
      </c>
      <c r="G3193" s="3" t="n">
        <f aca="false">SUM($F$2:F3193)</f>
        <v>0.981098</v>
      </c>
      <c r="H3193" s="4"/>
      <c r="I3193" s="5"/>
      <c r="J3193" s="4"/>
      <c r="K3193" s="5"/>
      <c r="L3193" s="6"/>
      <c r="M3193" s="5" t="str">
        <f aca="false">IF(AND(N(K3193)&gt;0,N(L3193)&gt;0),K3193/L3193,"")</f>
        <v/>
      </c>
      <c r="N3193" s="2" t="s">
        <v>34</v>
      </c>
    </row>
    <row r="3194" customFormat="false" ht="15" hidden="false" customHeight="false" outlineLevel="0" collapsed="false">
      <c r="A3194" s="2" t="n">
        <v>3193</v>
      </c>
      <c r="B3194" s="2" t="s">
        <v>6632</v>
      </c>
      <c r="C3194" s="2" t="s">
        <v>6633</v>
      </c>
      <c r="D3194" s="2"/>
      <c r="E3194" s="2" t="s">
        <v>2055</v>
      </c>
      <c r="F3194" s="3" t="n">
        <v>2.3E-005</v>
      </c>
      <c r="G3194" s="3" t="n">
        <f aca="false">SUM($F$2:F3194)</f>
        <v>0.981121</v>
      </c>
      <c r="H3194" s="4"/>
      <c r="I3194" s="5"/>
      <c r="J3194" s="4"/>
      <c r="K3194" s="5"/>
      <c r="L3194" s="6"/>
      <c r="M3194" s="5" t="str">
        <f aca="false">IF(AND(N(K3194)&gt;0,N(L3194)&gt;0),K3194/L3194,"")</f>
        <v/>
      </c>
      <c r="N3194" s="2" t="s">
        <v>1226</v>
      </c>
    </row>
    <row r="3195" customFormat="false" ht="15" hidden="false" customHeight="false" outlineLevel="0" collapsed="false">
      <c r="A3195" s="2" t="n">
        <v>3194</v>
      </c>
      <c r="B3195" s="2" t="s">
        <v>3416</v>
      </c>
      <c r="C3195" s="2" t="s">
        <v>6634</v>
      </c>
      <c r="D3195" s="2"/>
      <c r="E3195" s="2" t="s">
        <v>199</v>
      </c>
      <c r="F3195" s="3" t="n">
        <v>2.3E-005</v>
      </c>
      <c r="G3195" s="3" t="n">
        <f aca="false">SUM($F$2:F3195)</f>
        <v>0.981144</v>
      </c>
      <c r="H3195" s="4"/>
      <c r="I3195" s="5"/>
      <c r="J3195" s="4"/>
      <c r="K3195" s="5"/>
      <c r="L3195" s="6"/>
      <c r="M3195" s="5" t="str">
        <f aca="false">IF(AND(N(K3195)&gt;0,N(L3195)&gt;0),K3195/L3195,"")</f>
        <v/>
      </c>
      <c r="N3195" s="2" t="s">
        <v>1226</v>
      </c>
    </row>
    <row r="3196" customFormat="false" ht="15" hidden="false" customHeight="false" outlineLevel="0" collapsed="false">
      <c r="A3196" s="2" t="n">
        <v>3195</v>
      </c>
      <c r="B3196" s="2" t="s">
        <v>6635</v>
      </c>
      <c r="C3196" s="2" t="s">
        <v>6636</v>
      </c>
      <c r="D3196" s="2"/>
      <c r="E3196" s="2" t="s">
        <v>33</v>
      </c>
      <c r="F3196" s="3" t="n">
        <v>2.3E-005</v>
      </c>
      <c r="G3196" s="3" t="n">
        <f aca="false">SUM($F$2:F3196)</f>
        <v>0.981167</v>
      </c>
      <c r="H3196" s="4"/>
      <c r="I3196" s="5"/>
      <c r="J3196" s="4"/>
      <c r="K3196" s="5"/>
      <c r="L3196" s="6"/>
      <c r="M3196" s="5" t="str">
        <f aca="false">IF(AND(N(K3196)&gt;0,N(L3196)&gt;0),K3196/L3196,"")</f>
        <v/>
      </c>
      <c r="N3196" s="2" t="s">
        <v>1226</v>
      </c>
    </row>
    <row r="3197" customFormat="false" ht="15" hidden="false" customHeight="false" outlineLevel="0" collapsed="false">
      <c r="A3197" s="2" t="n">
        <v>3196</v>
      </c>
      <c r="B3197" s="2" t="s">
        <v>6637</v>
      </c>
      <c r="C3197" s="2" t="s">
        <v>6638</v>
      </c>
      <c r="D3197" s="2"/>
      <c r="E3197" s="2" t="s">
        <v>289</v>
      </c>
      <c r="F3197" s="3" t="n">
        <v>2.3E-005</v>
      </c>
      <c r="G3197" s="3" t="n">
        <f aca="false">SUM($F$2:F3197)</f>
        <v>0.98119</v>
      </c>
      <c r="H3197" s="4"/>
      <c r="I3197" s="5"/>
      <c r="J3197" s="4"/>
      <c r="K3197" s="5"/>
      <c r="L3197" s="6"/>
      <c r="M3197" s="5" t="str">
        <f aca="false">IF(AND(N(K3197)&gt;0,N(L3197)&gt;0),K3197/L3197,"")</f>
        <v/>
      </c>
      <c r="N3197" s="2" t="s">
        <v>1226</v>
      </c>
    </row>
    <row r="3198" customFormat="false" ht="15" hidden="false" customHeight="false" outlineLevel="0" collapsed="false">
      <c r="A3198" s="2" t="n">
        <v>3197</v>
      </c>
      <c r="B3198" s="2" t="s">
        <v>6639</v>
      </c>
      <c r="C3198" s="2" t="s">
        <v>6640</v>
      </c>
      <c r="D3198" s="2"/>
      <c r="E3198" s="2" t="s">
        <v>2741</v>
      </c>
      <c r="F3198" s="3" t="n">
        <v>2.3E-005</v>
      </c>
      <c r="G3198" s="3" t="n">
        <f aca="false">SUM($F$2:F3198)</f>
        <v>0.981213</v>
      </c>
      <c r="H3198" s="4"/>
      <c r="I3198" s="5"/>
      <c r="J3198" s="4"/>
      <c r="K3198" s="5"/>
      <c r="L3198" s="6"/>
      <c r="M3198" s="5" t="str">
        <f aca="false">IF(AND(N(K3198)&gt;0,N(L3198)&gt;0),K3198/L3198,"")</f>
        <v/>
      </c>
      <c r="N3198" s="2" t="s">
        <v>1226</v>
      </c>
    </row>
    <row r="3199" customFormat="false" ht="15" hidden="false" customHeight="false" outlineLevel="0" collapsed="false">
      <c r="A3199" s="2" t="n">
        <v>3198</v>
      </c>
      <c r="B3199" s="2" t="s">
        <v>6641</v>
      </c>
      <c r="C3199" s="2" t="s">
        <v>6642</v>
      </c>
      <c r="D3199" s="2"/>
      <c r="E3199" s="2" t="s">
        <v>25</v>
      </c>
      <c r="F3199" s="3" t="n">
        <v>2.3E-005</v>
      </c>
      <c r="G3199" s="3" t="n">
        <f aca="false">SUM($F$2:F3199)</f>
        <v>0.981236</v>
      </c>
      <c r="H3199" s="4"/>
      <c r="I3199" s="5"/>
      <c r="J3199" s="4"/>
      <c r="K3199" s="5"/>
      <c r="L3199" s="6"/>
      <c r="M3199" s="5" t="str">
        <f aca="false">IF(AND(N(K3199)&gt;0,N(L3199)&gt;0),K3199/L3199,"")</f>
        <v/>
      </c>
      <c r="N3199" s="2" t="s">
        <v>1226</v>
      </c>
    </row>
    <row r="3200" customFormat="false" ht="15" hidden="false" customHeight="false" outlineLevel="0" collapsed="false">
      <c r="A3200" s="2" t="n">
        <v>3199</v>
      </c>
      <c r="B3200" s="2" t="s">
        <v>6643</v>
      </c>
      <c r="C3200" s="2" t="s">
        <v>6644</v>
      </c>
      <c r="D3200" s="2"/>
      <c r="E3200" s="2" t="s">
        <v>17</v>
      </c>
      <c r="F3200" s="3" t="n">
        <v>2.3E-005</v>
      </c>
      <c r="G3200" s="3" t="n">
        <f aca="false">SUM($F$2:F3200)</f>
        <v>0.981259</v>
      </c>
      <c r="H3200" s="4"/>
      <c r="I3200" s="5"/>
      <c r="J3200" s="4"/>
      <c r="K3200" s="5"/>
      <c r="L3200" s="6"/>
      <c r="M3200" s="5" t="str">
        <f aca="false">IF(AND(N(K3200)&gt;0,N(L3200)&gt;0),K3200/L3200,"")</f>
        <v/>
      </c>
      <c r="N3200" s="2" t="s">
        <v>1226</v>
      </c>
    </row>
    <row r="3201" customFormat="false" ht="15" hidden="false" customHeight="false" outlineLevel="0" collapsed="false">
      <c r="A3201" s="2" t="n">
        <v>3200</v>
      </c>
      <c r="B3201" s="2" t="s">
        <v>6645</v>
      </c>
      <c r="C3201" s="2" t="s">
        <v>6646</v>
      </c>
      <c r="D3201" s="2"/>
      <c r="E3201" s="2" t="s">
        <v>43</v>
      </c>
      <c r="F3201" s="3" t="n">
        <v>2.3E-005</v>
      </c>
      <c r="G3201" s="3" t="n">
        <f aca="false">SUM($F$2:F3201)</f>
        <v>0.981282</v>
      </c>
      <c r="H3201" s="4"/>
      <c r="I3201" s="5"/>
      <c r="J3201" s="4"/>
      <c r="K3201" s="5"/>
      <c r="L3201" s="6"/>
      <c r="M3201" s="5" t="str">
        <f aca="false">IF(AND(N(K3201)&gt;0,N(L3201)&gt;0),K3201/L3201,"")</f>
        <v/>
      </c>
      <c r="N3201" s="2" t="s">
        <v>1226</v>
      </c>
    </row>
    <row r="3202" customFormat="false" ht="15" hidden="false" customHeight="false" outlineLevel="0" collapsed="false">
      <c r="A3202" s="2" t="n">
        <v>3201</v>
      </c>
      <c r="B3202" s="2" t="s">
        <v>6647</v>
      </c>
      <c r="C3202" s="2" t="s">
        <v>6648</v>
      </c>
      <c r="D3202" s="2"/>
      <c r="E3202" s="2" t="s">
        <v>1345</v>
      </c>
      <c r="F3202" s="3" t="n">
        <v>2.3E-005</v>
      </c>
      <c r="G3202" s="3" t="n">
        <f aca="false">SUM($F$2:F3202)</f>
        <v>0.981305</v>
      </c>
      <c r="H3202" s="4"/>
      <c r="I3202" s="5"/>
      <c r="J3202" s="4"/>
      <c r="K3202" s="5"/>
      <c r="L3202" s="6"/>
      <c r="M3202" s="5" t="str">
        <f aca="false">IF(AND(N(K3202)&gt;0,N(L3202)&gt;0),K3202/L3202,"")</f>
        <v/>
      </c>
      <c r="N3202" s="2" t="s">
        <v>1226</v>
      </c>
    </row>
    <row r="3203" customFormat="false" ht="15" hidden="false" customHeight="false" outlineLevel="0" collapsed="false">
      <c r="A3203" s="2" t="n">
        <v>3202</v>
      </c>
      <c r="B3203" s="2" t="s">
        <v>6649</v>
      </c>
      <c r="C3203" s="2" t="s">
        <v>6650</v>
      </c>
      <c r="D3203" s="2"/>
      <c r="E3203" s="2" t="s">
        <v>38</v>
      </c>
      <c r="F3203" s="3" t="n">
        <v>2.2E-005</v>
      </c>
      <c r="G3203" s="3" t="n">
        <f aca="false">SUM($F$2:F3203)</f>
        <v>0.981327</v>
      </c>
      <c r="H3203" s="4"/>
      <c r="I3203" s="5"/>
      <c r="J3203" s="4"/>
      <c r="K3203" s="5"/>
      <c r="L3203" s="6"/>
      <c r="M3203" s="5" t="str">
        <f aca="false">IF(AND(N(K3203)&gt;0,N(L3203)&gt;0),K3203/L3203,"")</f>
        <v/>
      </c>
      <c r="N3203" s="2" t="s">
        <v>1226</v>
      </c>
    </row>
    <row r="3204" customFormat="false" ht="15" hidden="false" customHeight="false" outlineLevel="0" collapsed="false">
      <c r="A3204" s="2" t="n">
        <v>3203</v>
      </c>
      <c r="B3204" s="2" t="s">
        <v>6651</v>
      </c>
      <c r="C3204" s="2" t="s">
        <v>6652</v>
      </c>
      <c r="D3204" s="2"/>
      <c r="E3204" s="2" t="s">
        <v>289</v>
      </c>
      <c r="F3204" s="3" t="n">
        <v>2.2E-005</v>
      </c>
      <c r="G3204" s="3" t="n">
        <f aca="false">SUM($F$2:F3204)</f>
        <v>0.981349</v>
      </c>
      <c r="H3204" s="4"/>
      <c r="I3204" s="5"/>
      <c r="J3204" s="4"/>
      <c r="K3204" s="5"/>
      <c r="L3204" s="6"/>
      <c r="M3204" s="5" t="str">
        <f aca="false">IF(AND(N(K3204)&gt;0,N(L3204)&gt;0),K3204/L3204,"")</f>
        <v/>
      </c>
      <c r="N3204" s="2" t="s">
        <v>1226</v>
      </c>
    </row>
    <row r="3205" customFormat="false" ht="15" hidden="false" customHeight="false" outlineLevel="0" collapsed="false">
      <c r="A3205" s="2" t="n">
        <v>3204</v>
      </c>
      <c r="B3205" s="2" t="s">
        <v>6653</v>
      </c>
      <c r="C3205" s="2" t="s">
        <v>6654</v>
      </c>
      <c r="D3205" s="2"/>
      <c r="E3205" s="2" t="s">
        <v>1295</v>
      </c>
      <c r="F3205" s="3" t="n">
        <v>2.2E-005</v>
      </c>
      <c r="G3205" s="3" t="n">
        <f aca="false">SUM($F$2:F3205)</f>
        <v>0.981371</v>
      </c>
      <c r="H3205" s="4"/>
      <c r="I3205" s="5"/>
      <c r="J3205" s="4"/>
      <c r="K3205" s="5"/>
      <c r="L3205" s="6"/>
      <c r="M3205" s="5" t="str">
        <f aca="false">IF(AND(N(K3205)&gt;0,N(L3205)&gt;0),K3205/L3205,"")</f>
        <v/>
      </c>
      <c r="N3205" s="2" t="s">
        <v>1226</v>
      </c>
    </row>
    <row r="3206" customFormat="false" ht="15" hidden="false" customHeight="false" outlineLevel="0" collapsed="false">
      <c r="A3206" s="2" t="n">
        <v>3205</v>
      </c>
      <c r="B3206" s="2" t="s">
        <v>6655</v>
      </c>
      <c r="C3206" s="2" t="s">
        <v>6656</v>
      </c>
      <c r="D3206" s="2"/>
      <c r="E3206" s="2" t="s">
        <v>52</v>
      </c>
      <c r="F3206" s="3" t="n">
        <v>2.2E-005</v>
      </c>
      <c r="G3206" s="3" t="n">
        <f aca="false">SUM($F$2:F3206)</f>
        <v>0.981393</v>
      </c>
      <c r="H3206" s="4"/>
      <c r="I3206" s="5"/>
      <c r="J3206" s="4"/>
      <c r="K3206" s="5"/>
      <c r="L3206" s="6"/>
      <c r="M3206" s="5" t="str">
        <f aca="false">IF(AND(N(K3206)&gt;0,N(L3206)&gt;0),K3206/L3206,"")</f>
        <v/>
      </c>
      <c r="N3206" s="2" t="s">
        <v>1226</v>
      </c>
    </row>
    <row r="3207" customFormat="false" ht="15" hidden="false" customHeight="false" outlineLevel="0" collapsed="false">
      <c r="A3207" s="2" t="n">
        <v>3206</v>
      </c>
      <c r="B3207" s="2" t="s">
        <v>6657</v>
      </c>
      <c r="C3207" s="2" t="s">
        <v>6658</v>
      </c>
      <c r="D3207" s="2"/>
      <c r="E3207" s="2" t="s">
        <v>1345</v>
      </c>
      <c r="F3207" s="3" t="n">
        <v>2.2E-005</v>
      </c>
      <c r="G3207" s="3" t="n">
        <f aca="false">SUM($F$2:F3207)</f>
        <v>0.981415</v>
      </c>
      <c r="H3207" s="4"/>
      <c r="I3207" s="5"/>
      <c r="J3207" s="4"/>
      <c r="K3207" s="5"/>
      <c r="L3207" s="6"/>
      <c r="M3207" s="5" t="str">
        <f aca="false">IF(AND(N(K3207)&gt;0,N(L3207)&gt;0),K3207/L3207,"")</f>
        <v/>
      </c>
      <c r="N3207" s="2" t="s">
        <v>1226</v>
      </c>
    </row>
    <row r="3208" customFormat="false" ht="15" hidden="false" customHeight="false" outlineLevel="0" collapsed="false">
      <c r="A3208" s="2" t="n">
        <v>3207</v>
      </c>
      <c r="B3208" s="2" t="s">
        <v>6659</v>
      </c>
      <c r="C3208" s="2" t="s">
        <v>6660</v>
      </c>
      <c r="D3208" s="2"/>
      <c r="E3208" s="2" t="s">
        <v>25</v>
      </c>
      <c r="F3208" s="3" t="n">
        <v>2.2E-005</v>
      </c>
      <c r="G3208" s="3" t="n">
        <f aca="false">SUM($F$2:F3208)</f>
        <v>0.981437</v>
      </c>
      <c r="H3208" s="4"/>
      <c r="I3208" s="5"/>
      <c r="J3208" s="4"/>
      <c r="K3208" s="5"/>
      <c r="L3208" s="6"/>
      <c r="M3208" s="5" t="str">
        <f aca="false">IF(AND(N(K3208)&gt;0,N(L3208)&gt;0),K3208/L3208,"")</f>
        <v/>
      </c>
      <c r="N3208" s="2" t="s">
        <v>1226</v>
      </c>
    </row>
    <row r="3209" customFormat="false" ht="15" hidden="false" customHeight="false" outlineLevel="0" collapsed="false">
      <c r="A3209" s="2" t="n">
        <v>3208</v>
      </c>
      <c r="B3209" s="2" t="s">
        <v>6661</v>
      </c>
      <c r="C3209" s="2" t="s">
        <v>6662</v>
      </c>
      <c r="D3209" s="2"/>
      <c r="E3209" s="2" t="s">
        <v>52</v>
      </c>
      <c r="F3209" s="3" t="n">
        <v>2.2E-005</v>
      </c>
      <c r="G3209" s="3" t="n">
        <f aca="false">SUM($F$2:F3209)</f>
        <v>0.981459</v>
      </c>
      <c r="H3209" s="4"/>
      <c r="I3209" s="5"/>
      <c r="J3209" s="4"/>
      <c r="K3209" s="5"/>
      <c r="L3209" s="6"/>
      <c r="M3209" s="5" t="str">
        <f aca="false">IF(AND(N(K3209)&gt;0,N(L3209)&gt;0),K3209/L3209,"")</f>
        <v/>
      </c>
      <c r="N3209" s="2" t="s">
        <v>1226</v>
      </c>
    </row>
    <row r="3210" customFormat="false" ht="15" hidden="false" customHeight="false" outlineLevel="0" collapsed="false">
      <c r="A3210" s="2" t="n">
        <v>3209</v>
      </c>
      <c r="B3210" s="2" t="s">
        <v>6663</v>
      </c>
      <c r="C3210" s="2" t="s">
        <v>6664</v>
      </c>
      <c r="D3210" s="2"/>
      <c r="E3210" s="2" t="s">
        <v>1345</v>
      </c>
      <c r="F3210" s="3" t="n">
        <v>2.2E-005</v>
      </c>
      <c r="G3210" s="3" t="n">
        <f aca="false">SUM($F$2:F3210)</f>
        <v>0.981481</v>
      </c>
      <c r="H3210" s="4"/>
      <c r="I3210" s="5"/>
      <c r="J3210" s="4"/>
      <c r="K3210" s="5"/>
      <c r="L3210" s="6"/>
      <c r="M3210" s="5" t="str">
        <f aca="false">IF(AND(N(K3210)&gt;0,N(L3210)&gt;0),K3210/L3210,"")</f>
        <v/>
      </c>
      <c r="N3210" s="2" t="s">
        <v>1226</v>
      </c>
    </row>
    <row r="3211" customFormat="false" ht="15" hidden="false" customHeight="false" outlineLevel="0" collapsed="false">
      <c r="A3211" s="2" t="n">
        <v>3210</v>
      </c>
      <c r="B3211" s="2" t="s">
        <v>6665</v>
      </c>
      <c r="C3211" s="2" t="s">
        <v>6666</v>
      </c>
      <c r="D3211" s="2"/>
      <c r="E3211" s="2" t="s">
        <v>1215</v>
      </c>
      <c r="F3211" s="3" t="n">
        <v>2.2E-005</v>
      </c>
      <c r="G3211" s="3" t="n">
        <f aca="false">SUM($F$2:F3211)</f>
        <v>0.981503</v>
      </c>
      <c r="H3211" s="4"/>
      <c r="I3211" s="5"/>
      <c r="J3211" s="4"/>
      <c r="K3211" s="5"/>
      <c r="L3211" s="6"/>
      <c r="M3211" s="5" t="str">
        <f aca="false">IF(AND(N(K3211)&gt;0,N(L3211)&gt;0),K3211/L3211,"")</f>
        <v/>
      </c>
      <c r="N3211" s="2" t="s">
        <v>1226</v>
      </c>
    </row>
    <row r="3212" customFormat="false" ht="15" hidden="false" customHeight="false" outlineLevel="0" collapsed="false">
      <c r="A3212" s="2" t="n">
        <v>3211</v>
      </c>
      <c r="B3212" s="2" t="s">
        <v>6667</v>
      </c>
      <c r="C3212" s="2" t="s">
        <v>6668</v>
      </c>
      <c r="D3212" s="2"/>
      <c r="E3212" s="2" t="s">
        <v>25</v>
      </c>
      <c r="F3212" s="3" t="n">
        <v>2.2E-005</v>
      </c>
      <c r="G3212" s="3" t="n">
        <f aca="false">SUM($F$2:F3212)</f>
        <v>0.981525</v>
      </c>
      <c r="H3212" s="4"/>
      <c r="I3212" s="5"/>
      <c r="J3212" s="4"/>
      <c r="K3212" s="5"/>
      <c r="L3212" s="6"/>
      <c r="M3212" s="5" t="str">
        <f aca="false">IF(AND(N(K3212)&gt;0,N(L3212)&gt;0),K3212/L3212,"")</f>
        <v/>
      </c>
      <c r="N3212" s="2" t="s">
        <v>1226</v>
      </c>
    </row>
    <row r="3213" customFormat="false" ht="15" hidden="false" customHeight="false" outlineLevel="0" collapsed="false">
      <c r="A3213" s="2" t="n">
        <v>3212</v>
      </c>
      <c r="B3213" s="2" t="s">
        <v>6669</v>
      </c>
      <c r="C3213" s="2" t="s">
        <v>6670</v>
      </c>
      <c r="D3213" s="2"/>
      <c r="E3213" s="2" t="s">
        <v>289</v>
      </c>
      <c r="F3213" s="3" t="n">
        <v>2.2E-005</v>
      </c>
      <c r="G3213" s="3" t="n">
        <f aca="false">SUM($F$2:F3213)</f>
        <v>0.981547</v>
      </c>
      <c r="H3213" s="4"/>
      <c r="I3213" s="5"/>
      <c r="J3213" s="4"/>
      <c r="K3213" s="5"/>
      <c r="L3213" s="6"/>
      <c r="M3213" s="5" t="str">
        <f aca="false">IF(AND(N(K3213)&gt;0,N(L3213)&gt;0),K3213/L3213,"")</f>
        <v/>
      </c>
      <c r="N3213" s="2" t="s">
        <v>1226</v>
      </c>
    </row>
    <row r="3214" customFormat="false" ht="15" hidden="false" customHeight="false" outlineLevel="0" collapsed="false">
      <c r="A3214" s="2" t="n">
        <v>3213</v>
      </c>
      <c r="B3214" s="2" t="s">
        <v>6671</v>
      </c>
      <c r="C3214" s="2" t="s">
        <v>6672</v>
      </c>
      <c r="D3214" s="2"/>
      <c r="E3214" s="2" t="s">
        <v>25</v>
      </c>
      <c r="F3214" s="3" t="n">
        <v>2.2E-005</v>
      </c>
      <c r="G3214" s="3" t="n">
        <f aca="false">SUM($F$2:F3214)</f>
        <v>0.981569</v>
      </c>
      <c r="H3214" s="4"/>
      <c r="I3214" s="5"/>
      <c r="J3214" s="4"/>
      <c r="K3214" s="5"/>
      <c r="L3214" s="6"/>
      <c r="M3214" s="5" t="str">
        <f aca="false">IF(AND(N(K3214)&gt;0,N(L3214)&gt;0),K3214/L3214,"")</f>
        <v/>
      </c>
      <c r="N3214" s="2" t="s">
        <v>1226</v>
      </c>
    </row>
    <row r="3215" customFormat="false" ht="15" hidden="false" customHeight="false" outlineLevel="0" collapsed="false">
      <c r="A3215" s="2" t="n">
        <v>3214</v>
      </c>
      <c r="B3215" s="2" t="s">
        <v>6673</v>
      </c>
      <c r="C3215" s="2" t="s">
        <v>6674</v>
      </c>
      <c r="D3215" s="2"/>
      <c r="E3215" s="2" t="s">
        <v>1345</v>
      </c>
      <c r="F3215" s="3" t="n">
        <v>2.2E-005</v>
      </c>
      <c r="G3215" s="3" t="n">
        <f aca="false">SUM($F$2:F3215)</f>
        <v>0.981591</v>
      </c>
      <c r="H3215" s="4"/>
      <c r="I3215" s="5"/>
      <c r="J3215" s="4"/>
      <c r="K3215" s="5"/>
      <c r="L3215" s="6"/>
      <c r="M3215" s="5" t="str">
        <f aca="false">IF(AND(N(K3215)&gt;0,N(L3215)&gt;0),K3215/L3215,"")</f>
        <v/>
      </c>
      <c r="N3215" s="2" t="s">
        <v>1226</v>
      </c>
    </row>
    <row r="3216" customFormat="false" ht="15" hidden="false" customHeight="false" outlineLevel="0" collapsed="false">
      <c r="A3216" s="2" t="n">
        <v>3215</v>
      </c>
      <c r="B3216" s="2" t="s">
        <v>6675</v>
      </c>
      <c r="C3216" s="2" t="s">
        <v>6676</v>
      </c>
      <c r="D3216" s="2"/>
      <c r="E3216" s="2" t="s">
        <v>4668</v>
      </c>
      <c r="F3216" s="3" t="n">
        <v>2.2E-005</v>
      </c>
      <c r="G3216" s="3" t="n">
        <f aca="false">SUM($F$2:F3216)</f>
        <v>0.981613</v>
      </c>
      <c r="H3216" s="4"/>
      <c r="I3216" s="5"/>
      <c r="J3216" s="4"/>
      <c r="K3216" s="5"/>
      <c r="L3216" s="6"/>
      <c r="M3216" s="5" t="str">
        <f aca="false">IF(AND(N(K3216)&gt;0,N(L3216)&gt;0),K3216/L3216,"")</f>
        <v/>
      </c>
      <c r="N3216" s="2" t="s">
        <v>1226</v>
      </c>
    </row>
    <row r="3217" customFormat="false" ht="15" hidden="false" customHeight="false" outlineLevel="0" collapsed="false">
      <c r="A3217" s="2" t="n">
        <v>3216</v>
      </c>
      <c r="B3217" s="2" t="s">
        <v>6677</v>
      </c>
      <c r="C3217" s="2" t="s">
        <v>6678</v>
      </c>
      <c r="D3217" s="2"/>
      <c r="E3217" s="2" t="s">
        <v>289</v>
      </c>
      <c r="F3217" s="3" t="n">
        <v>2.2E-005</v>
      </c>
      <c r="G3217" s="3" t="n">
        <f aca="false">SUM($F$2:F3217)</f>
        <v>0.981635</v>
      </c>
      <c r="H3217" s="4"/>
      <c r="I3217" s="5"/>
      <c r="J3217" s="4"/>
      <c r="K3217" s="5"/>
      <c r="L3217" s="6"/>
      <c r="M3217" s="5" t="str">
        <f aca="false">IF(AND(N(K3217)&gt;0,N(L3217)&gt;0),K3217/L3217,"")</f>
        <v/>
      </c>
      <c r="N3217" s="2" t="s">
        <v>1226</v>
      </c>
    </row>
    <row r="3218" customFormat="false" ht="15" hidden="false" customHeight="false" outlineLevel="0" collapsed="false">
      <c r="A3218" s="2" t="n">
        <v>3217</v>
      </c>
      <c r="B3218" s="2" t="s">
        <v>6679</v>
      </c>
      <c r="C3218" s="2" t="s">
        <v>6680</v>
      </c>
      <c r="D3218" s="2"/>
      <c r="E3218" s="2" t="s">
        <v>289</v>
      </c>
      <c r="F3218" s="3" t="n">
        <v>2.2E-005</v>
      </c>
      <c r="G3218" s="3" t="n">
        <f aca="false">SUM($F$2:F3218)</f>
        <v>0.981657</v>
      </c>
      <c r="H3218" s="4"/>
      <c r="I3218" s="5"/>
      <c r="J3218" s="4"/>
      <c r="K3218" s="5"/>
      <c r="L3218" s="6"/>
      <c r="M3218" s="5" t="str">
        <f aca="false">IF(AND(N(K3218)&gt;0,N(L3218)&gt;0),K3218/L3218,"")</f>
        <v/>
      </c>
      <c r="N3218" s="2" t="s">
        <v>1226</v>
      </c>
    </row>
    <row r="3219" customFormat="false" ht="15" hidden="false" customHeight="false" outlineLevel="0" collapsed="false">
      <c r="A3219" s="2" t="n">
        <v>3218</v>
      </c>
      <c r="B3219" s="2" t="s">
        <v>6681</v>
      </c>
      <c r="C3219" s="2" t="s">
        <v>6682</v>
      </c>
      <c r="D3219" s="2"/>
      <c r="E3219" s="2" t="s">
        <v>25</v>
      </c>
      <c r="F3219" s="3" t="n">
        <v>2.2E-005</v>
      </c>
      <c r="G3219" s="3" t="n">
        <f aca="false">SUM($F$2:F3219)</f>
        <v>0.981679</v>
      </c>
      <c r="H3219" s="4"/>
      <c r="I3219" s="5"/>
      <c r="J3219" s="4"/>
      <c r="K3219" s="5"/>
      <c r="L3219" s="6"/>
      <c r="M3219" s="5" t="str">
        <f aca="false">IF(AND(N(K3219)&gt;0,N(L3219)&gt;0),K3219/L3219,"")</f>
        <v/>
      </c>
      <c r="N3219" s="2" t="s">
        <v>1226</v>
      </c>
    </row>
    <row r="3220" customFormat="false" ht="15" hidden="false" customHeight="false" outlineLevel="0" collapsed="false">
      <c r="A3220" s="2" t="n">
        <v>3219</v>
      </c>
      <c r="B3220" s="2" t="s">
        <v>6683</v>
      </c>
      <c r="C3220" s="2" t="s">
        <v>6684</v>
      </c>
      <c r="D3220" s="2"/>
      <c r="E3220" s="2" t="s">
        <v>679</v>
      </c>
      <c r="F3220" s="3" t="n">
        <v>2.2E-005</v>
      </c>
      <c r="G3220" s="3" t="n">
        <f aca="false">SUM($F$2:F3220)</f>
        <v>0.981701</v>
      </c>
      <c r="H3220" s="4"/>
      <c r="I3220" s="5"/>
      <c r="J3220" s="4"/>
      <c r="K3220" s="5"/>
      <c r="L3220" s="6"/>
      <c r="M3220" s="5" t="str">
        <f aca="false">IF(AND(N(K3220)&gt;0,N(L3220)&gt;0),K3220/L3220,"")</f>
        <v/>
      </c>
      <c r="N3220" s="2" t="s">
        <v>1226</v>
      </c>
    </row>
    <row r="3221" customFormat="false" ht="15" hidden="false" customHeight="false" outlineLevel="0" collapsed="false">
      <c r="A3221" s="2" t="n">
        <v>3220</v>
      </c>
      <c r="B3221" s="2" t="s">
        <v>6685</v>
      </c>
      <c r="C3221" s="2" t="s">
        <v>6686</v>
      </c>
      <c r="D3221" s="2"/>
      <c r="E3221" s="2" t="s">
        <v>765</v>
      </c>
      <c r="F3221" s="3" t="n">
        <v>2.2E-005</v>
      </c>
      <c r="G3221" s="3" t="n">
        <f aca="false">SUM($F$2:F3221)</f>
        <v>0.981723</v>
      </c>
      <c r="H3221" s="4"/>
      <c r="I3221" s="5"/>
      <c r="J3221" s="4"/>
      <c r="K3221" s="5"/>
      <c r="L3221" s="6"/>
      <c r="M3221" s="5" t="str">
        <f aca="false">IF(AND(N(K3221)&gt;0,N(L3221)&gt;0),K3221/L3221,"")</f>
        <v/>
      </c>
      <c r="N3221" s="2" t="s">
        <v>1226</v>
      </c>
    </row>
    <row r="3222" customFormat="false" ht="15" hidden="false" customHeight="false" outlineLevel="0" collapsed="false">
      <c r="A3222" s="2" t="n">
        <v>3221</v>
      </c>
      <c r="B3222" s="2" t="s">
        <v>6687</v>
      </c>
      <c r="C3222" s="2" t="s">
        <v>6688</v>
      </c>
      <c r="D3222" s="2"/>
      <c r="E3222" s="2" t="s">
        <v>1345</v>
      </c>
      <c r="F3222" s="3" t="n">
        <v>2.2E-005</v>
      </c>
      <c r="G3222" s="3" t="n">
        <f aca="false">SUM($F$2:F3222)</f>
        <v>0.981745</v>
      </c>
      <c r="H3222" s="4"/>
      <c r="I3222" s="5"/>
      <c r="J3222" s="4"/>
      <c r="K3222" s="5"/>
      <c r="L3222" s="6"/>
      <c r="M3222" s="5" t="str">
        <f aca="false">IF(AND(N(K3222)&gt;0,N(L3222)&gt;0),K3222/L3222,"")</f>
        <v/>
      </c>
      <c r="N3222" s="2" t="s">
        <v>1226</v>
      </c>
    </row>
    <row r="3223" customFormat="false" ht="15" hidden="false" customHeight="false" outlineLevel="0" collapsed="false">
      <c r="A3223" s="2" t="n">
        <v>3222</v>
      </c>
      <c r="B3223" s="2" t="s">
        <v>6689</v>
      </c>
      <c r="C3223" s="2" t="s">
        <v>6690</v>
      </c>
      <c r="D3223" s="2"/>
      <c r="E3223" s="2" t="s">
        <v>289</v>
      </c>
      <c r="F3223" s="3" t="n">
        <v>2.2E-005</v>
      </c>
      <c r="G3223" s="3" t="n">
        <f aca="false">SUM($F$2:F3223)</f>
        <v>0.981767</v>
      </c>
      <c r="H3223" s="4"/>
      <c r="I3223" s="5"/>
      <c r="J3223" s="4"/>
      <c r="K3223" s="5"/>
      <c r="L3223" s="6"/>
      <c r="M3223" s="5" t="str">
        <f aca="false">IF(AND(N(K3223)&gt;0,N(L3223)&gt;0),K3223/L3223,"")</f>
        <v/>
      </c>
      <c r="N3223" s="2" t="s">
        <v>1226</v>
      </c>
    </row>
    <row r="3224" customFormat="false" ht="15" hidden="false" customHeight="false" outlineLevel="0" collapsed="false">
      <c r="A3224" s="2" t="n">
        <v>3223</v>
      </c>
      <c r="B3224" s="2" t="s">
        <v>6691</v>
      </c>
      <c r="C3224" s="2" t="s">
        <v>6692</v>
      </c>
      <c r="D3224" s="2"/>
      <c r="E3224" s="2" t="s">
        <v>289</v>
      </c>
      <c r="F3224" s="3" t="n">
        <v>2.2E-005</v>
      </c>
      <c r="G3224" s="3" t="n">
        <f aca="false">SUM($F$2:F3224)</f>
        <v>0.981789</v>
      </c>
      <c r="H3224" s="4"/>
      <c r="I3224" s="5"/>
      <c r="J3224" s="4"/>
      <c r="K3224" s="5"/>
      <c r="L3224" s="6"/>
      <c r="M3224" s="5" t="str">
        <f aca="false">IF(AND(N(K3224)&gt;0,N(L3224)&gt;0),K3224/L3224,"")</f>
        <v/>
      </c>
      <c r="N3224" s="2" t="s">
        <v>1226</v>
      </c>
    </row>
    <row r="3225" customFormat="false" ht="15" hidden="false" customHeight="false" outlineLevel="0" collapsed="false">
      <c r="A3225" s="2" t="n">
        <v>3224</v>
      </c>
      <c r="B3225" s="2" t="s">
        <v>6693</v>
      </c>
      <c r="C3225" s="2" t="s">
        <v>6694</v>
      </c>
      <c r="D3225" s="2"/>
      <c r="E3225" s="2" t="s">
        <v>826</v>
      </c>
      <c r="F3225" s="3" t="n">
        <v>2.2E-005</v>
      </c>
      <c r="G3225" s="3" t="n">
        <f aca="false">SUM($F$2:F3225)</f>
        <v>0.981811</v>
      </c>
      <c r="H3225" s="4"/>
      <c r="I3225" s="5"/>
      <c r="J3225" s="4"/>
      <c r="K3225" s="5"/>
      <c r="L3225" s="6"/>
      <c r="M3225" s="5" t="str">
        <f aca="false">IF(AND(N(K3225)&gt;0,N(L3225)&gt;0),K3225/L3225,"")</f>
        <v/>
      </c>
      <c r="N3225" s="2" t="s">
        <v>1226</v>
      </c>
    </row>
    <row r="3226" customFormat="false" ht="15" hidden="false" customHeight="false" outlineLevel="0" collapsed="false">
      <c r="A3226" s="2" t="n">
        <v>3225</v>
      </c>
      <c r="B3226" s="2" t="s">
        <v>6695</v>
      </c>
      <c r="C3226" s="2" t="s">
        <v>6696</v>
      </c>
      <c r="D3226" s="2"/>
      <c r="E3226" s="2" t="s">
        <v>82</v>
      </c>
      <c r="F3226" s="3" t="n">
        <v>2.2E-005</v>
      </c>
      <c r="G3226" s="3" t="n">
        <f aca="false">SUM($F$2:F3226)</f>
        <v>0.981833</v>
      </c>
      <c r="H3226" s="4"/>
      <c r="I3226" s="5"/>
      <c r="J3226" s="4"/>
      <c r="K3226" s="5"/>
      <c r="L3226" s="6"/>
      <c r="M3226" s="5" t="str">
        <f aca="false">IF(AND(N(K3226)&gt;0,N(L3226)&gt;0),K3226/L3226,"")</f>
        <v/>
      </c>
      <c r="N3226" s="2" t="s">
        <v>1226</v>
      </c>
    </row>
    <row r="3227" customFormat="false" ht="15" hidden="false" customHeight="false" outlineLevel="0" collapsed="false">
      <c r="A3227" s="2" t="n">
        <v>3226</v>
      </c>
      <c r="B3227" s="2" t="s">
        <v>6697</v>
      </c>
      <c r="C3227" s="2" t="s">
        <v>6698</v>
      </c>
      <c r="D3227" s="2"/>
      <c r="E3227" s="2" t="s">
        <v>1345</v>
      </c>
      <c r="F3227" s="3" t="n">
        <v>2.2E-005</v>
      </c>
      <c r="G3227" s="3" t="n">
        <f aca="false">SUM($F$2:F3227)</f>
        <v>0.981855</v>
      </c>
      <c r="H3227" s="4"/>
      <c r="I3227" s="5"/>
      <c r="J3227" s="4"/>
      <c r="K3227" s="5"/>
      <c r="L3227" s="6"/>
      <c r="M3227" s="5" t="str">
        <f aca="false">IF(AND(N(K3227)&gt;0,N(L3227)&gt;0),K3227/L3227,"")</f>
        <v/>
      </c>
      <c r="N3227" s="2" t="s">
        <v>1226</v>
      </c>
    </row>
    <row r="3228" customFormat="false" ht="15" hidden="false" customHeight="false" outlineLevel="0" collapsed="false">
      <c r="A3228" s="2" t="n">
        <v>3227</v>
      </c>
      <c r="B3228" s="2" t="s">
        <v>6699</v>
      </c>
      <c r="C3228" s="2" t="s">
        <v>6700</v>
      </c>
      <c r="D3228" s="2"/>
      <c r="E3228" s="2" t="s">
        <v>1345</v>
      </c>
      <c r="F3228" s="3" t="n">
        <v>2.2E-005</v>
      </c>
      <c r="G3228" s="3" t="n">
        <f aca="false">SUM($F$2:F3228)</f>
        <v>0.981877</v>
      </c>
      <c r="H3228" s="4"/>
      <c r="I3228" s="5"/>
      <c r="J3228" s="4"/>
      <c r="K3228" s="5"/>
      <c r="L3228" s="6"/>
      <c r="M3228" s="5" t="str">
        <f aca="false">IF(AND(N(K3228)&gt;0,N(L3228)&gt;0),K3228/L3228,"")</f>
        <v/>
      </c>
      <c r="N3228" s="2" t="s">
        <v>1226</v>
      </c>
    </row>
    <row r="3229" customFormat="false" ht="15" hidden="false" customHeight="false" outlineLevel="0" collapsed="false">
      <c r="A3229" s="2" t="n">
        <v>3228</v>
      </c>
      <c r="B3229" s="2" t="s">
        <v>6701</v>
      </c>
      <c r="C3229" s="2" t="s">
        <v>6702</v>
      </c>
      <c r="D3229" s="2"/>
      <c r="E3229" s="2" t="s">
        <v>82</v>
      </c>
      <c r="F3229" s="3" t="n">
        <v>2.2E-005</v>
      </c>
      <c r="G3229" s="3" t="n">
        <f aca="false">SUM($F$2:F3229)</f>
        <v>0.981899</v>
      </c>
      <c r="H3229" s="4"/>
      <c r="I3229" s="5"/>
      <c r="J3229" s="4"/>
      <c r="K3229" s="5"/>
      <c r="L3229" s="6"/>
      <c r="M3229" s="5" t="str">
        <f aca="false">IF(AND(N(K3229)&gt;0,N(L3229)&gt;0),K3229/L3229,"")</f>
        <v/>
      </c>
      <c r="N3229" s="2" t="s">
        <v>1226</v>
      </c>
    </row>
    <row r="3230" customFormat="false" ht="15" hidden="false" customHeight="false" outlineLevel="0" collapsed="false">
      <c r="A3230" s="2" t="n">
        <v>3229</v>
      </c>
      <c r="B3230" s="2" t="s">
        <v>6703</v>
      </c>
      <c r="C3230" s="2" t="s">
        <v>6704</v>
      </c>
      <c r="D3230" s="2"/>
      <c r="E3230" s="2" t="s">
        <v>334</v>
      </c>
      <c r="F3230" s="3" t="n">
        <v>2.2E-005</v>
      </c>
      <c r="G3230" s="3" t="n">
        <f aca="false">SUM($F$2:F3230)</f>
        <v>0.981921</v>
      </c>
      <c r="H3230" s="4"/>
      <c r="I3230" s="5"/>
      <c r="J3230" s="4"/>
      <c r="K3230" s="5"/>
      <c r="L3230" s="6"/>
      <c r="M3230" s="5" t="str">
        <f aca="false">IF(AND(N(K3230)&gt;0,N(L3230)&gt;0),K3230/L3230,"")</f>
        <v/>
      </c>
      <c r="N3230" s="2" t="s">
        <v>1226</v>
      </c>
    </row>
    <row r="3231" customFormat="false" ht="15" hidden="false" customHeight="false" outlineLevel="0" collapsed="false">
      <c r="A3231" s="2" t="n">
        <v>3230</v>
      </c>
      <c r="B3231" s="2" t="s">
        <v>6705</v>
      </c>
      <c r="C3231" s="2" t="s">
        <v>6706</v>
      </c>
      <c r="D3231" s="2"/>
      <c r="E3231" s="2" t="s">
        <v>43</v>
      </c>
      <c r="F3231" s="3" t="n">
        <v>2.2E-005</v>
      </c>
      <c r="G3231" s="3" t="n">
        <f aca="false">SUM($F$2:F3231)</f>
        <v>0.981943</v>
      </c>
      <c r="H3231" s="4"/>
      <c r="I3231" s="5"/>
      <c r="J3231" s="4"/>
      <c r="K3231" s="5"/>
      <c r="L3231" s="6"/>
      <c r="M3231" s="5" t="str">
        <f aca="false">IF(AND(N(K3231)&gt;0,N(L3231)&gt;0),K3231/L3231,"")</f>
        <v/>
      </c>
      <c r="N3231" s="2" t="s">
        <v>1226</v>
      </c>
    </row>
    <row r="3232" customFormat="false" ht="15" hidden="false" customHeight="false" outlineLevel="0" collapsed="false">
      <c r="A3232" s="2" t="n">
        <v>3231</v>
      </c>
      <c r="B3232" s="2" t="s">
        <v>6707</v>
      </c>
      <c r="C3232" s="2" t="s">
        <v>6708</v>
      </c>
      <c r="D3232" s="2"/>
      <c r="E3232" s="2" t="s">
        <v>1345</v>
      </c>
      <c r="F3232" s="3" t="n">
        <v>2.2E-005</v>
      </c>
      <c r="G3232" s="3" t="n">
        <f aca="false">SUM($F$2:F3232)</f>
        <v>0.981965</v>
      </c>
      <c r="H3232" s="4"/>
      <c r="I3232" s="5"/>
      <c r="J3232" s="4"/>
      <c r="K3232" s="5"/>
      <c r="L3232" s="6"/>
      <c r="M3232" s="5" t="str">
        <f aca="false">IF(AND(N(K3232)&gt;0,N(L3232)&gt;0),K3232/L3232,"")</f>
        <v/>
      </c>
      <c r="N3232" s="2" t="s">
        <v>1226</v>
      </c>
    </row>
    <row r="3233" customFormat="false" ht="15" hidden="false" customHeight="false" outlineLevel="0" collapsed="false">
      <c r="A3233" s="2" t="n">
        <v>3232</v>
      </c>
      <c r="B3233" s="2" t="s">
        <v>6709</v>
      </c>
      <c r="C3233" s="2" t="s">
        <v>6710</v>
      </c>
      <c r="D3233" s="2"/>
      <c r="E3233" s="2" t="s">
        <v>289</v>
      </c>
      <c r="F3233" s="3" t="n">
        <v>2.2E-005</v>
      </c>
      <c r="G3233" s="3" t="n">
        <f aca="false">SUM($F$2:F3233)</f>
        <v>0.981987</v>
      </c>
      <c r="H3233" s="4"/>
      <c r="I3233" s="5"/>
      <c r="J3233" s="4"/>
      <c r="K3233" s="5"/>
      <c r="L3233" s="6"/>
      <c r="M3233" s="5" t="str">
        <f aca="false">IF(AND(N(K3233)&gt;0,N(L3233)&gt;0),K3233/L3233,"")</f>
        <v/>
      </c>
      <c r="N3233" s="2" t="s">
        <v>1226</v>
      </c>
    </row>
    <row r="3234" customFormat="false" ht="15" hidden="false" customHeight="false" outlineLevel="0" collapsed="false">
      <c r="A3234" s="2" t="n">
        <v>3233</v>
      </c>
      <c r="B3234" s="2" t="s">
        <v>6711</v>
      </c>
      <c r="C3234" s="2" t="s">
        <v>6712</v>
      </c>
      <c r="D3234" s="2"/>
      <c r="E3234" s="2" t="s">
        <v>1295</v>
      </c>
      <c r="F3234" s="3" t="n">
        <v>2.2E-005</v>
      </c>
      <c r="G3234" s="3" t="n">
        <f aca="false">SUM($F$2:F3234)</f>
        <v>0.982009</v>
      </c>
      <c r="H3234" s="4"/>
      <c r="I3234" s="5"/>
      <c r="J3234" s="4"/>
      <c r="K3234" s="5"/>
      <c r="L3234" s="6"/>
      <c r="M3234" s="5" t="str">
        <f aca="false">IF(AND(N(K3234)&gt;0,N(L3234)&gt;0),K3234/L3234,"")</f>
        <v/>
      </c>
      <c r="N3234" s="2" t="s">
        <v>1226</v>
      </c>
    </row>
    <row r="3235" customFormat="false" ht="15" hidden="false" customHeight="false" outlineLevel="0" collapsed="false">
      <c r="A3235" s="2" t="n">
        <v>3234</v>
      </c>
      <c r="B3235" s="2" t="s">
        <v>6713</v>
      </c>
      <c r="C3235" s="2" t="s">
        <v>6714</v>
      </c>
      <c r="D3235" s="2"/>
      <c r="E3235" s="2" t="s">
        <v>29</v>
      </c>
      <c r="F3235" s="3" t="n">
        <v>2.2E-005</v>
      </c>
      <c r="G3235" s="3" t="n">
        <f aca="false">SUM($F$2:F3235)</f>
        <v>0.982031</v>
      </c>
      <c r="H3235" s="4"/>
      <c r="I3235" s="5"/>
      <c r="J3235" s="4"/>
      <c r="K3235" s="5"/>
      <c r="L3235" s="6"/>
      <c r="M3235" s="5" t="str">
        <f aca="false">IF(AND(N(K3235)&gt;0,N(L3235)&gt;0),K3235/L3235,"")</f>
        <v/>
      </c>
      <c r="N3235" s="2" t="s">
        <v>1226</v>
      </c>
    </row>
    <row r="3236" customFormat="false" ht="15" hidden="false" customHeight="false" outlineLevel="0" collapsed="false">
      <c r="A3236" s="2" t="n">
        <v>3235</v>
      </c>
      <c r="B3236" s="2" t="s">
        <v>6715</v>
      </c>
      <c r="C3236" s="2" t="s">
        <v>6716</v>
      </c>
      <c r="D3236" s="2"/>
      <c r="E3236" s="2" t="s">
        <v>289</v>
      </c>
      <c r="F3236" s="3" t="n">
        <v>2.2E-005</v>
      </c>
      <c r="G3236" s="3" t="n">
        <f aca="false">SUM($F$2:F3236)</f>
        <v>0.982053</v>
      </c>
      <c r="H3236" s="4"/>
      <c r="I3236" s="5"/>
      <c r="J3236" s="4"/>
      <c r="K3236" s="5"/>
      <c r="L3236" s="6"/>
      <c r="M3236" s="5" t="str">
        <f aca="false">IF(AND(N(K3236)&gt;0,N(L3236)&gt;0),K3236/L3236,"")</f>
        <v/>
      </c>
      <c r="N3236" s="2" t="s">
        <v>1226</v>
      </c>
    </row>
    <row r="3237" customFormat="false" ht="15" hidden="false" customHeight="false" outlineLevel="0" collapsed="false">
      <c r="A3237" s="2" t="n">
        <v>3236</v>
      </c>
      <c r="B3237" s="2" t="s">
        <v>6717</v>
      </c>
      <c r="C3237" s="2" t="s">
        <v>6718</v>
      </c>
      <c r="D3237" s="2"/>
      <c r="E3237" s="2" t="s">
        <v>1345</v>
      </c>
      <c r="F3237" s="3" t="n">
        <v>2.2E-005</v>
      </c>
      <c r="G3237" s="3" t="n">
        <f aca="false">SUM($F$2:F3237)</f>
        <v>0.982075</v>
      </c>
      <c r="H3237" s="4"/>
      <c r="I3237" s="5"/>
      <c r="J3237" s="4"/>
      <c r="K3237" s="5"/>
      <c r="L3237" s="6"/>
      <c r="M3237" s="5" t="str">
        <f aca="false">IF(AND(N(K3237)&gt;0,N(L3237)&gt;0),K3237/L3237,"")</f>
        <v/>
      </c>
      <c r="N3237" s="2" t="s">
        <v>1226</v>
      </c>
    </row>
    <row r="3238" customFormat="false" ht="15" hidden="false" customHeight="false" outlineLevel="0" collapsed="false">
      <c r="A3238" s="2" t="n">
        <v>3237</v>
      </c>
      <c r="B3238" s="2" t="s">
        <v>6719</v>
      </c>
      <c r="C3238" s="2" t="s">
        <v>6720</v>
      </c>
      <c r="D3238" s="2"/>
      <c r="E3238" s="2" t="s">
        <v>1345</v>
      </c>
      <c r="F3238" s="3" t="n">
        <v>2.2E-005</v>
      </c>
      <c r="G3238" s="3" t="n">
        <f aca="false">SUM($F$2:F3238)</f>
        <v>0.982097</v>
      </c>
      <c r="H3238" s="4"/>
      <c r="I3238" s="5"/>
      <c r="J3238" s="4"/>
      <c r="K3238" s="5"/>
      <c r="L3238" s="6"/>
      <c r="M3238" s="5" t="str">
        <f aca="false">IF(AND(N(K3238)&gt;0,N(L3238)&gt;0),K3238/L3238,"")</f>
        <v/>
      </c>
      <c r="N3238" s="2" t="s">
        <v>1226</v>
      </c>
    </row>
    <row r="3239" customFormat="false" ht="15" hidden="false" customHeight="false" outlineLevel="0" collapsed="false">
      <c r="A3239" s="2" t="n">
        <v>3238</v>
      </c>
      <c r="B3239" s="2" t="s">
        <v>6721</v>
      </c>
      <c r="C3239" s="2" t="s">
        <v>6722</v>
      </c>
      <c r="D3239" s="2"/>
      <c r="E3239" s="2" t="s">
        <v>289</v>
      </c>
      <c r="F3239" s="3" t="n">
        <v>2.2E-005</v>
      </c>
      <c r="G3239" s="3" t="n">
        <f aca="false">SUM($F$2:F3239)</f>
        <v>0.982119</v>
      </c>
      <c r="H3239" s="4"/>
      <c r="I3239" s="5"/>
      <c r="J3239" s="4"/>
      <c r="K3239" s="5"/>
      <c r="L3239" s="6"/>
      <c r="M3239" s="5" t="str">
        <f aca="false">IF(AND(N(K3239)&gt;0,N(L3239)&gt;0),K3239/L3239,"")</f>
        <v/>
      </c>
      <c r="N3239" s="2" t="s">
        <v>1226</v>
      </c>
    </row>
    <row r="3240" customFormat="false" ht="15" hidden="false" customHeight="false" outlineLevel="0" collapsed="false">
      <c r="A3240" s="2" t="n">
        <v>3239</v>
      </c>
      <c r="B3240" s="2" t="s">
        <v>6723</v>
      </c>
      <c r="C3240" s="2" t="s">
        <v>6724</v>
      </c>
      <c r="D3240" s="2"/>
      <c r="E3240" s="2" t="s">
        <v>1345</v>
      </c>
      <c r="F3240" s="3" t="n">
        <v>2.2E-005</v>
      </c>
      <c r="G3240" s="3" t="n">
        <f aca="false">SUM($F$2:F3240)</f>
        <v>0.982141</v>
      </c>
      <c r="H3240" s="4"/>
      <c r="I3240" s="5"/>
      <c r="J3240" s="4"/>
      <c r="K3240" s="5"/>
      <c r="L3240" s="6"/>
      <c r="M3240" s="5" t="str">
        <f aca="false">IF(AND(N(K3240)&gt;0,N(L3240)&gt;0),K3240/L3240,"")</f>
        <v/>
      </c>
      <c r="N3240" s="2" t="s">
        <v>1226</v>
      </c>
    </row>
    <row r="3241" customFormat="false" ht="15" hidden="false" customHeight="false" outlineLevel="0" collapsed="false">
      <c r="A3241" s="2" t="n">
        <v>3240</v>
      </c>
      <c r="B3241" s="2" t="s">
        <v>6725</v>
      </c>
      <c r="C3241" s="2" t="s">
        <v>6726</v>
      </c>
      <c r="D3241" s="2"/>
      <c r="E3241" s="2" t="s">
        <v>289</v>
      </c>
      <c r="F3241" s="3" t="n">
        <v>2.2E-005</v>
      </c>
      <c r="G3241" s="3" t="n">
        <f aca="false">SUM($F$2:F3241)</f>
        <v>0.982163</v>
      </c>
      <c r="H3241" s="4"/>
      <c r="I3241" s="5"/>
      <c r="J3241" s="4"/>
      <c r="K3241" s="5"/>
      <c r="L3241" s="6"/>
      <c r="M3241" s="5" t="str">
        <f aca="false">IF(AND(N(K3241)&gt;0,N(L3241)&gt;0),K3241/L3241,"")</f>
        <v/>
      </c>
      <c r="N3241" s="2" t="s">
        <v>1226</v>
      </c>
    </row>
    <row r="3242" customFormat="false" ht="15" hidden="false" customHeight="false" outlineLevel="0" collapsed="false">
      <c r="A3242" s="2" t="n">
        <v>3241</v>
      </c>
      <c r="B3242" s="2" t="s">
        <v>6727</v>
      </c>
      <c r="C3242" s="2" t="s">
        <v>6728</v>
      </c>
      <c r="D3242" s="2"/>
      <c r="E3242" s="2" t="s">
        <v>29</v>
      </c>
      <c r="F3242" s="3" t="n">
        <v>2.2E-005</v>
      </c>
      <c r="G3242" s="3" t="n">
        <f aca="false">SUM($F$2:F3242)</f>
        <v>0.982185</v>
      </c>
      <c r="H3242" s="4"/>
      <c r="I3242" s="5"/>
      <c r="J3242" s="4"/>
      <c r="K3242" s="5"/>
      <c r="L3242" s="6"/>
      <c r="M3242" s="5" t="str">
        <f aca="false">IF(AND(N(K3242)&gt;0,N(L3242)&gt;0),K3242/L3242,"")</f>
        <v/>
      </c>
      <c r="N3242" s="2" t="s">
        <v>1226</v>
      </c>
    </row>
    <row r="3243" customFormat="false" ht="15" hidden="false" customHeight="false" outlineLevel="0" collapsed="false">
      <c r="A3243" s="2" t="n">
        <v>3242</v>
      </c>
      <c r="B3243" s="2" t="s">
        <v>6729</v>
      </c>
      <c r="C3243" s="2" t="s">
        <v>6730</v>
      </c>
      <c r="D3243" s="2"/>
      <c r="E3243" s="2" t="s">
        <v>38</v>
      </c>
      <c r="F3243" s="3" t="n">
        <v>2.2E-005</v>
      </c>
      <c r="G3243" s="3" t="n">
        <f aca="false">SUM($F$2:F3243)</f>
        <v>0.982207</v>
      </c>
      <c r="H3243" s="4"/>
      <c r="I3243" s="5"/>
      <c r="J3243" s="4"/>
      <c r="K3243" s="5"/>
      <c r="L3243" s="6"/>
      <c r="M3243" s="5" t="str">
        <f aca="false">IF(AND(N(K3243)&gt;0,N(L3243)&gt;0),K3243/L3243,"")</f>
        <v/>
      </c>
      <c r="N3243" s="2" t="s">
        <v>1226</v>
      </c>
    </row>
    <row r="3244" customFormat="false" ht="15" hidden="false" customHeight="false" outlineLevel="0" collapsed="false">
      <c r="A3244" s="2" t="n">
        <v>3243</v>
      </c>
      <c r="B3244" s="2" t="s">
        <v>6731</v>
      </c>
      <c r="C3244" s="2" t="s">
        <v>6732</v>
      </c>
      <c r="D3244" s="2"/>
      <c r="E3244" s="2" t="s">
        <v>289</v>
      </c>
      <c r="F3244" s="3" t="n">
        <v>2.2E-005</v>
      </c>
      <c r="G3244" s="3" t="n">
        <f aca="false">SUM($F$2:F3244)</f>
        <v>0.982229</v>
      </c>
      <c r="H3244" s="4"/>
      <c r="I3244" s="5"/>
      <c r="J3244" s="4"/>
      <c r="K3244" s="5"/>
      <c r="L3244" s="6"/>
      <c r="M3244" s="5" t="str">
        <f aca="false">IF(AND(N(K3244)&gt;0,N(L3244)&gt;0),K3244/L3244,"")</f>
        <v/>
      </c>
      <c r="N3244" s="2" t="s">
        <v>1226</v>
      </c>
    </row>
    <row r="3245" customFormat="false" ht="15" hidden="false" customHeight="false" outlineLevel="0" collapsed="false">
      <c r="A3245" s="2" t="n">
        <v>3244</v>
      </c>
      <c r="B3245" s="2" t="s">
        <v>6733</v>
      </c>
      <c r="C3245" s="2" t="s">
        <v>6734</v>
      </c>
      <c r="D3245" s="2"/>
      <c r="E3245" s="2" t="s">
        <v>43</v>
      </c>
      <c r="F3245" s="3" t="n">
        <v>2.2E-005</v>
      </c>
      <c r="G3245" s="3" t="n">
        <f aca="false">SUM($F$2:F3245)</f>
        <v>0.982251</v>
      </c>
      <c r="H3245" s="4"/>
      <c r="I3245" s="5"/>
      <c r="J3245" s="4"/>
      <c r="K3245" s="5"/>
      <c r="L3245" s="6"/>
      <c r="M3245" s="5" t="str">
        <f aca="false">IF(AND(N(K3245)&gt;0,N(L3245)&gt;0),K3245/L3245,"")</f>
        <v/>
      </c>
      <c r="N3245" s="2" t="s">
        <v>1226</v>
      </c>
    </row>
    <row r="3246" customFormat="false" ht="15" hidden="false" customHeight="false" outlineLevel="0" collapsed="false">
      <c r="A3246" s="2" t="n">
        <v>3245</v>
      </c>
      <c r="B3246" s="2" t="s">
        <v>6735</v>
      </c>
      <c r="C3246" s="2" t="s">
        <v>6736</v>
      </c>
      <c r="D3246" s="2"/>
      <c r="E3246" s="2" t="s">
        <v>48</v>
      </c>
      <c r="F3246" s="3" t="n">
        <v>2.2E-005</v>
      </c>
      <c r="G3246" s="3" t="n">
        <f aca="false">SUM($F$2:F3246)</f>
        <v>0.982273</v>
      </c>
      <c r="H3246" s="4"/>
      <c r="I3246" s="5"/>
      <c r="J3246" s="4"/>
      <c r="K3246" s="5"/>
      <c r="L3246" s="6"/>
      <c r="M3246" s="5" t="str">
        <f aca="false">IF(AND(N(K3246)&gt;0,N(L3246)&gt;0),K3246/L3246,"")</f>
        <v/>
      </c>
      <c r="N3246" s="2" t="s">
        <v>1226</v>
      </c>
    </row>
    <row r="3247" customFormat="false" ht="15" hidden="false" customHeight="false" outlineLevel="0" collapsed="false">
      <c r="A3247" s="2" t="n">
        <v>3246</v>
      </c>
      <c r="B3247" s="2" t="s">
        <v>6737</v>
      </c>
      <c r="C3247" s="2" t="s">
        <v>6738</v>
      </c>
      <c r="D3247" s="2"/>
      <c r="E3247" s="2" t="s">
        <v>289</v>
      </c>
      <c r="F3247" s="3" t="n">
        <v>2.2E-005</v>
      </c>
      <c r="G3247" s="3" t="n">
        <f aca="false">SUM($F$2:F3247)</f>
        <v>0.982295</v>
      </c>
      <c r="H3247" s="4"/>
      <c r="I3247" s="5"/>
      <c r="J3247" s="4"/>
      <c r="K3247" s="5"/>
      <c r="L3247" s="6"/>
      <c r="M3247" s="5" t="str">
        <f aca="false">IF(AND(N(K3247)&gt;0,N(L3247)&gt;0),K3247/L3247,"")</f>
        <v/>
      </c>
      <c r="N3247" s="2" t="s">
        <v>1226</v>
      </c>
    </row>
    <row r="3248" customFormat="false" ht="15" hidden="false" customHeight="false" outlineLevel="0" collapsed="false">
      <c r="A3248" s="2" t="n">
        <v>3247</v>
      </c>
      <c r="B3248" s="2" t="s">
        <v>6739</v>
      </c>
      <c r="C3248" s="2" t="s">
        <v>6740</v>
      </c>
      <c r="D3248" s="2"/>
      <c r="E3248" s="2" t="s">
        <v>21</v>
      </c>
      <c r="F3248" s="3" t="n">
        <v>2.2E-005</v>
      </c>
      <c r="G3248" s="3" t="n">
        <f aca="false">SUM($F$2:F3248)</f>
        <v>0.982317</v>
      </c>
      <c r="H3248" s="4"/>
      <c r="I3248" s="5"/>
      <c r="J3248" s="4"/>
      <c r="K3248" s="5"/>
      <c r="L3248" s="6"/>
      <c r="M3248" s="5" t="str">
        <f aca="false">IF(AND(N(K3248)&gt;0,N(L3248)&gt;0),K3248/L3248,"")</f>
        <v/>
      </c>
      <c r="N3248" s="2" t="s">
        <v>1226</v>
      </c>
    </row>
    <row r="3249" customFormat="false" ht="15" hidden="false" customHeight="false" outlineLevel="0" collapsed="false">
      <c r="A3249" s="2" t="n">
        <v>3248</v>
      </c>
      <c r="B3249" s="2" t="s">
        <v>6741</v>
      </c>
      <c r="C3249" s="2" t="s">
        <v>6742</v>
      </c>
      <c r="D3249" s="2"/>
      <c r="E3249" s="2" t="s">
        <v>25</v>
      </c>
      <c r="F3249" s="3" t="n">
        <v>2.2E-005</v>
      </c>
      <c r="G3249" s="3" t="n">
        <f aca="false">SUM($F$2:F3249)</f>
        <v>0.982339</v>
      </c>
      <c r="H3249" s="4"/>
      <c r="I3249" s="5"/>
      <c r="J3249" s="4"/>
      <c r="K3249" s="5"/>
      <c r="L3249" s="6"/>
      <c r="M3249" s="5" t="str">
        <f aca="false">IF(AND(N(K3249)&gt;0,N(L3249)&gt;0),K3249/L3249,"")</f>
        <v/>
      </c>
      <c r="N3249" s="2" t="s">
        <v>1226</v>
      </c>
    </row>
    <row r="3250" customFormat="false" ht="15" hidden="false" customHeight="false" outlineLevel="0" collapsed="false">
      <c r="A3250" s="2" t="n">
        <v>3249</v>
      </c>
      <c r="B3250" s="2" t="s">
        <v>6743</v>
      </c>
      <c r="C3250" s="2" t="s">
        <v>6744</v>
      </c>
      <c r="D3250" s="2"/>
      <c r="E3250" s="2" t="s">
        <v>1295</v>
      </c>
      <c r="F3250" s="3" t="n">
        <v>2.2E-005</v>
      </c>
      <c r="G3250" s="3" t="n">
        <f aca="false">SUM($F$2:F3250)</f>
        <v>0.982361</v>
      </c>
      <c r="H3250" s="4"/>
      <c r="I3250" s="5"/>
      <c r="J3250" s="4"/>
      <c r="K3250" s="5"/>
      <c r="L3250" s="6"/>
      <c r="M3250" s="5" t="str">
        <f aca="false">IF(AND(N(K3250)&gt;0,N(L3250)&gt;0),K3250/L3250,"")</f>
        <v/>
      </c>
      <c r="N3250" s="2" t="s">
        <v>1226</v>
      </c>
    </row>
    <row r="3251" customFormat="false" ht="15" hidden="false" customHeight="false" outlineLevel="0" collapsed="false">
      <c r="A3251" s="2" t="n">
        <v>3250</v>
      </c>
      <c r="B3251" s="2" t="s">
        <v>6745</v>
      </c>
      <c r="C3251" s="2" t="s">
        <v>6746</v>
      </c>
      <c r="D3251" s="2"/>
      <c r="E3251" s="2" t="s">
        <v>29</v>
      </c>
      <c r="F3251" s="3" t="n">
        <v>2.2E-005</v>
      </c>
      <c r="G3251" s="3" t="n">
        <f aca="false">SUM($F$2:F3251)</f>
        <v>0.982383</v>
      </c>
      <c r="H3251" s="4"/>
      <c r="I3251" s="5"/>
      <c r="J3251" s="4"/>
      <c r="K3251" s="5"/>
      <c r="L3251" s="6"/>
      <c r="M3251" s="5" t="str">
        <f aca="false">IF(AND(N(K3251)&gt;0,N(L3251)&gt;0),K3251/L3251,"")</f>
        <v/>
      </c>
      <c r="N3251" s="2" t="s">
        <v>1226</v>
      </c>
    </row>
    <row r="3252" customFormat="false" ht="15" hidden="false" customHeight="false" outlineLevel="0" collapsed="false">
      <c r="A3252" s="2" t="n">
        <v>3251</v>
      </c>
      <c r="B3252" s="2" t="s">
        <v>6747</v>
      </c>
      <c r="C3252" s="2" t="s">
        <v>6748</v>
      </c>
      <c r="D3252" s="2"/>
      <c r="E3252" s="2" t="s">
        <v>289</v>
      </c>
      <c r="F3252" s="3" t="n">
        <v>2.2E-005</v>
      </c>
      <c r="G3252" s="3" t="n">
        <f aca="false">SUM($F$2:F3252)</f>
        <v>0.982405</v>
      </c>
      <c r="H3252" s="4"/>
      <c r="I3252" s="5"/>
      <c r="J3252" s="4"/>
      <c r="K3252" s="5"/>
      <c r="L3252" s="6"/>
      <c r="M3252" s="5" t="str">
        <f aca="false">IF(AND(N(K3252)&gt;0,N(L3252)&gt;0),K3252/L3252,"")</f>
        <v/>
      </c>
      <c r="N3252" s="2" t="s">
        <v>1226</v>
      </c>
    </row>
    <row r="3253" customFormat="false" ht="15" hidden="false" customHeight="false" outlineLevel="0" collapsed="false">
      <c r="A3253" s="2" t="n">
        <v>3252</v>
      </c>
      <c r="B3253" s="2" t="s">
        <v>6749</v>
      </c>
      <c r="C3253" s="2" t="s">
        <v>6750</v>
      </c>
      <c r="D3253" s="2"/>
      <c r="E3253" s="2" t="s">
        <v>289</v>
      </c>
      <c r="F3253" s="3" t="n">
        <v>2.2E-005</v>
      </c>
      <c r="G3253" s="3" t="n">
        <f aca="false">SUM($F$2:F3253)</f>
        <v>0.982427</v>
      </c>
      <c r="H3253" s="4"/>
      <c r="I3253" s="5"/>
      <c r="J3253" s="4"/>
      <c r="K3253" s="5"/>
      <c r="L3253" s="6"/>
      <c r="M3253" s="5" t="str">
        <f aca="false">IF(AND(N(K3253)&gt;0,N(L3253)&gt;0),K3253/L3253,"")</f>
        <v/>
      </c>
      <c r="N3253" s="2" t="s">
        <v>1226</v>
      </c>
    </row>
    <row r="3254" customFormat="false" ht="15" hidden="false" customHeight="false" outlineLevel="0" collapsed="false">
      <c r="A3254" s="2" t="n">
        <v>3253</v>
      </c>
      <c r="B3254" s="2" t="s">
        <v>6751</v>
      </c>
      <c r="C3254" s="2" t="s">
        <v>6752</v>
      </c>
      <c r="D3254" s="2"/>
      <c r="E3254" s="2" t="s">
        <v>1345</v>
      </c>
      <c r="F3254" s="3" t="n">
        <v>2.1E-005</v>
      </c>
      <c r="G3254" s="3" t="n">
        <f aca="false">SUM($F$2:F3254)</f>
        <v>0.982448</v>
      </c>
      <c r="H3254" s="4"/>
      <c r="I3254" s="5"/>
      <c r="J3254" s="4"/>
      <c r="K3254" s="5"/>
      <c r="L3254" s="6"/>
      <c r="M3254" s="5" t="str">
        <f aca="false">IF(AND(N(K3254)&gt;0,N(L3254)&gt;0),K3254/L3254,"")</f>
        <v/>
      </c>
      <c r="N3254" s="2" t="s">
        <v>1226</v>
      </c>
    </row>
    <row r="3255" customFormat="false" ht="15" hidden="false" customHeight="false" outlineLevel="0" collapsed="false">
      <c r="A3255" s="2" t="n">
        <v>3254</v>
      </c>
      <c r="B3255" s="2" t="s">
        <v>6753</v>
      </c>
      <c r="C3255" s="2" t="s">
        <v>6754</v>
      </c>
      <c r="D3255" s="2"/>
      <c r="E3255" s="2" t="s">
        <v>289</v>
      </c>
      <c r="F3255" s="3" t="n">
        <v>2.1E-005</v>
      </c>
      <c r="G3255" s="3" t="n">
        <f aca="false">SUM($F$2:F3255)</f>
        <v>0.982469</v>
      </c>
      <c r="H3255" s="4"/>
      <c r="I3255" s="5"/>
      <c r="J3255" s="4"/>
      <c r="K3255" s="5"/>
      <c r="L3255" s="6"/>
      <c r="M3255" s="5" t="str">
        <f aca="false">IF(AND(N(K3255)&gt;0,N(L3255)&gt;0),K3255/L3255,"")</f>
        <v/>
      </c>
      <c r="N3255" s="2" t="s">
        <v>1226</v>
      </c>
    </row>
    <row r="3256" customFormat="false" ht="15" hidden="false" customHeight="false" outlineLevel="0" collapsed="false">
      <c r="A3256" s="2" t="n">
        <v>3255</v>
      </c>
      <c r="B3256" s="2" t="s">
        <v>6755</v>
      </c>
      <c r="C3256" s="2" t="s">
        <v>6756</v>
      </c>
      <c r="D3256" s="2"/>
      <c r="E3256" s="2" t="s">
        <v>289</v>
      </c>
      <c r="F3256" s="3" t="n">
        <v>2.1E-005</v>
      </c>
      <c r="G3256" s="3" t="n">
        <f aca="false">SUM($F$2:F3256)</f>
        <v>0.98249</v>
      </c>
      <c r="H3256" s="4"/>
      <c r="I3256" s="5"/>
      <c r="J3256" s="4"/>
      <c r="K3256" s="5"/>
      <c r="L3256" s="6"/>
      <c r="M3256" s="5" t="str">
        <f aca="false">IF(AND(N(K3256)&gt;0,N(L3256)&gt;0),K3256/L3256,"")</f>
        <v/>
      </c>
      <c r="N3256" s="2" t="s">
        <v>1226</v>
      </c>
    </row>
    <row r="3257" customFormat="false" ht="15" hidden="false" customHeight="false" outlineLevel="0" collapsed="false">
      <c r="A3257" s="2" t="n">
        <v>3256</v>
      </c>
      <c r="B3257" s="2" t="s">
        <v>6757</v>
      </c>
      <c r="C3257" s="2" t="s">
        <v>6758</v>
      </c>
      <c r="D3257" s="2"/>
      <c r="E3257" s="2" t="s">
        <v>199</v>
      </c>
      <c r="F3257" s="3" t="n">
        <v>2.1E-005</v>
      </c>
      <c r="G3257" s="3" t="n">
        <f aca="false">SUM($F$2:F3257)</f>
        <v>0.982511</v>
      </c>
      <c r="H3257" s="4"/>
      <c r="I3257" s="5"/>
      <c r="J3257" s="4"/>
      <c r="K3257" s="5"/>
      <c r="L3257" s="6"/>
      <c r="M3257" s="5" t="str">
        <f aca="false">IF(AND(N(K3257)&gt;0,N(L3257)&gt;0),K3257/L3257,"")</f>
        <v/>
      </c>
      <c r="N3257" s="2" t="s">
        <v>1226</v>
      </c>
    </row>
    <row r="3258" customFormat="false" ht="15" hidden="false" customHeight="false" outlineLevel="0" collapsed="false">
      <c r="A3258" s="2" t="n">
        <v>3257</v>
      </c>
      <c r="B3258" s="2" t="s">
        <v>6759</v>
      </c>
      <c r="C3258" s="2" t="s">
        <v>6760</v>
      </c>
      <c r="D3258" s="2"/>
      <c r="E3258" s="2" t="s">
        <v>1050</v>
      </c>
      <c r="F3258" s="3" t="n">
        <v>2.1E-005</v>
      </c>
      <c r="G3258" s="3" t="n">
        <f aca="false">SUM($F$2:F3258)</f>
        <v>0.982532</v>
      </c>
      <c r="H3258" s="4"/>
      <c r="I3258" s="5"/>
      <c r="J3258" s="4"/>
      <c r="K3258" s="5"/>
      <c r="L3258" s="6"/>
      <c r="M3258" s="5" t="str">
        <f aca="false">IF(AND(N(K3258)&gt;0,N(L3258)&gt;0),K3258/L3258,"")</f>
        <v/>
      </c>
      <c r="N3258" s="2" t="s">
        <v>1226</v>
      </c>
    </row>
    <row r="3259" customFormat="false" ht="15" hidden="false" customHeight="false" outlineLevel="0" collapsed="false">
      <c r="A3259" s="2" t="n">
        <v>3258</v>
      </c>
      <c r="B3259" s="2" t="s">
        <v>6761</v>
      </c>
      <c r="C3259" s="2" t="s">
        <v>6762</v>
      </c>
      <c r="D3259" s="2"/>
      <c r="E3259" s="2" t="s">
        <v>17</v>
      </c>
      <c r="F3259" s="3" t="n">
        <v>2.1E-005</v>
      </c>
      <c r="G3259" s="3" t="n">
        <f aca="false">SUM($F$2:F3259)</f>
        <v>0.982553</v>
      </c>
      <c r="H3259" s="4"/>
      <c r="I3259" s="5"/>
      <c r="J3259" s="4"/>
      <c r="K3259" s="5"/>
      <c r="L3259" s="6"/>
      <c r="M3259" s="5" t="str">
        <f aca="false">IF(AND(N(K3259)&gt;0,N(L3259)&gt;0),K3259/L3259,"")</f>
        <v/>
      </c>
      <c r="N3259" s="2" t="s">
        <v>1226</v>
      </c>
    </row>
    <row r="3260" customFormat="false" ht="15" hidden="false" customHeight="false" outlineLevel="0" collapsed="false">
      <c r="A3260" s="2" t="n">
        <v>3259</v>
      </c>
      <c r="B3260" s="2" t="s">
        <v>6763</v>
      </c>
      <c r="C3260" s="2" t="s">
        <v>6764</v>
      </c>
      <c r="D3260" s="2"/>
      <c r="E3260" s="2" t="s">
        <v>289</v>
      </c>
      <c r="F3260" s="3" t="n">
        <v>2.1E-005</v>
      </c>
      <c r="G3260" s="3" t="n">
        <f aca="false">SUM($F$2:F3260)</f>
        <v>0.982574</v>
      </c>
      <c r="H3260" s="4"/>
      <c r="I3260" s="5"/>
      <c r="J3260" s="4"/>
      <c r="K3260" s="5"/>
      <c r="L3260" s="6"/>
      <c r="M3260" s="5" t="str">
        <f aca="false">IF(AND(N(K3260)&gt;0,N(L3260)&gt;0),K3260/L3260,"")</f>
        <v/>
      </c>
      <c r="N3260" s="2" t="s">
        <v>1226</v>
      </c>
    </row>
    <row r="3261" customFormat="false" ht="15" hidden="false" customHeight="false" outlineLevel="0" collapsed="false">
      <c r="A3261" s="2" t="n">
        <v>3260</v>
      </c>
      <c r="B3261" s="2" t="s">
        <v>6765</v>
      </c>
      <c r="C3261" s="2" t="s">
        <v>6766</v>
      </c>
      <c r="D3261" s="2"/>
      <c r="E3261" s="2" t="s">
        <v>1345</v>
      </c>
      <c r="F3261" s="3" t="n">
        <v>2.1E-005</v>
      </c>
      <c r="G3261" s="3" t="n">
        <f aca="false">SUM($F$2:F3261)</f>
        <v>0.982595</v>
      </c>
      <c r="H3261" s="4"/>
      <c r="I3261" s="5"/>
      <c r="J3261" s="4"/>
      <c r="K3261" s="5"/>
      <c r="L3261" s="6"/>
      <c r="M3261" s="5" t="str">
        <f aca="false">IF(AND(N(K3261)&gt;0,N(L3261)&gt;0),K3261/L3261,"")</f>
        <v/>
      </c>
      <c r="N3261" s="2" t="s">
        <v>1226</v>
      </c>
    </row>
    <row r="3262" customFormat="false" ht="15" hidden="false" customHeight="false" outlineLevel="0" collapsed="false">
      <c r="A3262" s="2" t="n">
        <v>3261</v>
      </c>
      <c r="B3262" s="2" t="s">
        <v>6767</v>
      </c>
      <c r="C3262" s="2" t="s">
        <v>6768</v>
      </c>
      <c r="D3262" s="2"/>
      <c r="E3262" s="2" t="s">
        <v>43</v>
      </c>
      <c r="F3262" s="3" t="n">
        <v>2.1E-005</v>
      </c>
      <c r="G3262" s="3" t="n">
        <f aca="false">SUM($F$2:F3262)</f>
        <v>0.982616</v>
      </c>
      <c r="H3262" s="4"/>
      <c r="I3262" s="5"/>
      <c r="J3262" s="4"/>
      <c r="K3262" s="5"/>
      <c r="L3262" s="6"/>
      <c r="M3262" s="5" t="str">
        <f aca="false">IF(AND(N(K3262)&gt;0,N(L3262)&gt;0),K3262/L3262,"")</f>
        <v/>
      </c>
      <c r="N3262" s="2" t="s">
        <v>1226</v>
      </c>
    </row>
    <row r="3263" customFormat="false" ht="15" hidden="false" customHeight="false" outlineLevel="0" collapsed="false">
      <c r="A3263" s="2" t="n">
        <v>3262</v>
      </c>
      <c r="B3263" s="2" t="s">
        <v>6769</v>
      </c>
      <c r="C3263" s="2" t="s">
        <v>6770</v>
      </c>
      <c r="D3263" s="2"/>
      <c r="E3263" s="2" t="s">
        <v>52</v>
      </c>
      <c r="F3263" s="3" t="n">
        <v>2.1E-005</v>
      </c>
      <c r="G3263" s="3" t="n">
        <f aca="false">SUM($F$2:F3263)</f>
        <v>0.982637</v>
      </c>
      <c r="H3263" s="4"/>
      <c r="I3263" s="5"/>
      <c r="J3263" s="4"/>
      <c r="K3263" s="5"/>
      <c r="L3263" s="6"/>
      <c r="M3263" s="5" t="str">
        <f aca="false">IF(AND(N(K3263)&gt;0,N(L3263)&gt;0),K3263/L3263,"")</f>
        <v/>
      </c>
      <c r="N3263" s="2" t="s">
        <v>1226</v>
      </c>
    </row>
    <row r="3264" customFormat="false" ht="15" hidden="false" customHeight="false" outlineLevel="0" collapsed="false">
      <c r="A3264" s="2" t="n">
        <v>3263</v>
      </c>
      <c r="B3264" s="2" t="s">
        <v>6771</v>
      </c>
      <c r="C3264" s="2" t="s">
        <v>6772</v>
      </c>
      <c r="D3264" s="2"/>
      <c r="E3264" s="2" t="s">
        <v>1345</v>
      </c>
      <c r="F3264" s="3" t="n">
        <v>2.1E-005</v>
      </c>
      <c r="G3264" s="3" t="n">
        <f aca="false">SUM($F$2:F3264)</f>
        <v>0.982658</v>
      </c>
      <c r="H3264" s="4"/>
      <c r="I3264" s="5"/>
      <c r="J3264" s="4"/>
      <c r="K3264" s="5"/>
      <c r="L3264" s="6"/>
      <c r="M3264" s="5" t="str">
        <f aca="false">IF(AND(N(K3264)&gt;0,N(L3264)&gt;0),K3264/L3264,"")</f>
        <v/>
      </c>
      <c r="N3264" s="2" t="s">
        <v>1226</v>
      </c>
    </row>
    <row r="3265" customFormat="false" ht="15" hidden="false" customHeight="false" outlineLevel="0" collapsed="false">
      <c r="A3265" s="2" t="n">
        <v>3264</v>
      </c>
      <c r="B3265" s="2" t="s">
        <v>6773</v>
      </c>
      <c r="C3265" s="2" t="s">
        <v>6774</v>
      </c>
      <c r="D3265" s="2"/>
      <c r="E3265" s="2" t="s">
        <v>25</v>
      </c>
      <c r="F3265" s="3" t="n">
        <v>2.1E-005</v>
      </c>
      <c r="G3265" s="3" t="n">
        <f aca="false">SUM($F$2:F3265)</f>
        <v>0.982679</v>
      </c>
      <c r="H3265" s="4"/>
      <c r="I3265" s="5"/>
      <c r="J3265" s="4"/>
      <c r="K3265" s="5"/>
      <c r="L3265" s="6"/>
      <c r="M3265" s="5" t="str">
        <f aca="false">IF(AND(N(K3265)&gt;0,N(L3265)&gt;0),K3265/L3265,"")</f>
        <v/>
      </c>
      <c r="N3265" s="2" t="s">
        <v>1226</v>
      </c>
    </row>
    <row r="3266" customFormat="false" ht="15" hidden="false" customHeight="false" outlineLevel="0" collapsed="false">
      <c r="A3266" s="2" t="n">
        <v>3265</v>
      </c>
      <c r="B3266" s="2" t="s">
        <v>6775</v>
      </c>
      <c r="C3266" s="2" t="s">
        <v>6776</v>
      </c>
      <c r="D3266" s="2"/>
      <c r="E3266" s="2" t="s">
        <v>539</v>
      </c>
      <c r="F3266" s="3" t="n">
        <v>2.1E-005</v>
      </c>
      <c r="G3266" s="3" t="n">
        <f aca="false">SUM($F$2:F3266)</f>
        <v>0.9827</v>
      </c>
      <c r="H3266" s="4"/>
      <c r="I3266" s="5"/>
      <c r="J3266" s="4"/>
      <c r="K3266" s="5"/>
      <c r="L3266" s="6"/>
      <c r="M3266" s="5" t="str">
        <f aca="false">IF(AND(N(K3266)&gt;0,N(L3266)&gt;0),K3266/L3266,"")</f>
        <v/>
      </c>
      <c r="N3266" s="2" t="s">
        <v>1226</v>
      </c>
    </row>
    <row r="3267" customFormat="false" ht="15" hidden="false" customHeight="false" outlineLevel="0" collapsed="false">
      <c r="A3267" s="2" t="n">
        <v>3266</v>
      </c>
      <c r="B3267" s="2" t="s">
        <v>6777</v>
      </c>
      <c r="C3267" s="2" t="s">
        <v>6778</v>
      </c>
      <c r="D3267" s="2"/>
      <c r="E3267" s="2" t="s">
        <v>167</v>
      </c>
      <c r="F3267" s="3" t="n">
        <v>2.1E-005</v>
      </c>
      <c r="G3267" s="3" t="n">
        <f aca="false">SUM($F$2:F3267)</f>
        <v>0.982721</v>
      </c>
      <c r="H3267" s="4"/>
      <c r="I3267" s="5"/>
      <c r="J3267" s="4"/>
      <c r="K3267" s="5"/>
      <c r="L3267" s="6"/>
      <c r="M3267" s="5" t="str">
        <f aca="false">IF(AND(N(K3267)&gt;0,N(L3267)&gt;0),K3267/L3267,"")</f>
        <v/>
      </c>
      <c r="N3267" s="2" t="s">
        <v>1226</v>
      </c>
    </row>
    <row r="3268" customFormat="false" ht="15" hidden="false" customHeight="false" outlineLevel="0" collapsed="false">
      <c r="A3268" s="2" t="n">
        <v>3267</v>
      </c>
      <c r="B3268" s="2" t="s">
        <v>6779</v>
      </c>
      <c r="C3268" s="2" t="s">
        <v>6780</v>
      </c>
      <c r="D3268" s="2"/>
      <c r="E3268" s="2" t="s">
        <v>1588</v>
      </c>
      <c r="F3268" s="3" t="n">
        <v>2.1E-005</v>
      </c>
      <c r="G3268" s="3" t="n">
        <f aca="false">SUM($F$2:F3268)</f>
        <v>0.982742</v>
      </c>
      <c r="H3268" s="4"/>
      <c r="I3268" s="5"/>
      <c r="J3268" s="4"/>
      <c r="K3268" s="5"/>
      <c r="L3268" s="6"/>
      <c r="M3268" s="5" t="str">
        <f aca="false">IF(AND(N(K3268)&gt;0,N(L3268)&gt;0),K3268/L3268,"")</f>
        <v/>
      </c>
      <c r="N3268" s="2" t="s">
        <v>1226</v>
      </c>
    </row>
    <row r="3269" customFormat="false" ht="15" hidden="false" customHeight="false" outlineLevel="0" collapsed="false">
      <c r="A3269" s="2" t="n">
        <v>3268</v>
      </c>
      <c r="B3269" s="2" t="s">
        <v>6781</v>
      </c>
      <c r="C3269" s="2" t="s">
        <v>6782</v>
      </c>
      <c r="D3269" s="2"/>
      <c r="E3269" s="2" t="s">
        <v>25</v>
      </c>
      <c r="F3269" s="3" t="n">
        <v>2.1E-005</v>
      </c>
      <c r="G3269" s="3" t="n">
        <f aca="false">SUM($F$2:F3269)</f>
        <v>0.982763</v>
      </c>
      <c r="H3269" s="4"/>
      <c r="I3269" s="5"/>
      <c r="J3269" s="4"/>
      <c r="K3269" s="5"/>
      <c r="L3269" s="6"/>
      <c r="M3269" s="5" t="str">
        <f aca="false">IF(AND(N(K3269)&gt;0,N(L3269)&gt;0),K3269/L3269,"")</f>
        <v/>
      </c>
      <c r="N3269" s="2" t="s">
        <v>1226</v>
      </c>
    </row>
    <row r="3270" customFormat="false" ht="15" hidden="false" customHeight="false" outlineLevel="0" collapsed="false">
      <c r="A3270" s="2" t="n">
        <v>3269</v>
      </c>
      <c r="B3270" s="2" t="s">
        <v>6783</v>
      </c>
      <c r="C3270" s="2" t="s">
        <v>6784</v>
      </c>
      <c r="D3270" s="2"/>
      <c r="E3270" s="2" t="s">
        <v>289</v>
      </c>
      <c r="F3270" s="3" t="n">
        <v>2.1E-005</v>
      </c>
      <c r="G3270" s="3" t="n">
        <f aca="false">SUM($F$2:F3270)</f>
        <v>0.982784</v>
      </c>
      <c r="H3270" s="4"/>
      <c r="I3270" s="5"/>
      <c r="J3270" s="4"/>
      <c r="K3270" s="5"/>
      <c r="L3270" s="6"/>
      <c r="M3270" s="5" t="str">
        <f aca="false">IF(AND(N(K3270)&gt;0,N(L3270)&gt;0),K3270/L3270,"")</f>
        <v/>
      </c>
      <c r="N3270" s="2" t="s">
        <v>1226</v>
      </c>
    </row>
    <row r="3271" customFormat="false" ht="15" hidden="false" customHeight="false" outlineLevel="0" collapsed="false">
      <c r="A3271" s="2" t="n">
        <v>3270</v>
      </c>
      <c r="B3271" s="2" t="s">
        <v>6785</v>
      </c>
      <c r="C3271" s="2" t="s">
        <v>6786</v>
      </c>
      <c r="D3271" s="2"/>
      <c r="E3271" s="2" t="s">
        <v>82</v>
      </c>
      <c r="F3271" s="3" t="n">
        <v>2.1E-005</v>
      </c>
      <c r="G3271" s="3" t="n">
        <f aca="false">SUM($F$2:F3271)</f>
        <v>0.982805</v>
      </c>
      <c r="H3271" s="4"/>
      <c r="I3271" s="5"/>
      <c r="J3271" s="4"/>
      <c r="K3271" s="5"/>
      <c r="L3271" s="6"/>
      <c r="M3271" s="5" t="str">
        <f aca="false">IF(AND(N(K3271)&gt;0,N(L3271)&gt;0),K3271/L3271,"")</f>
        <v/>
      </c>
      <c r="N3271" s="2" t="s">
        <v>1226</v>
      </c>
    </row>
    <row r="3272" customFormat="false" ht="15" hidden="false" customHeight="false" outlineLevel="0" collapsed="false">
      <c r="A3272" s="2" t="n">
        <v>3271</v>
      </c>
      <c r="B3272" s="2" t="s">
        <v>6787</v>
      </c>
      <c r="C3272" s="2" t="s">
        <v>6788</v>
      </c>
      <c r="D3272" s="2"/>
      <c r="E3272" s="2" t="s">
        <v>289</v>
      </c>
      <c r="F3272" s="3" t="n">
        <v>2.1E-005</v>
      </c>
      <c r="G3272" s="3" t="n">
        <f aca="false">SUM($F$2:F3272)</f>
        <v>0.982826</v>
      </c>
      <c r="H3272" s="4"/>
      <c r="I3272" s="5"/>
      <c r="J3272" s="4"/>
      <c r="K3272" s="5"/>
      <c r="L3272" s="6"/>
      <c r="M3272" s="5" t="str">
        <f aca="false">IF(AND(N(K3272)&gt;0,N(L3272)&gt;0),K3272/L3272,"")</f>
        <v/>
      </c>
      <c r="N3272" s="2" t="s">
        <v>1226</v>
      </c>
    </row>
    <row r="3273" customFormat="false" ht="15" hidden="false" customHeight="false" outlineLevel="0" collapsed="false">
      <c r="A3273" s="2" t="n">
        <v>3272</v>
      </c>
      <c r="B3273" s="2" t="s">
        <v>6789</v>
      </c>
      <c r="C3273" s="2" t="s">
        <v>6790</v>
      </c>
      <c r="D3273" s="2"/>
      <c r="E3273" s="2" t="s">
        <v>539</v>
      </c>
      <c r="F3273" s="3" t="n">
        <v>2.1E-005</v>
      </c>
      <c r="G3273" s="3" t="n">
        <f aca="false">SUM($F$2:F3273)</f>
        <v>0.982847</v>
      </c>
      <c r="H3273" s="4"/>
      <c r="I3273" s="5"/>
      <c r="J3273" s="4"/>
      <c r="K3273" s="5"/>
      <c r="L3273" s="6"/>
      <c r="M3273" s="5" t="str">
        <f aca="false">IF(AND(N(K3273)&gt;0,N(L3273)&gt;0),K3273/L3273,"")</f>
        <v/>
      </c>
      <c r="N3273" s="2" t="s">
        <v>1226</v>
      </c>
    </row>
    <row r="3274" customFormat="false" ht="15" hidden="false" customHeight="false" outlineLevel="0" collapsed="false">
      <c r="A3274" s="2" t="n">
        <v>3273</v>
      </c>
      <c r="B3274" s="2" t="s">
        <v>6791</v>
      </c>
      <c r="C3274" s="2" t="s">
        <v>6792</v>
      </c>
      <c r="D3274" s="2"/>
      <c r="E3274" s="2" t="s">
        <v>25</v>
      </c>
      <c r="F3274" s="3" t="n">
        <v>2.1E-005</v>
      </c>
      <c r="G3274" s="3" t="n">
        <f aca="false">SUM($F$2:F3274)</f>
        <v>0.982868</v>
      </c>
      <c r="H3274" s="4"/>
      <c r="I3274" s="5"/>
      <c r="J3274" s="4"/>
      <c r="K3274" s="5"/>
      <c r="L3274" s="6"/>
      <c r="M3274" s="5" t="str">
        <f aca="false">IF(AND(N(K3274)&gt;0,N(L3274)&gt;0),K3274/L3274,"")</f>
        <v/>
      </c>
      <c r="N3274" s="2" t="s">
        <v>1226</v>
      </c>
    </row>
    <row r="3275" customFormat="false" ht="15" hidden="false" customHeight="false" outlineLevel="0" collapsed="false">
      <c r="A3275" s="2" t="n">
        <v>3274</v>
      </c>
      <c r="B3275" s="2" t="s">
        <v>6793</v>
      </c>
      <c r="C3275" s="2" t="s">
        <v>6794</v>
      </c>
      <c r="D3275" s="2"/>
      <c r="E3275" s="2" t="s">
        <v>334</v>
      </c>
      <c r="F3275" s="3" t="n">
        <v>2.1E-005</v>
      </c>
      <c r="G3275" s="3" t="n">
        <f aca="false">SUM($F$2:F3275)</f>
        <v>0.982889</v>
      </c>
      <c r="H3275" s="4"/>
      <c r="I3275" s="5"/>
      <c r="J3275" s="4"/>
      <c r="K3275" s="5"/>
      <c r="L3275" s="6"/>
      <c r="M3275" s="5" t="str">
        <f aca="false">IF(AND(N(K3275)&gt;0,N(L3275)&gt;0),K3275/L3275,"")</f>
        <v/>
      </c>
      <c r="N3275" s="2" t="s">
        <v>1226</v>
      </c>
    </row>
    <row r="3276" customFormat="false" ht="15" hidden="false" customHeight="false" outlineLevel="0" collapsed="false">
      <c r="A3276" s="2" t="n">
        <v>3275</v>
      </c>
      <c r="B3276" s="2" t="s">
        <v>6795</v>
      </c>
      <c r="C3276" s="2" t="s">
        <v>6796</v>
      </c>
      <c r="D3276" s="2"/>
      <c r="E3276" s="2" t="s">
        <v>289</v>
      </c>
      <c r="F3276" s="3" t="n">
        <v>2.1E-005</v>
      </c>
      <c r="G3276" s="3" t="n">
        <f aca="false">SUM($F$2:F3276)</f>
        <v>0.98291</v>
      </c>
      <c r="H3276" s="4"/>
      <c r="I3276" s="5"/>
      <c r="J3276" s="4"/>
      <c r="K3276" s="5"/>
      <c r="L3276" s="6"/>
      <c r="M3276" s="5" t="str">
        <f aca="false">IF(AND(N(K3276)&gt;0,N(L3276)&gt;0),K3276/L3276,"")</f>
        <v/>
      </c>
      <c r="N3276" s="2" t="s">
        <v>1226</v>
      </c>
    </row>
    <row r="3277" customFormat="false" ht="15" hidden="false" customHeight="false" outlineLevel="0" collapsed="false">
      <c r="A3277" s="2" t="n">
        <v>3276</v>
      </c>
      <c r="B3277" s="2" t="s">
        <v>6797</v>
      </c>
      <c r="C3277" s="2" t="s">
        <v>6798</v>
      </c>
      <c r="D3277" s="2"/>
      <c r="E3277" s="2" t="s">
        <v>167</v>
      </c>
      <c r="F3277" s="3" t="n">
        <v>2.1E-005</v>
      </c>
      <c r="G3277" s="3" t="n">
        <f aca="false">SUM($F$2:F3277)</f>
        <v>0.982931</v>
      </c>
      <c r="H3277" s="4"/>
      <c r="I3277" s="5"/>
      <c r="J3277" s="4"/>
      <c r="K3277" s="5"/>
      <c r="L3277" s="6"/>
      <c r="M3277" s="5" t="str">
        <f aca="false">IF(AND(N(K3277)&gt;0,N(L3277)&gt;0),K3277/L3277,"")</f>
        <v/>
      </c>
      <c r="N3277" s="2" t="s">
        <v>1226</v>
      </c>
    </row>
    <row r="3278" customFormat="false" ht="15" hidden="false" customHeight="false" outlineLevel="0" collapsed="false">
      <c r="A3278" s="2" t="n">
        <v>3277</v>
      </c>
      <c r="B3278" s="2" t="s">
        <v>6799</v>
      </c>
      <c r="C3278" s="2" t="s">
        <v>6800</v>
      </c>
      <c r="D3278" s="2"/>
      <c r="E3278" s="2" t="s">
        <v>17</v>
      </c>
      <c r="F3278" s="3" t="n">
        <v>2.1E-005</v>
      </c>
      <c r="G3278" s="3" t="n">
        <f aca="false">SUM($F$2:F3278)</f>
        <v>0.982952</v>
      </c>
      <c r="H3278" s="4"/>
      <c r="I3278" s="5"/>
      <c r="J3278" s="4"/>
      <c r="K3278" s="5"/>
      <c r="L3278" s="6"/>
      <c r="M3278" s="5" t="str">
        <f aca="false">IF(AND(N(K3278)&gt;0,N(L3278)&gt;0),K3278/L3278,"")</f>
        <v/>
      </c>
      <c r="N3278" s="2" t="s">
        <v>1226</v>
      </c>
    </row>
    <row r="3279" customFormat="false" ht="15" hidden="false" customHeight="false" outlineLevel="0" collapsed="false">
      <c r="A3279" s="2" t="n">
        <v>3278</v>
      </c>
      <c r="B3279" s="2" t="s">
        <v>6801</v>
      </c>
      <c r="C3279" s="2" t="s">
        <v>6802</v>
      </c>
      <c r="D3279" s="2"/>
      <c r="E3279" s="2" t="s">
        <v>289</v>
      </c>
      <c r="F3279" s="3" t="n">
        <v>2.1E-005</v>
      </c>
      <c r="G3279" s="3" t="n">
        <f aca="false">SUM($F$2:F3279)</f>
        <v>0.982973</v>
      </c>
      <c r="H3279" s="4"/>
      <c r="I3279" s="5"/>
      <c r="J3279" s="4"/>
      <c r="K3279" s="5"/>
      <c r="L3279" s="6"/>
      <c r="M3279" s="5" t="str">
        <f aca="false">IF(AND(N(K3279)&gt;0,N(L3279)&gt;0),K3279/L3279,"")</f>
        <v/>
      </c>
      <c r="N3279" s="2" t="s">
        <v>1226</v>
      </c>
    </row>
    <row r="3280" customFormat="false" ht="15" hidden="false" customHeight="false" outlineLevel="0" collapsed="false">
      <c r="A3280" s="2" t="n">
        <v>3279</v>
      </c>
      <c r="B3280" s="2" t="s">
        <v>6803</v>
      </c>
      <c r="C3280" s="2" t="s">
        <v>6804</v>
      </c>
      <c r="D3280" s="2"/>
      <c r="E3280" s="2" t="s">
        <v>289</v>
      </c>
      <c r="F3280" s="3" t="n">
        <v>2.1E-005</v>
      </c>
      <c r="G3280" s="3" t="n">
        <f aca="false">SUM($F$2:F3280)</f>
        <v>0.982994</v>
      </c>
      <c r="H3280" s="4"/>
      <c r="I3280" s="5"/>
      <c r="J3280" s="4"/>
      <c r="K3280" s="5"/>
      <c r="L3280" s="6"/>
      <c r="M3280" s="5" t="str">
        <f aca="false">IF(AND(N(K3280)&gt;0,N(L3280)&gt;0),K3280/L3280,"")</f>
        <v/>
      </c>
      <c r="N3280" s="2" t="s">
        <v>1226</v>
      </c>
    </row>
    <row r="3281" customFormat="false" ht="15" hidden="false" customHeight="false" outlineLevel="0" collapsed="false">
      <c r="A3281" s="2" t="n">
        <v>3280</v>
      </c>
      <c r="B3281" s="2" t="s">
        <v>6805</v>
      </c>
      <c r="C3281" s="2" t="s">
        <v>6806</v>
      </c>
      <c r="D3281" s="2"/>
      <c r="E3281" s="2" t="s">
        <v>43</v>
      </c>
      <c r="F3281" s="3" t="n">
        <v>2.1E-005</v>
      </c>
      <c r="G3281" s="3" t="n">
        <f aca="false">SUM($F$2:F3281)</f>
        <v>0.983015</v>
      </c>
      <c r="H3281" s="4"/>
      <c r="I3281" s="5"/>
      <c r="J3281" s="4"/>
      <c r="K3281" s="5"/>
      <c r="L3281" s="6"/>
      <c r="M3281" s="5" t="str">
        <f aca="false">IF(AND(N(K3281)&gt;0,N(L3281)&gt;0),K3281/L3281,"")</f>
        <v/>
      </c>
      <c r="N3281" s="2" t="s">
        <v>1226</v>
      </c>
    </row>
    <row r="3282" customFormat="false" ht="15" hidden="false" customHeight="false" outlineLevel="0" collapsed="false">
      <c r="A3282" s="2" t="n">
        <v>3281</v>
      </c>
      <c r="B3282" s="2" t="s">
        <v>6807</v>
      </c>
      <c r="C3282" s="2" t="s">
        <v>6808</v>
      </c>
      <c r="D3282" s="2"/>
      <c r="E3282" s="2" t="s">
        <v>25</v>
      </c>
      <c r="F3282" s="3" t="n">
        <v>2.1E-005</v>
      </c>
      <c r="G3282" s="3" t="n">
        <f aca="false">SUM($F$2:F3282)</f>
        <v>0.983036</v>
      </c>
      <c r="H3282" s="4"/>
      <c r="I3282" s="5"/>
      <c r="J3282" s="4"/>
      <c r="K3282" s="5"/>
      <c r="L3282" s="6"/>
      <c r="M3282" s="5" t="str">
        <f aca="false">IF(AND(N(K3282)&gt;0,N(L3282)&gt;0),K3282/L3282,"")</f>
        <v/>
      </c>
      <c r="N3282" s="2" t="s">
        <v>1226</v>
      </c>
    </row>
    <row r="3283" customFormat="false" ht="15" hidden="false" customHeight="false" outlineLevel="0" collapsed="false">
      <c r="A3283" s="2" t="n">
        <v>3282</v>
      </c>
      <c r="B3283" s="2" t="s">
        <v>6809</v>
      </c>
      <c r="C3283" s="2" t="s">
        <v>6810</v>
      </c>
      <c r="D3283" s="2"/>
      <c r="E3283" s="2" t="s">
        <v>52</v>
      </c>
      <c r="F3283" s="3" t="n">
        <v>2.1E-005</v>
      </c>
      <c r="G3283" s="3" t="n">
        <f aca="false">SUM($F$2:F3283)</f>
        <v>0.983057</v>
      </c>
      <c r="H3283" s="4"/>
      <c r="I3283" s="5"/>
      <c r="J3283" s="4"/>
      <c r="K3283" s="5"/>
      <c r="L3283" s="6"/>
      <c r="M3283" s="5" t="str">
        <f aca="false">IF(AND(N(K3283)&gt;0,N(L3283)&gt;0),K3283/L3283,"")</f>
        <v/>
      </c>
      <c r="N3283" s="2" t="s">
        <v>1226</v>
      </c>
    </row>
    <row r="3284" customFormat="false" ht="15" hidden="false" customHeight="false" outlineLevel="0" collapsed="false">
      <c r="A3284" s="2" t="n">
        <v>3283</v>
      </c>
      <c r="B3284" s="2" t="s">
        <v>6811</v>
      </c>
      <c r="C3284" s="2" t="s">
        <v>6812</v>
      </c>
      <c r="D3284" s="2"/>
      <c r="E3284" s="2" t="s">
        <v>1345</v>
      </c>
      <c r="F3284" s="3" t="n">
        <v>2.1E-005</v>
      </c>
      <c r="G3284" s="3" t="n">
        <f aca="false">SUM($F$2:F3284)</f>
        <v>0.983078</v>
      </c>
      <c r="H3284" s="4"/>
      <c r="I3284" s="5"/>
      <c r="J3284" s="4"/>
      <c r="K3284" s="5"/>
      <c r="L3284" s="6"/>
      <c r="M3284" s="5" t="str">
        <f aca="false">IF(AND(N(K3284)&gt;0,N(L3284)&gt;0),K3284/L3284,"")</f>
        <v/>
      </c>
      <c r="N3284" s="2" t="s">
        <v>1226</v>
      </c>
    </row>
    <row r="3285" customFormat="false" ht="15" hidden="false" customHeight="false" outlineLevel="0" collapsed="false">
      <c r="A3285" s="2" t="n">
        <v>3284</v>
      </c>
      <c r="B3285" s="2" t="s">
        <v>6813</v>
      </c>
      <c r="C3285" s="2" t="s">
        <v>6814</v>
      </c>
      <c r="D3285" s="2"/>
      <c r="E3285" s="2" t="s">
        <v>1345</v>
      </c>
      <c r="F3285" s="3" t="n">
        <v>2.1E-005</v>
      </c>
      <c r="G3285" s="3" t="n">
        <f aca="false">SUM($F$2:F3285)</f>
        <v>0.983099</v>
      </c>
      <c r="H3285" s="4"/>
      <c r="I3285" s="5"/>
      <c r="J3285" s="4"/>
      <c r="K3285" s="5"/>
      <c r="L3285" s="6"/>
      <c r="M3285" s="5" t="str">
        <f aca="false">IF(AND(N(K3285)&gt;0,N(L3285)&gt;0),K3285/L3285,"")</f>
        <v/>
      </c>
      <c r="N3285" s="2" t="s">
        <v>1226</v>
      </c>
    </row>
    <row r="3286" customFormat="false" ht="15" hidden="false" customHeight="false" outlineLevel="0" collapsed="false">
      <c r="A3286" s="2" t="n">
        <v>3285</v>
      </c>
      <c r="B3286" s="2" t="s">
        <v>6815</v>
      </c>
      <c r="C3286" s="2" t="s">
        <v>6816</v>
      </c>
      <c r="D3286" s="2"/>
      <c r="E3286" s="2" t="s">
        <v>25</v>
      </c>
      <c r="F3286" s="3" t="n">
        <v>2.1E-005</v>
      </c>
      <c r="G3286" s="3" t="n">
        <f aca="false">SUM($F$2:F3286)</f>
        <v>0.98312</v>
      </c>
      <c r="H3286" s="4"/>
      <c r="I3286" s="5"/>
      <c r="J3286" s="4"/>
      <c r="K3286" s="5"/>
      <c r="L3286" s="6"/>
      <c r="M3286" s="5" t="str">
        <f aca="false">IF(AND(N(K3286)&gt;0,N(L3286)&gt;0),K3286/L3286,"")</f>
        <v/>
      </c>
      <c r="N3286" s="2" t="s">
        <v>1226</v>
      </c>
    </row>
    <row r="3287" customFormat="false" ht="15" hidden="false" customHeight="false" outlineLevel="0" collapsed="false">
      <c r="A3287" s="2" t="n">
        <v>3286</v>
      </c>
      <c r="B3287" s="2" t="s">
        <v>6817</v>
      </c>
      <c r="C3287" s="2" t="s">
        <v>6818</v>
      </c>
      <c r="D3287" s="2"/>
      <c r="E3287" s="2" t="s">
        <v>17</v>
      </c>
      <c r="F3287" s="3" t="n">
        <v>2.1E-005</v>
      </c>
      <c r="G3287" s="3" t="n">
        <f aca="false">SUM($F$2:F3287)</f>
        <v>0.983141</v>
      </c>
      <c r="H3287" s="4"/>
      <c r="I3287" s="5"/>
      <c r="J3287" s="4"/>
      <c r="K3287" s="5"/>
      <c r="L3287" s="6"/>
      <c r="M3287" s="5" t="str">
        <f aca="false">IF(AND(N(K3287)&gt;0,N(L3287)&gt;0),K3287/L3287,"")</f>
        <v/>
      </c>
      <c r="N3287" s="2" t="s">
        <v>1226</v>
      </c>
    </row>
    <row r="3288" customFormat="false" ht="15" hidden="false" customHeight="false" outlineLevel="0" collapsed="false">
      <c r="A3288" s="2" t="n">
        <v>3287</v>
      </c>
      <c r="B3288" s="2" t="s">
        <v>6819</v>
      </c>
      <c r="C3288" s="2" t="s">
        <v>6820</v>
      </c>
      <c r="D3288" s="2"/>
      <c r="E3288" s="2" t="s">
        <v>17</v>
      </c>
      <c r="F3288" s="3" t="n">
        <v>2.1E-005</v>
      </c>
      <c r="G3288" s="3" t="n">
        <f aca="false">SUM($F$2:F3288)</f>
        <v>0.983162</v>
      </c>
      <c r="H3288" s="4"/>
      <c r="I3288" s="5"/>
      <c r="J3288" s="4"/>
      <c r="K3288" s="5"/>
      <c r="L3288" s="6"/>
      <c r="M3288" s="5" t="str">
        <f aca="false">IF(AND(N(K3288)&gt;0,N(L3288)&gt;0),K3288/L3288,"")</f>
        <v/>
      </c>
      <c r="N3288" s="2" t="s">
        <v>1226</v>
      </c>
    </row>
    <row r="3289" customFormat="false" ht="15" hidden="false" customHeight="false" outlineLevel="0" collapsed="false">
      <c r="A3289" s="2" t="n">
        <v>3288</v>
      </c>
      <c r="B3289" s="2" t="s">
        <v>6821</v>
      </c>
      <c r="C3289" s="2" t="s">
        <v>6822</v>
      </c>
      <c r="D3289" s="2"/>
      <c r="E3289" s="2" t="s">
        <v>29</v>
      </c>
      <c r="F3289" s="3" t="n">
        <v>2.1E-005</v>
      </c>
      <c r="G3289" s="3" t="n">
        <f aca="false">SUM($F$2:F3289)</f>
        <v>0.983183</v>
      </c>
      <c r="H3289" s="4"/>
      <c r="I3289" s="5"/>
      <c r="J3289" s="4"/>
      <c r="K3289" s="5"/>
      <c r="L3289" s="6"/>
      <c r="M3289" s="5" t="str">
        <f aca="false">IF(AND(N(K3289)&gt;0,N(L3289)&gt;0),K3289/L3289,"")</f>
        <v/>
      </c>
      <c r="N3289" s="2" t="s">
        <v>1226</v>
      </c>
    </row>
    <row r="3290" customFormat="false" ht="15" hidden="false" customHeight="false" outlineLevel="0" collapsed="false">
      <c r="A3290" s="2" t="n">
        <v>3289</v>
      </c>
      <c r="B3290" s="2" t="s">
        <v>6823</v>
      </c>
      <c r="C3290" s="2" t="s">
        <v>6824</v>
      </c>
      <c r="D3290" s="2"/>
      <c r="E3290" s="2" t="s">
        <v>1345</v>
      </c>
      <c r="F3290" s="3" t="n">
        <v>2.1E-005</v>
      </c>
      <c r="G3290" s="3" t="n">
        <f aca="false">SUM($F$2:F3290)</f>
        <v>0.983204</v>
      </c>
      <c r="H3290" s="4"/>
      <c r="I3290" s="5"/>
      <c r="J3290" s="4"/>
      <c r="K3290" s="5"/>
      <c r="L3290" s="6"/>
      <c r="M3290" s="5" t="str">
        <f aca="false">IF(AND(N(K3290)&gt;0,N(L3290)&gt;0),K3290/L3290,"")</f>
        <v/>
      </c>
      <c r="N3290" s="2" t="s">
        <v>1226</v>
      </c>
    </row>
    <row r="3291" customFormat="false" ht="15" hidden="false" customHeight="false" outlineLevel="0" collapsed="false">
      <c r="A3291" s="2" t="n">
        <v>3290</v>
      </c>
      <c r="B3291" s="2" t="s">
        <v>6825</v>
      </c>
      <c r="C3291" s="2" t="s">
        <v>6826</v>
      </c>
      <c r="D3291" s="2"/>
      <c r="E3291" s="2" t="s">
        <v>1245</v>
      </c>
      <c r="F3291" s="3" t="n">
        <v>2.1E-005</v>
      </c>
      <c r="G3291" s="3" t="n">
        <f aca="false">SUM($F$2:F3291)</f>
        <v>0.983225</v>
      </c>
      <c r="H3291" s="4"/>
      <c r="I3291" s="5"/>
      <c r="J3291" s="4"/>
      <c r="K3291" s="5"/>
      <c r="L3291" s="6"/>
      <c r="M3291" s="5" t="str">
        <f aca="false">IF(AND(N(K3291)&gt;0,N(L3291)&gt;0),K3291/L3291,"")</f>
        <v/>
      </c>
      <c r="N3291" s="2" t="s">
        <v>1226</v>
      </c>
    </row>
    <row r="3292" customFormat="false" ht="15" hidden="false" customHeight="false" outlineLevel="0" collapsed="false">
      <c r="A3292" s="2" t="n">
        <v>3291</v>
      </c>
      <c r="B3292" s="2" t="s">
        <v>6827</v>
      </c>
      <c r="C3292" s="2" t="s">
        <v>6828</v>
      </c>
      <c r="D3292" s="2"/>
      <c r="E3292" s="2" t="s">
        <v>1345</v>
      </c>
      <c r="F3292" s="3" t="n">
        <v>2.1E-005</v>
      </c>
      <c r="G3292" s="3" t="n">
        <f aca="false">SUM($F$2:F3292)</f>
        <v>0.983246</v>
      </c>
      <c r="H3292" s="4"/>
      <c r="I3292" s="5"/>
      <c r="J3292" s="4"/>
      <c r="K3292" s="5"/>
      <c r="L3292" s="6"/>
      <c r="M3292" s="5" t="str">
        <f aca="false">IF(AND(N(K3292)&gt;0,N(L3292)&gt;0),K3292/L3292,"")</f>
        <v/>
      </c>
      <c r="N3292" s="2" t="s">
        <v>1226</v>
      </c>
    </row>
    <row r="3293" customFormat="false" ht="15" hidden="false" customHeight="false" outlineLevel="0" collapsed="false">
      <c r="A3293" s="2" t="n">
        <v>3292</v>
      </c>
      <c r="B3293" s="2" t="s">
        <v>6829</v>
      </c>
      <c r="C3293" s="2" t="s">
        <v>6830</v>
      </c>
      <c r="D3293" s="2"/>
      <c r="E3293" s="2" t="s">
        <v>1345</v>
      </c>
      <c r="F3293" s="3" t="n">
        <v>2.1E-005</v>
      </c>
      <c r="G3293" s="3" t="n">
        <f aca="false">SUM($F$2:F3293)</f>
        <v>0.983267</v>
      </c>
      <c r="H3293" s="4"/>
      <c r="I3293" s="5"/>
      <c r="J3293" s="4"/>
      <c r="K3293" s="5"/>
      <c r="L3293" s="6"/>
      <c r="M3293" s="5" t="str">
        <f aca="false">IF(AND(N(K3293)&gt;0,N(L3293)&gt;0),K3293/L3293,"")</f>
        <v/>
      </c>
      <c r="N3293" s="2" t="s">
        <v>1226</v>
      </c>
    </row>
    <row r="3294" customFormat="false" ht="15" hidden="false" customHeight="false" outlineLevel="0" collapsed="false">
      <c r="A3294" s="2" t="n">
        <v>3293</v>
      </c>
      <c r="B3294" s="2" t="s">
        <v>6831</v>
      </c>
      <c r="C3294" s="2" t="s">
        <v>6832</v>
      </c>
      <c r="D3294" s="2"/>
      <c r="E3294" s="2" t="s">
        <v>52</v>
      </c>
      <c r="F3294" s="3" t="n">
        <v>2.1E-005</v>
      </c>
      <c r="G3294" s="3" t="n">
        <f aca="false">SUM($F$2:F3294)</f>
        <v>0.983288</v>
      </c>
      <c r="H3294" s="4"/>
      <c r="I3294" s="5"/>
      <c r="J3294" s="4"/>
      <c r="K3294" s="5"/>
      <c r="L3294" s="6"/>
      <c r="M3294" s="5" t="str">
        <f aca="false">IF(AND(N(K3294)&gt;0,N(L3294)&gt;0),K3294/L3294,"")</f>
        <v/>
      </c>
      <c r="N3294" s="2" t="s">
        <v>1226</v>
      </c>
    </row>
    <row r="3295" customFormat="false" ht="15" hidden="false" customHeight="false" outlineLevel="0" collapsed="false">
      <c r="A3295" s="2" t="n">
        <v>3294</v>
      </c>
      <c r="B3295" s="2" t="s">
        <v>6833</v>
      </c>
      <c r="C3295" s="2" t="s">
        <v>6834</v>
      </c>
      <c r="D3295" s="2"/>
      <c r="E3295" s="2" t="s">
        <v>1284</v>
      </c>
      <c r="F3295" s="3" t="n">
        <v>2.1E-005</v>
      </c>
      <c r="G3295" s="3" t="n">
        <f aca="false">SUM($F$2:F3295)</f>
        <v>0.983309</v>
      </c>
      <c r="H3295" s="4"/>
      <c r="I3295" s="5"/>
      <c r="J3295" s="4"/>
      <c r="K3295" s="5"/>
      <c r="L3295" s="6"/>
      <c r="M3295" s="5" t="str">
        <f aca="false">IF(AND(N(K3295)&gt;0,N(L3295)&gt;0),K3295/L3295,"")</f>
        <v/>
      </c>
      <c r="N3295" s="2" t="s">
        <v>1226</v>
      </c>
    </row>
    <row r="3296" customFormat="false" ht="15" hidden="false" customHeight="false" outlineLevel="0" collapsed="false">
      <c r="A3296" s="2" t="n">
        <v>3295</v>
      </c>
      <c r="B3296" s="2" t="s">
        <v>6835</v>
      </c>
      <c r="C3296" s="2" t="s">
        <v>6836</v>
      </c>
      <c r="D3296" s="2"/>
      <c r="E3296" s="2" t="s">
        <v>29</v>
      </c>
      <c r="F3296" s="3" t="n">
        <v>2.1E-005</v>
      </c>
      <c r="G3296" s="3" t="n">
        <f aca="false">SUM($F$2:F3296)</f>
        <v>0.98333</v>
      </c>
      <c r="H3296" s="4"/>
      <c r="I3296" s="5"/>
      <c r="J3296" s="4"/>
      <c r="K3296" s="5"/>
      <c r="L3296" s="6"/>
      <c r="M3296" s="5" t="str">
        <f aca="false">IF(AND(N(K3296)&gt;0,N(L3296)&gt;0),K3296/L3296,"")</f>
        <v/>
      </c>
      <c r="N3296" s="2" t="s">
        <v>1226</v>
      </c>
    </row>
    <row r="3297" customFormat="false" ht="15" hidden="false" customHeight="false" outlineLevel="0" collapsed="false">
      <c r="A3297" s="2" t="n">
        <v>3296</v>
      </c>
      <c r="B3297" s="2" t="s">
        <v>6837</v>
      </c>
      <c r="C3297" s="2" t="s">
        <v>6838</v>
      </c>
      <c r="D3297" s="2"/>
      <c r="E3297" s="2" t="s">
        <v>25</v>
      </c>
      <c r="F3297" s="3" t="n">
        <v>2.1E-005</v>
      </c>
      <c r="G3297" s="3" t="n">
        <f aca="false">SUM($F$2:F3297)</f>
        <v>0.983351</v>
      </c>
      <c r="H3297" s="4"/>
      <c r="I3297" s="5"/>
      <c r="J3297" s="4"/>
      <c r="K3297" s="5"/>
      <c r="L3297" s="6"/>
      <c r="M3297" s="5" t="str">
        <f aca="false">IF(AND(N(K3297)&gt;0,N(L3297)&gt;0),K3297/L3297,"")</f>
        <v/>
      </c>
      <c r="N3297" s="2" t="s">
        <v>1226</v>
      </c>
    </row>
    <row r="3298" customFormat="false" ht="15" hidden="false" customHeight="false" outlineLevel="0" collapsed="false">
      <c r="A3298" s="2" t="n">
        <v>3297</v>
      </c>
      <c r="B3298" s="2" t="s">
        <v>6839</v>
      </c>
      <c r="C3298" s="2" t="s">
        <v>6840</v>
      </c>
      <c r="D3298" s="2"/>
      <c r="E3298" s="2" t="s">
        <v>1345</v>
      </c>
      <c r="F3298" s="3" t="n">
        <v>2.1E-005</v>
      </c>
      <c r="G3298" s="3" t="n">
        <f aca="false">SUM($F$2:F3298)</f>
        <v>0.983372</v>
      </c>
      <c r="H3298" s="4"/>
      <c r="I3298" s="5"/>
      <c r="J3298" s="4"/>
      <c r="K3298" s="5"/>
      <c r="L3298" s="6"/>
      <c r="M3298" s="5" t="str">
        <f aca="false">IF(AND(N(K3298)&gt;0,N(L3298)&gt;0),K3298/L3298,"")</f>
        <v/>
      </c>
      <c r="N3298" s="2" t="s">
        <v>1226</v>
      </c>
    </row>
    <row r="3299" customFormat="false" ht="15" hidden="false" customHeight="false" outlineLevel="0" collapsed="false">
      <c r="A3299" s="2" t="n">
        <v>3298</v>
      </c>
      <c r="B3299" s="2" t="s">
        <v>6841</v>
      </c>
      <c r="C3299" s="2" t="s">
        <v>6842</v>
      </c>
      <c r="D3299" s="2"/>
      <c r="E3299" s="2" t="s">
        <v>1345</v>
      </c>
      <c r="F3299" s="3" t="n">
        <v>2.1E-005</v>
      </c>
      <c r="G3299" s="3" t="n">
        <f aca="false">SUM($F$2:F3299)</f>
        <v>0.983393</v>
      </c>
      <c r="H3299" s="4"/>
      <c r="I3299" s="5"/>
      <c r="J3299" s="4"/>
      <c r="K3299" s="5"/>
      <c r="L3299" s="6"/>
      <c r="M3299" s="5" t="str">
        <f aca="false">IF(AND(N(K3299)&gt;0,N(L3299)&gt;0),K3299/L3299,"")</f>
        <v/>
      </c>
      <c r="N3299" s="2" t="s">
        <v>1226</v>
      </c>
    </row>
    <row r="3300" customFormat="false" ht="15" hidden="false" customHeight="false" outlineLevel="0" collapsed="false">
      <c r="A3300" s="2" t="n">
        <v>3299</v>
      </c>
      <c r="B3300" s="2" t="s">
        <v>6843</v>
      </c>
      <c r="C3300" s="2" t="s">
        <v>6844</v>
      </c>
      <c r="D3300" s="2"/>
      <c r="E3300" s="2" t="s">
        <v>82</v>
      </c>
      <c r="F3300" s="3" t="n">
        <v>2.1E-005</v>
      </c>
      <c r="G3300" s="3" t="n">
        <f aca="false">SUM($F$2:F3300)</f>
        <v>0.983414</v>
      </c>
      <c r="H3300" s="4"/>
      <c r="I3300" s="5"/>
      <c r="J3300" s="4"/>
      <c r="K3300" s="5"/>
      <c r="L3300" s="6"/>
      <c r="M3300" s="5" t="str">
        <f aca="false">IF(AND(N(K3300)&gt;0,N(L3300)&gt;0),K3300/L3300,"")</f>
        <v/>
      </c>
      <c r="N3300" s="2" t="s">
        <v>1226</v>
      </c>
    </row>
    <row r="3301" customFormat="false" ht="15" hidden="false" customHeight="false" outlineLevel="0" collapsed="false">
      <c r="A3301" s="2" t="n">
        <v>3300</v>
      </c>
      <c r="B3301" s="2" t="s">
        <v>6845</v>
      </c>
      <c r="C3301" s="2" t="s">
        <v>6846</v>
      </c>
      <c r="D3301" s="2"/>
      <c r="E3301" s="2" t="s">
        <v>539</v>
      </c>
      <c r="F3301" s="3" t="n">
        <v>2.1E-005</v>
      </c>
      <c r="G3301" s="3" t="n">
        <f aca="false">SUM($F$2:F3301)</f>
        <v>0.983435</v>
      </c>
      <c r="H3301" s="4"/>
      <c r="I3301" s="5"/>
      <c r="J3301" s="4"/>
      <c r="K3301" s="5"/>
      <c r="L3301" s="6"/>
      <c r="M3301" s="5" t="str">
        <f aca="false">IF(AND(N(K3301)&gt;0,N(L3301)&gt;0),K3301/L3301,"")</f>
        <v/>
      </c>
      <c r="N3301" s="2" t="s">
        <v>1226</v>
      </c>
    </row>
    <row r="3302" customFormat="false" ht="15" hidden="false" customHeight="false" outlineLevel="0" collapsed="false">
      <c r="A3302" s="2" t="n">
        <v>3301</v>
      </c>
      <c r="B3302" s="2" t="s">
        <v>301</v>
      </c>
      <c r="C3302" s="2" t="s">
        <v>6847</v>
      </c>
      <c r="D3302" s="2"/>
      <c r="E3302" s="2" t="s">
        <v>765</v>
      </c>
      <c r="F3302" s="3" t="n">
        <v>2.1E-005</v>
      </c>
      <c r="G3302" s="3" t="n">
        <f aca="false">SUM($F$2:F3302)</f>
        <v>0.983456</v>
      </c>
      <c r="H3302" s="4"/>
      <c r="I3302" s="5"/>
      <c r="J3302" s="4"/>
      <c r="K3302" s="5"/>
      <c r="L3302" s="6"/>
      <c r="M3302" s="5" t="str">
        <f aca="false">IF(AND(N(K3302)&gt;0,N(L3302)&gt;0),K3302/L3302,"")</f>
        <v/>
      </c>
      <c r="N3302" s="2" t="s">
        <v>34</v>
      </c>
    </row>
    <row r="3303" customFormat="false" ht="15" hidden="false" customHeight="false" outlineLevel="0" collapsed="false">
      <c r="A3303" s="2" t="n">
        <v>3302</v>
      </c>
      <c r="B3303" s="2" t="s">
        <v>6848</v>
      </c>
      <c r="C3303" s="2" t="s">
        <v>6849</v>
      </c>
      <c r="D3303" s="2"/>
      <c r="E3303" s="2" t="s">
        <v>52</v>
      </c>
      <c r="F3303" s="3" t="n">
        <v>2.1E-005</v>
      </c>
      <c r="G3303" s="3" t="n">
        <f aca="false">SUM($F$2:F3303)</f>
        <v>0.983477</v>
      </c>
      <c r="H3303" s="4"/>
      <c r="I3303" s="5"/>
      <c r="J3303" s="4"/>
      <c r="K3303" s="5"/>
      <c r="L3303" s="6"/>
      <c r="M3303" s="5" t="str">
        <f aca="false">IF(AND(N(K3303)&gt;0,N(L3303)&gt;0),K3303/L3303,"")</f>
        <v/>
      </c>
      <c r="N3303" s="2" t="s">
        <v>1226</v>
      </c>
    </row>
    <row r="3304" customFormat="false" ht="15" hidden="false" customHeight="false" outlineLevel="0" collapsed="false">
      <c r="A3304" s="2" t="n">
        <v>3303</v>
      </c>
      <c r="B3304" s="2" t="s">
        <v>6850</v>
      </c>
      <c r="C3304" s="2" t="s">
        <v>6851</v>
      </c>
      <c r="D3304" s="2"/>
      <c r="E3304" s="2" t="s">
        <v>1345</v>
      </c>
      <c r="F3304" s="3" t="n">
        <v>2.1E-005</v>
      </c>
      <c r="G3304" s="3" t="n">
        <f aca="false">SUM($F$2:F3304)</f>
        <v>0.983498</v>
      </c>
      <c r="H3304" s="4"/>
      <c r="I3304" s="5"/>
      <c r="J3304" s="4"/>
      <c r="K3304" s="5"/>
      <c r="L3304" s="6"/>
      <c r="M3304" s="5" t="str">
        <f aca="false">IF(AND(N(K3304)&gt;0,N(L3304)&gt;0),K3304/L3304,"")</f>
        <v/>
      </c>
      <c r="N3304" s="2" t="s">
        <v>1226</v>
      </c>
    </row>
    <row r="3305" customFormat="false" ht="15" hidden="false" customHeight="false" outlineLevel="0" collapsed="false">
      <c r="A3305" s="2" t="n">
        <v>3304</v>
      </c>
      <c r="B3305" s="2" t="s">
        <v>6852</v>
      </c>
      <c r="C3305" s="2" t="s">
        <v>6853</v>
      </c>
      <c r="D3305" s="2"/>
      <c r="E3305" s="2" t="s">
        <v>17</v>
      </c>
      <c r="F3305" s="3" t="n">
        <v>2.1E-005</v>
      </c>
      <c r="G3305" s="3" t="n">
        <f aca="false">SUM($F$2:F3305)</f>
        <v>0.983519</v>
      </c>
      <c r="H3305" s="4"/>
      <c r="I3305" s="5"/>
      <c r="J3305" s="4"/>
      <c r="K3305" s="5"/>
      <c r="L3305" s="6"/>
      <c r="M3305" s="5" t="str">
        <f aca="false">IF(AND(N(K3305)&gt;0,N(L3305)&gt;0),K3305/L3305,"")</f>
        <v/>
      </c>
      <c r="N3305" s="2" t="s">
        <v>1226</v>
      </c>
    </row>
    <row r="3306" customFormat="false" ht="15" hidden="false" customHeight="false" outlineLevel="0" collapsed="false">
      <c r="A3306" s="2" t="n">
        <v>3305</v>
      </c>
      <c r="B3306" s="2" t="s">
        <v>6854</v>
      </c>
      <c r="C3306" s="2" t="s">
        <v>6855</v>
      </c>
      <c r="D3306" s="2"/>
      <c r="E3306" s="2" t="s">
        <v>1345</v>
      </c>
      <c r="F3306" s="3" t="n">
        <v>2.1E-005</v>
      </c>
      <c r="G3306" s="3" t="n">
        <f aca="false">SUM($F$2:F3306)</f>
        <v>0.98354</v>
      </c>
      <c r="H3306" s="4"/>
      <c r="I3306" s="5"/>
      <c r="J3306" s="4"/>
      <c r="K3306" s="5"/>
      <c r="L3306" s="6"/>
      <c r="M3306" s="5" t="str">
        <f aca="false">IF(AND(N(K3306)&gt;0,N(L3306)&gt;0),K3306/L3306,"")</f>
        <v/>
      </c>
      <c r="N3306" s="2" t="s">
        <v>1226</v>
      </c>
    </row>
    <row r="3307" customFormat="false" ht="15" hidden="false" customHeight="false" outlineLevel="0" collapsed="false">
      <c r="A3307" s="2" t="n">
        <v>3306</v>
      </c>
      <c r="B3307" s="2" t="s">
        <v>6856</v>
      </c>
      <c r="C3307" s="2" t="s">
        <v>6857</v>
      </c>
      <c r="D3307" s="2"/>
      <c r="E3307" s="2" t="s">
        <v>2055</v>
      </c>
      <c r="F3307" s="3" t="n">
        <v>2.1E-005</v>
      </c>
      <c r="G3307" s="3" t="n">
        <f aca="false">SUM($F$2:F3307)</f>
        <v>0.983561</v>
      </c>
      <c r="H3307" s="4"/>
      <c r="I3307" s="5"/>
      <c r="J3307" s="4"/>
      <c r="K3307" s="5"/>
      <c r="L3307" s="6"/>
      <c r="M3307" s="5" t="str">
        <f aca="false">IF(AND(N(K3307)&gt;0,N(L3307)&gt;0),K3307/L3307,"")</f>
        <v/>
      </c>
      <c r="N3307" s="2" t="s">
        <v>1226</v>
      </c>
    </row>
    <row r="3308" customFormat="false" ht="15" hidden="false" customHeight="false" outlineLevel="0" collapsed="false">
      <c r="A3308" s="2" t="n">
        <v>3307</v>
      </c>
      <c r="B3308" s="2" t="s">
        <v>6858</v>
      </c>
      <c r="C3308" s="2" t="s">
        <v>6859</v>
      </c>
      <c r="D3308" s="2"/>
      <c r="E3308" s="2" t="s">
        <v>1345</v>
      </c>
      <c r="F3308" s="3" t="n">
        <v>2.1E-005</v>
      </c>
      <c r="G3308" s="3" t="n">
        <f aca="false">SUM($F$2:F3308)</f>
        <v>0.983582</v>
      </c>
      <c r="H3308" s="4"/>
      <c r="I3308" s="5"/>
      <c r="J3308" s="4"/>
      <c r="K3308" s="5"/>
      <c r="L3308" s="6"/>
      <c r="M3308" s="5" t="str">
        <f aca="false">IF(AND(N(K3308)&gt;0,N(L3308)&gt;0),K3308/L3308,"")</f>
        <v/>
      </c>
      <c r="N3308" s="2" t="s">
        <v>1226</v>
      </c>
    </row>
    <row r="3309" customFormat="false" ht="15" hidden="false" customHeight="false" outlineLevel="0" collapsed="false">
      <c r="A3309" s="2" t="n">
        <v>3308</v>
      </c>
      <c r="B3309" s="2" t="s">
        <v>6860</v>
      </c>
      <c r="C3309" s="2" t="s">
        <v>6861</v>
      </c>
      <c r="D3309" s="2"/>
      <c r="E3309" s="2" t="s">
        <v>43</v>
      </c>
      <c r="F3309" s="3" t="n">
        <v>2.1E-005</v>
      </c>
      <c r="G3309" s="3" t="n">
        <f aca="false">SUM($F$2:F3309)</f>
        <v>0.983603</v>
      </c>
      <c r="H3309" s="4"/>
      <c r="I3309" s="5"/>
      <c r="J3309" s="4"/>
      <c r="K3309" s="5"/>
      <c r="L3309" s="6"/>
      <c r="M3309" s="5" t="str">
        <f aca="false">IF(AND(N(K3309)&gt;0,N(L3309)&gt;0),K3309/L3309,"")</f>
        <v/>
      </c>
      <c r="N3309" s="2" t="s">
        <v>1226</v>
      </c>
    </row>
    <row r="3310" customFormat="false" ht="15" hidden="false" customHeight="false" outlineLevel="0" collapsed="false">
      <c r="A3310" s="2" t="n">
        <v>3309</v>
      </c>
      <c r="B3310" s="2" t="s">
        <v>6862</v>
      </c>
      <c r="C3310" s="2" t="s">
        <v>6863</v>
      </c>
      <c r="D3310" s="2"/>
      <c r="E3310" s="2" t="s">
        <v>1345</v>
      </c>
      <c r="F3310" s="3" t="n">
        <v>2E-005</v>
      </c>
      <c r="G3310" s="3" t="n">
        <f aca="false">SUM($F$2:F3310)</f>
        <v>0.983623</v>
      </c>
      <c r="H3310" s="4"/>
      <c r="I3310" s="5"/>
      <c r="J3310" s="4"/>
      <c r="K3310" s="5"/>
      <c r="L3310" s="6"/>
      <c r="M3310" s="5" t="str">
        <f aca="false">IF(AND(N(K3310)&gt;0,N(L3310)&gt;0),K3310/L3310,"")</f>
        <v/>
      </c>
      <c r="N3310" s="2" t="s">
        <v>1226</v>
      </c>
    </row>
    <row r="3311" customFormat="false" ht="15" hidden="false" customHeight="false" outlineLevel="0" collapsed="false">
      <c r="A3311" s="2" t="n">
        <v>3310</v>
      </c>
      <c r="B3311" s="2" t="s">
        <v>6864</v>
      </c>
      <c r="C3311" s="2" t="s">
        <v>6865</v>
      </c>
      <c r="D3311" s="2"/>
      <c r="E3311" s="2" t="s">
        <v>289</v>
      </c>
      <c r="F3311" s="3" t="n">
        <v>2E-005</v>
      </c>
      <c r="G3311" s="3" t="n">
        <f aca="false">SUM($F$2:F3311)</f>
        <v>0.983643</v>
      </c>
      <c r="H3311" s="4"/>
      <c r="I3311" s="5"/>
      <c r="J3311" s="4"/>
      <c r="K3311" s="5"/>
      <c r="L3311" s="6"/>
      <c r="M3311" s="5" t="str">
        <f aca="false">IF(AND(N(K3311)&gt;0,N(L3311)&gt;0),K3311/L3311,"")</f>
        <v/>
      </c>
      <c r="N3311" s="2" t="s">
        <v>1226</v>
      </c>
    </row>
    <row r="3312" customFormat="false" ht="15" hidden="false" customHeight="false" outlineLevel="0" collapsed="false">
      <c r="A3312" s="2" t="n">
        <v>3311</v>
      </c>
      <c r="B3312" s="2" t="s">
        <v>6866</v>
      </c>
      <c r="C3312" s="2" t="s">
        <v>6867</v>
      </c>
      <c r="D3312" s="2"/>
      <c r="E3312" s="2" t="s">
        <v>17</v>
      </c>
      <c r="F3312" s="3" t="n">
        <v>2E-005</v>
      </c>
      <c r="G3312" s="3" t="n">
        <f aca="false">SUM($F$2:F3312)</f>
        <v>0.983663</v>
      </c>
      <c r="H3312" s="4"/>
      <c r="I3312" s="5"/>
      <c r="J3312" s="4"/>
      <c r="K3312" s="5"/>
      <c r="L3312" s="6"/>
      <c r="M3312" s="5" t="str">
        <f aca="false">IF(AND(N(K3312)&gt;0,N(L3312)&gt;0),K3312/L3312,"")</f>
        <v/>
      </c>
      <c r="N3312" s="2" t="s">
        <v>1226</v>
      </c>
    </row>
    <row r="3313" customFormat="false" ht="15" hidden="false" customHeight="false" outlineLevel="0" collapsed="false">
      <c r="A3313" s="2" t="n">
        <v>3312</v>
      </c>
      <c r="B3313" s="2" t="s">
        <v>6868</v>
      </c>
      <c r="C3313" s="2" t="s">
        <v>6869</v>
      </c>
      <c r="D3313" s="2"/>
      <c r="E3313" s="2" t="s">
        <v>52</v>
      </c>
      <c r="F3313" s="3" t="n">
        <v>2E-005</v>
      </c>
      <c r="G3313" s="3" t="n">
        <f aca="false">SUM($F$2:F3313)</f>
        <v>0.983683</v>
      </c>
      <c r="H3313" s="4"/>
      <c r="I3313" s="5"/>
      <c r="J3313" s="4"/>
      <c r="K3313" s="5"/>
      <c r="L3313" s="6"/>
      <c r="M3313" s="5" t="str">
        <f aca="false">IF(AND(N(K3313)&gt;0,N(L3313)&gt;0),K3313/L3313,"")</f>
        <v/>
      </c>
      <c r="N3313" s="2" t="s">
        <v>1226</v>
      </c>
    </row>
    <row r="3314" customFormat="false" ht="15" hidden="false" customHeight="false" outlineLevel="0" collapsed="false">
      <c r="A3314" s="2" t="n">
        <v>3313</v>
      </c>
      <c r="B3314" s="2" t="s">
        <v>6870</v>
      </c>
      <c r="C3314" s="2" t="s">
        <v>6871</v>
      </c>
      <c r="D3314" s="2"/>
      <c r="E3314" s="2" t="s">
        <v>1345</v>
      </c>
      <c r="F3314" s="3" t="n">
        <v>2E-005</v>
      </c>
      <c r="G3314" s="3" t="n">
        <f aca="false">SUM($F$2:F3314)</f>
        <v>0.983703</v>
      </c>
      <c r="H3314" s="4"/>
      <c r="I3314" s="5"/>
      <c r="J3314" s="4"/>
      <c r="K3314" s="5"/>
      <c r="L3314" s="6"/>
      <c r="M3314" s="5" t="str">
        <f aca="false">IF(AND(N(K3314)&gt;0,N(L3314)&gt;0),K3314/L3314,"")</f>
        <v/>
      </c>
      <c r="N3314" s="2" t="s">
        <v>1226</v>
      </c>
    </row>
    <row r="3315" customFormat="false" ht="15" hidden="false" customHeight="false" outlineLevel="0" collapsed="false">
      <c r="A3315" s="2" t="n">
        <v>3314</v>
      </c>
      <c r="B3315" s="2" t="s">
        <v>6872</v>
      </c>
      <c r="C3315" s="2" t="s">
        <v>6873</v>
      </c>
      <c r="D3315" s="2"/>
      <c r="E3315" s="2" t="s">
        <v>289</v>
      </c>
      <c r="F3315" s="3" t="n">
        <v>2E-005</v>
      </c>
      <c r="G3315" s="3" t="n">
        <f aca="false">SUM($F$2:F3315)</f>
        <v>0.983723</v>
      </c>
      <c r="H3315" s="4"/>
      <c r="I3315" s="5"/>
      <c r="J3315" s="4"/>
      <c r="K3315" s="5"/>
      <c r="L3315" s="6"/>
      <c r="M3315" s="5" t="str">
        <f aca="false">IF(AND(N(K3315)&gt;0,N(L3315)&gt;0),K3315/L3315,"")</f>
        <v/>
      </c>
      <c r="N3315" s="2" t="s">
        <v>1226</v>
      </c>
    </row>
    <row r="3316" customFormat="false" ht="15" hidden="false" customHeight="false" outlineLevel="0" collapsed="false">
      <c r="A3316" s="2" t="n">
        <v>3315</v>
      </c>
      <c r="B3316" s="2" t="s">
        <v>6874</v>
      </c>
      <c r="C3316" s="2" t="s">
        <v>6875</v>
      </c>
      <c r="D3316" s="2"/>
      <c r="E3316" s="2" t="s">
        <v>289</v>
      </c>
      <c r="F3316" s="3" t="n">
        <v>2E-005</v>
      </c>
      <c r="G3316" s="3" t="n">
        <f aca="false">SUM($F$2:F3316)</f>
        <v>0.983743</v>
      </c>
      <c r="H3316" s="4"/>
      <c r="I3316" s="5"/>
      <c r="J3316" s="4"/>
      <c r="K3316" s="5"/>
      <c r="L3316" s="6"/>
      <c r="M3316" s="5" t="str">
        <f aca="false">IF(AND(N(K3316)&gt;0,N(L3316)&gt;0),K3316/L3316,"")</f>
        <v/>
      </c>
      <c r="N3316" s="2" t="s">
        <v>1226</v>
      </c>
    </row>
    <row r="3317" customFormat="false" ht="15" hidden="false" customHeight="false" outlineLevel="0" collapsed="false">
      <c r="A3317" s="2" t="n">
        <v>3316</v>
      </c>
      <c r="B3317" s="2" t="s">
        <v>6876</v>
      </c>
      <c r="C3317" s="2" t="s">
        <v>6877</v>
      </c>
      <c r="D3317" s="2"/>
      <c r="E3317" s="2" t="s">
        <v>25</v>
      </c>
      <c r="F3317" s="3" t="n">
        <v>2E-005</v>
      </c>
      <c r="G3317" s="3" t="n">
        <f aca="false">SUM($F$2:F3317)</f>
        <v>0.983763</v>
      </c>
      <c r="H3317" s="4"/>
      <c r="I3317" s="5"/>
      <c r="J3317" s="4"/>
      <c r="K3317" s="5"/>
      <c r="L3317" s="6"/>
      <c r="M3317" s="5" t="str">
        <f aca="false">IF(AND(N(K3317)&gt;0,N(L3317)&gt;0),K3317/L3317,"")</f>
        <v/>
      </c>
      <c r="N3317" s="2" t="s">
        <v>1226</v>
      </c>
    </row>
    <row r="3318" customFormat="false" ht="15" hidden="false" customHeight="false" outlineLevel="0" collapsed="false">
      <c r="A3318" s="2" t="n">
        <v>3317</v>
      </c>
      <c r="B3318" s="2" t="s">
        <v>6878</v>
      </c>
      <c r="C3318" s="2" t="s">
        <v>6879</v>
      </c>
      <c r="D3318" s="2"/>
      <c r="E3318" s="2" t="s">
        <v>29</v>
      </c>
      <c r="F3318" s="3" t="n">
        <v>2E-005</v>
      </c>
      <c r="G3318" s="3" t="n">
        <f aca="false">SUM($F$2:F3318)</f>
        <v>0.983783</v>
      </c>
      <c r="H3318" s="4"/>
      <c r="I3318" s="5"/>
      <c r="J3318" s="4"/>
      <c r="K3318" s="5"/>
      <c r="L3318" s="6"/>
      <c r="M3318" s="5" t="str">
        <f aca="false">IF(AND(N(K3318)&gt;0,N(L3318)&gt;0),K3318/L3318,"")</f>
        <v/>
      </c>
      <c r="N3318" s="2" t="s">
        <v>1226</v>
      </c>
    </row>
    <row r="3319" customFormat="false" ht="15" hidden="false" customHeight="false" outlineLevel="0" collapsed="false">
      <c r="A3319" s="2" t="n">
        <v>3318</v>
      </c>
      <c r="B3319" s="2" t="s">
        <v>6880</v>
      </c>
      <c r="C3319" s="2" t="s">
        <v>6881</v>
      </c>
      <c r="D3319" s="2"/>
      <c r="E3319" s="2" t="s">
        <v>289</v>
      </c>
      <c r="F3319" s="3" t="n">
        <v>2E-005</v>
      </c>
      <c r="G3319" s="3" t="n">
        <f aca="false">SUM($F$2:F3319)</f>
        <v>0.983803</v>
      </c>
      <c r="H3319" s="4"/>
      <c r="I3319" s="5"/>
      <c r="J3319" s="4"/>
      <c r="K3319" s="5"/>
      <c r="L3319" s="6"/>
      <c r="M3319" s="5" t="str">
        <f aca="false">IF(AND(N(K3319)&gt;0,N(L3319)&gt;0),K3319/L3319,"")</f>
        <v/>
      </c>
      <c r="N3319" s="2" t="s">
        <v>1226</v>
      </c>
    </row>
    <row r="3320" customFormat="false" ht="15" hidden="false" customHeight="false" outlineLevel="0" collapsed="false">
      <c r="A3320" s="2" t="n">
        <v>3319</v>
      </c>
      <c r="B3320" s="2" t="s">
        <v>6882</v>
      </c>
      <c r="C3320" s="2" t="s">
        <v>6883</v>
      </c>
      <c r="D3320" s="2"/>
      <c r="E3320" s="2" t="s">
        <v>1345</v>
      </c>
      <c r="F3320" s="3" t="n">
        <v>2E-005</v>
      </c>
      <c r="G3320" s="3" t="n">
        <f aca="false">SUM($F$2:F3320)</f>
        <v>0.983823</v>
      </c>
      <c r="H3320" s="4"/>
      <c r="I3320" s="5"/>
      <c r="J3320" s="4"/>
      <c r="K3320" s="5"/>
      <c r="L3320" s="6"/>
      <c r="M3320" s="5" t="str">
        <f aca="false">IF(AND(N(K3320)&gt;0,N(L3320)&gt;0),K3320/L3320,"")</f>
        <v/>
      </c>
      <c r="N3320" s="2" t="s">
        <v>1226</v>
      </c>
    </row>
    <row r="3321" customFormat="false" ht="15" hidden="false" customHeight="false" outlineLevel="0" collapsed="false">
      <c r="A3321" s="2" t="n">
        <v>3320</v>
      </c>
      <c r="B3321" s="2" t="s">
        <v>6884</v>
      </c>
      <c r="C3321" s="2" t="s">
        <v>6885</v>
      </c>
      <c r="D3321" s="2"/>
      <c r="E3321" s="2" t="s">
        <v>289</v>
      </c>
      <c r="F3321" s="3" t="n">
        <v>2E-005</v>
      </c>
      <c r="G3321" s="3" t="n">
        <f aca="false">SUM($F$2:F3321)</f>
        <v>0.983843</v>
      </c>
      <c r="H3321" s="4"/>
      <c r="I3321" s="5"/>
      <c r="J3321" s="4"/>
      <c r="K3321" s="5"/>
      <c r="L3321" s="6"/>
      <c r="M3321" s="5" t="str">
        <f aca="false">IF(AND(N(K3321)&gt;0,N(L3321)&gt;0),K3321/L3321,"")</f>
        <v/>
      </c>
      <c r="N3321" s="2" t="s">
        <v>1226</v>
      </c>
    </row>
    <row r="3322" customFormat="false" ht="15" hidden="false" customHeight="false" outlineLevel="0" collapsed="false">
      <c r="A3322" s="2" t="n">
        <v>3321</v>
      </c>
      <c r="B3322" s="2" t="s">
        <v>6886</v>
      </c>
      <c r="C3322" s="2" t="s">
        <v>6887</v>
      </c>
      <c r="D3322" s="2"/>
      <c r="E3322" s="2" t="s">
        <v>289</v>
      </c>
      <c r="F3322" s="3" t="n">
        <v>2E-005</v>
      </c>
      <c r="G3322" s="3" t="n">
        <f aca="false">SUM($F$2:F3322)</f>
        <v>0.983863</v>
      </c>
      <c r="H3322" s="4"/>
      <c r="I3322" s="5"/>
      <c r="J3322" s="4"/>
      <c r="K3322" s="5"/>
      <c r="L3322" s="6"/>
      <c r="M3322" s="5" t="str">
        <f aca="false">IF(AND(N(K3322)&gt;0,N(L3322)&gt;0),K3322/L3322,"")</f>
        <v/>
      </c>
      <c r="N3322" s="2" t="s">
        <v>1226</v>
      </c>
    </row>
    <row r="3323" customFormat="false" ht="15" hidden="false" customHeight="false" outlineLevel="0" collapsed="false">
      <c r="A3323" s="2" t="n">
        <v>3322</v>
      </c>
      <c r="B3323" s="2" t="s">
        <v>6888</v>
      </c>
      <c r="C3323" s="2" t="s">
        <v>6889</v>
      </c>
      <c r="D3323" s="2"/>
      <c r="E3323" s="2" t="s">
        <v>29</v>
      </c>
      <c r="F3323" s="3" t="n">
        <v>2E-005</v>
      </c>
      <c r="G3323" s="3" t="n">
        <f aca="false">SUM($F$2:F3323)</f>
        <v>0.983883</v>
      </c>
      <c r="H3323" s="4"/>
      <c r="I3323" s="5"/>
      <c r="J3323" s="4"/>
      <c r="K3323" s="5"/>
      <c r="L3323" s="6"/>
      <c r="M3323" s="5" t="str">
        <f aca="false">IF(AND(N(K3323)&gt;0,N(L3323)&gt;0),K3323/L3323,"")</f>
        <v/>
      </c>
      <c r="N3323" s="2" t="s">
        <v>1226</v>
      </c>
    </row>
    <row r="3324" customFormat="false" ht="15" hidden="false" customHeight="false" outlineLevel="0" collapsed="false">
      <c r="A3324" s="2" t="n">
        <v>3323</v>
      </c>
      <c r="B3324" s="2" t="s">
        <v>6890</v>
      </c>
      <c r="C3324" s="2" t="s">
        <v>6891</v>
      </c>
      <c r="D3324" s="2"/>
      <c r="E3324" s="2" t="s">
        <v>1345</v>
      </c>
      <c r="F3324" s="3" t="n">
        <v>2E-005</v>
      </c>
      <c r="G3324" s="3" t="n">
        <f aca="false">SUM($F$2:F3324)</f>
        <v>0.983903</v>
      </c>
      <c r="H3324" s="4"/>
      <c r="I3324" s="5"/>
      <c r="J3324" s="4"/>
      <c r="K3324" s="5"/>
      <c r="L3324" s="6"/>
      <c r="M3324" s="5" t="str">
        <f aca="false">IF(AND(N(K3324)&gt;0,N(L3324)&gt;0),K3324/L3324,"")</f>
        <v/>
      </c>
      <c r="N3324" s="2" t="s">
        <v>1226</v>
      </c>
    </row>
    <row r="3325" customFormat="false" ht="15" hidden="false" customHeight="false" outlineLevel="0" collapsed="false">
      <c r="A3325" s="2" t="n">
        <v>3324</v>
      </c>
      <c r="B3325" s="2" t="s">
        <v>6892</v>
      </c>
      <c r="C3325" s="2" t="s">
        <v>6893</v>
      </c>
      <c r="D3325" s="2"/>
      <c r="E3325" s="2" t="s">
        <v>52</v>
      </c>
      <c r="F3325" s="3" t="n">
        <v>2E-005</v>
      </c>
      <c r="G3325" s="3" t="n">
        <f aca="false">SUM($F$2:F3325)</f>
        <v>0.983923</v>
      </c>
      <c r="H3325" s="4"/>
      <c r="I3325" s="5"/>
      <c r="J3325" s="4"/>
      <c r="K3325" s="5"/>
      <c r="L3325" s="6"/>
      <c r="M3325" s="5" t="str">
        <f aca="false">IF(AND(N(K3325)&gt;0,N(L3325)&gt;0),K3325/L3325,"")</f>
        <v/>
      </c>
      <c r="N3325" s="2" t="s">
        <v>1226</v>
      </c>
    </row>
    <row r="3326" customFormat="false" ht="15" hidden="false" customHeight="false" outlineLevel="0" collapsed="false">
      <c r="A3326" s="2" t="n">
        <v>3325</v>
      </c>
      <c r="B3326" s="2" t="s">
        <v>6894</v>
      </c>
      <c r="C3326" s="2" t="s">
        <v>6895</v>
      </c>
      <c r="D3326" s="2"/>
      <c r="E3326" s="2" t="s">
        <v>334</v>
      </c>
      <c r="F3326" s="3" t="n">
        <v>2E-005</v>
      </c>
      <c r="G3326" s="3" t="n">
        <f aca="false">SUM($F$2:F3326)</f>
        <v>0.983943</v>
      </c>
      <c r="H3326" s="4"/>
      <c r="I3326" s="5"/>
      <c r="J3326" s="4"/>
      <c r="K3326" s="5"/>
      <c r="L3326" s="6"/>
      <c r="M3326" s="5" t="str">
        <f aca="false">IF(AND(N(K3326)&gt;0,N(L3326)&gt;0),K3326/L3326,"")</f>
        <v/>
      </c>
      <c r="N3326" s="2" t="s">
        <v>1226</v>
      </c>
    </row>
    <row r="3327" customFormat="false" ht="15" hidden="false" customHeight="false" outlineLevel="0" collapsed="false">
      <c r="A3327" s="2" t="n">
        <v>3326</v>
      </c>
      <c r="B3327" s="2" t="s">
        <v>6896</v>
      </c>
      <c r="C3327" s="2" t="s">
        <v>6897</v>
      </c>
      <c r="D3327" s="2"/>
      <c r="E3327" s="2" t="s">
        <v>29</v>
      </c>
      <c r="F3327" s="3" t="n">
        <v>2E-005</v>
      </c>
      <c r="G3327" s="3" t="n">
        <f aca="false">SUM($F$2:F3327)</f>
        <v>0.983963</v>
      </c>
      <c r="H3327" s="4"/>
      <c r="I3327" s="5"/>
      <c r="J3327" s="4"/>
      <c r="K3327" s="5"/>
      <c r="L3327" s="6"/>
      <c r="M3327" s="5" t="str">
        <f aca="false">IF(AND(N(K3327)&gt;0,N(L3327)&gt;0),K3327/L3327,"")</f>
        <v/>
      </c>
      <c r="N3327" s="2" t="s">
        <v>1226</v>
      </c>
    </row>
    <row r="3328" customFormat="false" ht="15" hidden="false" customHeight="false" outlineLevel="0" collapsed="false">
      <c r="A3328" s="2" t="n">
        <v>3327</v>
      </c>
      <c r="B3328" s="2" t="s">
        <v>6898</v>
      </c>
      <c r="C3328" s="2" t="s">
        <v>6899</v>
      </c>
      <c r="D3328" s="2"/>
      <c r="E3328" s="2" t="s">
        <v>1215</v>
      </c>
      <c r="F3328" s="3" t="n">
        <v>2E-005</v>
      </c>
      <c r="G3328" s="3" t="n">
        <f aca="false">SUM($F$2:F3328)</f>
        <v>0.983983</v>
      </c>
      <c r="H3328" s="4"/>
      <c r="I3328" s="5"/>
      <c r="J3328" s="4"/>
      <c r="K3328" s="5"/>
      <c r="L3328" s="6"/>
      <c r="M3328" s="5" t="str">
        <f aca="false">IF(AND(N(K3328)&gt;0,N(L3328)&gt;0),K3328/L3328,"")</f>
        <v/>
      </c>
      <c r="N3328" s="2" t="s">
        <v>1226</v>
      </c>
    </row>
    <row r="3329" customFormat="false" ht="15" hidden="false" customHeight="false" outlineLevel="0" collapsed="false">
      <c r="A3329" s="2" t="n">
        <v>3328</v>
      </c>
      <c r="B3329" s="2" t="s">
        <v>6900</v>
      </c>
      <c r="C3329" s="2" t="s">
        <v>6901</v>
      </c>
      <c r="D3329" s="2"/>
      <c r="E3329" s="2" t="s">
        <v>1345</v>
      </c>
      <c r="F3329" s="3" t="n">
        <v>2E-005</v>
      </c>
      <c r="G3329" s="3" t="n">
        <f aca="false">SUM($F$2:F3329)</f>
        <v>0.984003</v>
      </c>
      <c r="H3329" s="4"/>
      <c r="I3329" s="5"/>
      <c r="J3329" s="4"/>
      <c r="K3329" s="5"/>
      <c r="L3329" s="6"/>
      <c r="M3329" s="5" t="str">
        <f aca="false">IF(AND(N(K3329)&gt;0,N(L3329)&gt;0),K3329/L3329,"")</f>
        <v/>
      </c>
      <c r="N3329" s="2" t="s">
        <v>1226</v>
      </c>
    </row>
    <row r="3330" customFormat="false" ht="15" hidden="false" customHeight="false" outlineLevel="0" collapsed="false">
      <c r="A3330" s="2" t="n">
        <v>3329</v>
      </c>
      <c r="B3330" s="2" t="s">
        <v>6902</v>
      </c>
      <c r="C3330" s="2" t="s">
        <v>6903</v>
      </c>
      <c r="D3330" s="2"/>
      <c r="E3330" s="2" t="s">
        <v>82</v>
      </c>
      <c r="F3330" s="3" t="n">
        <v>2E-005</v>
      </c>
      <c r="G3330" s="3" t="n">
        <f aca="false">SUM($F$2:F3330)</f>
        <v>0.984023</v>
      </c>
      <c r="H3330" s="4"/>
      <c r="I3330" s="5"/>
      <c r="J3330" s="4"/>
      <c r="K3330" s="5"/>
      <c r="L3330" s="6"/>
      <c r="M3330" s="5" t="str">
        <f aca="false">IF(AND(N(K3330)&gt;0,N(L3330)&gt;0),K3330/L3330,"")</f>
        <v/>
      </c>
      <c r="N3330" s="2" t="s">
        <v>1226</v>
      </c>
    </row>
    <row r="3331" customFormat="false" ht="15" hidden="false" customHeight="false" outlineLevel="0" collapsed="false">
      <c r="A3331" s="2" t="n">
        <v>3330</v>
      </c>
      <c r="B3331" s="2" t="s">
        <v>6904</v>
      </c>
      <c r="C3331" s="2" t="s">
        <v>6905</v>
      </c>
      <c r="D3331" s="2"/>
      <c r="E3331" s="2" t="s">
        <v>82</v>
      </c>
      <c r="F3331" s="3" t="n">
        <v>2E-005</v>
      </c>
      <c r="G3331" s="3" t="n">
        <f aca="false">SUM($F$2:F3331)</f>
        <v>0.984043</v>
      </c>
      <c r="H3331" s="4"/>
      <c r="I3331" s="5"/>
      <c r="J3331" s="4"/>
      <c r="K3331" s="5"/>
      <c r="L3331" s="6"/>
      <c r="M3331" s="5" t="str">
        <f aca="false">IF(AND(N(K3331)&gt;0,N(L3331)&gt;0),K3331/L3331,"")</f>
        <v/>
      </c>
      <c r="N3331" s="2" t="s">
        <v>1226</v>
      </c>
    </row>
    <row r="3332" customFormat="false" ht="15" hidden="false" customHeight="false" outlineLevel="0" collapsed="false">
      <c r="A3332" s="2" t="n">
        <v>3331</v>
      </c>
      <c r="B3332" s="2" t="s">
        <v>6906</v>
      </c>
      <c r="C3332" s="2" t="s">
        <v>6907</v>
      </c>
      <c r="D3332" s="2"/>
      <c r="E3332" s="2" t="s">
        <v>1345</v>
      </c>
      <c r="F3332" s="3" t="n">
        <v>2E-005</v>
      </c>
      <c r="G3332" s="3" t="n">
        <f aca="false">SUM($F$2:F3332)</f>
        <v>0.984063</v>
      </c>
      <c r="H3332" s="4"/>
      <c r="I3332" s="5"/>
      <c r="J3332" s="4"/>
      <c r="K3332" s="5"/>
      <c r="L3332" s="6"/>
      <c r="M3332" s="5" t="str">
        <f aca="false">IF(AND(N(K3332)&gt;0,N(L3332)&gt;0),K3332/L3332,"")</f>
        <v/>
      </c>
      <c r="N3332" s="2" t="s">
        <v>1226</v>
      </c>
    </row>
    <row r="3333" customFormat="false" ht="15" hidden="false" customHeight="false" outlineLevel="0" collapsed="false">
      <c r="A3333" s="2" t="n">
        <v>3332</v>
      </c>
      <c r="B3333" s="2" t="s">
        <v>6908</v>
      </c>
      <c r="C3333" s="2" t="s">
        <v>6909</v>
      </c>
      <c r="D3333" s="2"/>
      <c r="E3333" s="2" t="s">
        <v>25</v>
      </c>
      <c r="F3333" s="3" t="n">
        <v>2E-005</v>
      </c>
      <c r="G3333" s="3" t="n">
        <f aca="false">SUM($F$2:F3333)</f>
        <v>0.984083</v>
      </c>
      <c r="H3333" s="4"/>
      <c r="I3333" s="5"/>
      <c r="J3333" s="4"/>
      <c r="K3333" s="5"/>
      <c r="L3333" s="6"/>
      <c r="M3333" s="5" t="str">
        <f aca="false">IF(AND(N(K3333)&gt;0,N(L3333)&gt;0),K3333/L3333,"")</f>
        <v/>
      </c>
      <c r="N3333" s="2" t="s">
        <v>1226</v>
      </c>
    </row>
    <row r="3334" customFormat="false" ht="15" hidden="false" customHeight="false" outlineLevel="0" collapsed="false">
      <c r="A3334" s="2" t="n">
        <v>3333</v>
      </c>
      <c r="B3334" s="2" t="s">
        <v>6910</v>
      </c>
      <c r="C3334" s="2" t="s">
        <v>6911</v>
      </c>
      <c r="D3334" s="2"/>
      <c r="E3334" s="2" t="s">
        <v>1345</v>
      </c>
      <c r="F3334" s="3" t="n">
        <v>2E-005</v>
      </c>
      <c r="G3334" s="3" t="n">
        <f aca="false">SUM($F$2:F3334)</f>
        <v>0.984103</v>
      </c>
      <c r="H3334" s="4"/>
      <c r="I3334" s="5"/>
      <c r="J3334" s="4"/>
      <c r="K3334" s="5"/>
      <c r="L3334" s="6"/>
      <c r="M3334" s="5" t="str">
        <f aca="false">IF(AND(N(K3334)&gt;0,N(L3334)&gt;0),K3334/L3334,"")</f>
        <v/>
      </c>
      <c r="N3334" s="2" t="s">
        <v>1226</v>
      </c>
    </row>
    <row r="3335" customFormat="false" ht="15" hidden="false" customHeight="false" outlineLevel="0" collapsed="false">
      <c r="A3335" s="2" t="n">
        <v>3334</v>
      </c>
      <c r="B3335" s="2" t="s">
        <v>6912</v>
      </c>
      <c r="C3335" s="2" t="s">
        <v>6913</v>
      </c>
      <c r="D3335" s="2"/>
      <c r="E3335" s="2" t="s">
        <v>29</v>
      </c>
      <c r="F3335" s="3" t="n">
        <v>2E-005</v>
      </c>
      <c r="G3335" s="3" t="n">
        <f aca="false">SUM($F$2:F3335)</f>
        <v>0.984123</v>
      </c>
      <c r="H3335" s="4"/>
      <c r="I3335" s="5"/>
      <c r="J3335" s="4"/>
      <c r="K3335" s="5"/>
      <c r="L3335" s="6"/>
      <c r="M3335" s="5" t="str">
        <f aca="false">IF(AND(N(K3335)&gt;0,N(L3335)&gt;0),K3335/L3335,"")</f>
        <v/>
      </c>
      <c r="N3335" s="2" t="s">
        <v>1226</v>
      </c>
    </row>
    <row r="3336" customFormat="false" ht="15" hidden="false" customHeight="false" outlineLevel="0" collapsed="false">
      <c r="A3336" s="2" t="n">
        <v>3335</v>
      </c>
      <c r="B3336" s="2" t="s">
        <v>6914</v>
      </c>
      <c r="C3336" s="2" t="s">
        <v>6915</v>
      </c>
      <c r="D3336" s="2"/>
      <c r="E3336" s="2" t="s">
        <v>289</v>
      </c>
      <c r="F3336" s="3" t="n">
        <v>2E-005</v>
      </c>
      <c r="G3336" s="3" t="n">
        <f aca="false">SUM($F$2:F3336)</f>
        <v>0.984143</v>
      </c>
      <c r="H3336" s="4"/>
      <c r="I3336" s="5"/>
      <c r="J3336" s="4"/>
      <c r="K3336" s="5"/>
      <c r="L3336" s="6"/>
      <c r="M3336" s="5" t="str">
        <f aca="false">IF(AND(N(K3336)&gt;0,N(L3336)&gt;0),K3336/L3336,"")</f>
        <v/>
      </c>
      <c r="N3336" s="2" t="s">
        <v>1226</v>
      </c>
    </row>
    <row r="3337" customFormat="false" ht="15" hidden="false" customHeight="false" outlineLevel="0" collapsed="false">
      <c r="A3337" s="2" t="n">
        <v>3336</v>
      </c>
      <c r="B3337" s="2" t="s">
        <v>6916</v>
      </c>
      <c r="C3337" s="2" t="s">
        <v>6917</v>
      </c>
      <c r="D3337" s="2"/>
      <c r="E3337" s="2" t="s">
        <v>296</v>
      </c>
      <c r="F3337" s="3" t="n">
        <v>2E-005</v>
      </c>
      <c r="G3337" s="3" t="n">
        <f aca="false">SUM($F$2:F3337)</f>
        <v>0.984163</v>
      </c>
      <c r="H3337" s="4"/>
      <c r="I3337" s="5"/>
      <c r="J3337" s="4"/>
      <c r="K3337" s="5"/>
      <c r="L3337" s="6"/>
      <c r="M3337" s="5" t="str">
        <f aca="false">IF(AND(N(K3337)&gt;0,N(L3337)&gt;0),K3337/L3337,"")</f>
        <v/>
      </c>
      <c r="N3337" s="2" t="s">
        <v>1226</v>
      </c>
    </row>
    <row r="3338" customFormat="false" ht="15" hidden="false" customHeight="false" outlineLevel="0" collapsed="false">
      <c r="A3338" s="2" t="n">
        <v>3337</v>
      </c>
      <c r="B3338" s="2" t="s">
        <v>6918</v>
      </c>
      <c r="C3338" s="2" t="s">
        <v>6919</v>
      </c>
      <c r="D3338" s="2"/>
      <c r="E3338" s="2" t="s">
        <v>1345</v>
      </c>
      <c r="F3338" s="3" t="n">
        <v>2E-005</v>
      </c>
      <c r="G3338" s="3" t="n">
        <f aca="false">SUM($F$2:F3338)</f>
        <v>0.984183</v>
      </c>
      <c r="H3338" s="4"/>
      <c r="I3338" s="5"/>
      <c r="J3338" s="4"/>
      <c r="K3338" s="5"/>
      <c r="L3338" s="6"/>
      <c r="M3338" s="5" t="str">
        <f aca="false">IF(AND(N(K3338)&gt;0,N(L3338)&gt;0),K3338/L3338,"")</f>
        <v/>
      </c>
      <c r="N3338" s="2" t="s">
        <v>1226</v>
      </c>
    </row>
    <row r="3339" customFormat="false" ht="15" hidden="false" customHeight="false" outlineLevel="0" collapsed="false">
      <c r="A3339" s="2" t="n">
        <v>3338</v>
      </c>
      <c r="B3339" s="2" t="s">
        <v>6920</v>
      </c>
      <c r="C3339" s="2" t="s">
        <v>6921</v>
      </c>
      <c r="D3339" s="2"/>
      <c r="E3339" s="2" t="s">
        <v>1345</v>
      </c>
      <c r="F3339" s="3" t="n">
        <v>2E-005</v>
      </c>
      <c r="G3339" s="3" t="n">
        <f aca="false">SUM($F$2:F3339)</f>
        <v>0.984203</v>
      </c>
      <c r="H3339" s="4"/>
      <c r="I3339" s="5"/>
      <c r="J3339" s="4"/>
      <c r="K3339" s="5"/>
      <c r="L3339" s="6"/>
      <c r="M3339" s="5" t="str">
        <f aca="false">IF(AND(N(K3339)&gt;0,N(L3339)&gt;0),K3339/L3339,"")</f>
        <v/>
      </c>
      <c r="N3339" s="2" t="s">
        <v>1226</v>
      </c>
    </row>
    <row r="3340" customFormat="false" ht="15" hidden="false" customHeight="false" outlineLevel="0" collapsed="false">
      <c r="A3340" s="2" t="n">
        <v>3339</v>
      </c>
      <c r="B3340" s="2" t="s">
        <v>6922</v>
      </c>
      <c r="C3340" s="2" t="s">
        <v>6923</v>
      </c>
      <c r="D3340" s="2"/>
      <c r="E3340" s="2" t="s">
        <v>2264</v>
      </c>
      <c r="F3340" s="3" t="n">
        <v>2E-005</v>
      </c>
      <c r="G3340" s="3" t="n">
        <f aca="false">SUM($F$2:F3340)</f>
        <v>0.984223</v>
      </c>
      <c r="H3340" s="4"/>
      <c r="I3340" s="5"/>
      <c r="J3340" s="4"/>
      <c r="K3340" s="5"/>
      <c r="L3340" s="6"/>
      <c r="M3340" s="5" t="str">
        <f aca="false">IF(AND(N(K3340)&gt;0,N(L3340)&gt;0),K3340/L3340,"")</f>
        <v/>
      </c>
      <c r="N3340" s="2" t="s">
        <v>1226</v>
      </c>
    </row>
    <row r="3341" customFormat="false" ht="15" hidden="false" customHeight="false" outlineLevel="0" collapsed="false">
      <c r="A3341" s="2" t="n">
        <v>3340</v>
      </c>
      <c r="B3341" s="2" t="s">
        <v>6924</v>
      </c>
      <c r="C3341" s="2" t="s">
        <v>6925</v>
      </c>
      <c r="D3341" s="2"/>
      <c r="E3341" s="2" t="s">
        <v>1345</v>
      </c>
      <c r="F3341" s="3" t="n">
        <v>2E-005</v>
      </c>
      <c r="G3341" s="3" t="n">
        <f aca="false">SUM($F$2:F3341)</f>
        <v>0.984243</v>
      </c>
      <c r="H3341" s="4"/>
      <c r="I3341" s="5"/>
      <c r="J3341" s="4"/>
      <c r="K3341" s="5"/>
      <c r="L3341" s="6"/>
      <c r="M3341" s="5" t="str">
        <f aca="false">IF(AND(N(K3341)&gt;0,N(L3341)&gt;0),K3341/L3341,"")</f>
        <v/>
      </c>
      <c r="N3341" s="2" t="s">
        <v>1226</v>
      </c>
    </row>
    <row r="3342" customFormat="false" ht="15" hidden="false" customHeight="false" outlineLevel="0" collapsed="false">
      <c r="A3342" s="2" t="n">
        <v>3341</v>
      </c>
      <c r="B3342" s="2" t="s">
        <v>6926</v>
      </c>
      <c r="C3342" s="2" t="s">
        <v>6927</v>
      </c>
      <c r="D3342" s="2"/>
      <c r="E3342" s="2" t="s">
        <v>17</v>
      </c>
      <c r="F3342" s="3" t="n">
        <v>2E-005</v>
      </c>
      <c r="G3342" s="3" t="n">
        <f aca="false">SUM($F$2:F3342)</f>
        <v>0.984263</v>
      </c>
      <c r="H3342" s="4"/>
      <c r="I3342" s="5"/>
      <c r="J3342" s="4"/>
      <c r="K3342" s="5"/>
      <c r="L3342" s="6"/>
      <c r="M3342" s="5" t="str">
        <f aca="false">IF(AND(N(K3342)&gt;0,N(L3342)&gt;0),K3342/L3342,"")</f>
        <v/>
      </c>
      <c r="N3342" s="2" t="s">
        <v>1226</v>
      </c>
    </row>
    <row r="3343" customFormat="false" ht="15" hidden="false" customHeight="false" outlineLevel="0" collapsed="false">
      <c r="A3343" s="2" t="n">
        <v>3342</v>
      </c>
      <c r="B3343" s="2" t="s">
        <v>6928</v>
      </c>
      <c r="C3343" s="2" t="s">
        <v>6929</v>
      </c>
      <c r="D3343" s="2"/>
      <c r="E3343" s="2" t="s">
        <v>52</v>
      </c>
      <c r="F3343" s="3" t="n">
        <v>2E-005</v>
      </c>
      <c r="G3343" s="3" t="n">
        <f aca="false">SUM($F$2:F3343)</f>
        <v>0.984283</v>
      </c>
      <c r="H3343" s="4"/>
      <c r="I3343" s="5"/>
      <c r="J3343" s="4"/>
      <c r="K3343" s="5"/>
      <c r="L3343" s="6"/>
      <c r="M3343" s="5" t="str">
        <f aca="false">IF(AND(N(K3343)&gt;0,N(L3343)&gt;0),K3343/L3343,"")</f>
        <v/>
      </c>
      <c r="N3343" s="2" t="s">
        <v>1226</v>
      </c>
    </row>
    <row r="3344" customFormat="false" ht="15" hidden="false" customHeight="false" outlineLevel="0" collapsed="false">
      <c r="A3344" s="2" t="n">
        <v>3343</v>
      </c>
      <c r="B3344" s="2" t="s">
        <v>6930</v>
      </c>
      <c r="C3344" s="2" t="s">
        <v>6931</v>
      </c>
      <c r="D3344" s="2"/>
      <c r="E3344" s="2" t="s">
        <v>25</v>
      </c>
      <c r="F3344" s="3" t="n">
        <v>2E-005</v>
      </c>
      <c r="G3344" s="3" t="n">
        <f aca="false">SUM($F$2:F3344)</f>
        <v>0.984303</v>
      </c>
      <c r="H3344" s="4"/>
      <c r="I3344" s="5"/>
      <c r="J3344" s="4"/>
      <c r="K3344" s="5"/>
      <c r="L3344" s="6"/>
      <c r="M3344" s="5" t="str">
        <f aca="false">IF(AND(N(K3344)&gt;0,N(L3344)&gt;0),K3344/L3344,"")</f>
        <v/>
      </c>
      <c r="N3344" s="2" t="s">
        <v>1226</v>
      </c>
    </row>
    <row r="3345" customFormat="false" ht="15" hidden="false" customHeight="false" outlineLevel="0" collapsed="false">
      <c r="A3345" s="2" t="n">
        <v>3344</v>
      </c>
      <c r="B3345" s="2" t="s">
        <v>6932</v>
      </c>
      <c r="C3345" s="2" t="s">
        <v>6933</v>
      </c>
      <c r="D3345" s="2"/>
      <c r="E3345" s="2" t="s">
        <v>1345</v>
      </c>
      <c r="F3345" s="3" t="n">
        <v>2E-005</v>
      </c>
      <c r="G3345" s="3" t="n">
        <f aca="false">SUM($F$2:F3345)</f>
        <v>0.984323</v>
      </c>
      <c r="H3345" s="4"/>
      <c r="I3345" s="5"/>
      <c r="J3345" s="4"/>
      <c r="K3345" s="5"/>
      <c r="L3345" s="6"/>
      <c r="M3345" s="5" t="str">
        <f aca="false">IF(AND(N(K3345)&gt;0,N(L3345)&gt;0),K3345/L3345,"")</f>
        <v/>
      </c>
      <c r="N3345" s="2" t="s">
        <v>1226</v>
      </c>
    </row>
    <row r="3346" customFormat="false" ht="15" hidden="false" customHeight="false" outlineLevel="0" collapsed="false">
      <c r="A3346" s="2" t="n">
        <v>3345</v>
      </c>
      <c r="B3346" s="2" t="s">
        <v>6934</v>
      </c>
      <c r="C3346" s="2" t="s">
        <v>6935</v>
      </c>
      <c r="D3346" s="2"/>
      <c r="E3346" s="2" t="s">
        <v>43</v>
      </c>
      <c r="F3346" s="3" t="n">
        <v>2E-005</v>
      </c>
      <c r="G3346" s="3" t="n">
        <f aca="false">SUM($F$2:F3346)</f>
        <v>0.984343</v>
      </c>
      <c r="H3346" s="4"/>
      <c r="I3346" s="5"/>
      <c r="J3346" s="4"/>
      <c r="K3346" s="5"/>
      <c r="L3346" s="6"/>
      <c r="M3346" s="5" t="str">
        <f aca="false">IF(AND(N(K3346)&gt;0,N(L3346)&gt;0),K3346/L3346,"")</f>
        <v/>
      </c>
      <c r="N3346" s="2" t="s">
        <v>1226</v>
      </c>
    </row>
    <row r="3347" customFormat="false" ht="15" hidden="false" customHeight="false" outlineLevel="0" collapsed="false">
      <c r="A3347" s="2" t="n">
        <v>3346</v>
      </c>
      <c r="B3347" s="2" t="s">
        <v>6936</v>
      </c>
      <c r="C3347" s="2" t="s">
        <v>6937</v>
      </c>
      <c r="D3347" s="2"/>
      <c r="E3347" s="2" t="s">
        <v>826</v>
      </c>
      <c r="F3347" s="3" t="n">
        <v>2E-005</v>
      </c>
      <c r="G3347" s="3" t="n">
        <f aca="false">SUM($F$2:F3347)</f>
        <v>0.984363</v>
      </c>
      <c r="H3347" s="4"/>
      <c r="I3347" s="5"/>
      <c r="J3347" s="4"/>
      <c r="K3347" s="5"/>
      <c r="L3347" s="6"/>
      <c r="M3347" s="5" t="str">
        <f aca="false">IF(AND(N(K3347)&gt;0,N(L3347)&gt;0),K3347/L3347,"")</f>
        <v/>
      </c>
      <c r="N3347" s="2" t="s">
        <v>1226</v>
      </c>
    </row>
    <row r="3348" customFormat="false" ht="15" hidden="false" customHeight="false" outlineLevel="0" collapsed="false">
      <c r="A3348" s="2" t="n">
        <v>3347</v>
      </c>
      <c r="B3348" s="2" t="s">
        <v>6938</v>
      </c>
      <c r="C3348" s="2" t="s">
        <v>6939</v>
      </c>
      <c r="D3348" s="2"/>
      <c r="E3348" s="2" t="s">
        <v>82</v>
      </c>
      <c r="F3348" s="3" t="n">
        <v>2E-005</v>
      </c>
      <c r="G3348" s="3" t="n">
        <f aca="false">SUM($F$2:F3348)</f>
        <v>0.984383</v>
      </c>
      <c r="H3348" s="4"/>
      <c r="I3348" s="5"/>
      <c r="J3348" s="4"/>
      <c r="K3348" s="5"/>
      <c r="L3348" s="6"/>
      <c r="M3348" s="5" t="str">
        <f aca="false">IF(AND(N(K3348)&gt;0,N(L3348)&gt;0),K3348/L3348,"")</f>
        <v/>
      </c>
      <c r="N3348" s="2" t="s">
        <v>1226</v>
      </c>
    </row>
    <row r="3349" customFormat="false" ht="15" hidden="false" customHeight="false" outlineLevel="0" collapsed="false">
      <c r="A3349" s="2" t="n">
        <v>3348</v>
      </c>
      <c r="B3349" s="2" t="s">
        <v>6940</v>
      </c>
      <c r="C3349" s="2" t="s">
        <v>6941</v>
      </c>
      <c r="D3349" s="2"/>
      <c r="E3349" s="2" t="s">
        <v>1345</v>
      </c>
      <c r="F3349" s="3" t="n">
        <v>2E-005</v>
      </c>
      <c r="G3349" s="3" t="n">
        <f aca="false">SUM($F$2:F3349)</f>
        <v>0.984403</v>
      </c>
      <c r="H3349" s="4"/>
      <c r="I3349" s="5"/>
      <c r="J3349" s="4"/>
      <c r="K3349" s="5"/>
      <c r="L3349" s="6"/>
      <c r="M3349" s="5" t="str">
        <f aca="false">IF(AND(N(K3349)&gt;0,N(L3349)&gt;0),K3349/L3349,"")</f>
        <v/>
      </c>
      <c r="N3349" s="2" t="s">
        <v>1226</v>
      </c>
    </row>
    <row r="3350" customFormat="false" ht="15" hidden="false" customHeight="false" outlineLevel="0" collapsed="false">
      <c r="A3350" s="2" t="n">
        <v>3349</v>
      </c>
      <c r="B3350" s="2" t="s">
        <v>6942</v>
      </c>
      <c r="C3350" s="2" t="s">
        <v>6943</v>
      </c>
      <c r="D3350" s="2"/>
      <c r="E3350" s="2" t="s">
        <v>1345</v>
      </c>
      <c r="F3350" s="3" t="n">
        <v>2E-005</v>
      </c>
      <c r="G3350" s="3" t="n">
        <f aca="false">SUM($F$2:F3350)</f>
        <v>0.984423</v>
      </c>
      <c r="H3350" s="4"/>
      <c r="I3350" s="5"/>
      <c r="J3350" s="4"/>
      <c r="K3350" s="5"/>
      <c r="L3350" s="6"/>
      <c r="M3350" s="5" t="str">
        <f aca="false">IF(AND(N(K3350)&gt;0,N(L3350)&gt;0),K3350/L3350,"")</f>
        <v/>
      </c>
      <c r="N3350" s="2" t="s">
        <v>1226</v>
      </c>
    </row>
    <row r="3351" customFormat="false" ht="15" hidden="false" customHeight="false" outlineLevel="0" collapsed="false">
      <c r="A3351" s="2" t="n">
        <v>3350</v>
      </c>
      <c r="B3351" s="2" t="s">
        <v>6944</v>
      </c>
      <c r="C3351" s="2" t="s">
        <v>6945</v>
      </c>
      <c r="D3351" s="2"/>
      <c r="E3351" s="2" t="s">
        <v>1345</v>
      </c>
      <c r="F3351" s="3" t="n">
        <v>2E-005</v>
      </c>
      <c r="G3351" s="3" t="n">
        <f aca="false">SUM($F$2:F3351)</f>
        <v>0.984443</v>
      </c>
      <c r="H3351" s="4"/>
      <c r="I3351" s="5"/>
      <c r="J3351" s="4"/>
      <c r="K3351" s="5"/>
      <c r="L3351" s="6"/>
      <c r="M3351" s="5" t="str">
        <f aca="false">IF(AND(N(K3351)&gt;0,N(L3351)&gt;0),K3351/L3351,"")</f>
        <v/>
      </c>
      <c r="N3351" s="2" t="s">
        <v>1226</v>
      </c>
    </row>
    <row r="3352" customFormat="false" ht="15" hidden="false" customHeight="false" outlineLevel="0" collapsed="false">
      <c r="A3352" s="2" t="n">
        <v>3351</v>
      </c>
      <c r="B3352" s="2" t="s">
        <v>6946</v>
      </c>
      <c r="C3352" s="2" t="s">
        <v>6947</v>
      </c>
      <c r="D3352" s="2"/>
      <c r="E3352" s="2" t="s">
        <v>1345</v>
      </c>
      <c r="F3352" s="3" t="n">
        <v>2E-005</v>
      </c>
      <c r="G3352" s="3" t="n">
        <f aca="false">SUM($F$2:F3352)</f>
        <v>0.984463</v>
      </c>
      <c r="H3352" s="4"/>
      <c r="I3352" s="5"/>
      <c r="J3352" s="4"/>
      <c r="K3352" s="5"/>
      <c r="L3352" s="6"/>
      <c r="M3352" s="5" t="str">
        <f aca="false">IF(AND(N(K3352)&gt;0,N(L3352)&gt;0),K3352/L3352,"")</f>
        <v/>
      </c>
      <c r="N3352" s="2" t="s">
        <v>1226</v>
      </c>
    </row>
    <row r="3353" customFormat="false" ht="15" hidden="false" customHeight="false" outlineLevel="0" collapsed="false">
      <c r="A3353" s="2" t="n">
        <v>3352</v>
      </c>
      <c r="B3353" s="2" t="s">
        <v>6948</v>
      </c>
      <c r="C3353" s="2" t="s">
        <v>6949</v>
      </c>
      <c r="D3353" s="2"/>
      <c r="E3353" s="2" t="s">
        <v>48</v>
      </c>
      <c r="F3353" s="3" t="n">
        <v>2E-005</v>
      </c>
      <c r="G3353" s="3" t="n">
        <f aca="false">SUM($F$2:F3353)</f>
        <v>0.984483</v>
      </c>
      <c r="H3353" s="4"/>
      <c r="I3353" s="5"/>
      <c r="J3353" s="4"/>
      <c r="K3353" s="5"/>
      <c r="L3353" s="6"/>
      <c r="M3353" s="5" t="str">
        <f aca="false">IF(AND(N(K3353)&gt;0,N(L3353)&gt;0),K3353/L3353,"")</f>
        <v/>
      </c>
      <c r="N3353" s="2" t="s">
        <v>1226</v>
      </c>
    </row>
    <row r="3354" customFormat="false" ht="15" hidden="false" customHeight="false" outlineLevel="0" collapsed="false">
      <c r="A3354" s="2" t="n">
        <v>3353</v>
      </c>
      <c r="B3354" s="2" t="s">
        <v>6950</v>
      </c>
      <c r="C3354" s="2" t="s">
        <v>6951</v>
      </c>
      <c r="D3354" s="2"/>
      <c r="E3354" s="2" t="s">
        <v>1295</v>
      </c>
      <c r="F3354" s="3" t="n">
        <v>2E-005</v>
      </c>
      <c r="G3354" s="3" t="n">
        <f aca="false">SUM($F$2:F3354)</f>
        <v>0.984503</v>
      </c>
      <c r="H3354" s="4"/>
      <c r="I3354" s="5"/>
      <c r="J3354" s="4"/>
      <c r="K3354" s="5"/>
      <c r="L3354" s="6"/>
      <c r="M3354" s="5" t="str">
        <f aca="false">IF(AND(N(K3354)&gt;0,N(L3354)&gt;0),K3354/L3354,"")</f>
        <v/>
      </c>
      <c r="N3354" s="2" t="s">
        <v>1226</v>
      </c>
    </row>
    <row r="3355" customFormat="false" ht="15" hidden="false" customHeight="false" outlineLevel="0" collapsed="false">
      <c r="A3355" s="2" t="n">
        <v>3354</v>
      </c>
      <c r="B3355" s="2" t="s">
        <v>6952</v>
      </c>
      <c r="C3355" s="2" t="s">
        <v>6953</v>
      </c>
      <c r="D3355" s="2"/>
      <c r="E3355" s="2" t="s">
        <v>289</v>
      </c>
      <c r="F3355" s="3" t="n">
        <v>2E-005</v>
      </c>
      <c r="G3355" s="3" t="n">
        <f aca="false">SUM($F$2:F3355)</f>
        <v>0.984523</v>
      </c>
      <c r="H3355" s="4"/>
      <c r="I3355" s="5"/>
      <c r="J3355" s="4"/>
      <c r="K3355" s="5"/>
      <c r="L3355" s="6"/>
      <c r="M3355" s="5" t="str">
        <f aca="false">IF(AND(N(K3355)&gt;0,N(L3355)&gt;0),K3355/L3355,"")</f>
        <v/>
      </c>
      <c r="N3355" s="2" t="s">
        <v>1226</v>
      </c>
    </row>
    <row r="3356" customFormat="false" ht="15" hidden="false" customHeight="false" outlineLevel="0" collapsed="false">
      <c r="A3356" s="2" t="n">
        <v>3355</v>
      </c>
      <c r="B3356" s="2" t="s">
        <v>6954</v>
      </c>
      <c r="C3356" s="2" t="s">
        <v>6955</v>
      </c>
      <c r="D3356" s="2"/>
      <c r="E3356" s="2" t="s">
        <v>43</v>
      </c>
      <c r="F3356" s="3" t="n">
        <v>2E-005</v>
      </c>
      <c r="G3356" s="3" t="n">
        <f aca="false">SUM($F$2:F3356)</f>
        <v>0.984543</v>
      </c>
      <c r="H3356" s="4"/>
      <c r="I3356" s="5"/>
      <c r="J3356" s="4"/>
      <c r="K3356" s="5"/>
      <c r="L3356" s="6"/>
      <c r="M3356" s="5" t="str">
        <f aca="false">IF(AND(N(K3356)&gt;0,N(L3356)&gt;0),K3356/L3356,"")</f>
        <v/>
      </c>
      <c r="N3356" s="2" t="s">
        <v>1226</v>
      </c>
    </row>
    <row r="3357" customFormat="false" ht="15" hidden="false" customHeight="false" outlineLevel="0" collapsed="false">
      <c r="A3357" s="2" t="n">
        <v>3356</v>
      </c>
      <c r="B3357" s="2" t="s">
        <v>6956</v>
      </c>
      <c r="C3357" s="2" t="s">
        <v>6957</v>
      </c>
      <c r="D3357" s="2"/>
      <c r="E3357" s="2" t="s">
        <v>289</v>
      </c>
      <c r="F3357" s="3" t="n">
        <v>2E-005</v>
      </c>
      <c r="G3357" s="3" t="n">
        <f aca="false">SUM($F$2:F3357)</f>
        <v>0.984563</v>
      </c>
      <c r="H3357" s="4"/>
      <c r="I3357" s="5"/>
      <c r="J3357" s="4"/>
      <c r="K3357" s="5"/>
      <c r="L3357" s="6"/>
      <c r="M3357" s="5" t="str">
        <f aca="false">IF(AND(N(K3357)&gt;0,N(L3357)&gt;0),K3357/L3357,"")</f>
        <v/>
      </c>
      <c r="N3357" s="2" t="s">
        <v>1226</v>
      </c>
    </row>
    <row r="3358" customFormat="false" ht="15" hidden="false" customHeight="false" outlineLevel="0" collapsed="false">
      <c r="A3358" s="2" t="n">
        <v>3357</v>
      </c>
      <c r="B3358" s="2" t="s">
        <v>6958</v>
      </c>
      <c r="C3358" s="2" t="s">
        <v>6959</v>
      </c>
      <c r="D3358" s="2"/>
      <c r="E3358" s="2" t="s">
        <v>1245</v>
      </c>
      <c r="F3358" s="3" t="n">
        <v>2E-005</v>
      </c>
      <c r="G3358" s="3" t="n">
        <f aca="false">SUM($F$2:F3358)</f>
        <v>0.984583</v>
      </c>
      <c r="H3358" s="4"/>
      <c r="I3358" s="5"/>
      <c r="J3358" s="4"/>
      <c r="K3358" s="5"/>
      <c r="L3358" s="6"/>
      <c r="M3358" s="5" t="str">
        <f aca="false">IF(AND(N(K3358)&gt;0,N(L3358)&gt;0),K3358/L3358,"")</f>
        <v/>
      </c>
      <c r="N3358" s="2" t="s">
        <v>1226</v>
      </c>
    </row>
    <row r="3359" customFormat="false" ht="15" hidden="false" customHeight="false" outlineLevel="0" collapsed="false">
      <c r="A3359" s="2" t="n">
        <v>3358</v>
      </c>
      <c r="B3359" s="2" t="s">
        <v>6960</v>
      </c>
      <c r="C3359" s="2" t="s">
        <v>6961</v>
      </c>
      <c r="D3359" s="2"/>
      <c r="E3359" s="2" t="s">
        <v>1345</v>
      </c>
      <c r="F3359" s="3" t="n">
        <v>2E-005</v>
      </c>
      <c r="G3359" s="3" t="n">
        <f aca="false">SUM($F$2:F3359)</f>
        <v>0.984603</v>
      </c>
      <c r="H3359" s="4"/>
      <c r="I3359" s="5"/>
      <c r="J3359" s="4"/>
      <c r="K3359" s="5"/>
      <c r="L3359" s="6"/>
      <c r="M3359" s="5" t="str">
        <f aca="false">IF(AND(N(K3359)&gt;0,N(L3359)&gt;0),K3359/L3359,"")</f>
        <v/>
      </c>
      <c r="N3359" s="2" t="s">
        <v>1226</v>
      </c>
    </row>
    <row r="3360" customFormat="false" ht="15" hidden="false" customHeight="false" outlineLevel="0" collapsed="false">
      <c r="A3360" s="2" t="n">
        <v>3359</v>
      </c>
      <c r="B3360" s="2" t="s">
        <v>6962</v>
      </c>
      <c r="C3360" s="2" t="s">
        <v>6963</v>
      </c>
      <c r="D3360" s="2"/>
      <c r="E3360" s="2" t="s">
        <v>52</v>
      </c>
      <c r="F3360" s="3" t="n">
        <v>2E-005</v>
      </c>
      <c r="G3360" s="3" t="n">
        <f aca="false">SUM($F$2:F3360)</f>
        <v>0.984623</v>
      </c>
      <c r="H3360" s="4"/>
      <c r="I3360" s="5"/>
      <c r="J3360" s="4"/>
      <c r="K3360" s="5"/>
      <c r="L3360" s="6"/>
      <c r="M3360" s="5" t="str">
        <f aca="false">IF(AND(N(K3360)&gt;0,N(L3360)&gt;0),K3360/L3360,"")</f>
        <v/>
      </c>
      <c r="N3360" s="2" t="s">
        <v>1226</v>
      </c>
    </row>
    <row r="3361" customFormat="false" ht="15" hidden="false" customHeight="false" outlineLevel="0" collapsed="false">
      <c r="A3361" s="2" t="n">
        <v>3360</v>
      </c>
      <c r="B3361" s="2" t="s">
        <v>6964</v>
      </c>
      <c r="C3361" s="2" t="s">
        <v>6965</v>
      </c>
      <c r="D3361" s="2"/>
      <c r="E3361" s="2" t="s">
        <v>289</v>
      </c>
      <c r="F3361" s="3" t="n">
        <v>2E-005</v>
      </c>
      <c r="G3361" s="3" t="n">
        <f aca="false">SUM($F$2:F3361)</f>
        <v>0.984643</v>
      </c>
      <c r="H3361" s="4"/>
      <c r="I3361" s="5"/>
      <c r="J3361" s="4"/>
      <c r="K3361" s="5"/>
      <c r="L3361" s="6"/>
      <c r="M3361" s="5" t="str">
        <f aca="false">IF(AND(N(K3361)&gt;0,N(L3361)&gt;0),K3361/L3361,"")</f>
        <v/>
      </c>
      <c r="N3361" s="2" t="s">
        <v>1226</v>
      </c>
    </row>
    <row r="3362" customFormat="false" ht="15" hidden="false" customHeight="false" outlineLevel="0" collapsed="false">
      <c r="A3362" s="2" t="n">
        <v>3361</v>
      </c>
      <c r="B3362" s="2" t="s">
        <v>6966</v>
      </c>
      <c r="C3362" s="2" t="s">
        <v>6967</v>
      </c>
      <c r="D3362" s="2"/>
      <c r="E3362" s="2" t="s">
        <v>1345</v>
      </c>
      <c r="F3362" s="3" t="n">
        <v>2E-005</v>
      </c>
      <c r="G3362" s="3" t="n">
        <f aca="false">SUM($F$2:F3362)</f>
        <v>0.984663</v>
      </c>
      <c r="H3362" s="4"/>
      <c r="I3362" s="5"/>
      <c r="J3362" s="4"/>
      <c r="K3362" s="5"/>
      <c r="L3362" s="6"/>
      <c r="M3362" s="5" t="str">
        <f aca="false">IF(AND(N(K3362)&gt;0,N(L3362)&gt;0),K3362/L3362,"")</f>
        <v/>
      </c>
      <c r="N3362" s="2" t="s">
        <v>1226</v>
      </c>
    </row>
    <row r="3363" customFormat="false" ht="15" hidden="false" customHeight="false" outlineLevel="0" collapsed="false">
      <c r="A3363" s="2" t="n">
        <v>3362</v>
      </c>
      <c r="B3363" s="2" t="s">
        <v>6968</v>
      </c>
      <c r="C3363" s="2" t="s">
        <v>6969</v>
      </c>
      <c r="D3363" s="2"/>
      <c r="E3363" s="2" t="s">
        <v>1345</v>
      </c>
      <c r="F3363" s="3" t="n">
        <v>2E-005</v>
      </c>
      <c r="G3363" s="3" t="n">
        <f aca="false">SUM($F$2:F3363)</f>
        <v>0.984683</v>
      </c>
      <c r="H3363" s="4"/>
      <c r="I3363" s="5"/>
      <c r="J3363" s="4"/>
      <c r="K3363" s="5"/>
      <c r="L3363" s="6"/>
      <c r="M3363" s="5" t="str">
        <f aca="false">IF(AND(N(K3363)&gt;0,N(L3363)&gt;0),K3363/L3363,"")</f>
        <v/>
      </c>
      <c r="N3363" s="2" t="s">
        <v>1226</v>
      </c>
    </row>
    <row r="3364" customFormat="false" ht="15" hidden="false" customHeight="false" outlineLevel="0" collapsed="false">
      <c r="A3364" s="2" t="n">
        <v>3363</v>
      </c>
      <c r="B3364" s="2" t="s">
        <v>6970</v>
      </c>
      <c r="C3364" s="2" t="s">
        <v>6971</v>
      </c>
      <c r="D3364" s="2"/>
      <c r="E3364" s="2" t="s">
        <v>29</v>
      </c>
      <c r="F3364" s="3" t="n">
        <v>2E-005</v>
      </c>
      <c r="G3364" s="3" t="n">
        <f aca="false">SUM($F$2:F3364)</f>
        <v>0.984703</v>
      </c>
      <c r="H3364" s="4"/>
      <c r="I3364" s="5"/>
      <c r="J3364" s="4"/>
      <c r="K3364" s="5"/>
      <c r="L3364" s="6"/>
      <c r="M3364" s="5" t="str">
        <f aca="false">IF(AND(N(K3364)&gt;0,N(L3364)&gt;0),K3364/L3364,"")</f>
        <v/>
      </c>
      <c r="N3364" s="2" t="s">
        <v>1226</v>
      </c>
    </row>
    <row r="3365" customFormat="false" ht="15" hidden="false" customHeight="false" outlineLevel="0" collapsed="false">
      <c r="A3365" s="2" t="n">
        <v>3364</v>
      </c>
      <c r="B3365" s="2" t="s">
        <v>6972</v>
      </c>
      <c r="C3365" s="2" t="s">
        <v>6973</v>
      </c>
      <c r="D3365" s="2"/>
      <c r="E3365" s="2" t="s">
        <v>1345</v>
      </c>
      <c r="F3365" s="3" t="n">
        <v>1.9E-005</v>
      </c>
      <c r="G3365" s="3" t="n">
        <f aca="false">SUM($F$2:F3365)</f>
        <v>0.984722</v>
      </c>
      <c r="H3365" s="4"/>
      <c r="I3365" s="5"/>
      <c r="J3365" s="4"/>
      <c r="K3365" s="5"/>
      <c r="L3365" s="6"/>
      <c r="M3365" s="5" t="str">
        <f aca="false">IF(AND(N(K3365)&gt;0,N(L3365)&gt;0),K3365/L3365,"")</f>
        <v/>
      </c>
      <c r="N3365" s="2" t="s">
        <v>1226</v>
      </c>
    </row>
    <row r="3366" customFormat="false" ht="15" hidden="false" customHeight="false" outlineLevel="0" collapsed="false">
      <c r="A3366" s="2" t="n">
        <v>3365</v>
      </c>
      <c r="B3366" s="2" t="s">
        <v>6974</v>
      </c>
      <c r="C3366" s="2" t="s">
        <v>6975</v>
      </c>
      <c r="D3366" s="2"/>
      <c r="E3366" s="2" t="s">
        <v>1345</v>
      </c>
      <c r="F3366" s="3" t="n">
        <v>1.9E-005</v>
      </c>
      <c r="G3366" s="3" t="n">
        <f aca="false">SUM($F$2:F3366)</f>
        <v>0.984741</v>
      </c>
      <c r="H3366" s="4"/>
      <c r="I3366" s="5"/>
      <c r="J3366" s="4"/>
      <c r="K3366" s="5"/>
      <c r="L3366" s="6"/>
      <c r="M3366" s="5" t="str">
        <f aca="false">IF(AND(N(K3366)&gt;0,N(L3366)&gt;0),K3366/L3366,"")</f>
        <v/>
      </c>
      <c r="N3366" s="2" t="s">
        <v>1226</v>
      </c>
    </row>
    <row r="3367" customFormat="false" ht="15" hidden="false" customHeight="false" outlineLevel="0" collapsed="false">
      <c r="A3367" s="2" t="n">
        <v>3366</v>
      </c>
      <c r="B3367" s="2" t="s">
        <v>6976</v>
      </c>
      <c r="C3367" s="2" t="s">
        <v>6977</v>
      </c>
      <c r="D3367" s="2"/>
      <c r="E3367" s="2" t="s">
        <v>25</v>
      </c>
      <c r="F3367" s="3" t="n">
        <v>1.9E-005</v>
      </c>
      <c r="G3367" s="3" t="n">
        <f aca="false">SUM($F$2:F3367)</f>
        <v>0.98476</v>
      </c>
      <c r="H3367" s="4"/>
      <c r="I3367" s="5"/>
      <c r="J3367" s="4"/>
      <c r="K3367" s="5"/>
      <c r="L3367" s="6"/>
      <c r="M3367" s="5" t="str">
        <f aca="false">IF(AND(N(K3367)&gt;0,N(L3367)&gt;0),K3367/L3367,"")</f>
        <v/>
      </c>
      <c r="N3367" s="2" t="s">
        <v>1226</v>
      </c>
    </row>
    <row r="3368" customFormat="false" ht="15" hidden="false" customHeight="false" outlineLevel="0" collapsed="false">
      <c r="A3368" s="2" t="n">
        <v>3367</v>
      </c>
      <c r="B3368" s="2" t="s">
        <v>6978</v>
      </c>
      <c r="C3368" s="2" t="s">
        <v>6979</v>
      </c>
      <c r="D3368" s="2"/>
      <c r="E3368" s="2" t="s">
        <v>1345</v>
      </c>
      <c r="F3368" s="3" t="n">
        <v>1.9E-005</v>
      </c>
      <c r="G3368" s="3" t="n">
        <f aca="false">SUM($F$2:F3368)</f>
        <v>0.984779</v>
      </c>
      <c r="H3368" s="4"/>
      <c r="I3368" s="5"/>
      <c r="J3368" s="4"/>
      <c r="K3368" s="5"/>
      <c r="L3368" s="6"/>
      <c r="M3368" s="5" t="str">
        <f aca="false">IF(AND(N(K3368)&gt;0,N(L3368)&gt;0),K3368/L3368,"")</f>
        <v/>
      </c>
      <c r="N3368" s="2" t="s">
        <v>1226</v>
      </c>
    </row>
    <row r="3369" customFormat="false" ht="15" hidden="false" customHeight="false" outlineLevel="0" collapsed="false">
      <c r="A3369" s="2" t="n">
        <v>3368</v>
      </c>
      <c r="B3369" s="2" t="s">
        <v>6980</v>
      </c>
      <c r="C3369" s="2" t="s">
        <v>6981</v>
      </c>
      <c r="D3369" s="2"/>
      <c r="E3369" s="2" t="s">
        <v>1345</v>
      </c>
      <c r="F3369" s="3" t="n">
        <v>1.9E-005</v>
      </c>
      <c r="G3369" s="3" t="n">
        <f aca="false">SUM($F$2:F3369)</f>
        <v>0.984798</v>
      </c>
      <c r="H3369" s="4"/>
      <c r="I3369" s="5"/>
      <c r="J3369" s="4"/>
      <c r="K3369" s="5"/>
      <c r="L3369" s="6"/>
      <c r="M3369" s="5" t="str">
        <f aca="false">IF(AND(N(K3369)&gt;0,N(L3369)&gt;0),K3369/L3369,"")</f>
        <v/>
      </c>
      <c r="N3369" s="2" t="s">
        <v>1226</v>
      </c>
    </row>
    <row r="3370" customFormat="false" ht="15" hidden="false" customHeight="false" outlineLevel="0" collapsed="false">
      <c r="A3370" s="2" t="n">
        <v>3369</v>
      </c>
      <c r="B3370" s="2" t="s">
        <v>6982</v>
      </c>
      <c r="C3370" s="2" t="s">
        <v>6983</v>
      </c>
      <c r="D3370" s="2"/>
      <c r="E3370" s="2" t="s">
        <v>1345</v>
      </c>
      <c r="F3370" s="3" t="n">
        <v>1.9E-005</v>
      </c>
      <c r="G3370" s="3" t="n">
        <f aca="false">SUM($F$2:F3370)</f>
        <v>0.984817</v>
      </c>
      <c r="H3370" s="4"/>
      <c r="I3370" s="5"/>
      <c r="J3370" s="4"/>
      <c r="K3370" s="5"/>
      <c r="L3370" s="6"/>
      <c r="M3370" s="5" t="str">
        <f aca="false">IF(AND(N(K3370)&gt;0,N(L3370)&gt;0),K3370/L3370,"")</f>
        <v/>
      </c>
      <c r="N3370" s="2" t="s">
        <v>1226</v>
      </c>
    </row>
    <row r="3371" customFormat="false" ht="15" hidden="false" customHeight="false" outlineLevel="0" collapsed="false">
      <c r="A3371" s="2" t="n">
        <v>3370</v>
      </c>
      <c r="B3371" s="2" t="s">
        <v>6984</v>
      </c>
      <c r="C3371" s="2" t="s">
        <v>6985</v>
      </c>
      <c r="D3371" s="2"/>
      <c r="E3371" s="2" t="s">
        <v>17</v>
      </c>
      <c r="F3371" s="3" t="n">
        <v>1.9E-005</v>
      </c>
      <c r="G3371" s="3" t="n">
        <f aca="false">SUM($F$2:F3371)</f>
        <v>0.984836</v>
      </c>
      <c r="H3371" s="4"/>
      <c r="I3371" s="5"/>
      <c r="J3371" s="4"/>
      <c r="K3371" s="5"/>
      <c r="L3371" s="6"/>
      <c r="M3371" s="5" t="str">
        <f aca="false">IF(AND(N(K3371)&gt;0,N(L3371)&gt;0),K3371/L3371,"")</f>
        <v/>
      </c>
      <c r="N3371" s="2" t="s">
        <v>1226</v>
      </c>
    </row>
    <row r="3372" customFormat="false" ht="15" hidden="false" customHeight="false" outlineLevel="0" collapsed="false">
      <c r="A3372" s="2" t="n">
        <v>3371</v>
      </c>
      <c r="B3372" s="2" t="s">
        <v>6986</v>
      </c>
      <c r="C3372" s="2" t="s">
        <v>6987</v>
      </c>
      <c r="D3372" s="2"/>
      <c r="E3372" s="2" t="s">
        <v>289</v>
      </c>
      <c r="F3372" s="3" t="n">
        <v>1.9E-005</v>
      </c>
      <c r="G3372" s="3" t="n">
        <f aca="false">SUM($F$2:F3372)</f>
        <v>0.984855</v>
      </c>
      <c r="H3372" s="4"/>
      <c r="I3372" s="5"/>
      <c r="J3372" s="4"/>
      <c r="K3372" s="5"/>
      <c r="L3372" s="6"/>
      <c r="M3372" s="5" t="str">
        <f aca="false">IF(AND(N(K3372)&gt;0,N(L3372)&gt;0),K3372/L3372,"")</f>
        <v/>
      </c>
      <c r="N3372" s="2" t="s">
        <v>1226</v>
      </c>
    </row>
    <row r="3373" customFormat="false" ht="15" hidden="false" customHeight="false" outlineLevel="0" collapsed="false">
      <c r="A3373" s="2" t="n">
        <v>3372</v>
      </c>
      <c r="B3373" s="2" t="s">
        <v>6988</v>
      </c>
      <c r="C3373" s="2" t="s">
        <v>6989</v>
      </c>
      <c r="D3373" s="2"/>
      <c r="E3373" s="2" t="s">
        <v>296</v>
      </c>
      <c r="F3373" s="3" t="n">
        <v>1.9E-005</v>
      </c>
      <c r="G3373" s="3" t="n">
        <f aca="false">SUM($F$2:F3373)</f>
        <v>0.984874</v>
      </c>
      <c r="H3373" s="4"/>
      <c r="I3373" s="5"/>
      <c r="J3373" s="4"/>
      <c r="K3373" s="5"/>
      <c r="L3373" s="6"/>
      <c r="M3373" s="5" t="str">
        <f aca="false">IF(AND(N(K3373)&gt;0,N(L3373)&gt;0),K3373/L3373,"")</f>
        <v/>
      </c>
      <c r="N3373" s="2" t="s">
        <v>1226</v>
      </c>
    </row>
    <row r="3374" customFormat="false" ht="15" hidden="false" customHeight="false" outlineLevel="0" collapsed="false">
      <c r="A3374" s="2" t="n">
        <v>3373</v>
      </c>
      <c r="B3374" s="2" t="s">
        <v>6990</v>
      </c>
      <c r="C3374" s="2" t="s">
        <v>6991</v>
      </c>
      <c r="D3374" s="2"/>
      <c r="E3374" s="2" t="s">
        <v>539</v>
      </c>
      <c r="F3374" s="3" t="n">
        <v>1.9E-005</v>
      </c>
      <c r="G3374" s="3" t="n">
        <f aca="false">SUM($F$2:F3374)</f>
        <v>0.984893</v>
      </c>
      <c r="H3374" s="4"/>
      <c r="I3374" s="5"/>
      <c r="J3374" s="4"/>
      <c r="K3374" s="5"/>
      <c r="L3374" s="6"/>
      <c r="M3374" s="5" t="str">
        <f aca="false">IF(AND(N(K3374)&gt;0,N(L3374)&gt;0),K3374/L3374,"")</f>
        <v/>
      </c>
      <c r="N3374" s="2" t="s">
        <v>1226</v>
      </c>
    </row>
    <row r="3375" customFormat="false" ht="15" hidden="false" customHeight="false" outlineLevel="0" collapsed="false">
      <c r="A3375" s="2" t="n">
        <v>3374</v>
      </c>
      <c r="B3375" s="2" t="s">
        <v>3372</v>
      </c>
      <c r="C3375" s="2" t="s">
        <v>6992</v>
      </c>
      <c r="D3375" s="2"/>
      <c r="E3375" s="2" t="s">
        <v>289</v>
      </c>
      <c r="F3375" s="3" t="n">
        <v>1.9E-005</v>
      </c>
      <c r="G3375" s="3" t="n">
        <f aca="false">SUM($F$2:F3375)</f>
        <v>0.984912</v>
      </c>
      <c r="H3375" s="4"/>
      <c r="I3375" s="5"/>
      <c r="J3375" s="4"/>
      <c r="K3375" s="5"/>
      <c r="L3375" s="6"/>
      <c r="M3375" s="5" t="str">
        <f aca="false">IF(AND(N(K3375)&gt;0,N(L3375)&gt;0),K3375/L3375,"")</f>
        <v/>
      </c>
      <c r="N3375" s="2" t="s">
        <v>1226</v>
      </c>
    </row>
    <row r="3376" customFormat="false" ht="15" hidden="false" customHeight="false" outlineLevel="0" collapsed="false">
      <c r="A3376" s="2" t="n">
        <v>3375</v>
      </c>
      <c r="B3376" s="2" t="s">
        <v>6993</v>
      </c>
      <c r="C3376" s="2" t="s">
        <v>6994</v>
      </c>
      <c r="D3376" s="2"/>
      <c r="E3376" s="2" t="s">
        <v>1345</v>
      </c>
      <c r="F3376" s="3" t="n">
        <v>1.9E-005</v>
      </c>
      <c r="G3376" s="3" t="n">
        <f aca="false">SUM($F$2:F3376)</f>
        <v>0.984931</v>
      </c>
      <c r="H3376" s="4"/>
      <c r="I3376" s="5"/>
      <c r="J3376" s="4"/>
      <c r="K3376" s="5"/>
      <c r="L3376" s="6"/>
      <c r="M3376" s="5" t="str">
        <f aca="false">IF(AND(N(K3376)&gt;0,N(L3376)&gt;0),K3376/L3376,"")</f>
        <v/>
      </c>
      <c r="N3376" s="2" t="s">
        <v>1226</v>
      </c>
    </row>
    <row r="3377" customFormat="false" ht="15" hidden="false" customHeight="false" outlineLevel="0" collapsed="false">
      <c r="A3377" s="2" t="n">
        <v>3376</v>
      </c>
      <c r="B3377" s="2" t="s">
        <v>6995</v>
      </c>
      <c r="C3377" s="2" t="s">
        <v>6996</v>
      </c>
      <c r="D3377" s="2"/>
      <c r="E3377" s="2" t="s">
        <v>43</v>
      </c>
      <c r="F3377" s="3" t="n">
        <v>1.9E-005</v>
      </c>
      <c r="G3377" s="3" t="n">
        <f aca="false">SUM($F$2:F3377)</f>
        <v>0.98495</v>
      </c>
      <c r="H3377" s="4"/>
      <c r="I3377" s="5"/>
      <c r="J3377" s="4"/>
      <c r="K3377" s="5"/>
      <c r="L3377" s="6"/>
      <c r="M3377" s="5" t="str">
        <f aca="false">IF(AND(N(K3377)&gt;0,N(L3377)&gt;0),K3377/L3377,"")</f>
        <v/>
      </c>
      <c r="N3377" s="2" t="s">
        <v>1226</v>
      </c>
    </row>
    <row r="3378" customFormat="false" ht="15" hidden="false" customHeight="false" outlineLevel="0" collapsed="false">
      <c r="A3378" s="2" t="n">
        <v>3377</v>
      </c>
      <c r="B3378" s="2" t="s">
        <v>6997</v>
      </c>
      <c r="C3378" s="2" t="s">
        <v>6998</v>
      </c>
      <c r="D3378" s="2"/>
      <c r="E3378" s="2" t="s">
        <v>1334</v>
      </c>
      <c r="F3378" s="3" t="n">
        <v>1.9E-005</v>
      </c>
      <c r="G3378" s="3" t="n">
        <f aca="false">SUM($F$2:F3378)</f>
        <v>0.984969</v>
      </c>
      <c r="H3378" s="4"/>
      <c r="I3378" s="5"/>
      <c r="J3378" s="4"/>
      <c r="K3378" s="5"/>
      <c r="L3378" s="6"/>
      <c r="M3378" s="5" t="str">
        <f aca="false">IF(AND(N(K3378)&gt;0,N(L3378)&gt;0),K3378/L3378,"")</f>
        <v/>
      </c>
      <c r="N3378" s="2" t="s">
        <v>1226</v>
      </c>
    </row>
    <row r="3379" customFormat="false" ht="15" hidden="false" customHeight="false" outlineLevel="0" collapsed="false">
      <c r="A3379" s="2" t="n">
        <v>3378</v>
      </c>
      <c r="B3379" s="2" t="s">
        <v>6999</v>
      </c>
      <c r="C3379" s="2" t="s">
        <v>7000</v>
      </c>
      <c r="D3379" s="2"/>
      <c r="E3379" s="2" t="s">
        <v>29</v>
      </c>
      <c r="F3379" s="3" t="n">
        <v>1.9E-005</v>
      </c>
      <c r="G3379" s="3" t="n">
        <f aca="false">SUM($F$2:F3379)</f>
        <v>0.984988</v>
      </c>
      <c r="H3379" s="4"/>
      <c r="I3379" s="5"/>
      <c r="J3379" s="4"/>
      <c r="K3379" s="5"/>
      <c r="L3379" s="6"/>
      <c r="M3379" s="5" t="str">
        <f aca="false">IF(AND(N(K3379)&gt;0,N(L3379)&gt;0),K3379/L3379,"")</f>
        <v/>
      </c>
      <c r="N3379" s="2" t="s">
        <v>1226</v>
      </c>
    </row>
    <row r="3380" customFormat="false" ht="15" hidden="false" customHeight="false" outlineLevel="0" collapsed="false">
      <c r="A3380" s="2" t="n">
        <v>3379</v>
      </c>
      <c r="B3380" s="2" t="s">
        <v>7001</v>
      </c>
      <c r="C3380" s="2" t="s">
        <v>7002</v>
      </c>
      <c r="D3380" s="2"/>
      <c r="E3380" s="2" t="s">
        <v>25</v>
      </c>
      <c r="F3380" s="3" t="n">
        <v>1.9E-005</v>
      </c>
      <c r="G3380" s="3" t="n">
        <f aca="false">SUM($F$2:F3380)</f>
        <v>0.985007</v>
      </c>
      <c r="H3380" s="4"/>
      <c r="I3380" s="5"/>
      <c r="J3380" s="4"/>
      <c r="K3380" s="5"/>
      <c r="L3380" s="6"/>
      <c r="M3380" s="5" t="str">
        <f aca="false">IF(AND(N(K3380)&gt;0,N(L3380)&gt;0),K3380/L3380,"")</f>
        <v/>
      </c>
      <c r="N3380" s="2" t="s">
        <v>1226</v>
      </c>
    </row>
    <row r="3381" customFormat="false" ht="15" hidden="false" customHeight="false" outlineLevel="0" collapsed="false">
      <c r="A3381" s="2" t="n">
        <v>3380</v>
      </c>
      <c r="B3381" s="2" t="s">
        <v>7003</v>
      </c>
      <c r="C3381" s="2" t="s">
        <v>7004</v>
      </c>
      <c r="D3381" s="2"/>
      <c r="E3381" s="2" t="s">
        <v>1345</v>
      </c>
      <c r="F3381" s="3" t="n">
        <v>1.9E-005</v>
      </c>
      <c r="G3381" s="3" t="n">
        <f aca="false">SUM($F$2:F3381)</f>
        <v>0.985026</v>
      </c>
      <c r="H3381" s="4"/>
      <c r="I3381" s="5"/>
      <c r="J3381" s="4"/>
      <c r="K3381" s="5"/>
      <c r="L3381" s="6"/>
      <c r="M3381" s="5" t="str">
        <f aca="false">IF(AND(N(K3381)&gt;0,N(L3381)&gt;0),K3381/L3381,"")</f>
        <v/>
      </c>
      <c r="N3381" s="2" t="s">
        <v>1226</v>
      </c>
    </row>
    <row r="3382" customFormat="false" ht="15" hidden="false" customHeight="false" outlineLevel="0" collapsed="false">
      <c r="A3382" s="2" t="n">
        <v>3381</v>
      </c>
      <c r="B3382" s="2" t="s">
        <v>7005</v>
      </c>
      <c r="C3382" s="2" t="s">
        <v>7006</v>
      </c>
      <c r="D3382" s="2"/>
      <c r="E3382" s="2" t="s">
        <v>1345</v>
      </c>
      <c r="F3382" s="3" t="n">
        <v>1.9E-005</v>
      </c>
      <c r="G3382" s="3" t="n">
        <f aca="false">SUM($F$2:F3382)</f>
        <v>0.985045</v>
      </c>
      <c r="H3382" s="4"/>
      <c r="I3382" s="5"/>
      <c r="J3382" s="4"/>
      <c r="K3382" s="5"/>
      <c r="L3382" s="6"/>
      <c r="M3382" s="5" t="str">
        <f aca="false">IF(AND(N(K3382)&gt;0,N(L3382)&gt;0),K3382/L3382,"")</f>
        <v/>
      </c>
      <c r="N3382" s="2" t="s">
        <v>1226</v>
      </c>
    </row>
    <row r="3383" customFormat="false" ht="15" hidden="false" customHeight="false" outlineLevel="0" collapsed="false">
      <c r="A3383" s="2" t="n">
        <v>3382</v>
      </c>
      <c r="B3383" s="2" t="s">
        <v>7007</v>
      </c>
      <c r="C3383" s="2" t="s">
        <v>7008</v>
      </c>
      <c r="D3383" s="2"/>
      <c r="E3383" s="2" t="s">
        <v>539</v>
      </c>
      <c r="F3383" s="3" t="n">
        <v>1.9E-005</v>
      </c>
      <c r="G3383" s="3" t="n">
        <f aca="false">SUM($F$2:F3383)</f>
        <v>0.985064</v>
      </c>
      <c r="H3383" s="4"/>
      <c r="I3383" s="5"/>
      <c r="J3383" s="4"/>
      <c r="K3383" s="5"/>
      <c r="L3383" s="6"/>
      <c r="M3383" s="5" t="str">
        <f aca="false">IF(AND(N(K3383)&gt;0,N(L3383)&gt;0),K3383/L3383,"")</f>
        <v/>
      </c>
      <c r="N3383" s="2" t="s">
        <v>1226</v>
      </c>
    </row>
    <row r="3384" customFormat="false" ht="15" hidden="false" customHeight="false" outlineLevel="0" collapsed="false">
      <c r="A3384" s="2" t="n">
        <v>3383</v>
      </c>
      <c r="B3384" s="2" t="s">
        <v>7009</v>
      </c>
      <c r="C3384" s="2" t="s">
        <v>7010</v>
      </c>
      <c r="D3384" s="2"/>
      <c r="E3384" s="2" t="s">
        <v>43</v>
      </c>
      <c r="F3384" s="3" t="n">
        <v>1.9E-005</v>
      </c>
      <c r="G3384" s="3" t="n">
        <f aca="false">SUM($F$2:F3384)</f>
        <v>0.985083</v>
      </c>
      <c r="H3384" s="4"/>
      <c r="I3384" s="5"/>
      <c r="J3384" s="4"/>
      <c r="K3384" s="5"/>
      <c r="L3384" s="6"/>
      <c r="M3384" s="5" t="str">
        <f aca="false">IF(AND(N(K3384)&gt;0,N(L3384)&gt;0),K3384/L3384,"")</f>
        <v/>
      </c>
      <c r="N3384" s="2" t="s">
        <v>1226</v>
      </c>
    </row>
    <row r="3385" customFormat="false" ht="15" hidden="false" customHeight="false" outlineLevel="0" collapsed="false">
      <c r="A3385" s="2" t="n">
        <v>3384</v>
      </c>
      <c r="B3385" s="2" t="s">
        <v>7011</v>
      </c>
      <c r="C3385" s="2" t="s">
        <v>7012</v>
      </c>
      <c r="D3385" s="2"/>
      <c r="E3385" s="2" t="s">
        <v>25</v>
      </c>
      <c r="F3385" s="3" t="n">
        <v>1.9E-005</v>
      </c>
      <c r="G3385" s="3" t="n">
        <f aca="false">SUM($F$2:F3385)</f>
        <v>0.985102</v>
      </c>
      <c r="H3385" s="4"/>
      <c r="I3385" s="5"/>
      <c r="J3385" s="4"/>
      <c r="K3385" s="5"/>
      <c r="L3385" s="6"/>
      <c r="M3385" s="5" t="str">
        <f aca="false">IF(AND(N(K3385)&gt;0,N(L3385)&gt;0),K3385/L3385,"")</f>
        <v/>
      </c>
      <c r="N3385" s="2" t="s">
        <v>1226</v>
      </c>
    </row>
    <row r="3386" customFormat="false" ht="15" hidden="false" customHeight="false" outlineLevel="0" collapsed="false">
      <c r="A3386" s="2" t="n">
        <v>3385</v>
      </c>
      <c r="B3386" s="2" t="s">
        <v>7013</v>
      </c>
      <c r="C3386" s="2" t="s">
        <v>7014</v>
      </c>
      <c r="D3386" s="2"/>
      <c r="E3386" s="2" t="s">
        <v>539</v>
      </c>
      <c r="F3386" s="3" t="n">
        <v>1.9E-005</v>
      </c>
      <c r="G3386" s="3" t="n">
        <f aca="false">SUM($F$2:F3386)</f>
        <v>0.985121</v>
      </c>
      <c r="H3386" s="4"/>
      <c r="I3386" s="5"/>
      <c r="J3386" s="4"/>
      <c r="K3386" s="5"/>
      <c r="L3386" s="6"/>
      <c r="M3386" s="5" t="str">
        <f aca="false">IF(AND(N(K3386)&gt;0,N(L3386)&gt;0),K3386/L3386,"")</f>
        <v/>
      </c>
      <c r="N3386" s="2" t="s">
        <v>1226</v>
      </c>
    </row>
    <row r="3387" customFormat="false" ht="15" hidden="false" customHeight="false" outlineLevel="0" collapsed="false">
      <c r="A3387" s="2" t="n">
        <v>3386</v>
      </c>
      <c r="B3387" s="2" t="s">
        <v>7015</v>
      </c>
      <c r="C3387" s="2" t="s">
        <v>7016</v>
      </c>
      <c r="D3387" s="2"/>
      <c r="E3387" s="2" t="s">
        <v>289</v>
      </c>
      <c r="F3387" s="3" t="n">
        <v>1.9E-005</v>
      </c>
      <c r="G3387" s="3" t="n">
        <f aca="false">SUM($F$2:F3387)</f>
        <v>0.98514</v>
      </c>
      <c r="H3387" s="4"/>
      <c r="I3387" s="5"/>
      <c r="J3387" s="4"/>
      <c r="K3387" s="5"/>
      <c r="L3387" s="6"/>
      <c r="M3387" s="5" t="str">
        <f aca="false">IF(AND(N(K3387)&gt;0,N(L3387)&gt;0),K3387/L3387,"")</f>
        <v/>
      </c>
      <c r="N3387" s="2" t="s">
        <v>1226</v>
      </c>
    </row>
    <row r="3388" customFormat="false" ht="15" hidden="false" customHeight="false" outlineLevel="0" collapsed="false">
      <c r="A3388" s="2" t="n">
        <v>3387</v>
      </c>
      <c r="B3388" s="2" t="s">
        <v>7017</v>
      </c>
      <c r="C3388" s="2" t="s">
        <v>7018</v>
      </c>
      <c r="D3388" s="2"/>
      <c r="E3388" s="2" t="s">
        <v>1345</v>
      </c>
      <c r="F3388" s="3" t="n">
        <v>1.9E-005</v>
      </c>
      <c r="G3388" s="3" t="n">
        <f aca="false">SUM($F$2:F3388)</f>
        <v>0.985159</v>
      </c>
      <c r="H3388" s="4"/>
      <c r="I3388" s="5"/>
      <c r="J3388" s="4"/>
      <c r="K3388" s="5"/>
      <c r="L3388" s="6"/>
      <c r="M3388" s="5" t="str">
        <f aca="false">IF(AND(N(K3388)&gt;0,N(L3388)&gt;0),K3388/L3388,"")</f>
        <v/>
      </c>
      <c r="N3388" s="2" t="s">
        <v>1226</v>
      </c>
    </row>
    <row r="3389" customFormat="false" ht="15" hidden="false" customHeight="false" outlineLevel="0" collapsed="false">
      <c r="A3389" s="2" t="n">
        <v>3388</v>
      </c>
      <c r="B3389" s="2" t="s">
        <v>6491</v>
      </c>
      <c r="C3389" s="2" t="s">
        <v>7019</v>
      </c>
      <c r="D3389" s="2"/>
      <c r="E3389" s="2" t="s">
        <v>289</v>
      </c>
      <c r="F3389" s="3" t="n">
        <v>1.9E-005</v>
      </c>
      <c r="G3389" s="3" t="n">
        <f aca="false">SUM($F$2:F3389)</f>
        <v>0.985178</v>
      </c>
      <c r="H3389" s="4"/>
      <c r="I3389" s="5"/>
      <c r="J3389" s="4"/>
      <c r="K3389" s="5"/>
      <c r="L3389" s="6"/>
      <c r="M3389" s="5" t="str">
        <f aca="false">IF(AND(N(K3389)&gt;0,N(L3389)&gt;0),K3389/L3389,"")</f>
        <v/>
      </c>
      <c r="N3389" s="2" t="s">
        <v>1226</v>
      </c>
    </row>
    <row r="3390" customFormat="false" ht="15" hidden="false" customHeight="false" outlineLevel="0" collapsed="false">
      <c r="A3390" s="2" t="n">
        <v>3389</v>
      </c>
      <c r="B3390" s="2" t="s">
        <v>7020</v>
      </c>
      <c r="C3390" s="2" t="s">
        <v>7021</v>
      </c>
      <c r="D3390" s="2"/>
      <c r="E3390" s="2" t="s">
        <v>43</v>
      </c>
      <c r="F3390" s="3" t="n">
        <v>1.9E-005</v>
      </c>
      <c r="G3390" s="3" t="n">
        <f aca="false">SUM($F$2:F3390)</f>
        <v>0.985197</v>
      </c>
      <c r="H3390" s="4"/>
      <c r="I3390" s="5"/>
      <c r="J3390" s="4"/>
      <c r="K3390" s="5"/>
      <c r="L3390" s="6"/>
      <c r="M3390" s="5" t="str">
        <f aca="false">IF(AND(N(K3390)&gt;0,N(L3390)&gt;0),K3390/L3390,"")</f>
        <v/>
      </c>
      <c r="N3390" s="2" t="s">
        <v>1226</v>
      </c>
    </row>
    <row r="3391" customFormat="false" ht="15" hidden="false" customHeight="false" outlineLevel="0" collapsed="false">
      <c r="A3391" s="2" t="n">
        <v>3390</v>
      </c>
      <c r="B3391" s="2" t="s">
        <v>7022</v>
      </c>
      <c r="C3391" s="2" t="s">
        <v>7023</v>
      </c>
      <c r="D3391" s="2"/>
      <c r="E3391" s="2" t="s">
        <v>289</v>
      </c>
      <c r="F3391" s="3" t="n">
        <v>1.9E-005</v>
      </c>
      <c r="G3391" s="3" t="n">
        <f aca="false">SUM($F$2:F3391)</f>
        <v>0.985216</v>
      </c>
      <c r="H3391" s="4"/>
      <c r="I3391" s="5"/>
      <c r="J3391" s="4"/>
      <c r="K3391" s="5"/>
      <c r="L3391" s="6"/>
      <c r="M3391" s="5" t="str">
        <f aca="false">IF(AND(N(K3391)&gt;0,N(L3391)&gt;0),K3391/L3391,"")</f>
        <v/>
      </c>
      <c r="N3391" s="2" t="s">
        <v>1226</v>
      </c>
    </row>
    <row r="3392" customFormat="false" ht="15" hidden="false" customHeight="false" outlineLevel="0" collapsed="false">
      <c r="A3392" s="2" t="n">
        <v>3391</v>
      </c>
      <c r="B3392" s="2" t="s">
        <v>7024</v>
      </c>
      <c r="C3392" s="2" t="s">
        <v>7025</v>
      </c>
      <c r="D3392" s="2"/>
      <c r="E3392" s="2" t="s">
        <v>25</v>
      </c>
      <c r="F3392" s="3" t="n">
        <v>1.9E-005</v>
      </c>
      <c r="G3392" s="3" t="n">
        <f aca="false">SUM($F$2:F3392)</f>
        <v>0.985235</v>
      </c>
      <c r="H3392" s="4"/>
      <c r="I3392" s="5"/>
      <c r="J3392" s="4"/>
      <c r="K3392" s="5"/>
      <c r="L3392" s="6"/>
      <c r="M3392" s="5" t="str">
        <f aca="false">IF(AND(N(K3392)&gt;0,N(L3392)&gt;0),K3392/L3392,"")</f>
        <v/>
      </c>
      <c r="N3392" s="2" t="s">
        <v>1226</v>
      </c>
    </row>
    <row r="3393" customFormat="false" ht="15" hidden="false" customHeight="false" outlineLevel="0" collapsed="false">
      <c r="A3393" s="2" t="n">
        <v>3392</v>
      </c>
      <c r="B3393" s="2" t="s">
        <v>7026</v>
      </c>
      <c r="C3393" s="2" t="s">
        <v>7027</v>
      </c>
      <c r="D3393" s="2"/>
      <c r="E3393" s="2" t="s">
        <v>29</v>
      </c>
      <c r="F3393" s="3" t="n">
        <v>1.9E-005</v>
      </c>
      <c r="G3393" s="3" t="n">
        <f aca="false">SUM($F$2:F3393)</f>
        <v>0.985254</v>
      </c>
      <c r="H3393" s="4"/>
      <c r="I3393" s="5"/>
      <c r="J3393" s="4"/>
      <c r="K3393" s="5"/>
      <c r="L3393" s="6"/>
      <c r="M3393" s="5" t="str">
        <f aca="false">IF(AND(N(K3393)&gt;0,N(L3393)&gt;0),K3393/L3393,"")</f>
        <v/>
      </c>
      <c r="N3393" s="2" t="s">
        <v>1226</v>
      </c>
    </row>
    <row r="3394" customFormat="false" ht="15" hidden="false" customHeight="false" outlineLevel="0" collapsed="false">
      <c r="A3394" s="2" t="n">
        <v>3393</v>
      </c>
      <c r="B3394" s="2" t="s">
        <v>7028</v>
      </c>
      <c r="C3394" s="2" t="s">
        <v>7029</v>
      </c>
      <c r="D3394" s="2"/>
      <c r="E3394" s="2" t="s">
        <v>1345</v>
      </c>
      <c r="F3394" s="3" t="n">
        <v>1.9E-005</v>
      </c>
      <c r="G3394" s="3" t="n">
        <f aca="false">SUM($F$2:F3394)</f>
        <v>0.985273</v>
      </c>
      <c r="H3394" s="4"/>
      <c r="I3394" s="5"/>
      <c r="J3394" s="4"/>
      <c r="K3394" s="5"/>
      <c r="L3394" s="6"/>
      <c r="M3394" s="5" t="str">
        <f aca="false">IF(AND(N(K3394)&gt;0,N(L3394)&gt;0),K3394/L3394,"")</f>
        <v/>
      </c>
      <c r="N3394" s="2" t="s">
        <v>1226</v>
      </c>
    </row>
    <row r="3395" customFormat="false" ht="15" hidden="false" customHeight="false" outlineLevel="0" collapsed="false">
      <c r="A3395" s="2" t="n">
        <v>3394</v>
      </c>
      <c r="B3395" s="2" t="s">
        <v>769</v>
      </c>
      <c r="C3395" s="2" t="s">
        <v>7030</v>
      </c>
      <c r="D3395" s="2"/>
      <c r="E3395" s="2" t="s">
        <v>17</v>
      </c>
      <c r="F3395" s="3" t="n">
        <v>1.9E-005</v>
      </c>
      <c r="G3395" s="3" t="n">
        <f aca="false">SUM($F$2:F3395)</f>
        <v>0.985292</v>
      </c>
      <c r="H3395" s="4"/>
      <c r="I3395" s="5"/>
      <c r="J3395" s="4"/>
      <c r="K3395" s="5"/>
      <c r="L3395" s="6"/>
      <c r="M3395" s="5" t="str">
        <f aca="false">IF(AND(N(K3395)&gt;0,N(L3395)&gt;0),K3395/L3395,"")</f>
        <v/>
      </c>
      <c r="N3395" s="2" t="s">
        <v>1226</v>
      </c>
    </row>
    <row r="3396" customFormat="false" ht="15" hidden="false" customHeight="false" outlineLevel="0" collapsed="false">
      <c r="A3396" s="2" t="n">
        <v>3395</v>
      </c>
      <c r="B3396" s="2" t="s">
        <v>7031</v>
      </c>
      <c r="C3396" s="2" t="s">
        <v>7032</v>
      </c>
      <c r="D3396" s="2"/>
      <c r="E3396" s="2" t="s">
        <v>52</v>
      </c>
      <c r="F3396" s="3" t="n">
        <v>1.9E-005</v>
      </c>
      <c r="G3396" s="3" t="n">
        <f aca="false">SUM($F$2:F3396)</f>
        <v>0.985311</v>
      </c>
      <c r="H3396" s="4"/>
      <c r="I3396" s="5"/>
      <c r="J3396" s="4"/>
      <c r="K3396" s="5"/>
      <c r="L3396" s="6"/>
      <c r="M3396" s="5" t="str">
        <f aca="false">IF(AND(N(K3396)&gt;0,N(L3396)&gt;0),K3396/L3396,"")</f>
        <v/>
      </c>
      <c r="N3396" s="2" t="s">
        <v>1226</v>
      </c>
    </row>
    <row r="3397" customFormat="false" ht="15" hidden="false" customHeight="false" outlineLevel="0" collapsed="false">
      <c r="A3397" s="2" t="n">
        <v>3396</v>
      </c>
      <c r="B3397" s="2" t="s">
        <v>301</v>
      </c>
      <c r="C3397" s="2" t="s">
        <v>7033</v>
      </c>
      <c r="D3397" s="2"/>
      <c r="E3397" s="2" t="s">
        <v>826</v>
      </c>
      <c r="F3397" s="3" t="n">
        <v>1.9E-005</v>
      </c>
      <c r="G3397" s="3" t="n">
        <f aca="false">SUM($F$2:F3397)</f>
        <v>0.98533</v>
      </c>
      <c r="H3397" s="4"/>
      <c r="I3397" s="5"/>
      <c r="J3397" s="4"/>
      <c r="K3397" s="5"/>
      <c r="L3397" s="6"/>
      <c r="M3397" s="5" t="str">
        <f aca="false">IF(AND(N(K3397)&gt;0,N(L3397)&gt;0),K3397/L3397,"")</f>
        <v/>
      </c>
      <c r="N3397" s="2" t="s">
        <v>34</v>
      </c>
    </row>
    <row r="3398" customFormat="false" ht="15" hidden="false" customHeight="false" outlineLevel="0" collapsed="false">
      <c r="A3398" s="2" t="n">
        <v>3397</v>
      </c>
      <c r="B3398" s="2" t="s">
        <v>7034</v>
      </c>
      <c r="C3398" s="2" t="s">
        <v>7035</v>
      </c>
      <c r="D3398" s="2"/>
      <c r="E3398" s="2" t="s">
        <v>199</v>
      </c>
      <c r="F3398" s="3" t="n">
        <v>1.9E-005</v>
      </c>
      <c r="G3398" s="3" t="n">
        <f aca="false">SUM($F$2:F3398)</f>
        <v>0.985349</v>
      </c>
      <c r="H3398" s="4"/>
      <c r="I3398" s="5"/>
      <c r="J3398" s="4"/>
      <c r="K3398" s="5"/>
      <c r="L3398" s="6"/>
      <c r="M3398" s="5" t="str">
        <f aca="false">IF(AND(N(K3398)&gt;0,N(L3398)&gt;0),K3398/L3398,"")</f>
        <v/>
      </c>
      <c r="N3398" s="2" t="s">
        <v>1226</v>
      </c>
    </row>
    <row r="3399" customFormat="false" ht="15" hidden="false" customHeight="false" outlineLevel="0" collapsed="false">
      <c r="A3399" s="2" t="n">
        <v>3398</v>
      </c>
      <c r="B3399" s="2" t="s">
        <v>7036</v>
      </c>
      <c r="C3399" s="2" t="s">
        <v>7037</v>
      </c>
      <c r="D3399" s="2"/>
      <c r="E3399" s="2" t="s">
        <v>289</v>
      </c>
      <c r="F3399" s="3" t="n">
        <v>1.9E-005</v>
      </c>
      <c r="G3399" s="3" t="n">
        <f aca="false">SUM($F$2:F3399)</f>
        <v>0.985368</v>
      </c>
      <c r="H3399" s="4"/>
      <c r="I3399" s="5"/>
      <c r="J3399" s="4"/>
      <c r="K3399" s="5"/>
      <c r="L3399" s="6"/>
      <c r="M3399" s="5" t="str">
        <f aca="false">IF(AND(N(K3399)&gt;0,N(L3399)&gt;0),K3399/L3399,"")</f>
        <v/>
      </c>
      <c r="N3399" s="2" t="s">
        <v>1226</v>
      </c>
    </row>
    <row r="3400" customFormat="false" ht="15" hidden="false" customHeight="false" outlineLevel="0" collapsed="false">
      <c r="A3400" s="2" t="n">
        <v>3399</v>
      </c>
      <c r="B3400" s="2" t="s">
        <v>7038</v>
      </c>
      <c r="C3400" s="2" t="s">
        <v>7039</v>
      </c>
      <c r="D3400" s="2"/>
      <c r="E3400" s="2" t="s">
        <v>1295</v>
      </c>
      <c r="F3400" s="3" t="n">
        <v>1.9E-005</v>
      </c>
      <c r="G3400" s="3" t="n">
        <f aca="false">SUM($F$2:F3400)</f>
        <v>0.985387</v>
      </c>
      <c r="H3400" s="4"/>
      <c r="I3400" s="5"/>
      <c r="J3400" s="4"/>
      <c r="K3400" s="5"/>
      <c r="L3400" s="6"/>
      <c r="M3400" s="5" t="str">
        <f aca="false">IF(AND(N(K3400)&gt;0,N(L3400)&gt;0),K3400/L3400,"")</f>
        <v/>
      </c>
      <c r="N3400" s="2" t="s">
        <v>1226</v>
      </c>
    </row>
    <row r="3401" customFormat="false" ht="15" hidden="false" customHeight="false" outlineLevel="0" collapsed="false">
      <c r="A3401" s="2" t="n">
        <v>3400</v>
      </c>
      <c r="B3401" s="2" t="s">
        <v>7040</v>
      </c>
      <c r="C3401" s="2" t="s">
        <v>7041</v>
      </c>
      <c r="D3401" s="2"/>
      <c r="E3401" s="2" t="s">
        <v>1345</v>
      </c>
      <c r="F3401" s="3" t="n">
        <v>1.9E-005</v>
      </c>
      <c r="G3401" s="3" t="n">
        <f aca="false">SUM($F$2:F3401)</f>
        <v>0.985406</v>
      </c>
      <c r="H3401" s="4"/>
      <c r="I3401" s="5"/>
      <c r="J3401" s="4"/>
      <c r="K3401" s="5"/>
      <c r="L3401" s="6"/>
      <c r="M3401" s="5" t="str">
        <f aca="false">IF(AND(N(K3401)&gt;0,N(L3401)&gt;0),K3401/L3401,"")</f>
        <v/>
      </c>
      <c r="N3401" s="2" t="s">
        <v>1226</v>
      </c>
    </row>
    <row r="3402" customFormat="false" ht="15" hidden="false" customHeight="false" outlineLevel="0" collapsed="false">
      <c r="A3402" s="2" t="n">
        <v>3401</v>
      </c>
      <c r="B3402" s="2" t="s">
        <v>7042</v>
      </c>
      <c r="C3402" s="2" t="s">
        <v>7043</v>
      </c>
      <c r="D3402" s="2"/>
      <c r="E3402" s="2" t="s">
        <v>1345</v>
      </c>
      <c r="F3402" s="3" t="n">
        <v>1.9E-005</v>
      </c>
      <c r="G3402" s="3" t="n">
        <f aca="false">SUM($F$2:F3402)</f>
        <v>0.985425</v>
      </c>
      <c r="H3402" s="4"/>
      <c r="I3402" s="5"/>
      <c r="J3402" s="4"/>
      <c r="K3402" s="5"/>
      <c r="L3402" s="6"/>
      <c r="M3402" s="5" t="str">
        <f aca="false">IF(AND(N(K3402)&gt;0,N(L3402)&gt;0),K3402/L3402,"")</f>
        <v/>
      </c>
      <c r="N3402" s="2" t="s">
        <v>1226</v>
      </c>
    </row>
    <row r="3403" customFormat="false" ht="15" hidden="false" customHeight="false" outlineLevel="0" collapsed="false">
      <c r="A3403" s="2" t="n">
        <v>3402</v>
      </c>
      <c r="B3403" s="2" t="s">
        <v>7044</v>
      </c>
      <c r="C3403" s="2" t="s">
        <v>7045</v>
      </c>
      <c r="D3403" s="2"/>
      <c r="E3403" s="2" t="s">
        <v>1215</v>
      </c>
      <c r="F3403" s="3" t="n">
        <v>1.9E-005</v>
      </c>
      <c r="G3403" s="3" t="n">
        <f aca="false">SUM($F$2:F3403)</f>
        <v>0.985444</v>
      </c>
      <c r="H3403" s="4"/>
      <c r="I3403" s="5"/>
      <c r="J3403" s="4"/>
      <c r="K3403" s="5"/>
      <c r="L3403" s="6"/>
      <c r="M3403" s="5" t="str">
        <f aca="false">IF(AND(N(K3403)&gt;0,N(L3403)&gt;0),K3403/L3403,"")</f>
        <v/>
      </c>
      <c r="N3403" s="2" t="s">
        <v>1226</v>
      </c>
    </row>
    <row r="3404" customFormat="false" ht="15" hidden="false" customHeight="false" outlineLevel="0" collapsed="false">
      <c r="A3404" s="2" t="n">
        <v>3403</v>
      </c>
      <c r="B3404" s="2" t="s">
        <v>7046</v>
      </c>
      <c r="C3404" s="2" t="s">
        <v>7047</v>
      </c>
      <c r="D3404" s="2"/>
      <c r="E3404" s="2" t="s">
        <v>289</v>
      </c>
      <c r="F3404" s="3" t="n">
        <v>1.9E-005</v>
      </c>
      <c r="G3404" s="3" t="n">
        <f aca="false">SUM($F$2:F3404)</f>
        <v>0.985463</v>
      </c>
      <c r="H3404" s="4"/>
      <c r="I3404" s="5"/>
      <c r="J3404" s="4"/>
      <c r="K3404" s="5"/>
      <c r="L3404" s="6"/>
      <c r="M3404" s="5" t="str">
        <f aca="false">IF(AND(N(K3404)&gt;0,N(L3404)&gt;0),K3404/L3404,"")</f>
        <v/>
      </c>
      <c r="N3404" s="2" t="s">
        <v>1226</v>
      </c>
    </row>
    <row r="3405" customFormat="false" ht="15" hidden="false" customHeight="false" outlineLevel="0" collapsed="false">
      <c r="A3405" s="2" t="n">
        <v>3404</v>
      </c>
      <c r="B3405" s="2" t="s">
        <v>7048</v>
      </c>
      <c r="C3405" s="2" t="s">
        <v>7049</v>
      </c>
      <c r="D3405" s="2"/>
      <c r="E3405" s="2" t="s">
        <v>52</v>
      </c>
      <c r="F3405" s="3" t="n">
        <v>1.9E-005</v>
      </c>
      <c r="G3405" s="3" t="n">
        <f aca="false">SUM($F$2:F3405)</f>
        <v>0.985482</v>
      </c>
      <c r="H3405" s="4"/>
      <c r="I3405" s="5"/>
      <c r="J3405" s="4"/>
      <c r="K3405" s="5"/>
      <c r="L3405" s="6"/>
      <c r="M3405" s="5" t="str">
        <f aca="false">IF(AND(N(K3405)&gt;0,N(L3405)&gt;0),K3405/L3405,"")</f>
        <v/>
      </c>
      <c r="N3405" s="2" t="s">
        <v>1226</v>
      </c>
    </row>
    <row r="3406" customFormat="false" ht="15" hidden="false" customHeight="false" outlineLevel="0" collapsed="false">
      <c r="A3406" s="2" t="n">
        <v>3405</v>
      </c>
      <c r="B3406" s="2" t="s">
        <v>7050</v>
      </c>
      <c r="C3406" s="2" t="s">
        <v>7051</v>
      </c>
      <c r="D3406" s="2"/>
      <c r="E3406" s="2" t="s">
        <v>700</v>
      </c>
      <c r="F3406" s="3" t="n">
        <v>1.9E-005</v>
      </c>
      <c r="G3406" s="3" t="n">
        <f aca="false">SUM($F$2:F3406)</f>
        <v>0.985501</v>
      </c>
      <c r="H3406" s="4"/>
      <c r="I3406" s="5"/>
      <c r="J3406" s="4"/>
      <c r="K3406" s="5"/>
      <c r="L3406" s="6"/>
      <c r="M3406" s="5" t="str">
        <f aca="false">IF(AND(N(K3406)&gt;0,N(L3406)&gt;0),K3406/L3406,"")</f>
        <v/>
      </c>
      <c r="N3406" s="2" t="s">
        <v>1226</v>
      </c>
    </row>
    <row r="3407" customFormat="false" ht="15" hidden="false" customHeight="false" outlineLevel="0" collapsed="false">
      <c r="A3407" s="2" t="n">
        <v>3406</v>
      </c>
      <c r="B3407" s="2" t="s">
        <v>7052</v>
      </c>
      <c r="C3407" s="2" t="s">
        <v>7053</v>
      </c>
      <c r="D3407" s="2"/>
      <c r="E3407" s="2" t="s">
        <v>296</v>
      </c>
      <c r="F3407" s="3" t="n">
        <v>1.9E-005</v>
      </c>
      <c r="G3407" s="3" t="n">
        <f aca="false">SUM($F$2:F3407)</f>
        <v>0.98552</v>
      </c>
      <c r="H3407" s="4"/>
      <c r="I3407" s="5"/>
      <c r="J3407" s="4"/>
      <c r="K3407" s="5"/>
      <c r="L3407" s="6"/>
      <c r="M3407" s="5" t="str">
        <f aca="false">IF(AND(N(K3407)&gt;0,N(L3407)&gt;0),K3407/L3407,"")</f>
        <v/>
      </c>
      <c r="N3407" s="2" t="s">
        <v>1226</v>
      </c>
    </row>
    <row r="3408" customFormat="false" ht="15" hidden="false" customHeight="false" outlineLevel="0" collapsed="false">
      <c r="A3408" s="2" t="n">
        <v>3407</v>
      </c>
      <c r="B3408" s="2" t="s">
        <v>7054</v>
      </c>
      <c r="C3408" s="2" t="s">
        <v>7055</v>
      </c>
      <c r="D3408" s="2"/>
      <c r="E3408" s="2" t="s">
        <v>334</v>
      </c>
      <c r="F3408" s="3" t="n">
        <v>1.9E-005</v>
      </c>
      <c r="G3408" s="3" t="n">
        <f aca="false">SUM($F$2:F3408)</f>
        <v>0.985539</v>
      </c>
      <c r="H3408" s="4"/>
      <c r="I3408" s="5"/>
      <c r="J3408" s="4"/>
      <c r="K3408" s="5"/>
      <c r="L3408" s="6"/>
      <c r="M3408" s="5" t="str">
        <f aca="false">IF(AND(N(K3408)&gt;0,N(L3408)&gt;0),K3408/L3408,"")</f>
        <v/>
      </c>
      <c r="N3408" s="2" t="s">
        <v>1226</v>
      </c>
    </row>
    <row r="3409" customFormat="false" ht="15" hidden="false" customHeight="false" outlineLevel="0" collapsed="false">
      <c r="A3409" s="2" t="n">
        <v>3408</v>
      </c>
      <c r="B3409" s="2" t="s">
        <v>7056</v>
      </c>
      <c r="C3409" s="2" t="s">
        <v>7057</v>
      </c>
      <c r="D3409" s="2"/>
      <c r="E3409" s="2" t="s">
        <v>2264</v>
      </c>
      <c r="F3409" s="3" t="n">
        <v>1.9E-005</v>
      </c>
      <c r="G3409" s="3" t="n">
        <f aca="false">SUM($F$2:F3409)</f>
        <v>0.985558</v>
      </c>
      <c r="H3409" s="4"/>
      <c r="I3409" s="5"/>
      <c r="J3409" s="4"/>
      <c r="K3409" s="5"/>
      <c r="L3409" s="6"/>
      <c r="M3409" s="5" t="str">
        <f aca="false">IF(AND(N(K3409)&gt;0,N(L3409)&gt;0),K3409/L3409,"")</f>
        <v/>
      </c>
      <c r="N3409" s="2" t="s">
        <v>1226</v>
      </c>
    </row>
    <row r="3410" customFormat="false" ht="15" hidden="false" customHeight="false" outlineLevel="0" collapsed="false">
      <c r="A3410" s="2" t="n">
        <v>3409</v>
      </c>
      <c r="B3410" s="2" t="s">
        <v>7058</v>
      </c>
      <c r="C3410" s="2" t="s">
        <v>7059</v>
      </c>
      <c r="D3410" s="2"/>
      <c r="E3410" s="2" t="s">
        <v>21</v>
      </c>
      <c r="F3410" s="3" t="n">
        <v>1.9E-005</v>
      </c>
      <c r="G3410" s="3" t="n">
        <f aca="false">SUM($F$2:F3410)</f>
        <v>0.985577</v>
      </c>
      <c r="H3410" s="4"/>
      <c r="I3410" s="5"/>
      <c r="J3410" s="4"/>
      <c r="K3410" s="5"/>
      <c r="L3410" s="6"/>
      <c r="M3410" s="5" t="str">
        <f aca="false">IF(AND(N(K3410)&gt;0,N(L3410)&gt;0),K3410/L3410,"")</f>
        <v/>
      </c>
      <c r="N3410" s="2" t="s">
        <v>1226</v>
      </c>
    </row>
    <row r="3411" customFormat="false" ht="15" hidden="false" customHeight="false" outlineLevel="0" collapsed="false">
      <c r="A3411" s="2" t="n">
        <v>3410</v>
      </c>
      <c r="B3411" s="2" t="s">
        <v>7060</v>
      </c>
      <c r="C3411" s="2" t="s">
        <v>7061</v>
      </c>
      <c r="D3411" s="2"/>
      <c r="E3411" s="2" t="s">
        <v>2055</v>
      </c>
      <c r="F3411" s="3" t="n">
        <v>1.9E-005</v>
      </c>
      <c r="G3411" s="3" t="n">
        <f aca="false">SUM($F$2:F3411)</f>
        <v>0.985596</v>
      </c>
      <c r="H3411" s="4"/>
      <c r="I3411" s="5"/>
      <c r="J3411" s="4"/>
      <c r="K3411" s="5"/>
      <c r="L3411" s="6"/>
      <c r="M3411" s="5" t="str">
        <f aca="false">IF(AND(N(K3411)&gt;0,N(L3411)&gt;0),K3411/L3411,"")</f>
        <v/>
      </c>
      <c r="N3411" s="2" t="s">
        <v>1226</v>
      </c>
    </row>
    <row r="3412" customFormat="false" ht="15" hidden="false" customHeight="false" outlineLevel="0" collapsed="false">
      <c r="A3412" s="2" t="n">
        <v>3411</v>
      </c>
      <c r="B3412" s="2" t="s">
        <v>7062</v>
      </c>
      <c r="C3412" s="2" t="s">
        <v>7063</v>
      </c>
      <c r="D3412" s="2"/>
      <c r="E3412" s="2" t="s">
        <v>289</v>
      </c>
      <c r="F3412" s="3" t="n">
        <v>1.9E-005</v>
      </c>
      <c r="G3412" s="3" t="n">
        <f aca="false">SUM($F$2:F3412)</f>
        <v>0.985615</v>
      </c>
      <c r="H3412" s="4"/>
      <c r="I3412" s="5"/>
      <c r="J3412" s="4"/>
      <c r="K3412" s="5"/>
      <c r="L3412" s="6"/>
      <c r="M3412" s="5" t="str">
        <f aca="false">IF(AND(N(K3412)&gt;0,N(L3412)&gt;0),K3412/L3412,"")</f>
        <v/>
      </c>
      <c r="N3412" s="2" t="s">
        <v>1226</v>
      </c>
    </row>
    <row r="3413" customFormat="false" ht="15" hidden="false" customHeight="false" outlineLevel="0" collapsed="false">
      <c r="A3413" s="2" t="n">
        <v>3412</v>
      </c>
      <c r="B3413" s="2" t="s">
        <v>7064</v>
      </c>
      <c r="C3413" s="2" t="s">
        <v>7065</v>
      </c>
      <c r="D3413" s="2"/>
      <c r="E3413" s="2" t="s">
        <v>1345</v>
      </c>
      <c r="F3413" s="3" t="n">
        <v>1.9E-005</v>
      </c>
      <c r="G3413" s="3" t="n">
        <f aca="false">SUM($F$2:F3413)</f>
        <v>0.985634</v>
      </c>
      <c r="H3413" s="4"/>
      <c r="I3413" s="5"/>
      <c r="J3413" s="4"/>
      <c r="K3413" s="5"/>
      <c r="L3413" s="6"/>
      <c r="M3413" s="5" t="str">
        <f aca="false">IF(AND(N(K3413)&gt;0,N(L3413)&gt;0),K3413/L3413,"")</f>
        <v/>
      </c>
      <c r="N3413" s="2" t="s">
        <v>1226</v>
      </c>
    </row>
    <row r="3414" customFormat="false" ht="15" hidden="false" customHeight="false" outlineLevel="0" collapsed="false">
      <c r="A3414" s="2" t="n">
        <v>3413</v>
      </c>
      <c r="B3414" s="2" t="s">
        <v>7066</v>
      </c>
      <c r="C3414" s="2" t="s">
        <v>7067</v>
      </c>
      <c r="D3414" s="2"/>
      <c r="E3414" s="2" t="s">
        <v>38</v>
      </c>
      <c r="F3414" s="3" t="n">
        <v>1.9E-005</v>
      </c>
      <c r="G3414" s="3" t="n">
        <f aca="false">SUM($F$2:F3414)</f>
        <v>0.985653</v>
      </c>
      <c r="H3414" s="4"/>
      <c r="I3414" s="5"/>
      <c r="J3414" s="4"/>
      <c r="K3414" s="5"/>
      <c r="L3414" s="6"/>
      <c r="M3414" s="5" t="str">
        <f aca="false">IF(AND(N(K3414)&gt;0,N(L3414)&gt;0),K3414/L3414,"")</f>
        <v/>
      </c>
      <c r="N3414" s="2" t="s">
        <v>1226</v>
      </c>
    </row>
    <row r="3415" customFormat="false" ht="15" hidden="false" customHeight="false" outlineLevel="0" collapsed="false">
      <c r="A3415" s="2" t="n">
        <v>3414</v>
      </c>
      <c r="B3415" s="2" t="s">
        <v>7068</v>
      </c>
      <c r="C3415" s="2" t="s">
        <v>7069</v>
      </c>
      <c r="D3415" s="2"/>
      <c r="E3415" s="2" t="s">
        <v>1345</v>
      </c>
      <c r="F3415" s="3" t="n">
        <v>1.9E-005</v>
      </c>
      <c r="G3415" s="3" t="n">
        <f aca="false">SUM($F$2:F3415)</f>
        <v>0.985672</v>
      </c>
      <c r="H3415" s="4"/>
      <c r="I3415" s="5"/>
      <c r="J3415" s="4"/>
      <c r="K3415" s="5"/>
      <c r="L3415" s="6"/>
      <c r="M3415" s="5" t="str">
        <f aca="false">IF(AND(N(K3415)&gt;0,N(L3415)&gt;0),K3415/L3415,"")</f>
        <v/>
      </c>
      <c r="N3415" s="2" t="s">
        <v>1226</v>
      </c>
    </row>
    <row r="3416" customFormat="false" ht="15" hidden="false" customHeight="false" outlineLevel="0" collapsed="false">
      <c r="A3416" s="2" t="n">
        <v>3415</v>
      </c>
      <c r="B3416" s="2" t="s">
        <v>7070</v>
      </c>
      <c r="C3416" s="2" t="s">
        <v>7071</v>
      </c>
      <c r="D3416" s="2"/>
      <c r="E3416" s="2" t="s">
        <v>289</v>
      </c>
      <c r="F3416" s="3" t="n">
        <v>1.8E-005</v>
      </c>
      <c r="G3416" s="3" t="n">
        <f aca="false">SUM($F$2:F3416)</f>
        <v>0.98569</v>
      </c>
      <c r="H3416" s="4"/>
      <c r="I3416" s="5"/>
      <c r="J3416" s="4"/>
      <c r="K3416" s="5"/>
      <c r="L3416" s="6"/>
      <c r="M3416" s="5" t="str">
        <f aca="false">IF(AND(N(K3416)&gt;0,N(L3416)&gt;0),K3416/L3416,"")</f>
        <v/>
      </c>
      <c r="N3416" s="2" t="s">
        <v>1226</v>
      </c>
    </row>
    <row r="3417" customFormat="false" ht="15" hidden="false" customHeight="false" outlineLevel="0" collapsed="false">
      <c r="A3417" s="2" t="n">
        <v>3416</v>
      </c>
      <c r="B3417" s="2" t="s">
        <v>7072</v>
      </c>
      <c r="C3417" s="2" t="s">
        <v>7073</v>
      </c>
      <c r="D3417" s="2"/>
      <c r="E3417" s="2" t="s">
        <v>1345</v>
      </c>
      <c r="F3417" s="3" t="n">
        <v>1.8E-005</v>
      </c>
      <c r="G3417" s="3" t="n">
        <f aca="false">SUM($F$2:F3417)</f>
        <v>0.985708</v>
      </c>
      <c r="H3417" s="4"/>
      <c r="I3417" s="5"/>
      <c r="J3417" s="4"/>
      <c r="K3417" s="5"/>
      <c r="L3417" s="6"/>
      <c r="M3417" s="5" t="str">
        <f aca="false">IF(AND(N(K3417)&gt;0,N(L3417)&gt;0),K3417/L3417,"")</f>
        <v/>
      </c>
      <c r="N3417" s="2" t="s">
        <v>1226</v>
      </c>
    </row>
    <row r="3418" customFormat="false" ht="15" hidden="false" customHeight="false" outlineLevel="0" collapsed="false">
      <c r="A3418" s="2" t="n">
        <v>3417</v>
      </c>
      <c r="B3418" s="2" t="s">
        <v>7074</v>
      </c>
      <c r="C3418" s="2" t="s">
        <v>7075</v>
      </c>
      <c r="D3418" s="2"/>
      <c r="E3418" s="2" t="s">
        <v>1345</v>
      </c>
      <c r="F3418" s="3" t="n">
        <v>1.8E-005</v>
      </c>
      <c r="G3418" s="3" t="n">
        <f aca="false">SUM($F$2:F3418)</f>
        <v>0.985726</v>
      </c>
      <c r="H3418" s="4"/>
      <c r="I3418" s="5"/>
      <c r="J3418" s="4"/>
      <c r="K3418" s="5"/>
      <c r="L3418" s="6"/>
      <c r="M3418" s="5" t="str">
        <f aca="false">IF(AND(N(K3418)&gt;0,N(L3418)&gt;0),K3418/L3418,"")</f>
        <v/>
      </c>
      <c r="N3418" s="2" t="s">
        <v>1226</v>
      </c>
    </row>
    <row r="3419" customFormat="false" ht="15" hidden="false" customHeight="false" outlineLevel="0" collapsed="false">
      <c r="A3419" s="2" t="n">
        <v>3418</v>
      </c>
      <c r="B3419" s="2" t="s">
        <v>7076</v>
      </c>
      <c r="C3419" s="2" t="s">
        <v>7077</v>
      </c>
      <c r="D3419" s="2"/>
      <c r="E3419" s="2" t="s">
        <v>82</v>
      </c>
      <c r="F3419" s="3" t="n">
        <v>1.8E-005</v>
      </c>
      <c r="G3419" s="3" t="n">
        <f aca="false">SUM($F$2:F3419)</f>
        <v>0.985744</v>
      </c>
      <c r="H3419" s="4"/>
      <c r="I3419" s="5"/>
      <c r="J3419" s="4"/>
      <c r="K3419" s="5"/>
      <c r="L3419" s="6"/>
      <c r="M3419" s="5" t="str">
        <f aca="false">IF(AND(N(K3419)&gt;0,N(L3419)&gt;0),K3419/L3419,"")</f>
        <v/>
      </c>
      <c r="N3419" s="2" t="s">
        <v>1226</v>
      </c>
    </row>
    <row r="3420" customFormat="false" ht="15" hidden="false" customHeight="false" outlineLevel="0" collapsed="false">
      <c r="A3420" s="2" t="n">
        <v>3419</v>
      </c>
      <c r="B3420" s="2" t="s">
        <v>7078</v>
      </c>
      <c r="C3420" s="2" t="s">
        <v>7079</v>
      </c>
      <c r="D3420" s="2"/>
      <c r="E3420" s="2" t="s">
        <v>25</v>
      </c>
      <c r="F3420" s="3" t="n">
        <v>1.8E-005</v>
      </c>
      <c r="G3420" s="3" t="n">
        <f aca="false">SUM($F$2:F3420)</f>
        <v>0.985762</v>
      </c>
      <c r="H3420" s="4"/>
      <c r="I3420" s="5"/>
      <c r="J3420" s="4"/>
      <c r="K3420" s="5"/>
      <c r="L3420" s="6"/>
      <c r="M3420" s="5" t="str">
        <f aca="false">IF(AND(N(K3420)&gt;0,N(L3420)&gt;0),K3420/L3420,"")</f>
        <v/>
      </c>
      <c r="N3420" s="2" t="s">
        <v>1226</v>
      </c>
    </row>
    <row r="3421" customFormat="false" ht="15" hidden="false" customHeight="false" outlineLevel="0" collapsed="false">
      <c r="A3421" s="2" t="n">
        <v>3420</v>
      </c>
      <c r="B3421" s="2" t="s">
        <v>7080</v>
      </c>
      <c r="C3421" s="2" t="s">
        <v>7081</v>
      </c>
      <c r="D3421" s="2"/>
      <c r="E3421" s="2" t="s">
        <v>1345</v>
      </c>
      <c r="F3421" s="3" t="n">
        <v>1.8E-005</v>
      </c>
      <c r="G3421" s="3" t="n">
        <f aca="false">SUM($F$2:F3421)</f>
        <v>0.98578</v>
      </c>
      <c r="H3421" s="4"/>
      <c r="I3421" s="5"/>
      <c r="J3421" s="4"/>
      <c r="K3421" s="5"/>
      <c r="L3421" s="6"/>
      <c r="M3421" s="5" t="str">
        <f aca="false">IF(AND(N(K3421)&gt;0,N(L3421)&gt;0),K3421/L3421,"")</f>
        <v/>
      </c>
      <c r="N3421" s="2" t="s">
        <v>1226</v>
      </c>
    </row>
    <row r="3422" customFormat="false" ht="15" hidden="false" customHeight="false" outlineLevel="0" collapsed="false">
      <c r="A3422" s="2" t="n">
        <v>3421</v>
      </c>
      <c r="B3422" s="2" t="s">
        <v>7082</v>
      </c>
      <c r="C3422" s="2" t="s">
        <v>7083</v>
      </c>
      <c r="D3422" s="2"/>
      <c r="E3422" s="2" t="s">
        <v>1215</v>
      </c>
      <c r="F3422" s="3" t="n">
        <v>1.8E-005</v>
      </c>
      <c r="G3422" s="3" t="n">
        <f aca="false">SUM($F$2:F3422)</f>
        <v>0.985798</v>
      </c>
      <c r="H3422" s="4"/>
      <c r="I3422" s="5"/>
      <c r="J3422" s="4"/>
      <c r="K3422" s="5"/>
      <c r="L3422" s="6"/>
      <c r="M3422" s="5" t="str">
        <f aca="false">IF(AND(N(K3422)&gt;0,N(L3422)&gt;0),K3422/L3422,"")</f>
        <v/>
      </c>
      <c r="N3422" s="2" t="s">
        <v>1226</v>
      </c>
    </row>
    <row r="3423" customFormat="false" ht="15" hidden="false" customHeight="false" outlineLevel="0" collapsed="false">
      <c r="A3423" s="2" t="n">
        <v>3422</v>
      </c>
      <c r="B3423" s="2" t="s">
        <v>7084</v>
      </c>
      <c r="C3423" s="2" t="s">
        <v>7085</v>
      </c>
      <c r="D3423" s="2"/>
      <c r="E3423" s="2" t="s">
        <v>17</v>
      </c>
      <c r="F3423" s="3" t="n">
        <v>1.8E-005</v>
      </c>
      <c r="G3423" s="3" t="n">
        <f aca="false">SUM($F$2:F3423)</f>
        <v>0.985816</v>
      </c>
      <c r="H3423" s="4"/>
      <c r="I3423" s="5"/>
      <c r="J3423" s="4"/>
      <c r="K3423" s="5"/>
      <c r="L3423" s="6"/>
      <c r="M3423" s="5" t="str">
        <f aca="false">IF(AND(N(K3423)&gt;0,N(L3423)&gt;0),K3423/L3423,"")</f>
        <v/>
      </c>
      <c r="N3423" s="2" t="s">
        <v>1226</v>
      </c>
    </row>
    <row r="3424" customFormat="false" ht="15" hidden="false" customHeight="false" outlineLevel="0" collapsed="false">
      <c r="A3424" s="2" t="n">
        <v>3423</v>
      </c>
      <c r="B3424" s="2" t="s">
        <v>7086</v>
      </c>
      <c r="C3424" s="2" t="s">
        <v>7087</v>
      </c>
      <c r="D3424" s="2"/>
      <c r="E3424" s="2" t="s">
        <v>52</v>
      </c>
      <c r="F3424" s="3" t="n">
        <v>1.8E-005</v>
      </c>
      <c r="G3424" s="3" t="n">
        <f aca="false">SUM($F$2:F3424)</f>
        <v>0.985834</v>
      </c>
      <c r="H3424" s="4"/>
      <c r="I3424" s="5"/>
      <c r="J3424" s="4"/>
      <c r="K3424" s="5"/>
      <c r="L3424" s="6"/>
      <c r="M3424" s="5" t="str">
        <f aca="false">IF(AND(N(K3424)&gt;0,N(L3424)&gt;0),K3424/L3424,"")</f>
        <v/>
      </c>
      <c r="N3424" s="2" t="s">
        <v>1226</v>
      </c>
    </row>
    <row r="3425" customFormat="false" ht="15" hidden="false" customHeight="false" outlineLevel="0" collapsed="false">
      <c r="A3425" s="2" t="n">
        <v>3424</v>
      </c>
      <c r="B3425" s="2" t="s">
        <v>7088</v>
      </c>
      <c r="C3425" s="2" t="s">
        <v>7089</v>
      </c>
      <c r="D3425" s="2"/>
      <c r="E3425" s="2" t="s">
        <v>43</v>
      </c>
      <c r="F3425" s="3" t="n">
        <v>1.8E-005</v>
      </c>
      <c r="G3425" s="3" t="n">
        <f aca="false">SUM($F$2:F3425)</f>
        <v>0.985852</v>
      </c>
      <c r="H3425" s="4"/>
      <c r="I3425" s="5"/>
      <c r="J3425" s="4"/>
      <c r="K3425" s="5"/>
      <c r="L3425" s="6"/>
      <c r="M3425" s="5" t="str">
        <f aca="false">IF(AND(N(K3425)&gt;0,N(L3425)&gt;0),K3425/L3425,"")</f>
        <v/>
      </c>
      <c r="N3425" s="2" t="s">
        <v>1226</v>
      </c>
    </row>
    <row r="3426" customFormat="false" ht="15" hidden="false" customHeight="false" outlineLevel="0" collapsed="false">
      <c r="A3426" s="2" t="n">
        <v>3425</v>
      </c>
      <c r="B3426" s="2" t="s">
        <v>7090</v>
      </c>
      <c r="C3426" s="2" t="s">
        <v>7091</v>
      </c>
      <c r="D3426" s="2"/>
      <c r="E3426" s="2" t="s">
        <v>43</v>
      </c>
      <c r="F3426" s="3" t="n">
        <v>1.8E-005</v>
      </c>
      <c r="G3426" s="3" t="n">
        <f aca="false">SUM($F$2:F3426)</f>
        <v>0.98587</v>
      </c>
      <c r="H3426" s="4"/>
      <c r="I3426" s="5"/>
      <c r="J3426" s="4"/>
      <c r="K3426" s="5"/>
      <c r="L3426" s="6"/>
      <c r="M3426" s="5" t="str">
        <f aca="false">IF(AND(N(K3426)&gt;0,N(L3426)&gt;0),K3426/L3426,"")</f>
        <v/>
      </c>
      <c r="N3426" s="2" t="s">
        <v>1226</v>
      </c>
    </row>
    <row r="3427" customFormat="false" ht="15" hidden="false" customHeight="false" outlineLevel="0" collapsed="false">
      <c r="A3427" s="2" t="n">
        <v>3426</v>
      </c>
      <c r="B3427" s="2" t="s">
        <v>7092</v>
      </c>
      <c r="C3427" s="2" t="s">
        <v>7093</v>
      </c>
      <c r="D3427" s="2"/>
      <c r="E3427" s="2" t="s">
        <v>43</v>
      </c>
      <c r="F3427" s="3" t="n">
        <v>1.8E-005</v>
      </c>
      <c r="G3427" s="3" t="n">
        <f aca="false">SUM($F$2:F3427)</f>
        <v>0.985888</v>
      </c>
      <c r="H3427" s="4"/>
      <c r="I3427" s="5"/>
      <c r="J3427" s="4"/>
      <c r="K3427" s="5"/>
      <c r="L3427" s="6"/>
      <c r="M3427" s="5" t="str">
        <f aca="false">IF(AND(N(K3427)&gt;0,N(L3427)&gt;0),K3427/L3427,"")</f>
        <v/>
      </c>
      <c r="N3427" s="2" t="s">
        <v>1226</v>
      </c>
    </row>
    <row r="3428" customFormat="false" ht="15" hidden="false" customHeight="false" outlineLevel="0" collapsed="false">
      <c r="A3428" s="2" t="n">
        <v>3427</v>
      </c>
      <c r="B3428" s="2" t="s">
        <v>7094</v>
      </c>
      <c r="C3428" s="2" t="s">
        <v>7095</v>
      </c>
      <c r="D3428" s="2"/>
      <c r="E3428" s="2" t="s">
        <v>43</v>
      </c>
      <c r="F3428" s="3" t="n">
        <v>1.8E-005</v>
      </c>
      <c r="G3428" s="3" t="n">
        <f aca="false">SUM($F$2:F3428)</f>
        <v>0.985906</v>
      </c>
      <c r="H3428" s="4"/>
      <c r="I3428" s="5"/>
      <c r="J3428" s="4"/>
      <c r="K3428" s="5"/>
      <c r="L3428" s="6"/>
      <c r="M3428" s="5" t="str">
        <f aca="false">IF(AND(N(K3428)&gt;0,N(L3428)&gt;0),K3428/L3428,"")</f>
        <v/>
      </c>
      <c r="N3428" s="2" t="s">
        <v>1226</v>
      </c>
    </row>
    <row r="3429" customFormat="false" ht="15" hidden="false" customHeight="false" outlineLevel="0" collapsed="false">
      <c r="A3429" s="2" t="n">
        <v>3428</v>
      </c>
      <c r="B3429" s="2" t="s">
        <v>7096</v>
      </c>
      <c r="C3429" s="2" t="s">
        <v>7097</v>
      </c>
      <c r="D3429" s="2"/>
      <c r="E3429" s="2" t="s">
        <v>17</v>
      </c>
      <c r="F3429" s="3" t="n">
        <v>1.8E-005</v>
      </c>
      <c r="G3429" s="3" t="n">
        <f aca="false">SUM($F$2:F3429)</f>
        <v>0.985924</v>
      </c>
      <c r="H3429" s="4"/>
      <c r="I3429" s="5"/>
      <c r="J3429" s="4"/>
      <c r="K3429" s="5"/>
      <c r="L3429" s="6"/>
      <c r="M3429" s="5" t="str">
        <f aca="false">IF(AND(N(K3429)&gt;0,N(L3429)&gt;0),K3429/L3429,"")</f>
        <v/>
      </c>
      <c r="N3429" s="2" t="s">
        <v>1226</v>
      </c>
    </row>
    <row r="3430" customFormat="false" ht="15" hidden="false" customHeight="false" outlineLevel="0" collapsed="false">
      <c r="A3430" s="2" t="n">
        <v>3429</v>
      </c>
      <c r="B3430" s="2" t="s">
        <v>7098</v>
      </c>
      <c r="C3430" s="2" t="s">
        <v>7099</v>
      </c>
      <c r="D3430" s="2"/>
      <c r="E3430" s="2" t="s">
        <v>1345</v>
      </c>
      <c r="F3430" s="3" t="n">
        <v>1.8E-005</v>
      </c>
      <c r="G3430" s="3" t="n">
        <f aca="false">SUM($F$2:F3430)</f>
        <v>0.985942</v>
      </c>
      <c r="H3430" s="4"/>
      <c r="I3430" s="5"/>
      <c r="J3430" s="4"/>
      <c r="K3430" s="5"/>
      <c r="L3430" s="6"/>
      <c r="M3430" s="5" t="str">
        <f aca="false">IF(AND(N(K3430)&gt;0,N(L3430)&gt;0),K3430/L3430,"")</f>
        <v/>
      </c>
      <c r="N3430" s="2" t="s">
        <v>1226</v>
      </c>
    </row>
    <row r="3431" customFormat="false" ht="15" hidden="false" customHeight="false" outlineLevel="0" collapsed="false">
      <c r="A3431" s="2" t="n">
        <v>3430</v>
      </c>
      <c r="B3431" s="2" t="s">
        <v>7100</v>
      </c>
      <c r="C3431" s="2" t="s">
        <v>7101</v>
      </c>
      <c r="D3431" s="2"/>
      <c r="E3431" s="2" t="s">
        <v>21</v>
      </c>
      <c r="F3431" s="3" t="n">
        <v>1.8E-005</v>
      </c>
      <c r="G3431" s="3" t="n">
        <f aca="false">SUM($F$2:F3431)</f>
        <v>0.98596</v>
      </c>
      <c r="H3431" s="4"/>
      <c r="I3431" s="5"/>
      <c r="J3431" s="4"/>
      <c r="K3431" s="5"/>
      <c r="L3431" s="6"/>
      <c r="M3431" s="5" t="str">
        <f aca="false">IF(AND(N(K3431)&gt;0,N(L3431)&gt;0),K3431/L3431,"")</f>
        <v/>
      </c>
      <c r="N3431" s="2" t="s">
        <v>1226</v>
      </c>
    </row>
    <row r="3432" customFormat="false" ht="15" hidden="false" customHeight="false" outlineLevel="0" collapsed="false">
      <c r="A3432" s="2" t="n">
        <v>3431</v>
      </c>
      <c r="B3432" s="2" t="s">
        <v>7102</v>
      </c>
      <c r="C3432" s="2" t="s">
        <v>7103</v>
      </c>
      <c r="D3432" s="2"/>
      <c r="E3432" s="2" t="s">
        <v>82</v>
      </c>
      <c r="F3432" s="3" t="n">
        <v>1.8E-005</v>
      </c>
      <c r="G3432" s="3" t="n">
        <f aca="false">SUM($F$2:F3432)</f>
        <v>0.985978</v>
      </c>
      <c r="H3432" s="4"/>
      <c r="I3432" s="5"/>
      <c r="J3432" s="4"/>
      <c r="K3432" s="5"/>
      <c r="L3432" s="6"/>
      <c r="M3432" s="5" t="str">
        <f aca="false">IF(AND(N(K3432)&gt;0,N(L3432)&gt;0),K3432/L3432,"")</f>
        <v/>
      </c>
      <c r="N3432" s="2" t="s">
        <v>1226</v>
      </c>
    </row>
    <row r="3433" customFormat="false" ht="15" hidden="false" customHeight="false" outlineLevel="0" collapsed="false">
      <c r="A3433" s="2" t="n">
        <v>3432</v>
      </c>
      <c r="B3433" s="2" t="s">
        <v>7104</v>
      </c>
      <c r="C3433" s="2" t="s">
        <v>7105</v>
      </c>
      <c r="D3433" s="2"/>
      <c r="E3433" s="2" t="s">
        <v>25</v>
      </c>
      <c r="F3433" s="3" t="n">
        <v>1.8E-005</v>
      </c>
      <c r="G3433" s="3" t="n">
        <f aca="false">SUM($F$2:F3433)</f>
        <v>0.985996</v>
      </c>
      <c r="H3433" s="4"/>
      <c r="I3433" s="5"/>
      <c r="J3433" s="4"/>
      <c r="K3433" s="5"/>
      <c r="L3433" s="6"/>
      <c r="M3433" s="5" t="str">
        <f aca="false">IF(AND(N(K3433)&gt;0,N(L3433)&gt;0),K3433/L3433,"")</f>
        <v/>
      </c>
      <c r="N3433" s="2" t="s">
        <v>1226</v>
      </c>
    </row>
    <row r="3434" customFormat="false" ht="15" hidden="false" customHeight="false" outlineLevel="0" collapsed="false">
      <c r="A3434" s="2" t="n">
        <v>3433</v>
      </c>
      <c r="B3434" s="2" t="s">
        <v>7106</v>
      </c>
      <c r="C3434" s="2" t="s">
        <v>7107</v>
      </c>
      <c r="D3434" s="2"/>
      <c r="E3434" s="2" t="s">
        <v>289</v>
      </c>
      <c r="F3434" s="3" t="n">
        <v>1.8E-005</v>
      </c>
      <c r="G3434" s="3" t="n">
        <f aca="false">SUM($F$2:F3434)</f>
        <v>0.986014</v>
      </c>
      <c r="H3434" s="4"/>
      <c r="I3434" s="5"/>
      <c r="J3434" s="4"/>
      <c r="K3434" s="5"/>
      <c r="L3434" s="6"/>
      <c r="M3434" s="5" t="str">
        <f aca="false">IF(AND(N(K3434)&gt;0,N(L3434)&gt;0),K3434/L3434,"")</f>
        <v/>
      </c>
      <c r="N3434" s="2" t="s">
        <v>1226</v>
      </c>
    </row>
    <row r="3435" customFormat="false" ht="15" hidden="false" customHeight="false" outlineLevel="0" collapsed="false">
      <c r="A3435" s="2" t="n">
        <v>3434</v>
      </c>
      <c r="B3435" s="2" t="s">
        <v>7108</v>
      </c>
      <c r="C3435" s="2" t="s">
        <v>7109</v>
      </c>
      <c r="D3435" s="2"/>
      <c r="E3435" s="2" t="s">
        <v>289</v>
      </c>
      <c r="F3435" s="3" t="n">
        <v>1.8E-005</v>
      </c>
      <c r="G3435" s="3" t="n">
        <f aca="false">SUM($F$2:F3435)</f>
        <v>0.986032</v>
      </c>
      <c r="H3435" s="4"/>
      <c r="I3435" s="5"/>
      <c r="J3435" s="4"/>
      <c r="K3435" s="5"/>
      <c r="L3435" s="6"/>
      <c r="M3435" s="5" t="str">
        <f aca="false">IF(AND(N(K3435)&gt;0,N(L3435)&gt;0),K3435/L3435,"")</f>
        <v/>
      </c>
      <c r="N3435" s="2" t="s">
        <v>1226</v>
      </c>
    </row>
    <row r="3436" customFormat="false" ht="15" hidden="false" customHeight="false" outlineLevel="0" collapsed="false">
      <c r="A3436" s="2" t="n">
        <v>3435</v>
      </c>
      <c r="B3436" s="2" t="s">
        <v>7110</v>
      </c>
      <c r="C3436" s="2" t="s">
        <v>7111</v>
      </c>
      <c r="D3436" s="2"/>
      <c r="E3436" s="2" t="s">
        <v>1334</v>
      </c>
      <c r="F3436" s="3" t="n">
        <v>1.8E-005</v>
      </c>
      <c r="G3436" s="3" t="n">
        <f aca="false">SUM($F$2:F3436)</f>
        <v>0.98605</v>
      </c>
      <c r="H3436" s="4"/>
      <c r="I3436" s="5"/>
      <c r="J3436" s="4"/>
      <c r="K3436" s="5"/>
      <c r="L3436" s="6"/>
      <c r="M3436" s="5" t="str">
        <f aca="false">IF(AND(N(K3436)&gt;0,N(L3436)&gt;0),K3436/L3436,"")</f>
        <v/>
      </c>
      <c r="N3436" s="2" t="s">
        <v>1226</v>
      </c>
    </row>
    <row r="3437" customFormat="false" ht="15" hidden="false" customHeight="false" outlineLevel="0" collapsed="false">
      <c r="A3437" s="2" t="n">
        <v>3436</v>
      </c>
      <c r="B3437" s="2" t="s">
        <v>7112</v>
      </c>
      <c r="C3437" s="2" t="s">
        <v>7113</v>
      </c>
      <c r="D3437" s="2"/>
      <c r="E3437" s="2" t="s">
        <v>1345</v>
      </c>
      <c r="F3437" s="3" t="n">
        <v>1.8E-005</v>
      </c>
      <c r="G3437" s="3" t="n">
        <f aca="false">SUM($F$2:F3437)</f>
        <v>0.986068</v>
      </c>
      <c r="H3437" s="4"/>
      <c r="I3437" s="5"/>
      <c r="J3437" s="4"/>
      <c r="K3437" s="5"/>
      <c r="L3437" s="6"/>
      <c r="M3437" s="5" t="str">
        <f aca="false">IF(AND(N(K3437)&gt;0,N(L3437)&gt;0),K3437/L3437,"")</f>
        <v/>
      </c>
      <c r="N3437" s="2" t="s">
        <v>1226</v>
      </c>
    </row>
    <row r="3438" customFormat="false" ht="15" hidden="false" customHeight="false" outlineLevel="0" collapsed="false">
      <c r="A3438" s="2" t="n">
        <v>3437</v>
      </c>
      <c r="B3438" s="2" t="s">
        <v>7114</v>
      </c>
      <c r="C3438" s="2" t="s">
        <v>7115</v>
      </c>
      <c r="D3438" s="2"/>
      <c r="E3438" s="2" t="s">
        <v>1345</v>
      </c>
      <c r="F3438" s="3" t="n">
        <v>1.8E-005</v>
      </c>
      <c r="G3438" s="3" t="n">
        <f aca="false">SUM($F$2:F3438)</f>
        <v>0.986086</v>
      </c>
      <c r="H3438" s="4"/>
      <c r="I3438" s="5"/>
      <c r="J3438" s="4"/>
      <c r="K3438" s="5"/>
      <c r="L3438" s="6"/>
      <c r="M3438" s="5" t="str">
        <f aca="false">IF(AND(N(K3438)&gt;0,N(L3438)&gt;0),K3438/L3438,"")</f>
        <v/>
      </c>
      <c r="N3438" s="2" t="s">
        <v>1226</v>
      </c>
    </row>
    <row r="3439" customFormat="false" ht="15" hidden="false" customHeight="false" outlineLevel="0" collapsed="false">
      <c r="A3439" s="2" t="n">
        <v>3438</v>
      </c>
      <c r="B3439" s="2" t="s">
        <v>7116</v>
      </c>
      <c r="C3439" s="2" t="s">
        <v>7117</v>
      </c>
      <c r="D3439" s="2"/>
      <c r="E3439" s="2" t="s">
        <v>17</v>
      </c>
      <c r="F3439" s="3" t="n">
        <v>1.8E-005</v>
      </c>
      <c r="G3439" s="3" t="n">
        <f aca="false">SUM($F$2:F3439)</f>
        <v>0.986104</v>
      </c>
      <c r="H3439" s="4"/>
      <c r="I3439" s="5"/>
      <c r="J3439" s="4"/>
      <c r="K3439" s="5"/>
      <c r="L3439" s="6"/>
      <c r="M3439" s="5" t="str">
        <f aca="false">IF(AND(N(K3439)&gt;0,N(L3439)&gt;0),K3439/L3439,"")</f>
        <v/>
      </c>
      <c r="N3439" s="2" t="s">
        <v>1226</v>
      </c>
    </row>
    <row r="3440" customFormat="false" ht="15" hidden="false" customHeight="false" outlineLevel="0" collapsed="false">
      <c r="A3440" s="2" t="n">
        <v>3439</v>
      </c>
      <c r="B3440" s="2" t="s">
        <v>7118</v>
      </c>
      <c r="C3440" s="2" t="s">
        <v>7119</v>
      </c>
      <c r="D3440" s="2"/>
      <c r="E3440" s="2" t="s">
        <v>289</v>
      </c>
      <c r="F3440" s="3" t="n">
        <v>1.8E-005</v>
      </c>
      <c r="G3440" s="3" t="n">
        <f aca="false">SUM($F$2:F3440)</f>
        <v>0.986122</v>
      </c>
      <c r="H3440" s="4"/>
      <c r="I3440" s="5"/>
      <c r="J3440" s="4"/>
      <c r="K3440" s="5"/>
      <c r="L3440" s="6"/>
      <c r="M3440" s="5" t="str">
        <f aca="false">IF(AND(N(K3440)&gt;0,N(L3440)&gt;0),K3440/L3440,"")</f>
        <v/>
      </c>
      <c r="N3440" s="2" t="s">
        <v>1226</v>
      </c>
    </row>
    <row r="3441" customFormat="false" ht="15" hidden="false" customHeight="false" outlineLevel="0" collapsed="false">
      <c r="A3441" s="2" t="n">
        <v>3440</v>
      </c>
      <c r="B3441" s="2" t="s">
        <v>7120</v>
      </c>
      <c r="C3441" s="2" t="s">
        <v>7121</v>
      </c>
      <c r="D3441" s="2"/>
      <c r="E3441" s="2" t="s">
        <v>1345</v>
      </c>
      <c r="F3441" s="3" t="n">
        <v>1.8E-005</v>
      </c>
      <c r="G3441" s="3" t="n">
        <f aca="false">SUM($F$2:F3441)</f>
        <v>0.98614</v>
      </c>
      <c r="H3441" s="4"/>
      <c r="I3441" s="5"/>
      <c r="J3441" s="4"/>
      <c r="K3441" s="5"/>
      <c r="L3441" s="6"/>
      <c r="M3441" s="5" t="str">
        <f aca="false">IF(AND(N(K3441)&gt;0,N(L3441)&gt;0),K3441/L3441,"")</f>
        <v/>
      </c>
      <c r="N3441" s="2" t="s">
        <v>1226</v>
      </c>
    </row>
    <row r="3442" customFormat="false" ht="15" hidden="false" customHeight="false" outlineLevel="0" collapsed="false">
      <c r="A3442" s="2" t="n">
        <v>3441</v>
      </c>
      <c r="B3442" s="2" t="s">
        <v>7122</v>
      </c>
      <c r="C3442" s="2" t="s">
        <v>7123</v>
      </c>
      <c r="D3442" s="2"/>
      <c r="E3442" s="2" t="s">
        <v>25</v>
      </c>
      <c r="F3442" s="3" t="n">
        <v>1.8E-005</v>
      </c>
      <c r="G3442" s="3" t="n">
        <f aca="false">SUM($F$2:F3442)</f>
        <v>0.986158</v>
      </c>
      <c r="H3442" s="4"/>
      <c r="I3442" s="5"/>
      <c r="J3442" s="4"/>
      <c r="K3442" s="5"/>
      <c r="L3442" s="6"/>
      <c r="M3442" s="5" t="str">
        <f aca="false">IF(AND(N(K3442)&gt;0,N(L3442)&gt;0),K3442/L3442,"")</f>
        <v/>
      </c>
      <c r="N3442" s="2" t="s">
        <v>1226</v>
      </c>
    </row>
    <row r="3443" customFormat="false" ht="15" hidden="false" customHeight="false" outlineLevel="0" collapsed="false">
      <c r="A3443" s="2" t="n">
        <v>3442</v>
      </c>
      <c r="B3443" s="2" t="s">
        <v>7124</v>
      </c>
      <c r="C3443" s="2" t="s">
        <v>7125</v>
      </c>
      <c r="D3443" s="2"/>
      <c r="E3443" s="2" t="s">
        <v>1345</v>
      </c>
      <c r="F3443" s="3" t="n">
        <v>1.8E-005</v>
      </c>
      <c r="G3443" s="3" t="n">
        <f aca="false">SUM($F$2:F3443)</f>
        <v>0.986176</v>
      </c>
      <c r="H3443" s="4"/>
      <c r="I3443" s="5"/>
      <c r="J3443" s="4"/>
      <c r="K3443" s="5"/>
      <c r="L3443" s="6"/>
      <c r="M3443" s="5" t="str">
        <f aca="false">IF(AND(N(K3443)&gt;0,N(L3443)&gt;0),K3443/L3443,"")</f>
        <v/>
      </c>
      <c r="N3443" s="2" t="s">
        <v>1226</v>
      </c>
    </row>
    <row r="3444" customFormat="false" ht="15" hidden="false" customHeight="false" outlineLevel="0" collapsed="false">
      <c r="A3444" s="2" t="n">
        <v>3443</v>
      </c>
      <c r="B3444" s="2" t="s">
        <v>7126</v>
      </c>
      <c r="C3444" s="2" t="s">
        <v>7127</v>
      </c>
      <c r="D3444" s="2"/>
      <c r="E3444" s="2" t="s">
        <v>1345</v>
      </c>
      <c r="F3444" s="3" t="n">
        <v>1.8E-005</v>
      </c>
      <c r="G3444" s="3" t="n">
        <f aca="false">SUM($F$2:F3444)</f>
        <v>0.986194</v>
      </c>
      <c r="H3444" s="4"/>
      <c r="I3444" s="5"/>
      <c r="J3444" s="4"/>
      <c r="K3444" s="5"/>
      <c r="L3444" s="6"/>
      <c r="M3444" s="5" t="str">
        <f aca="false">IF(AND(N(K3444)&gt;0,N(L3444)&gt;0),K3444/L3444,"")</f>
        <v/>
      </c>
      <c r="N3444" s="2" t="s">
        <v>1226</v>
      </c>
    </row>
    <row r="3445" customFormat="false" ht="15" hidden="false" customHeight="false" outlineLevel="0" collapsed="false">
      <c r="A3445" s="2" t="n">
        <v>3444</v>
      </c>
      <c r="B3445" s="2" t="s">
        <v>7128</v>
      </c>
      <c r="C3445" s="2" t="s">
        <v>7129</v>
      </c>
      <c r="D3445" s="2"/>
      <c r="E3445" s="2" t="s">
        <v>1345</v>
      </c>
      <c r="F3445" s="3" t="n">
        <v>1.8E-005</v>
      </c>
      <c r="G3445" s="3" t="n">
        <f aca="false">SUM($F$2:F3445)</f>
        <v>0.986212</v>
      </c>
      <c r="H3445" s="4"/>
      <c r="I3445" s="5"/>
      <c r="J3445" s="4"/>
      <c r="K3445" s="5"/>
      <c r="L3445" s="6"/>
      <c r="M3445" s="5" t="str">
        <f aca="false">IF(AND(N(K3445)&gt;0,N(L3445)&gt;0),K3445/L3445,"")</f>
        <v/>
      </c>
      <c r="N3445" s="2" t="s">
        <v>1226</v>
      </c>
    </row>
    <row r="3446" customFormat="false" ht="15" hidden="false" customHeight="false" outlineLevel="0" collapsed="false">
      <c r="A3446" s="2" t="n">
        <v>3445</v>
      </c>
      <c r="B3446" s="2" t="s">
        <v>7130</v>
      </c>
      <c r="C3446" s="2" t="s">
        <v>7131</v>
      </c>
      <c r="D3446" s="2"/>
      <c r="E3446" s="2" t="s">
        <v>1345</v>
      </c>
      <c r="F3446" s="3" t="n">
        <v>1.8E-005</v>
      </c>
      <c r="G3446" s="3" t="n">
        <f aca="false">SUM($F$2:F3446)</f>
        <v>0.98623</v>
      </c>
      <c r="H3446" s="4"/>
      <c r="I3446" s="5"/>
      <c r="J3446" s="4"/>
      <c r="K3446" s="5"/>
      <c r="L3446" s="6"/>
      <c r="M3446" s="5" t="str">
        <f aca="false">IF(AND(N(K3446)&gt;0,N(L3446)&gt;0),K3446/L3446,"")</f>
        <v/>
      </c>
      <c r="N3446" s="2" t="s">
        <v>1226</v>
      </c>
    </row>
    <row r="3447" customFormat="false" ht="15" hidden="false" customHeight="false" outlineLevel="0" collapsed="false">
      <c r="A3447" s="2" t="n">
        <v>3446</v>
      </c>
      <c r="B3447" s="2" t="s">
        <v>7132</v>
      </c>
      <c r="C3447" s="2" t="s">
        <v>7133</v>
      </c>
      <c r="D3447" s="2"/>
      <c r="E3447" s="2" t="s">
        <v>52</v>
      </c>
      <c r="F3447" s="3" t="n">
        <v>1.8E-005</v>
      </c>
      <c r="G3447" s="3" t="n">
        <f aca="false">SUM($F$2:F3447)</f>
        <v>0.986248</v>
      </c>
      <c r="H3447" s="4"/>
      <c r="I3447" s="5"/>
      <c r="J3447" s="4"/>
      <c r="K3447" s="5"/>
      <c r="L3447" s="6"/>
      <c r="M3447" s="5" t="str">
        <f aca="false">IF(AND(N(K3447)&gt;0,N(L3447)&gt;0),K3447/L3447,"")</f>
        <v/>
      </c>
      <c r="N3447" s="2" t="s">
        <v>1226</v>
      </c>
    </row>
    <row r="3448" customFormat="false" ht="15" hidden="false" customHeight="false" outlineLevel="0" collapsed="false">
      <c r="A3448" s="2" t="n">
        <v>3447</v>
      </c>
      <c r="B3448" s="2" t="s">
        <v>7134</v>
      </c>
      <c r="C3448" s="2" t="s">
        <v>7135</v>
      </c>
      <c r="D3448" s="2"/>
      <c r="E3448" s="2" t="s">
        <v>1215</v>
      </c>
      <c r="F3448" s="3" t="n">
        <v>1.8E-005</v>
      </c>
      <c r="G3448" s="3" t="n">
        <f aca="false">SUM($F$2:F3448)</f>
        <v>0.986266</v>
      </c>
      <c r="H3448" s="4"/>
      <c r="I3448" s="5"/>
      <c r="J3448" s="4"/>
      <c r="K3448" s="5"/>
      <c r="L3448" s="6"/>
      <c r="M3448" s="5" t="str">
        <f aca="false">IF(AND(N(K3448)&gt;0,N(L3448)&gt;0),K3448/L3448,"")</f>
        <v/>
      </c>
      <c r="N3448" s="2" t="s">
        <v>1226</v>
      </c>
    </row>
    <row r="3449" customFormat="false" ht="15" hidden="false" customHeight="false" outlineLevel="0" collapsed="false">
      <c r="A3449" s="2" t="n">
        <v>3448</v>
      </c>
      <c r="B3449" s="2" t="s">
        <v>7136</v>
      </c>
      <c r="C3449" s="2" t="s">
        <v>7137</v>
      </c>
      <c r="D3449" s="2"/>
      <c r="E3449" s="2" t="s">
        <v>17</v>
      </c>
      <c r="F3449" s="3" t="n">
        <v>1.8E-005</v>
      </c>
      <c r="G3449" s="3" t="n">
        <f aca="false">SUM($F$2:F3449)</f>
        <v>0.986284</v>
      </c>
      <c r="H3449" s="4"/>
      <c r="I3449" s="5"/>
      <c r="J3449" s="4"/>
      <c r="K3449" s="5"/>
      <c r="L3449" s="6"/>
      <c r="M3449" s="5" t="str">
        <f aca="false">IF(AND(N(K3449)&gt;0,N(L3449)&gt;0),K3449/L3449,"")</f>
        <v/>
      </c>
      <c r="N3449" s="2" t="s">
        <v>1226</v>
      </c>
    </row>
    <row r="3450" customFormat="false" ht="15" hidden="false" customHeight="false" outlineLevel="0" collapsed="false">
      <c r="A3450" s="2" t="n">
        <v>3449</v>
      </c>
      <c r="B3450" s="2" t="s">
        <v>7138</v>
      </c>
      <c r="C3450" s="2" t="s">
        <v>7139</v>
      </c>
      <c r="D3450" s="2"/>
      <c r="E3450" s="2" t="s">
        <v>52</v>
      </c>
      <c r="F3450" s="3" t="n">
        <v>1.8E-005</v>
      </c>
      <c r="G3450" s="3" t="n">
        <f aca="false">SUM($F$2:F3450)</f>
        <v>0.986302</v>
      </c>
      <c r="H3450" s="4"/>
      <c r="I3450" s="5"/>
      <c r="J3450" s="4"/>
      <c r="K3450" s="5"/>
      <c r="L3450" s="6"/>
      <c r="M3450" s="5" t="str">
        <f aca="false">IF(AND(N(K3450)&gt;0,N(L3450)&gt;0),K3450/L3450,"")</f>
        <v/>
      </c>
      <c r="N3450" s="2" t="s">
        <v>1226</v>
      </c>
    </row>
    <row r="3451" customFormat="false" ht="15" hidden="false" customHeight="false" outlineLevel="0" collapsed="false">
      <c r="A3451" s="2" t="n">
        <v>3450</v>
      </c>
      <c r="B3451" s="2" t="s">
        <v>7140</v>
      </c>
      <c r="C3451" s="2" t="s">
        <v>7141</v>
      </c>
      <c r="D3451" s="2"/>
      <c r="E3451" s="2" t="s">
        <v>52</v>
      </c>
      <c r="F3451" s="3" t="n">
        <v>1.8E-005</v>
      </c>
      <c r="G3451" s="3" t="n">
        <f aca="false">SUM($F$2:F3451)</f>
        <v>0.98632</v>
      </c>
      <c r="H3451" s="4"/>
      <c r="I3451" s="5"/>
      <c r="J3451" s="4"/>
      <c r="K3451" s="5"/>
      <c r="L3451" s="6"/>
      <c r="M3451" s="5" t="str">
        <f aca="false">IF(AND(N(K3451)&gt;0,N(L3451)&gt;0),K3451/L3451,"")</f>
        <v/>
      </c>
      <c r="N3451" s="2" t="s">
        <v>1226</v>
      </c>
    </row>
    <row r="3452" customFormat="false" ht="15" hidden="false" customHeight="false" outlineLevel="0" collapsed="false">
      <c r="A3452" s="2" t="n">
        <v>3451</v>
      </c>
      <c r="B3452" s="2" t="s">
        <v>7142</v>
      </c>
      <c r="C3452" s="2" t="s">
        <v>7143</v>
      </c>
      <c r="D3452" s="2"/>
      <c r="E3452" s="2" t="s">
        <v>25</v>
      </c>
      <c r="F3452" s="3" t="n">
        <v>1.8E-005</v>
      </c>
      <c r="G3452" s="3" t="n">
        <f aca="false">SUM($F$2:F3452)</f>
        <v>0.986338</v>
      </c>
      <c r="H3452" s="4"/>
      <c r="I3452" s="5"/>
      <c r="J3452" s="4"/>
      <c r="K3452" s="5"/>
      <c r="L3452" s="6"/>
      <c r="M3452" s="5" t="str">
        <f aca="false">IF(AND(N(K3452)&gt;0,N(L3452)&gt;0),K3452/L3452,"")</f>
        <v/>
      </c>
      <c r="N3452" s="2" t="s">
        <v>1226</v>
      </c>
    </row>
    <row r="3453" customFormat="false" ht="15" hidden="false" customHeight="false" outlineLevel="0" collapsed="false">
      <c r="A3453" s="2" t="n">
        <v>3452</v>
      </c>
      <c r="B3453" s="2" t="s">
        <v>7144</v>
      </c>
      <c r="C3453" s="2" t="s">
        <v>7145</v>
      </c>
      <c r="D3453" s="2"/>
      <c r="E3453" s="2" t="s">
        <v>289</v>
      </c>
      <c r="F3453" s="3" t="n">
        <v>1.8E-005</v>
      </c>
      <c r="G3453" s="3" t="n">
        <f aca="false">SUM($F$2:F3453)</f>
        <v>0.986356</v>
      </c>
      <c r="H3453" s="4"/>
      <c r="I3453" s="5"/>
      <c r="J3453" s="4"/>
      <c r="K3453" s="5"/>
      <c r="L3453" s="6"/>
      <c r="M3453" s="5" t="str">
        <f aca="false">IF(AND(N(K3453)&gt;0,N(L3453)&gt;0),K3453/L3453,"")</f>
        <v/>
      </c>
      <c r="N3453" s="2" t="s">
        <v>1226</v>
      </c>
    </row>
    <row r="3454" customFormat="false" ht="15" hidden="false" customHeight="false" outlineLevel="0" collapsed="false">
      <c r="A3454" s="2" t="n">
        <v>3453</v>
      </c>
      <c r="B3454" s="2" t="s">
        <v>7146</v>
      </c>
      <c r="C3454" s="2" t="s">
        <v>7147</v>
      </c>
      <c r="D3454" s="2"/>
      <c r="E3454" s="2" t="s">
        <v>289</v>
      </c>
      <c r="F3454" s="3" t="n">
        <v>1.8E-005</v>
      </c>
      <c r="G3454" s="3" t="n">
        <f aca="false">SUM($F$2:F3454)</f>
        <v>0.986374</v>
      </c>
      <c r="H3454" s="4"/>
      <c r="I3454" s="5"/>
      <c r="J3454" s="4"/>
      <c r="K3454" s="5"/>
      <c r="L3454" s="6"/>
      <c r="M3454" s="5" t="str">
        <f aca="false">IF(AND(N(K3454)&gt;0,N(L3454)&gt;0),K3454/L3454,"")</f>
        <v/>
      </c>
      <c r="N3454" s="2" t="s">
        <v>1226</v>
      </c>
    </row>
    <row r="3455" customFormat="false" ht="15" hidden="false" customHeight="false" outlineLevel="0" collapsed="false">
      <c r="A3455" s="2" t="n">
        <v>3454</v>
      </c>
      <c r="B3455" s="2" t="s">
        <v>7148</v>
      </c>
      <c r="C3455" s="2" t="s">
        <v>7149</v>
      </c>
      <c r="D3455" s="2"/>
      <c r="E3455" s="2" t="s">
        <v>1345</v>
      </c>
      <c r="F3455" s="3" t="n">
        <v>1.8E-005</v>
      </c>
      <c r="G3455" s="3" t="n">
        <f aca="false">SUM($F$2:F3455)</f>
        <v>0.986392</v>
      </c>
      <c r="H3455" s="4"/>
      <c r="I3455" s="5"/>
      <c r="J3455" s="4"/>
      <c r="K3455" s="5"/>
      <c r="L3455" s="6"/>
      <c r="M3455" s="5" t="str">
        <f aca="false">IF(AND(N(K3455)&gt;0,N(L3455)&gt;0),K3455/L3455,"")</f>
        <v/>
      </c>
      <c r="N3455" s="2" t="s">
        <v>1226</v>
      </c>
    </row>
    <row r="3456" customFormat="false" ht="15" hidden="false" customHeight="false" outlineLevel="0" collapsed="false">
      <c r="A3456" s="2" t="n">
        <v>3455</v>
      </c>
      <c r="B3456" s="2" t="s">
        <v>7150</v>
      </c>
      <c r="C3456" s="2" t="s">
        <v>7151</v>
      </c>
      <c r="D3456" s="2"/>
      <c r="E3456" s="2" t="s">
        <v>43</v>
      </c>
      <c r="F3456" s="3" t="n">
        <v>1.8E-005</v>
      </c>
      <c r="G3456" s="3" t="n">
        <f aca="false">SUM($F$2:F3456)</f>
        <v>0.98641</v>
      </c>
      <c r="H3456" s="4"/>
      <c r="I3456" s="5"/>
      <c r="J3456" s="4"/>
      <c r="K3456" s="5"/>
      <c r="L3456" s="6"/>
      <c r="M3456" s="5" t="str">
        <f aca="false">IF(AND(N(K3456)&gt;0,N(L3456)&gt;0),K3456/L3456,"")</f>
        <v/>
      </c>
      <c r="N3456" s="2" t="s">
        <v>1226</v>
      </c>
    </row>
    <row r="3457" customFormat="false" ht="15" hidden="false" customHeight="false" outlineLevel="0" collapsed="false">
      <c r="A3457" s="2" t="n">
        <v>3456</v>
      </c>
      <c r="B3457" s="2" t="s">
        <v>7152</v>
      </c>
      <c r="C3457" s="2" t="s">
        <v>7153</v>
      </c>
      <c r="D3457" s="2"/>
      <c r="E3457" s="2" t="s">
        <v>33</v>
      </c>
      <c r="F3457" s="3" t="n">
        <v>1.8E-005</v>
      </c>
      <c r="G3457" s="3" t="n">
        <f aca="false">SUM($F$2:F3457)</f>
        <v>0.986428</v>
      </c>
      <c r="H3457" s="4"/>
      <c r="I3457" s="5"/>
      <c r="J3457" s="4"/>
      <c r="K3457" s="5"/>
      <c r="L3457" s="6"/>
      <c r="M3457" s="5" t="str">
        <f aca="false">IF(AND(N(K3457)&gt;0,N(L3457)&gt;0),K3457/L3457,"")</f>
        <v/>
      </c>
      <c r="N3457" s="2" t="s">
        <v>1226</v>
      </c>
    </row>
    <row r="3458" customFormat="false" ht="15" hidden="false" customHeight="false" outlineLevel="0" collapsed="false">
      <c r="A3458" s="2" t="n">
        <v>3457</v>
      </c>
      <c r="B3458" s="2" t="s">
        <v>7154</v>
      </c>
      <c r="C3458" s="2" t="s">
        <v>7155</v>
      </c>
      <c r="D3458" s="2"/>
      <c r="E3458" s="2" t="s">
        <v>199</v>
      </c>
      <c r="F3458" s="3" t="n">
        <v>1.8E-005</v>
      </c>
      <c r="G3458" s="3" t="n">
        <f aca="false">SUM($F$2:F3458)</f>
        <v>0.986446</v>
      </c>
      <c r="H3458" s="4"/>
      <c r="I3458" s="5"/>
      <c r="J3458" s="4"/>
      <c r="K3458" s="5"/>
      <c r="L3458" s="6"/>
      <c r="M3458" s="5" t="str">
        <f aca="false">IF(AND(N(K3458)&gt;0,N(L3458)&gt;0),K3458/L3458,"")</f>
        <v/>
      </c>
      <c r="N3458" s="2" t="s">
        <v>1226</v>
      </c>
    </row>
    <row r="3459" customFormat="false" ht="15" hidden="false" customHeight="false" outlineLevel="0" collapsed="false">
      <c r="A3459" s="2" t="n">
        <v>3458</v>
      </c>
      <c r="B3459" s="2" t="s">
        <v>7156</v>
      </c>
      <c r="C3459" s="2" t="s">
        <v>7157</v>
      </c>
      <c r="D3459" s="2"/>
      <c r="E3459" s="2" t="s">
        <v>17</v>
      </c>
      <c r="F3459" s="3" t="n">
        <v>1.8E-005</v>
      </c>
      <c r="G3459" s="3" t="n">
        <f aca="false">SUM($F$2:F3459)</f>
        <v>0.986464</v>
      </c>
      <c r="H3459" s="4"/>
      <c r="I3459" s="5"/>
      <c r="J3459" s="4"/>
      <c r="K3459" s="5"/>
      <c r="L3459" s="6"/>
      <c r="M3459" s="5" t="str">
        <f aca="false">IF(AND(N(K3459)&gt;0,N(L3459)&gt;0),K3459/L3459,"")</f>
        <v/>
      </c>
      <c r="N3459" s="2" t="s">
        <v>1226</v>
      </c>
    </row>
    <row r="3460" customFormat="false" ht="15" hidden="false" customHeight="false" outlineLevel="0" collapsed="false">
      <c r="A3460" s="2" t="n">
        <v>3459</v>
      </c>
      <c r="B3460" s="2" t="s">
        <v>7158</v>
      </c>
      <c r="C3460" s="2" t="s">
        <v>7159</v>
      </c>
      <c r="D3460" s="2"/>
      <c r="E3460" s="2" t="s">
        <v>289</v>
      </c>
      <c r="F3460" s="3" t="n">
        <v>1.8E-005</v>
      </c>
      <c r="G3460" s="3" t="n">
        <f aca="false">SUM($F$2:F3460)</f>
        <v>0.986482</v>
      </c>
      <c r="H3460" s="4"/>
      <c r="I3460" s="5"/>
      <c r="J3460" s="4"/>
      <c r="K3460" s="5"/>
      <c r="L3460" s="6"/>
      <c r="M3460" s="5" t="str">
        <f aca="false">IF(AND(N(K3460)&gt;0,N(L3460)&gt;0),K3460/L3460,"")</f>
        <v/>
      </c>
      <c r="N3460" s="2" t="s">
        <v>1226</v>
      </c>
    </row>
    <row r="3461" customFormat="false" ht="15" hidden="false" customHeight="false" outlineLevel="0" collapsed="false">
      <c r="A3461" s="2" t="n">
        <v>3460</v>
      </c>
      <c r="B3461" s="2" t="s">
        <v>7160</v>
      </c>
      <c r="C3461" s="2" t="s">
        <v>7161</v>
      </c>
      <c r="D3461" s="2"/>
      <c r="E3461" s="2" t="s">
        <v>539</v>
      </c>
      <c r="F3461" s="3" t="n">
        <v>1.8E-005</v>
      </c>
      <c r="G3461" s="3" t="n">
        <f aca="false">SUM($F$2:F3461)</f>
        <v>0.9865</v>
      </c>
      <c r="H3461" s="4"/>
      <c r="I3461" s="5"/>
      <c r="J3461" s="4"/>
      <c r="K3461" s="5"/>
      <c r="L3461" s="6"/>
      <c r="M3461" s="5" t="str">
        <f aca="false">IF(AND(N(K3461)&gt;0,N(L3461)&gt;0),K3461/L3461,"")</f>
        <v/>
      </c>
      <c r="N3461" s="2" t="s">
        <v>1226</v>
      </c>
    </row>
    <row r="3462" customFormat="false" ht="15" hidden="false" customHeight="false" outlineLevel="0" collapsed="false">
      <c r="A3462" s="2" t="n">
        <v>3461</v>
      </c>
      <c r="B3462" s="2" t="s">
        <v>7162</v>
      </c>
      <c r="C3462" s="2" t="s">
        <v>7163</v>
      </c>
      <c r="D3462" s="2"/>
      <c r="E3462" s="2" t="s">
        <v>1345</v>
      </c>
      <c r="F3462" s="3" t="n">
        <v>1.8E-005</v>
      </c>
      <c r="G3462" s="3" t="n">
        <f aca="false">SUM($F$2:F3462)</f>
        <v>0.986518</v>
      </c>
      <c r="H3462" s="4"/>
      <c r="I3462" s="5"/>
      <c r="J3462" s="4"/>
      <c r="K3462" s="5"/>
      <c r="L3462" s="6"/>
      <c r="M3462" s="5" t="str">
        <f aca="false">IF(AND(N(K3462)&gt;0,N(L3462)&gt;0),K3462/L3462,"")</f>
        <v/>
      </c>
      <c r="N3462" s="2" t="s">
        <v>1226</v>
      </c>
    </row>
    <row r="3463" customFormat="false" ht="15" hidden="false" customHeight="false" outlineLevel="0" collapsed="false">
      <c r="A3463" s="2" t="n">
        <v>3462</v>
      </c>
      <c r="B3463" s="2" t="s">
        <v>7164</v>
      </c>
      <c r="C3463" s="2" t="s">
        <v>7165</v>
      </c>
      <c r="D3463" s="2"/>
      <c r="E3463" s="2" t="s">
        <v>289</v>
      </c>
      <c r="F3463" s="3" t="n">
        <v>1.8E-005</v>
      </c>
      <c r="G3463" s="3" t="n">
        <f aca="false">SUM($F$2:F3463)</f>
        <v>0.986536</v>
      </c>
      <c r="H3463" s="4"/>
      <c r="I3463" s="5"/>
      <c r="J3463" s="4"/>
      <c r="K3463" s="5"/>
      <c r="L3463" s="6"/>
      <c r="M3463" s="5" t="str">
        <f aca="false">IF(AND(N(K3463)&gt;0,N(L3463)&gt;0),K3463/L3463,"")</f>
        <v/>
      </c>
      <c r="N3463" s="2" t="s">
        <v>1226</v>
      </c>
    </row>
    <row r="3464" customFormat="false" ht="15" hidden="false" customHeight="false" outlineLevel="0" collapsed="false">
      <c r="A3464" s="2" t="n">
        <v>3463</v>
      </c>
      <c r="B3464" s="2" t="s">
        <v>7166</v>
      </c>
      <c r="C3464" s="2" t="s">
        <v>7167</v>
      </c>
      <c r="D3464" s="2"/>
      <c r="E3464" s="2" t="s">
        <v>43</v>
      </c>
      <c r="F3464" s="3" t="n">
        <v>1.8E-005</v>
      </c>
      <c r="G3464" s="3" t="n">
        <f aca="false">SUM($F$2:F3464)</f>
        <v>0.986554</v>
      </c>
      <c r="H3464" s="4"/>
      <c r="I3464" s="5"/>
      <c r="J3464" s="4"/>
      <c r="K3464" s="5"/>
      <c r="L3464" s="6"/>
      <c r="M3464" s="5" t="str">
        <f aca="false">IF(AND(N(K3464)&gt;0,N(L3464)&gt;0),K3464/L3464,"")</f>
        <v/>
      </c>
      <c r="N3464" s="2" t="s">
        <v>1226</v>
      </c>
    </row>
    <row r="3465" customFormat="false" ht="15" hidden="false" customHeight="false" outlineLevel="0" collapsed="false">
      <c r="A3465" s="2" t="n">
        <v>3464</v>
      </c>
      <c r="B3465" s="2" t="s">
        <v>7168</v>
      </c>
      <c r="C3465" s="2" t="s">
        <v>7169</v>
      </c>
      <c r="D3465" s="2"/>
      <c r="E3465" s="2" t="s">
        <v>25</v>
      </c>
      <c r="F3465" s="3" t="n">
        <v>1.8E-005</v>
      </c>
      <c r="G3465" s="3" t="n">
        <f aca="false">SUM($F$2:F3465)</f>
        <v>0.986572</v>
      </c>
      <c r="H3465" s="4"/>
      <c r="I3465" s="5"/>
      <c r="J3465" s="4"/>
      <c r="K3465" s="5"/>
      <c r="L3465" s="6"/>
      <c r="M3465" s="5" t="str">
        <f aca="false">IF(AND(N(K3465)&gt;0,N(L3465)&gt;0),K3465/L3465,"")</f>
        <v/>
      </c>
      <c r="N3465" s="2" t="s">
        <v>1226</v>
      </c>
    </row>
    <row r="3466" customFormat="false" ht="15" hidden="false" customHeight="false" outlineLevel="0" collapsed="false">
      <c r="A3466" s="2" t="n">
        <v>3465</v>
      </c>
      <c r="B3466" s="2" t="s">
        <v>7170</v>
      </c>
      <c r="C3466" s="2" t="s">
        <v>7171</v>
      </c>
      <c r="D3466" s="2"/>
      <c r="E3466" s="2" t="s">
        <v>289</v>
      </c>
      <c r="F3466" s="3" t="n">
        <v>1.8E-005</v>
      </c>
      <c r="G3466" s="3" t="n">
        <f aca="false">SUM($F$2:F3466)</f>
        <v>0.98659</v>
      </c>
      <c r="H3466" s="4"/>
      <c r="I3466" s="5"/>
      <c r="J3466" s="4"/>
      <c r="K3466" s="5"/>
      <c r="L3466" s="6"/>
      <c r="M3466" s="5" t="str">
        <f aca="false">IF(AND(N(K3466)&gt;0,N(L3466)&gt;0),K3466/L3466,"")</f>
        <v/>
      </c>
      <c r="N3466" s="2" t="s">
        <v>1226</v>
      </c>
    </row>
    <row r="3467" customFormat="false" ht="15" hidden="false" customHeight="false" outlineLevel="0" collapsed="false">
      <c r="A3467" s="2" t="n">
        <v>3466</v>
      </c>
      <c r="B3467" s="2" t="s">
        <v>7172</v>
      </c>
      <c r="C3467" s="2" t="s">
        <v>7173</v>
      </c>
      <c r="D3467" s="2"/>
      <c r="E3467" s="2" t="s">
        <v>17</v>
      </c>
      <c r="F3467" s="3" t="n">
        <v>1.8E-005</v>
      </c>
      <c r="G3467" s="3" t="n">
        <f aca="false">SUM($F$2:F3467)</f>
        <v>0.986608</v>
      </c>
      <c r="H3467" s="4"/>
      <c r="I3467" s="5"/>
      <c r="J3467" s="4"/>
      <c r="K3467" s="5"/>
      <c r="L3467" s="6"/>
      <c r="M3467" s="5" t="str">
        <f aca="false">IF(AND(N(K3467)&gt;0,N(L3467)&gt;0),K3467/L3467,"")</f>
        <v/>
      </c>
      <c r="N3467" s="2" t="s">
        <v>1226</v>
      </c>
    </row>
    <row r="3468" customFormat="false" ht="15" hidden="false" customHeight="false" outlineLevel="0" collapsed="false">
      <c r="A3468" s="2" t="n">
        <v>3467</v>
      </c>
      <c r="B3468" s="2" t="s">
        <v>7174</v>
      </c>
      <c r="C3468" s="2" t="s">
        <v>7175</v>
      </c>
      <c r="D3468" s="2"/>
      <c r="E3468" s="2" t="s">
        <v>1345</v>
      </c>
      <c r="F3468" s="3" t="n">
        <v>1.8E-005</v>
      </c>
      <c r="G3468" s="3" t="n">
        <f aca="false">SUM($F$2:F3468)</f>
        <v>0.986626</v>
      </c>
      <c r="H3468" s="4"/>
      <c r="I3468" s="5"/>
      <c r="J3468" s="4"/>
      <c r="K3468" s="5"/>
      <c r="L3468" s="6"/>
      <c r="M3468" s="5" t="str">
        <f aca="false">IF(AND(N(K3468)&gt;0,N(L3468)&gt;0),K3468/L3468,"")</f>
        <v/>
      </c>
      <c r="N3468" s="2" t="s">
        <v>1226</v>
      </c>
    </row>
    <row r="3469" customFormat="false" ht="15" hidden="false" customHeight="false" outlineLevel="0" collapsed="false">
      <c r="A3469" s="2" t="n">
        <v>3468</v>
      </c>
      <c r="B3469" s="2" t="s">
        <v>7176</v>
      </c>
      <c r="C3469" s="2" t="s">
        <v>7177</v>
      </c>
      <c r="D3469" s="2"/>
      <c r="E3469" s="2" t="s">
        <v>48</v>
      </c>
      <c r="F3469" s="3" t="n">
        <v>1.7E-005</v>
      </c>
      <c r="G3469" s="3" t="n">
        <f aca="false">SUM($F$2:F3469)</f>
        <v>0.986643</v>
      </c>
      <c r="H3469" s="4"/>
      <c r="I3469" s="5"/>
      <c r="J3469" s="4"/>
      <c r="K3469" s="5"/>
      <c r="L3469" s="6"/>
      <c r="M3469" s="5" t="str">
        <f aca="false">IF(AND(N(K3469)&gt;0,N(L3469)&gt;0),K3469/L3469,"")</f>
        <v/>
      </c>
      <c r="N3469" s="2" t="s">
        <v>1226</v>
      </c>
    </row>
    <row r="3470" customFormat="false" ht="15" hidden="false" customHeight="false" outlineLevel="0" collapsed="false">
      <c r="A3470" s="2" t="n">
        <v>3469</v>
      </c>
      <c r="B3470" s="2" t="s">
        <v>7178</v>
      </c>
      <c r="C3470" s="2" t="s">
        <v>7179</v>
      </c>
      <c r="D3470" s="2"/>
      <c r="E3470" s="2" t="s">
        <v>43</v>
      </c>
      <c r="F3470" s="3" t="n">
        <v>1.7E-005</v>
      </c>
      <c r="G3470" s="3" t="n">
        <f aca="false">SUM($F$2:F3470)</f>
        <v>0.98666</v>
      </c>
      <c r="H3470" s="4"/>
      <c r="I3470" s="5"/>
      <c r="J3470" s="4"/>
      <c r="K3470" s="5"/>
      <c r="L3470" s="6"/>
      <c r="M3470" s="5" t="str">
        <f aca="false">IF(AND(N(K3470)&gt;0,N(L3470)&gt;0),K3470/L3470,"")</f>
        <v/>
      </c>
      <c r="N3470" s="2" t="s">
        <v>1226</v>
      </c>
    </row>
    <row r="3471" customFormat="false" ht="15" hidden="false" customHeight="false" outlineLevel="0" collapsed="false">
      <c r="A3471" s="2" t="n">
        <v>3470</v>
      </c>
      <c r="B3471" s="2" t="s">
        <v>7180</v>
      </c>
      <c r="C3471" s="2" t="s">
        <v>7181</v>
      </c>
      <c r="D3471" s="2"/>
      <c r="E3471" s="2" t="s">
        <v>21</v>
      </c>
      <c r="F3471" s="3" t="n">
        <v>1.7E-005</v>
      </c>
      <c r="G3471" s="3" t="n">
        <f aca="false">SUM($F$2:F3471)</f>
        <v>0.986677</v>
      </c>
      <c r="H3471" s="4"/>
      <c r="I3471" s="5"/>
      <c r="J3471" s="4"/>
      <c r="K3471" s="5"/>
      <c r="L3471" s="6"/>
      <c r="M3471" s="5" t="str">
        <f aca="false">IF(AND(N(K3471)&gt;0,N(L3471)&gt;0),K3471/L3471,"")</f>
        <v/>
      </c>
      <c r="N3471" s="2" t="s">
        <v>1226</v>
      </c>
    </row>
    <row r="3472" customFormat="false" ht="15" hidden="false" customHeight="false" outlineLevel="0" collapsed="false">
      <c r="A3472" s="2" t="n">
        <v>3471</v>
      </c>
      <c r="B3472" s="2" t="s">
        <v>7182</v>
      </c>
      <c r="C3472" s="2" t="s">
        <v>7183</v>
      </c>
      <c r="D3472" s="2"/>
      <c r="E3472" s="2" t="s">
        <v>1345</v>
      </c>
      <c r="F3472" s="3" t="n">
        <v>1.7E-005</v>
      </c>
      <c r="G3472" s="3" t="n">
        <f aca="false">SUM($F$2:F3472)</f>
        <v>0.986694</v>
      </c>
      <c r="H3472" s="4"/>
      <c r="I3472" s="5"/>
      <c r="J3472" s="4"/>
      <c r="K3472" s="5"/>
      <c r="L3472" s="6"/>
      <c r="M3472" s="5" t="str">
        <f aca="false">IF(AND(N(K3472)&gt;0,N(L3472)&gt;0),K3472/L3472,"")</f>
        <v/>
      </c>
      <c r="N3472" s="2" t="s">
        <v>1226</v>
      </c>
    </row>
    <row r="3473" customFormat="false" ht="15" hidden="false" customHeight="false" outlineLevel="0" collapsed="false">
      <c r="A3473" s="2" t="n">
        <v>3472</v>
      </c>
      <c r="B3473" s="2" t="s">
        <v>7184</v>
      </c>
      <c r="C3473" s="2" t="s">
        <v>7185</v>
      </c>
      <c r="D3473" s="2"/>
      <c r="E3473" s="2" t="s">
        <v>25</v>
      </c>
      <c r="F3473" s="3" t="n">
        <v>1.7E-005</v>
      </c>
      <c r="G3473" s="3" t="n">
        <f aca="false">SUM($F$2:F3473)</f>
        <v>0.986711</v>
      </c>
      <c r="H3473" s="4"/>
      <c r="I3473" s="5"/>
      <c r="J3473" s="4"/>
      <c r="K3473" s="5"/>
      <c r="L3473" s="6"/>
      <c r="M3473" s="5" t="str">
        <f aca="false">IF(AND(N(K3473)&gt;0,N(L3473)&gt;0),K3473/L3473,"")</f>
        <v/>
      </c>
      <c r="N3473" s="2" t="s">
        <v>1226</v>
      </c>
    </row>
    <row r="3474" customFormat="false" ht="15" hidden="false" customHeight="false" outlineLevel="0" collapsed="false">
      <c r="A3474" s="2" t="n">
        <v>3473</v>
      </c>
      <c r="B3474" s="2" t="s">
        <v>7186</v>
      </c>
      <c r="C3474" s="2" t="s">
        <v>7187</v>
      </c>
      <c r="D3474" s="2"/>
      <c r="E3474" s="2" t="s">
        <v>289</v>
      </c>
      <c r="F3474" s="3" t="n">
        <v>1.7E-005</v>
      </c>
      <c r="G3474" s="3" t="n">
        <f aca="false">SUM($F$2:F3474)</f>
        <v>0.986728</v>
      </c>
      <c r="H3474" s="4"/>
      <c r="I3474" s="5"/>
      <c r="J3474" s="4"/>
      <c r="K3474" s="5"/>
      <c r="L3474" s="6"/>
      <c r="M3474" s="5" t="str">
        <f aca="false">IF(AND(N(K3474)&gt;0,N(L3474)&gt;0),K3474/L3474,"")</f>
        <v/>
      </c>
      <c r="N3474" s="2" t="s">
        <v>1226</v>
      </c>
    </row>
    <row r="3475" customFormat="false" ht="15" hidden="false" customHeight="false" outlineLevel="0" collapsed="false">
      <c r="A3475" s="2" t="n">
        <v>3474</v>
      </c>
      <c r="B3475" s="2" t="s">
        <v>7188</v>
      </c>
      <c r="C3475" s="2" t="s">
        <v>7189</v>
      </c>
      <c r="D3475" s="2"/>
      <c r="E3475" s="2" t="s">
        <v>1345</v>
      </c>
      <c r="F3475" s="3" t="n">
        <v>1.7E-005</v>
      </c>
      <c r="G3475" s="3" t="n">
        <f aca="false">SUM($F$2:F3475)</f>
        <v>0.986745</v>
      </c>
      <c r="H3475" s="4"/>
      <c r="I3475" s="5"/>
      <c r="J3475" s="4"/>
      <c r="K3475" s="5"/>
      <c r="L3475" s="6"/>
      <c r="M3475" s="5" t="str">
        <f aca="false">IF(AND(N(K3475)&gt;0,N(L3475)&gt;0),K3475/L3475,"")</f>
        <v/>
      </c>
      <c r="N3475" s="2" t="s">
        <v>1226</v>
      </c>
    </row>
    <row r="3476" customFormat="false" ht="15" hidden="false" customHeight="false" outlineLevel="0" collapsed="false">
      <c r="A3476" s="2" t="n">
        <v>3475</v>
      </c>
      <c r="B3476" s="2" t="s">
        <v>7190</v>
      </c>
      <c r="C3476" s="2" t="s">
        <v>7191</v>
      </c>
      <c r="D3476" s="2"/>
      <c r="E3476" s="2" t="s">
        <v>1345</v>
      </c>
      <c r="F3476" s="3" t="n">
        <v>1.7E-005</v>
      </c>
      <c r="G3476" s="3" t="n">
        <f aca="false">SUM($F$2:F3476)</f>
        <v>0.986762</v>
      </c>
      <c r="H3476" s="4"/>
      <c r="I3476" s="5"/>
      <c r="J3476" s="4"/>
      <c r="K3476" s="5"/>
      <c r="L3476" s="6"/>
      <c r="M3476" s="5" t="str">
        <f aca="false">IF(AND(N(K3476)&gt;0,N(L3476)&gt;0),K3476/L3476,"")</f>
        <v/>
      </c>
      <c r="N3476" s="2" t="s">
        <v>1226</v>
      </c>
    </row>
    <row r="3477" customFormat="false" ht="15" hidden="false" customHeight="false" outlineLevel="0" collapsed="false">
      <c r="A3477" s="2" t="n">
        <v>3476</v>
      </c>
      <c r="B3477" s="2" t="s">
        <v>7192</v>
      </c>
      <c r="C3477" s="2" t="s">
        <v>7193</v>
      </c>
      <c r="D3477" s="2"/>
      <c r="E3477" s="2" t="s">
        <v>289</v>
      </c>
      <c r="F3477" s="3" t="n">
        <v>1.7E-005</v>
      </c>
      <c r="G3477" s="3" t="n">
        <f aca="false">SUM($F$2:F3477)</f>
        <v>0.986779</v>
      </c>
      <c r="H3477" s="4"/>
      <c r="I3477" s="5"/>
      <c r="J3477" s="4"/>
      <c r="K3477" s="5"/>
      <c r="L3477" s="6"/>
      <c r="M3477" s="5" t="str">
        <f aca="false">IF(AND(N(K3477)&gt;0,N(L3477)&gt;0),K3477/L3477,"")</f>
        <v/>
      </c>
      <c r="N3477" s="2" t="s">
        <v>1226</v>
      </c>
    </row>
    <row r="3478" customFormat="false" ht="15" hidden="false" customHeight="false" outlineLevel="0" collapsed="false">
      <c r="A3478" s="2" t="n">
        <v>3477</v>
      </c>
      <c r="B3478" s="2" t="s">
        <v>7194</v>
      </c>
      <c r="C3478" s="2" t="s">
        <v>7195</v>
      </c>
      <c r="D3478" s="2"/>
      <c r="E3478" s="2" t="s">
        <v>296</v>
      </c>
      <c r="F3478" s="3" t="n">
        <v>1.7E-005</v>
      </c>
      <c r="G3478" s="3" t="n">
        <f aca="false">SUM($F$2:F3478)</f>
        <v>0.986796</v>
      </c>
      <c r="H3478" s="4"/>
      <c r="I3478" s="5"/>
      <c r="J3478" s="4"/>
      <c r="K3478" s="5"/>
      <c r="L3478" s="6"/>
      <c r="M3478" s="5" t="str">
        <f aca="false">IF(AND(N(K3478)&gt;0,N(L3478)&gt;0),K3478/L3478,"")</f>
        <v/>
      </c>
      <c r="N3478" s="2" t="s">
        <v>1226</v>
      </c>
    </row>
    <row r="3479" customFormat="false" ht="15" hidden="false" customHeight="false" outlineLevel="0" collapsed="false">
      <c r="A3479" s="2" t="n">
        <v>3478</v>
      </c>
      <c r="B3479" s="2" t="s">
        <v>7196</v>
      </c>
      <c r="C3479" s="2" t="s">
        <v>7197</v>
      </c>
      <c r="D3479" s="2"/>
      <c r="E3479" s="2" t="s">
        <v>199</v>
      </c>
      <c r="F3479" s="3" t="n">
        <v>1.7E-005</v>
      </c>
      <c r="G3479" s="3" t="n">
        <f aca="false">SUM($F$2:F3479)</f>
        <v>0.986813</v>
      </c>
      <c r="H3479" s="4"/>
      <c r="I3479" s="5"/>
      <c r="J3479" s="4"/>
      <c r="K3479" s="5"/>
      <c r="L3479" s="6"/>
      <c r="M3479" s="5" t="str">
        <f aca="false">IF(AND(N(K3479)&gt;0,N(L3479)&gt;0),K3479/L3479,"")</f>
        <v/>
      </c>
      <c r="N3479" s="2" t="s">
        <v>1226</v>
      </c>
    </row>
    <row r="3480" customFormat="false" ht="15" hidden="false" customHeight="false" outlineLevel="0" collapsed="false">
      <c r="A3480" s="2" t="n">
        <v>3479</v>
      </c>
      <c r="B3480" s="2" t="s">
        <v>7198</v>
      </c>
      <c r="C3480" s="2" t="s">
        <v>7199</v>
      </c>
      <c r="D3480" s="2"/>
      <c r="E3480" s="2" t="s">
        <v>21</v>
      </c>
      <c r="F3480" s="3" t="n">
        <v>1.7E-005</v>
      </c>
      <c r="G3480" s="3" t="n">
        <f aca="false">SUM($F$2:F3480)</f>
        <v>0.98683</v>
      </c>
      <c r="H3480" s="4"/>
      <c r="I3480" s="5"/>
      <c r="J3480" s="4"/>
      <c r="K3480" s="5"/>
      <c r="L3480" s="6"/>
      <c r="M3480" s="5" t="str">
        <f aca="false">IF(AND(N(K3480)&gt;0,N(L3480)&gt;0),K3480/L3480,"")</f>
        <v/>
      </c>
      <c r="N3480" s="2" t="s">
        <v>1226</v>
      </c>
    </row>
    <row r="3481" customFormat="false" ht="15" hidden="false" customHeight="false" outlineLevel="0" collapsed="false">
      <c r="A3481" s="2" t="n">
        <v>3480</v>
      </c>
      <c r="B3481" s="2" t="s">
        <v>7200</v>
      </c>
      <c r="C3481" s="2" t="s">
        <v>7201</v>
      </c>
      <c r="D3481" s="2"/>
      <c r="E3481" s="2" t="s">
        <v>1345</v>
      </c>
      <c r="F3481" s="3" t="n">
        <v>1.7E-005</v>
      </c>
      <c r="G3481" s="3" t="n">
        <f aca="false">SUM($F$2:F3481)</f>
        <v>0.986847</v>
      </c>
      <c r="H3481" s="4"/>
      <c r="I3481" s="5"/>
      <c r="J3481" s="4"/>
      <c r="K3481" s="5"/>
      <c r="L3481" s="6"/>
      <c r="M3481" s="5" t="str">
        <f aca="false">IF(AND(N(K3481)&gt;0,N(L3481)&gt;0),K3481/L3481,"")</f>
        <v/>
      </c>
      <c r="N3481" s="2" t="s">
        <v>1226</v>
      </c>
    </row>
    <row r="3482" customFormat="false" ht="15" hidden="false" customHeight="false" outlineLevel="0" collapsed="false">
      <c r="A3482" s="2" t="n">
        <v>3481</v>
      </c>
      <c r="B3482" s="2" t="s">
        <v>301</v>
      </c>
      <c r="C3482" s="2" t="s">
        <v>7202</v>
      </c>
      <c r="D3482" s="2"/>
      <c r="E3482" s="2" t="s">
        <v>289</v>
      </c>
      <c r="F3482" s="3" t="n">
        <v>1.7E-005</v>
      </c>
      <c r="G3482" s="3" t="n">
        <f aca="false">SUM($F$2:F3482)</f>
        <v>0.986864</v>
      </c>
      <c r="H3482" s="4"/>
      <c r="I3482" s="5"/>
      <c r="J3482" s="4"/>
      <c r="K3482" s="5"/>
      <c r="L3482" s="6"/>
      <c r="M3482" s="5" t="str">
        <f aca="false">IF(AND(N(K3482)&gt;0,N(L3482)&gt;0),K3482/L3482,"")</f>
        <v/>
      </c>
      <c r="N3482" s="2" t="s">
        <v>34</v>
      </c>
    </row>
    <row r="3483" customFormat="false" ht="15" hidden="false" customHeight="false" outlineLevel="0" collapsed="false">
      <c r="A3483" s="2" t="n">
        <v>3482</v>
      </c>
      <c r="B3483" s="2" t="s">
        <v>7203</v>
      </c>
      <c r="C3483" s="2" t="s">
        <v>7204</v>
      </c>
      <c r="D3483" s="2"/>
      <c r="E3483" s="2" t="s">
        <v>1345</v>
      </c>
      <c r="F3483" s="3" t="n">
        <v>1.7E-005</v>
      </c>
      <c r="G3483" s="3" t="n">
        <f aca="false">SUM($F$2:F3483)</f>
        <v>0.986881</v>
      </c>
      <c r="H3483" s="4"/>
      <c r="I3483" s="5"/>
      <c r="J3483" s="4"/>
      <c r="K3483" s="5"/>
      <c r="L3483" s="6"/>
      <c r="M3483" s="5" t="str">
        <f aca="false">IF(AND(N(K3483)&gt;0,N(L3483)&gt;0),K3483/L3483,"")</f>
        <v/>
      </c>
      <c r="N3483" s="2" t="s">
        <v>1226</v>
      </c>
    </row>
    <row r="3484" customFormat="false" ht="15" hidden="false" customHeight="false" outlineLevel="0" collapsed="false">
      <c r="A3484" s="2" t="n">
        <v>3483</v>
      </c>
      <c r="B3484" s="2" t="s">
        <v>7205</v>
      </c>
      <c r="C3484" s="2" t="s">
        <v>7206</v>
      </c>
      <c r="D3484" s="2"/>
      <c r="E3484" s="2" t="s">
        <v>25</v>
      </c>
      <c r="F3484" s="3" t="n">
        <v>1.7E-005</v>
      </c>
      <c r="G3484" s="3" t="n">
        <f aca="false">SUM($F$2:F3484)</f>
        <v>0.986898</v>
      </c>
      <c r="H3484" s="4"/>
      <c r="I3484" s="5"/>
      <c r="J3484" s="4"/>
      <c r="K3484" s="5"/>
      <c r="L3484" s="6"/>
      <c r="M3484" s="5" t="str">
        <f aca="false">IF(AND(N(K3484)&gt;0,N(L3484)&gt;0),K3484/L3484,"")</f>
        <v/>
      </c>
      <c r="N3484" s="2" t="s">
        <v>1226</v>
      </c>
    </row>
    <row r="3485" customFormat="false" ht="15" hidden="false" customHeight="false" outlineLevel="0" collapsed="false">
      <c r="A3485" s="2" t="n">
        <v>3484</v>
      </c>
      <c r="B3485" s="2" t="s">
        <v>7207</v>
      </c>
      <c r="C3485" s="2" t="s">
        <v>7208</v>
      </c>
      <c r="D3485" s="2"/>
      <c r="E3485" s="2" t="s">
        <v>43</v>
      </c>
      <c r="F3485" s="3" t="n">
        <v>1.7E-005</v>
      </c>
      <c r="G3485" s="3" t="n">
        <f aca="false">SUM($F$2:F3485)</f>
        <v>0.986915</v>
      </c>
      <c r="H3485" s="4"/>
      <c r="I3485" s="5"/>
      <c r="J3485" s="4"/>
      <c r="K3485" s="5"/>
      <c r="L3485" s="6"/>
      <c r="M3485" s="5" t="str">
        <f aca="false">IF(AND(N(K3485)&gt;0,N(L3485)&gt;0),K3485/L3485,"")</f>
        <v/>
      </c>
      <c r="N3485" s="2" t="s">
        <v>1226</v>
      </c>
    </row>
    <row r="3486" customFormat="false" ht="15" hidden="false" customHeight="false" outlineLevel="0" collapsed="false">
      <c r="A3486" s="2" t="n">
        <v>3485</v>
      </c>
      <c r="B3486" s="2" t="s">
        <v>7209</v>
      </c>
      <c r="C3486" s="2" t="s">
        <v>7210</v>
      </c>
      <c r="D3486" s="2"/>
      <c r="E3486" s="2" t="s">
        <v>1345</v>
      </c>
      <c r="F3486" s="3" t="n">
        <v>1.7E-005</v>
      </c>
      <c r="G3486" s="3" t="n">
        <f aca="false">SUM($F$2:F3486)</f>
        <v>0.986932</v>
      </c>
      <c r="H3486" s="4"/>
      <c r="I3486" s="5"/>
      <c r="J3486" s="4"/>
      <c r="K3486" s="5"/>
      <c r="L3486" s="6"/>
      <c r="M3486" s="5" t="str">
        <f aca="false">IF(AND(N(K3486)&gt;0,N(L3486)&gt;0),K3486/L3486,"")</f>
        <v/>
      </c>
      <c r="N3486" s="2" t="s">
        <v>1226</v>
      </c>
    </row>
    <row r="3487" customFormat="false" ht="15" hidden="false" customHeight="false" outlineLevel="0" collapsed="false">
      <c r="A3487" s="2" t="n">
        <v>3486</v>
      </c>
      <c r="B3487" s="2" t="s">
        <v>1515</v>
      </c>
      <c r="C3487" s="2" t="s">
        <v>7211</v>
      </c>
      <c r="D3487" s="2"/>
      <c r="E3487" s="2" t="s">
        <v>33</v>
      </c>
      <c r="F3487" s="3" t="n">
        <v>1.7E-005</v>
      </c>
      <c r="G3487" s="3" t="n">
        <f aca="false">SUM($F$2:F3487)</f>
        <v>0.986949</v>
      </c>
      <c r="H3487" s="4"/>
      <c r="I3487" s="5"/>
      <c r="J3487" s="4"/>
      <c r="K3487" s="5"/>
      <c r="L3487" s="6"/>
      <c r="M3487" s="5" t="str">
        <f aca="false">IF(AND(N(K3487)&gt;0,N(L3487)&gt;0),K3487/L3487,"")</f>
        <v/>
      </c>
      <c r="N3487" s="2" t="s">
        <v>1226</v>
      </c>
    </row>
    <row r="3488" customFormat="false" ht="15" hidden="false" customHeight="false" outlineLevel="0" collapsed="false">
      <c r="A3488" s="2" t="n">
        <v>3487</v>
      </c>
      <c r="B3488" s="2" t="s">
        <v>7212</v>
      </c>
      <c r="C3488" s="2" t="s">
        <v>7213</v>
      </c>
      <c r="D3488" s="2"/>
      <c r="E3488" s="2" t="s">
        <v>289</v>
      </c>
      <c r="F3488" s="3" t="n">
        <v>1.7E-005</v>
      </c>
      <c r="G3488" s="3" t="n">
        <f aca="false">SUM($F$2:F3488)</f>
        <v>0.986966</v>
      </c>
      <c r="H3488" s="4"/>
      <c r="I3488" s="5"/>
      <c r="J3488" s="4"/>
      <c r="K3488" s="5"/>
      <c r="L3488" s="6"/>
      <c r="M3488" s="5" t="str">
        <f aca="false">IF(AND(N(K3488)&gt;0,N(L3488)&gt;0),K3488/L3488,"")</f>
        <v/>
      </c>
      <c r="N3488" s="2" t="s">
        <v>1226</v>
      </c>
    </row>
    <row r="3489" customFormat="false" ht="15" hidden="false" customHeight="false" outlineLevel="0" collapsed="false">
      <c r="A3489" s="2" t="n">
        <v>3488</v>
      </c>
      <c r="B3489" s="2" t="s">
        <v>7214</v>
      </c>
      <c r="C3489" s="2" t="s">
        <v>7215</v>
      </c>
      <c r="D3489" s="2"/>
      <c r="E3489" s="2" t="s">
        <v>21</v>
      </c>
      <c r="F3489" s="3" t="n">
        <v>1.7E-005</v>
      </c>
      <c r="G3489" s="3" t="n">
        <f aca="false">SUM($F$2:F3489)</f>
        <v>0.986983</v>
      </c>
      <c r="H3489" s="4"/>
      <c r="I3489" s="5"/>
      <c r="J3489" s="4"/>
      <c r="K3489" s="5"/>
      <c r="L3489" s="6"/>
      <c r="M3489" s="5" t="str">
        <f aca="false">IF(AND(N(K3489)&gt;0,N(L3489)&gt;0),K3489/L3489,"")</f>
        <v/>
      </c>
      <c r="N3489" s="2" t="s">
        <v>1226</v>
      </c>
    </row>
    <row r="3490" customFormat="false" ht="15" hidden="false" customHeight="false" outlineLevel="0" collapsed="false">
      <c r="A3490" s="2" t="n">
        <v>3489</v>
      </c>
      <c r="B3490" s="2" t="s">
        <v>7216</v>
      </c>
      <c r="C3490" s="2" t="s">
        <v>7217</v>
      </c>
      <c r="D3490" s="2"/>
      <c r="E3490" s="2" t="s">
        <v>52</v>
      </c>
      <c r="F3490" s="3" t="n">
        <v>1.7E-005</v>
      </c>
      <c r="G3490" s="3" t="n">
        <f aca="false">SUM($F$2:F3490)</f>
        <v>0.987</v>
      </c>
      <c r="H3490" s="4"/>
      <c r="I3490" s="5"/>
      <c r="J3490" s="4"/>
      <c r="K3490" s="5"/>
      <c r="L3490" s="6"/>
      <c r="M3490" s="5" t="str">
        <f aca="false">IF(AND(N(K3490)&gt;0,N(L3490)&gt;0),K3490/L3490,"")</f>
        <v/>
      </c>
      <c r="N3490" s="2" t="s">
        <v>1226</v>
      </c>
    </row>
    <row r="3491" customFormat="false" ht="15" hidden="false" customHeight="false" outlineLevel="0" collapsed="false">
      <c r="A3491" s="2" t="n">
        <v>3490</v>
      </c>
      <c r="B3491" s="2" t="s">
        <v>7218</v>
      </c>
      <c r="C3491" s="2" t="s">
        <v>7219</v>
      </c>
      <c r="D3491" s="2"/>
      <c r="E3491" s="2" t="s">
        <v>21</v>
      </c>
      <c r="F3491" s="3" t="n">
        <v>1.7E-005</v>
      </c>
      <c r="G3491" s="3" t="n">
        <f aca="false">SUM($F$2:F3491)</f>
        <v>0.987017</v>
      </c>
      <c r="H3491" s="4"/>
      <c r="I3491" s="5"/>
      <c r="J3491" s="4"/>
      <c r="K3491" s="5"/>
      <c r="L3491" s="6"/>
      <c r="M3491" s="5" t="str">
        <f aca="false">IF(AND(N(K3491)&gt;0,N(L3491)&gt;0),K3491/L3491,"")</f>
        <v/>
      </c>
      <c r="N3491" s="2" t="s">
        <v>1226</v>
      </c>
    </row>
    <row r="3492" customFormat="false" ht="15" hidden="false" customHeight="false" outlineLevel="0" collapsed="false">
      <c r="A3492" s="2" t="n">
        <v>3491</v>
      </c>
      <c r="B3492" s="2" t="s">
        <v>7220</v>
      </c>
      <c r="C3492" s="2" t="s">
        <v>7221</v>
      </c>
      <c r="D3492" s="2"/>
      <c r="E3492" s="2" t="s">
        <v>82</v>
      </c>
      <c r="F3492" s="3" t="n">
        <v>1.7E-005</v>
      </c>
      <c r="G3492" s="3" t="n">
        <f aca="false">SUM($F$2:F3492)</f>
        <v>0.987034</v>
      </c>
      <c r="H3492" s="4"/>
      <c r="I3492" s="5"/>
      <c r="J3492" s="4"/>
      <c r="K3492" s="5"/>
      <c r="L3492" s="6"/>
      <c r="M3492" s="5" t="str">
        <f aca="false">IF(AND(N(K3492)&gt;0,N(L3492)&gt;0),K3492/L3492,"")</f>
        <v/>
      </c>
      <c r="N3492" s="2" t="s">
        <v>1226</v>
      </c>
    </row>
    <row r="3493" customFormat="false" ht="15" hidden="false" customHeight="false" outlineLevel="0" collapsed="false">
      <c r="A3493" s="2" t="n">
        <v>3492</v>
      </c>
      <c r="B3493" s="2" t="s">
        <v>7222</v>
      </c>
      <c r="C3493" s="2" t="s">
        <v>7223</v>
      </c>
      <c r="D3493" s="2"/>
      <c r="E3493" s="2" t="s">
        <v>1345</v>
      </c>
      <c r="F3493" s="3" t="n">
        <v>1.7E-005</v>
      </c>
      <c r="G3493" s="3" t="n">
        <f aca="false">SUM($F$2:F3493)</f>
        <v>0.987051</v>
      </c>
      <c r="H3493" s="4"/>
      <c r="I3493" s="5"/>
      <c r="J3493" s="4"/>
      <c r="K3493" s="5"/>
      <c r="L3493" s="6"/>
      <c r="M3493" s="5" t="str">
        <f aca="false">IF(AND(N(K3493)&gt;0,N(L3493)&gt;0),K3493/L3493,"")</f>
        <v/>
      </c>
      <c r="N3493" s="2" t="s">
        <v>1226</v>
      </c>
    </row>
    <row r="3494" customFormat="false" ht="15" hidden="false" customHeight="false" outlineLevel="0" collapsed="false">
      <c r="A3494" s="2" t="n">
        <v>3493</v>
      </c>
      <c r="B3494" s="2" t="s">
        <v>7224</v>
      </c>
      <c r="C3494" s="2" t="s">
        <v>7225</v>
      </c>
      <c r="D3494" s="2"/>
      <c r="E3494" s="2" t="s">
        <v>296</v>
      </c>
      <c r="F3494" s="3" t="n">
        <v>1.7E-005</v>
      </c>
      <c r="G3494" s="3" t="n">
        <f aca="false">SUM($F$2:F3494)</f>
        <v>0.987068</v>
      </c>
      <c r="H3494" s="4"/>
      <c r="I3494" s="5"/>
      <c r="J3494" s="4"/>
      <c r="K3494" s="5"/>
      <c r="L3494" s="6"/>
      <c r="M3494" s="5" t="str">
        <f aca="false">IF(AND(N(K3494)&gt;0,N(L3494)&gt;0),K3494/L3494,"")</f>
        <v/>
      </c>
      <c r="N3494" s="2" t="s">
        <v>1226</v>
      </c>
    </row>
    <row r="3495" customFormat="false" ht="15" hidden="false" customHeight="false" outlineLevel="0" collapsed="false">
      <c r="A3495" s="2" t="n">
        <v>3494</v>
      </c>
      <c r="B3495" s="2" t="s">
        <v>7226</v>
      </c>
      <c r="C3495" s="2" t="s">
        <v>7227</v>
      </c>
      <c r="D3495" s="2"/>
      <c r="E3495" s="2" t="s">
        <v>25</v>
      </c>
      <c r="F3495" s="3" t="n">
        <v>1.7E-005</v>
      </c>
      <c r="G3495" s="3" t="n">
        <f aca="false">SUM($F$2:F3495)</f>
        <v>0.987085</v>
      </c>
      <c r="H3495" s="4"/>
      <c r="I3495" s="5"/>
      <c r="J3495" s="4"/>
      <c r="K3495" s="5"/>
      <c r="L3495" s="6"/>
      <c r="M3495" s="5" t="str">
        <f aca="false">IF(AND(N(K3495)&gt;0,N(L3495)&gt;0),K3495/L3495,"")</f>
        <v/>
      </c>
      <c r="N3495" s="2" t="s">
        <v>1226</v>
      </c>
    </row>
    <row r="3496" customFormat="false" ht="15" hidden="false" customHeight="false" outlineLevel="0" collapsed="false">
      <c r="A3496" s="2" t="n">
        <v>3495</v>
      </c>
      <c r="B3496" s="2" t="s">
        <v>7228</v>
      </c>
      <c r="C3496" s="2" t="s">
        <v>7229</v>
      </c>
      <c r="D3496" s="2"/>
      <c r="E3496" s="2" t="s">
        <v>17</v>
      </c>
      <c r="F3496" s="3" t="n">
        <v>1.7E-005</v>
      </c>
      <c r="G3496" s="3" t="n">
        <f aca="false">SUM($F$2:F3496)</f>
        <v>0.987102</v>
      </c>
      <c r="H3496" s="4"/>
      <c r="I3496" s="5"/>
      <c r="J3496" s="4"/>
      <c r="K3496" s="5"/>
      <c r="L3496" s="6"/>
      <c r="M3496" s="5" t="str">
        <f aca="false">IF(AND(N(K3496)&gt;0,N(L3496)&gt;0),K3496/L3496,"")</f>
        <v/>
      </c>
      <c r="N3496" s="2" t="s">
        <v>1226</v>
      </c>
    </row>
    <row r="3497" customFormat="false" ht="15" hidden="false" customHeight="false" outlineLevel="0" collapsed="false">
      <c r="A3497" s="2" t="n">
        <v>3496</v>
      </c>
      <c r="B3497" s="2" t="s">
        <v>7230</v>
      </c>
      <c r="C3497" s="2" t="s">
        <v>7231</v>
      </c>
      <c r="D3497" s="2"/>
      <c r="E3497" s="2" t="s">
        <v>334</v>
      </c>
      <c r="F3497" s="3" t="n">
        <v>1.7E-005</v>
      </c>
      <c r="G3497" s="3" t="n">
        <f aca="false">SUM($F$2:F3497)</f>
        <v>0.987119</v>
      </c>
      <c r="H3497" s="4"/>
      <c r="I3497" s="5"/>
      <c r="J3497" s="4"/>
      <c r="K3497" s="5"/>
      <c r="L3497" s="6"/>
      <c r="M3497" s="5" t="str">
        <f aca="false">IF(AND(N(K3497)&gt;0,N(L3497)&gt;0),K3497/L3497,"")</f>
        <v/>
      </c>
      <c r="N3497" s="2" t="s">
        <v>1226</v>
      </c>
    </row>
    <row r="3498" customFormat="false" ht="15" hidden="false" customHeight="false" outlineLevel="0" collapsed="false">
      <c r="A3498" s="2" t="n">
        <v>3497</v>
      </c>
      <c r="B3498" s="2" t="s">
        <v>7232</v>
      </c>
      <c r="C3498" s="2" t="s">
        <v>7233</v>
      </c>
      <c r="D3498" s="2"/>
      <c r="E3498" s="2" t="s">
        <v>17</v>
      </c>
      <c r="F3498" s="3" t="n">
        <v>1.7E-005</v>
      </c>
      <c r="G3498" s="3" t="n">
        <f aca="false">SUM($F$2:F3498)</f>
        <v>0.987136</v>
      </c>
      <c r="H3498" s="4"/>
      <c r="I3498" s="5"/>
      <c r="J3498" s="4"/>
      <c r="K3498" s="5"/>
      <c r="L3498" s="6"/>
      <c r="M3498" s="5" t="str">
        <f aca="false">IF(AND(N(K3498)&gt;0,N(L3498)&gt;0),K3498/L3498,"")</f>
        <v/>
      </c>
      <c r="N3498" s="2" t="s">
        <v>1226</v>
      </c>
    </row>
    <row r="3499" customFormat="false" ht="15" hidden="false" customHeight="false" outlineLevel="0" collapsed="false">
      <c r="A3499" s="2" t="n">
        <v>3498</v>
      </c>
      <c r="B3499" s="2" t="s">
        <v>7234</v>
      </c>
      <c r="C3499" s="2" t="s">
        <v>7235</v>
      </c>
      <c r="D3499" s="2"/>
      <c r="E3499" s="2" t="s">
        <v>2763</v>
      </c>
      <c r="F3499" s="3" t="n">
        <v>1.7E-005</v>
      </c>
      <c r="G3499" s="3" t="n">
        <f aca="false">SUM($F$2:F3499)</f>
        <v>0.987153</v>
      </c>
      <c r="H3499" s="4"/>
      <c r="I3499" s="5"/>
      <c r="J3499" s="4"/>
      <c r="K3499" s="5"/>
      <c r="L3499" s="6"/>
      <c r="M3499" s="5" t="str">
        <f aca="false">IF(AND(N(K3499)&gt;0,N(L3499)&gt;0),K3499/L3499,"")</f>
        <v/>
      </c>
      <c r="N3499" s="2" t="s">
        <v>1226</v>
      </c>
    </row>
    <row r="3500" customFormat="false" ht="15" hidden="false" customHeight="false" outlineLevel="0" collapsed="false">
      <c r="A3500" s="2" t="n">
        <v>3499</v>
      </c>
      <c r="B3500" s="2" t="s">
        <v>7236</v>
      </c>
      <c r="C3500" s="2" t="s">
        <v>7237</v>
      </c>
      <c r="D3500" s="2"/>
      <c r="E3500" s="2" t="s">
        <v>334</v>
      </c>
      <c r="F3500" s="3" t="n">
        <v>1.7E-005</v>
      </c>
      <c r="G3500" s="3" t="n">
        <f aca="false">SUM($F$2:F3500)</f>
        <v>0.98717</v>
      </c>
      <c r="H3500" s="4"/>
      <c r="I3500" s="5"/>
      <c r="J3500" s="4"/>
      <c r="K3500" s="5"/>
      <c r="L3500" s="6"/>
      <c r="M3500" s="5" t="str">
        <f aca="false">IF(AND(N(K3500)&gt;0,N(L3500)&gt;0),K3500/L3500,"")</f>
        <v/>
      </c>
      <c r="N3500" s="2" t="s">
        <v>1226</v>
      </c>
    </row>
    <row r="3501" customFormat="false" ht="15" hidden="false" customHeight="false" outlineLevel="0" collapsed="false">
      <c r="A3501" s="2" t="n">
        <v>3500</v>
      </c>
      <c r="B3501" s="2" t="s">
        <v>7238</v>
      </c>
      <c r="C3501" s="2" t="s">
        <v>7239</v>
      </c>
      <c r="D3501" s="2"/>
      <c r="E3501" s="2" t="s">
        <v>289</v>
      </c>
      <c r="F3501" s="3" t="n">
        <v>1.7E-005</v>
      </c>
      <c r="G3501" s="3" t="n">
        <f aca="false">SUM($F$2:F3501)</f>
        <v>0.987187</v>
      </c>
      <c r="H3501" s="4"/>
      <c r="I3501" s="5"/>
      <c r="J3501" s="4"/>
      <c r="K3501" s="5"/>
      <c r="L3501" s="6"/>
      <c r="M3501" s="5" t="str">
        <f aca="false">IF(AND(N(K3501)&gt;0,N(L3501)&gt;0),K3501/L3501,"")</f>
        <v/>
      </c>
      <c r="N3501" s="2" t="s">
        <v>1226</v>
      </c>
    </row>
    <row r="3502" customFormat="false" ht="15" hidden="false" customHeight="false" outlineLevel="0" collapsed="false">
      <c r="A3502" s="2" t="n">
        <v>3501</v>
      </c>
      <c r="B3502" s="2" t="s">
        <v>7240</v>
      </c>
      <c r="C3502" s="2" t="s">
        <v>7241</v>
      </c>
      <c r="D3502" s="2"/>
      <c r="E3502" s="2" t="s">
        <v>1345</v>
      </c>
      <c r="F3502" s="3" t="n">
        <v>1.7E-005</v>
      </c>
      <c r="G3502" s="3" t="n">
        <f aca="false">SUM($F$2:F3502)</f>
        <v>0.987204</v>
      </c>
      <c r="H3502" s="4"/>
      <c r="I3502" s="5"/>
      <c r="J3502" s="4"/>
      <c r="K3502" s="5"/>
      <c r="L3502" s="6"/>
      <c r="M3502" s="5" t="str">
        <f aca="false">IF(AND(N(K3502)&gt;0,N(L3502)&gt;0),K3502/L3502,"")</f>
        <v/>
      </c>
      <c r="N3502" s="2" t="s">
        <v>1226</v>
      </c>
    </row>
    <row r="3503" customFormat="false" ht="15" hidden="false" customHeight="false" outlineLevel="0" collapsed="false">
      <c r="A3503" s="2" t="n">
        <v>3502</v>
      </c>
      <c r="B3503" s="2" t="s">
        <v>7242</v>
      </c>
      <c r="C3503" s="2" t="s">
        <v>7243</v>
      </c>
      <c r="D3503" s="2"/>
      <c r="E3503" s="2" t="s">
        <v>17</v>
      </c>
      <c r="F3503" s="3" t="n">
        <v>1.7E-005</v>
      </c>
      <c r="G3503" s="3" t="n">
        <f aca="false">SUM($F$2:F3503)</f>
        <v>0.987221</v>
      </c>
      <c r="H3503" s="4"/>
      <c r="I3503" s="5"/>
      <c r="J3503" s="4"/>
      <c r="K3503" s="5"/>
      <c r="L3503" s="6"/>
      <c r="M3503" s="5" t="str">
        <f aca="false">IF(AND(N(K3503)&gt;0,N(L3503)&gt;0),K3503/L3503,"")</f>
        <v/>
      </c>
      <c r="N3503" s="2" t="s">
        <v>1226</v>
      </c>
    </row>
    <row r="3504" customFormat="false" ht="15" hidden="false" customHeight="false" outlineLevel="0" collapsed="false">
      <c r="A3504" s="2" t="n">
        <v>3503</v>
      </c>
      <c r="B3504" s="2" t="s">
        <v>7244</v>
      </c>
      <c r="C3504" s="2" t="s">
        <v>7245</v>
      </c>
      <c r="D3504" s="2"/>
      <c r="E3504" s="2" t="s">
        <v>1345</v>
      </c>
      <c r="F3504" s="3" t="n">
        <v>1.7E-005</v>
      </c>
      <c r="G3504" s="3" t="n">
        <f aca="false">SUM($F$2:F3504)</f>
        <v>0.987238</v>
      </c>
      <c r="H3504" s="4"/>
      <c r="I3504" s="5"/>
      <c r="J3504" s="4"/>
      <c r="K3504" s="5"/>
      <c r="L3504" s="6"/>
      <c r="M3504" s="5" t="str">
        <f aca="false">IF(AND(N(K3504)&gt;0,N(L3504)&gt;0),K3504/L3504,"")</f>
        <v/>
      </c>
      <c r="N3504" s="2" t="s">
        <v>1226</v>
      </c>
    </row>
    <row r="3505" customFormat="false" ht="15" hidden="false" customHeight="false" outlineLevel="0" collapsed="false">
      <c r="A3505" s="2" t="n">
        <v>3504</v>
      </c>
      <c r="B3505" s="2" t="s">
        <v>7246</v>
      </c>
      <c r="C3505" s="2" t="s">
        <v>7247</v>
      </c>
      <c r="D3505" s="2"/>
      <c r="E3505" s="2" t="s">
        <v>25</v>
      </c>
      <c r="F3505" s="3" t="n">
        <v>1.7E-005</v>
      </c>
      <c r="G3505" s="3" t="n">
        <f aca="false">SUM($F$2:F3505)</f>
        <v>0.987255</v>
      </c>
      <c r="H3505" s="4"/>
      <c r="I3505" s="5"/>
      <c r="J3505" s="4"/>
      <c r="K3505" s="5"/>
      <c r="L3505" s="6"/>
      <c r="M3505" s="5" t="str">
        <f aca="false">IF(AND(N(K3505)&gt;0,N(L3505)&gt;0),K3505/L3505,"")</f>
        <v/>
      </c>
      <c r="N3505" s="2" t="s">
        <v>1226</v>
      </c>
    </row>
    <row r="3506" customFormat="false" ht="15" hidden="false" customHeight="false" outlineLevel="0" collapsed="false">
      <c r="A3506" s="2" t="n">
        <v>3505</v>
      </c>
      <c r="B3506" s="2" t="s">
        <v>7248</v>
      </c>
      <c r="C3506" s="2" t="s">
        <v>7249</v>
      </c>
      <c r="D3506" s="2"/>
      <c r="E3506" s="2" t="s">
        <v>1345</v>
      </c>
      <c r="F3506" s="3" t="n">
        <v>1.7E-005</v>
      </c>
      <c r="G3506" s="3" t="n">
        <f aca="false">SUM($F$2:F3506)</f>
        <v>0.987272</v>
      </c>
      <c r="H3506" s="4"/>
      <c r="I3506" s="5"/>
      <c r="J3506" s="4"/>
      <c r="K3506" s="5"/>
      <c r="L3506" s="6"/>
      <c r="M3506" s="5" t="str">
        <f aca="false">IF(AND(N(K3506)&gt;0,N(L3506)&gt;0),K3506/L3506,"")</f>
        <v/>
      </c>
      <c r="N3506" s="2" t="s">
        <v>1226</v>
      </c>
    </row>
    <row r="3507" customFormat="false" ht="15" hidden="false" customHeight="false" outlineLevel="0" collapsed="false">
      <c r="A3507" s="2" t="n">
        <v>3506</v>
      </c>
      <c r="B3507" s="2" t="s">
        <v>7250</v>
      </c>
      <c r="C3507" s="2" t="s">
        <v>7251</v>
      </c>
      <c r="D3507" s="2"/>
      <c r="E3507" s="2" t="s">
        <v>289</v>
      </c>
      <c r="F3507" s="3" t="n">
        <v>1.7E-005</v>
      </c>
      <c r="G3507" s="3" t="n">
        <f aca="false">SUM($F$2:F3507)</f>
        <v>0.987289</v>
      </c>
      <c r="H3507" s="4"/>
      <c r="I3507" s="5"/>
      <c r="J3507" s="4"/>
      <c r="K3507" s="5"/>
      <c r="L3507" s="6"/>
      <c r="M3507" s="5" t="str">
        <f aca="false">IF(AND(N(K3507)&gt;0,N(L3507)&gt;0),K3507/L3507,"")</f>
        <v/>
      </c>
      <c r="N3507" s="2" t="s">
        <v>1226</v>
      </c>
    </row>
    <row r="3508" customFormat="false" ht="15" hidden="false" customHeight="false" outlineLevel="0" collapsed="false">
      <c r="A3508" s="2" t="n">
        <v>3507</v>
      </c>
      <c r="B3508" s="2" t="s">
        <v>3198</v>
      </c>
      <c r="C3508" s="2" t="s">
        <v>7252</v>
      </c>
      <c r="D3508" s="2"/>
      <c r="E3508" s="2" t="s">
        <v>614</v>
      </c>
      <c r="F3508" s="3" t="n">
        <v>1.7E-005</v>
      </c>
      <c r="G3508" s="3" t="n">
        <f aca="false">SUM($F$2:F3508)</f>
        <v>0.987306</v>
      </c>
      <c r="H3508" s="4"/>
      <c r="I3508" s="5"/>
      <c r="J3508" s="4"/>
      <c r="K3508" s="5"/>
      <c r="L3508" s="6"/>
      <c r="M3508" s="5" t="str">
        <f aca="false">IF(AND(N(K3508)&gt;0,N(L3508)&gt;0),K3508/L3508,"")</f>
        <v/>
      </c>
      <c r="N3508" s="2" t="s">
        <v>1226</v>
      </c>
    </row>
    <row r="3509" customFormat="false" ht="15" hidden="false" customHeight="false" outlineLevel="0" collapsed="false">
      <c r="A3509" s="2" t="n">
        <v>3508</v>
      </c>
      <c r="B3509" s="2" t="s">
        <v>7253</v>
      </c>
      <c r="C3509" s="2" t="s">
        <v>7254</v>
      </c>
      <c r="D3509" s="2"/>
      <c r="E3509" s="2" t="s">
        <v>17</v>
      </c>
      <c r="F3509" s="3" t="n">
        <v>1.7E-005</v>
      </c>
      <c r="G3509" s="3" t="n">
        <f aca="false">SUM($F$2:F3509)</f>
        <v>0.987323</v>
      </c>
      <c r="H3509" s="4"/>
      <c r="I3509" s="5"/>
      <c r="J3509" s="4"/>
      <c r="K3509" s="5"/>
      <c r="L3509" s="6"/>
      <c r="M3509" s="5" t="str">
        <f aca="false">IF(AND(N(K3509)&gt;0,N(L3509)&gt;0),K3509/L3509,"")</f>
        <v/>
      </c>
      <c r="N3509" s="2" t="s">
        <v>1226</v>
      </c>
    </row>
    <row r="3510" customFormat="false" ht="15" hidden="false" customHeight="false" outlineLevel="0" collapsed="false">
      <c r="A3510" s="2" t="n">
        <v>3509</v>
      </c>
      <c r="B3510" s="2" t="s">
        <v>7255</v>
      </c>
      <c r="C3510" s="2" t="s">
        <v>7256</v>
      </c>
      <c r="D3510" s="2"/>
      <c r="E3510" s="2" t="s">
        <v>52</v>
      </c>
      <c r="F3510" s="3" t="n">
        <v>1.7E-005</v>
      </c>
      <c r="G3510" s="3" t="n">
        <f aca="false">SUM($F$2:F3510)</f>
        <v>0.98734</v>
      </c>
      <c r="H3510" s="4"/>
      <c r="I3510" s="5"/>
      <c r="J3510" s="4"/>
      <c r="K3510" s="5"/>
      <c r="L3510" s="6"/>
      <c r="M3510" s="5" t="str">
        <f aca="false">IF(AND(N(K3510)&gt;0,N(L3510)&gt;0),K3510/L3510,"")</f>
        <v/>
      </c>
      <c r="N3510" s="2" t="s">
        <v>1226</v>
      </c>
    </row>
    <row r="3511" customFormat="false" ht="15" hidden="false" customHeight="false" outlineLevel="0" collapsed="false">
      <c r="A3511" s="2" t="n">
        <v>3510</v>
      </c>
      <c r="B3511" s="2" t="s">
        <v>7257</v>
      </c>
      <c r="C3511" s="2" t="s">
        <v>7258</v>
      </c>
      <c r="D3511" s="2"/>
      <c r="E3511" s="2" t="s">
        <v>1050</v>
      </c>
      <c r="F3511" s="3" t="n">
        <v>1.7E-005</v>
      </c>
      <c r="G3511" s="3" t="n">
        <f aca="false">SUM($F$2:F3511)</f>
        <v>0.987357</v>
      </c>
      <c r="H3511" s="4"/>
      <c r="I3511" s="5"/>
      <c r="J3511" s="4"/>
      <c r="K3511" s="5"/>
      <c r="L3511" s="6"/>
      <c r="M3511" s="5" t="str">
        <f aca="false">IF(AND(N(K3511)&gt;0,N(L3511)&gt;0),K3511/L3511,"")</f>
        <v/>
      </c>
      <c r="N3511" s="2" t="s">
        <v>1226</v>
      </c>
    </row>
    <row r="3512" customFormat="false" ht="15" hidden="false" customHeight="false" outlineLevel="0" collapsed="false">
      <c r="A3512" s="2" t="n">
        <v>3511</v>
      </c>
      <c r="B3512" s="2" t="s">
        <v>7259</v>
      </c>
      <c r="C3512" s="2" t="s">
        <v>7260</v>
      </c>
      <c r="D3512" s="2"/>
      <c r="E3512" s="2" t="s">
        <v>289</v>
      </c>
      <c r="F3512" s="3" t="n">
        <v>1.7E-005</v>
      </c>
      <c r="G3512" s="3" t="n">
        <f aca="false">SUM($F$2:F3512)</f>
        <v>0.987374</v>
      </c>
      <c r="H3512" s="4"/>
      <c r="I3512" s="5"/>
      <c r="J3512" s="4"/>
      <c r="K3512" s="5"/>
      <c r="L3512" s="6"/>
      <c r="M3512" s="5" t="str">
        <f aca="false">IF(AND(N(K3512)&gt;0,N(L3512)&gt;0),K3512/L3512,"")</f>
        <v/>
      </c>
      <c r="N3512" s="2" t="s">
        <v>1226</v>
      </c>
    </row>
    <row r="3513" customFormat="false" ht="15" hidden="false" customHeight="false" outlineLevel="0" collapsed="false">
      <c r="A3513" s="2" t="n">
        <v>3512</v>
      </c>
      <c r="B3513" s="2" t="s">
        <v>7261</v>
      </c>
      <c r="C3513" s="2" t="s">
        <v>7262</v>
      </c>
      <c r="D3513" s="2"/>
      <c r="E3513" s="2" t="s">
        <v>43</v>
      </c>
      <c r="F3513" s="3" t="n">
        <v>1.7E-005</v>
      </c>
      <c r="G3513" s="3" t="n">
        <f aca="false">SUM($F$2:F3513)</f>
        <v>0.987391</v>
      </c>
      <c r="H3513" s="4"/>
      <c r="I3513" s="5"/>
      <c r="J3513" s="4"/>
      <c r="K3513" s="5"/>
      <c r="L3513" s="6"/>
      <c r="M3513" s="5" t="str">
        <f aca="false">IF(AND(N(K3513)&gt;0,N(L3513)&gt;0),K3513/L3513,"")</f>
        <v/>
      </c>
      <c r="N3513" s="2" t="s">
        <v>1226</v>
      </c>
    </row>
    <row r="3514" customFormat="false" ht="15" hidden="false" customHeight="false" outlineLevel="0" collapsed="false">
      <c r="A3514" s="2" t="n">
        <v>3513</v>
      </c>
      <c r="B3514" s="2" t="s">
        <v>7263</v>
      </c>
      <c r="C3514" s="2" t="s">
        <v>7264</v>
      </c>
      <c r="D3514" s="2"/>
      <c r="E3514" s="2" t="s">
        <v>43</v>
      </c>
      <c r="F3514" s="3" t="n">
        <v>1.7E-005</v>
      </c>
      <c r="G3514" s="3" t="n">
        <f aca="false">SUM($F$2:F3514)</f>
        <v>0.987408</v>
      </c>
      <c r="H3514" s="4"/>
      <c r="I3514" s="5"/>
      <c r="J3514" s="4"/>
      <c r="K3514" s="5"/>
      <c r="L3514" s="6"/>
      <c r="M3514" s="5" t="str">
        <f aca="false">IF(AND(N(K3514)&gt;0,N(L3514)&gt;0),K3514/L3514,"")</f>
        <v/>
      </c>
      <c r="N3514" s="2" t="s">
        <v>1226</v>
      </c>
    </row>
    <row r="3515" customFormat="false" ht="15" hidden="false" customHeight="false" outlineLevel="0" collapsed="false">
      <c r="A3515" s="2" t="n">
        <v>3514</v>
      </c>
      <c r="B3515" s="2" t="s">
        <v>7265</v>
      </c>
      <c r="C3515" s="2" t="s">
        <v>7266</v>
      </c>
      <c r="D3515" s="2"/>
      <c r="E3515" s="2" t="s">
        <v>1345</v>
      </c>
      <c r="F3515" s="3" t="n">
        <v>1.7E-005</v>
      </c>
      <c r="G3515" s="3" t="n">
        <f aca="false">SUM($F$2:F3515)</f>
        <v>0.987425</v>
      </c>
      <c r="H3515" s="4"/>
      <c r="I3515" s="5"/>
      <c r="J3515" s="4"/>
      <c r="K3515" s="5"/>
      <c r="L3515" s="6"/>
      <c r="M3515" s="5" t="str">
        <f aca="false">IF(AND(N(K3515)&gt;0,N(L3515)&gt;0),K3515/L3515,"")</f>
        <v/>
      </c>
      <c r="N3515" s="2" t="s">
        <v>1226</v>
      </c>
    </row>
    <row r="3516" customFormat="false" ht="15" hidden="false" customHeight="false" outlineLevel="0" collapsed="false">
      <c r="A3516" s="2" t="n">
        <v>3515</v>
      </c>
      <c r="B3516" s="2" t="s">
        <v>7267</v>
      </c>
      <c r="C3516" s="2" t="s">
        <v>7268</v>
      </c>
      <c r="D3516" s="2"/>
      <c r="E3516" s="2" t="s">
        <v>289</v>
      </c>
      <c r="F3516" s="3" t="n">
        <v>1.7E-005</v>
      </c>
      <c r="G3516" s="3" t="n">
        <f aca="false">SUM($F$2:F3516)</f>
        <v>0.987442</v>
      </c>
      <c r="H3516" s="4"/>
      <c r="I3516" s="5"/>
      <c r="J3516" s="4"/>
      <c r="K3516" s="5"/>
      <c r="L3516" s="6"/>
      <c r="M3516" s="5" t="str">
        <f aca="false">IF(AND(N(K3516)&gt;0,N(L3516)&gt;0),K3516/L3516,"")</f>
        <v/>
      </c>
      <c r="N3516" s="2" t="s">
        <v>1226</v>
      </c>
    </row>
    <row r="3517" customFormat="false" ht="15" hidden="false" customHeight="false" outlineLevel="0" collapsed="false">
      <c r="A3517" s="2" t="n">
        <v>3516</v>
      </c>
      <c r="B3517" s="2" t="s">
        <v>7269</v>
      </c>
      <c r="C3517" s="2" t="s">
        <v>7270</v>
      </c>
      <c r="D3517" s="2"/>
      <c r="E3517" s="2" t="s">
        <v>43</v>
      </c>
      <c r="F3517" s="3" t="n">
        <v>1.7E-005</v>
      </c>
      <c r="G3517" s="3" t="n">
        <f aca="false">SUM($F$2:F3517)</f>
        <v>0.987459</v>
      </c>
      <c r="H3517" s="4"/>
      <c r="I3517" s="5"/>
      <c r="J3517" s="4"/>
      <c r="K3517" s="5"/>
      <c r="L3517" s="6"/>
      <c r="M3517" s="5" t="str">
        <f aca="false">IF(AND(N(K3517)&gt;0,N(L3517)&gt;0),K3517/L3517,"")</f>
        <v/>
      </c>
      <c r="N3517" s="2" t="s">
        <v>1226</v>
      </c>
    </row>
    <row r="3518" customFormat="false" ht="15" hidden="false" customHeight="false" outlineLevel="0" collapsed="false">
      <c r="A3518" s="2" t="n">
        <v>3517</v>
      </c>
      <c r="B3518" s="2" t="s">
        <v>7271</v>
      </c>
      <c r="C3518" s="2" t="s">
        <v>7272</v>
      </c>
      <c r="D3518" s="2"/>
      <c r="E3518" s="2" t="s">
        <v>1345</v>
      </c>
      <c r="F3518" s="3" t="n">
        <v>1.7E-005</v>
      </c>
      <c r="G3518" s="3" t="n">
        <f aca="false">SUM($F$2:F3518)</f>
        <v>0.987476</v>
      </c>
      <c r="H3518" s="4"/>
      <c r="I3518" s="5"/>
      <c r="J3518" s="4"/>
      <c r="K3518" s="5"/>
      <c r="L3518" s="6"/>
      <c r="M3518" s="5" t="str">
        <f aca="false">IF(AND(N(K3518)&gt;0,N(L3518)&gt;0),K3518/L3518,"")</f>
        <v/>
      </c>
      <c r="N3518" s="2" t="s">
        <v>1226</v>
      </c>
    </row>
    <row r="3519" customFormat="false" ht="15" hidden="false" customHeight="false" outlineLevel="0" collapsed="false">
      <c r="A3519" s="2" t="n">
        <v>3518</v>
      </c>
      <c r="B3519" s="2" t="s">
        <v>7273</v>
      </c>
      <c r="C3519" s="2" t="s">
        <v>7274</v>
      </c>
      <c r="D3519" s="2"/>
      <c r="E3519" s="2" t="s">
        <v>52</v>
      </c>
      <c r="F3519" s="3" t="n">
        <v>1.7E-005</v>
      </c>
      <c r="G3519" s="3" t="n">
        <f aca="false">SUM($F$2:F3519)</f>
        <v>0.987493</v>
      </c>
      <c r="H3519" s="4"/>
      <c r="I3519" s="5"/>
      <c r="J3519" s="4"/>
      <c r="K3519" s="5"/>
      <c r="L3519" s="6"/>
      <c r="M3519" s="5" t="str">
        <f aca="false">IF(AND(N(K3519)&gt;0,N(L3519)&gt;0),K3519/L3519,"")</f>
        <v/>
      </c>
      <c r="N3519" s="2" t="s">
        <v>1226</v>
      </c>
    </row>
    <row r="3520" customFormat="false" ht="15" hidden="false" customHeight="false" outlineLevel="0" collapsed="false">
      <c r="A3520" s="2" t="n">
        <v>3519</v>
      </c>
      <c r="B3520" s="2" t="s">
        <v>7275</v>
      </c>
      <c r="C3520" s="2" t="s">
        <v>7276</v>
      </c>
      <c r="D3520" s="2"/>
      <c r="E3520" s="2" t="s">
        <v>29</v>
      </c>
      <c r="F3520" s="3" t="n">
        <v>1.7E-005</v>
      </c>
      <c r="G3520" s="3" t="n">
        <f aca="false">SUM($F$2:F3520)</f>
        <v>0.98751</v>
      </c>
      <c r="H3520" s="4"/>
      <c r="I3520" s="5"/>
      <c r="J3520" s="4"/>
      <c r="K3520" s="5"/>
      <c r="L3520" s="6"/>
      <c r="M3520" s="5" t="str">
        <f aca="false">IF(AND(N(K3520)&gt;0,N(L3520)&gt;0),K3520/L3520,"")</f>
        <v/>
      </c>
      <c r="N3520" s="2" t="s">
        <v>1226</v>
      </c>
    </row>
    <row r="3521" customFormat="false" ht="15" hidden="false" customHeight="false" outlineLevel="0" collapsed="false">
      <c r="A3521" s="2" t="n">
        <v>3520</v>
      </c>
      <c r="B3521" s="2" t="s">
        <v>7277</v>
      </c>
      <c r="C3521" s="2" t="s">
        <v>7278</v>
      </c>
      <c r="D3521" s="2"/>
      <c r="E3521" s="2" t="s">
        <v>1345</v>
      </c>
      <c r="F3521" s="3" t="n">
        <v>1.7E-005</v>
      </c>
      <c r="G3521" s="3" t="n">
        <f aca="false">SUM($F$2:F3521)</f>
        <v>0.987527</v>
      </c>
      <c r="H3521" s="4"/>
      <c r="I3521" s="5"/>
      <c r="J3521" s="4"/>
      <c r="K3521" s="5"/>
      <c r="L3521" s="6"/>
      <c r="M3521" s="5" t="str">
        <f aca="false">IF(AND(N(K3521)&gt;0,N(L3521)&gt;0),K3521/L3521,"")</f>
        <v/>
      </c>
      <c r="N3521" s="2" t="s">
        <v>1226</v>
      </c>
    </row>
    <row r="3522" customFormat="false" ht="15" hidden="false" customHeight="false" outlineLevel="0" collapsed="false">
      <c r="A3522" s="2" t="n">
        <v>3521</v>
      </c>
      <c r="B3522" s="2" t="s">
        <v>7279</v>
      </c>
      <c r="C3522" s="2" t="s">
        <v>7280</v>
      </c>
      <c r="D3522" s="2"/>
      <c r="E3522" s="2" t="s">
        <v>1345</v>
      </c>
      <c r="F3522" s="3" t="n">
        <v>1.7E-005</v>
      </c>
      <c r="G3522" s="3" t="n">
        <f aca="false">SUM($F$2:F3522)</f>
        <v>0.987544</v>
      </c>
      <c r="H3522" s="4"/>
      <c r="I3522" s="5"/>
      <c r="J3522" s="4"/>
      <c r="K3522" s="5"/>
      <c r="L3522" s="6"/>
      <c r="M3522" s="5" t="str">
        <f aca="false">IF(AND(N(K3522)&gt;0,N(L3522)&gt;0),K3522/L3522,"")</f>
        <v/>
      </c>
      <c r="N3522" s="2" t="s">
        <v>1226</v>
      </c>
    </row>
    <row r="3523" customFormat="false" ht="15" hidden="false" customHeight="false" outlineLevel="0" collapsed="false">
      <c r="A3523" s="2" t="n">
        <v>3522</v>
      </c>
      <c r="B3523" s="2" t="s">
        <v>7281</v>
      </c>
      <c r="C3523" s="2" t="s">
        <v>7282</v>
      </c>
      <c r="D3523" s="2"/>
      <c r="E3523" s="2" t="s">
        <v>1345</v>
      </c>
      <c r="F3523" s="3" t="n">
        <v>1.7E-005</v>
      </c>
      <c r="G3523" s="3" t="n">
        <f aca="false">SUM($F$2:F3523)</f>
        <v>0.987561</v>
      </c>
      <c r="H3523" s="4"/>
      <c r="I3523" s="5"/>
      <c r="J3523" s="4"/>
      <c r="K3523" s="5"/>
      <c r="L3523" s="6"/>
      <c r="M3523" s="5" t="str">
        <f aca="false">IF(AND(N(K3523)&gt;0,N(L3523)&gt;0),K3523/L3523,"")</f>
        <v/>
      </c>
      <c r="N3523" s="2" t="s">
        <v>1226</v>
      </c>
    </row>
    <row r="3524" customFormat="false" ht="15" hidden="false" customHeight="false" outlineLevel="0" collapsed="false">
      <c r="A3524" s="2" t="n">
        <v>3523</v>
      </c>
      <c r="B3524" s="2" t="s">
        <v>7283</v>
      </c>
      <c r="C3524" s="2" t="s">
        <v>7284</v>
      </c>
      <c r="D3524" s="2"/>
      <c r="E3524" s="2" t="s">
        <v>289</v>
      </c>
      <c r="F3524" s="3" t="n">
        <v>1.7E-005</v>
      </c>
      <c r="G3524" s="3" t="n">
        <f aca="false">SUM($F$2:F3524)</f>
        <v>0.987578</v>
      </c>
      <c r="H3524" s="4"/>
      <c r="I3524" s="5"/>
      <c r="J3524" s="4"/>
      <c r="K3524" s="5"/>
      <c r="L3524" s="6"/>
      <c r="M3524" s="5" t="str">
        <f aca="false">IF(AND(N(K3524)&gt;0,N(L3524)&gt;0),K3524/L3524,"")</f>
        <v/>
      </c>
      <c r="N3524" s="2" t="s">
        <v>1226</v>
      </c>
    </row>
    <row r="3525" customFormat="false" ht="15" hidden="false" customHeight="false" outlineLevel="0" collapsed="false">
      <c r="A3525" s="2" t="n">
        <v>3524</v>
      </c>
      <c r="B3525" s="2" t="s">
        <v>7285</v>
      </c>
      <c r="C3525" s="2" t="s">
        <v>7286</v>
      </c>
      <c r="D3525" s="2"/>
      <c r="E3525" s="2" t="s">
        <v>296</v>
      </c>
      <c r="F3525" s="3" t="n">
        <v>1.7E-005</v>
      </c>
      <c r="G3525" s="3" t="n">
        <f aca="false">SUM($F$2:F3525)</f>
        <v>0.987595</v>
      </c>
      <c r="H3525" s="4"/>
      <c r="I3525" s="5"/>
      <c r="J3525" s="4"/>
      <c r="K3525" s="5"/>
      <c r="L3525" s="6"/>
      <c r="M3525" s="5" t="str">
        <f aca="false">IF(AND(N(K3525)&gt;0,N(L3525)&gt;0),K3525/L3525,"")</f>
        <v/>
      </c>
      <c r="N3525" s="2" t="s">
        <v>1226</v>
      </c>
    </row>
    <row r="3526" customFormat="false" ht="15" hidden="false" customHeight="false" outlineLevel="0" collapsed="false">
      <c r="A3526" s="2" t="n">
        <v>3525</v>
      </c>
      <c r="B3526" s="2" t="s">
        <v>7287</v>
      </c>
      <c r="C3526" s="2" t="s">
        <v>7288</v>
      </c>
      <c r="D3526" s="2"/>
      <c r="E3526" s="2" t="s">
        <v>289</v>
      </c>
      <c r="F3526" s="3" t="n">
        <v>1.7E-005</v>
      </c>
      <c r="G3526" s="3" t="n">
        <f aca="false">SUM($F$2:F3526)</f>
        <v>0.987612</v>
      </c>
      <c r="H3526" s="4"/>
      <c r="I3526" s="5"/>
      <c r="J3526" s="4"/>
      <c r="K3526" s="5"/>
      <c r="L3526" s="6"/>
      <c r="M3526" s="5" t="str">
        <f aca="false">IF(AND(N(K3526)&gt;0,N(L3526)&gt;0),K3526/L3526,"")</f>
        <v/>
      </c>
      <c r="N3526" s="2" t="s">
        <v>1226</v>
      </c>
    </row>
    <row r="3527" customFormat="false" ht="15" hidden="false" customHeight="false" outlineLevel="0" collapsed="false">
      <c r="A3527" s="2" t="n">
        <v>3526</v>
      </c>
      <c r="B3527" s="2" t="s">
        <v>7289</v>
      </c>
      <c r="C3527" s="2" t="s">
        <v>7290</v>
      </c>
      <c r="D3527" s="2"/>
      <c r="E3527" s="2" t="s">
        <v>1345</v>
      </c>
      <c r="F3527" s="3" t="n">
        <v>1.7E-005</v>
      </c>
      <c r="G3527" s="3" t="n">
        <f aca="false">SUM($F$2:F3527)</f>
        <v>0.987629</v>
      </c>
      <c r="H3527" s="4"/>
      <c r="I3527" s="5"/>
      <c r="J3527" s="4"/>
      <c r="K3527" s="5"/>
      <c r="L3527" s="6"/>
      <c r="M3527" s="5" t="str">
        <f aca="false">IF(AND(N(K3527)&gt;0,N(L3527)&gt;0),K3527/L3527,"")</f>
        <v/>
      </c>
      <c r="N3527" s="2" t="s">
        <v>1226</v>
      </c>
    </row>
    <row r="3528" customFormat="false" ht="15" hidden="false" customHeight="false" outlineLevel="0" collapsed="false">
      <c r="A3528" s="2" t="n">
        <v>3527</v>
      </c>
      <c r="B3528" s="2" t="s">
        <v>7291</v>
      </c>
      <c r="C3528" s="2" t="s">
        <v>7292</v>
      </c>
      <c r="D3528" s="2"/>
      <c r="E3528" s="2" t="s">
        <v>1345</v>
      </c>
      <c r="F3528" s="3" t="n">
        <v>1.7E-005</v>
      </c>
      <c r="G3528" s="3" t="n">
        <f aca="false">SUM($F$2:F3528)</f>
        <v>0.987646</v>
      </c>
      <c r="H3528" s="4"/>
      <c r="I3528" s="5"/>
      <c r="J3528" s="4"/>
      <c r="K3528" s="5"/>
      <c r="L3528" s="6"/>
      <c r="M3528" s="5" t="str">
        <f aca="false">IF(AND(N(K3528)&gt;0,N(L3528)&gt;0),K3528/L3528,"")</f>
        <v/>
      </c>
      <c r="N3528" s="2" t="s">
        <v>1226</v>
      </c>
    </row>
    <row r="3529" customFormat="false" ht="15" hidden="false" customHeight="false" outlineLevel="0" collapsed="false">
      <c r="A3529" s="2" t="n">
        <v>3528</v>
      </c>
      <c r="B3529" s="2" t="s">
        <v>7293</v>
      </c>
      <c r="C3529" s="2" t="s">
        <v>7294</v>
      </c>
      <c r="D3529" s="2"/>
      <c r="E3529" s="2" t="s">
        <v>289</v>
      </c>
      <c r="F3529" s="3" t="n">
        <v>1.7E-005</v>
      </c>
      <c r="G3529" s="3" t="n">
        <f aca="false">SUM($F$2:F3529)</f>
        <v>0.987663</v>
      </c>
      <c r="H3529" s="4"/>
      <c r="I3529" s="5"/>
      <c r="J3529" s="4"/>
      <c r="K3529" s="5"/>
      <c r="L3529" s="6"/>
      <c r="M3529" s="5" t="str">
        <f aca="false">IF(AND(N(K3529)&gt;0,N(L3529)&gt;0),K3529/L3529,"")</f>
        <v/>
      </c>
      <c r="N3529" s="2" t="s">
        <v>1226</v>
      </c>
    </row>
    <row r="3530" customFormat="false" ht="15" hidden="false" customHeight="false" outlineLevel="0" collapsed="false">
      <c r="A3530" s="2" t="n">
        <v>3529</v>
      </c>
      <c r="B3530" s="2" t="s">
        <v>7295</v>
      </c>
      <c r="C3530" s="2" t="s">
        <v>7296</v>
      </c>
      <c r="D3530" s="2"/>
      <c r="E3530" s="2" t="s">
        <v>52</v>
      </c>
      <c r="F3530" s="3" t="n">
        <v>1.7E-005</v>
      </c>
      <c r="G3530" s="3" t="n">
        <f aca="false">SUM($F$2:F3530)</f>
        <v>0.98768</v>
      </c>
      <c r="H3530" s="4"/>
      <c r="I3530" s="5"/>
      <c r="J3530" s="4"/>
      <c r="K3530" s="5"/>
      <c r="L3530" s="6"/>
      <c r="M3530" s="5" t="str">
        <f aca="false">IF(AND(N(K3530)&gt;0,N(L3530)&gt;0),K3530/L3530,"")</f>
        <v/>
      </c>
      <c r="N3530" s="2" t="s">
        <v>1226</v>
      </c>
    </row>
    <row r="3531" customFormat="false" ht="15" hidden="false" customHeight="false" outlineLevel="0" collapsed="false">
      <c r="A3531" s="2" t="n">
        <v>3530</v>
      </c>
      <c r="B3531" s="2" t="s">
        <v>7297</v>
      </c>
      <c r="C3531" s="2" t="s">
        <v>7298</v>
      </c>
      <c r="D3531" s="2"/>
      <c r="E3531" s="2" t="s">
        <v>1345</v>
      </c>
      <c r="F3531" s="3" t="n">
        <v>1.7E-005</v>
      </c>
      <c r="G3531" s="3" t="n">
        <f aca="false">SUM($F$2:F3531)</f>
        <v>0.987697</v>
      </c>
      <c r="H3531" s="4"/>
      <c r="I3531" s="5"/>
      <c r="J3531" s="4"/>
      <c r="K3531" s="5"/>
      <c r="L3531" s="6"/>
      <c r="M3531" s="5" t="str">
        <f aca="false">IF(AND(N(K3531)&gt;0,N(L3531)&gt;0),K3531/L3531,"")</f>
        <v/>
      </c>
      <c r="N3531" s="2" t="s">
        <v>1226</v>
      </c>
    </row>
    <row r="3532" customFormat="false" ht="15" hidden="false" customHeight="false" outlineLevel="0" collapsed="false">
      <c r="A3532" s="2" t="n">
        <v>3531</v>
      </c>
      <c r="B3532" s="2" t="s">
        <v>7299</v>
      </c>
      <c r="C3532" s="2" t="s">
        <v>7300</v>
      </c>
      <c r="D3532" s="2"/>
      <c r="E3532" s="2" t="s">
        <v>1345</v>
      </c>
      <c r="F3532" s="3" t="n">
        <v>1.7E-005</v>
      </c>
      <c r="G3532" s="3" t="n">
        <f aca="false">SUM($F$2:F3532)</f>
        <v>0.987714</v>
      </c>
      <c r="H3532" s="4"/>
      <c r="I3532" s="5"/>
      <c r="J3532" s="4"/>
      <c r="K3532" s="5"/>
      <c r="L3532" s="6"/>
      <c r="M3532" s="5" t="str">
        <f aca="false">IF(AND(N(K3532)&gt;0,N(L3532)&gt;0),K3532/L3532,"")</f>
        <v/>
      </c>
      <c r="N3532" s="2" t="s">
        <v>1226</v>
      </c>
    </row>
    <row r="3533" customFormat="false" ht="15" hidden="false" customHeight="false" outlineLevel="0" collapsed="false">
      <c r="A3533" s="2" t="n">
        <v>3532</v>
      </c>
      <c r="B3533" s="2" t="s">
        <v>7301</v>
      </c>
      <c r="C3533" s="2" t="s">
        <v>7302</v>
      </c>
      <c r="D3533" s="2"/>
      <c r="E3533" s="2" t="s">
        <v>43</v>
      </c>
      <c r="F3533" s="3" t="n">
        <v>1.7E-005</v>
      </c>
      <c r="G3533" s="3" t="n">
        <f aca="false">SUM($F$2:F3533)</f>
        <v>0.987731</v>
      </c>
      <c r="H3533" s="4"/>
      <c r="I3533" s="5"/>
      <c r="J3533" s="4"/>
      <c r="K3533" s="5"/>
      <c r="L3533" s="6"/>
      <c r="M3533" s="5" t="str">
        <f aca="false">IF(AND(N(K3533)&gt;0,N(L3533)&gt;0),K3533/L3533,"")</f>
        <v/>
      </c>
      <c r="N3533" s="2" t="s">
        <v>1226</v>
      </c>
    </row>
    <row r="3534" customFormat="false" ht="15" hidden="false" customHeight="false" outlineLevel="0" collapsed="false">
      <c r="A3534" s="2" t="n">
        <v>3533</v>
      </c>
      <c r="B3534" s="2" t="s">
        <v>7303</v>
      </c>
      <c r="C3534" s="2" t="s">
        <v>7304</v>
      </c>
      <c r="D3534" s="2"/>
      <c r="E3534" s="2" t="s">
        <v>289</v>
      </c>
      <c r="F3534" s="3" t="n">
        <v>1.7E-005</v>
      </c>
      <c r="G3534" s="3" t="n">
        <f aca="false">SUM($F$2:F3534)</f>
        <v>0.987748</v>
      </c>
      <c r="H3534" s="4"/>
      <c r="I3534" s="5"/>
      <c r="J3534" s="4"/>
      <c r="K3534" s="5"/>
      <c r="L3534" s="6"/>
      <c r="M3534" s="5" t="str">
        <f aca="false">IF(AND(N(K3534)&gt;0,N(L3534)&gt;0),K3534/L3534,"")</f>
        <v/>
      </c>
      <c r="N3534" s="2" t="s">
        <v>1226</v>
      </c>
    </row>
    <row r="3535" customFormat="false" ht="15" hidden="false" customHeight="false" outlineLevel="0" collapsed="false">
      <c r="A3535" s="2" t="n">
        <v>3534</v>
      </c>
      <c r="B3535" s="2" t="s">
        <v>7305</v>
      </c>
      <c r="C3535" s="2" t="s">
        <v>7306</v>
      </c>
      <c r="D3535" s="2"/>
      <c r="E3535" s="2" t="s">
        <v>1345</v>
      </c>
      <c r="F3535" s="3" t="n">
        <v>1.6E-005</v>
      </c>
      <c r="G3535" s="3" t="n">
        <f aca="false">SUM($F$2:F3535)</f>
        <v>0.987764</v>
      </c>
      <c r="H3535" s="4"/>
      <c r="I3535" s="5"/>
      <c r="J3535" s="4"/>
      <c r="K3535" s="5"/>
      <c r="L3535" s="6"/>
      <c r="M3535" s="5" t="str">
        <f aca="false">IF(AND(N(K3535)&gt;0,N(L3535)&gt;0),K3535/L3535,"")</f>
        <v/>
      </c>
      <c r="N3535" s="2" t="s">
        <v>1226</v>
      </c>
    </row>
    <row r="3536" customFormat="false" ht="15" hidden="false" customHeight="false" outlineLevel="0" collapsed="false">
      <c r="A3536" s="2" t="n">
        <v>3535</v>
      </c>
      <c r="B3536" s="2" t="s">
        <v>7307</v>
      </c>
      <c r="C3536" s="2" t="s">
        <v>7308</v>
      </c>
      <c r="D3536" s="2"/>
      <c r="E3536" s="2" t="s">
        <v>17</v>
      </c>
      <c r="F3536" s="3" t="n">
        <v>1.6E-005</v>
      </c>
      <c r="G3536" s="3" t="n">
        <f aca="false">SUM($F$2:F3536)</f>
        <v>0.98778</v>
      </c>
      <c r="H3536" s="4"/>
      <c r="I3536" s="5"/>
      <c r="J3536" s="4"/>
      <c r="K3536" s="5"/>
      <c r="L3536" s="6"/>
      <c r="M3536" s="5" t="str">
        <f aca="false">IF(AND(N(K3536)&gt;0,N(L3536)&gt;0),K3536/L3536,"")</f>
        <v/>
      </c>
      <c r="N3536" s="2" t="s">
        <v>1226</v>
      </c>
    </row>
    <row r="3537" customFormat="false" ht="15" hidden="false" customHeight="false" outlineLevel="0" collapsed="false">
      <c r="A3537" s="2" t="n">
        <v>3536</v>
      </c>
      <c r="B3537" s="2" t="s">
        <v>7309</v>
      </c>
      <c r="C3537" s="2" t="s">
        <v>7310</v>
      </c>
      <c r="D3537" s="2"/>
      <c r="E3537" s="2" t="s">
        <v>17</v>
      </c>
      <c r="F3537" s="3" t="n">
        <v>1.6E-005</v>
      </c>
      <c r="G3537" s="3" t="n">
        <f aca="false">SUM($F$2:F3537)</f>
        <v>0.987796</v>
      </c>
      <c r="H3537" s="4"/>
      <c r="I3537" s="5"/>
      <c r="J3537" s="4"/>
      <c r="K3537" s="5"/>
      <c r="L3537" s="6"/>
      <c r="M3537" s="5" t="str">
        <f aca="false">IF(AND(N(K3537)&gt;0,N(L3537)&gt;0),K3537/L3537,"")</f>
        <v/>
      </c>
      <c r="N3537" s="2" t="s">
        <v>1226</v>
      </c>
    </row>
    <row r="3538" customFormat="false" ht="15" hidden="false" customHeight="false" outlineLevel="0" collapsed="false">
      <c r="A3538" s="2" t="n">
        <v>3537</v>
      </c>
      <c r="B3538" s="2" t="s">
        <v>7311</v>
      </c>
      <c r="C3538" s="2" t="s">
        <v>7312</v>
      </c>
      <c r="D3538" s="2"/>
      <c r="E3538" s="2" t="s">
        <v>1345</v>
      </c>
      <c r="F3538" s="3" t="n">
        <v>1.6E-005</v>
      </c>
      <c r="G3538" s="3" t="n">
        <f aca="false">SUM($F$2:F3538)</f>
        <v>0.987812</v>
      </c>
      <c r="H3538" s="4"/>
      <c r="I3538" s="5"/>
      <c r="J3538" s="4"/>
      <c r="K3538" s="5"/>
      <c r="L3538" s="6"/>
      <c r="M3538" s="5" t="str">
        <f aca="false">IF(AND(N(K3538)&gt;0,N(L3538)&gt;0),K3538/L3538,"")</f>
        <v/>
      </c>
      <c r="N3538" s="2" t="s">
        <v>1226</v>
      </c>
    </row>
    <row r="3539" customFormat="false" ht="15" hidden="false" customHeight="false" outlineLevel="0" collapsed="false">
      <c r="A3539" s="2" t="n">
        <v>3538</v>
      </c>
      <c r="B3539" s="2" t="s">
        <v>7313</v>
      </c>
      <c r="C3539" s="2" t="s">
        <v>7314</v>
      </c>
      <c r="D3539" s="2"/>
      <c r="E3539" s="2" t="s">
        <v>52</v>
      </c>
      <c r="F3539" s="3" t="n">
        <v>1.6E-005</v>
      </c>
      <c r="G3539" s="3" t="n">
        <f aca="false">SUM($F$2:F3539)</f>
        <v>0.987828</v>
      </c>
      <c r="H3539" s="4"/>
      <c r="I3539" s="5"/>
      <c r="J3539" s="4"/>
      <c r="K3539" s="5"/>
      <c r="L3539" s="6"/>
      <c r="M3539" s="5" t="str">
        <f aca="false">IF(AND(N(K3539)&gt;0,N(L3539)&gt;0),K3539/L3539,"")</f>
        <v/>
      </c>
      <c r="N3539" s="2" t="s">
        <v>1226</v>
      </c>
    </row>
    <row r="3540" customFormat="false" ht="15" hidden="false" customHeight="false" outlineLevel="0" collapsed="false">
      <c r="A3540" s="2" t="n">
        <v>3539</v>
      </c>
      <c r="B3540" s="2" t="s">
        <v>7315</v>
      </c>
      <c r="C3540" s="2" t="s">
        <v>7316</v>
      </c>
      <c r="D3540" s="2"/>
      <c r="E3540" s="2" t="s">
        <v>1050</v>
      </c>
      <c r="F3540" s="3" t="n">
        <v>1.6E-005</v>
      </c>
      <c r="G3540" s="3" t="n">
        <f aca="false">SUM($F$2:F3540)</f>
        <v>0.987844</v>
      </c>
      <c r="H3540" s="4"/>
      <c r="I3540" s="5"/>
      <c r="J3540" s="4"/>
      <c r="K3540" s="5"/>
      <c r="L3540" s="6"/>
      <c r="M3540" s="5" t="str">
        <f aca="false">IF(AND(N(K3540)&gt;0,N(L3540)&gt;0),K3540/L3540,"")</f>
        <v/>
      </c>
      <c r="N3540" s="2" t="s">
        <v>1226</v>
      </c>
    </row>
    <row r="3541" customFormat="false" ht="15" hidden="false" customHeight="false" outlineLevel="0" collapsed="false">
      <c r="A3541" s="2" t="n">
        <v>3540</v>
      </c>
      <c r="B3541" s="2" t="s">
        <v>7317</v>
      </c>
      <c r="C3541" s="2" t="s">
        <v>7318</v>
      </c>
      <c r="D3541" s="2"/>
      <c r="E3541" s="2" t="s">
        <v>1345</v>
      </c>
      <c r="F3541" s="3" t="n">
        <v>1.6E-005</v>
      </c>
      <c r="G3541" s="3" t="n">
        <f aca="false">SUM($F$2:F3541)</f>
        <v>0.98786</v>
      </c>
      <c r="H3541" s="4"/>
      <c r="I3541" s="5"/>
      <c r="J3541" s="4"/>
      <c r="K3541" s="5"/>
      <c r="L3541" s="6"/>
      <c r="M3541" s="5" t="str">
        <f aca="false">IF(AND(N(K3541)&gt;0,N(L3541)&gt;0),K3541/L3541,"")</f>
        <v/>
      </c>
      <c r="N3541" s="2" t="s">
        <v>1226</v>
      </c>
    </row>
    <row r="3542" customFormat="false" ht="15" hidden="false" customHeight="false" outlineLevel="0" collapsed="false">
      <c r="A3542" s="2" t="n">
        <v>3541</v>
      </c>
      <c r="B3542" s="2" t="s">
        <v>7319</v>
      </c>
      <c r="C3542" s="2" t="s">
        <v>7320</v>
      </c>
      <c r="D3542" s="2"/>
      <c r="E3542" s="2" t="s">
        <v>1345</v>
      </c>
      <c r="F3542" s="3" t="n">
        <v>1.6E-005</v>
      </c>
      <c r="G3542" s="3" t="n">
        <f aca="false">SUM($F$2:F3542)</f>
        <v>0.987876</v>
      </c>
      <c r="H3542" s="4"/>
      <c r="I3542" s="5"/>
      <c r="J3542" s="4"/>
      <c r="K3542" s="5"/>
      <c r="L3542" s="6"/>
      <c r="M3542" s="5" t="str">
        <f aca="false">IF(AND(N(K3542)&gt;0,N(L3542)&gt;0),K3542/L3542,"")</f>
        <v/>
      </c>
      <c r="N3542" s="2" t="s">
        <v>1226</v>
      </c>
    </row>
    <row r="3543" customFormat="false" ht="15" hidden="false" customHeight="false" outlineLevel="0" collapsed="false">
      <c r="A3543" s="2" t="n">
        <v>3542</v>
      </c>
      <c r="B3543" s="2" t="s">
        <v>7321</v>
      </c>
      <c r="C3543" s="2" t="s">
        <v>7322</v>
      </c>
      <c r="D3543" s="2"/>
      <c r="E3543" s="2" t="s">
        <v>1345</v>
      </c>
      <c r="F3543" s="3" t="n">
        <v>1.6E-005</v>
      </c>
      <c r="G3543" s="3" t="n">
        <f aca="false">SUM($F$2:F3543)</f>
        <v>0.987892</v>
      </c>
      <c r="H3543" s="4"/>
      <c r="I3543" s="5"/>
      <c r="J3543" s="4"/>
      <c r="K3543" s="5"/>
      <c r="L3543" s="6"/>
      <c r="M3543" s="5" t="str">
        <f aca="false">IF(AND(N(K3543)&gt;0,N(L3543)&gt;0),K3543/L3543,"")</f>
        <v/>
      </c>
      <c r="N3543" s="2" t="s">
        <v>1226</v>
      </c>
    </row>
    <row r="3544" customFormat="false" ht="15" hidden="false" customHeight="false" outlineLevel="0" collapsed="false">
      <c r="A3544" s="2" t="n">
        <v>3543</v>
      </c>
      <c r="B3544" s="2" t="s">
        <v>7323</v>
      </c>
      <c r="C3544" s="2" t="s">
        <v>7324</v>
      </c>
      <c r="D3544" s="2"/>
      <c r="E3544" s="2" t="s">
        <v>52</v>
      </c>
      <c r="F3544" s="3" t="n">
        <v>1.6E-005</v>
      </c>
      <c r="G3544" s="3" t="n">
        <f aca="false">SUM($F$2:F3544)</f>
        <v>0.987908</v>
      </c>
      <c r="H3544" s="4"/>
      <c r="I3544" s="5"/>
      <c r="J3544" s="4"/>
      <c r="K3544" s="5"/>
      <c r="L3544" s="6"/>
      <c r="M3544" s="5" t="str">
        <f aca="false">IF(AND(N(K3544)&gt;0,N(L3544)&gt;0),K3544/L3544,"")</f>
        <v/>
      </c>
      <c r="N3544" s="2" t="s">
        <v>1226</v>
      </c>
    </row>
    <row r="3545" customFormat="false" ht="15" hidden="false" customHeight="false" outlineLevel="0" collapsed="false">
      <c r="A3545" s="2" t="n">
        <v>3544</v>
      </c>
      <c r="B3545" s="2" t="s">
        <v>7325</v>
      </c>
      <c r="C3545" s="2" t="s">
        <v>7326</v>
      </c>
      <c r="D3545" s="2"/>
      <c r="E3545" s="2" t="s">
        <v>289</v>
      </c>
      <c r="F3545" s="3" t="n">
        <v>1.6E-005</v>
      </c>
      <c r="G3545" s="3" t="n">
        <f aca="false">SUM($F$2:F3545)</f>
        <v>0.987924</v>
      </c>
      <c r="H3545" s="4"/>
      <c r="I3545" s="5"/>
      <c r="J3545" s="4"/>
      <c r="K3545" s="5"/>
      <c r="L3545" s="6"/>
      <c r="M3545" s="5" t="str">
        <f aca="false">IF(AND(N(K3545)&gt;0,N(L3545)&gt;0),K3545/L3545,"")</f>
        <v/>
      </c>
      <c r="N3545" s="2" t="s">
        <v>1226</v>
      </c>
    </row>
    <row r="3546" customFormat="false" ht="15" hidden="false" customHeight="false" outlineLevel="0" collapsed="false">
      <c r="A3546" s="2" t="n">
        <v>3545</v>
      </c>
      <c r="B3546" s="2" t="s">
        <v>7327</v>
      </c>
      <c r="C3546" s="2" t="s">
        <v>7328</v>
      </c>
      <c r="D3546" s="2"/>
      <c r="E3546" s="2" t="s">
        <v>29</v>
      </c>
      <c r="F3546" s="3" t="n">
        <v>1.6E-005</v>
      </c>
      <c r="G3546" s="3" t="n">
        <f aca="false">SUM($F$2:F3546)</f>
        <v>0.98794</v>
      </c>
      <c r="H3546" s="4"/>
      <c r="I3546" s="5"/>
      <c r="J3546" s="4"/>
      <c r="K3546" s="5"/>
      <c r="L3546" s="6"/>
      <c r="M3546" s="5" t="str">
        <f aca="false">IF(AND(N(K3546)&gt;0,N(L3546)&gt;0),K3546/L3546,"")</f>
        <v/>
      </c>
      <c r="N3546" s="2" t="s">
        <v>1226</v>
      </c>
    </row>
    <row r="3547" customFormat="false" ht="15" hidden="false" customHeight="false" outlineLevel="0" collapsed="false">
      <c r="A3547" s="2" t="n">
        <v>3546</v>
      </c>
      <c r="B3547" s="2" t="s">
        <v>7329</v>
      </c>
      <c r="C3547" s="2" t="s">
        <v>7330</v>
      </c>
      <c r="D3547" s="2"/>
      <c r="E3547" s="2" t="s">
        <v>25</v>
      </c>
      <c r="F3547" s="3" t="n">
        <v>1.6E-005</v>
      </c>
      <c r="G3547" s="3" t="n">
        <f aca="false">SUM($F$2:F3547)</f>
        <v>0.987956</v>
      </c>
      <c r="H3547" s="4"/>
      <c r="I3547" s="5"/>
      <c r="J3547" s="4"/>
      <c r="K3547" s="5"/>
      <c r="L3547" s="6"/>
      <c r="M3547" s="5" t="str">
        <f aca="false">IF(AND(N(K3547)&gt;0,N(L3547)&gt;0),K3547/L3547,"")</f>
        <v/>
      </c>
      <c r="N3547" s="2" t="s">
        <v>1226</v>
      </c>
    </row>
    <row r="3548" customFormat="false" ht="15" hidden="false" customHeight="false" outlineLevel="0" collapsed="false">
      <c r="A3548" s="2" t="n">
        <v>3547</v>
      </c>
      <c r="B3548" s="2" t="s">
        <v>7331</v>
      </c>
      <c r="C3548" s="2" t="s">
        <v>7332</v>
      </c>
      <c r="D3548" s="2"/>
      <c r="E3548" s="2" t="s">
        <v>25</v>
      </c>
      <c r="F3548" s="3" t="n">
        <v>1.6E-005</v>
      </c>
      <c r="G3548" s="3" t="n">
        <f aca="false">SUM($F$2:F3548)</f>
        <v>0.987972</v>
      </c>
      <c r="H3548" s="4"/>
      <c r="I3548" s="5"/>
      <c r="J3548" s="4"/>
      <c r="K3548" s="5"/>
      <c r="L3548" s="6"/>
      <c r="M3548" s="5" t="str">
        <f aca="false">IF(AND(N(K3548)&gt;0,N(L3548)&gt;0),K3548/L3548,"")</f>
        <v/>
      </c>
      <c r="N3548" s="2" t="s">
        <v>1226</v>
      </c>
    </row>
    <row r="3549" customFormat="false" ht="15" hidden="false" customHeight="false" outlineLevel="0" collapsed="false">
      <c r="A3549" s="2" t="n">
        <v>3548</v>
      </c>
      <c r="B3549" s="2" t="s">
        <v>7333</v>
      </c>
      <c r="C3549" s="2" t="s">
        <v>7334</v>
      </c>
      <c r="D3549" s="2"/>
      <c r="E3549" s="2" t="s">
        <v>43</v>
      </c>
      <c r="F3549" s="3" t="n">
        <v>1.6E-005</v>
      </c>
      <c r="G3549" s="3" t="n">
        <f aca="false">SUM($F$2:F3549)</f>
        <v>0.987988</v>
      </c>
      <c r="H3549" s="4"/>
      <c r="I3549" s="5"/>
      <c r="J3549" s="4"/>
      <c r="K3549" s="5"/>
      <c r="L3549" s="6"/>
      <c r="M3549" s="5" t="str">
        <f aca="false">IF(AND(N(K3549)&gt;0,N(L3549)&gt;0),K3549/L3549,"")</f>
        <v/>
      </c>
      <c r="N3549" s="2" t="s">
        <v>1226</v>
      </c>
    </row>
    <row r="3550" customFormat="false" ht="15" hidden="false" customHeight="false" outlineLevel="0" collapsed="false">
      <c r="A3550" s="2" t="n">
        <v>3549</v>
      </c>
      <c r="B3550" s="2" t="s">
        <v>7335</v>
      </c>
      <c r="C3550" s="2" t="s">
        <v>7336</v>
      </c>
      <c r="D3550" s="2"/>
      <c r="E3550" s="2" t="s">
        <v>199</v>
      </c>
      <c r="F3550" s="3" t="n">
        <v>1.6E-005</v>
      </c>
      <c r="G3550" s="3" t="n">
        <f aca="false">SUM($F$2:F3550)</f>
        <v>0.988004</v>
      </c>
      <c r="H3550" s="4"/>
      <c r="I3550" s="5"/>
      <c r="J3550" s="4"/>
      <c r="K3550" s="5"/>
      <c r="L3550" s="6"/>
      <c r="M3550" s="5" t="str">
        <f aca="false">IF(AND(N(K3550)&gt;0,N(L3550)&gt;0),K3550/L3550,"")</f>
        <v/>
      </c>
      <c r="N3550" s="2" t="s">
        <v>1226</v>
      </c>
    </row>
    <row r="3551" customFormat="false" ht="15" hidden="false" customHeight="false" outlineLevel="0" collapsed="false">
      <c r="A3551" s="2" t="n">
        <v>3550</v>
      </c>
      <c r="B3551" s="2" t="s">
        <v>7337</v>
      </c>
      <c r="C3551" s="2" t="s">
        <v>7338</v>
      </c>
      <c r="D3551" s="2"/>
      <c r="E3551" s="2" t="s">
        <v>43</v>
      </c>
      <c r="F3551" s="3" t="n">
        <v>1.6E-005</v>
      </c>
      <c r="G3551" s="3" t="n">
        <f aca="false">SUM($F$2:F3551)</f>
        <v>0.98802</v>
      </c>
      <c r="H3551" s="4"/>
      <c r="I3551" s="5"/>
      <c r="J3551" s="4"/>
      <c r="K3551" s="5"/>
      <c r="L3551" s="6"/>
      <c r="M3551" s="5" t="str">
        <f aca="false">IF(AND(N(K3551)&gt;0,N(L3551)&gt;0),K3551/L3551,"")</f>
        <v/>
      </c>
      <c r="N3551" s="2" t="s">
        <v>1226</v>
      </c>
    </row>
    <row r="3552" customFormat="false" ht="15" hidden="false" customHeight="false" outlineLevel="0" collapsed="false">
      <c r="A3552" s="2" t="n">
        <v>3551</v>
      </c>
      <c r="B3552" s="2" t="s">
        <v>7339</v>
      </c>
      <c r="C3552" s="2" t="s">
        <v>7340</v>
      </c>
      <c r="D3552" s="2"/>
      <c r="E3552" s="2" t="s">
        <v>48</v>
      </c>
      <c r="F3552" s="3" t="n">
        <v>1.6E-005</v>
      </c>
      <c r="G3552" s="3" t="n">
        <f aca="false">SUM($F$2:F3552)</f>
        <v>0.988036</v>
      </c>
      <c r="H3552" s="4"/>
      <c r="I3552" s="5"/>
      <c r="J3552" s="4"/>
      <c r="K3552" s="5"/>
      <c r="L3552" s="6"/>
      <c r="M3552" s="5" t="str">
        <f aca="false">IF(AND(N(K3552)&gt;0,N(L3552)&gt;0),K3552/L3552,"")</f>
        <v/>
      </c>
      <c r="N3552" s="2" t="s">
        <v>34</v>
      </c>
    </row>
    <row r="3553" customFormat="false" ht="15" hidden="false" customHeight="false" outlineLevel="0" collapsed="false">
      <c r="A3553" s="2" t="n">
        <v>3552</v>
      </c>
      <c r="B3553" s="2" t="s">
        <v>7341</v>
      </c>
      <c r="C3553" s="2" t="s">
        <v>7342</v>
      </c>
      <c r="D3553" s="2"/>
      <c r="E3553" s="2" t="s">
        <v>1345</v>
      </c>
      <c r="F3553" s="3" t="n">
        <v>1.6E-005</v>
      </c>
      <c r="G3553" s="3" t="n">
        <f aca="false">SUM($F$2:F3553)</f>
        <v>0.988052</v>
      </c>
      <c r="H3553" s="4"/>
      <c r="I3553" s="5"/>
      <c r="J3553" s="4"/>
      <c r="K3553" s="5"/>
      <c r="L3553" s="6"/>
      <c r="M3553" s="5" t="str">
        <f aca="false">IF(AND(N(K3553)&gt;0,N(L3553)&gt;0),K3553/L3553,"")</f>
        <v/>
      </c>
      <c r="N3553" s="2" t="s">
        <v>1226</v>
      </c>
    </row>
    <row r="3554" customFormat="false" ht="15" hidden="false" customHeight="false" outlineLevel="0" collapsed="false">
      <c r="A3554" s="2" t="n">
        <v>3553</v>
      </c>
      <c r="B3554" s="2" t="s">
        <v>7343</v>
      </c>
      <c r="C3554" s="2" t="s">
        <v>7344</v>
      </c>
      <c r="D3554" s="2"/>
      <c r="E3554" s="2" t="s">
        <v>33</v>
      </c>
      <c r="F3554" s="3" t="n">
        <v>1.6E-005</v>
      </c>
      <c r="G3554" s="3" t="n">
        <f aca="false">SUM($F$2:F3554)</f>
        <v>0.988068</v>
      </c>
      <c r="H3554" s="4"/>
      <c r="I3554" s="5"/>
      <c r="J3554" s="4"/>
      <c r="K3554" s="5"/>
      <c r="L3554" s="6"/>
      <c r="M3554" s="5" t="str">
        <f aca="false">IF(AND(N(K3554)&gt;0,N(L3554)&gt;0),K3554/L3554,"")</f>
        <v/>
      </c>
      <c r="N3554" s="2" t="s">
        <v>1226</v>
      </c>
    </row>
    <row r="3555" customFormat="false" ht="15" hidden="false" customHeight="false" outlineLevel="0" collapsed="false">
      <c r="A3555" s="2" t="n">
        <v>3554</v>
      </c>
      <c r="B3555" s="2" t="s">
        <v>7345</v>
      </c>
      <c r="C3555" s="2" t="s">
        <v>7346</v>
      </c>
      <c r="D3555" s="2"/>
      <c r="E3555" s="2" t="s">
        <v>334</v>
      </c>
      <c r="F3555" s="3" t="n">
        <v>1.6E-005</v>
      </c>
      <c r="G3555" s="3" t="n">
        <f aca="false">SUM($F$2:F3555)</f>
        <v>0.988084</v>
      </c>
      <c r="H3555" s="4"/>
      <c r="I3555" s="5"/>
      <c r="J3555" s="4"/>
      <c r="K3555" s="5"/>
      <c r="L3555" s="6"/>
      <c r="M3555" s="5" t="str">
        <f aca="false">IF(AND(N(K3555)&gt;0,N(L3555)&gt;0),K3555/L3555,"")</f>
        <v/>
      </c>
      <c r="N3555" s="2" t="s">
        <v>1226</v>
      </c>
    </row>
    <row r="3556" customFormat="false" ht="15" hidden="false" customHeight="false" outlineLevel="0" collapsed="false">
      <c r="A3556" s="2" t="n">
        <v>3555</v>
      </c>
      <c r="B3556" s="2" t="s">
        <v>7347</v>
      </c>
      <c r="C3556" s="2" t="s">
        <v>7348</v>
      </c>
      <c r="D3556" s="2"/>
      <c r="E3556" s="2" t="s">
        <v>25</v>
      </c>
      <c r="F3556" s="3" t="n">
        <v>1.6E-005</v>
      </c>
      <c r="G3556" s="3" t="n">
        <f aca="false">SUM($F$2:F3556)</f>
        <v>0.9881</v>
      </c>
      <c r="H3556" s="4"/>
      <c r="I3556" s="5"/>
      <c r="J3556" s="4"/>
      <c r="K3556" s="5"/>
      <c r="L3556" s="6"/>
      <c r="M3556" s="5" t="str">
        <f aca="false">IF(AND(N(K3556)&gt;0,N(L3556)&gt;0),K3556/L3556,"")</f>
        <v/>
      </c>
      <c r="N3556" s="2" t="s">
        <v>1226</v>
      </c>
    </row>
    <row r="3557" customFormat="false" ht="15" hidden="false" customHeight="false" outlineLevel="0" collapsed="false">
      <c r="A3557" s="2" t="n">
        <v>3556</v>
      </c>
      <c r="B3557" s="2" t="s">
        <v>7349</v>
      </c>
      <c r="C3557" s="2" t="s">
        <v>7350</v>
      </c>
      <c r="D3557" s="2"/>
      <c r="E3557" s="2" t="s">
        <v>29</v>
      </c>
      <c r="F3557" s="3" t="n">
        <v>1.6E-005</v>
      </c>
      <c r="G3557" s="3" t="n">
        <f aca="false">SUM($F$2:F3557)</f>
        <v>0.988116</v>
      </c>
      <c r="H3557" s="4"/>
      <c r="I3557" s="5"/>
      <c r="J3557" s="4"/>
      <c r="K3557" s="5"/>
      <c r="L3557" s="6"/>
      <c r="M3557" s="5" t="str">
        <f aca="false">IF(AND(N(K3557)&gt;0,N(L3557)&gt;0),K3557/L3557,"")</f>
        <v/>
      </c>
      <c r="N3557" s="2" t="s">
        <v>1226</v>
      </c>
    </row>
    <row r="3558" customFormat="false" ht="15" hidden="false" customHeight="false" outlineLevel="0" collapsed="false">
      <c r="A3558" s="2" t="n">
        <v>3557</v>
      </c>
      <c r="B3558" s="2" t="s">
        <v>7351</v>
      </c>
      <c r="C3558" s="2" t="s">
        <v>7352</v>
      </c>
      <c r="D3558" s="2"/>
      <c r="E3558" s="2" t="s">
        <v>1345</v>
      </c>
      <c r="F3558" s="3" t="n">
        <v>1.6E-005</v>
      </c>
      <c r="G3558" s="3" t="n">
        <f aca="false">SUM($F$2:F3558)</f>
        <v>0.988132</v>
      </c>
      <c r="H3558" s="4"/>
      <c r="I3558" s="5"/>
      <c r="J3558" s="4"/>
      <c r="K3558" s="5"/>
      <c r="L3558" s="6"/>
      <c r="M3558" s="5" t="str">
        <f aca="false">IF(AND(N(K3558)&gt;0,N(L3558)&gt;0),K3558/L3558,"")</f>
        <v/>
      </c>
      <c r="N3558" s="2" t="s">
        <v>1226</v>
      </c>
    </row>
    <row r="3559" customFormat="false" ht="15" hidden="false" customHeight="false" outlineLevel="0" collapsed="false">
      <c r="A3559" s="2" t="n">
        <v>3558</v>
      </c>
      <c r="B3559" s="2" t="s">
        <v>7353</v>
      </c>
      <c r="C3559" s="2" t="s">
        <v>7354</v>
      </c>
      <c r="D3559" s="2"/>
      <c r="E3559" s="2" t="s">
        <v>17</v>
      </c>
      <c r="F3559" s="3" t="n">
        <v>1.6E-005</v>
      </c>
      <c r="G3559" s="3" t="n">
        <f aca="false">SUM($F$2:F3559)</f>
        <v>0.988148</v>
      </c>
      <c r="H3559" s="4"/>
      <c r="I3559" s="5"/>
      <c r="J3559" s="4"/>
      <c r="K3559" s="5"/>
      <c r="L3559" s="6"/>
      <c r="M3559" s="5" t="str">
        <f aca="false">IF(AND(N(K3559)&gt;0,N(L3559)&gt;0),K3559/L3559,"")</f>
        <v/>
      </c>
      <c r="N3559" s="2" t="s">
        <v>1226</v>
      </c>
    </row>
    <row r="3560" customFormat="false" ht="15" hidden="false" customHeight="false" outlineLevel="0" collapsed="false">
      <c r="A3560" s="2" t="n">
        <v>3559</v>
      </c>
      <c r="B3560" s="2" t="s">
        <v>7355</v>
      </c>
      <c r="C3560" s="2" t="s">
        <v>7356</v>
      </c>
      <c r="D3560" s="2"/>
      <c r="E3560" s="2" t="s">
        <v>1050</v>
      </c>
      <c r="F3560" s="3" t="n">
        <v>1.6E-005</v>
      </c>
      <c r="G3560" s="3" t="n">
        <f aca="false">SUM($F$2:F3560)</f>
        <v>0.988164</v>
      </c>
      <c r="H3560" s="4"/>
      <c r="I3560" s="5"/>
      <c r="J3560" s="4"/>
      <c r="K3560" s="5"/>
      <c r="L3560" s="6"/>
      <c r="M3560" s="5" t="str">
        <f aca="false">IF(AND(N(K3560)&gt;0,N(L3560)&gt;0),K3560/L3560,"")</f>
        <v/>
      </c>
      <c r="N3560" s="2" t="s">
        <v>1226</v>
      </c>
    </row>
    <row r="3561" customFormat="false" ht="15" hidden="false" customHeight="false" outlineLevel="0" collapsed="false">
      <c r="A3561" s="2" t="n">
        <v>3560</v>
      </c>
      <c r="B3561" s="2" t="s">
        <v>7357</v>
      </c>
      <c r="C3561" s="2" t="s">
        <v>7358</v>
      </c>
      <c r="D3561" s="2"/>
      <c r="E3561" s="2" t="s">
        <v>1284</v>
      </c>
      <c r="F3561" s="3" t="n">
        <v>1.6E-005</v>
      </c>
      <c r="G3561" s="3" t="n">
        <f aca="false">SUM($F$2:F3561)</f>
        <v>0.98818</v>
      </c>
      <c r="H3561" s="4"/>
      <c r="I3561" s="5"/>
      <c r="J3561" s="4"/>
      <c r="K3561" s="5"/>
      <c r="L3561" s="6"/>
      <c r="M3561" s="5" t="str">
        <f aca="false">IF(AND(N(K3561)&gt;0,N(L3561)&gt;0),K3561/L3561,"")</f>
        <v/>
      </c>
      <c r="N3561" s="2" t="s">
        <v>1226</v>
      </c>
    </row>
    <row r="3562" customFormat="false" ht="15" hidden="false" customHeight="false" outlineLevel="0" collapsed="false">
      <c r="A3562" s="2" t="n">
        <v>3561</v>
      </c>
      <c r="B3562" s="2" t="s">
        <v>7359</v>
      </c>
      <c r="C3562" s="2" t="s">
        <v>7360</v>
      </c>
      <c r="D3562" s="2"/>
      <c r="E3562" s="2" t="s">
        <v>1345</v>
      </c>
      <c r="F3562" s="3" t="n">
        <v>1.6E-005</v>
      </c>
      <c r="G3562" s="3" t="n">
        <f aca="false">SUM($F$2:F3562)</f>
        <v>0.988196</v>
      </c>
      <c r="H3562" s="4"/>
      <c r="I3562" s="5"/>
      <c r="J3562" s="4"/>
      <c r="K3562" s="5"/>
      <c r="L3562" s="6"/>
      <c r="M3562" s="5" t="str">
        <f aca="false">IF(AND(N(K3562)&gt;0,N(L3562)&gt;0),K3562/L3562,"")</f>
        <v/>
      </c>
      <c r="N3562" s="2" t="s">
        <v>1226</v>
      </c>
    </row>
    <row r="3563" customFormat="false" ht="15" hidden="false" customHeight="false" outlineLevel="0" collapsed="false">
      <c r="A3563" s="2" t="n">
        <v>3562</v>
      </c>
      <c r="B3563" s="2" t="s">
        <v>7361</v>
      </c>
      <c r="C3563" s="2" t="s">
        <v>7362</v>
      </c>
      <c r="D3563" s="2"/>
      <c r="E3563" s="2" t="s">
        <v>1284</v>
      </c>
      <c r="F3563" s="3" t="n">
        <v>1.6E-005</v>
      </c>
      <c r="G3563" s="3" t="n">
        <f aca="false">SUM($F$2:F3563)</f>
        <v>0.988212</v>
      </c>
      <c r="H3563" s="4"/>
      <c r="I3563" s="5"/>
      <c r="J3563" s="4"/>
      <c r="K3563" s="5"/>
      <c r="L3563" s="6"/>
      <c r="M3563" s="5" t="str">
        <f aca="false">IF(AND(N(K3563)&gt;0,N(L3563)&gt;0),K3563/L3563,"")</f>
        <v/>
      </c>
      <c r="N3563" s="2" t="s">
        <v>1226</v>
      </c>
    </row>
    <row r="3564" customFormat="false" ht="15" hidden="false" customHeight="false" outlineLevel="0" collapsed="false">
      <c r="A3564" s="2" t="n">
        <v>3563</v>
      </c>
      <c r="B3564" s="2" t="s">
        <v>7363</v>
      </c>
      <c r="C3564" s="2" t="s">
        <v>7364</v>
      </c>
      <c r="D3564" s="2"/>
      <c r="E3564" s="2" t="s">
        <v>1345</v>
      </c>
      <c r="F3564" s="3" t="n">
        <v>1.6E-005</v>
      </c>
      <c r="G3564" s="3" t="n">
        <f aca="false">SUM($F$2:F3564)</f>
        <v>0.988228</v>
      </c>
      <c r="H3564" s="4"/>
      <c r="I3564" s="5"/>
      <c r="J3564" s="4"/>
      <c r="K3564" s="5"/>
      <c r="L3564" s="6"/>
      <c r="M3564" s="5" t="str">
        <f aca="false">IF(AND(N(K3564)&gt;0,N(L3564)&gt;0),K3564/L3564,"")</f>
        <v/>
      </c>
      <c r="N3564" s="2" t="s">
        <v>1226</v>
      </c>
    </row>
    <row r="3565" customFormat="false" ht="15" hidden="false" customHeight="false" outlineLevel="0" collapsed="false">
      <c r="A3565" s="2" t="n">
        <v>3564</v>
      </c>
      <c r="B3565" s="2" t="s">
        <v>7365</v>
      </c>
      <c r="C3565" s="2" t="s">
        <v>7366</v>
      </c>
      <c r="D3565" s="2"/>
      <c r="E3565" s="2" t="s">
        <v>289</v>
      </c>
      <c r="F3565" s="3" t="n">
        <v>1.6E-005</v>
      </c>
      <c r="G3565" s="3" t="n">
        <f aca="false">SUM($F$2:F3565)</f>
        <v>0.988244</v>
      </c>
      <c r="H3565" s="4"/>
      <c r="I3565" s="5"/>
      <c r="J3565" s="4"/>
      <c r="K3565" s="5"/>
      <c r="L3565" s="6"/>
      <c r="M3565" s="5" t="str">
        <f aca="false">IF(AND(N(K3565)&gt;0,N(L3565)&gt;0),K3565/L3565,"")</f>
        <v/>
      </c>
      <c r="N3565" s="2" t="s">
        <v>1226</v>
      </c>
    </row>
    <row r="3566" customFormat="false" ht="15" hidden="false" customHeight="false" outlineLevel="0" collapsed="false">
      <c r="A3566" s="2" t="n">
        <v>3565</v>
      </c>
      <c r="B3566" s="2" t="s">
        <v>6789</v>
      </c>
      <c r="C3566" s="2" t="s">
        <v>7367</v>
      </c>
      <c r="D3566" s="2"/>
      <c r="E3566" s="2" t="s">
        <v>52</v>
      </c>
      <c r="F3566" s="3" t="n">
        <v>1.6E-005</v>
      </c>
      <c r="G3566" s="3" t="n">
        <f aca="false">SUM($F$2:F3566)</f>
        <v>0.98826</v>
      </c>
      <c r="H3566" s="4"/>
      <c r="I3566" s="5"/>
      <c r="J3566" s="4"/>
      <c r="K3566" s="5"/>
      <c r="L3566" s="6"/>
      <c r="M3566" s="5" t="str">
        <f aca="false">IF(AND(N(K3566)&gt;0,N(L3566)&gt;0),K3566/L3566,"")</f>
        <v/>
      </c>
      <c r="N3566" s="2" t="s">
        <v>1226</v>
      </c>
    </row>
    <row r="3567" customFormat="false" ht="15" hidden="false" customHeight="false" outlineLevel="0" collapsed="false">
      <c r="A3567" s="2" t="n">
        <v>3566</v>
      </c>
      <c r="B3567" s="2" t="s">
        <v>7368</v>
      </c>
      <c r="C3567" s="2" t="s">
        <v>7369</v>
      </c>
      <c r="D3567" s="2"/>
      <c r="E3567" s="2" t="s">
        <v>25</v>
      </c>
      <c r="F3567" s="3" t="n">
        <v>1.6E-005</v>
      </c>
      <c r="G3567" s="3" t="n">
        <f aca="false">SUM($F$2:F3567)</f>
        <v>0.988276</v>
      </c>
      <c r="H3567" s="4"/>
      <c r="I3567" s="5"/>
      <c r="J3567" s="4"/>
      <c r="K3567" s="5"/>
      <c r="L3567" s="6"/>
      <c r="M3567" s="5" t="str">
        <f aca="false">IF(AND(N(K3567)&gt;0,N(L3567)&gt;0),K3567/L3567,"")</f>
        <v/>
      </c>
      <c r="N3567" s="2" t="s">
        <v>1226</v>
      </c>
    </row>
    <row r="3568" customFormat="false" ht="15" hidden="false" customHeight="false" outlineLevel="0" collapsed="false">
      <c r="A3568" s="2" t="n">
        <v>3567</v>
      </c>
      <c r="B3568" s="2" t="s">
        <v>7370</v>
      </c>
      <c r="C3568" s="2" t="s">
        <v>7371</v>
      </c>
      <c r="D3568" s="2"/>
      <c r="E3568" s="2" t="s">
        <v>52</v>
      </c>
      <c r="F3568" s="3" t="n">
        <v>1.6E-005</v>
      </c>
      <c r="G3568" s="3" t="n">
        <f aca="false">SUM($F$2:F3568)</f>
        <v>0.988292</v>
      </c>
      <c r="H3568" s="4"/>
      <c r="I3568" s="5"/>
      <c r="J3568" s="4"/>
      <c r="K3568" s="5"/>
      <c r="L3568" s="6"/>
      <c r="M3568" s="5" t="str">
        <f aca="false">IF(AND(N(K3568)&gt;0,N(L3568)&gt;0),K3568/L3568,"")</f>
        <v/>
      </c>
      <c r="N3568" s="2" t="s">
        <v>1226</v>
      </c>
    </row>
    <row r="3569" customFormat="false" ht="15" hidden="false" customHeight="false" outlineLevel="0" collapsed="false">
      <c r="A3569" s="2" t="n">
        <v>3568</v>
      </c>
      <c r="B3569" s="2" t="s">
        <v>7372</v>
      </c>
      <c r="C3569" s="2" t="s">
        <v>7373</v>
      </c>
      <c r="D3569" s="2"/>
      <c r="E3569" s="2" t="s">
        <v>1345</v>
      </c>
      <c r="F3569" s="3" t="n">
        <v>1.6E-005</v>
      </c>
      <c r="G3569" s="3" t="n">
        <f aca="false">SUM($F$2:F3569)</f>
        <v>0.988308</v>
      </c>
      <c r="H3569" s="4"/>
      <c r="I3569" s="5"/>
      <c r="J3569" s="4"/>
      <c r="K3569" s="5"/>
      <c r="L3569" s="6"/>
      <c r="M3569" s="5" t="str">
        <f aca="false">IF(AND(N(K3569)&gt;0,N(L3569)&gt;0),K3569/L3569,"")</f>
        <v/>
      </c>
      <c r="N3569" s="2" t="s">
        <v>1226</v>
      </c>
    </row>
    <row r="3570" customFormat="false" ht="15" hidden="false" customHeight="false" outlineLevel="0" collapsed="false">
      <c r="A3570" s="2" t="n">
        <v>3569</v>
      </c>
      <c r="B3570" s="2" t="s">
        <v>7374</v>
      </c>
      <c r="C3570" s="2" t="s">
        <v>7375</v>
      </c>
      <c r="D3570" s="2"/>
      <c r="E3570" s="2" t="s">
        <v>289</v>
      </c>
      <c r="F3570" s="3" t="n">
        <v>1.6E-005</v>
      </c>
      <c r="G3570" s="3" t="n">
        <f aca="false">SUM($F$2:F3570)</f>
        <v>0.988324</v>
      </c>
      <c r="H3570" s="4"/>
      <c r="I3570" s="5"/>
      <c r="J3570" s="4"/>
      <c r="K3570" s="5"/>
      <c r="L3570" s="6"/>
      <c r="M3570" s="5" t="str">
        <f aca="false">IF(AND(N(K3570)&gt;0,N(L3570)&gt;0),K3570/L3570,"")</f>
        <v/>
      </c>
      <c r="N3570" s="2" t="s">
        <v>1226</v>
      </c>
    </row>
    <row r="3571" customFormat="false" ht="15" hidden="false" customHeight="false" outlineLevel="0" collapsed="false">
      <c r="A3571" s="2" t="n">
        <v>3570</v>
      </c>
      <c r="B3571" s="2" t="s">
        <v>7376</v>
      </c>
      <c r="C3571" s="2" t="s">
        <v>7377</v>
      </c>
      <c r="D3571" s="2"/>
      <c r="E3571" s="2" t="s">
        <v>33</v>
      </c>
      <c r="F3571" s="3" t="n">
        <v>1.6E-005</v>
      </c>
      <c r="G3571" s="3" t="n">
        <f aca="false">SUM($F$2:F3571)</f>
        <v>0.98834</v>
      </c>
      <c r="H3571" s="4"/>
      <c r="I3571" s="5"/>
      <c r="J3571" s="4"/>
      <c r="K3571" s="5"/>
      <c r="L3571" s="6"/>
      <c r="M3571" s="5" t="str">
        <f aca="false">IF(AND(N(K3571)&gt;0,N(L3571)&gt;0),K3571/L3571,"")</f>
        <v/>
      </c>
      <c r="N3571" s="2" t="s">
        <v>1226</v>
      </c>
    </row>
    <row r="3572" customFormat="false" ht="15" hidden="false" customHeight="false" outlineLevel="0" collapsed="false">
      <c r="A3572" s="2" t="n">
        <v>3571</v>
      </c>
      <c r="B3572" s="2" t="s">
        <v>7378</v>
      </c>
      <c r="C3572" s="2" t="s">
        <v>7379</v>
      </c>
      <c r="D3572" s="2"/>
      <c r="E3572" s="2" t="s">
        <v>1345</v>
      </c>
      <c r="F3572" s="3" t="n">
        <v>1.6E-005</v>
      </c>
      <c r="G3572" s="3" t="n">
        <f aca="false">SUM($F$2:F3572)</f>
        <v>0.988356</v>
      </c>
      <c r="H3572" s="4"/>
      <c r="I3572" s="5"/>
      <c r="J3572" s="4"/>
      <c r="K3572" s="5"/>
      <c r="L3572" s="6"/>
      <c r="M3572" s="5" t="str">
        <f aca="false">IF(AND(N(K3572)&gt;0,N(L3572)&gt;0),K3572/L3572,"")</f>
        <v/>
      </c>
      <c r="N3572" s="2" t="s">
        <v>1226</v>
      </c>
    </row>
    <row r="3573" customFormat="false" ht="15" hidden="false" customHeight="false" outlineLevel="0" collapsed="false">
      <c r="A3573" s="2" t="n">
        <v>3572</v>
      </c>
      <c r="B3573" s="2" t="s">
        <v>7380</v>
      </c>
      <c r="C3573" s="2" t="s">
        <v>7381</v>
      </c>
      <c r="D3573" s="2"/>
      <c r="E3573" s="2" t="s">
        <v>43</v>
      </c>
      <c r="F3573" s="3" t="n">
        <v>1.6E-005</v>
      </c>
      <c r="G3573" s="3" t="n">
        <f aca="false">SUM($F$2:F3573)</f>
        <v>0.988372</v>
      </c>
      <c r="H3573" s="4"/>
      <c r="I3573" s="5"/>
      <c r="J3573" s="4"/>
      <c r="K3573" s="5"/>
      <c r="L3573" s="6"/>
      <c r="M3573" s="5" t="str">
        <f aca="false">IF(AND(N(K3573)&gt;0,N(L3573)&gt;0),K3573/L3573,"")</f>
        <v/>
      </c>
      <c r="N3573" s="2" t="s">
        <v>1226</v>
      </c>
    </row>
    <row r="3574" customFormat="false" ht="15" hidden="false" customHeight="false" outlineLevel="0" collapsed="false">
      <c r="A3574" s="2" t="n">
        <v>3573</v>
      </c>
      <c r="B3574" s="2" t="s">
        <v>2229</v>
      </c>
      <c r="C3574" s="2" t="s">
        <v>7382</v>
      </c>
      <c r="D3574" s="2"/>
      <c r="E3574" s="2" t="s">
        <v>82</v>
      </c>
      <c r="F3574" s="3" t="n">
        <v>1.6E-005</v>
      </c>
      <c r="G3574" s="3" t="n">
        <f aca="false">SUM($F$2:F3574)</f>
        <v>0.988388</v>
      </c>
      <c r="H3574" s="4"/>
      <c r="I3574" s="5"/>
      <c r="J3574" s="4"/>
      <c r="K3574" s="5"/>
      <c r="L3574" s="6"/>
      <c r="M3574" s="5" t="str">
        <f aca="false">IF(AND(N(K3574)&gt;0,N(L3574)&gt;0),K3574/L3574,"")</f>
        <v/>
      </c>
      <c r="N3574" s="2" t="s">
        <v>1226</v>
      </c>
    </row>
    <row r="3575" customFormat="false" ht="15" hidden="false" customHeight="false" outlineLevel="0" collapsed="false">
      <c r="A3575" s="2" t="n">
        <v>3574</v>
      </c>
      <c r="B3575" s="2" t="s">
        <v>7383</v>
      </c>
      <c r="C3575" s="2" t="s">
        <v>7384</v>
      </c>
      <c r="D3575" s="2"/>
      <c r="E3575" s="2" t="s">
        <v>1345</v>
      </c>
      <c r="F3575" s="3" t="n">
        <v>1.6E-005</v>
      </c>
      <c r="G3575" s="3" t="n">
        <f aca="false">SUM($F$2:F3575)</f>
        <v>0.988404</v>
      </c>
      <c r="H3575" s="4"/>
      <c r="I3575" s="5"/>
      <c r="J3575" s="4"/>
      <c r="K3575" s="5"/>
      <c r="L3575" s="6"/>
      <c r="M3575" s="5" t="str">
        <f aca="false">IF(AND(N(K3575)&gt;0,N(L3575)&gt;0),K3575/L3575,"")</f>
        <v/>
      </c>
      <c r="N3575" s="2" t="s">
        <v>1226</v>
      </c>
    </row>
    <row r="3576" customFormat="false" ht="15" hidden="false" customHeight="false" outlineLevel="0" collapsed="false">
      <c r="A3576" s="2" t="n">
        <v>3575</v>
      </c>
      <c r="B3576" s="2" t="s">
        <v>7385</v>
      </c>
      <c r="C3576" s="2" t="s">
        <v>7386</v>
      </c>
      <c r="D3576" s="2"/>
      <c r="E3576" s="2" t="s">
        <v>765</v>
      </c>
      <c r="F3576" s="3" t="n">
        <v>1.6E-005</v>
      </c>
      <c r="G3576" s="3" t="n">
        <f aca="false">SUM($F$2:F3576)</f>
        <v>0.98842</v>
      </c>
      <c r="H3576" s="4"/>
      <c r="I3576" s="5"/>
      <c r="J3576" s="4"/>
      <c r="K3576" s="5"/>
      <c r="L3576" s="6"/>
      <c r="M3576" s="5" t="str">
        <f aca="false">IF(AND(N(K3576)&gt;0,N(L3576)&gt;0),K3576/L3576,"")</f>
        <v/>
      </c>
      <c r="N3576" s="2" t="s">
        <v>1226</v>
      </c>
    </row>
    <row r="3577" customFormat="false" ht="15" hidden="false" customHeight="false" outlineLevel="0" collapsed="false">
      <c r="A3577" s="2" t="n">
        <v>3576</v>
      </c>
      <c r="B3577" s="2" t="s">
        <v>7387</v>
      </c>
      <c r="C3577" s="2" t="s">
        <v>7388</v>
      </c>
      <c r="D3577" s="2"/>
      <c r="E3577" s="2" t="s">
        <v>1050</v>
      </c>
      <c r="F3577" s="3" t="n">
        <v>1.6E-005</v>
      </c>
      <c r="G3577" s="3" t="n">
        <f aca="false">SUM($F$2:F3577)</f>
        <v>0.988436</v>
      </c>
      <c r="H3577" s="4"/>
      <c r="I3577" s="5"/>
      <c r="J3577" s="4"/>
      <c r="K3577" s="5"/>
      <c r="L3577" s="6"/>
      <c r="M3577" s="5" t="str">
        <f aca="false">IF(AND(N(K3577)&gt;0,N(L3577)&gt;0),K3577/L3577,"")</f>
        <v/>
      </c>
      <c r="N3577" s="2" t="s">
        <v>1226</v>
      </c>
    </row>
    <row r="3578" customFormat="false" ht="15" hidden="false" customHeight="false" outlineLevel="0" collapsed="false">
      <c r="A3578" s="2" t="n">
        <v>3577</v>
      </c>
      <c r="B3578" s="2" t="s">
        <v>7389</v>
      </c>
      <c r="C3578" s="2" t="s">
        <v>7390</v>
      </c>
      <c r="D3578" s="2"/>
      <c r="E3578" s="2" t="s">
        <v>17</v>
      </c>
      <c r="F3578" s="3" t="n">
        <v>1.6E-005</v>
      </c>
      <c r="G3578" s="3" t="n">
        <f aca="false">SUM($F$2:F3578)</f>
        <v>0.988452</v>
      </c>
      <c r="H3578" s="4"/>
      <c r="I3578" s="5"/>
      <c r="J3578" s="4"/>
      <c r="K3578" s="5"/>
      <c r="L3578" s="6"/>
      <c r="M3578" s="5" t="str">
        <f aca="false">IF(AND(N(K3578)&gt;0,N(L3578)&gt;0),K3578/L3578,"")</f>
        <v/>
      </c>
      <c r="N3578" s="2" t="s">
        <v>1226</v>
      </c>
    </row>
    <row r="3579" customFormat="false" ht="15" hidden="false" customHeight="false" outlineLevel="0" collapsed="false">
      <c r="A3579" s="2" t="n">
        <v>3578</v>
      </c>
      <c r="B3579" s="2" t="s">
        <v>7391</v>
      </c>
      <c r="C3579" s="2" t="s">
        <v>7392</v>
      </c>
      <c r="D3579" s="2"/>
      <c r="E3579" s="2" t="s">
        <v>539</v>
      </c>
      <c r="F3579" s="3" t="n">
        <v>1.6E-005</v>
      </c>
      <c r="G3579" s="3" t="n">
        <f aca="false">SUM($F$2:F3579)</f>
        <v>0.988468</v>
      </c>
      <c r="H3579" s="4"/>
      <c r="I3579" s="5"/>
      <c r="J3579" s="4"/>
      <c r="K3579" s="5"/>
      <c r="L3579" s="6"/>
      <c r="M3579" s="5" t="str">
        <f aca="false">IF(AND(N(K3579)&gt;0,N(L3579)&gt;0),K3579/L3579,"")</f>
        <v/>
      </c>
      <c r="N3579" s="2" t="s">
        <v>1226</v>
      </c>
    </row>
    <row r="3580" customFormat="false" ht="15" hidden="false" customHeight="false" outlineLevel="0" collapsed="false">
      <c r="A3580" s="2" t="n">
        <v>3579</v>
      </c>
      <c r="B3580" s="2" t="s">
        <v>7393</v>
      </c>
      <c r="C3580" s="2" t="s">
        <v>7394</v>
      </c>
      <c r="D3580" s="2"/>
      <c r="E3580" s="2" t="s">
        <v>52</v>
      </c>
      <c r="F3580" s="3" t="n">
        <v>1.6E-005</v>
      </c>
      <c r="G3580" s="3" t="n">
        <f aca="false">SUM($F$2:F3580)</f>
        <v>0.988484</v>
      </c>
      <c r="H3580" s="4"/>
      <c r="I3580" s="5"/>
      <c r="J3580" s="4"/>
      <c r="K3580" s="5"/>
      <c r="L3580" s="6"/>
      <c r="M3580" s="5" t="str">
        <f aca="false">IF(AND(N(K3580)&gt;0,N(L3580)&gt;0),K3580/L3580,"")</f>
        <v/>
      </c>
      <c r="N3580" s="2" t="s">
        <v>1226</v>
      </c>
    </row>
    <row r="3581" customFormat="false" ht="15" hidden="false" customHeight="false" outlineLevel="0" collapsed="false">
      <c r="A3581" s="2" t="n">
        <v>3580</v>
      </c>
      <c r="B3581" s="2" t="s">
        <v>7395</v>
      </c>
      <c r="C3581" s="2" t="s">
        <v>7396</v>
      </c>
      <c r="D3581" s="2"/>
      <c r="E3581" s="2" t="s">
        <v>1345</v>
      </c>
      <c r="F3581" s="3" t="n">
        <v>1.6E-005</v>
      </c>
      <c r="G3581" s="3" t="n">
        <f aca="false">SUM($F$2:F3581)</f>
        <v>0.9885</v>
      </c>
      <c r="H3581" s="4"/>
      <c r="I3581" s="5"/>
      <c r="J3581" s="4"/>
      <c r="K3581" s="5"/>
      <c r="L3581" s="6"/>
      <c r="M3581" s="5" t="str">
        <f aca="false">IF(AND(N(K3581)&gt;0,N(L3581)&gt;0),K3581/L3581,"")</f>
        <v/>
      </c>
      <c r="N3581" s="2" t="s">
        <v>1226</v>
      </c>
    </row>
    <row r="3582" customFormat="false" ht="15" hidden="false" customHeight="false" outlineLevel="0" collapsed="false">
      <c r="A3582" s="2" t="n">
        <v>3581</v>
      </c>
      <c r="B3582" s="2" t="s">
        <v>7397</v>
      </c>
      <c r="C3582" s="2" t="s">
        <v>7398</v>
      </c>
      <c r="D3582" s="2"/>
      <c r="E3582" s="2" t="s">
        <v>289</v>
      </c>
      <c r="F3582" s="3" t="n">
        <v>1.6E-005</v>
      </c>
      <c r="G3582" s="3" t="n">
        <f aca="false">SUM($F$2:F3582)</f>
        <v>0.988516</v>
      </c>
      <c r="H3582" s="4"/>
      <c r="I3582" s="5"/>
      <c r="J3582" s="4"/>
      <c r="K3582" s="5"/>
      <c r="L3582" s="6"/>
      <c r="M3582" s="5" t="str">
        <f aca="false">IF(AND(N(K3582)&gt;0,N(L3582)&gt;0),K3582/L3582,"")</f>
        <v/>
      </c>
      <c r="N3582" s="2" t="s">
        <v>1226</v>
      </c>
    </row>
    <row r="3583" customFormat="false" ht="15" hidden="false" customHeight="false" outlineLevel="0" collapsed="false">
      <c r="A3583" s="2" t="n">
        <v>3582</v>
      </c>
      <c r="B3583" s="2" t="s">
        <v>7399</v>
      </c>
      <c r="C3583" s="2" t="s">
        <v>7400</v>
      </c>
      <c r="D3583" s="2"/>
      <c r="E3583" s="2" t="s">
        <v>289</v>
      </c>
      <c r="F3583" s="3" t="n">
        <v>1.6E-005</v>
      </c>
      <c r="G3583" s="3" t="n">
        <f aca="false">SUM($F$2:F3583)</f>
        <v>0.988532</v>
      </c>
      <c r="H3583" s="4"/>
      <c r="I3583" s="5"/>
      <c r="J3583" s="4"/>
      <c r="K3583" s="5"/>
      <c r="L3583" s="6"/>
      <c r="M3583" s="5" t="str">
        <f aca="false">IF(AND(N(K3583)&gt;0,N(L3583)&gt;0),K3583/L3583,"")</f>
        <v/>
      </c>
      <c r="N3583" s="2" t="s">
        <v>1226</v>
      </c>
    </row>
    <row r="3584" customFormat="false" ht="15" hidden="false" customHeight="false" outlineLevel="0" collapsed="false">
      <c r="A3584" s="2" t="n">
        <v>3583</v>
      </c>
      <c r="B3584" s="2" t="s">
        <v>7401</v>
      </c>
      <c r="C3584" s="2" t="s">
        <v>7402</v>
      </c>
      <c r="D3584" s="2"/>
      <c r="E3584" s="2" t="s">
        <v>17</v>
      </c>
      <c r="F3584" s="3" t="n">
        <v>1.6E-005</v>
      </c>
      <c r="G3584" s="3" t="n">
        <f aca="false">SUM($F$2:F3584)</f>
        <v>0.988548</v>
      </c>
      <c r="H3584" s="4"/>
      <c r="I3584" s="5"/>
      <c r="J3584" s="4"/>
      <c r="K3584" s="5"/>
      <c r="L3584" s="6"/>
      <c r="M3584" s="5" t="str">
        <f aca="false">IF(AND(N(K3584)&gt;0,N(L3584)&gt;0),K3584/L3584,"")</f>
        <v/>
      </c>
      <c r="N3584" s="2" t="s">
        <v>1226</v>
      </c>
    </row>
    <row r="3585" customFormat="false" ht="15" hidden="false" customHeight="false" outlineLevel="0" collapsed="false">
      <c r="A3585" s="2" t="n">
        <v>3584</v>
      </c>
      <c r="B3585" s="2" t="s">
        <v>7403</v>
      </c>
      <c r="C3585" s="2" t="s">
        <v>7404</v>
      </c>
      <c r="D3585" s="2"/>
      <c r="E3585" s="2" t="s">
        <v>679</v>
      </c>
      <c r="F3585" s="3" t="n">
        <v>1.6E-005</v>
      </c>
      <c r="G3585" s="3" t="n">
        <f aca="false">SUM($F$2:F3585)</f>
        <v>0.988564</v>
      </c>
      <c r="H3585" s="4"/>
      <c r="I3585" s="5"/>
      <c r="J3585" s="4"/>
      <c r="K3585" s="5"/>
      <c r="L3585" s="6"/>
      <c r="M3585" s="5" t="str">
        <f aca="false">IF(AND(N(K3585)&gt;0,N(L3585)&gt;0),K3585/L3585,"")</f>
        <v/>
      </c>
      <c r="N3585" s="2" t="s">
        <v>1226</v>
      </c>
    </row>
    <row r="3586" customFormat="false" ht="15" hidden="false" customHeight="false" outlineLevel="0" collapsed="false">
      <c r="A3586" s="2" t="n">
        <v>3585</v>
      </c>
      <c r="B3586" s="2" t="s">
        <v>7405</v>
      </c>
      <c r="C3586" s="2" t="s">
        <v>7406</v>
      </c>
      <c r="D3586" s="2"/>
      <c r="E3586" s="2" t="s">
        <v>289</v>
      </c>
      <c r="F3586" s="3" t="n">
        <v>1.6E-005</v>
      </c>
      <c r="G3586" s="3" t="n">
        <f aca="false">SUM($F$2:F3586)</f>
        <v>0.98858</v>
      </c>
      <c r="H3586" s="4"/>
      <c r="I3586" s="5"/>
      <c r="J3586" s="4"/>
      <c r="K3586" s="5"/>
      <c r="L3586" s="6"/>
      <c r="M3586" s="5" t="str">
        <f aca="false">IF(AND(N(K3586)&gt;0,N(L3586)&gt;0),K3586/L3586,"")</f>
        <v/>
      </c>
      <c r="N3586" s="2" t="s">
        <v>1226</v>
      </c>
    </row>
    <row r="3587" customFormat="false" ht="15" hidden="false" customHeight="false" outlineLevel="0" collapsed="false">
      <c r="A3587" s="2" t="n">
        <v>3586</v>
      </c>
      <c r="B3587" s="2" t="s">
        <v>7407</v>
      </c>
      <c r="C3587" s="2" t="s">
        <v>7408</v>
      </c>
      <c r="D3587" s="2"/>
      <c r="E3587" s="2" t="s">
        <v>289</v>
      </c>
      <c r="F3587" s="3" t="n">
        <v>1.6E-005</v>
      </c>
      <c r="G3587" s="3" t="n">
        <f aca="false">SUM($F$2:F3587)</f>
        <v>0.988596</v>
      </c>
      <c r="H3587" s="4"/>
      <c r="I3587" s="5"/>
      <c r="J3587" s="4"/>
      <c r="K3587" s="5"/>
      <c r="L3587" s="6"/>
      <c r="M3587" s="5" t="str">
        <f aca="false">IF(AND(N(K3587)&gt;0,N(L3587)&gt;0),K3587/L3587,"")</f>
        <v/>
      </c>
      <c r="N3587" s="2" t="s">
        <v>1226</v>
      </c>
    </row>
    <row r="3588" customFormat="false" ht="15" hidden="false" customHeight="false" outlineLevel="0" collapsed="false">
      <c r="A3588" s="2" t="n">
        <v>3587</v>
      </c>
      <c r="B3588" s="2" t="s">
        <v>7409</v>
      </c>
      <c r="C3588" s="2" t="s">
        <v>7410</v>
      </c>
      <c r="D3588" s="2"/>
      <c r="E3588" s="2" t="s">
        <v>17</v>
      </c>
      <c r="F3588" s="3" t="n">
        <v>1.6E-005</v>
      </c>
      <c r="G3588" s="3" t="n">
        <f aca="false">SUM($F$2:F3588)</f>
        <v>0.988612</v>
      </c>
      <c r="H3588" s="4"/>
      <c r="I3588" s="5"/>
      <c r="J3588" s="4"/>
      <c r="K3588" s="5"/>
      <c r="L3588" s="6"/>
      <c r="M3588" s="5" t="str">
        <f aca="false">IF(AND(N(K3588)&gt;0,N(L3588)&gt;0),K3588/L3588,"")</f>
        <v/>
      </c>
      <c r="N3588" s="2" t="s">
        <v>1226</v>
      </c>
    </row>
    <row r="3589" customFormat="false" ht="15" hidden="false" customHeight="false" outlineLevel="0" collapsed="false">
      <c r="A3589" s="2" t="n">
        <v>3588</v>
      </c>
      <c r="B3589" s="2" t="s">
        <v>7411</v>
      </c>
      <c r="C3589" s="2" t="s">
        <v>7412</v>
      </c>
      <c r="D3589" s="2"/>
      <c r="E3589" s="2" t="s">
        <v>296</v>
      </c>
      <c r="F3589" s="3" t="n">
        <v>1.6E-005</v>
      </c>
      <c r="G3589" s="3" t="n">
        <f aca="false">SUM($F$2:F3589)</f>
        <v>0.988628</v>
      </c>
      <c r="H3589" s="4"/>
      <c r="I3589" s="5"/>
      <c r="J3589" s="4"/>
      <c r="K3589" s="5"/>
      <c r="L3589" s="6"/>
      <c r="M3589" s="5" t="str">
        <f aca="false">IF(AND(N(K3589)&gt;0,N(L3589)&gt;0),K3589/L3589,"")</f>
        <v/>
      </c>
      <c r="N3589" s="2" t="s">
        <v>1226</v>
      </c>
    </row>
    <row r="3590" customFormat="false" ht="15" hidden="false" customHeight="false" outlineLevel="0" collapsed="false">
      <c r="A3590" s="2" t="n">
        <v>3589</v>
      </c>
      <c r="B3590" s="2" t="s">
        <v>7413</v>
      </c>
      <c r="C3590" s="2" t="s">
        <v>7414</v>
      </c>
      <c r="D3590" s="2"/>
      <c r="E3590" s="2" t="s">
        <v>1345</v>
      </c>
      <c r="F3590" s="3" t="n">
        <v>1.6E-005</v>
      </c>
      <c r="G3590" s="3" t="n">
        <f aca="false">SUM($F$2:F3590)</f>
        <v>0.988644</v>
      </c>
      <c r="H3590" s="4"/>
      <c r="I3590" s="5"/>
      <c r="J3590" s="4"/>
      <c r="K3590" s="5"/>
      <c r="L3590" s="6"/>
      <c r="M3590" s="5" t="str">
        <f aca="false">IF(AND(N(K3590)&gt;0,N(L3590)&gt;0),K3590/L3590,"")</f>
        <v/>
      </c>
      <c r="N3590" s="2" t="s">
        <v>1226</v>
      </c>
    </row>
    <row r="3591" customFormat="false" ht="15" hidden="false" customHeight="false" outlineLevel="0" collapsed="false">
      <c r="A3591" s="2" t="n">
        <v>3590</v>
      </c>
      <c r="B3591" s="2" t="s">
        <v>7415</v>
      </c>
      <c r="C3591" s="2" t="s">
        <v>7416</v>
      </c>
      <c r="D3591" s="2"/>
      <c r="E3591" s="2" t="s">
        <v>289</v>
      </c>
      <c r="F3591" s="3" t="n">
        <v>1.6E-005</v>
      </c>
      <c r="G3591" s="3" t="n">
        <f aca="false">SUM($F$2:F3591)</f>
        <v>0.98866</v>
      </c>
      <c r="H3591" s="4"/>
      <c r="I3591" s="5"/>
      <c r="J3591" s="4"/>
      <c r="K3591" s="5"/>
      <c r="L3591" s="6"/>
      <c r="M3591" s="5" t="str">
        <f aca="false">IF(AND(N(K3591)&gt;0,N(L3591)&gt;0),K3591/L3591,"")</f>
        <v/>
      </c>
      <c r="N3591" s="2" t="s">
        <v>1226</v>
      </c>
    </row>
    <row r="3592" customFormat="false" ht="15" hidden="false" customHeight="false" outlineLevel="0" collapsed="false">
      <c r="A3592" s="2" t="n">
        <v>3591</v>
      </c>
      <c r="B3592" s="2" t="s">
        <v>7417</v>
      </c>
      <c r="C3592" s="2" t="s">
        <v>7418</v>
      </c>
      <c r="D3592" s="2"/>
      <c r="E3592" s="2" t="s">
        <v>289</v>
      </c>
      <c r="F3592" s="3" t="n">
        <v>1.6E-005</v>
      </c>
      <c r="G3592" s="3" t="n">
        <f aca="false">SUM($F$2:F3592)</f>
        <v>0.988676</v>
      </c>
      <c r="H3592" s="4"/>
      <c r="I3592" s="5"/>
      <c r="J3592" s="4"/>
      <c r="K3592" s="5"/>
      <c r="L3592" s="6"/>
      <c r="M3592" s="5" t="str">
        <f aca="false">IF(AND(N(K3592)&gt;0,N(L3592)&gt;0),K3592/L3592,"")</f>
        <v/>
      </c>
      <c r="N3592" s="2" t="s">
        <v>1226</v>
      </c>
    </row>
    <row r="3593" customFormat="false" ht="15" hidden="false" customHeight="false" outlineLevel="0" collapsed="false">
      <c r="A3593" s="2" t="n">
        <v>3592</v>
      </c>
      <c r="B3593" s="2" t="s">
        <v>7419</v>
      </c>
      <c r="C3593" s="2" t="s">
        <v>7420</v>
      </c>
      <c r="D3593" s="2"/>
      <c r="E3593" s="2" t="s">
        <v>52</v>
      </c>
      <c r="F3593" s="3" t="n">
        <v>1.6E-005</v>
      </c>
      <c r="G3593" s="3" t="n">
        <f aca="false">SUM($F$2:F3593)</f>
        <v>0.988692</v>
      </c>
      <c r="H3593" s="4"/>
      <c r="I3593" s="5"/>
      <c r="J3593" s="4"/>
      <c r="K3593" s="5"/>
      <c r="L3593" s="6"/>
      <c r="M3593" s="5" t="str">
        <f aca="false">IF(AND(N(K3593)&gt;0,N(L3593)&gt;0),K3593/L3593,"")</f>
        <v/>
      </c>
      <c r="N3593" s="2" t="s">
        <v>1226</v>
      </c>
    </row>
    <row r="3594" customFormat="false" ht="15" hidden="false" customHeight="false" outlineLevel="0" collapsed="false">
      <c r="A3594" s="2" t="n">
        <v>3593</v>
      </c>
      <c r="B3594" s="2" t="s">
        <v>7421</v>
      </c>
      <c r="C3594" s="2" t="s">
        <v>7422</v>
      </c>
      <c r="D3594" s="2"/>
      <c r="E3594" s="2" t="s">
        <v>29</v>
      </c>
      <c r="F3594" s="3" t="n">
        <v>1.6E-005</v>
      </c>
      <c r="G3594" s="3" t="n">
        <f aca="false">SUM($F$2:F3594)</f>
        <v>0.988708</v>
      </c>
      <c r="H3594" s="4"/>
      <c r="I3594" s="5"/>
      <c r="J3594" s="4"/>
      <c r="K3594" s="5"/>
      <c r="L3594" s="6"/>
      <c r="M3594" s="5" t="str">
        <f aca="false">IF(AND(N(K3594)&gt;0,N(L3594)&gt;0),K3594/L3594,"")</f>
        <v/>
      </c>
      <c r="N3594" s="2" t="s">
        <v>1226</v>
      </c>
    </row>
    <row r="3595" customFormat="false" ht="15" hidden="false" customHeight="false" outlineLevel="0" collapsed="false">
      <c r="A3595" s="2" t="n">
        <v>3594</v>
      </c>
      <c r="B3595" s="2" t="s">
        <v>7423</v>
      </c>
      <c r="C3595" s="2" t="s">
        <v>7424</v>
      </c>
      <c r="D3595" s="2"/>
      <c r="E3595" s="2" t="s">
        <v>17</v>
      </c>
      <c r="F3595" s="3" t="n">
        <v>1.6E-005</v>
      </c>
      <c r="G3595" s="3" t="n">
        <f aca="false">SUM($F$2:F3595)</f>
        <v>0.988724</v>
      </c>
      <c r="H3595" s="4"/>
      <c r="I3595" s="5"/>
      <c r="J3595" s="4"/>
      <c r="K3595" s="5"/>
      <c r="L3595" s="6"/>
      <c r="M3595" s="5" t="str">
        <f aca="false">IF(AND(N(K3595)&gt;0,N(L3595)&gt;0),K3595/L3595,"")</f>
        <v/>
      </c>
      <c r="N3595" s="2" t="s">
        <v>1226</v>
      </c>
    </row>
    <row r="3596" customFormat="false" ht="15" hidden="false" customHeight="false" outlineLevel="0" collapsed="false">
      <c r="A3596" s="2" t="n">
        <v>3595</v>
      </c>
      <c r="B3596" s="2" t="s">
        <v>7425</v>
      </c>
      <c r="C3596" s="2" t="s">
        <v>7426</v>
      </c>
      <c r="D3596" s="2"/>
      <c r="E3596" s="2" t="s">
        <v>1215</v>
      </c>
      <c r="F3596" s="3" t="n">
        <v>1.5E-005</v>
      </c>
      <c r="G3596" s="3" t="n">
        <f aca="false">SUM($F$2:F3596)</f>
        <v>0.988739</v>
      </c>
      <c r="H3596" s="4"/>
      <c r="I3596" s="5"/>
      <c r="J3596" s="4"/>
      <c r="K3596" s="5"/>
      <c r="L3596" s="6"/>
      <c r="M3596" s="5" t="str">
        <f aca="false">IF(AND(N(K3596)&gt;0,N(L3596)&gt;0),K3596/L3596,"")</f>
        <v/>
      </c>
      <c r="N3596" s="2" t="s">
        <v>1226</v>
      </c>
    </row>
    <row r="3597" customFormat="false" ht="15" hidden="false" customHeight="false" outlineLevel="0" collapsed="false">
      <c r="A3597" s="2" t="n">
        <v>3596</v>
      </c>
      <c r="B3597" s="2" t="s">
        <v>7427</v>
      </c>
      <c r="C3597" s="2" t="s">
        <v>7428</v>
      </c>
      <c r="D3597" s="2"/>
      <c r="E3597" s="2" t="s">
        <v>289</v>
      </c>
      <c r="F3597" s="3" t="n">
        <v>1.5E-005</v>
      </c>
      <c r="G3597" s="3" t="n">
        <f aca="false">SUM($F$2:F3597)</f>
        <v>0.988754</v>
      </c>
      <c r="H3597" s="4"/>
      <c r="I3597" s="5"/>
      <c r="J3597" s="4"/>
      <c r="K3597" s="5"/>
      <c r="L3597" s="6"/>
      <c r="M3597" s="5" t="str">
        <f aca="false">IF(AND(N(K3597)&gt;0,N(L3597)&gt;0),K3597/L3597,"")</f>
        <v/>
      </c>
      <c r="N3597" s="2" t="s">
        <v>1226</v>
      </c>
    </row>
    <row r="3598" customFormat="false" ht="15" hidden="false" customHeight="false" outlineLevel="0" collapsed="false">
      <c r="A3598" s="2" t="n">
        <v>3597</v>
      </c>
      <c r="B3598" s="2" t="s">
        <v>7429</v>
      </c>
      <c r="C3598" s="2" t="s">
        <v>7430</v>
      </c>
      <c r="D3598" s="2"/>
      <c r="E3598" s="2" t="s">
        <v>1345</v>
      </c>
      <c r="F3598" s="3" t="n">
        <v>1.5E-005</v>
      </c>
      <c r="G3598" s="3" t="n">
        <f aca="false">SUM($F$2:F3598)</f>
        <v>0.988769</v>
      </c>
      <c r="H3598" s="4"/>
      <c r="I3598" s="5"/>
      <c r="J3598" s="4"/>
      <c r="K3598" s="5"/>
      <c r="L3598" s="6"/>
      <c r="M3598" s="5" t="str">
        <f aca="false">IF(AND(N(K3598)&gt;0,N(L3598)&gt;0),K3598/L3598,"")</f>
        <v/>
      </c>
      <c r="N3598" s="2" t="s">
        <v>1226</v>
      </c>
    </row>
    <row r="3599" customFormat="false" ht="15" hidden="false" customHeight="false" outlineLevel="0" collapsed="false">
      <c r="A3599" s="2" t="n">
        <v>3598</v>
      </c>
      <c r="B3599" s="2" t="s">
        <v>7431</v>
      </c>
      <c r="C3599" s="2" t="s">
        <v>7432</v>
      </c>
      <c r="D3599" s="2"/>
      <c r="E3599" s="2" t="s">
        <v>826</v>
      </c>
      <c r="F3599" s="3" t="n">
        <v>1.5E-005</v>
      </c>
      <c r="G3599" s="3" t="n">
        <f aca="false">SUM($F$2:F3599)</f>
        <v>0.988784</v>
      </c>
      <c r="H3599" s="4"/>
      <c r="I3599" s="5"/>
      <c r="J3599" s="4"/>
      <c r="K3599" s="5"/>
      <c r="L3599" s="6"/>
      <c r="M3599" s="5" t="str">
        <f aca="false">IF(AND(N(K3599)&gt;0,N(L3599)&gt;0),K3599/L3599,"")</f>
        <v/>
      </c>
      <c r="N3599" s="2" t="s">
        <v>1226</v>
      </c>
    </row>
    <row r="3600" customFormat="false" ht="15" hidden="false" customHeight="false" outlineLevel="0" collapsed="false">
      <c r="A3600" s="2" t="n">
        <v>3599</v>
      </c>
      <c r="B3600" s="2" t="s">
        <v>7433</v>
      </c>
      <c r="C3600" s="2" t="s">
        <v>7434</v>
      </c>
      <c r="D3600" s="2"/>
      <c r="E3600" s="2" t="s">
        <v>1345</v>
      </c>
      <c r="F3600" s="3" t="n">
        <v>1.5E-005</v>
      </c>
      <c r="G3600" s="3" t="n">
        <f aca="false">SUM($F$2:F3600)</f>
        <v>0.988799</v>
      </c>
      <c r="H3600" s="4"/>
      <c r="I3600" s="5"/>
      <c r="J3600" s="4"/>
      <c r="K3600" s="5"/>
      <c r="L3600" s="6"/>
      <c r="M3600" s="5" t="str">
        <f aca="false">IF(AND(N(K3600)&gt;0,N(L3600)&gt;0),K3600/L3600,"")</f>
        <v/>
      </c>
      <c r="N3600" s="2" t="s">
        <v>1226</v>
      </c>
    </row>
    <row r="3601" customFormat="false" ht="15" hidden="false" customHeight="false" outlineLevel="0" collapsed="false">
      <c r="A3601" s="2" t="n">
        <v>3600</v>
      </c>
      <c r="B3601" s="2" t="s">
        <v>7435</v>
      </c>
      <c r="C3601" s="2" t="s">
        <v>7436</v>
      </c>
      <c r="D3601" s="2"/>
      <c r="E3601" s="2" t="s">
        <v>765</v>
      </c>
      <c r="F3601" s="3" t="n">
        <v>1.5E-005</v>
      </c>
      <c r="G3601" s="3" t="n">
        <f aca="false">SUM($F$2:F3601)</f>
        <v>0.988814</v>
      </c>
      <c r="H3601" s="4"/>
      <c r="I3601" s="5"/>
      <c r="J3601" s="4"/>
      <c r="K3601" s="5"/>
      <c r="L3601" s="6"/>
      <c r="M3601" s="5" t="str">
        <f aca="false">IF(AND(N(K3601)&gt;0,N(L3601)&gt;0),K3601/L3601,"")</f>
        <v/>
      </c>
      <c r="N3601" s="2" t="s">
        <v>1226</v>
      </c>
    </row>
    <row r="3602" customFormat="false" ht="15" hidden="false" customHeight="false" outlineLevel="0" collapsed="false">
      <c r="A3602" s="2" t="n">
        <v>3601</v>
      </c>
      <c r="B3602" s="2" t="s">
        <v>7437</v>
      </c>
      <c r="C3602" s="2" t="s">
        <v>7438</v>
      </c>
      <c r="D3602" s="2"/>
      <c r="E3602" s="2" t="s">
        <v>1345</v>
      </c>
      <c r="F3602" s="3" t="n">
        <v>1.5E-005</v>
      </c>
      <c r="G3602" s="3" t="n">
        <f aca="false">SUM($F$2:F3602)</f>
        <v>0.988829</v>
      </c>
      <c r="H3602" s="4"/>
      <c r="I3602" s="5"/>
      <c r="J3602" s="4"/>
      <c r="K3602" s="5"/>
      <c r="L3602" s="6"/>
      <c r="M3602" s="5" t="str">
        <f aca="false">IF(AND(N(K3602)&gt;0,N(L3602)&gt;0),K3602/L3602,"")</f>
        <v/>
      </c>
      <c r="N3602" s="2" t="s">
        <v>1226</v>
      </c>
    </row>
    <row r="3603" customFormat="false" ht="15" hidden="false" customHeight="false" outlineLevel="0" collapsed="false">
      <c r="A3603" s="2" t="n">
        <v>3602</v>
      </c>
      <c r="B3603" s="2" t="s">
        <v>7439</v>
      </c>
      <c r="C3603" s="2" t="s">
        <v>7440</v>
      </c>
      <c r="D3603" s="2"/>
      <c r="E3603" s="2" t="s">
        <v>29</v>
      </c>
      <c r="F3603" s="3" t="n">
        <v>1.5E-005</v>
      </c>
      <c r="G3603" s="3" t="n">
        <f aca="false">SUM($F$2:F3603)</f>
        <v>0.988844</v>
      </c>
      <c r="H3603" s="4"/>
      <c r="I3603" s="5"/>
      <c r="J3603" s="4"/>
      <c r="K3603" s="5"/>
      <c r="L3603" s="6"/>
      <c r="M3603" s="5" t="str">
        <f aca="false">IF(AND(N(K3603)&gt;0,N(L3603)&gt;0),K3603/L3603,"")</f>
        <v/>
      </c>
      <c r="N3603" s="2" t="s">
        <v>1226</v>
      </c>
    </row>
    <row r="3604" customFormat="false" ht="15" hidden="false" customHeight="false" outlineLevel="0" collapsed="false">
      <c r="A3604" s="2" t="n">
        <v>3603</v>
      </c>
      <c r="B3604" s="2" t="s">
        <v>7441</v>
      </c>
      <c r="C3604" s="2" t="s">
        <v>7442</v>
      </c>
      <c r="D3604" s="2"/>
      <c r="E3604" s="2" t="s">
        <v>21</v>
      </c>
      <c r="F3604" s="3" t="n">
        <v>1.5E-005</v>
      </c>
      <c r="G3604" s="3" t="n">
        <f aca="false">SUM($F$2:F3604)</f>
        <v>0.988859</v>
      </c>
      <c r="H3604" s="4"/>
      <c r="I3604" s="5"/>
      <c r="J3604" s="4"/>
      <c r="K3604" s="5"/>
      <c r="L3604" s="6"/>
      <c r="M3604" s="5" t="str">
        <f aca="false">IF(AND(N(K3604)&gt;0,N(L3604)&gt;0),K3604/L3604,"")</f>
        <v/>
      </c>
      <c r="N3604" s="2" t="s">
        <v>1226</v>
      </c>
    </row>
    <row r="3605" customFormat="false" ht="15" hidden="false" customHeight="false" outlineLevel="0" collapsed="false">
      <c r="A3605" s="2" t="n">
        <v>3604</v>
      </c>
      <c r="B3605" s="2" t="s">
        <v>7443</v>
      </c>
      <c r="C3605" s="2" t="s">
        <v>7444</v>
      </c>
      <c r="D3605" s="2"/>
      <c r="E3605" s="2" t="s">
        <v>17</v>
      </c>
      <c r="F3605" s="3" t="n">
        <v>1.5E-005</v>
      </c>
      <c r="G3605" s="3" t="n">
        <f aca="false">SUM($F$2:F3605)</f>
        <v>0.988874</v>
      </c>
      <c r="H3605" s="4"/>
      <c r="I3605" s="5"/>
      <c r="J3605" s="4"/>
      <c r="K3605" s="5"/>
      <c r="L3605" s="6"/>
      <c r="M3605" s="5" t="str">
        <f aca="false">IF(AND(N(K3605)&gt;0,N(L3605)&gt;0),K3605/L3605,"")</f>
        <v/>
      </c>
      <c r="N3605" s="2" t="s">
        <v>1226</v>
      </c>
    </row>
    <row r="3606" customFormat="false" ht="15" hidden="false" customHeight="false" outlineLevel="0" collapsed="false">
      <c r="A3606" s="2" t="n">
        <v>3605</v>
      </c>
      <c r="B3606" s="2" t="s">
        <v>7445</v>
      </c>
      <c r="C3606" s="2" t="s">
        <v>7446</v>
      </c>
      <c r="D3606" s="2"/>
      <c r="E3606" s="2" t="s">
        <v>289</v>
      </c>
      <c r="F3606" s="3" t="n">
        <v>1.5E-005</v>
      </c>
      <c r="G3606" s="3" t="n">
        <f aca="false">SUM($F$2:F3606)</f>
        <v>0.988889</v>
      </c>
      <c r="H3606" s="4"/>
      <c r="I3606" s="5"/>
      <c r="J3606" s="4"/>
      <c r="K3606" s="5"/>
      <c r="L3606" s="6"/>
      <c r="M3606" s="5" t="str">
        <f aca="false">IF(AND(N(K3606)&gt;0,N(L3606)&gt;0),K3606/L3606,"")</f>
        <v/>
      </c>
      <c r="N3606" s="2" t="s">
        <v>1226</v>
      </c>
    </row>
    <row r="3607" customFormat="false" ht="15" hidden="false" customHeight="false" outlineLevel="0" collapsed="false">
      <c r="A3607" s="2" t="n">
        <v>3606</v>
      </c>
      <c r="B3607" s="2" t="s">
        <v>7447</v>
      </c>
      <c r="C3607" s="2" t="s">
        <v>7448</v>
      </c>
      <c r="D3607" s="2"/>
      <c r="E3607" s="2" t="s">
        <v>1215</v>
      </c>
      <c r="F3607" s="3" t="n">
        <v>1.5E-005</v>
      </c>
      <c r="G3607" s="3" t="n">
        <f aca="false">SUM($F$2:F3607)</f>
        <v>0.988904</v>
      </c>
      <c r="H3607" s="4"/>
      <c r="I3607" s="5"/>
      <c r="J3607" s="4"/>
      <c r="K3607" s="5"/>
      <c r="L3607" s="6"/>
      <c r="M3607" s="5" t="str">
        <f aca="false">IF(AND(N(K3607)&gt;0,N(L3607)&gt;0),K3607/L3607,"")</f>
        <v/>
      </c>
      <c r="N3607" s="2" t="s">
        <v>1226</v>
      </c>
    </row>
    <row r="3608" customFormat="false" ht="15" hidden="false" customHeight="false" outlineLevel="0" collapsed="false">
      <c r="A3608" s="2" t="n">
        <v>3607</v>
      </c>
      <c r="B3608" s="2" t="s">
        <v>7449</v>
      </c>
      <c r="C3608" s="2" t="s">
        <v>7450</v>
      </c>
      <c r="D3608" s="2"/>
      <c r="E3608" s="2" t="s">
        <v>1284</v>
      </c>
      <c r="F3608" s="3" t="n">
        <v>1.5E-005</v>
      </c>
      <c r="G3608" s="3" t="n">
        <f aca="false">SUM($F$2:F3608)</f>
        <v>0.988919</v>
      </c>
      <c r="H3608" s="4"/>
      <c r="I3608" s="5"/>
      <c r="J3608" s="4"/>
      <c r="K3608" s="5"/>
      <c r="L3608" s="6"/>
      <c r="M3608" s="5" t="str">
        <f aca="false">IF(AND(N(K3608)&gt;0,N(L3608)&gt;0),K3608/L3608,"")</f>
        <v/>
      </c>
      <c r="N3608" s="2" t="s">
        <v>1226</v>
      </c>
    </row>
    <row r="3609" customFormat="false" ht="15" hidden="false" customHeight="false" outlineLevel="0" collapsed="false">
      <c r="A3609" s="2" t="n">
        <v>3608</v>
      </c>
      <c r="B3609" s="2" t="s">
        <v>7451</v>
      </c>
      <c r="C3609" s="2" t="s">
        <v>7452</v>
      </c>
      <c r="D3609" s="2"/>
      <c r="E3609" s="2" t="s">
        <v>52</v>
      </c>
      <c r="F3609" s="3" t="n">
        <v>1.5E-005</v>
      </c>
      <c r="G3609" s="3" t="n">
        <f aca="false">SUM($F$2:F3609)</f>
        <v>0.988934</v>
      </c>
      <c r="H3609" s="4"/>
      <c r="I3609" s="5"/>
      <c r="J3609" s="4"/>
      <c r="K3609" s="5"/>
      <c r="L3609" s="6"/>
      <c r="M3609" s="5" t="str">
        <f aca="false">IF(AND(N(K3609)&gt;0,N(L3609)&gt;0),K3609/L3609,"")</f>
        <v/>
      </c>
      <c r="N3609" s="2" t="s">
        <v>1226</v>
      </c>
    </row>
    <row r="3610" customFormat="false" ht="15" hidden="false" customHeight="false" outlineLevel="0" collapsed="false">
      <c r="A3610" s="2" t="n">
        <v>3609</v>
      </c>
      <c r="B3610" s="2" t="s">
        <v>7453</v>
      </c>
      <c r="C3610" s="2" t="s">
        <v>7454</v>
      </c>
      <c r="D3610" s="2"/>
      <c r="E3610" s="2" t="s">
        <v>1345</v>
      </c>
      <c r="F3610" s="3" t="n">
        <v>1.5E-005</v>
      </c>
      <c r="G3610" s="3" t="n">
        <f aca="false">SUM($F$2:F3610)</f>
        <v>0.988949</v>
      </c>
      <c r="H3610" s="4"/>
      <c r="I3610" s="5"/>
      <c r="J3610" s="4"/>
      <c r="K3610" s="5"/>
      <c r="L3610" s="6"/>
      <c r="M3610" s="5" t="str">
        <f aca="false">IF(AND(N(K3610)&gt;0,N(L3610)&gt;0),K3610/L3610,"")</f>
        <v/>
      </c>
      <c r="N3610" s="2" t="s">
        <v>1226</v>
      </c>
    </row>
    <row r="3611" customFormat="false" ht="15" hidden="false" customHeight="false" outlineLevel="0" collapsed="false">
      <c r="A3611" s="2" t="n">
        <v>3610</v>
      </c>
      <c r="B3611" s="2" t="s">
        <v>7455</v>
      </c>
      <c r="C3611" s="2" t="s">
        <v>7456</v>
      </c>
      <c r="D3611" s="2"/>
      <c r="E3611" s="2" t="s">
        <v>289</v>
      </c>
      <c r="F3611" s="3" t="n">
        <v>1.5E-005</v>
      </c>
      <c r="G3611" s="3" t="n">
        <f aca="false">SUM($F$2:F3611)</f>
        <v>0.988964</v>
      </c>
      <c r="H3611" s="4"/>
      <c r="I3611" s="5"/>
      <c r="J3611" s="4"/>
      <c r="K3611" s="5"/>
      <c r="L3611" s="6"/>
      <c r="M3611" s="5" t="str">
        <f aca="false">IF(AND(N(K3611)&gt;0,N(L3611)&gt;0),K3611/L3611,"")</f>
        <v/>
      </c>
      <c r="N3611" s="2" t="s">
        <v>1226</v>
      </c>
    </row>
    <row r="3612" customFormat="false" ht="15" hidden="false" customHeight="false" outlineLevel="0" collapsed="false">
      <c r="A3612" s="2" t="n">
        <v>3611</v>
      </c>
      <c r="B3612" s="2" t="s">
        <v>7457</v>
      </c>
      <c r="C3612" s="2" t="s">
        <v>7458</v>
      </c>
      <c r="D3612" s="2"/>
      <c r="E3612" s="2" t="s">
        <v>52</v>
      </c>
      <c r="F3612" s="3" t="n">
        <v>1.5E-005</v>
      </c>
      <c r="G3612" s="3" t="n">
        <f aca="false">SUM($F$2:F3612)</f>
        <v>0.988979</v>
      </c>
      <c r="H3612" s="4"/>
      <c r="I3612" s="5"/>
      <c r="J3612" s="4"/>
      <c r="K3612" s="5"/>
      <c r="L3612" s="6"/>
      <c r="M3612" s="5" t="str">
        <f aca="false">IF(AND(N(K3612)&gt;0,N(L3612)&gt;0),K3612/L3612,"")</f>
        <v/>
      </c>
      <c r="N3612" s="2" t="s">
        <v>1226</v>
      </c>
    </row>
    <row r="3613" customFormat="false" ht="15" hidden="false" customHeight="false" outlineLevel="0" collapsed="false">
      <c r="A3613" s="2" t="n">
        <v>3612</v>
      </c>
      <c r="B3613" s="2" t="s">
        <v>7459</v>
      </c>
      <c r="C3613" s="2" t="s">
        <v>7460</v>
      </c>
      <c r="D3613" s="2"/>
      <c r="E3613" s="2" t="s">
        <v>25</v>
      </c>
      <c r="F3613" s="3" t="n">
        <v>1.5E-005</v>
      </c>
      <c r="G3613" s="3" t="n">
        <f aca="false">SUM($F$2:F3613)</f>
        <v>0.988994</v>
      </c>
      <c r="H3613" s="4"/>
      <c r="I3613" s="5"/>
      <c r="J3613" s="4"/>
      <c r="K3613" s="5"/>
      <c r="L3613" s="6"/>
      <c r="M3613" s="5" t="str">
        <f aca="false">IF(AND(N(K3613)&gt;0,N(L3613)&gt;0),K3613/L3613,"")</f>
        <v/>
      </c>
      <c r="N3613" s="2" t="s">
        <v>1226</v>
      </c>
    </row>
    <row r="3614" customFormat="false" ht="15" hidden="false" customHeight="false" outlineLevel="0" collapsed="false">
      <c r="A3614" s="2" t="n">
        <v>3613</v>
      </c>
      <c r="B3614" s="2" t="s">
        <v>7461</v>
      </c>
      <c r="C3614" s="2" t="s">
        <v>7462</v>
      </c>
      <c r="D3614" s="2"/>
      <c r="E3614" s="2" t="s">
        <v>25</v>
      </c>
      <c r="F3614" s="3" t="n">
        <v>1.5E-005</v>
      </c>
      <c r="G3614" s="3" t="n">
        <f aca="false">SUM($F$2:F3614)</f>
        <v>0.989009</v>
      </c>
      <c r="H3614" s="4"/>
      <c r="I3614" s="5"/>
      <c r="J3614" s="4"/>
      <c r="K3614" s="5"/>
      <c r="L3614" s="6"/>
      <c r="M3614" s="5" t="str">
        <f aca="false">IF(AND(N(K3614)&gt;0,N(L3614)&gt;0),K3614/L3614,"")</f>
        <v/>
      </c>
      <c r="N3614" s="2" t="s">
        <v>1226</v>
      </c>
    </row>
    <row r="3615" customFormat="false" ht="15" hidden="false" customHeight="false" outlineLevel="0" collapsed="false">
      <c r="A3615" s="2" t="n">
        <v>3614</v>
      </c>
      <c r="B3615" s="2" t="s">
        <v>7463</v>
      </c>
      <c r="C3615" s="2" t="s">
        <v>7464</v>
      </c>
      <c r="D3615" s="2"/>
      <c r="E3615" s="2" t="s">
        <v>1345</v>
      </c>
      <c r="F3615" s="3" t="n">
        <v>1.5E-005</v>
      </c>
      <c r="G3615" s="3" t="n">
        <f aca="false">SUM($F$2:F3615)</f>
        <v>0.989024</v>
      </c>
      <c r="H3615" s="4"/>
      <c r="I3615" s="5"/>
      <c r="J3615" s="4"/>
      <c r="K3615" s="5"/>
      <c r="L3615" s="6"/>
      <c r="M3615" s="5" t="str">
        <f aca="false">IF(AND(N(K3615)&gt;0,N(L3615)&gt;0),K3615/L3615,"")</f>
        <v/>
      </c>
      <c r="N3615" s="2" t="s">
        <v>1226</v>
      </c>
    </row>
    <row r="3616" customFormat="false" ht="15" hidden="false" customHeight="false" outlineLevel="0" collapsed="false">
      <c r="A3616" s="2" t="n">
        <v>3615</v>
      </c>
      <c r="B3616" s="2" t="s">
        <v>7465</v>
      </c>
      <c r="C3616" s="2" t="s">
        <v>7466</v>
      </c>
      <c r="D3616" s="2"/>
      <c r="E3616" s="2" t="s">
        <v>1345</v>
      </c>
      <c r="F3616" s="3" t="n">
        <v>1.5E-005</v>
      </c>
      <c r="G3616" s="3" t="n">
        <f aca="false">SUM($F$2:F3616)</f>
        <v>0.989039</v>
      </c>
      <c r="H3616" s="4"/>
      <c r="I3616" s="5"/>
      <c r="J3616" s="4"/>
      <c r="K3616" s="5"/>
      <c r="L3616" s="6"/>
      <c r="M3616" s="5" t="str">
        <f aca="false">IF(AND(N(K3616)&gt;0,N(L3616)&gt;0),K3616/L3616,"")</f>
        <v/>
      </c>
      <c r="N3616" s="2" t="s">
        <v>1226</v>
      </c>
    </row>
    <row r="3617" customFormat="false" ht="15" hidden="false" customHeight="false" outlineLevel="0" collapsed="false">
      <c r="A3617" s="2" t="n">
        <v>3616</v>
      </c>
      <c r="B3617" s="2" t="s">
        <v>7467</v>
      </c>
      <c r="C3617" s="2" t="s">
        <v>7468</v>
      </c>
      <c r="D3617" s="2"/>
      <c r="E3617" s="2" t="s">
        <v>17</v>
      </c>
      <c r="F3617" s="3" t="n">
        <v>1.5E-005</v>
      </c>
      <c r="G3617" s="3" t="n">
        <f aca="false">SUM($F$2:F3617)</f>
        <v>0.989054</v>
      </c>
      <c r="H3617" s="4"/>
      <c r="I3617" s="5"/>
      <c r="J3617" s="4"/>
      <c r="K3617" s="5"/>
      <c r="L3617" s="6"/>
      <c r="M3617" s="5" t="str">
        <f aca="false">IF(AND(N(K3617)&gt;0,N(L3617)&gt;0),K3617/L3617,"")</f>
        <v/>
      </c>
      <c r="N3617" s="2" t="s">
        <v>1226</v>
      </c>
    </row>
    <row r="3618" customFormat="false" ht="15" hidden="false" customHeight="false" outlineLevel="0" collapsed="false">
      <c r="A3618" s="2" t="n">
        <v>3617</v>
      </c>
      <c r="B3618" s="2" t="s">
        <v>7469</v>
      </c>
      <c r="C3618" s="2" t="s">
        <v>7470</v>
      </c>
      <c r="D3618" s="2"/>
      <c r="E3618" s="2" t="s">
        <v>25</v>
      </c>
      <c r="F3618" s="3" t="n">
        <v>1.5E-005</v>
      </c>
      <c r="G3618" s="3" t="n">
        <f aca="false">SUM($F$2:F3618)</f>
        <v>0.989069</v>
      </c>
      <c r="H3618" s="4"/>
      <c r="I3618" s="5"/>
      <c r="J3618" s="4"/>
      <c r="K3618" s="5"/>
      <c r="L3618" s="6"/>
      <c r="M3618" s="5" t="str">
        <f aca="false">IF(AND(N(K3618)&gt;0,N(L3618)&gt;0),K3618/L3618,"")</f>
        <v/>
      </c>
      <c r="N3618" s="2" t="s">
        <v>1226</v>
      </c>
    </row>
    <row r="3619" customFormat="false" ht="15" hidden="false" customHeight="false" outlineLevel="0" collapsed="false">
      <c r="A3619" s="2" t="n">
        <v>3618</v>
      </c>
      <c r="B3619" s="2" t="s">
        <v>7471</v>
      </c>
      <c r="C3619" s="2" t="s">
        <v>7472</v>
      </c>
      <c r="D3619" s="2"/>
      <c r="E3619" s="2" t="s">
        <v>25</v>
      </c>
      <c r="F3619" s="3" t="n">
        <v>1.5E-005</v>
      </c>
      <c r="G3619" s="3" t="n">
        <f aca="false">SUM($F$2:F3619)</f>
        <v>0.989084</v>
      </c>
      <c r="H3619" s="4"/>
      <c r="I3619" s="5"/>
      <c r="J3619" s="4"/>
      <c r="K3619" s="5"/>
      <c r="L3619" s="6"/>
      <c r="M3619" s="5" t="str">
        <f aca="false">IF(AND(N(K3619)&gt;0,N(L3619)&gt;0),K3619/L3619,"")</f>
        <v/>
      </c>
      <c r="N3619" s="2" t="s">
        <v>1226</v>
      </c>
    </row>
    <row r="3620" customFormat="false" ht="15" hidden="false" customHeight="false" outlineLevel="0" collapsed="false">
      <c r="A3620" s="2" t="n">
        <v>3619</v>
      </c>
      <c r="B3620" s="2" t="s">
        <v>7473</v>
      </c>
      <c r="C3620" s="2" t="s">
        <v>7474</v>
      </c>
      <c r="D3620" s="2"/>
      <c r="E3620" s="2" t="s">
        <v>52</v>
      </c>
      <c r="F3620" s="3" t="n">
        <v>1.5E-005</v>
      </c>
      <c r="G3620" s="3" t="n">
        <f aca="false">SUM($F$2:F3620)</f>
        <v>0.989099</v>
      </c>
      <c r="H3620" s="4"/>
      <c r="I3620" s="5"/>
      <c r="J3620" s="4"/>
      <c r="K3620" s="5"/>
      <c r="L3620" s="6"/>
      <c r="M3620" s="5" t="str">
        <f aca="false">IF(AND(N(K3620)&gt;0,N(L3620)&gt;0),K3620/L3620,"")</f>
        <v/>
      </c>
      <c r="N3620" s="2" t="s">
        <v>1226</v>
      </c>
    </row>
    <row r="3621" customFormat="false" ht="15" hidden="false" customHeight="false" outlineLevel="0" collapsed="false">
      <c r="A3621" s="2" t="n">
        <v>3620</v>
      </c>
      <c r="B3621" s="2" t="s">
        <v>7475</v>
      </c>
      <c r="C3621" s="2" t="s">
        <v>7476</v>
      </c>
      <c r="D3621" s="2"/>
      <c r="E3621" s="2" t="s">
        <v>29</v>
      </c>
      <c r="F3621" s="3" t="n">
        <v>1.5E-005</v>
      </c>
      <c r="G3621" s="3" t="n">
        <f aca="false">SUM($F$2:F3621)</f>
        <v>0.989114</v>
      </c>
      <c r="H3621" s="4"/>
      <c r="I3621" s="5"/>
      <c r="J3621" s="4"/>
      <c r="K3621" s="5"/>
      <c r="L3621" s="6"/>
      <c r="M3621" s="5" t="str">
        <f aca="false">IF(AND(N(K3621)&gt;0,N(L3621)&gt;0),K3621/L3621,"")</f>
        <v/>
      </c>
      <c r="N3621" s="2" t="s">
        <v>1226</v>
      </c>
    </row>
    <row r="3622" customFormat="false" ht="15" hidden="false" customHeight="false" outlineLevel="0" collapsed="false">
      <c r="A3622" s="2" t="n">
        <v>3621</v>
      </c>
      <c r="B3622" s="2" t="s">
        <v>7477</v>
      </c>
      <c r="C3622" s="2" t="s">
        <v>7478</v>
      </c>
      <c r="D3622" s="2"/>
      <c r="E3622" s="2" t="s">
        <v>1345</v>
      </c>
      <c r="F3622" s="3" t="n">
        <v>1.5E-005</v>
      </c>
      <c r="G3622" s="3" t="n">
        <f aca="false">SUM($F$2:F3622)</f>
        <v>0.989129</v>
      </c>
      <c r="H3622" s="4"/>
      <c r="I3622" s="5"/>
      <c r="J3622" s="4"/>
      <c r="K3622" s="5"/>
      <c r="L3622" s="6"/>
      <c r="M3622" s="5" t="str">
        <f aca="false">IF(AND(N(K3622)&gt;0,N(L3622)&gt;0),K3622/L3622,"")</f>
        <v/>
      </c>
      <c r="N3622" s="2" t="s">
        <v>1226</v>
      </c>
    </row>
    <row r="3623" customFormat="false" ht="15" hidden="false" customHeight="false" outlineLevel="0" collapsed="false">
      <c r="A3623" s="2" t="n">
        <v>3622</v>
      </c>
      <c r="B3623" s="2" t="s">
        <v>7479</v>
      </c>
      <c r="C3623" s="2" t="s">
        <v>7480</v>
      </c>
      <c r="D3623" s="2"/>
      <c r="E3623" s="2" t="s">
        <v>1345</v>
      </c>
      <c r="F3623" s="3" t="n">
        <v>1.5E-005</v>
      </c>
      <c r="G3623" s="3" t="n">
        <f aca="false">SUM($F$2:F3623)</f>
        <v>0.989144</v>
      </c>
      <c r="H3623" s="4"/>
      <c r="I3623" s="5"/>
      <c r="J3623" s="4"/>
      <c r="K3623" s="5"/>
      <c r="L3623" s="6"/>
      <c r="M3623" s="5" t="str">
        <f aca="false">IF(AND(N(K3623)&gt;0,N(L3623)&gt;0),K3623/L3623,"")</f>
        <v/>
      </c>
      <c r="N3623" s="2" t="s">
        <v>1226</v>
      </c>
    </row>
    <row r="3624" customFormat="false" ht="15" hidden="false" customHeight="false" outlineLevel="0" collapsed="false">
      <c r="A3624" s="2" t="n">
        <v>3623</v>
      </c>
      <c r="B3624" s="2" t="s">
        <v>7481</v>
      </c>
      <c r="C3624" s="2" t="s">
        <v>7482</v>
      </c>
      <c r="D3624" s="2"/>
      <c r="E3624" s="2" t="s">
        <v>43</v>
      </c>
      <c r="F3624" s="3" t="n">
        <v>1.5E-005</v>
      </c>
      <c r="G3624" s="3" t="n">
        <f aca="false">SUM($F$2:F3624)</f>
        <v>0.989159</v>
      </c>
      <c r="H3624" s="4"/>
      <c r="I3624" s="5"/>
      <c r="J3624" s="4"/>
      <c r="K3624" s="5"/>
      <c r="L3624" s="6"/>
      <c r="M3624" s="5" t="str">
        <f aca="false">IF(AND(N(K3624)&gt;0,N(L3624)&gt;0),K3624/L3624,"")</f>
        <v/>
      </c>
      <c r="N3624" s="2" t="s">
        <v>1226</v>
      </c>
    </row>
    <row r="3625" customFormat="false" ht="15" hidden="false" customHeight="false" outlineLevel="0" collapsed="false">
      <c r="A3625" s="2" t="n">
        <v>3624</v>
      </c>
      <c r="B3625" s="2" t="s">
        <v>7483</v>
      </c>
      <c r="C3625" s="2" t="s">
        <v>7484</v>
      </c>
      <c r="D3625" s="2"/>
      <c r="E3625" s="2" t="s">
        <v>43</v>
      </c>
      <c r="F3625" s="3" t="n">
        <v>1.5E-005</v>
      </c>
      <c r="G3625" s="3" t="n">
        <f aca="false">SUM($F$2:F3625)</f>
        <v>0.989174</v>
      </c>
      <c r="H3625" s="4"/>
      <c r="I3625" s="5"/>
      <c r="J3625" s="4"/>
      <c r="K3625" s="5"/>
      <c r="L3625" s="6"/>
      <c r="M3625" s="5" t="str">
        <f aca="false">IF(AND(N(K3625)&gt;0,N(L3625)&gt;0),K3625/L3625,"")</f>
        <v/>
      </c>
      <c r="N3625" s="2" t="s">
        <v>1226</v>
      </c>
    </row>
    <row r="3626" customFormat="false" ht="15" hidden="false" customHeight="false" outlineLevel="0" collapsed="false">
      <c r="A3626" s="2" t="n">
        <v>3625</v>
      </c>
      <c r="B3626" s="2" t="s">
        <v>7485</v>
      </c>
      <c r="C3626" s="2" t="s">
        <v>7486</v>
      </c>
      <c r="D3626" s="2"/>
      <c r="E3626" s="2" t="s">
        <v>17</v>
      </c>
      <c r="F3626" s="3" t="n">
        <v>1.5E-005</v>
      </c>
      <c r="G3626" s="3" t="n">
        <f aca="false">SUM($F$2:F3626)</f>
        <v>0.989189</v>
      </c>
      <c r="H3626" s="4"/>
      <c r="I3626" s="5"/>
      <c r="J3626" s="4"/>
      <c r="K3626" s="5"/>
      <c r="L3626" s="6"/>
      <c r="M3626" s="5" t="str">
        <f aca="false">IF(AND(N(K3626)&gt;0,N(L3626)&gt;0),K3626/L3626,"")</f>
        <v/>
      </c>
      <c r="N3626" s="2" t="s">
        <v>1226</v>
      </c>
    </row>
    <row r="3627" customFormat="false" ht="15" hidden="false" customHeight="false" outlineLevel="0" collapsed="false">
      <c r="A3627" s="2" t="n">
        <v>3626</v>
      </c>
      <c r="B3627" s="2" t="s">
        <v>7487</v>
      </c>
      <c r="C3627" s="2" t="s">
        <v>7488</v>
      </c>
      <c r="D3627" s="2"/>
      <c r="E3627" s="2" t="s">
        <v>289</v>
      </c>
      <c r="F3627" s="3" t="n">
        <v>1.5E-005</v>
      </c>
      <c r="G3627" s="3" t="n">
        <f aca="false">SUM($F$2:F3627)</f>
        <v>0.989204</v>
      </c>
      <c r="H3627" s="4"/>
      <c r="I3627" s="5"/>
      <c r="J3627" s="4"/>
      <c r="K3627" s="5"/>
      <c r="L3627" s="6"/>
      <c r="M3627" s="5" t="str">
        <f aca="false">IF(AND(N(K3627)&gt;0,N(L3627)&gt;0),K3627/L3627,"")</f>
        <v/>
      </c>
      <c r="N3627" s="2" t="s">
        <v>1226</v>
      </c>
    </row>
    <row r="3628" customFormat="false" ht="15" hidden="false" customHeight="false" outlineLevel="0" collapsed="false">
      <c r="A3628" s="2" t="n">
        <v>3627</v>
      </c>
      <c r="B3628" s="2" t="s">
        <v>7489</v>
      </c>
      <c r="C3628" s="2" t="s">
        <v>7490</v>
      </c>
      <c r="D3628" s="2"/>
      <c r="E3628" s="2" t="s">
        <v>25</v>
      </c>
      <c r="F3628" s="3" t="n">
        <v>1.5E-005</v>
      </c>
      <c r="G3628" s="3" t="n">
        <f aca="false">SUM($F$2:F3628)</f>
        <v>0.989219</v>
      </c>
      <c r="H3628" s="4"/>
      <c r="I3628" s="5"/>
      <c r="J3628" s="4"/>
      <c r="K3628" s="5"/>
      <c r="L3628" s="6"/>
      <c r="M3628" s="5" t="str">
        <f aca="false">IF(AND(N(K3628)&gt;0,N(L3628)&gt;0),K3628/L3628,"")</f>
        <v/>
      </c>
      <c r="N3628" s="2" t="s">
        <v>1226</v>
      </c>
    </row>
    <row r="3629" customFormat="false" ht="15" hidden="false" customHeight="false" outlineLevel="0" collapsed="false">
      <c r="A3629" s="2" t="n">
        <v>3628</v>
      </c>
      <c r="B3629" s="2" t="s">
        <v>7491</v>
      </c>
      <c r="C3629" s="2" t="s">
        <v>7492</v>
      </c>
      <c r="D3629" s="2"/>
      <c r="E3629" s="2" t="s">
        <v>1345</v>
      </c>
      <c r="F3629" s="3" t="n">
        <v>1.5E-005</v>
      </c>
      <c r="G3629" s="3" t="n">
        <f aca="false">SUM($F$2:F3629)</f>
        <v>0.989234</v>
      </c>
      <c r="H3629" s="4"/>
      <c r="I3629" s="5"/>
      <c r="J3629" s="4"/>
      <c r="K3629" s="5"/>
      <c r="L3629" s="6"/>
      <c r="M3629" s="5" t="str">
        <f aca="false">IF(AND(N(K3629)&gt;0,N(L3629)&gt;0),K3629/L3629,"")</f>
        <v/>
      </c>
      <c r="N3629" s="2" t="s">
        <v>1226</v>
      </c>
    </row>
    <row r="3630" customFormat="false" ht="15" hidden="false" customHeight="false" outlineLevel="0" collapsed="false">
      <c r="A3630" s="2" t="n">
        <v>3629</v>
      </c>
      <c r="B3630" s="2" t="s">
        <v>7076</v>
      </c>
      <c r="C3630" s="2" t="s">
        <v>7493</v>
      </c>
      <c r="D3630" s="2"/>
      <c r="E3630" s="2" t="s">
        <v>289</v>
      </c>
      <c r="F3630" s="3" t="n">
        <v>1.5E-005</v>
      </c>
      <c r="G3630" s="3" t="n">
        <f aca="false">SUM($F$2:F3630)</f>
        <v>0.989249</v>
      </c>
      <c r="H3630" s="4"/>
      <c r="I3630" s="5"/>
      <c r="J3630" s="4"/>
      <c r="K3630" s="5"/>
      <c r="L3630" s="6"/>
      <c r="M3630" s="5" t="str">
        <f aca="false">IF(AND(N(K3630)&gt;0,N(L3630)&gt;0),K3630/L3630,"")</f>
        <v/>
      </c>
      <c r="N3630" s="2" t="s">
        <v>1226</v>
      </c>
    </row>
    <row r="3631" customFormat="false" ht="15" hidden="false" customHeight="false" outlineLevel="0" collapsed="false">
      <c r="A3631" s="2" t="n">
        <v>3630</v>
      </c>
      <c r="B3631" s="2" t="s">
        <v>7494</v>
      </c>
      <c r="C3631" s="2" t="s">
        <v>7495</v>
      </c>
      <c r="D3631" s="2"/>
      <c r="E3631" s="2" t="s">
        <v>43</v>
      </c>
      <c r="F3631" s="3" t="n">
        <v>1.5E-005</v>
      </c>
      <c r="G3631" s="3" t="n">
        <f aca="false">SUM($F$2:F3631)</f>
        <v>0.989264</v>
      </c>
      <c r="H3631" s="4"/>
      <c r="I3631" s="5"/>
      <c r="J3631" s="4"/>
      <c r="K3631" s="5"/>
      <c r="L3631" s="6"/>
      <c r="M3631" s="5" t="str">
        <f aca="false">IF(AND(N(K3631)&gt;0,N(L3631)&gt;0),K3631/L3631,"")</f>
        <v/>
      </c>
      <c r="N3631" s="2" t="s">
        <v>1226</v>
      </c>
    </row>
    <row r="3632" customFormat="false" ht="15" hidden="false" customHeight="false" outlineLevel="0" collapsed="false">
      <c r="A3632" s="2" t="n">
        <v>3631</v>
      </c>
      <c r="B3632" s="2" t="s">
        <v>7496</v>
      </c>
      <c r="C3632" s="2" t="s">
        <v>7497</v>
      </c>
      <c r="D3632" s="2"/>
      <c r="E3632" s="2" t="s">
        <v>17</v>
      </c>
      <c r="F3632" s="3" t="n">
        <v>1.5E-005</v>
      </c>
      <c r="G3632" s="3" t="n">
        <f aca="false">SUM($F$2:F3632)</f>
        <v>0.989279</v>
      </c>
      <c r="H3632" s="4"/>
      <c r="I3632" s="5"/>
      <c r="J3632" s="4"/>
      <c r="K3632" s="5"/>
      <c r="L3632" s="6"/>
      <c r="M3632" s="5" t="str">
        <f aca="false">IF(AND(N(K3632)&gt;0,N(L3632)&gt;0),K3632/L3632,"")</f>
        <v/>
      </c>
      <c r="N3632" s="2" t="s">
        <v>1226</v>
      </c>
    </row>
    <row r="3633" customFormat="false" ht="15" hidden="false" customHeight="false" outlineLevel="0" collapsed="false">
      <c r="A3633" s="2" t="n">
        <v>3632</v>
      </c>
      <c r="B3633" s="2" t="s">
        <v>7498</v>
      </c>
      <c r="C3633" s="2" t="s">
        <v>7499</v>
      </c>
      <c r="D3633" s="2"/>
      <c r="E3633" s="2" t="s">
        <v>52</v>
      </c>
      <c r="F3633" s="3" t="n">
        <v>1.5E-005</v>
      </c>
      <c r="G3633" s="3" t="n">
        <f aca="false">SUM($F$2:F3633)</f>
        <v>0.989294</v>
      </c>
      <c r="H3633" s="4"/>
      <c r="I3633" s="5"/>
      <c r="J3633" s="4"/>
      <c r="K3633" s="5"/>
      <c r="L3633" s="6"/>
      <c r="M3633" s="5" t="str">
        <f aca="false">IF(AND(N(K3633)&gt;0,N(L3633)&gt;0),K3633/L3633,"")</f>
        <v/>
      </c>
      <c r="N3633" s="2" t="s">
        <v>1226</v>
      </c>
    </row>
    <row r="3634" customFormat="false" ht="15" hidden="false" customHeight="false" outlineLevel="0" collapsed="false">
      <c r="A3634" s="2" t="n">
        <v>3633</v>
      </c>
      <c r="B3634" s="2" t="s">
        <v>7500</v>
      </c>
      <c r="C3634" s="2" t="s">
        <v>7501</v>
      </c>
      <c r="D3634" s="2"/>
      <c r="E3634" s="2" t="s">
        <v>1345</v>
      </c>
      <c r="F3634" s="3" t="n">
        <v>1.5E-005</v>
      </c>
      <c r="G3634" s="3" t="n">
        <f aca="false">SUM($F$2:F3634)</f>
        <v>0.989309</v>
      </c>
      <c r="H3634" s="4"/>
      <c r="I3634" s="5"/>
      <c r="J3634" s="4"/>
      <c r="K3634" s="5"/>
      <c r="L3634" s="6"/>
      <c r="M3634" s="5" t="str">
        <f aca="false">IF(AND(N(K3634)&gt;0,N(L3634)&gt;0),K3634/L3634,"")</f>
        <v/>
      </c>
      <c r="N3634" s="2" t="s">
        <v>1226</v>
      </c>
    </row>
    <row r="3635" customFormat="false" ht="15" hidden="false" customHeight="false" outlineLevel="0" collapsed="false">
      <c r="A3635" s="2" t="n">
        <v>3634</v>
      </c>
      <c r="B3635" s="2" t="s">
        <v>7502</v>
      </c>
      <c r="C3635" s="2" t="s">
        <v>7503</v>
      </c>
      <c r="D3635" s="2"/>
      <c r="E3635" s="2" t="s">
        <v>1345</v>
      </c>
      <c r="F3635" s="3" t="n">
        <v>1.5E-005</v>
      </c>
      <c r="G3635" s="3" t="n">
        <f aca="false">SUM($F$2:F3635)</f>
        <v>0.989324</v>
      </c>
      <c r="H3635" s="4"/>
      <c r="I3635" s="5"/>
      <c r="J3635" s="4"/>
      <c r="K3635" s="5"/>
      <c r="L3635" s="6"/>
      <c r="M3635" s="5" t="str">
        <f aca="false">IF(AND(N(K3635)&gt;0,N(L3635)&gt;0),K3635/L3635,"")</f>
        <v/>
      </c>
      <c r="N3635" s="2" t="s">
        <v>1226</v>
      </c>
    </row>
    <row r="3636" customFormat="false" ht="15" hidden="false" customHeight="false" outlineLevel="0" collapsed="false">
      <c r="A3636" s="2" t="n">
        <v>3635</v>
      </c>
      <c r="B3636" s="2" t="s">
        <v>7504</v>
      </c>
      <c r="C3636" s="2" t="s">
        <v>7505</v>
      </c>
      <c r="D3636" s="2"/>
      <c r="E3636" s="2" t="s">
        <v>43</v>
      </c>
      <c r="F3636" s="3" t="n">
        <v>1.5E-005</v>
      </c>
      <c r="G3636" s="3" t="n">
        <f aca="false">SUM($F$2:F3636)</f>
        <v>0.989339</v>
      </c>
      <c r="H3636" s="4"/>
      <c r="I3636" s="5"/>
      <c r="J3636" s="4"/>
      <c r="K3636" s="5"/>
      <c r="L3636" s="6"/>
      <c r="M3636" s="5" t="str">
        <f aca="false">IF(AND(N(K3636)&gt;0,N(L3636)&gt;0),K3636/L3636,"")</f>
        <v/>
      </c>
      <c r="N3636" s="2" t="s">
        <v>1226</v>
      </c>
    </row>
    <row r="3637" customFormat="false" ht="15" hidden="false" customHeight="false" outlineLevel="0" collapsed="false">
      <c r="A3637" s="2" t="n">
        <v>3636</v>
      </c>
      <c r="B3637" s="2" t="s">
        <v>7506</v>
      </c>
      <c r="C3637" s="2" t="s">
        <v>7507</v>
      </c>
      <c r="D3637" s="2"/>
      <c r="E3637" s="2" t="s">
        <v>1345</v>
      </c>
      <c r="F3637" s="3" t="n">
        <v>1.5E-005</v>
      </c>
      <c r="G3637" s="3" t="n">
        <f aca="false">SUM($F$2:F3637)</f>
        <v>0.989354</v>
      </c>
      <c r="H3637" s="4"/>
      <c r="I3637" s="5"/>
      <c r="J3637" s="4"/>
      <c r="K3637" s="5"/>
      <c r="L3637" s="6"/>
      <c r="M3637" s="5" t="str">
        <f aca="false">IF(AND(N(K3637)&gt;0,N(L3637)&gt;0),K3637/L3637,"")</f>
        <v/>
      </c>
      <c r="N3637" s="2" t="s">
        <v>1226</v>
      </c>
    </row>
    <row r="3638" customFormat="false" ht="15" hidden="false" customHeight="false" outlineLevel="0" collapsed="false">
      <c r="A3638" s="2" t="n">
        <v>3637</v>
      </c>
      <c r="B3638" s="2" t="s">
        <v>7508</v>
      </c>
      <c r="C3638" s="2" t="s">
        <v>7509</v>
      </c>
      <c r="D3638" s="2"/>
      <c r="E3638" s="2" t="s">
        <v>199</v>
      </c>
      <c r="F3638" s="3" t="n">
        <v>1.5E-005</v>
      </c>
      <c r="G3638" s="3" t="n">
        <f aca="false">SUM($F$2:F3638)</f>
        <v>0.989369</v>
      </c>
      <c r="H3638" s="4"/>
      <c r="I3638" s="5"/>
      <c r="J3638" s="4"/>
      <c r="K3638" s="5"/>
      <c r="L3638" s="6"/>
      <c r="M3638" s="5" t="str">
        <f aca="false">IF(AND(N(K3638)&gt;0,N(L3638)&gt;0),K3638/L3638,"")</f>
        <v/>
      </c>
      <c r="N3638" s="2" t="s">
        <v>1226</v>
      </c>
    </row>
    <row r="3639" customFormat="false" ht="15" hidden="false" customHeight="false" outlineLevel="0" collapsed="false">
      <c r="A3639" s="2" t="n">
        <v>3638</v>
      </c>
      <c r="B3639" s="2" t="s">
        <v>7510</v>
      </c>
      <c r="C3639" s="2" t="s">
        <v>7511</v>
      </c>
      <c r="D3639" s="2"/>
      <c r="E3639" s="2" t="s">
        <v>199</v>
      </c>
      <c r="F3639" s="3" t="n">
        <v>1.5E-005</v>
      </c>
      <c r="G3639" s="3" t="n">
        <f aca="false">SUM($F$2:F3639)</f>
        <v>0.989384</v>
      </c>
      <c r="H3639" s="4"/>
      <c r="I3639" s="5"/>
      <c r="J3639" s="4"/>
      <c r="K3639" s="5"/>
      <c r="L3639" s="6"/>
      <c r="M3639" s="5" t="str">
        <f aca="false">IF(AND(N(K3639)&gt;0,N(L3639)&gt;0),K3639/L3639,"")</f>
        <v/>
      </c>
      <c r="N3639" s="2" t="s">
        <v>1226</v>
      </c>
    </row>
    <row r="3640" customFormat="false" ht="15" hidden="false" customHeight="false" outlineLevel="0" collapsed="false">
      <c r="A3640" s="2" t="n">
        <v>3639</v>
      </c>
      <c r="B3640" s="2" t="s">
        <v>7512</v>
      </c>
      <c r="C3640" s="2" t="s">
        <v>7513</v>
      </c>
      <c r="D3640" s="2"/>
      <c r="E3640" s="2" t="s">
        <v>29</v>
      </c>
      <c r="F3640" s="3" t="n">
        <v>1.5E-005</v>
      </c>
      <c r="G3640" s="3" t="n">
        <f aca="false">SUM($F$2:F3640)</f>
        <v>0.989399</v>
      </c>
      <c r="H3640" s="4"/>
      <c r="I3640" s="5"/>
      <c r="J3640" s="4"/>
      <c r="K3640" s="5"/>
      <c r="L3640" s="6"/>
      <c r="M3640" s="5" t="str">
        <f aca="false">IF(AND(N(K3640)&gt;0,N(L3640)&gt;0),K3640/L3640,"")</f>
        <v/>
      </c>
      <c r="N3640" s="2" t="s">
        <v>1226</v>
      </c>
    </row>
    <row r="3641" customFormat="false" ht="15" hidden="false" customHeight="false" outlineLevel="0" collapsed="false">
      <c r="A3641" s="2" t="n">
        <v>3640</v>
      </c>
      <c r="B3641" s="2" t="s">
        <v>7514</v>
      </c>
      <c r="C3641" s="2" t="s">
        <v>7515</v>
      </c>
      <c r="D3641" s="2"/>
      <c r="E3641" s="2" t="s">
        <v>1245</v>
      </c>
      <c r="F3641" s="3" t="n">
        <v>1.5E-005</v>
      </c>
      <c r="G3641" s="3" t="n">
        <f aca="false">SUM($F$2:F3641)</f>
        <v>0.989414</v>
      </c>
      <c r="H3641" s="4"/>
      <c r="I3641" s="5"/>
      <c r="J3641" s="4"/>
      <c r="K3641" s="5"/>
      <c r="L3641" s="6"/>
      <c r="M3641" s="5" t="str">
        <f aca="false">IF(AND(N(K3641)&gt;0,N(L3641)&gt;0),K3641/L3641,"")</f>
        <v/>
      </c>
      <c r="N3641" s="2" t="s">
        <v>1226</v>
      </c>
    </row>
    <row r="3642" customFormat="false" ht="15" hidden="false" customHeight="false" outlineLevel="0" collapsed="false">
      <c r="A3642" s="2" t="n">
        <v>3641</v>
      </c>
      <c r="B3642" s="2" t="s">
        <v>7516</v>
      </c>
      <c r="C3642" s="2" t="s">
        <v>7517</v>
      </c>
      <c r="D3642" s="2"/>
      <c r="E3642" s="2" t="s">
        <v>1345</v>
      </c>
      <c r="F3642" s="3" t="n">
        <v>1.5E-005</v>
      </c>
      <c r="G3642" s="3" t="n">
        <f aca="false">SUM($F$2:F3642)</f>
        <v>0.989429</v>
      </c>
      <c r="H3642" s="4"/>
      <c r="I3642" s="5"/>
      <c r="J3642" s="4"/>
      <c r="K3642" s="5"/>
      <c r="L3642" s="6"/>
      <c r="M3642" s="5" t="str">
        <f aca="false">IF(AND(N(K3642)&gt;0,N(L3642)&gt;0),K3642/L3642,"")</f>
        <v/>
      </c>
      <c r="N3642" s="2" t="s">
        <v>1226</v>
      </c>
    </row>
    <row r="3643" customFormat="false" ht="15" hidden="false" customHeight="false" outlineLevel="0" collapsed="false">
      <c r="A3643" s="2" t="n">
        <v>3642</v>
      </c>
      <c r="B3643" s="2" t="s">
        <v>7518</v>
      </c>
      <c r="C3643" s="2" t="s">
        <v>7519</v>
      </c>
      <c r="D3643" s="2"/>
      <c r="E3643" s="2" t="s">
        <v>289</v>
      </c>
      <c r="F3643" s="3" t="n">
        <v>1.5E-005</v>
      </c>
      <c r="G3643" s="3" t="n">
        <f aca="false">SUM($F$2:F3643)</f>
        <v>0.989444</v>
      </c>
      <c r="H3643" s="4"/>
      <c r="I3643" s="5"/>
      <c r="J3643" s="4"/>
      <c r="K3643" s="5"/>
      <c r="L3643" s="6"/>
      <c r="M3643" s="5" t="str">
        <f aca="false">IF(AND(N(K3643)&gt;0,N(L3643)&gt;0),K3643/L3643,"")</f>
        <v/>
      </c>
      <c r="N3643" s="2" t="s">
        <v>1226</v>
      </c>
    </row>
    <row r="3644" customFormat="false" ht="15" hidden="false" customHeight="false" outlineLevel="0" collapsed="false">
      <c r="A3644" s="2" t="n">
        <v>3643</v>
      </c>
      <c r="B3644" s="2" t="s">
        <v>7520</v>
      </c>
      <c r="C3644" s="2" t="s">
        <v>7521</v>
      </c>
      <c r="D3644" s="2"/>
      <c r="E3644" s="2" t="s">
        <v>539</v>
      </c>
      <c r="F3644" s="3" t="n">
        <v>1.5E-005</v>
      </c>
      <c r="G3644" s="3" t="n">
        <f aca="false">SUM($F$2:F3644)</f>
        <v>0.989459</v>
      </c>
      <c r="H3644" s="4"/>
      <c r="I3644" s="5"/>
      <c r="J3644" s="4"/>
      <c r="K3644" s="5"/>
      <c r="L3644" s="6"/>
      <c r="M3644" s="5" t="str">
        <f aca="false">IF(AND(N(K3644)&gt;0,N(L3644)&gt;0),K3644/L3644,"")</f>
        <v/>
      </c>
      <c r="N3644" s="2" t="s">
        <v>1226</v>
      </c>
    </row>
    <row r="3645" customFormat="false" ht="15" hidden="false" customHeight="false" outlineLevel="0" collapsed="false">
      <c r="A3645" s="2" t="n">
        <v>3644</v>
      </c>
      <c r="B3645" s="2" t="s">
        <v>7522</v>
      </c>
      <c r="C3645" s="2" t="s">
        <v>7523</v>
      </c>
      <c r="D3645" s="2"/>
      <c r="E3645" s="2" t="s">
        <v>48</v>
      </c>
      <c r="F3645" s="3" t="n">
        <v>1.5E-005</v>
      </c>
      <c r="G3645" s="3" t="n">
        <f aca="false">SUM($F$2:F3645)</f>
        <v>0.989474</v>
      </c>
      <c r="H3645" s="4"/>
      <c r="I3645" s="5"/>
      <c r="J3645" s="4"/>
      <c r="K3645" s="5"/>
      <c r="L3645" s="6"/>
      <c r="M3645" s="5" t="str">
        <f aca="false">IF(AND(N(K3645)&gt;0,N(L3645)&gt;0),K3645/L3645,"")</f>
        <v/>
      </c>
      <c r="N3645" s="2" t="s">
        <v>1226</v>
      </c>
    </row>
    <row r="3646" customFormat="false" ht="15" hidden="false" customHeight="false" outlineLevel="0" collapsed="false">
      <c r="A3646" s="2" t="n">
        <v>3645</v>
      </c>
      <c r="B3646" s="2" t="s">
        <v>7524</v>
      </c>
      <c r="C3646" s="2" t="s">
        <v>7525</v>
      </c>
      <c r="D3646" s="2"/>
      <c r="E3646" s="2" t="s">
        <v>48</v>
      </c>
      <c r="F3646" s="3" t="n">
        <v>1.5E-005</v>
      </c>
      <c r="G3646" s="3" t="n">
        <f aca="false">SUM($F$2:F3646)</f>
        <v>0.989489</v>
      </c>
      <c r="H3646" s="4"/>
      <c r="I3646" s="5"/>
      <c r="J3646" s="4"/>
      <c r="K3646" s="5"/>
      <c r="L3646" s="6"/>
      <c r="M3646" s="5" t="str">
        <f aca="false">IF(AND(N(K3646)&gt;0,N(L3646)&gt;0),K3646/L3646,"")</f>
        <v/>
      </c>
      <c r="N3646" s="2" t="s">
        <v>1226</v>
      </c>
    </row>
    <row r="3647" customFormat="false" ht="15" hidden="false" customHeight="false" outlineLevel="0" collapsed="false">
      <c r="A3647" s="2" t="n">
        <v>3646</v>
      </c>
      <c r="B3647" s="2" t="s">
        <v>7526</v>
      </c>
      <c r="C3647" s="2" t="s">
        <v>7527</v>
      </c>
      <c r="D3647" s="2"/>
      <c r="E3647" s="2" t="s">
        <v>17</v>
      </c>
      <c r="F3647" s="3" t="n">
        <v>1.5E-005</v>
      </c>
      <c r="G3647" s="3" t="n">
        <f aca="false">SUM($F$2:F3647)</f>
        <v>0.989504</v>
      </c>
      <c r="H3647" s="4"/>
      <c r="I3647" s="5"/>
      <c r="J3647" s="4"/>
      <c r="K3647" s="5"/>
      <c r="L3647" s="6"/>
      <c r="M3647" s="5" t="str">
        <f aca="false">IF(AND(N(K3647)&gt;0,N(L3647)&gt;0),K3647/L3647,"")</f>
        <v/>
      </c>
      <c r="N3647" s="2" t="s">
        <v>1226</v>
      </c>
    </row>
    <row r="3648" customFormat="false" ht="15" hidden="false" customHeight="false" outlineLevel="0" collapsed="false">
      <c r="A3648" s="2" t="n">
        <v>3647</v>
      </c>
      <c r="B3648" s="2" t="s">
        <v>7528</v>
      </c>
      <c r="C3648" s="2" t="s">
        <v>7529</v>
      </c>
      <c r="D3648" s="2"/>
      <c r="E3648" s="2" t="s">
        <v>614</v>
      </c>
      <c r="F3648" s="3" t="n">
        <v>1.5E-005</v>
      </c>
      <c r="G3648" s="3" t="n">
        <f aca="false">SUM($F$2:F3648)</f>
        <v>0.989519</v>
      </c>
      <c r="H3648" s="4"/>
      <c r="I3648" s="5"/>
      <c r="J3648" s="4"/>
      <c r="K3648" s="5"/>
      <c r="L3648" s="6"/>
      <c r="M3648" s="5" t="str">
        <f aca="false">IF(AND(N(K3648)&gt;0,N(L3648)&gt;0),K3648/L3648,"")</f>
        <v/>
      </c>
      <c r="N3648" s="2" t="s">
        <v>1226</v>
      </c>
    </row>
    <row r="3649" customFormat="false" ht="15" hidden="false" customHeight="false" outlineLevel="0" collapsed="false">
      <c r="A3649" s="2" t="n">
        <v>3648</v>
      </c>
      <c r="B3649" s="2" t="s">
        <v>7530</v>
      </c>
      <c r="C3649" s="2" t="s">
        <v>7531</v>
      </c>
      <c r="D3649" s="2"/>
      <c r="E3649" s="2" t="s">
        <v>25</v>
      </c>
      <c r="F3649" s="3" t="n">
        <v>1.5E-005</v>
      </c>
      <c r="G3649" s="3" t="n">
        <f aca="false">SUM($F$2:F3649)</f>
        <v>0.989534</v>
      </c>
      <c r="H3649" s="4"/>
      <c r="I3649" s="5"/>
      <c r="J3649" s="4"/>
      <c r="K3649" s="5"/>
      <c r="L3649" s="6"/>
      <c r="M3649" s="5" t="str">
        <f aca="false">IF(AND(N(K3649)&gt;0,N(L3649)&gt;0),K3649/L3649,"")</f>
        <v/>
      </c>
      <c r="N3649" s="2" t="s">
        <v>1226</v>
      </c>
    </row>
    <row r="3650" customFormat="false" ht="15" hidden="false" customHeight="false" outlineLevel="0" collapsed="false">
      <c r="A3650" s="2" t="n">
        <v>3649</v>
      </c>
      <c r="B3650" s="2" t="s">
        <v>7532</v>
      </c>
      <c r="C3650" s="2" t="s">
        <v>7533</v>
      </c>
      <c r="D3650" s="2"/>
      <c r="E3650" s="2" t="s">
        <v>1050</v>
      </c>
      <c r="F3650" s="3" t="n">
        <v>1.5E-005</v>
      </c>
      <c r="G3650" s="3" t="n">
        <f aca="false">SUM($F$2:F3650)</f>
        <v>0.989549</v>
      </c>
      <c r="H3650" s="4"/>
      <c r="I3650" s="5"/>
      <c r="J3650" s="4"/>
      <c r="K3650" s="5"/>
      <c r="L3650" s="6"/>
      <c r="M3650" s="5" t="str">
        <f aca="false">IF(AND(N(K3650)&gt;0,N(L3650)&gt;0),K3650/L3650,"")</f>
        <v/>
      </c>
      <c r="N3650" s="2" t="s">
        <v>1226</v>
      </c>
    </row>
    <row r="3651" customFormat="false" ht="15" hidden="false" customHeight="false" outlineLevel="0" collapsed="false">
      <c r="A3651" s="2" t="n">
        <v>3650</v>
      </c>
      <c r="B3651" s="2" t="s">
        <v>657</v>
      </c>
      <c r="C3651" s="2" t="s">
        <v>7534</v>
      </c>
      <c r="D3651" s="2"/>
      <c r="E3651" s="2" t="s">
        <v>539</v>
      </c>
      <c r="F3651" s="3" t="n">
        <v>1.5E-005</v>
      </c>
      <c r="G3651" s="3" t="n">
        <f aca="false">SUM($F$2:F3651)</f>
        <v>0.989564</v>
      </c>
      <c r="H3651" s="4"/>
      <c r="I3651" s="5"/>
      <c r="J3651" s="4"/>
      <c r="K3651" s="5"/>
      <c r="L3651" s="6"/>
      <c r="M3651" s="5" t="str">
        <f aca="false">IF(AND(N(K3651)&gt;0,N(L3651)&gt;0),K3651/L3651,"")</f>
        <v/>
      </c>
      <c r="N3651" s="2" t="s">
        <v>1226</v>
      </c>
    </row>
    <row r="3652" customFormat="false" ht="15" hidden="false" customHeight="false" outlineLevel="0" collapsed="false">
      <c r="A3652" s="2" t="n">
        <v>3651</v>
      </c>
      <c r="B3652" s="2" t="s">
        <v>301</v>
      </c>
      <c r="C3652" s="2" t="s">
        <v>7535</v>
      </c>
      <c r="D3652" s="2"/>
      <c r="E3652" s="2" t="s">
        <v>614</v>
      </c>
      <c r="F3652" s="3" t="n">
        <v>1.5E-005</v>
      </c>
      <c r="G3652" s="3" t="n">
        <f aca="false">SUM($F$2:F3652)</f>
        <v>0.989579</v>
      </c>
      <c r="H3652" s="4"/>
      <c r="I3652" s="5"/>
      <c r="J3652" s="4"/>
      <c r="K3652" s="5"/>
      <c r="L3652" s="6"/>
      <c r="M3652" s="5" t="str">
        <f aca="false">IF(AND(N(K3652)&gt;0,N(L3652)&gt;0),K3652/L3652,"")</f>
        <v/>
      </c>
      <c r="N3652" s="2" t="s">
        <v>34</v>
      </c>
    </row>
    <row r="3653" customFormat="false" ht="15" hidden="false" customHeight="false" outlineLevel="0" collapsed="false">
      <c r="A3653" s="2" t="n">
        <v>3652</v>
      </c>
      <c r="B3653" s="2" t="s">
        <v>7536</v>
      </c>
      <c r="C3653" s="2" t="s">
        <v>7537</v>
      </c>
      <c r="D3653" s="2"/>
      <c r="E3653" s="2" t="s">
        <v>1345</v>
      </c>
      <c r="F3653" s="3" t="n">
        <v>1.5E-005</v>
      </c>
      <c r="G3653" s="3" t="n">
        <f aca="false">SUM($F$2:F3653)</f>
        <v>0.989594</v>
      </c>
      <c r="H3653" s="4"/>
      <c r="I3653" s="5"/>
      <c r="J3653" s="4"/>
      <c r="K3653" s="5"/>
      <c r="L3653" s="6"/>
      <c r="M3653" s="5" t="str">
        <f aca="false">IF(AND(N(K3653)&gt;0,N(L3653)&gt;0),K3653/L3653,"")</f>
        <v/>
      </c>
      <c r="N3653" s="2" t="s">
        <v>1226</v>
      </c>
    </row>
    <row r="3654" customFormat="false" ht="15" hidden="false" customHeight="false" outlineLevel="0" collapsed="false">
      <c r="A3654" s="2" t="n">
        <v>3653</v>
      </c>
      <c r="B3654" s="2" t="s">
        <v>3934</v>
      </c>
      <c r="C3654" s="2" t="s">
        <v>7538</v>
      </c>
      <c r="D3654" s="2"/>
      <c r="E3654" s="2" t="s">
        <v>43</v>
      </c>
      <c r="F3654" s="3" t="n">
        <v>1.5E-005</v>
      </c>
      <c r="G3654" s="3" t="n">
        <f aca="false">SUM($F$2:F3654)</f>
        <v>0.989609</v>
      </c>
      <c r="H3654" s="4"/>
      <c r="I3654" s="5"/>
      <c r="J3654" s="4"/>
      <c r="K3654" s="5"/>
      <c r="L3654" s="6"/>
      <c r="M3654" s="5" t="str">
        <f aca="false">IF(AND(N(K3654)&gt;0,N(L3654)&gt;0),K3654/L3654,"")</f>
        <v/>
      </c>
      <c r="N3654" s="2" t="s">
        <v>1226</v>
      </c>
    </row>
    <row r="3655" customFormat="false" ht="15" hidden="false" customHeight="false" outlineLevel="0" collapsed="false">
      <c r="A3655" s="2" t="n">
        <v>3654</v>
      </c>
      <c r="B3655" s="2" t="s">
        <v>7539</v>
      </c>
      <c r="C3655" s="2" t="s">
        <v>7540</v>
      </c>
      <c r="D3655" s="2"/>
      <c r="E3655" s="2" t="s">
        <v>1345</v>
      </c>
      <c r="F3655" s="3" t="n">
        <v>1.5E-005</v>
      </c>
      <c r="G3655" s="3" t="n">
        <f aca="false">SUM($F$2:F3655)</f>
        <v>0.989624</v>
      </c>
      <c r="H3655" s="4"/>
      <c r="I3655" s="5"/>
      <c r="J3655" s="4"/>
      <c r="K3655" s="5"/>
      <c r="L3655" s="6"/>
      <c r="M3655" s="5" t="str">
        <f aca="false">IF(AND(N(K3655)&gt;0,N(L3655)&gt;0),K3655/L3655,"")</f>
        <v/>
      </c>
      <c r="N3655" s="2" t="s">
        <v>1226</v>
      </c>
    </row>
    <row r="3656" customFormat="false" ht="15" hidden="false" customHeight="false" outlineLevel="0" collapsed="false">
      <c r="A3656" s="2" t="n">
        <v>3655</v>
      </c>
      <c r="B3656" s="2" t="s">
        <v>7541</v>
      </c>
      <c r="C3656" s="2" t="s">
        <v>7542</v>
      </c>
      <c r="D3656" s="2"/>
      <c r="E3656" s="2" t="s">
        <v>289</v>
      </c>
      <c r="F3656" s="3" t="n">
        <v>1.5E-005</v>
      </c>
      <c r="G3656" s="3" t="n">
        <f aca="false">SUM($F$2:F3656)</f>
        <v>0.989639</v>
      </c>
      <c r="H3656" s="4"/>
      <c r="I3656" s="5"/>
      <c r="J3656" s="4"/>
      <c r="K3656" s="5"/>
      <c r="L3656" s="6"/>
      <c r="M3656" s="5" t="str">
        <f aca="false">IF(AND(N(K3656)&gt;0,N(L3656)&gt;0),K3656/L3656,"")</f>
        <v/>
      </c>
      <c r="N3656" s="2" t="s">
        <v>1226</v>
      </c>
    </row>
    <row r="3657" customFormat="false" ht="15" hidden="false" customHeight="false" outlineLevel="0" collapsed="false">
      <c r="A3657" s="2" t="n">
        <v>3656</v>
      </c>
      <c r="B3657" s="2" t="s">
        <v>3288</v>
      </c>
      <c r="C3657" s="2" t="s">
        <v>7543</v>
      </c>
      <c r="D3657" s="2"/>
      <c r="E3657" s="2" t="s">
        <v>33</v>
      </c>
      <c r="F3657" s="3" t="n">
        <v>1.5E-005</v>
      </c>
      <c r="G3657" s="3" t="n">
        <f aca="false">SUM($F$2:F3657)</f>
        <v>0.989654</v>
      </c>
      <c r="H3657" s="4"/>
      <c r="I3657" s="5"/>
      <c r="J3657" s="4"/>
      <c r="K3657" s="5"/>
      <c r="L3657" s="6"/>
      <c r="M3657" s="5" t="str">
        <f aca="false">IF(AND(N(K3657)&gt;0,N(L3657)&gt;0),K3657/L3657,"")</f>
        <v/>
      </c>
      <c r="N3657" s="2" t="s">
        <v>1226</v>
      </c>
    </row>
    <row r="3658" customFormat="false" ht="15" hidden="false" customHeight="false" outlineLevel="0" collapsed="false">
      <c r="A3658" s="2" t="n">
        <v>3657</v>
      </c>
      <c r="B3658" s="2" t="s">
        <v>7544</v>
      </c>
      <c r="C3658" s="2" t="s">
        <v>7545</v>
      </c>
      <c r="D3658" s="2"/>
      <c r="E3658" s="2" t="s">
        <v>289</v>
      </c>
      <c r="F3658" s="3" t="n">
        <v>1.5E-005</v>
      </c>
      <c r="G3658" s="3" t="n">
        <f aca="false">SUM($F$2:F3658)</f>
        <v>0.989669</v>
      </c>
      <c r="H3658" s="4"/>
      <c r="I3658" s="5"/>
      <c r="J3658" s="4"/>
      <c r="K3658" s="5"/>
      <c r="L3658" s="6"/>
      <c r="M3658" s="5" t="str">
        <f aca="false">IF(AND(N(K3658)&gt;0,N(L3658)&gt;0),K3658/L3658,"")</f>
        <v/>
      </c>
      <c r="N3658" s="2" t="s">
        <v>1226</v>
      </c>
    </row>
    <row r="3659" customFormat="false" ht="15" hidden="false" customHeight="false" outlineLevel="0" collapsed="false">
      <c r="A3659" s="2" t="n">
        <v>3658</v>
      </c>
      <c r="B3659" s="2" t="s">
        <v>7546</v>
      </c>
      <c r="C3659" s="2" t="s">
        <v>7547</v>
      </c>
      <c r="D3659" s="2"/>
      <c r="E3659" s="2" t="s">
        <v>289</v>
      </c>
      <c r="F3659" s="3" t="n">
        <v>1.5E-005</v>
      </c>
      <c r="G3659" s="3" t="n">
        <f aca="false">SUM($F$2:F3659)</f>
        <v>0.989684</v>
      </c>
      <c r="H3659" s="4"/>
      <c r="I3659" s="5"/>
      <c r="J3659" s="4"/>
      <c r="K3659" s="5"/>
      <c r="L3659" s="6"/>
      <c r="M3659" s="5" t="str">
        <f aca="false">IF(AND(N(K3659)&gt;0,N(L3659)&gt;0),K3659/L3659,"")</f>
        <v/>
      </c>
      <c r="N3659" s="2" t="s">
        <v>1226</v>
      </c>
    </row>
    <row r="3660" customFormat="false" ht="15" hidden="false" customHeight="false" outlineLevel="0" collapsed="false">
      <c r="A3660" s="2" t="n">
        <v>3659</v>
      </c>
      <c r="B3660" s="2" t="s">
        <v>7548</v>
      </c>
      <c r="C3660" s="2" t="s">
        <v>7549</v>
      </c>
      <c r="D3660" s="2"/>
      <c r="E3660" s="2" t="s">
        <v>289</v>
      </c>
      <c r="F3660" s="3" t="n">
        <v>1.4E-005</v>
      </c>
      <c r="G3660" s="3" t="n">
        <f aca="false">SUM($F$2:F3660)</f>
        <v>0.989698</v>
      </c>
      <c r="H3660" s="4"/>
      <c r="I3660" s="5"/>
      <c r="J3660" s="4"/>
      <c r="K3660" s="5"/>
      <c r="L3660" s="6"/>
      <c r="M3660" s="5" t="str">
        <f aca="false">IF(AND(N(K3660)&gt;0,N(L3660)&gt;0),K3660/L3660,"")</f>
        <v/>
      </c>
      <c r="N3660" s="2" t="s">
        <v>1226</v>
      </c>
    </row>
    <row r="3661" customFormat="false" ht="15" hidden="false" customHeight="false" outlineLevel="0" collapsed="false">
      <c r="A3661" s="2" t="n">
        <v>3660</v>
      </c>
      <c r="B3661" s="2" t="s">
        <v>7550</v>
      </c>
      <c r="C3661" s="2" t="s">
        <v>7551</v>
      </c>
      <c r="D3661" s="2"/>
      <c r="E3661" s="2" t="s">
        <v>289</v>
      </c>
      <c r="F3661" s="3" t="n">
        <v>1.4E-005</v>
      </c>
      <c r="G3661" s="3" t="n">
        <f aca="false">SUM($F$2:F3661)</f>
        <v>0.989712</v>
      </c>
      <c r="H3661" s="4"/>
      <c r="I3661" s="5"/>
      <c r="J3661" s="4"/>
      <c r="K3661" s="5"/>
      <c r="L3661" s="6"/>
      <c r="M3661" s="5" t="str">
        <f aca="false">IF(AND(N(K3661)&gt;0,N(L3661)&gt;0),K3661/L3661,"")</f>
        <v/>
      </c>
      <c r="N3661" s="2" t="s">
        <v>1226</v>
      </c>
    </row>
    <row r="3662" customFormat="false" ht="15" hidden="false" customHeight="false" outlineLevel="0" collapsed="false">
      <c r="A3662" s="2" t="n">
        <v>3661</v>
      </c>
      <c r="B3662" s="2" t="s">
        <v>7552</v>
      </c>
      <c r="C3662" s="2" t="s">
        <v>7553</v>
      </c>
      <c r="D3662" s="2"/>
      <c r="E3662" s="2" t="s">
        <v>1345</v>
      </c>
      <c r="F3662" s="3" t="n">
        <v>1.4E-005</v>
      </c>
      <c r="G3662" s="3" t="n">
        <f aca="false">SUM($F$2:F3662)</f>
        <v>0.989726</v>
      </c>
      <c r="H3662" s="4"/>
      <c r="I3662" s="5"/>
      <c r="J3662" s="4"/>
      <c r="K3662" s="5"/>
      <c r="L3662" s="6"/>
      <c r="M3662" s="5" t="str">
        <f aca="false">IF(AND(N(K3662)&gt;0,N(L3662)&gt;0),K3662/L3662,"")</f>
        <v/>
      </c>
      <c r="N3662" s="2" t="s">
        <v>1226</v>
      </c>
    </row>
    <row r="3663" customFormat="false" ht="15" hidden="false" customHeight="false" outlineLevel="0" collapsed="false">
      <c r="A3663" s="2" t="n">
        <v>3662</v>
      </c>
      <c r="B3663" s="2" t="s">
        <v>7554</v>
      </c>
      <c r="C3663" s="2" t="s">
        <v>7555</v>
      </c>
      <c r="D3663" s="2"/>
      <c r="E3663" s="2" t="s">
        <v>289</v>
      </c>
      <c r="F3663" s="3" t="n">
        <v>1.4E-005</v>
      </c>
      <c r="G3663" s="3" t="n">
        <f aca="false">SUM($F$2:F3663)</f>
        <v>0.98974</v>
      </c>
      <c r="H3663" s="4"/>
      <c r="I3663" s="5"/>
      <c r="J3663" s="4"/>
      <c r="K3663" s="5"/>
      <c r="L3663" s="6"/>
      <c r="M3663" s="5" t="str">
        <f aca="false">IF(AND(N(K3663)&gt;0,N(L3663)&gt;0),K3663/L3663,"")</f>
        <v/>
      </c>
      <c r="N3663" s="2" t="s">
        <v>1226</v>
      </c>
    </row>
    <row r="3664" customFormat="false" ht="15" hidden="false" customHeight="false" outlineLevel="0" collapsed="false">
      <c r="A3664" s="2" t="n">
        <v>3663</v>
      </c>
      <c r="B3664" s="2" t="s">
        <v>7556</v>
      </c>
      <c r="C3664" s="2" t="s">
        <v>7557</v>
      </c>
      <c r="D3664" s="2"/>
      <c r="E3664" s="2" t="s">
        <v>1345</v>
      </c>
      <c r="F3664" s="3" t="n">
        <v>1.4E-005</v>
      </c>
      <c r="G3664" s="3" t="n">
        <f aca="false">SUM($F$2:F3664)</f>
        <v>0.989754</v>
      </c>
      <c r="H3664" s="4"/>
      <c r="I3664" s="5"/>
      <c r="J3664" s="4"/>
      <c r="K3664" s="5"/>
      <c r="L3664" s="6"/>
      <c r="M3664" s="5" t="str">
        <f aca="false">IF(AND(N(K3664)&gt;0,N(L3664)&gt;0),K3664/L3664,"")</f>
        <v/>
      </c>
      <c r="N3664" s="2" t="s">
        <v>1226</v>
      </c>
    </row>
    <row r="3665" customFormat="false" ht="15" hidden="false" customHeight="false" outlineLevel="0" collapsed="false">
      <c r="A3665" s="2" t="n">
        <v>3664</v>
      </c>
      <c r="B3665" s="2" t="s">
        <v>7558</v>
      </c>
      <c r="C3665" s="2" t="s">
        <v>7559</v>
      </c>
      <c r="D3665" s="2"/>
      <c r="E3665" s="2" t="s">
        <v>1345</v>
      </c>
      <c r="F3665" s="3" t="n">
        <v>1.4E-005</v>
      </c>
      <c r="G3665" s="3" t="n">
        <f aca="false">SUM($F$2:F3665)</f>
        <v>0.989768</v>
      </c>
      <c r="H3665" s="4"/>
      <c r="I3665" s="5"/>
      <c r="J3665" s="4"/>
      <c r="K3665" s="5"/>
      <c r="L3665" s="6"/>
      <c r="M3665" s="5" t="str">
        <f aca="false">IF(AND(N(K3665)&gt;0,N(L3665)&gt;0),K3665/L3665,"")</f>
        <v/>
      </c>
      <c r="N3665" s="2" t="s">
        <v>1226</v>
      </c>
    </row>
    <row r="3666" customFormat="false" ht="15" hidden="false" customHeight="false" outlineLevel="0" collapsed="false">
      <c r="A3666" s="2" t="n">
        <v>3665</v>
      </c>
      <c r="B3666" s="2" t="s">
        <v>7560</v>
      </c>
      <c r="C3666" s="2" t="s">
        <v>7561</v>
      </c>
      <c r="D3666" s="2"/>
      <c r="E3666" s="2" t="s">
        <v>289</v>
      </c>
      <c r="F3666" s="3" t="n">
        <v>1.4E-005</v>
      </c>
      <c r="G3666" s="3" t="n">
        <f aca="false">SUM($F$2:F3666)</f>
        <v>0.989782</v>
      </c>
      <c r="H3666" s="4"/>
      <c r="I3666" s="5"/>
      <c r="J3666" s="4"/>
      <c r="K3666" s="5"/>
      <c r="L3666" s="6"/>
      <c r="M3666" s="5" t="str">
        <f aca="false">IF(AND(N(K3666)&gt;0,N(L3666)&gt;0),K3666/L3666,"")</f>
        <v/>
      </c>
      <c r="N3666" s="2" t="s">
        <v>1226</v>
      </c>
    </row>
    <row r="3667" customFormat="false" ht="15" hidden="false" customHeight="false" outlineLevel="0" collapsed="false">
      <c r="A3667" s="2" t="n">
        <v>3666</v>
      </c>
      <c r="B3667" s="2" t="s">
        <v>7562</v>
      </c>
      <c r="C3667" s="2" t="s">
        <v>7563</v>
      </c>
      <c r="D3667" s="2"/>
      <c r="E3667" s="2" t="s">
        <v>1345</v>
      </c>
      <c r="F3667" s="3" t="n">
        <v>1.4E-005</v>
      </c>
      <c r="G3667" s="3" t="n">
        <f aca="false">SUM($F$2:F3667)</f>
        <v>0.989796</v>
      </c>
      <c r="H3667" s="4"/>
      <c r="I3667" s="5"/>
      <c r="J3667" s="4"/>
      <c r="K3667" s="5"/>
      <c r="L3667" s="6"/>
      <c r="M3667" s="5" t="str">
        <f aca="false">IF(AND(N(K3667)&gt;0,N(L3667)&gt;0),K3667/L3667,"")</f>
        <v/>
      </c>
      <c r="N3667" s="2" t="s">
        <v>1226</v>
      </c>
    </row>
    <row r="3668" customFormat="false" ht="15" hidden="false" customHeight="false" outlineLevel="0" collapsed="false">
      <c r="A3668" s="2" t="n">
        <v>3667</v>
      </c>
      <c r="B3668" s="2" t="s">
        <v>7564</v>
      </c>
      <c r="C3668" s="2" t="s">
        <v>7565</v>
      </c>
      <c r="D3668" s="2"/>
      <c r="E3668" s="2" t="s">
        <v>334</v>
      </c>
      <c r="F3668" s="3" t="n">
        <v>1.4E-005</v>
      </c>
      <c r="G3668" s="3" t="n">
        <f aca="false">SUM($F$2:F3668)</f>
        <v>0.98981</v>
      </c>
      <c r="H3668" s="4"/>
      <c r="I3668" s="5"/>
      <c r="J3668" s="4"/>
      <c r="K3668" s="5"/>
      <c r="L3668" s="6"/>
      <c r="M3668" s="5" t="str">
        <f aca="false">IF(AND(N(K3668)&gt;0,N(L3668)&gt;0),K3668/L3668,"")</f>
        <v/>
      </c>
      <c r="N3668" s="2" t="s">
        <v>1226</v>
      </c>
    </row>
    <row r="3669" customFormat="false" ht="15" hidden="false" customHeight="false" outlineLevel="0" collapsed="false">
      <c r="A3669" s="2" t="n">
        <v>3668</v>
      </c>
      <c r="B3669" s="2" t="s">
        <v>7566</v>
      </c>
      <c r="C3669" s="2" t="s">
        <v>7567</v>
      </c>
      <c r="D3669" s="2"/>
      <c r="E3669" s="2" t="s">
        <v>52</v>
      </c>
      <c r="F3669" s="3" t="n">
        <v>1.4E-005</v>
      </c>
      <c r="G3669" s="3" t="n">
        <f aca="false">SUM($F$2:F3669)</f>
        <v>0.989824</v>
      </c>
      <c r="H3669" s="4"/>
      <c r="I3669" s="5"/>
      <c r="J3669" s="4"/>
      <c r="K3669" s="5"/>
      <c r="L3669" s="6"/>
      <c r="M3669" s="5" t="str">
        <f aca="false">IF(AND(N(K3669)&gt;0,N(L3669)&gt;0),K3669/L3669,"")</f>
        <v/>
      </c>
      <c r="N3669" s="2" t="s">
        <v>1226</v>
      </c>
    </row>
    <row r="3670" customFormat="false" ht="15" hidden="false" customHeight="false" outlineLevel="0" collapsed="false">
      <c r="A3670" s="2" t="n">
        <v>3669</v>
      </c>
      <c r="B3670" s="2" t="s">
        <v>7568</v>
      </c>
      <c r="C3670" s="2" t="s">
        <v>7569</v>
      </c>
      <c r="D3670" s="2"/>
      <c r="E3670" s="2" t="s">
        <v>289</v>
      </c>
      <c r="F3670" s="3" t="n">
        <v>1.4E-005</v>
      </c>
      <c r="G3670" s="3" t="n">
        <f aca="false">SUM($F$2:F3670)</f>
        <v>0.989838</v>
      </c>
      <c r="H3670" s="4"/>
      <c r="I3670" s="5"/>
      <c r="J3670" s="4"/>
      <c r="K3670" s="5"/>
      <c r="L3670" s="6"/>
      <c r="M3670" s="5" t="str">
        <f aca="false">IF(AND(N(K3670)&gt;0,N(L3670)&gt;0),K3670/L3670,"")</f>
        <v/>
      </c>
      <c r="N3670" s="2" t="s">
        <v>1226</v>
      </c>
    </row>
    <row r="3671" customFormat="false" ht="15" hidden="false" customHeight="false" outlineLevel="0" collapsed="false">
      <c r="A3671" s="2" t="n">
        <v>3670</v>
      </c>
      <c r="B3671" s="2" t="s">
        <v>7570</v>
      </c>
      <c r="C3671" s="2" t="s">
        <v>7571</v>
      </c>
      <c r="D3671" s="2"/>
      <c r="E3671" s="2" t="s">
        <v>1345</v>
      </c>
      <c r="F3671" s="3" t="n">
        <v>1.4E-005</v>
      </c>
      <c r="G3671" s="3" t="n">
        <f aca="false">SUM($F$2:F3671)</f>
        <v>0.989852</v>
      </c>
      <c r="H3671" s="4"/>
      <c r="I3671" s="5"/>
      <c r="J3671" s="4"/>
      <c r="K3671" s="5"/>
      <c r="L3671" s="6"/>
      <c r="M3671" s="5" t="str">
        <f aca="false">IF(AND(N(K3671)&gt;0,N(L3671)&gt;0),K3671/L3671,"")</f>
        <v/>
      </c>
      <c r="N3671" s="2" t="s">
        <v>1226</v>
      </c>
    </row>
    <row r="3672" customFormat="false" ht="15" hidden="false" customHeight="false" outlineLevel="0" collapsed="false">
      <c r="A3672" s="2" t="n">
        <v>3671</v>
      </c>
      <c r="B3672" s="2" t="s">
        <v>7572</v>
      </c>
      <c r="C3672" s="2" t="s">
        <v>7573</v>
      </c>
      <c r="D3672" s="2"/>
      <c r="E3672" s="2" t="s">
        <v>1050</v>
      </c>
      <c r="F3672" s="3" t="n">
        <v>1.4E-005</v>
      </c>
      <c r="G3672" s="3" t="n">
        <f aca="false">SUM($F$2:F3672)</f>
        <v>0.989866</v>
      </c>
      <c r="H3672" s="4"/>
      <c r="I3672" s="5"/>
      <c r="J3672" s="4"/>
      <c r="K3672" s="5"/>
      <c r="L3672" s="6"/>
      <c r="M3672" s="5" t="str">
        <f aca="false">IF(AND(N(K3672)&gt;0,N(L3672)&gt;0),K3672/L3672,"")</f>
        <v/>
      </c>
      <c r="N3672" s="2" t="s">
        <v>1226</v>
      </c>
    </row>
    <row r="3673" customFormat="false" ht="15" hidden="false" customHeight="false" outlineLevel="0" collapsed="false">
      <c r="A3673" s="2" t="n">
        <v>3672</v>
      </c>
      <c r="B3673" s="2" t="s">
        <v>7574</v>
      </c>
      <c r="C3673" s="2" t="s">
        <v>7575</v>
      </c>
      <c r="D3673" s="2"/>
      <c r="E3673" s="2" t="s">
        <v>25</v>
      </c>
      <c r="F3673" s="3" t="n">
        <v>1.4E-005</v>
      </c>
      <c r="G3673" s="3" t="n">
        <f aca="false">SUM($F$2:F3673)</f>
        <v>0.98988</v>
      </c>
      <c r="H3673" s="4"/>
      <c r="I3673" s="5"/>
      <c r="J3673" s="4"/>
      <c r="K3673" s="5"/>
      <c r="L3673" s="6"/>
      <c r="M3673" s="5" t="str">
        <f aca="false">IF(AND(N(K3673)&gt;0,N(L3673)&gt;0),K3673/L3673,"")</f>
        <v/>
      </c>
      <c r="N3673" s="2" t="s">
        <v>1226</v>
      </c>
    </row>
    <row r="3674" customFormat="false" ht="15" hidden="false" customHeight="false" outlineLevel="0" collapsed="false">
      <c r="A3674" s="2" t="n">
        <v>3673</v>
      </c>
      <c r="B3674" s="2" t="s">
        <v>7576</v>
      </c>
      <c r="C3674" s="2" t="s">
        <v>7577</v>
      </c>
      <c r="D3674" s="2"/>
      <c r="E3674" s="2" t="s">
        <v>25</v>
      </c>
      <c r="F3674" s="3" t="n">
        <v>1.4E-005</v>
      </c>
      <c r="G3674" s="3" t="n">
        <f aca="false">SUM($F$2:F3674)</f>
        <v>0.989894</v>
      </c>
      <c r="H3674" s="4"/>
      <c r="I3674" s="5"/>
      <c r="J3674" s="4"/>
      <c r="K3674" s="5"/>
      <c r="L3674" s="6"/>
      <c r="M3674" s="5" t="str">
        <f aca="false">IF(AND(N(K3674)&gt;0,N(L3674)&gt;0),K3674/L3674,"")</f>
        <v/>
      </c>
      <c r="N3674" s="2" t="s">
        <v>1226</v>
      </c>
    </row>
    <row r="3675" customFormat="false" ht="15" hidden="false" customHeight="false" outlineLevel="0" collapsed="false">
      <c r="A3675" s="2" t="n">
        <v>3674</v>
      </c>
      <c r="B3675" s="2" t="s">
        <v>7578</v>
      </c>
      <c r="C3675" s="2" t="s">
        <v>7579</v>
      </c>
      <c r="D3675" s="2"/>
      <c r="E3675" s="2" t="s">
        <v>17</v>
      </c>
      <c r="F3675" s="3" t="n">
        <v>1.4E-005</v>
      </c>
      <c r="G3675" s="3" t="n">
        <f aca="false">SUM($F$2:F3675)</f>
        <v>0.989908</v>
      </c>
      <c r="H3675" s="4"/>
      <c r="I3675" s="5"/>
      <c r="J3675" s="4"/>
      <c r="K3675" s="5"/>
      <c r="L3675" s="6"/>
      <c r="M3675" s="5" t="str">
        <f aca="false">IF(AND(N(K3675)&gt;0,N(L3675)&gt;0),K3675/L3675,"")</f>
        <v/>
      </c>
      <c r="N3675" s="2" t="s">
        <v>1226</v>
      </c>
    </row>
    <row r="3676" customFormat="false" ht="15" hidden="false" customHeight="false" outlineLevel="0" collapsed="false">
      <c r="A3676" s="2" t="n">
        <v>3675</v>
      </c>
      <c r="B3676" s="2" t="s">
        <v>907</v>
      </c>
      <c r="C3676" s="2" t="s">
        <v>7580</v>
      </c>
      <c r="D3676" s="2"/>
      <c r="E3676" s="2" t="s">
        <v>52</v>
      </c>
      <c r="F3676" s="3" t="n">
        <v>1.4E-005</v>
      </c>
      <c r="G3676" s="3" t="n">
        <f aca="false">SUM($F$2:F3676)</f>
        <v>0.989922</v>
      </c>
      <c r="H3676" s="4"/>
      <c r="I3676" s="5"/>
      <c r="J3676" s="4"/>
      <c r="K3676" s="5"/>
      <c r="L3676" s="6"/>
      <c r="M3676" s="5" t="str">
        <f aca="false">IF(AND(N(K3676)&gt;0,N(L3676)&gt;0),K3676/L3676,"")</f>
        <v/>
      </c>
      <c r="N3676" s="2" t="s">
        <v>1226</v>
      </c>
    </row>
    <row r="3677" customFormat="false" ht="15" hidden="false" customHeight="false" outlineLevel="0" collapsed="false">
      <c r="A3677" s="2" t="n">
        <v>3676</v>
      </c>
      <c r="B3677" s="2" t="s">
        <v>7581</v>
      </c>
      <c r="C3677" s="2" t="s">
        <v>7582</v>
      </c>
      <c r="D3677" s="2"/>
      <c r="E3677" s="2" t="s">
        <v>29</v>
      </c>
      <c r="F3677" s="3" t="n">
        <v>1.4E-005</v>
      </c>
      <c r="G3677" s="3" t="n">
        <f aca="false">SUM($F$2:F3677)</f>
        <v>0.989936</v>
      </c>
      <c r="H3677" s="4"/>
      <c r="I3677" s="5"/>
      <c r="J3677" s="4"/>
      <c r="K3677" s="5"/>
      <c r="L3677" s="6"/>
      <c r="M3677" s="5" t="str">
        <f aca="false">IF(AND(N(K3677)&gt;0,N(L3677)&gt;0),K3677/L3677,"")</f>
        <v/>
      </c>
      <c r="N3677" s="2" t="s">
        <v>1226</v>
      </c>
    </row>
    <row r="3678" customFormat="false" ht="15" hidden="false" customHeight="false" outlineLevel="0" collapsed="false">
      <c r="A3678" s="2" t="n">
        <v>3677</v>
      </c>
      <c r="B3678" s="2" t="s">
        <v>7583</v>
      </c>
      <c r="C3678" s="2" t="s">
        <v>7584</v>
      </c>
      <c r="D3678" s="2"/>
      <c r="E3678" s="2" t="s">
        <v>1345</v>
      </c>
      <c r="F3678" s="3" t="n">
        <v>1.4E-005</v>
      </c>
      <c r="G3678" s="3" t="n">
        <f aca="false">SUM($F$2:F3678)</f>
        <v>0.98995</v>
      </c>
      <c r="H3678" s="4"/>
      <c r="I3678" s="5"/>
      <c r="J3678" s="4"/>
      <c r="K3678" s="5"/>
      <c r="L3678" s="6"/>
      <c r="M3678" s="5" t="str">
        <f aca="false">IF(AND(N(K3678)&gt;0,N(L3678)&gt;0),K3678/L3678,"")</f>
        <v/>
      </c>
      <c r="N3678" s="2" t="s">
        <v>1226</v>
      </c>
    </row>
    <row r="3679" customFormat="false" ht="15" hidden="false" customHeight="false" outlineLevel="0" collapsed="false">
      <c r="A3679" s="2" t="n">
        <v>3678</v>
      </c>
      <c r="B3679" s="2" t="s">
        <v>7585</v>
      </c>
      <c r="C3679" s="2" t="s">
        <v>7586</v>
      </c>
      <c r="D3679" s="2"/>
      <c r="E3679" s="2" t="s">
        <v>25</v>
      </c>
      <c r="F3679" s="3" t="n">
        <v>1.4E-005</v>
      </c>
      <c r="G3679" s="3" t="n">
        <f aca="false">SUM($F$2:F3679)</f>
        <v>0.989964</v>
      </c>
      <c r="H3679" s="4"/>
      <c r="I3679" s="5"/>
      <c r="J3679" s="4"/>
      <c r="K3679" s="5"/>
      <c r="L3679" s="6"/>
      <c r="M3679" s="5" t="str">
        <f aca="false">IF(AND(N(K3679)&gt;0,N(L3679)&gt;0),K3679/L3679,"")</f>
        <v/>
      </c>
      <c r="N3679" s="2" t="s">
        <v>1226</v>
      </c>
    </row>
    <row r="3680" customFormat="false" ht="15" hidden="false" customHeight="false" outlineLevel="0" collapsed="false">
      <c r="A3680" s="2" t="n">
        <v>3679</v>
      </c>
      <c r="B3680" s="2" t="s">
        <v>7587</v>
      </c>
      <c r="C3680" s="2" t="s">
        <v>7588</v>
      </c>
      <c r="D3680" s="2"/>
      <c r="E3680" s="2" t="s">
        <v>1245</v>
      </c>
      <c r="F3680" s="3" t="n">
        <v>1.4E-005</v>
      </c>
      <c r="G3680" s="3" t="n">
        <f aca="false">SUM($F$2:F3680)</f>
        <v>0.989978</v>
      </c>
      <c r="H3680" s="4"/>
      <c r="I3680" s="5"/>
      <c r="J3680" s="4"/>
      <c r="K3680" s="5"/>
      <c r="L3680" s="6"/>
      <c r="M3680" s="5" t="str">
        <f aca="false">IF(AND(N(K3680)&gt;0,N(L3680)&gt;0),K3680/L3680,"")</f>
        <v/>
      </c>
      <c r="N3680" s="2" t="s">
        <v>1226</v>
      </c>
    </row>
    <row r="3681" customFormat="false" ht="15" hidden="false" customHeight="false" outlineLevel="0" collapsed="false">
      <c r="A3681" s="2" t="n">
        <v>3680</v>
      </c>
      <c r="B3681" s="2" t="s">
        <v>7589</v>
      </c>
      <c r="C3681" s="2" t="s">
        <v>7590</v>
      </c>
      <c r="D3681" s="2"/>
      <c r="E3681" s="2" t="s">
        <v>1345</v>
      </c>
      <c r="F3681" s="3" t="n">
        <v>1.4E-005</v>
      </c>
      <c r="G3681" s="3" t="n">
        <f aca="false">SUM($F$2:F3681)</f>
        <v>0.989992</v>
      </c>
      <c r="H3681" s="4"/>
      <c r="I3681" s="5"/>
      <c r="J3681" s="4"/>
      <c r="K3681" s="5"/>
      <c r="L3681" s="6"/>
      <c r="M3681" s="5" t="str">
        <f aca="false">IF(AND(N(K3681)&gt;0,N(L3681)&gt;0),K3681/L3681,"")</f>
        <v/>
      </c>
      <c r="N3681" s="2" t="s">
        <v>1226</v>
      </c>
    </row>
    <row r="3682" customFormat="false" ht="15" hidden="false" customHeight="false" outlineLevel="0" collapsed="false">
      <c r="A3682" s="2" t="n">
        <v>3681</v>
      </c>
      <c r="B3682" s="2" t="s">
        <v>7591</v>
      </c>
      <c r="C3682" s="2" t="s">
        <v>7592</v>
      </c>
      <c r="D3682" s="2"/>
      <c r="E3682" s="2" t="s">
        <v>2055</v>
      </c>
      <c r="F3682" s="3" t="n">
        <v>1.4E-005</v>
      </c>
      <c r="G3682" s="3" t="n">
        <f aca="false">SUM($F$2:F3682)</f>
        <v>0.990006</v>
      </c>
      <c r="H3682" s="4"/>
      <c r="I3682" s="5"/>
      <c r="J3682" s="4"/>
      <c r="K3682" s="5"/>
      <c r="L3682" s="6"/>
      <c r="M3682" s="5" t="str">
        <f aca="false">IF(AND(N(K3682)&gt;0,N(L3682)&gt;0),K3682/L3682,"")</f>
        <v/>
      </c>
      <c r="N3682" s="2" t="s">
        <v>1226</v>
      </c>
    </row>
    <row r="3683" customFormat="false" ht="15" hidden="false" customHeight="false" outlineLevel="0" collapsed="false">
      <c r="A3683" s="2" t="n">
        <v>3682</v>
      </c>
      <c r="B3683" s="2" t="s">
        <v>7593</v>
      </c>
      <c r="C3683" s="2" t="s">
        <v>7594</v>
      </c>
      <c r="D3683" s="2"/>
      <c r="E3683" s="2" t="s">
        <v>17</v>
      </c>
      <c r="F3683" s="3" t="n">
        <v>1.4E-005</v>
      </c>
      <c r="G3683" s="3" t="n">
        <f aca="false">SUM($F$2:F3683)</f>
        <v>0.99002</v>
      </c>
      <c r="H3683" s="4"/>
      <c r="I3683" s="5"/>
      <c r="J3683" s="4"/>
      <c r="K3683" s="5"/>
      <c r="L3683" s="6"/>
      <c r="M3683" s="5" t="str">
        <f aca="false">IF(AND(N(K3683)&gt;0,N(L3683)&gt;0),K3683/L3683,"")</f>
        <v/>
      </c>
      <c r="N3683" s="2" t="s">
        <v>1226</v>
      </c>
    </row>
    <row r="3684" customFormat="false" ht="15" hidden="false" customHeight="false" outlineLevel="0" collapsed="false">
      <c r="A3684" s="2" t="n">
        <v>3683</v>
      </c>
      <c r="B3684" s="2" t="s">
        <v>7595</v>
      </c>
      <c r="C3684" s="2" t="s">
        <v>7596</v>
      </c>
      <c r="D3684" s="2"/>
      <c r="E3684" s="2" t="s">
        <v>1345</v>
      </c>
      <c r="F3684" s="3" t="n">
        <v>1.4E-005</v>
      </c>
      <c r="G3684" s="3" t="n">
        <f aca="false">SUM($F$2:F3684)</f>
        <v>0.990034</v>
      </c>
      <c r="H3684" s="4"/>
      <c r="I3684" s="5"/>
      <c r="J3684" s="4"/>
      <c r="K3684" s="5"/>
      <c r="L3684" s="6"/>
      <c r="M3684" s="5" t="str">
        <f aca="false">IF(AND(N(K3684)&gt;0,N(L3684)&gt;0),K3684/L3684,"")</f>
        <v/>
      </c>
      <c r="N3684" s="2" t="s">
        <v>1226</v>
      </c>
    </row>
    <row r="3685" customFormat="false" ht="15" hidden="false" customHeight="false" outlineLevel="0" collapsed="false">
      <c r="A3685" s="2" t="n">
        <v>3684</v>
      </c>
      <c r="B3685" s="2" t="s">
        <v>7597</v>
      </c>
      <c r="C3685" s="2" t="s">
        <v>7598</v>
      </c>
      <c r="D3685" s="2"/>
      <c r="E3685" s="2" t="s">
        <v>1345</v>
      </c>
      <c r="F3685" s="3" t="n">
        <v>1.4E-005</v>
      </c>
      <c r="G3685" s="3" t="n">
        <f aca="false">SUM($F$2:F3685)</f>
        <v>0.990048</v>
      </c>
      <c r="H3685" s="4"/>
      <c r="I3685" s="5"/>
      <c r="J3685" s="4"/>
      <c r="K3685" s="5"/>
      <c r="L3685" s="6"/>
      <c r="M3685" s="5" t="str">
        <f aca="false">IF(AND(N(K3685)&gt;0,N(L3685)&gt;0),K3685/L3685,"")</f>
        <v/>
      </c>
      <c r="N3685" s="2" t="s">
        <v>1226</v>
      </c>
    </row>
    <row r="3686" customFormat="false" ht="15" hidden="false" customHeight="false" outlineLevel="0" collapsed="false">
      <c r="A3686" s="2" t="n">
        <v>3685</v>
      </c>
      <c r="B3686" s="2" t="s">
        <v>7599</v>
      </c>
      <c r="C3686" s="2" t="s">
        <v>7600</v>
      </c>
      <c r="D3686" s="2"/>
      <c r="E3686" s="2" t="s">
        <v>43</v>
      </c>
      <c r="F3686" s="3" t="n">
        <v>1.4E-005</v>
      </c>
      <c r="G3686" s="3" t="n">
        <f aca="false">SUM($F$2:F3686)</f>
        <v>0.990062</v>
      </c>
      <c r="H3686" s="4"/>
      <c r="I3686" s="5"/>
      <c r="J3686" s="4"/>
      <c r="K3686" s="5"/>
      <c r="L3686" s="6"/>
      <c r="M3686" s="5" t="str">
        <f aca="false">IF(AND(N(K3686)&gt;0,N(L3686)&gt;0),K3686/L3686,"")</f>
        <v/>
      </c>
      <c r="N3686" s="2" t="s">
        <v>1226</v>
      </c>
    </row>
    <row r="3687" customFormat="false" ht="15" hidden="false" customHeight="false" outlineLevel="0" collapsed="false">
      <c r="A3687" s="2" t="n">
        <v>3686</v>
      </c>
      <c r="B3687" s="2" t="s">
        <v>7601</v>
      </c>
      <c r="C3687" s="2" t="s">
        <v>7602</v>
      </c>
      <c r="D3687" s="2"/>
      <c r="E3687" s="2" t="s">
        <v>289</v>
      </c>
      <c r="F3687" s="3" t="n">
        <v>1.4E-005</v>
      </c>
      <c r="G3687" s="3" t="n">
        <f aca="false">SUM($F$2:F3687)</f>
        <v>0.990076</v>
      </c>
      <c r="H3687" s="4"/>
      <c r="I3687" s="5"/>
      <c r="J3687" s="4"/>
      <c r="K3687" s="5"/>
      <c r="L3687" s="6"/>
      <c r="M3687" s="5" t="str">
        <f aca="false">IF(AND(N(K3687)&gt;0,N(L3687)&gt;0),K3687/L3687,"")</f>
        <v/>
      </c>
      <c r="N3687" s="2" t="s">
        <v>1226</v>
      </c>
    </row>
    <row r="3688" customFormat="false" ht="15" hidden="false" customHeight="false" outlineLevel="0" collapsed="false">
      <c r="A3688" s="2" t="n">
        <v>3687</v>
      </c>
      <c r="B3688" s="2" t="s">
        <v>7603</v>
      </c>
      <c r="C3688" s="2" t="s">
        <v>7604</v>
      </c>
      <c r="D3688" s="2"/>
      <c r="E3688" s="2" t="s">
        <v>1284</v>
      </c>
      <c r="F3688" s="3" t="n">
        <v>1.4E-005</v>
      </c>
      <c r="G3688" s="3" t="n">
        <f aca="false">SUM($F$2:F3688)</f>
        <v>0.99009</v>
      </c>
      <c r="H3688" s="4"/>
      <c r="I3688" s="5"/>
      <c r="J3688" s="4"/>
      <c r="K3688" s="5"/>
      <c r="L3688" s="6"/>
      <c r="M3688" s="5" t="str">
        <f aca="false">IF(AND(N(K3688)&gt;0,N(L3688)&gt;0),K3688/L3688,"")</f>
        <v/>
      </c>
      <c r="N3688" s="2" t="s">
        <v>1226</v>
      </c>
    </row>
    <row r="3689" customFormat="false" ht="15" hidden="false" customHeight="false" outlineLevel="0" collapsed="false">
      <c r="A3689" s="2" t="n">
        <v>3688</v>
      </c>
      <c r="B3689" s="2" t="s">
        <v>7605</v>
      </c>
      <c r="C3689" s="2" t="s">
        <v>7606</v>
      </c>
      <c r="D3689" s="2"/>
      <c r="E3689" s="2" t="s">
        <v>539</v>
      </c>
      <c r="F3689" s="3" t="n">
        <v>1.4E-005</v>
      </c>
      <c r="G3689" s="3" t="n">
        <f aca="false">SUM($F$2:F3689)</f>
        <v>0.990104</v>
      </c>
      <c r="H3689" s="4"/>
      <c r="I3689" s="5"/>
      <c r="J3689" s="4"/>
      <c r="K3689" s="5"/>
      <c r="L3689" s="6"/>
      <c r="M3689" s="5" t="str">
        <f aca="false">IF(AND(N(K3689)&gt;0,N(L3689)&gt;0),K3689/L3689,"")</f>
        <v/>
      </c>
      <c r="N3689" s="2" t="s">
        <v>1226</v>
      </c>
    </row>
    <row r="3690" customFormat="false" ht="15" hidden="false" customHeight="false" outlineLevel="0" collapsed="false">
      <c r="A3690" s="2" t="n">
        <v>3689</v>
      </c>
      <c r="B3690" s="2" t="s">
        <v>7607</v>
      </c>
      <c r="C3690" s="2" t="s">
        <v>7608</v>
      </c>
      <c r="D3690" s="2"/>
      <c r="E3690" s="2" t="s">
        <v>1345</v>
      </c>
      <c r="F3690" s="3" t="n">
        <v>1.4E-005</v>
      </c>
      <c r="G3690" s="3" t="n">
        <f aca="false">SUM($F$2:F3690)</f>
        <v>0.990118</v>
      </c>
      <c r="H3690" s="4"/>
      <c r="I3690" s="5"/>
      <c r="J3690" s="4"/>
      <c r="K3690" s="5"/>
      <c r="L3690" s="6"/>
      <c r="M3690" s="5" t="str">
        <f aca="false">IF(AND(N(K3690)&gt;0,N(L3690)&gt;0),K3690/L3690,"")</f>
        <v/>
      </c>
      <c r="N3690" s="2" t="s">
        <v>1226</v>
      </c>
    </row>
    <row r="3691" customFormat="false" ht="15" hidden="false" customHeight="false" outlineLevel="0" collapsed="false">
      <c r="A3691" s="2" t="n">
        <v>3690</v>
      </c>
      <c r="B3691" s="2" t="s">
        <v>7609</v>
      </c>
      <c r="C3691" s="2" t="s">
        <v>7610</v>
      </c>
      <c r="D3691" s="2"/>
      <c r="E3691" s="2" t="s">
        <v>2763</v>
      </c>
      <c r="F3691" s="3" t="n">
        <v>1.4E-005</v>
      </c>
      <c r="G3691" s="3" t="n">
        <f aca="false">SUM($F$2:F3691)</f>
        <v>0.990132</v>
      </c>
      <c r="H3691" s="4"/>
      <c r="I3691" s="5"/>
      <c r="J3691" s="4"/>
      <c r="K3691" s="5"/>
      <c r="L3691" s="6"/>
      <c r="M3691" s="5" t="str">
        <f aca="false">IF(AND(N(K3691)&gt;0,N(L3691)&gt;0),K3691/L3691,"")</f>
        <v/>
      </c>
      <c r="N3691" s="2" t="s">
        <v>1226</v>
      </c>
    </row>
    <row r="3692" customFormat="false" ht="15" hidden="false" customHeight="false" outlineLevel="0" collapsed="false">
      <c r="A3692" s="2" t="n">
        <v>3691</v>
      </c>
      <c r="B3692" s="2" t="s">
        <v>7611</v>
      </c>
      <c r="C3692" s="2" t="s">
        <v>7612</v>
      </c>
      <c r="D3692" s="2"/>
      <c r="E3692" s="2" t="s">
        <v>289</v>
      </c>
      <c r="F3692" s="3" t="n">
        <v>1.4E-005</v>
      </c>
      <c r="G3692" s="3" t="n">
        <f aca="false">SUM($F$2:F3692)</f>
        <v>0.990146</v>
      </c>
      <c r="H3692" s="4"/>
      <c r="I3692" s="5"/>
      <c r="J3692" s="4"/>
      <c r="K3692" s="5"/>
      <c r="L3692" s="6"/>
      <c r="M3692" s="5" t="str">
        <f aca="false">IF(AND(N(K3692)&gt;0,N(L3692)&gt;0),K3692/L3692,"")</f>
        <v/>
      </c>
      <c r="N3692" s="2" t="s">
        <v>1226</v>
      </c>
    </row>
    <row r="3693" customFormat="false" ht="15" hidden="false" customHeight="false" outlineLevel="0" collapsed="false">
      <c r="A3693" s="2" t="n">
        <v>3692</v>
      </c>
      <c r="B3693" s="2" t="s">
        <v>7613</v>
      </c>
      <c r="C3693" s="2" t="s">
        <v>7614</v>
      </c>
      <c r="D3693" s="2"/>
      <c r="E3693" s="2" t="s">
        <v>43</v>
      </c>
      <c r="F3693" s="3" t="n">
        <v>1.4E-005</v>
      </c>
      <c r="G3693" s="3" t="n">
        <f aca="false">SUM($F$2:F3693)</f>
        <v>0.99016</v>
      </c>
      <c r="H3693" s="4"/>
      <c r="I3693" s="5"/>
      <c r="J3693" s="4"/>
      <c r="K3693" s="5"/>
      <c r="L3693" s="6"/>
      <c r="M3693" s="5" t="str">
        <f aca="false">IF(AND(N(K3693)&gt;0,N(L3693)&gt;0),K3693/L3693,"")</f>
        <v/>
      </c>
      <c r="N3693" s="2" t="s">
        <v>1226</v>
      </c>
    </row>
    <row r="3694" customFormat="false" ht="15" hidden="false" customHeight="false" outlineLevel="0" collapsed="false">
      <c r="A3694" s="2" t="n">
        <v>3693</v>
      </c>
      <c r="B3694" s="2" t="s">
        <v>7615</v>
      </c>
      <c r="C3694" s="2" t="s">
        <v>7616</v>
      </c>
      <c r="D3694" s="2"/>
      <c r="E3694" s="2" t="s">
        <v>82</v>
      </c>
      <c r="F3694" s="3" t="n">
        <v>1.4E-005</v>
      </c>
      <c r="G3694" s="3" t="n">
        <f aca="false">SUM($F$2:F3694)</f>
        <v>0.990174</v>
      </c>
      <c r="H3694" s="4"/>
      <c r="I3694" s="5"/>
      <c r="J3694" s="4"/>
      <c r="K3694" s="5"/>
      <c r="L3694" s="6"/>
      <c r="M3694" s="5" t="str">
        <f aca="false">IF(AND(N(K3694)&gt;0,N(L3694)&gt;0),K3694/L3694,"")</f>
        <v/>
      </c>
      <c r="N3694" s="2" t="s">
        <v>1226</v>
      </c>
    </row>
    <row r="3695" customFormat="false" ht="15" hidden="false" customHeight="false" outlineLevel="0" collapsed="false">
      <c r="A3695" s="2" t="n">
        <v>3694</v>
      </c>
      <c r="B3695" s="2" t="s">
        <v>7617</v>
      </c>
      <c r="C3695" s="2" t="s">
        <v>7618</v>
      </c>
      <c r="D3695" s="2"/>
      <c r="E3695" s="2" t="s">
        <v>52</v>
      </c>
      <c r="F3695" s="3" t="n">
        <v>1.4E-005</v>
      </c>
      <c r="G3695" s="3" t="n">
        <f aca="false">SUM($F$2:F3695)</f>
        <v>0.990188</v>
      </c>
      <c r="H3695" s="4"/>
      <c r="I3695" s="5"/>
      <c r="J3695" s="4"/>
      <c r="K3695" s="5"/>
      <c r="L3695" s="6"/>
      <c r="M3695" s="5" t="str">
        <f aca="false">IF(AND(N(K3695)&gt;0,N(L3695)&gt;0),K3695/L3695,"")</f>
        <v/>
      </c>
      <c r="N3695" s="2" t="s">
        <v>1226</v>
      </c>
    </row>
    <row r="3696" customFormat="false" ht="15" hidden="false" customHeight="false" outlineLevel="0" collapsed="false">
      <c r="A3696" s="2" t="n">
        <v>3695</v>
      </c>
      <c r="B3696" s="2" t="s">
        <v>7619</v>
      </c>
      <c r="C3696" s="2" t="s">
        <v>7620</v>
      </c>
      <c r="D3696" s="2"/>
      <c r="E3696" s="2" t="s">
        <v>1345</v>
      </c>
      <c r="F3696" s="3" t="n">
        <v>1.4E-005</v>
      </c>
      <c r="G3696" s="3" t="n">
        <f aca="false">SUM($F$2:F3696)</f>
        <v>0.990202</v>
      </c>
      <c r="H3696" s="4"/>
      <c r="I3696" s="5"/>
      <c r="J3696" s="4"/>
      <c r="K3696" s="5"/>
      <c r="L3696" s="6"/>
      <c r="M3696" s="5" t="str">
        <f aca="false">IF(AND(N(K3696)&gt;0,N(L3696)&gt;0),K3696/L3696,"")</f>
        <v/>
      </c>
      <c r="N3696" s="2" t="s">
        <v>1226</v>
      </c>
    </row>
    <row r="3697" customFormat="false" ht="15" hidden="false" customHeight="false" outlineLevel="0" collapsed="false">
      <c r="A3697" s="2" t="n">
        <v>3696</v>
      </c>
      <c r="B3697" s="2" t="s">
        <v>7621</v>
      </c>
      <c r="C3697" s="2" t="s">
        <v>7622</v>
      </c>
      <c r="D3697" s="2"/>
      <c r="E3697" s="2" t="s">
        <v>1345</v>
      </c>
      <c r="F3697" s="3" t="n">
        <v>1.4E-005</v>
      </c>
      <c r="G3697" s="3" t="n">
        <f aca="false">SUM($F$2:F3697)</f>
        <v>0.990216</v>
      </c>
      <c r="H3697" s="4"/>
      <c r="I3697" s="5"/>
      <c r="J3697" s="4"/>
      <c r="K3697" s="5"/>
      <c r="L3697" s="6"/>
      <c r="M3697" s="5" t="str">
        <f aca="false">IF(AND(N(K3697)&gt;0,N(L3697)&gt;0),K3697/L3697,"")</f>
        <v/>
      </c>
      <c r="N3697" s="2" t="s">
        <v>1226</v>
      </c>
    </row>
    <row r="3698" customFormat="false" ht="15" hidden="false" customHeight="false" outlineLevel="0" collapsed="false">
      <c r="A3698" s="2" t="n">
        <v>3697</v>
      </c>
      <c r="B3698" s="2" t="s">
        <v>7623</v>
      </c>
      <c r="C3698" s="2" t="s">
        <v>7624</v>
      </c>
      <c r="D3698" s="2"/>
      <c r="E3698" s="2" t="s">
        <v>52</v>
      </c>
      <c r="F3698" s="3" t="n">
        <v>1.4E-005</v>
      </c>
      <c r="G3698" s="3" t="n">
        <f aca="false">SUM($F$2:F3698)</f>
        <v>0.99023</v>
      </c>
      <c r="H3698" s="4"/>
      <c r="I3698" s="5"/>
      <c r="J3698" s="4"/>
      <c r="K3698" s="5"/>
      <c r="L3698" s="6"/>
      <c r="M3698" s="5" t="str">
        <f aca="false">IF(AND(N(K3698)&gt;0,N(L3698)&gt;0),K3698/L3698,"")</f>
        <v/>
      </c>
      <c r="N3698" s="2" t="s">
        <v>1226</v>
      </c>
    </row>
    <row r="3699" customFormat="false" ht="15" hidden="false" customHeight="false" outlineLevel="0" collapsed="false">
      <c r="A3699" s="2" t="n">
        <v>3698</v>
      </c>
      <c r="B3699" s="2" t="s">
        <v>7625</v>
      </c>
      <c r="C3699" s="2" t="s">
        <v>7626</v>
      </c>
      <c r="D3699" s="2"/>
      <c r="E3699" s="2" t="s">
        <v>1345</v>
      </c>
      <c r="F3699" s="3" t="n">
        <v>1.4E-005</v>
      </c>
      <c r="G3699" s="3" t="n">
        <f aca="false">SUM($F$2:F3699)</f>
        <v>0.990244</v>
      </c>
      <c r="H3699" s="4"/>
      <c r="I3699" s="5"/>
      <c r="J3699" s="4"/>
      <c r="K3699" s="5"/>
      <c r="L3699" s="6"/>
      <c r="M3699" s="5" t="str">
        <f aca="false">IF(AND(N(K3699)&gt;0,N(L3699)&gt;0),K3699/L3699,"")</f>
        <v/>
      </c>
      <c r="N3699" s="2" t="s">
        <v>1226</v>
      </c>
    </row>
    <row r="3700" customFormat="false" ht="15" hidden="false" customHeight="false" outlineLevel="0" collapsed="false">
      <c r="A3700" s="2" t="n">
        <v>3699</v>
      </c>
      <c r="B3700" s="2" t="s">
        <v>7627</v>
      </c>
      <c r="C3700" s="2" t="s">
        <v>7627</v>
      </c>
      <c r="D3700" s="2"/>
      <c r="E3700" s="2" t="s">
        <v>29</v>
      </c>
      <c r="F3700" s="3" t="n">
        <v>1.4E-005</v>
      </c>
      <c r="G3700" s="3" t="n">
        <f aca="false">SUM($F$2:F3700)</f>
        <v>0.990258</v>
      </c>
      <c r="H3700" s="4"/>
      <c r="I3700" s="5"/>
      <c r="J3700" s="4"/>
      <c r="K3700" s="5"/>
      <c r="L3700" s="6"/>
      <c r="M3700" s="5" t="str">
        <f aca="false">IF(AND(N(K3700)&gt;0,N(L3700)&gt;0),K3700/L3700,"")</f>
        <v/>
      </c>
      <c r="N3700" s="2" t="s">
        <v>1226</v>
      </c>
    </row>
    <row r="3701" customFormat="false" ht="15" hidden="false" customHeight="false" outlineLevel="0" collapsed="false">
      <c r="A3701" s="2" t="n">
        <v>3700</v>
      </c>
      <c r="B3701" s="2" t="s">
        <v>7628</v>
      </c>
      <c r="C3701" s="2" t="s">
        <v>7629</v>
      </c>
      <c r="D3701" s="2"/>
      <c r="E3701" s="2" t="s">
        <v>289</v>
      </c>
      <c r="F3701" s="3" t="n">
        <v>1.4E-005</v>
      </c>
      <c r="G3701" s="3" t="n">
        <f aca="false">SUM($F$2:F3701)</f>
        <v>0.990272</v>
      </c>
      <c r="H3701" s="4"/>
      <c r="I3701" s="5"/>
      <c r="J3701" s="4"/>
      <c r="K3701" s="5"/>
      <c r="L3701" s="6"/>
      <c r="M3701" s="5" t="str">
        <f aca="false">IF(AND(N(K3701)&gt;0,N(L3701)&gt;0),K3701/L3701,"")</f>
        <v/>
      </c>
      <c r="N3701" s="2" t="s">
        <v>1226</v>
      </c>
    </row>
    <row r="3702" customFormat="false" ht="15" hidden="false" customHeight="false" outlineLevel="0" collapsed="false">
      <c r="A3702" s="2" t="n">
        <v>3701</v>
      </c>
      <c r="B3702" s="2" t="s">
        <v>7630</v>
      </c>
      <c r="C3702" s="2" t="s">
        <v>7631</v>
      </c>
      <c r="D3702" s="2"/>
      <c r="E3702" s="2" t="s">
        <v>43</v>
      </c>
      <c r="F3702" s="3" t="n">
        <v>1.4E-005</v>
      </c>
      <c r="G3702" s="3" t="n">
        <f aca="false">SUM($F$2:F3702)</f>
        <v>0.990286</v>
      </c>
      <c r="H3702" s="4"/>
      <c r="I3702" s="5"/>
      <c r="J3702" s="4"/>
      <c r="K3702" s="5"/>
      <c r="L3702" s="6"/>
      <c r="M3702" s="5" t="str">
        <f aca="false">IF(AND(N(K3702)&gt;0,N(L3702)&gt;0),K3702/L3702,"")</f>
        <v/>
      </c>
      <c r="N3702" s="2" t="s">
        <v>1226</v>
      </c>
    </row>
    <row r="3703" customFormat="false" ht="15" hidden="false" customHeight="false" outlineLevel="0" collapsed="false">
      <c r="A3703" s="2" t="n">
        <v>3702</v>
      </c>
      <c r="B3703" s="2" t="s">
        <v>7632</v>
      </c>
      <c r="C3703" s="2" t="s">
        <v>7633</v>
      </c>
      <c r="D3703" s="2"/>
      <c r="E3703" s="2" t="s">
        <v>199</v>
      </c>
      <c r="F3703" s="3" t="n">
        <v>1.4E-005</v>
      </c>
      <c r="G3703" s="3" t="n">
        <f aca="false">SUM($F$2:F3703)</f>
        <v>0.9903</v>
      </c>
      <c r="H3703" s="4"/>
      <c r="I3703" s="5"/>
      <c r="J3703" s="4"/>
      <c r="K3703" s="5"/>
      <c r="L3703" s="6"/>
      <c r="M3703" s="5" t="str">
        <f aca="false">IF(AND(N(K3703)&gt;0,N(L3703)&gt;0),K3703/L3703,"")</f>
        <v/>
      </c>
      <c r="N3703" s="2" t="s">
        <v>1226</v>
      </c>
    </row>
    <row r="3704" customFormat="false" ht="15" hidden="false" customHeight="false" outlineLevel="0" collapsed="false">
      <c r="A3704" s="2" t="n">
        <v>3703</v>
      </c>
      <c r="B3704" s="2" t="s">
        <v>7634</v>
      </c>
      <c r="C3704" s="2" t="s">
        <v>7635</v>
      </c>
      <c r="D3704" s="2"/>
      <c r="E3704" s="2" t="s">
        <v>1345</v>
      </c>
      <c r="F3704" s="3" t="n">
        <v>1.4E-005</v>
      </c>
      <c r="G3704" s="3" t="n">
        <f aca="false">SUM($F$2:F3704)</f>
        <v>0.990314</v>
      </c>
      <c r="H3704" s="4"/>
      <c r="I3704" s="5"/>
      <c r="J3704" s="4"/>
      <c r="K3704" s="5"/>
      <c r="L3704" s="6"/>
      <c r="M3704" s="5" t="str">
        <f aca="false">IF(AND(N(K3704)&gt;0,N(L3704)&gt;0),K3704/L3704,"")</f>
        <v/>
      </c>
      <c r="N3704" s="2" t="s">
        <v>1226</v>
      </c>
    </row>
    <row r="3705" customFormat="false" ht="15" hidden="false" customHeight="false" outlineLevel="0" collapsed="false">
      <c r="A3705" s="2" t="n">
        <v>3704</v>
      </c>
      <c r="B3705" s="2" t="s">
        <v>7636</v>
      </c>
      <c r="C3705" s="2" t="s">
        <v>7637</v>
      </c>
      <c r="D3705" s="2"/>
      <c r="E3705" s="2" t="s">
        <v>1345</v>
      </c>
      <c r="F3705" s="3" t="n">
        <v>1.4E-005</v>
      </c>
      <c r="G3705" s="3" t="n">
        <f aca="false">SUM($F$2:F3705)</f>
        <v>0.990328</v>
      </c>
      <c r="H3705" s="4"/>
      <c r="I3705" s="5"/>
      <c r="J3705" s="4"/>
      <c r="K3705" s="5"/>
      <c r="L3705" s="6"/>
      <c r="M3705" s="5" t="str">
        <f aca="false">IF(AND(N(K3705)&gt;0,N(L3705)&gt;0),K3705/L3705,"")</f>
        <v/>
      </c>
      <c r="N3705" s="2" t="s">
        <v>1226</v>
      </c>
    </row>
    <row r="3706" customFormat="false" ht="15" hidden="false" customHeight="false" outlineLevel="0" collapsed="false">
      <c r="A3706" s="2" t="n">
        <v>3705</v>
      </c>
      <c r="B3706" s="2" t="s">
        <v>7638</v>
      </c>
      <c r="C3706" s="2" t="s">
        <v>7639</v>
      </c>
      <c r="D3706" s="2"/>
      <c r="E3706" s="2" t="s">
        <v>1345</v>
      </c>
      <c r="F3706" s="3" t="n">
        <v>1.4E-005</v>
      </c>
      <c r="G3706" s="3" t="n">
        <f aca="false">SUM($F$2:F3706)</f>
        <v>0.990342</v>
      </c>
      <c r="H3706" s="4"/>
      <c r="I3706" s="5"/>
      <c r="J3706" s="4"/>
      <c r="K3706" s="5"/>
      <c r="L3706" s="6"/>
      <c r="M3706" s="5" t="str">
        <f aca="false">IF(AND(N(K3706)&gt;0,N(L3706)&gt;0),K3706/L3706,"")</f>
        <v/>
      </c>
      <c r="N3706" s="2" t="s">
        <v>1226</v>
      </c>
    </row>
    <row r="3707" customFormat="false" ht="15" hidden="false" customHeight="false" outlineLevel="0" collapsed="false">
      <c r="A3707" s="2" t="n">
        <v>3706</v>
      </c>
      <c r="B3707" s="2" t="s">
        <v>7640</v>
      </c>
      <c r="C3707" s="2" t="s">
        <v>7641</v>
      </c>
      <c r="D3707" s="2"/>
      <c r="E3707" s="2" t="s">
        <v>43</v>
      </c>
      <c r="F3707" s="3" t="n">
        <v>1.4E-005</v>
      </c>
      <c r="G3707" s="3" t="n">
        <f aca="false">SUM($F$2:F3707)</f>
        <v>0.990356</v>
      </c>
      <c r="H3707" s="4"/>
      <c r="I3707" s="5"/>
      <c r="J3707" s="4"/>
      <c r="K3707" s="5"/>
      <c r="L3707" s="6"/>
      <c r="M3707" s="5" t="str">
        <f aca="false">IF(AND(N(K3707)&gt;0,N(L3707)&gt;0),K3707/L3707,"")</f>
        <v/>
      </c>
      <c r="N3707" s="2" t="s">
        <v>1226</v>
      </c>
    </row>
    <row r="3708" customFormat="false" ht="15" hidden="false" customHeight="false" outlineLevel="0" collapsed="false">
      <c r="A3708" s="2" t="n">
        <v>3707</v>
      </c>
      <c r="B3708" s="2" t="s">
        <v>7642</v>
      </c>
      <c r="C3708" s="2" t="s">
        <v>7643</v>
      </c>
      <c r="D3708" s="2"/>
      <c r="E3708" s="2" t="s">
        <v>52</v>
      </c>
      <c r="F3708" s="3" t="n">
        <v>1.4E-005</v>
      </c>
      <c r="G3708" s="3" t="n">
        <f aca="false">SUM($F$2:F3708)</f>
        <v>0.99037</v>
      </c>
      <c r="H3708" s="4"/>
      <c r="I3708" s="5"/>
      <c r="J3708" s="4"/>
      <c r="K3708" s="5"/>
      <c r="L3708" s="6"/>
      <c r="M3708" s="5" t="str">
        <f aca="false">IF(AND(N(K3708)&gt;0,N(L3708)&gt;0),K3708/L3708,"")</f>
        <v/>
      </c>
      <c r="N3708" s="2" t="s">
        <v>1226</v>
      </c>
    </row>
    <row r="3709" customFormat="false" ht="15" hidden="false" customHeight="false" outlineLevel="0" collapsed="false">
      <c r="A3709" s="2" t="n">
        <v>3708</v>
      </c>
      <c r="B3709" s="2" t="s">
        <v>7644</v>
      </c>
      <c r="C3709" s="2" t="s">
        <v>7645</v>
      </c>
      <c r="D3709" s="2"/>
      <c r="E3709" s="2" t="s">
        <v>25</v>
      </c>
      <c r="F3709" s="3" t="n">
        <v>1.4E-005</v>
      </c>
      <c r="G3709" s="3" t="n">
        <f aca="false">SUM($F$2:F3709)</f>
        <v>0.990384</v>
      </c>
      <c r="H3709" s="4"/>
      <c r="I3709" s="5"/>
      <c r="J3709" s="4"/>
      <c r="K3709" s="5"/>
      <c r="L3709" s="6"/>
      <c r="M3709" s="5" t="str">
        <f aca="false">IF(AND(N(K3709)&gt;0,N(L3709)&gt;0),K3709/L3709,"")</f>
        <v/>
      </c>
      <c r="N3709" s="2" t="s">
        <v>1226</v>
      </c>
    </row>
    <row r="3710" customFormat="false" ht="15" hidden="false" customHeight="false" outlineLevel="0" collapsed="false">
      <c r="A3710" s="2" t="n">
        <v>3709</v>
      </c>
      <c r="B3710" s="2" t="s">
        <v>7646</v>
      </c>
      <c r="C3710" s="2" t="s">
        <v>7647</v>
      </c>
      <c r="D3710" s="2"/>
      <c r="E3710" s="2" t="s">
        <v>17</v>
      </c>
      <c r="F3710" s="3" t="n">
        <v>1.4E-005</v>
      </c>
      <c r="G3710" s="3" t="n">
        <f aca="false">SUM($F$2:F3710)</f>
        <v>0.990398</v>
      </c>
      <c r="H3710" s="4"/>
      <c r="I3710" s="5"/>
      <c r="J3710" s="4"/>
      <c r="K3710" s="5"/>
      <c r="L3710" s="6"/>
      <c r="M3710" s="5" t="str">
        <f aca="false">IF(AND(N(K3710)&gt;0,N(L3710)&gt;0),K3710/L3710,"")</f>
        <v/>
      </c>
      <c r="N3710" s="2" t="s">
        <v>1226</v>
      </c>
    </row>
    <row r="3711" customFormat="false" ht="15" hidden="false" customHeight="false" outlineLevel="0" collapsed="false">
      <c r="A3711" s="2" t="n">
        <v>3710</v>
      </c>
      <c r="B3711" s="2" t="s">
        <v>7648</v>
      </c>
      <c r="C3711" s="2" t="s">
        <v>7649</v>
      </c>
      <c r="D3711" s="2"/>
      <c r="E3711" s="2" t="s">
        <v>1345</v>
      </c>
      <c r="F3711" s="3" t="n">
        <v>1.4E-005</v>
      </c>
      <c r="G3711" s="3" t="n">
        <f aca="false">SUM($F$2:F3711)</f>
        <v>0.990412</v>
      </c>
      <c r="H3711" s="4"/>
      <c r="I3711" s="5"/>
      <c r="J3711" s="4"/>
      <c r="K3711" s="5"/>
      <c r="L3711" s="6"/>
      <c r="M3711" s="5" t="str">
        <f aca="false">IF(AND(N(K3711)&gt;0,N(L3711)&gt;0),K3711/L3711,"")</f>
        <v/>
      </c>
      <c r="N3711" s="2" t="s">
        <v>1226</v>
      </c>
    </row>
    <row r="3712" customFormat="false" ht="15" hidden="false" customHeight="false" outlineLevel="0" collapsed="false">
      <c r="A3712" s="2" t="n">
        <v>3711</v>
      </c>
      <c r="B3712" s="2" t="s">
        <v>3967</v>
      </c>
      <c r="C3712" s="2" t="s">
        <v>7650</v>
      </c>
      <c r="D3712" s="2"/>
      <c r="E3712" s="2" t="s">
        <v>199</v>
      </c>
      <c r="F3712" s="3" t="n">
        <v>1.4E-005</v>
      </c>
      <c r="G3712" s="3" t="n">
        <f aca="false">SUM($F$2:F3712)</f>
        <v>0.990426</v>
      </c>
      <c r="H3712" s="4"/>
      <c r="I3712" s="5"/>
      <c r="J3712" s="4"/>
      <c r="K3712" s="5"/>
      <c r="L3712" s="6"/>
      <c r="M3712" s="5" t="str">
        <f aca="false">IF(AND(N(K3712)&gt;0,N(L3712)&gt;0),K3712/L3712,"")</f>
        <v/>
      </c>
      <c r="N3712" s="2" t="s">
        <v>1226</v>
      </c>
    </row>
    <row r="3713" customFormat="false" ht="15" hidden="false" customHeight="false" outlineLevel="0" collapsed="false">
      <c r="A3713" s="2" t="n">
        <v>3712</v>
      </c>
      <c r="B3713" s="2" t="s">
        <v>7651</v>
      </c>
      <c r="C3713" s="2" t="s">
        <v>7652</v>
      </c>
      <c r="D3713" s="2"/>
      <c r="E3713" s="2" t="s">
        <v>289</v>
      </c>
      <c r="F3713" s="3" t="n">
        <v>1.4E-005</v>
      </c>
      <c r="G3713" s="3" t="n">
        <f aca="false">SUM($F$2:F3713)</f>
        <v>0.99044</v>
      </c>
      <c r="H3713" s="4"/>
      <c r="I3713" s="5"/>
      <c r="J3713" s="4"/>
      <c r="K3713" s="5"/>
      <c r="L3713" s="6"/>
      <c r="M3713" s="5" t="str">
        <f aca="false">IF(AND(N(K3713)&gt;0,N(L3713)&gt;0),K3713/L3713,"")</f>
        <v/>
      </c>
      <c r="N3713" s="2" t="s">
        <v>1226</v>
      </c>
    </row>
    <row r="3714" customFormat="false" ht="15" hidden="false" customHeight="false" outlineLevel="0" collapsed="false">
      <c r="A3714" s="2" t="n">
        <v>3713</v>
      </c>
      <c r="B3714" s="2" t="s">
        <v>7653</v>
      </c>
      <c r="C3714" s="2" t="s">
        <v>7654</v>
      </c>
      <c r="D3714" s="2"/>
      <c r="E3714" s="2" t="s">
        <v>25</v>
      </c>
      <c r="F3714" s="3" t="n">
        <v>1.4E-005</v>
      </c>
      <c r="G3714" s="3" t="n">
        <f aca="false">SUM($F$2:F3714)</f>
        <v>0.990454</v>
      </c>
      <c r="H3714" s="4"/>
      <c r="I3714" s="5"/>
      <c r="J3714" s="4"/>
      <c r="K3714" s="5"/>
      <c r="L3714" s="6"/>
      <c r="M3714" s="5" t="str">
        <f aca="false">IF(AND(N(K3714)&gt;0,N(L3714)&gt;0),K3714/L3714,"")</f>
        <v/>
      </c>
      <c r="N3714" s="2" t="s">
        <v>1226</v>
      </c>
    </row>
    <row r="3715" customFormat="false" ht="15" hidden="false" customHeight="false" outlineLevel="0" collapsed="false">
      <c r="A3715" s="2" t="n">
        <v>3714</v>
      </c>
      <c r="B3715" s="2" t="s">
        <v>7655</v>
      </c>
      <c r="C3715" s="2" t="s">
        <v>7656</v>
      </c>
      <c r="D3715" s="2"/>
      <c r="E3715" s="2" t="s">
        <v>33</v>
      </c>
      <c r="F3715" s="3" t="n">
        <v>1.4E-005</v>
      </c>
      <c r="G3715" s="3" t="n">
        <f aca="false">SUM($F$2:F3715)</f>
        <v>0.990468</v>
      </c>
      <c r="H3715" s="4"/>
      <c r="I3715" s="5"/>
      <c r="J3715" s="4"/>
      <c r="K3715" s="5"/>
      <c r="L3715" s="6"/>
      <c r="M3715" s="5" t="str">
        <f aca="false">IF(AND(N(K3715)&gt;0,N(L3715)&gt;0),K3715/L3715,"")</f>
        <v/>
      </c>
      <c r="N3715" s="2" t="s">
        <v>1226</v>
      </c>
    </row>
    <row r="3716" customFormat="false" ht="15" hidden="false" customHeight="false" outlineLevel="0" collapsed="false">
      <c r="A3716" s="2" t="n">
        <v>3715</v>
      </c>
      <c r="B3716" s="2" t="s">
        <v>7657</v>
      </c>
      <c r="C3716" s="2" t="s">
        <v>7658</v>
      </c>
      <c r="D3716" s="2"/>
      <c r="E3716" s="2" t="s">
        <v>1345</v>
      </c>
      <c r="F3716" s="3" t="n">
        <v>1.4E-005</v>
      </c>
      <c r="G3716" s="3" t="n">
        <f aca="false">SUM($F$2:F3716)</f>
        <v>0.990482</v>
      </c>
      <c r="H3716" s="4"/>
      <c r="I3716" s="5"/>
      <c r="J3716" s="4"/>
      <c r="K3716" s="5"/>
      <c r="L3716" s="6"/>
      <c r="M3716" s="5" t="str">
        <f aca="false">IF(AND(N(K3716)&gt;0,N(L3716)&gt;0),K3716/L3716,"")</f>
        <v/>
      </c>
      <c r="N3716" s="2" t="s">
        <v>1226</v>
      </c>
    </row>
    <row r="3717" customFormat="false" ht="15" hidden="false" customHeight="false" outlineLevel="0" collapsed="false">
      <c r="A3717" s="2" t="n">
        <v>3716</v>
      </c>
      <c r="B3717" s="2" t="s">
        <v>7659</v>
      </c>
      <c r="C3717" s="2" t="s">
        <v>7660</v>
      </c>
      <c r="D3717" s="2"/>
      <c r="E3717" s="2" t="s">
        <v>1345</v>
      </c>
      <c r="F3717" s="3" t="n">
        <v>1.4E-005</v>
      </c>
      <c r="G3717" s="3" t="n">
        <f aca="false">SUM($F$2:F3717)</f>
        <v>0.990496</v>
      </c>
      <c r="H3717" s="4"/>
      <c r="I3717" s="5"/>
      <c r="J3717" s="4"/>
      <c r="K3717" s="5"/>
      <c r="L3717" s="6"/>
      <c r="M3717" s="5" t="str">
        <f aca="false">IF(AND(N(K3717)&gt;0,N(L3717)&gt;0),K3717/L3717,"")</f>
        <v/>
      </c>
      <c r="N3717" s="2" t="s">
        <v>1226</v>
      </c>
    </row>
    <row r="3718" customFormat="false" ht="15" hidden="false" customHeight="false" outlineLevel="0" collapsed="false">
      <c r="A3718" s="2" t="n">
        <v>3717</v>
      </c>
      <c r="B3718" s="2" t="s">
        <v>7661</v>
      </c>
      <c r="C3718" s="2" t="s">
        <v>7662</v>
      </c>
      <c r="D3718" s="2"/>
      <c r="E3718" s="2" t="s">
        <v>1345</v>
      </c>
      <c r="F3718" s="3" t="n">
        <v>1.4E-005</v>
      </c>
      <c r="G3718" s="3" t="n">
        <f aca="false">SUM($F$2:F3718)</f>
        <v>0.99051</v>
      </c>
      <c r="H3718" s="4"/>
      <c r="I3718" s="5"/>
      <c r="J3718" s="4"/>
      <c r="K3718" s="5"/>
      <c r="L3718" s="6"/>
      <c r="M3718" s="5" t="str">
        <f aca="false">IF(AND(N(K3718)&gt;0,N(L3718)&gt;0),K3718/L3718,"")</f>
        <v/>
      </c>
      <c r="N3718" s="2" t="s">
        <v>1226</v>
      </c>
    </row>
    <row r="3719" customFormat="false" ht="15" hidden="false" customHeight="false" outlineLevel="0" collapsed="false">
      <c r="A3719" s="2" t="n">
        <v>3718</v>
      </c>
      <c r="B3719" s="2" t="s">
        <v>7663</v>
      </c>
      <c r="C3719" s="2" t="s">
        <v>7664</v>
      </c>
      <c r="D3719" s="2"/>
      <c r="E3719" s="2" t="s">
        <v>289</v>
      </c>
      <c r="F3719" s="3" t="n">
        <v>1.4E-005</v>
      </c>
      <c r="G3719" s="3" t="n">
        <f aca="false">SUM($F$2:F3719)</f>
        <v>0.990524</v>
      </c>
      <c r="H3719" s="4"/>
      <c r="I3719" s="5"/>
      <c r="J3719" s="4"/>
      <c r="K3719" s="5"/>
      <c r="L3719" s="6"/>
      <c r="M3719" s="5" t="str">
        <f aca="false">IF(AND(N(K3719)&gt;0,N(L3719)&gt;0),K3719/L3719,"")</f>
        <v/>
      </c>
      <c r="N3719" s="2" t="s">
        <v>1226</v>
      </c>
    </row>
    <row r="3720" customFormat="false" ht="15" hidden="false" customHeight="false" outlineLevel="0" collapsed="false">
      <c r="A3720" s="2" t="n">
        <v>3719</v>
      </c>
      <c r="B3720" s="2" t="s">
        <v>7665</v>
      </c>
      <c r="C3720" s="2" t="s">
        <v>7666</v>
      </c>
      <c r="D3720" s="2"/>
      <c r="E3720" s="2" t="s">
        <v>199</v>
      </c>
      <c r="F3720" s="3" t="n">
        <v>1.4E-005</v>
      </c>
      <c r="G3720" s="3" t="n">
        <f aca="false">SUM($F$2:F3720)</f>
        <v>0.990538</v>
      </c>
      <c r="H3720" s="4"/>
      <c r="I3720" s="5"/>
      <c r="J3720" s="4"/>
      <c r="K3720" s="5"/>
      <c r="L3720" s="6"/>
      <c r="M3720" s="5" t="str">
        <f aca="false">IF(AND(N(K3720)&gt;0,N(L3720)&gt;0),K3720/L3720,"")</f>
        <v/>
      </c>
      <c r="N3720" s="2" t="s">
        <v>1226</v>
      </c>
    </row>
    <row r="3721" customFormat="false" ht="15" hidden="false" customHeight="false" outlineLevel="0" collapsed="false">
      <c r="A3721" s="2" t="n">
        <v>3720</v>
      </c>
      <c r="B3721" s="2" t="s">
        <v>7667</v>
      </c>
      <c r="C3721" s="2" t="s">
        <v>7668</v>
      </c>
      <c r="D3721" s="2"/>
      <c r="E3721" s="2" t="s">
        <v>29</v>
      </c>
      <c r="F3721" s="3" t="n">
        <v>1.4E-005</v>
      </c>
      <c r="G3721" s="3" t="n">
        <f aca="false">SUM($F$2:F3721)</f>
        <v>0.990552</v>
      </c>
      <c r="H3721" s="4"/>
      <c r="I3721" s="5"/>
      <c r="J3721" s="4"/>
      <c r="K3721" s="5"/>
      <c r="L3721" s="6"/>
      <c r="M3721" s="5" t="str">
        <f aca="false">IF(AND(N(K3721)&gt;0,N(L3721)&gt;0),K3721/L3721,"")</f>
        <v/>
      </c>
      <c r="N3721" s="2" t="s">
        <v>1226</v>
      </c>
    </row>
    <row r="3722" customFormat="false" ht="15" hidden="false" customHeight="false" outlineLevel="0" collapsed="false">
      <c r="A3722" s="2" t="n">
        <v>3721</v>
      </c>
      <c r="B3722" s="2" t="s">
        <v>7669</v>
      </c>
      <c r="C3722" s="2" t="s">
        <v>7670</v>
      </c>
      <c r="D3722" s="2"/>
      <c r="E3722" s="2" t="s">
        <v>1345</v>
      </c>
      <c r="F3722" s="3" t="n">
        <v>1.4E-005</v>
      </c>
      <c r="G3722" s="3" t="n">
        <f aca="false">SUM($F$2:F3722)</f>
        <v>0.990566</v>
      </c>
      <c r="H3722" s="4"/>
      <c r="I3722" s="5"/>
      <c r="J3722" s="4"/>
      <c r="K3722" s="5"/>
      <c r="L3722" s="6"/>
      <c r="M3722" s="5" t="str">
        <f aca="false">IF(AND(N(K3722)&gt;0,N(L3722)&gt;0),K3722/L3722,"")</f>
        <v/>
      </c>
      <c r="N3722" s="2" t="s">
        <v>1226</v>
      </c>
    </row>
    <row r="3723" customFormat="false" ht="15" hidden="false" customHeight="false" outlineLevel="0" collapsed="false">
      <c r="A3723" s="2" t="n">
        <v>3722</v>
      </c>
      <c r="B3723" s="2" t="s">
        <v>7671</v>
      </c>
      <c r="C3723" s="2" t="s">
        <v>7672</v>
      </c>
      <c r="D3723" s="2"/>
      <c r="E3723" s="2" t="s">
        <v>17</v>
      </c>
      <c r="F3723" s="3" t="n">
        <v>1.4E-005</v>
      </c>
      <c r="G3723" s="3" t="n">
        <f aca="false">SUM($F$2:F3723)</f>
        <v>0.99058</v>
      </c>
      <c r="H3723" s="4"/>
      <c r="I3723" s="5"/>
      <c r="J3723" s="4"/>
      <c r="K3723" s="5"/>
      <c r="L3723" s="6"/>
      <c r="M3723" s="5" t="str">
        <f aca="false">IF(AND(N(K3723)&gt;0,N(L3723)&gt;0),K3723/L3723,"")</f>
        <v/>
      </c>
      <c r="N3723" s="2" t="s">
        <v>1226</v>
      </c>
    </row>
    <row r="3724" customFormat="false" ht="15" hidden="false" customHeight="false" outlineLevel="0" collapsed="false">
      <c r="A3724" s="2" t="n">
        <v>3723</v>
      </c>
      <c r="B3724" s="2" t="s">
        <v>7673</v>
      </c>
      <c r="C3724" s="2" t="s">
        <v>7674</v>
      </c>
      <c r="D3724" s="2"/>
      <c r="E3724" s="2" t="s">
        <v>334</v>
      </c>
      <c r="F3724" s="3" t="n">
        <v>1.4E-005</v>
      </c>
      <c r="G3724" s="3" t="n">
        <f aca="false">SUM($F$2:F3724)</f>
        <v>0.990594</v>
      </c>
      <c r="H3724" s="4"/>
      <c r="I3724" s="5"/>
      <c r="J3724" s="4"/>
      <c r="K3724" s="5"/>
      <c r="L3724" s="6"/>
      <c r="M3724" s="5" t="str">
        <f aca="false">IF(AND(N(K3724)&gt;0,N(L3724)&gt;0),K3724/L3724,"")</f>
        <v/>
      </c>
      <c r="N3724" s="2" t="s">
        <v>1226</v>
      </c>
    </row>
    <row r="3725" customFormat="false" ht="15" hidden="false" customHeight="false" outlineLevel="0" collapsed="false">
      <c r="A3725" s="2" t="n">
        <v>3724</v>
      </c>
      <c r="B3725" s="2" t="s">
        <v>7675</v>
      </c>
      <c r="C3725" s="2" t="s">
        <v>7676</v>
      </c>
      <c r="D3725" s="2"/>
      <c r="E3725" s="2" t="s">
        <v>289</v>
      </c>
      <c r="F3725" s="3" t="n">
        <v>1.4E-005</v>
      </c>
      <c r="G3725" s="3" t="n">
        <f aca="false">SUM($F$2:F3725)</f>
        <v>0.990608</v>
      </c>
      <c r="H3725" s="4"/>
      <c r="I3725" s="5"/>
      <c r="J3725" s="4"/>
      <c r="K3725" s="5"/>
      <c r="L3725" s="6"/>
      <c r="M3725" s="5" t="str">
        <f aca="false">IF(AND(N(K3725)&gt;0,N(L3725)&gt;0),K3725/L3725,"")</f>
        <v/>
      </c>
      <c r="N3725" s="2" t="s">
        <v>1226</v>
      </c>
    </row>
    <row r="3726" customFormat="false" ht="15" hidden="false" customHeight="false" outlineLevel="0" collapsed="false">
      <c r="A3726" s="2" t="n">
        <v>3725</v>
      </c>
      <c r="B3726" s="2" t="s">
        <v>7677</v>
      </c>
      <c r="C3726" s="2" t="s">
        <v>7678</v>
      </c>
      <c r="D3726" s="2"/>
      <c r="E3726" s="2" t="s">
        <v>1345</v>
      </c>
      <c r="F3726" s="3" t="n">
        <v>1.4E-005</v>
      </c>
      <c r="G3726" s="3" t="n">
        <f aca="false">SUM($F$2:F3726)</f>
        <v>0.990622</v>
      </c>
      <c r="H3726" s="4"/>
      <c r="I3726" s="5"/>
      <c r="J3726" s="4"/>
      <c r="K3726" s="5"/>
      <c r="L3726" s="6"/>
      <c r="M3726" s="5" t="str">
        <f aca="false">IF(AND(N(K3726)&gt;0,N(L3726)&gt;0),K3726/L3726,"")</f>
        <v/>
      </c>
      <c r="N3726" s="2" t="s">
        <v>1226</v>
      </c>
    </row>
    <row r="3727" customFormat="false" ht="15" hidden="false" customHeight="false" outlineLevel="0" collapsed="false">
      <c r="A3727" s="2" t="n">
        <v>3726</v>
      </c>
      <c r="B3727" s="2" t="s">
        <v>7679</v>
      </c>
      <c r="C3727" s="2" t="s">
        <v>7680</v>
      </c>
      <c r="D3727" s="2"/>
      <c r="E3727" s="2" t="s">
        <v>1345</v>
      </c>
      <c r="F3727" s="3" t="n">
        <v>1.4E-005</v>
      </c>
      <c r="G3727" s="3" t="n">
        <f aca="false">SUM($F$2:F3727)</f>
        <v>0.990636</v>
      </c>
      <c r="H3727" s="4"/>
      <c r="I3727" s="5"/>
      <c r="J3727" s="4"/>
      <c r="K3727" s="5"/>
      <c r="L3727" s="6"/>
      <c r="M3727" s="5" t="str">
        <f aca="false">IF(AND(N(K3727)&gt;0,N(L3727)&gt;0),K3727/L3727,"")</f>
        <v/>
      </c>
      <c r="N3727" s="2" t="s">
        <v>1226</v>
      </c>
    </row>
    <row r="3728" customFormat="false" ht="15" hidden="false" customHeight="false" outlineLevel="0" collapsed="false">
      <c r="A3728" s="2" t="n">
        <v>3727</v>
      </c>
      <c r="B3728" s="2" t="s">
        <v>7681</v>
      </c>
      <c r="C3728" s="2" t="s">
        <v>7682</v>
      </c>
      <c r="D3728" s="2"/>
      <c r="E3728" s="2" t="s">
        <v>43</v>
      </c>
      <c r="F3728" s="3" t="n">
        <v>1.4E-005</v>
      </c>
      <c r="G3728" s="3" t="n">
        <f aca="false">SUM($F$2:F3728)</f>
        <v>0.99065</v>
      </c>
      <c r="H3728" s="4"/>
      <c r="I3728" s="5"/>
      <c r="J3728" s="4"/>
      <c r="K3728" s="5"/>
      <c r="L3728" s="6"/>
      <c r="M3728" s="5" t="str">
        <f aca="false">IF(AND(N(K3728)&gt;0,N(L3728)&gt;0),K3728/L3728,"")</f>
        <v/>
      </c>
      <c r="N3728" s="2" t="s">
        <v>1226</v>
      </c>
    </row>
    <row r="3729" customFormat="false" ht="15" hidden="false" customHeight="false" outlineLevel="0" collapsed="false">
      <c r="A3729" s="2" t="n">
        <v>3728</v>
      </c>
      <c r="B3729" s="2" t="s">
        <v>7683</v>
      </c>
      <c r="C3729" s="2" t="s">
        <v>7684</v>
      </c>
      <c r="D3729" s="2"/>
      <c r="E3729" s="2" t="s">
        <v>539</v>
      </c>
      <c r="F3729" s="3" t="n">
        <v>1.4E-005</v>
      </c>
      <c r="G3729" s="3" t="n">
        <f aca="false">SUM($F$2:F3729)</f>
        <v>0.990664</v>
      </c>
      <c r="H3729" s="4"/>
      <c r="I3729" s="5"/>
      <c r="J3729" s="4"/>
      <c r="K3729" s="5"/>
      <c r="L3729" s="6"/>
      <c r="M3729" s="5" t="str">
        <f aca="false">IF(AND(N(K3729)&gt;0,N(L3729)&gt;0),K3729/L3729,"")</f>
        <v/>
      </c>
      <c r="N3729" s="2" t="s">
        <v>1226</v>
      </c>
    </row>
    <row r="3730" customFormat="false" ht="15" hidden="false" customHeight="false" outlineLevel="0" collapsed="false">
      <c r="A3730" s="2" t="n">
        <v>3729</v>
      </c>
      <c r="B3730" s="2" t="s">
        <v>7685</v>
      </c>
      <c r="C3730" s="2" t="s">
        <v>7686</v>
      </c>
      <c r="D3730" s="2"/>
      <c r="E3730" s="2" t="s">
        <v>614</v>
      </c>
      <c r="F3730" s="3" t="n">
        <v>1.4E-005</v>
      </c>
      <c r="G3730" s="3" t="n">
        <f aca="false">SUM($F$2:F3730)</f>
        <v>0.990678</v>
      </c>
      <c r="H3730" s="4"/>
      <c r="I3730" s="5"/>
      <c r="J3730" s="4"/>
      <c r="K3730" s="5"/>
      <c r="L3730" s="6"/>
      <c r="M3730" s="5" t="str">
        <f aca="false">IF(AND(N(K3730)&gt;0,N(L3730)&gt;0),K3730/L3730,"")</f>
        <v/>
      </c>
      <c r="N3730" s="2" t="s">
        <v>1226</v>
      </c>
    </row>
    <row r="3731" customFormat="false" ht="15" hidden="false" customHeight="false" outlineLevel="0" collapsed="false">
      <c r="A3731" s="2" t="n">
        <v>3730</v>
      </c>
      <c r="B3731" s="2" t="s">
        <v>7687</v>
      </c>
      <c r="C3731" s="2" t="s">
        <v>7688</v>
      </c>
      <c r="D3731" s="2"/>
      <c r="E3731" s="2" t="s">
        <v>29</v>
      </c>
      <c r="F3731" s="3" t="n">
        <v>1.4E-005</v>
      </c>
      <c r="G3731" s="3" t="n">
        <f aca="false">SUM($F$2:F3731)</f>
        <v>0.990692</v>
      </c>
      <c r="H3731" s="4"/>
      <c r="I3731" s="5"/>
      <c r="J3731" s="4"/>
      <c r="K3731" s="5"/>
      <c r="L3731" s="6"/>
      <c r="M3731" s="5" t="str">
        <f aca="false">IF(AND(N(K3731)&gt;0,N(L3731)&gt;0),K3731/L3731,"")</f>
        <v/>
      </c>
      <c r="N3731" s="2" t="s">
        <v>1226</v>
      </c>
    </row>
    <row r="3732" customFormat="false" ht="15" hidden="false" customHeight="false" outlineLevel="0" collapsed="false">
      <c r="A3732" s="2" t="n">
        <v>3731</v>
      </c>
      <c r="B3732" s="2" t="s">
        <v>7689</v>
      </c>
      <c r="C3732" s="2" t="s">
        <v>7690</v>
      </c>
      <c r="D3732" s="2"/>
      <c r="E3732" s="2" t="s">
        <v>1345</v>
      </c>
      <c r="F3732" s="3" t="n">
        <v>1.3E-005</v>
      </c>
      <c r="G3732" s="3" t="n">
        <f aca="false">SUM($F$2:F3732)</f>
        <v>0.990705</v>
      </c>
      <c r="H3732" s="4"/>
      <c r="I3732" s="5"/>
      <c r="J3732" s="4"/>
      <c r="K3732" s="5"/>
      <c r="L3732" s="6"/>
      <c r="M3732" s="5" t="str">
        <f aca="false">IF(AND(N(K3732)&gt;0,N(L3732)&gt;0),K3732/L3732,"")</f>
        <v/>
      </c>
      <c r="N3732" s="2" t="s">
        <v>1226</v>
      </c>
    </row>
    <row r="3733" customFormat="false" ht="15" hidden="false" customHeight="false" outlineLevel="0" collapsed="false">
      <c r="A3733" s="2" t="n">
        <v>3732</v>
      </c>
      <c r="B3733" s="2" t="s">
        <v>7691</v>
      </c>
      <c r="C3733" s="2" t="s">
        <v>7692</v>
      </c>
      <c r="D3733" s="2"/>
      <c r="E3733" s="2" t="s">
        <v>43</v>
      </c>
      <c r="F3733" s="3" t="n">
        <v>1.3E-005</v>
      </c>
      <c r="G3733" s="3" t="n">
        <f aca="false">SUM($F$2:F3733)</f>
        <v>0.990718</v>
      </c>
      <c r="H3733" s="4"/>
      <c r="I3733" s="5"/>
      <c r="J3733" s="4"/>
      <c r="K3733" s="5"/>
      <c r="L3733" s="6"/>
      <c r="M3733" s="5" t="str">
        <f aca="false">IF(AND(N(K3733)&gt;0,N(L3733)&gt;0),K3733/L3733,"")</f>
        <v/>
      </c>
      <c r="N3733" s="2" t="s">
        <v>1226</v>
      </c>
    </row>
    <row r="3734" customFormat="false" ht="15" hidden="false" customHeight="false" outlineLevel="0" collapsed="false">
      <c r="A3734" s="2" t="n">
        <v>3733</v>
      </c>
      <c r="B3734" s="2" t="s">
        <v>7693</v>
      </c>
      <c r="C3734" s="2" t="s">
        <v>7694</v>
      </c>
      <c r="D3734" s="2"/>
      <c r="E3734" s="2" t="s">
        <v>289</v>
      </c>
      <c r="F3734" s="3" t="n">
        <v>1.3E-005</v>
      </c>
      <c r="G3734" s="3" t="n">
        <f aca="false">SUM($F$2:F3734)</f>
        <v>0.990731</v>
      </c>
      <c r="H3734" s="4"/>
      <c r="I3734" s="5"/>
      <c r="J3734" s="4"/>
      <c r="K3734" s="5"/>
      <c r="L3734" s="6"/>
      <c r="M3734" s="5" t="str">
        <f aca="false">IF(AND(N(K3734)&gt;0,N(L3734)&gt;0),K3734/L3734,"")</f>
        <v/>
      </c>
      <c r="N3734" s="2" t="s">
        <v>1226</v>
      </c>
    </row>
    <row r="3735" customFormat="false" ht="15" hidden="false" customHeight="false" outlineLevel="0" collapsed="false">
      <c r="A3735" s="2" t="n">
        <v>3734</v>
      </c>
      <c r="B3735" s="2" t="s">
        <v>7695</v>
      </c>
      <c r="C3735" s="2" t="s">
        <v>7696</v>
      </c>
      <c r="D3735" s="2"/>
      <c r="E3735" s="2" t="s">
        <v>1345</v>
      </c>
      <c r="F3735" s="3" t="n">
        <v>1.3E-005</v>
      </c>
      <c r="G3735" s="3" t="n">
        <f aca="false">SUM($F$2:F3735)</f>
        <v>0.990744</v>
      </c>
      <c r="H3735" s="4"/>
      <c r="I3735" s="5"/>
      <c r="J3735" s="4"/>
      <c r="K3735" s="5"/>
      <c r="L3735" s="6"/>
      <c r="M3735" s="5" t="str">
        <f aca="false">IF(AND(N(K3735)&gt;0,N(L3735)&gt;0),K3735/L3735,"")</f>
        <v/>
      </c>
      <c r="N3735" s="2" t="s">
        <v>1226</v>
      </c>
    </row>
    <row r="3736" customFormat="false" ht="15" hidden="false" customHeight="false" outlineLevel="0" collapsed="false">
      <c r="A3736" s="2" t="n">
        <v>3735</v>
      </c>
      <c r="B3736" s="2" t="s">
        <v>7697</v>
      </c>
      <c r="C3736" s="2" t="s">
        <v>7698</v>
      </c>
      <c r="D3736" s="2"/>
      <c r="E3736" s="2" t="s">
        <v>1345</v>
      </c>
      <c r="F3736" s="3" t="n">
        <v>1.3E-005</v>
      </c>
      <c r="G3736" s="3" t="n">
        <f aca="false">SUM($F$2:F3736)</f>
        <v>0.990757</v>
      </c>
      <c r="H3736" s="4"/>
      <c r="I3736" s="5"/>
      <c r="J3736" s="4"/>
      <c r="K3736" s="5"/>
      <c r="L3736" s="6"/>
      <c r="M3736" s="5" t="str">
        <f aca="false">IF(AND(N(K3736)&gt;0,N(L3736)&gt;0),K3736/L3736,"")</f>
        <v/>
      </c>
      <c r="N3736" s="2" t="s">
        <v>1226</v>
      </c>
    </row>
    <row r="3737" customFormat="false" ht="15" hidden="false" customHeight="false" outlineLevel="0" collapsed="false">
      <c r="A3737" s="2" t="n">
        <v>3736</v>
      </c>
      <c r="B3737" s="2" t="s">
        <v>7699</v>
      </c>
      <c r="C3737" s="2" t="s">
        <v>7700</v>
      </c>
      <c r="D3737" s="2"/>
      <c r="E3737" s="2" t="s">
        <v>1345</v>
      </c>
      <c r="F3737" s="3" t="n">
        <v>1.3E-005</v>
      </c>
      <c r="G3737" s="3" t="n">
        <f aca="false">SUM($F$2:F3737)</f>
        <v>0.99077</v>
      </c>
      <c r="H3737" s="4"/>
      <c r="I3737" s="5"/>
      <c r="J3737" s="4"/>
      <c r="K3737" s="5"/>
      <c r="L3737" s="6"/>
      <c r="M3737" s="5" t="str">
        <f aca="false">IF(AND(N(K3737)&gt;0,N(L3737)&gt;0),K3737/L3737,"")</f>
        <v/>
      </c>
      <c r="N3737" s="2" t="s">
        <v>1226</v>
      </c>
    </row>
    <row r="3738" customFormat="false" ht="15" hidden="false" customHeight="false" outlineLevel="0" collapsed="false">
      <c r="A3738" s="2" t="n">
        <v>3737</v>
      </c>
      <c r="B3738" s="2" t="s">
        <v>7701</v>
      </c>
      <c r="C3738" s="2" t="s">
        <v>7702</v>
      </c>
      <c r="D3738" s="2"/>
      <c r="E3738" s="2" t="s">
        <v>1345</v>
      </c>
      <c r="F3738" s="3" t="n">
        <v>1.3E-005</v>
      </c>
      <c r="G3738" s="3" t="n">
        <f aca="false">SUM($F$2:F3738)</f>
        <v>0.990783</v>
      </c>
      <c r="H3738" s="4"/>
      <c r="I3738" s="5"/>
      <c r="J3738" s="4"/>
      <c r="K3738" s="5"/>
      <c r="L3738" s="6"/>
      <c r="M3738" s="5" t="str">
        <f aca="false">IF(AND(N(K3738)&gt;0,N(L3738)&gt;0),K3738/L3738,"")</f>
        <v/>
      </c>
      <c r="N3738" s="2" t="s">
        <v>1226</v>
      </c>
    </row>
    <row r="3739" customFormat="false" ht="15" hidden="false" customHeight="false" outlineLevel="0" collapsed="false">
      <c r="A3739" s="2" t="n">
        <v>3738</v>
      </c>
      <c r="B3739" s="2" t="s">
        <v>7703</v>
      </c>
      <c r="C3739" s="2" t="s">
        <v>7704</v>
      </c>
      <c r="D3739" s="2"/>
      <c r="E3739" s="2" t="s">
        <v>43</v>
      </c>
      <c r="F3739" s="3" t="n">
        <v>1.3E-005</v>
      </c>
      <c r="G3739" s="3" t="n">
        <f aca="false">SUM($F$2:F3739)</f>
        <v>0.990796</v>
      </c>
      <c r="H3739" s="4"/>
      <c r="I3739" s="5"/>
      <c r="J3739" s="4"/>
      <c r="K3739" s="5"/>
      <c r="L3739" s="6"/>
      <c r="M3739" s="5" t="str">
        <f aca="false">IF(AND(N(K3739)&gt;0,N(L3739)&gt;0),K3739/L3739,"")</f>
        <v/>
      </c>
      <c r="N3739" s="2" t="s">
        <v>1226</v>
      </c>
    </row>
    <row r="3740" customFormat="false" ht="15" hidden="false" customHeight="false" outlineLevel="0" collapsed="false">
      <c r="A3740" s="2" t="n">
        <v>3739</v>
      </c>
      <c r="B3740" s="2" t="s">
        <v>7705</v>
      </c>
      <c r="C3740" s="2" t="s">
        <v>7706</v>
      </c>
      <c r="D3740" s="2"/>
      <c r="E3740" s="2" t="s">
        <v>1345</v>
      </c>
      <c r="F3740" s="3" t="n">
        <v>1.3E-005</v>
      </c>
      <c r="G3740" s="3" t="n">
        <f aca="false">SUM($F$2:F3740)</f>
        <v>0.990809</v>
      </c>
      <c r="H3740" s="4"/>
      <c r="I3740" s="5"/>
      <c r="J3740" s="4"/>
      <c r="K3740" s="5"/>
      <c r="L3740" s="6"/>
      <c r="M3740" s="5" t="str">
        <f aca="false">IF(AND(N(K3740)&gt;0,N(L3740)&gt;0),K3740/L3740,"")</f>
        <v/>
      </c>
      <c r="N3740" s="2" t="s">
        <v>1226</v>
      </c>
    </row>
    <row r="3741" customFormat="false" ht="15" hidden="false" customHeight="false" outlineLevel="0" collapsed="false">
      <c r="A3741" s="2" t="n">
        <v>3740</v>
      </c>
      <c r="B3741" s="2" t="s">
        <v>7707</v>
      </c>
      <c r="C3741" s="2" t="s">
        <v>7708</v>
      </c>
      <c r="D3741" s="2"/>
      <c r="E3741" s="2" t="s">
        <v>2055</v>
      </c>
      <c r="F3741" s="3" t="n">
        <v>1.3E-005</v>
      </c>
      <c r="G3741" s="3" t="n">
        <f aca="false">SUM($F$2:F3741)</f>
        <v>0.990822</v>
      </c>
      <c r="H3741" s="4"/>
      <c r="I3741" s="5"/>
      <c r="J3741" s="4"/>
      <c r="K3741" s="5"/>
      <c r="L3741" s="6"/>
      <c r="M3741" s="5" t="str">
        <f aca="false">IF(AND(N(K3741)&gt;0,N(L3741)&gt;0),K3741/L3741,"")</f>
        <v/>
      </c>
      <c r="N3741" s="2" t="s">
        <v>1226</v>
      </c>
    </row>
    <row r="3742" customFormat="false" ht="15" hidden="false" customHeight="false" outlineLevel="0" collapsed="false">
      <c r="A3742" s="2" t="n">
        <v>3741</v>
      </c>
      <c r="B3742" s="2" t="s">
        <v>7709</v>
      </c>
      <c r="C3742" s="2" t="s">
        <v>7710</v>
      </c>
      <c r="D3742" s="2"/>
      <c r="E3742" s="2" t="s">
        <v>1345</v>
      </c>
      <c r="F3742" s="3" t="n">
        <v>1.3E-005</v>
      </c>
      <c r="G3742" s="3" t="n">
        <f aca="false">SUM($F$2:F3742)</f>
        <v>0.990835</v>
      </c>
      <c r="H3742" s="4"/>
      <c r="I3742" s="5"/>
      <c r="J3742" s="4"/>
      <c r="K3742" s="5"/>
      <c r="L3742" s="6"/>
      <c r="M3742" s="5" t="str">
        <f aca="false">IF(AND(N(K3742)&gt;0,N(L3742)&gt;0),K3742/L3742,"")</f>
        <v/>
      </c>
      <c r="N3742" s="2" t="s">
        <v>1226</v>
      </c>
    </row>
    <row r="3743" customFormat="false" ht="15" hidden="false" customHeight="false" outlineLevel="0" collapsed="false">
      <c r="A3743" s="2" t="n">
        <v>3742</v>
      </c>
      <c r="B3743" s="2" t="s">
        <v>7711</v>
      </c>
      <c r="C3743" s="2" t="s">
        <v>7712</v>
      </c>
      <c r="D3743" s="2"/>
      <c r="E3743" s="2" t="s">
        <v>1284</v>
      </c>
      <c r="F3743" s="3" t="n">
        <v>1.3E-005</v>
      </c>
      <c r="G3743" s="3" t="n">
        <f aca="false">SUM($F$2:F3743)</f>
        <v>0.990848</v>
      </c>
      <c r="H3743" s="4"/>
      <c r="I3743" s="5"/>
      <c r="J3743" s="4"/>
      <c r="K3743" s="5"/>
      <c r="L3743" s="6"/>
      <c r="M3743" s="5" t="str">
        <f aca="false">IF(AND(N(K3743)&gt;0,N(L3743)&gt;0),K3743/L3743,"")</f>
        <v/>
      </c>
      <c r="N3743" s="2" t="s">
        <v>1226</v>
      </c>
    </row>
    <row r="3744" customFormat="false" ht="15" hidden="false" customHeight="false" outlineLevel="0" collapsed="false">
      <c r="A3744" s="2" t="n">
        <v>3743</v>
      </c>
      <c r="B3744" s="2" t="s">
        <v>7713</v>
      </c>
      <c r="C3744" s="2" t="s">
        <v>7714</v>
      </c>
      <c r="D3744" s="2"/>
      <c r="E3744" s="2" t="s">
        <v>289</v>
      </c>
      <c r="F3744" s="3" t="n">
        <v>1.3E-005</v>
      </c>
      <c r="G3744" s="3" t="n">
        <f aca="false">SUM($F$2:F3744)</f>
        <v>0.990861</v>
      </c>
      <c r="H3744" s="4"/>
      <c r="I3744" s="5"/>
      <c r="J3744" s="4"/>
      <c r="K3744" s="5"/>
      <c r="L3744" s="6"/>
      <c r="M3744" s="5" t="str">
        <f aca="false">IF(AND(N(K3744)&gt;0,N(L3744)&gt;0),K3744/L3744,"")</f>
        <v/>
      </c>
      <c r="N3744" s="2" t="s">
        <v>1226</v>
      </c>
    </row>
    <row r="3745" customFormat="false" ht="15" hidden="false" customHeight="false" outlineLevel="0" collapsed="false">
      <c r="A3745" s="2" t="n">
        <v>3744</v>
      </c>
      <c r="B3745" s="2" t="s">
        <v>7715</v>
      </c>
      <c r="C3745" s="2" t="s">
        <v>7716</v>
      </c>
      <c r="D3745" s="2"/>
      <c r="E3745" s="2" t="s">
        <v>1345</v>
      </c>
      <c r="F3745" s="3" t="n">
        <v>1.3E-005</v>
      </c>
      <c r="G3745" s="3" t="n">
        <f aca="false">SUM($F$2:F3745)</f>
        <v>0.990874</v>
      </c>
      <c r="H3745" s="4"/>
      <c r="I3745" s="5"/>
      <c r="J3745" s="4"/>
      <c r="K3745" s="5"/>
      <c r="L3745" s="6"/>
      <c r="M3745" s="5" t="str">
        <f aca="false">IF(AND(N(K3745)&gt;0,N(L3745)&gt;0),K3745/L3745,"")</f>
        <v/>
      </c>
      <c r="N3745" s="2" t="s">
        <v>1226</v>
      </c>
    </row>
    <row r="3746" customFormat="false" ht="15" hidden="false" customHeight="false" outlineLevel="0" collapsed="false">
      <c r="A3746" s="2" t="n">
        <v>3745</v>
      </c>
      <c r="B3746" s="2" t="s">
        <v>7717</v>
      </c>
      <c r="C3746" s="2" t="s">
        <v>7718</v>
      </c>
      <c r="D3746" s="2"/>
      <c r="E3746" s="2" t="s">
        <v>1284</v>
      </c>
      <c r="F3746" s="3" t="n">
        <v>1.3E-005</v>
      </c>
      <c r="G3746" s="3" t="n">
        <f aca="false">SUM($F$2:F3746)</f>
        <v>0.990887</v>
      </c>
      <c r="H3746" s="4"/>
      <c r="I3746" s="5"/>
      <c r="J3746" s="4"/>
      <c r="K3746" s="5"/>
      <c r="L3746" s="6"/>
      <c r="M3746" s="5" t="str">
        <f aca="false">IF(AND(N(K3746)&gt;0,N(L3746)&gt;0),K3746/L3746,"")</f>
        <v/>
      </c>
      <c r="N3746" s="2" t="s">
        <v>1226</v>
      </c>
    </row>
    <row r="3747" customFormat="false" ht="15" hidden="false" customHeight="false" outlineLevel="0" collapsed="false">
      <c r="A3747" s="2" t="n">
        <v>3746</v>
      </c>
      <c r="B3747" s="2" t="s">
        <v>7719</v>
      </c>
      <c r="C3747" s="2" t="s">
        <v>7720</v>
      </c>
      <c r="D3747" s="2"/>
      <c r="E3747" s="2" t="s">
        <v>539</v>
      </c>
      <c r="F3747" s="3" t="n">
        <v>1.3E-005</v>
      </c>
      <c r="G3747" s="3" t="n">
        <f aca="false">SUM($F$2:F3747)</f>
        <v>0.9909</v>
      </c>
      <c r="H3747" s="4"/>
      <c r="I3747" s="5"/>
      <c r="J3747" s="4"/>
      <c r="K3747" s="5"/>
      <c r="L3747" s="6"/>
      <c r="M3747" s="5" t="str">
        <f aca="false">IF(AND(N(K3747)&gt;0,N(L3747)&gt;0),K3747/L3747,"")</f>
        <v/>
      </c>
      <c r="N3747" s="2" t="s">
        <v>1226</v>
      </c>
    </row>
    <row r="3748" customFormat="false" ht="15" hidden="false" customHeight="false" outlineLevel="0" collapsed="false">
      <c r="A3748" s="2" t="n">
        <v>3747</v>
      </c>
      <c r="B3748" s="2" t="s">
        <v>7721</v>
      </c>
      <c r="C3748" s="2" t="s">
        <v>7722</v>
      </c>
      <c r="D3748" s="2"/>
      <c r="E3748" s="2" t="s">
        <v>1345</v>
      </c>
      <c r="F3748" s="3" t="n">
        <v>1.3E-005</v>
      </c>
      <c r="G3748" s="3" t="n">
        <f aca="false">SUM($F$2:F3748)</f>
        <v>0.990913</v>
      </c>
      <c r="H3748" s="4"/>
      <c r="I3748" s="5"/>
      <c r="J3748" s="4"/>
      <c r="K3748" s="5"/>
      <c r="L3748" s="6"/>
      <c r="M3748" s="5" t="str">
        <f aca="false">IF(AND(N(K3748)&gt;0,N(L3748)&gt;0),K3748/L3748,"")</f>
        <v/>
      </c>
      <c r="N3748" s="2" t="s">
        <v>1226</v>
      </c>
    </row>
    <row r="3749" customFormat="false" ht="15" hidden="false" customHeight="false" outlineLevel="0" collapsed="false">
      <c r="A3749" s="2" t="n">
        <v>3748</v>
      </c>
      <c r="B3749" s="2" t="s">
        <v>7723</v>
      </c>
      <c r="C3749" s="2" t="s">
        <v>7724</v>
      </c>
      <c r="D3749" s="2"/>
      <c r="E3749" s="2" t="s">
        <v>1345</v>
      </c>
      <c r="F3749" s="3" t="n">
        <v>1.3E-005</v>
      </c>
      <c r="G3749" s="3" t="n">
        <f aca="false">SUM($F$2:F3749)</f>
        <v>0.990926</v>
      </c>
      <c r="H3749" s="4"/>
      <c r="I3749" s="5"/>
      <c r="J3749" s="4"/>
      <c r="K3749" s="5"/>
      <c r="L3749" s="6"/>
      <c r="M3749" s="5" t="str">
        <f aca="false">IF(AND(N(K3749)&gt;0,N(L3749)&gt;0),K3749/L3749,"")</f>
        <v/>
      </c>
      <c r="N3749" s="2" t="s">
        <v>1226</v>
      </c>
    </row>
    <row r="3750" customFormat="false" ht="15" hidden="false" customHeight="false" outlineLevel="0" collapsed="false">
      <c r="A3750" s="2" t="n">
        <v>3749</v>
      </c>
      <c r="B3750" s="2" t="s">
        <v>7725</v>
      </c>
      <c r="C3750" s="2" t="s">
        <v>7726</v>
      </c>
      <c r="D3750" s="2"/>
      <c r="E3750" s="2" t="s">
        <v>52</v>
      </c>
      <c r="F3750" s="3" t="n">
        <v>1.3E-005</v>
      </c>
      <c r="G3750" s="3" t="n">
        <f aca="false">SUM($F$2:F3750)</f>
        <v>0.990939</v>
      </c>
      <c r="H3750" s="4"/>
      <c r="I3750" s="5"/>
      <c r="J3750" s="4"/>
      <c r="K3750" s="5"/>
      <c r="L3750" s="6"/>
      <c r="M3750" s="5" t="str">
        <f aca="false">IF(AND(N(K3750)&gt;0,N(L3750)&gt;0),K3750/L3750,"")</f>
        <v/>
      </c>
      <c r="N3750" s="2" t="s">
        <v>1226</v>
      </c>
    </row>
    <row r="3751" customFormat="false" ht="15" hidden="false" customHeight="false" outlineLevel="0" collapsed="false">
      <c r="A3751" s="2" t="n">
        <v>3750</v>
      </c>
      <c r="B3751" s="2" t="s">
        <v>7727</v>
      </c>
      <c r="C3751" s="2" t="s">
        <v>7728</v>
      </c>
      <c r="D3751" s="2"/>
      <c r="E3751" s="2" t="s">
        <v>29</v>
      </c>
      <c r="F3751" s="3" t="n">
        <v>1.3E-005</v>
      </c>
      <c r="G3751" s="3" t="n">
        <f aca="false">SUM($F$2:F3751)</f>
        <v>0.990952</v>
      </c>
      <c r="H3751" s="4"/>
      <c r="I3751" s="5"/>
      <c r="J3751" s="4"/>
      <c r="K3751" s="5"/>
      <c r="L3751" s="6"/>
      <c r="M3751" s="5" t="str">
        <f aca="false">IF(AND(N(K3751)&gt;0,N(L3751)&gt;0),K3751/L3751,"")</f>
        <v/>
      </c>
      <c r="N3751" s="2" t="s">
        <v>1226</v>
      </c>
    </row>
    <row r="3752" customFormat="false" ht="15" hidden="false" customHeight="false" outlineLevel="0" collapsed="false">
      <c r="A3752" s="2" t="n">
        <v>3751</v>
      </c>
      <c r="B3752" s="2" t="s">
        <v>7729</v>
      </c>
      <c r="C3752" s="2" t="s">
        <v>7730</v>
      </c>
      <c r="D3752" s="2"/>
      <c r="E3752" s="2" t="s">
        <v>17</v>
      </c>
      <c r="F3752" s="3" t="n">
        <v>1.3E-005</v>
      </c>
      <c r="G3752" s="3" t="n">
        <f aca="false">SUM($F$2:F3752)</f>
        <v>0.990965</v>
      </c>
      <c r="H3752" s="4"/>
      <c r="I3752" s="5"/>
      <c r="J3752" s="4"/>
      <c r="K3752" s="5"/>
      <c r="L3752" s="6"/>
      <c r="M3752" s="5" t="str">
        <f aca="false">IF(AND(N(K3752)&gt;0,N(L3752)&gt;0),K3752/L3752,"")</f>
        <v/>
      </c>
      <c r="N3752" s="2" t="s">
        <v>1226</v>
      </c>
    </row>
    <row r="3753" customFormat="false" ht="15" hidden="false" customHeight="false" outlineLevel="0" collapsed="false">
      <c r="A3753" s="2" t="n">
        <v>3752</v>
      </c>
      <c r="B3753" s="2" t="s">
        <v>7731</v>
      </c>
      <c r="C3753" s="2" t="s">
        <v>7732</v>
      </c>
      <c r="D3753" s="2"/>
      <c r="E3753" s="2" t="s">
        <v>52</v>
      </c>
      <c r="F3753" s="3" t="n">
        <v>1.3E-005</v>
      </c>
      <c r="G3753" s="3" t="n">
        <f aca="false">SUM($F$2:F3753)</f>
        <v>0.990978</v>
      </c>
      <c r="H3753" s="4"/>
      <c r="I3753" s="5"/>
      <c r="J3753" s="4"/>
      <c r="K3753" s="5"/>
      <c r="L3753" s="6"/>
      <c r="M3753" s="5" t="str">
        <f aca="false">IF(AND(N(K3753)&gt;0,N(L3753)&gt;0),K3753/L3753,"")</f>
        <v/>
      </c>
      <c r="N3753" s="2" t="s">
        <v>1226</v>
      </c>
    </row>
    <row r="3754" customFormat="false" ht="15" hidden="false" customHeight="false" outlineLevel="0" collapsed="false">
      <c r="A3754" s="2" t="n">
        <v>3753</v>
      </c>
      <c r="B3754" s="2" t="s">
        <v>7733</v>
      </c>
      <c r="C3754" s="2" t="s">
        <v>7734</v>
      </c>
      <c r="D3754" s="2"/>
      <c r="E3754" s="2" t="s">
        <v>539</v>
      </c>
      <c r="F3754" s="3" t="n">
        <v>1.3E-005</v>
      </c>
      <c r="G3754" s="3" t="n">
        <f aca="false">SUM($F$2:F3754)</f>
        <v>0.990991</v>
      </c>
      <c r="H3754" s="4"/>
      <c r="I3754" s="5"/>
      <c r="J3754" s="4"/>
      <c r="K3754" s="5"/>
      <c r="L3754" s="6"/>
      <c r="M3754" s="5" t="str">
        <f aca="false">IF(AND(N(K3754)&gt;0,N(L3754)&gt;0),K3754/L3754,"")</f>
        <v/>
      </c>
      <c r="N3754" s="2" t="s">
        <v>1226</v>
      </c>
    </row>
    <row r="3755" customFormat="false" ht="15" hidden="false" customHeight="false" outlineLevel="0" collapsed="false">
      <c r="A3755" s="2" t="n">
        <v>3754</v>
      </c>
      <c r="B3755" s="2" t="s">
        <v>7735</v>
      </c>
      <c r="C3755" s="2" t="s">
        <v>7736</v>
      </c>
      <c r="D3755" s="2"/>
      <c r="E3755" s="2" t="s">
        <v>296</v>
      </c>
      <c r="F3755" s="3" t="n">
        <v>1.3E-005</v>
      </c>
      <c r="G3755" s="3" t="n">
        <f aca="false">SUM($F$2:F3755)</f>
        <v>0.991004</v>
      </c>
      <c r="H3755" s="4"/>
      <c r="I3755" s="5"/>
      <c r="J3755" s="4"/>
      <c r="K3755" s="5"/>
      <c r="L3755" s="6"/>
      <c r="M3755" s="5" t="str">
        <f aca="false">IF(AND(N(K3755)&gt;0,N(L3755)&gt;0),K3755/L3755,"")</f>
        <v/>
      </c>
      <c r="N3755" s="2" t="s">
        <v>1226</v>
      </c>
    </row>
    <row r="3756" customFormat="false" ht="15" hidden="false" customHeight="false" outlineLevel="0" collapsed="false">
      <c r="A3756" s="2" t="n">
        <v>3755</v>
      </c>
      <c r="B3756" s="2" t="s">
        <v>7737</v>
      </c>
      <c r="C3756" s="2" t="s">
        <v>7738</v>
      </c>
      <c r="D3756" s="2"/>
      <c r="E3756" s="2" t="s">
        <v>1345</v>
      </c>
      <c r="F3756" s="3" t="n">
        <v>1.3E-005</v>
      </c>
      <c r="G3756" s="3" t="n">
        <f aca="false">SUM($F$2:F3756)</f>
        <v>0.991017</v>
      </c>
      <c r="H3756" s="4"/>
      <c r="I3756" s="5"/>
      <c r="J3756" s="4"/>
      <c r="K3756" s="5"/>
      <c r="L3756" s="6"/>
      <c r="M3756" s="5" t="str">
        <f aca="false">IF(AND(N(K3756)&gt;0,N(L3756)&gt;0),K3756/L3756,"")</f>
        <v/>
      </c>
      <c r="N3756" s="2" t="s">
        <v>1226</v>
      </c>
    </row>
    <row r="3757" customFormat="false" ht="15" hidden="false" customHeight="false" outlineLevel="0" collapsed="false">
      <c r="A3757" s="2" t="n">
        <v>3756</v>
      </c>
      <c r="B3757" s="2" t="s">
        <v>7739</v>
      </c>
      <c r="C3757" s="2" t="s">
        <v>7740</v>
      </c>
      <c r="D3757" s="2"/>
      <c r="E3757" s="2" t="s">
        <v>2763</v>
      </c>
      <c r="F3757" s="3" t="n">
        <v>1.3E-005</v>
      </c>
      <c r="G3757" s="3" t="n">
        <f aca="false">SUM($F$2:F3757)</f>
        <v>0.99103</v>
      </c>
      <c r="H3757" s="4"/>
      <c r="I3757" s="5"/>
      <c r="J3757" s="4"/>
      <c r="K3757" s="5"/>
      <c r="L3757" s="6"/>
      <c r="M3757" s="5" t="str">
        <f aca="false">IF(AND(N(K3757)&gt;0,N(L3757)&gt;0),K3757/L3757,"")</f>
        <v/>
      </c>
      <c r="N3757" s="2" t="s">
        <v>1226</v>
      </c>
    </row>
    <row r="3758" customFormat="false" ht="15" hidden="false" customHeight="false" outlineLevel="0" collapsed="false">
      <c r="A3758" s="2" t="n">
        <v>3757</v>
      </c>
      <c r="B3758" s="2" t="s">
        <v>7741</v>
      </c>
      <c r="C3758" s="2" t="s">
        <v>7742</v>
      </c>
      <c r="D3758" s="2"/>
      <c r="E3758" s="2" t="s">
        <v>199</v>
      </c>
      <c r="F3758" s="3" t="n">
        <v>1.3E-005</v>
      </c>
      <c r="G3758" s="3" t="n">
        <f aca="false">SUM($F$2:F3758)</f>
        <v>0.991043</v>
      </c>
      <c r="H3758" s="4"/>
      <c r="I3758" s="5"/>
      <c r="J3758" s="4"/>
      <c r="K3758" s="5"/>
      <c r="L3758" s="6"/>
      <c r="M3758" s="5" t="str">
        <f aca="false">IF(AND(N(K3758)&gt;0,N(L3758)&gt;0),K3758/L3758,"")</f>
        <v/>
      </c>
      <c r="N3758" s="2" t="s">
        <v>1226</v>
      </c>
    </row>
    <row r="3759" customFormat="false" ht="15" hidden="false" customHeight="false" outlineLevel="0" collapsed="false">
      <c r="A3759" s="2" t="n">
        <v>3758</v>
      </c>
      <c r="B3759" s="2" t="s">
        <v>7743</v>
      </c>
      <c r="C3759" s="2" t="s">
        <v>7744</v>
      </c>
      <c r="D3759" s="2"/>
      <c r="E3759" s="2" t="s">
        <v>1345</v>
      </c>
      <c r="F3759" s="3" t="n">
        <v>1.3E-005</v>
      </c>
      <c r="G3759" s="3" t="n">
        <f aca="false">SUM($F$2:F3759)</f>
        <v>0.991056</v>
      </c>
      <c r="H3759" s="4"/>
      <c r="I3759" s="5"/>
      <c r="J3759" s="4"/>
      <c r="K3759" s="5"/>
      <c r="L3759" s="6"/>
      <c r="M3759" s="5" t="str">
        <f aca="false">IF(AND(N(K3759)&gt;0,N(L3759)&gt;0),K3759/L3759,"")</f>
        <v/>
      </c>
      <c r="N3759" s="2" t="s">
        <v>1226</v>
      </c>
    </row>
    <row r="3760" customFormat="false" ht="15" hidden="false" customHeight="false" outlineLevel="0" collapsed="false">
      <c r="A3760" s="2" t="n">
        <v>3759</v>
      </c>
      <c r="B3760" s="2" t="s">
        <v>7745</v>
      </c>
      <c r="C3760" s="2" t="s">
        <v>7746</v>
      </c>
      <c r="D3760" s="2"/>
      <c r="E3760" s="2" t="s">
        <v>1345</v>
      </c>
      <c r="F3760" s="3" t="n">
        <v>1.3E-005</v>
      </c>
      <c r="G3760" s="3" t="n">
        <f aca="false">SUM($F$2:F3760)</f>
        <v>0.991069</v>
      </c>
      <c r="H3760" s="4"/>
      <c r="I3760" s="5"/>
      <c r="J3760" s="4"/>
      <c r="K3760" s="5"/>
      <c r="L3760" s="6"/>
      <c r="M3760" s="5" t="str">
        <f aca="false">IF(AND(N(K3760)&gt;0,N(L3760)&gt;0),K3760/L3760,"")</f>
        <v/>
      </c>
      <c r="N3760" s="2" t="s">
        <v>1226</v>
      </c>
    </row>
    <row r="3761" customFormat="false" ht="15" hidden="false" customHeight="false" outlineLevel="0" collapsed="false">
      <c r="A3761" s="2" t="n">
        <v>3760</v>
      </c>
      <c r="B3761" s="2" t="s">
        <v>7747</v>
      </c>
      <c r="C3761" s="2" t="s">
        <v>7748</v>
      </c>
      <c r="D3761" s="2"/>
      <c r="E3761" s="2" t="s">
        <v>289</v>
      </c>
      <c r="F3761" s="3" t="n">
        <v>1.3E-005</v>
      </c>
      <c r="G3761" s="3" t="n">
        <f aca="false">SUM($F$2:F3761)</f>
        <v>0.991082</v>
      </c>
      <c r="H3761" s="4"/>
      <c r="I3761" s="5"/>
      <c r="J3761" s="4"/>
      <c r="K3761" s="5"/>
      <c r="L3761" s="6"/>
      <c r="M3761" s="5" t="str">
        <f aca="false">IF(AND(N(K3761)&gt;0,N(L3761)&gt;0),K3761/L3761,"")</f>
        <v/>
      </c>
      <c r="N3761" s="2" t="s">
        <v>1226</v>
      </c>
    </row>
    <row r="3762" customFormat="false" ht="15" hidden="false" customHeight="false" outlineLevel="0" collapsed="false">
      <c r="A3762" s="2" t="n">
        <v>3761</v>
      </c>
      <c r="B3762" s="2" t="s">
        <v>7749</v>
      </c>
      <c r="C3762" s="2" t="s">
        <v>7750</v>
      </c>
      <c r="D3762" s="2"/>
      <c r="E3762" s="2" t="s">
        <v>1284</v>
      </c>
      <c r="F3762" s="3" t="n">
        <v>1.3E-005</v>
      </c>
      <c r="G3762" s="3" t="n">
        <f aca="false">SUM($F$2:F3762)</f>
        <v>0.991095</v>
      </c>
      <c r="H3762" s="4"/>
      <c r="I3762" s="5"/>
      <c r="J3762" s="4"/>
      <c r="K3762" s="5"/>
      <c r="L3762" s="6"/>
      <c r="M3762" s="5" t="str">
        <f aca="false">IF(AND(N(K3762)&gt;0,N(L3762)&gt;0),K3762/L3762,"")</f>
        <v/>
      </c>
      <c r="N3762" s="2" t="s">
        <v>1226</v>
      </c>
    </row>
    <row r="3763" customFormat="false" ht="15" hidden="false" customHeight="false" outlineLevel="0" collapsed="false">
      <c r="A3763" s="2" t="n">
        <v>3762</v>
      </c>
      <c r="B3763" s="2" t="s">
        <v>7751</v>
      </c>
      <c r="C3763" s="2" t="s">
        <v>7752</v>
      </c>
      <c r="D3763" s="2"/>
      <c r="E3763" s="2" t="s">
        <v>52</v>
      </c>
      <c r="F3763" s="3" t="n">
        <v>1.3E-005</v>
      </c>
      <c r="G3763" s="3" t="n">
        <f aca="false">SUM($F$2:F3763)</f>
        <v>0.991108</v>
      </c>
      <c r="H3763" s="4"/>
      <c r="I3763" s="5"/>
      <c r="J3763" s="4"/>
      <c r="K3763" s="5"/>
      <c r="L3763" s="6"/>
      <c r="M3763" s="5" t="str">
        <f aca="false">IF(AND(N(K3763)&gt;0,N(L3763)&gt;0),K3763/L3763,"")</f>
        <v/>
      </c>
      <c r="N3763" s="2" t="s">
        <v>1226</v>
      </c>
    </row>
    <row r="3764" customFormat="false" ht="15" hidden="false" customHeight="false" outlineLevel="0" collapsed="false">
      <c r="A3764" s="2" t="n">
        <v>3763</v>
      </c>
      <c r="B3764" s="2" t="s">
        <v>7753</v>
      </c>
      <c r="C3764" s="2" t="s">
        <v>7754</v>
      </c>
      <c r="D3764" s="2"/>
      <c r="E3764" s="2" t="s">
        <v>52</v>
      </c>
      <c r="F3764" s="3" t="n">
        <v>1.3E-005</v>
      </c>
      <c r="G3764" s="3" t="n">
        <f aca="false">SUM($F$2:F3764)</f>
        <v>0.991121</v>
      </c>
      <c r="H3764" s="4"/>
      <c r="I3764" s="5"/>
      <c r="J3764" s="4"/>
      <c r="K3764" s="5"/>
      <c r="L3764" s="6"/>
      <c r="M3764" s="5" t="str">
        <f aca="false">IF(AND(N(K3764)&gt;0,N(L3764)&gt;0),K3764/L3764,"")</f>
        <v/>
      </c>
      <c r="N3764" s="2" t="s">
        <v>1226</v>
      </c>
    </row>
    <row r="3765" customFormat="false" ht="15" hidden="false" customHeight="false" outlineLevel="0" collapsed="false">
      <c r="A3765" s="2" t="n">
        <v>3764</v>
      </c>
      <c r="B3765" s="2" t="s">
        <v>7755</v>
      </c>
      <c r="C3765" s="2" t="s">
        <v>7756</v>
      </c>
      <c r="D3765" s="2"/>
      <c r="E3765" s="2" t="s">
        <v>43</v>
      </c>
      <c r="F3765" s="3" t="n">
        <v>1.3E-005</v>
      </c>
      <c r="G3765" s="3" t="n">
        <f aca="false">SUM($F$2:F3765)</f>
        <v>0.991134</v>
      </c>
      <c r="H3765" s="4"/>
      <c r="I3765" s="5"/>
      <c r="J3765" s="4"/>
      <c r="K3765" s="5"/>
      <c r="L3765" s="6"/>
      <c r="M3765" s="5" t="str">
        <f aca="false">IF(AND(N(K3765)&gt;0,N(L3765)&gt;0),K3765/L3765,"")</f>
        <v/>
      </c>
      <c r="N3765" s="2" t="s">
        <v>1226</v>
      </c>
    </row>
    <row r="3766" customFormat="false" ht="15" hidden="false" customHeight="false" outlineLevel="0" collapsed="false">
      <c r="A3766" s="2" t="n">
        <v>3765</v>
      </c>
      <c r="B3766" s="2" t="s">
        <v>7757</v>
      </c>
      <c r="C3766" s="2" t="s">
        <v>7758</v>
      </c>
      <c r="D3766" s="2"/>
      <c r="E3766" s="2" t="s">
        <v>289</v>
      </c>
      <c r="F3766" s="3" t="n">
        <v>1.3E-005</v>
      </c>
      <c r="G3766" s="3" t="n">
        <f aca="false">SUM($F$2:F3766)</f>
        <v>0.991147</v>
      </c>
      <c r="H3766" s="4"/>
      <c r="I3766" s="5"/>
      <c r="J3766" s="4"/>
      <c r="K3766" s="5"/>
      <c r="L3766" s="6"/>
      <c r="M3766" s="5" t="str">
        <f aca="false">IF(AND(N(K3766)&gt;0,N(L3766)&gt;0),K3766/L3766,"")</f>
        <v/>
      </c>
      <c r="N3766" s="2" t="s">
        <v>1226</v>
      </c>
    </row>
    <row r="3767" customFormat="false" ht="15" hidden="false" customHeight="false" outlineLevel="0" collapsed="false">
      <c r="A3767" s="2" t="n">
        <v>3766</v>
      </c>
      <c r="B3767" s="2" t="s">
        <v>7759</v>
      </c>
      <c r="C3767" s="2" t="s">
        <v>7760</v>
      </c>
      <c r="D3767" s="2"/>
      <c r="E3767" s="2" t="s">
        <v>43</v>
      </c>
      <c r="F3767" s="3" t="n">
        <v>1.3E-005</v>
      </c>
      <c r="G3767" s="3" t="n">
        <f aca="false">SUM($F$2:F3767)</f>
        <v>0.99116</v>
      </c>
      <c r="H3767" s="4"/>
      <c r="I3767" s="5"/>
      <c r="J3767" s="4"/>
      <c r="K3767" s="5"/>
      <c r="L3767" s="6"/>
      <c r="M3767" s="5" t="str">
        <f aca="false">IF(AND(N(K3767)&gt;0,N(L3767)&gt;0),K3767/L3767,"")</f>
        <v/>
      </c>
      <c r="N3767" s="2" t="s">
        <v>1226</v>
      </c>
    </row>
    <row r="3768" customFormat="false" ht="15" hidden="false" customHeight="false" outlineLevel="0" collapsed="false">
      <c r="A3768" s="2" t="n">
        <v>3767</v>
      </c>
      <c r="B3768" s="2" t="s">
        <v>7761</v>
      </c>
      <c r="C3768" s="2" t="s">
        <v>7762</v>
      </c>
      <c r="D3768" s="2"/>
      <c r="E3768" s="2" t="s">
        <v>52</v>
      </c>
      <c r="F3768" s="3" t="n">
        <v>1.3E-005</v>
      </c>
      <c r="G3768" s="3" t="n">
        <f aca="false">SUM($F$2:F3768)</f>
        <v>0.991173</v>
      </c>
      <c r="H3768" s="4"/>
      <c r="I3768" s="5"/>
      <c r="J3768" s="4"/>
      <c r="K3768" s="5"/>
      <c r="L3768" s="6"/>
      <c r="M3768" s="5" t="str">
        <f aca="false">IF(AND(N(K3768)&gt;0,N(L3768)&gt;0),K3768/L3768,"")</f>
        <v/>
      </c>
      <c r="N3768" s="2" t="s">
        <v>1226</v>
      </c>
    </row>
    <row r="3769" customFormat="false" ht="15" hidden="false" customHeight="false" outlineLevel="0" collapsed="false">
      <c r="A3769" s="2" t="n">
        <v>3768</v>
      </c>
      <c r="B3769" s="2" t="s">
        <v>7763</v>
      </c>
      <c r="C3769" s="2" t="s">
        <v>7764</v>
      </c>
      <c r="D3769" s="2"/>
      <c r="E3769" s="2" t="s">
        <v>296</v>
      </c>
      <c r="F3769" s="3" t="n">
        <v>1.3E-005</v>
      </c>
      <c r="G3769" s="3" t="n">
        <f aca="false">SUM($F$2:F3769)</f>
        <v>0.991186</v>
      </c>
      <c r="H3769" s="4"/>
      <c r="I3769" s="5"/>
      <c r="J3769" s="4"/>
      <c r="K3769" s="5"/>
      <c r="L3769" s="6"/>
      <c r="M3769" s="5" t="str">
        <f aca="false">IF(AND(N(K3769)&gt;0,N(L3769)&gt;0),K3769/L3769,"")</f>
        <v/>
      </c>
      <c r="N3769" s="2" t="s">
        <v>1226</v>
      </c>
    </row>
    <row r="3770" customFormat="false" ht="15" hidden="false" customHeight="false" outlineLevel="0" collapsed="false">
      <c r="A3770" s="2" t="n">
        <v>3769</v>
      </c>
      <c r="B3770" s="2" t="s">
        <v>7765</v>
      </c>
      <c r="C3770" s="2" t="s">
        <v>7766</v>
      </c>
      <c r="D3770" s="2"/>
      <c r="E3770" s="2" t="s">
        <v>1345</v>
      </c>
      <c r="F3770" s="3" t="n">
        <v>1.3E-005</v>
      </c>
      <c r="G3770" s="3" t="n">
        <f aca="false">SUM($F$2:F3770)</f>
        <v>0.991199</v>
      </c>
      <c r="H3770" s="4"/>
      <c r="I3770" s="5"/>
      <c r="J3770" s="4"/>
      <c r="K3770" s="5"/>
      <c r="L3770" s="6"/>
      <c r="M3770" s="5" t="str">
        <f aca="false">IF(AND(N(K3770)&gt;0,N(L3770)&gt;0),K3770/L3770,"")</f>
        <v/>
      </c>
      <c r="N3770" s="2" t="s">
        <v>1226</v>
      </c>
    </row>
    <row r="3771" customFormat="false" ht="15" hidden="false" customHeight="false" outlineLevel="0" collapsed="false">
      <c r="A3771" s="2" t="n">
        <v>3770</v>
      </c>
      <c r="B3771" s="2" t="s">
        <v>7767</v>
      </c>
      <c r="C3771" s="2" t="s">
        <v>7768</v>
      </c>
      <c r="D3771" s="2"/>
      <c r="E3771" s="2" t="s">
        <v>1019</v>
      </c>
      <c r="F3771" s="3" t="n">
        <v>1.3E-005</v>
      </c>
      <c r="G3771" s="3" t="n">
        <f aca="false">SUM($F$2:F3771)</f>
        <v>0.991212</v>
      </c>
      <c r="H3771" s="4"/>
      <c r="I3771" s="5"/>
      <c r="J3771" s="4"/>
      <c r="K3771" s="5"/>
      <c r="L3771" s="6"/>
      <c r="M3771" s="5" t="str">
        <f aca="false">IF(AND(N(K3771)&gt;0,N(L3771)&gt;0),K3771/L3771,"")</f>
        <v/>
      </c>
      <c r="N3771" s="2" t="s">
        <v>1226</v>
      </c>
    </row>
    <row r="3772" customFormat="false" ht="15" hidden="false" customHeight="false" outlineLevel="0" collapsed="false">
      <c r="A3772" s="2" t="n">
        <v>3771</v>
      </c>
      <c r="B3772" s="2" t="s">
        <v>7769</v>
      </c>
      <c r="C3772" s="2" t="s">
        <v>7770</v>
      </c>
      <c r="D3772" s="2"/>
      <c r="E3772" s="2" t="s">
        <v>289</v>
      </c>
      <c r="F3772" s="3" t="n">
        <v>1.3E-005</v>
      </c>
      <c r="G3772" s="3" t="n">
        <f aca="false">SUM($F$2:F3772)</f>
        <v>0.991225</v>
      </c>
      <c r="H3772" s="4"/>
      <c r="I3772" s="5"/>
      <c r="J3772" s="4"/>
      <c r="K3772" s="5"/>
      <c r="L3772" s="6"/>
      <c r="M3772" s="5" t="str">
        <f aca="false">IF(AND(N(K3772)&gt;0,N(L3772)&gt;0),K3772/L3772,"")</f>
        <v/>
      </c>
      <c r="N3772" s="2" t="s">
        <v>1226</v>
      </c>
    </row>
    <row r="3773" customFormat="false" ht="15" hidden="false" customHeight="false" outlineLevel="0" collapsed="false">
      <c r="A3773" s="2" t="n">
        <v>3772</v>
      </c>
      <c r="B3773" s="2" t="s">
        <v>7771</v>
      </c>
      <c r="C3773" s="2" t="s">
        <v>7772</v>
      </c>
      <c r="D3773" s="2"/>
      <c r="E3773" s="2" t="s">
        <v>52</v>
      </c>
      <c r="F3773" s="3" t="n">
        <v>1.3E-005</v>
      </c>
      <c r="G3773" s="3" t="n">
        <f aca="false">SUM($F$2:F3773)</f>
        <v>0.991238</v>
      </c>
      <c r="H3773" s="4"/>
      <c r="I3773" s="5"/>
      <c r="J3773" s="4"/>
      <c r="K3773" s="5"/>
      <c r="L3773" s="6"/>
      <c r="M3773" s="5" t="str">
        <f aca="false">IF(AND(N(K3773)&gt;0,N(L3773)&gt;0),K3773/L3773,"")</f>
        <v/>
      </c>
      <c r="N3773" s="2" t="s">
        <v>1226</v>
      </c>
    </row>
    <row r="3774" customFormat="false" ht="15" hidden="false" customHeight="false" outlineLevel="0" collapsed="false">
      <c r="A3774" s="2" t="n">
        <v>3773</v>
      </c>
      <c r="B3774" s="2" t="s">
        <v>7773</v>
      </c>
      <c r="C3774" s="2" t="s">
        <v>7774</v>
      </c>
      <c r="D3774" s="2"/>
      <c r="E3774" s="2" t="s">
        <v>29</v>
      </c>
      <c r="F3774" s="3" t="n">
        <v>1.3E-005</v>
      </c>
      <c r="G3774" s="3" t="n">
        <f aca="false">SUM($F$2:F3774)</f>
        <v>0.991251</v>
      </c>
      <c r="H3774" s="4"/>
      <c r="I3774" s="5"/>
      <c r="J3774" s="4"/>
      <c r="K3774" s="5"/>
      <c r="L3774" s="6"/>
      <c r="M3774" s="5" t="str">
        <f aca="false">IF(AND(N(K3774)&gt;0,N(L3774)&gt;0),K3774/L3774,"")</f>
        <v/>
      </c>
      <c r="N3774" s="2" t="s">
        <v>1226</v>
      </c>
    </row>
    <row r="3775" customFormat="false" ht="15" hidden="false" customHeight="false" outlineLevel="0" collapsed="false">
      <c r="A3775" s="2" t="n">
        <v>3774</v>
      </c>
      <c r="B3775" s="2" t="s">
        <v>7775</v>
      </c>
      <c r="C3775" s="2" t="s">
        <v>7776</v>
      </c>
      <c r="D3775" s="2"/>
      <c r="E3775" s="2" t="s">
        <v>1345</v>
      </c>
      <c r="F3775" s="3" t="n">
        <v>1.3E-005</v>
      </c>
      <c r="G3775" s="3" t="n">
        <f aca="false">SUM($F$2:F3775)</f>
        <v>0.991264</v>
      </c>
      <c r="H3775" s="4"/>
      <c r="I3775" s="5"/>
      <c r="J3775" s="4"/>
      <c r="K3775" s="5"/>
      <c r="L3775" s="6"/>
      <c r="M3775" s="5" t="str">
        <f aca="false">IF(AND(N(K3775)&gt;0,N(L3775)&gt;0),K3775/L3775,"")</f>
        <v/>
      </c>
      <c r="N3775" s="2" t="s">
        <v>1226</v>
      </c>
    </row>
    <row r="3776" customFormat="false" ht="15" hidden="false" customHeight="false" outlineLevel="0" collapsed="false">
      <c r="A3776" s="2" t="n">
        <v>3775</v>
      </c>
      <c r="B3776" s="2" t="s">
        <v>7777</v>
      </c>
      <c r="C3776" s="2" t="s">
        <v>7778</v>
      </c>
      <c r="D3776" s="2"/>
      <c r="E3776" s="2" t="s">
        <v>29</v>
      </c>
      <c r="F3776" s="3" t="n">
        <v>1.3E-005</v>
      </c>
      <c r="G3776" s="3" t="n">
        <f aca="false">SUM($F$2:F3776)</f>
        <v>0.991277</v>
      </c>
      <c r="H3776" s="4"/>
      <c r="I3776" s="5"/>
      <c r="J3776" s="4"/>
      <c r="K3776" s="5"/>
      <c r="L3776" s="6"/>
      <c r="M3776" s="5" t="str">
        <f aca="false">IF(AND(N(K3776)&gt;0,N(L3776)&gt;0),K3776/L3776,"")</f>
        <v/>
      </c>
      <c r="N3776" s="2" t="s">
        <v>1226</v>
      </c>
    </row>
    <row r="3777" customFormat="false" ht="15" hidden="false" customHeight="false" outlineLevel="0" collapsed="false">
      <c r="A3777" s="2" t="n">
        <v>3776</v>
      </c>
      <c r="B3777" s="2" t="s">
        <v>7779</v>
      </c>
      <c r="C3777" s="2" t="s">
        <v>7780</v>
      </c>
      <c r="D3777" s="2"/>
      <c r="E3777" s="2" t="s">
        <v>539</v>
      </c>
      <c r="F3777" s="3" t="n">
        <v>1.3E-005</v>
      </c>
      <c r="G3777" s="3" t="n">
        <f aca="false">SUM($F$2:F3777)</f>
        <v>0.99129</v>
      </c>
      <c r="H3777" s="4"/>
      <c r="I3777" s="5"/>
      <c r="J3777" s="4"/>
      <c r="K3777" s="5"/>
      <c r="L3777" s="6"/>
      <c r="M3777" s="5" t="str">
        <f aca="false">IF(AND(N(K3777)&gt;0,N(L3777)&gt;0),K3777/L3777,"")</f>
        <v/>
      </c>
      <c r="N3777" s="2" t="s">
        <v>1226</v>
      </c>
    </row>
    <row r="3778" customFormat="false" ht="15" hidden="false" customHeight="false" outlineLevel="0" collapsed="false">
      <c r="A3778" s="2" t="n">
        <v>3777</v>
      </c>
      <c r="B3778" s="2" t="s">
        <v>7781</v>
      </c>
      <c r="C3778" s="2" t="s">
        <v>7782</v>
      </c>
      <c r="D3778" s="2"/>
      <c r="E3778" s="2" t="s">
        <v>289</v>
      </c>
      <c r="F3778" s="3" t="n">
        <v>1.3E-005</v>
      </c>
      <c r="G3778" s="3" t="n">
        <f aca="false">SUM($F$2:F3778)</f>
        <v>0.991303</v>
      </c>
      <c r="H3778" s="4"/>
      <c r="I3778" s="5"/>
      <c r="J3778" s="4"/>
      <c r="K3778" s="5"/>
      <c r="L3778" s="6"/>
      <c r="M3778" s="5" t="str">
        <f aca="false">IF(AND(N(K3778)&gt;0,N(L3778)&gt;0),K3778/L3778,"")</f>
        <v/>
      </c>
      <c r="N3778" s="2" t="s">
        <v>1226</v>
      </c>
    </row>
    <row r="3779" customFormat="false" ht="15" hidden="false" customHeight="false" outlineLevel="0" collapsed="false">
      <c r="A3779" s="2" t="n">
        <v>3778</v>
      </c>
      <c r="B3779" s="2" t="s">
        <v>7783</v>
      </c>
      <c r="C3779" s="2" t="s">
        <v>7784</v>
      </c>
      <c r="D3779" s="2"/>
      <c r="E3779" s="2" t="s">
        <v>539</v>
      </c>
      <c r="F3779" s="3" t="n">
        <v>1.3E-005</v>
      </c>
      <c r="G3779" s="3" t="n">
        <f aca="false">SUM($F$2:F3779)</f>
        <v>0.991316</v>
      </c>
      <c r="H3779" s="4"/>
      <c r="I3779" s="5"/>
      <c r="J3779" s="4"/>
      <c r="K3779" s="5"/>
      <c r="L3779" s="6"/>
      <c r="M3779" s="5" t="str">
        <f aca="false">IF(AND(N(K3779)&gt;0,N(L3779)&gt;0),K3779/L3779,"")</f>
        <v/>
      </c>
      <c r="N3779" s="2" t="s">
        <v>1226</v>
      </c>
    </row>
    <row r="3780" customFormat="false" ht="15" hidden="false" customHeight="false" outlineLevel="0" collapsed="false">
      <c r="A3780" s="2" t="n">
        <v>3779</v>
      </c>
      <c r="B3780" s="2" t="s">
        <v>7785</v>
      </c>
      <c r="C3780" s="2" t="s">
        <v>7786</v>
      </c>
      <c r="D3780" s="2"/>
      <c r="E3780" s="2" t="s">
        <v>43</v>
      </c>
      <c r="F3780" s="3" t="n">
        <v>1.3E-005</v>
      </c>
      <c r="G3780" s="3" t="n">
        <f aca="false">SUM($F$2:F3780)</f>
        <v>0.991329</v>
      </c>
      <c r="H3780" s="4"/>
      <c r="I3780" s="5"/>
      <c r="J3780" s="4"/>
      <c r="K3780" s="5"/>
      <c r="L3780" s="6"/>
      <c r="M3780" s="5" t="str">
        <f aca="false">IF(AND(N(K3780)&gt;0,N(L3780)&gt;0),K3780/L3780,"")</f>
        <v/>
      </c>
      <c r="N3780" s="2" t="s">
        <v>1226</v>
      </c>
    </row>
    <row r="3781" customFormat="false" ht="15" hidden="false" customHeight="false" outlineLevel="0" collapsed="false">
      <c r="A3781" s="2" t="n">
        <v>3780</v>
      </c>
      <c r="B3781" s="2" t="s">
        <v>7787</v>
      </c>
      <c r="C3781" s="2" t="s">
        <v>7788</v>
      </c>
      <c r="D3781" s="2"/>
      <c r="E3781" s="2" t="s">
        <v>289</v>
      </c>
      <c r="F3781" s="3" t="n">
        <v>1.3E-005</v>
      </c>
      <c r="G3781" s="3" t="n">
        <f aca="false">SUM($F$2:F3781)</f>
        <v>0.991342</v>
      </c>
      <c r="H3781" s="4"/>
      <c r="I3781" s="5"/>
      <c r="J3781" s="4"/>
      <c r="K3781" s="5"/>
      <c r="L3781" s="6"/>
      <c r="M3781" s="5" t="str">
        <f aca="false">IF(AND(N(K3781)&gt;0,N(L3781)&gt;0),K3781/L3781,"")</f>
        <v/>
      </c>
      <c r="N3781" s="2" t="s">
        <v>1226</v>
      </c>
    </row>
    <row r="3782" customFormat="false" ht="15" hidden="false" customHeight="false" outlineLevel="0" collapsed="false">
      <c r="A3782" s="2" t="n">
        <v>3781</v>
      </c>
      <c r="B3782" s="2" t="s">
        <v>7789</v>
      </c>
      <c r="C3782" s="2" t="s">
        <v>7790</v>
      </c>
      <c r="D3782" s="2"/>
      <c r="E3782" s="2" t="s">
        <v>43</v>
      </c>
      <c r="F3782" s="3" t="n">
        <v>1.3E-005</v>
      </c>
      <c r="G3782" s="3" t="n">
        <f aca="false">SUM($F$2:F3782)</f>
        <v>0.991355</v>
      </c>
      <c r="H3782" s="4"/>
      <c r="I3782" s="5"/>
      <c r="J3782" s="4"/>
      <c r="K3782" s="5"/>
      <c r="L3782" s="6"/>
      <c r="M3782" s="5" t="str">
        <f aca="false">IF(AND(N(K3782)&gt;0,N(L3782)&gt;0),K3782/L3782,"")</f>
        <v/>
      </c>
      <c r="N3782" s="2" t="s">
        <v>1226</v>
      </c>
    </row>
    <row r="3783" customFormat="false" ht="15" hidden="false" customHeight="false" outlineLevel="0" collapsed="false">
      <c r="A3783" s="2" t="n">
        <v>3782</v>
      </c>
      <c r="B3783" s="2" t="s">
        <v>7791</v>
      </c>
      <c r="C3783" s="2" t="s">
        <v>7792</v>
      </c>
      <c r="D3783" s="2"/>
      <c r="E3783" s="2" t="s">
        <v>17</v>
      </c>
      <c r="F3783" s="3" t="n">
        <v>1.3E-005</v>
      </c>
      <c r="G3783" s="3" t="n">
        <f aca="false">SUM($F$2:F3783)</f>
        <v>0.991368</v>
      </c>
      <c r="H3783" s="4"/>
      <c r="I3783" s="5"/>
      <c r="J3783" s="4"/>
      <c r="K3783" s="5"/>
      <c r="L3783" s="6"/>
      <c r="M3783" s="5" t="str">
        <f aca="false">IF(AND(N(K3783)&gt;0,N(L3783)&gt;0),K3783/L3783,"")</f>
        <v/>
      </c>
      <c r="N3783" s="2" t="s">
        <v>1226</v>
      </c>
    </row>
    <row r="3784" customFormat="false" ht="15" hidden="false" customHeight="false" outlineLevel="0" collapsed="false">
      <c r="A3784" s="2" t="n">
        <v>3783</v>
      </c>
      <c r="B3784" s="2" t="s">
        <v>7793</v>
      </c>
      <c r="C3784" s="2" t="s">
        <v>7794</v>
      </c>
      <c r="D3784" s="2"/>
      <c r="E3784" s="2" t="s">
        <v>17</v>
      </c>
      <c r="F3784" s="3" t="n">
        <v>1.3E-005</v>
      </c>
      <c r="G3784" s="3" t="n">
        <f aca="false">SUM($F$2:F3784)</f>
        <v>0.991381</v>
      </c>
      <c r="H3784" s="4"/>
      <c r="I3784" s="5"/>
      <c r="J3784" s="4"/>
      <c r="K3784" s="5"/>
      <c r="L3784" s="6"/>
      <c r="M3784" s="5" t="str">
        <f aca="false">IF(AND(N(K3784)&gt;0,N(L3784)&gt;0),K3784/L3784,"")</f>
        <v/>
      </c>
      <c r="N3784" s="2" t="s">
        <v>1226</v>
      </c>
    </row>
    <row r="3785" customFormat="false" ht="15" hidden="false" customHeight="false" outlineLevel="0" collapsed="false">
      <c r="A3785" s="2" t="n">
        <v>3784</v>
      </c>
      <c r="B3785" s="2" t="s">
        <v>7795</v>
      </c>
      <c r="C3785" s="2" t="s">
        <v>7796</v>
      </c>
      <c r="D3785" s="2"/>
      <c r="E3785" s="2" t="s">
        <v>173</v>
      </c>
      <c r="F3785" s="3" t="n">
        <v>1.3E-005</v>
      </c>
      <c r="G3785" s="3" t="n">
        <f aca="false">SUM($F$2:F3785)</f>
        <v>0.991394</v>
      </c>
      <c r="H3785" s="4"/>
      <c r="I3785" s="5"/>
      <c r="J3785" s="4"/>
      <c r="K3785" s="5"/>
      <c r="L3785" s="6"/>
      <c r="M3785" s="5" t="str">
        <f aca="false">IF(AND(N(K3785)&gt;0,N(L3785)&gt;0),K3785/L3785,"")</f>
        <v/>
      </c>
      <c r="N3785" s="2" t="s">
        <v>1226</v>
      </c>
    </row>
    <row r="3786" customFormat="false" ht="15" hidden="false" customHeight="false" outlineLevel="0" collapsed="false">
      <c r="A3786" s="2" t="n">
        <v>3785</v>
      </c>
      <c r="B3786" s="2" t="s">
        <v>7797</v>
      </c>
      <c r="C3786" s="2" t="s">
        <v>7798</v>
      </c>
      <c r="D3786" s="2"/>
      <c r="E3786" s="2" t="s">
        <v>1345</v>
      </c>
      <c r="F3786" s="3" t="n">
        <v>1.3E-005</v>
      </c>
      <c r="G3786" s="3" t="n">
        <f aca="false">SUM($F$2:F3786)</f>
        <v>0.991407</v>
      </c>
      <c r="H3786" s="4"/>
      <c r="I3786" s="5"/>
      <c r="J3786" s="4"/>
      <c r="K3786" s="5"/>
      <c r="L3786" s="6"/>
      <c r="M3786" s="5" t="str">
        <f aca="false">IF(AND(N(K3786)&gt;0,N(L3786)&gt;0),K3786/L3786,"")</f>
        <v/>
      </c>
      <c r="N3786" s="2" t="s">
        <v>1226</v>
      </c>
    </row>
    <row r="3787" customFormat="false" ht="15" hidden="false" customHeight="false" outlineLevel="0" collapsed="false">
      <c r="A3787" s="2" t="n">
        <v>3786</v>
      </c>
      <c r="B3787" s="2" t="s">
        <v>7799</v>
      </c>
      <c r="C3787" s="2" t="s">
        <v>7800</v>
      </c>
      <c r="D3787" s="2"/>
      <c r="E3787" s="2" t="s">
        <v>1345</v>
      </c>
      <c r="F3787" s="3" t="n">
        <v>1.3E-005</v>
      </c>
      <c r="G3787" s="3" t="n">
        <f aca="false">SUM($F$2:F3787)</f>
        <v>0.99142</v>
      </c>
      <c r="H3787" s="4"/>
      <c r="I3787" s="5"/>
      <c r="J3787" s="4"/>
      <c r="K3787" s="5"/>
      <c r="L3787" s="6"/>
      <c r="M3787" s="5" t="str">
        <f aca="false">IF(AND(N(K3787)&gt;0,N(L3787)&gt;0),K3787/L3787,"")</f>
        <v/>
      </c>
      <c r="N3787" s="2" t="s">
        <v>1226</v>
      </c>
    </row>
    <row r="3788" customFormat="false" ht="15" hidden="false" customHeight="false" outlineLevel="0" collapsed="false">
      <c r="A3788" s="2" t="n">
        <v>3787</v>
      </c>
      <c r="B3788" s="2" t="s">
        <v>1573</v>
      </c>
      <c r="C3788" s="2" t="s">
        <v>7801</v>
      </c>
      <c r="D3788" s="2"/>
      <c r="E3788" s="2" t="s">
        <v>2763</v>
      </c>
      <c r="F3788" s="3" t="n">
        <v>1.3E-005</v>
      </c>
      <c r="G3788" s="3" t="n">
        <f aca="false">SUM($F$2:F3788)</f>
        <v>0.991433</v>
      </c>
      <c r="H3788" s="4"/>
      <c r="I3788" s="5"/>
      <c r="J3788" s="4"/>
      <c r="K3788" s="5"/>
      <c r="L3788" s="6"/>
      <c r="M3788" s="5" t="str">
        <f aca="false">IF(AND(N(K3788)&gt;0,N(L3788)&gt;0),K3788/L3788,"")</f>
        <v/>
      </c>
      <c r="N3788" s="2" t="s">
        <v>1226</v>
      </c>
    </row>
    <row r="3789" customFormat="false" ht="15" hidden="false" customHeight="false" outlineLevel="0" collapsed="false">
      <c r="A3789" s="2" t="n">
        <v>3788</v>
      </c>
      <c r="B3789" s="2" t="s">
        <v>7802</v>
      </c>
      <c r="C3789" s="2" t="s">
        <v>7803</v>
      </c>
      <c r="D3789" s="2"/>
      <c r="E3789" s="2" t="s">
        <v>52</v>
      </c>
      <c r="F3789" s="3" t="n">
        <v>1.2E-005</v>
      </c>
      <c r="G3789" s="3" t="n">
        <f aca="false">SUM($F$2:F3789)</f>
        <v>0.991445</v>
      </c>
      <c r="H3789" s="4"/>
      <c r="I3789" s="5"/>
      <c r="J3789" s="4"/>
      <c r="K3789" s="5"/>
      <c r="L3789" s="6"/>
      <c r="M3789" s="5" t="str">
        <f aca="false">IF(AND(N(K3789)&gt;0,N(L3789)&gt;0),K3789/L3789,"")</f>
        <v/>
      </c>
      <c r="N3789" s="2" t="s">
        <v>1226</v>
      </c>
    </row>
    <row r="3790" customFormat="false" ht="15" hidden="false" customHeight="false" outlineLevel="0" collapsed="false">
      <c r="A3790" s="2" t="n">
        <v>3789</v>
      </c>
      <c r="B3790" s="2" t="s">
        <v>7804</v>
      </c>
      <c r="C3790" s="2" t="s">
        <v>7805</v>
      </c>
      <c r="D3790" s="2"/>
      <c r="E3790" s="2" t="s">
        <v>52</v>
      </c>
      <c r="F3790" s="3" t="n">
        <v>1.2E-005</v>
      </c>
      <c r="G3790" s="3" t="n">
        <f aca="false">SUM($F$2:F3790)</f>
        <v>0.991457</v>
      </c>
      <c r="H3790" s="4"/>
      <c r="I3790" s="5"/>
      <c r="J3790" s="4"/>
      <c r="K3790" s="5"/>
      <c r="L3790" s="6"/>
      <c r="M3790" s="5" t="str">
        <f aca="false">IF(AND(N(K3790)&gt;0,N(L3790)&gt;0),K3790/L3790,"")</f>
        <v/>
      </c>
      <c r="N3790" s="2" t="s">
        <v>1226</v>
      </c>
    </row>
    <row r="3791" customFormat="false" ht="15" hidden="false" customHeight="false" outlineLevel="0" collapsed="false">
      <c r="A3791" s="2" t="n">
        <v>3790</v>
      </c>
      <c r="B3791" s="2" t="s">
        <v>7806</v>
      </c>
      <c r="C3791" s="2" t="s">
        <v>7807</v>
      </c>
      <c r="D3791" s="2"/>
      <c r="E3791" s="2" t="s">
        <v>29</v>
      </c>
      <c r="F3791" s="3" t="n">
        <v>1.2E-005</v>
      </c>
      <c r="G3791" s="3" t="n">
        <f aca="false">SUM($F$2:F3791)</f>
        <v>0.991469</v>
      </c>
      <c r="H3791" s="4"/>
      <c r="I3791" s="5"/>
      <c r="J3791" s="4"/>
      <c r="K3791" s="5"/>
      <c r="L3791" s="6"/>
      <c r="M3791" s="5" t="str">
        <f aca="false">IF(AND(N(K3791)&gt;0,N(L3791)&gt;0),K3791/L3791,"")</f>
        <v/>
      </c>
      <c r="N3791" s="2" t="s">
        <v>1226</v>
      </c>
    </row>
    <row r="3792" customFormat="false" ht="15" hidden="false" customHeight="false" outlineLevel="0" collapsed="false">
      <c r="A3792" s="2" t="n">
        <v>3791</v>
      </c>
      <c r="B3792" s="2" t="s">
        <v>7808</v>
      </c>
      <c r="C3792" s="2" t="s">
        <v>7809</v>
      </c>
      <c r="D3792" s="2"/>
      <c r="E3792" s="2" t="s">
        <v>38</v>
      </c>
      <c r="F3792" s="3" t="n">
        <v>1.2E-005</v>
      </c>
      <c r="G3792" s="3" t="n">
        <f aca="false">SUM($F$2:F3792)</f>
        <v>0.991481</v>
      </c>
      <c r="H3792" s="4"/>
      <c r="I3792" s="5"/>
      <c r="J3792" s="4"/>
      <c r="K3792" s="5"/>
      <c r="L3792" s="6"/>
      <c r="M3792" s="5" t="str">
        <f aca="false">IF(AND(N(K3792)&gt;0,N(L3792)&gt;0),K3792/L3792,"")</f>
        <v/>
      </c>
      <c r="N3792" s="2" t="s">
        <v>1226</v>
      </c>
    </row>
    <row r="3793" customFormat="false" ht="15" hidden="false" customHeight="false" outlineLevel="0" collapsed="false">
      <c r="A3793" s="2" t="n">
        <v>3792</v>
      </c>
      <c r="B3793" s="2" t="s">
        <v>7810</v>
      </c>
      <c r="C3793" s="2" t="s">
        <v>7811</v>
      </c>
      <c r="D3793" s="2"/>
      <c r="E3793" s="2" t="s">
        <v>43</v>
      </c>
      <c r="F3793" s="3" t="n">
        <v>1.2E-005</v>
      </c>
      <c r="G3793" s="3" t="n">
        <f aca="false">SUM($F$2:F3793)</f>
        <v>0.991493</v>
      </c>
      <c r="H3793" s="4"/>
      <c r="I3793" s="5"/>
      <c r="J3793" s="4"/>
      <c r="K3793" s="5"/>
      <c r="L3793" s="6"/>
      <c r="M3793" s="5" t="str">
        <f aca="false">IF(AND(N(K3793)&gt;0,N(L3793)&gt;0),K3793/L3793,"")</f>
        <v/>
      </c>
      <c r="N3793" s="2" t="s">
        <v>1226</v>
      </c>
    </row>
    <row r="3794" customFormat="false" ht="15" hidden="false" customHeight="false" outlineLevel="0" collapsed="false">
      <c r="A3794" s="2" t="n">
        <v>3793</v>
      </c>
      <c r="B3794" s="2" t="s">
        <v>7812</v>
      </c>
      <c r="C3794" s="2" t="s">
        <v>7813</v>
      </c>
      <c r="D3794" s="2"/>
      <c r="E3794" s="2" t="s">
        <v>17</v>
      </c>
      <c r="F3794" s="3" t="n">
        <v>1.2E-005</v>
      </c>
      <c r="G3794" s="3" t="n">
        <f aca="false">SUM($F$2:F3794)</f>
        <v>0.991505</v>
      </c>
      <c r="H3794" s="4"/>
      <c r="I3794" s="5"/>
      <c r="J3794" s="4"/>
      <c r="K3794" s="5"/>
      <c r="L3794" s="6"/>
      <c r="M3794" s="5" t="str">
        <f aca="false">IF(AND(N(K3794)&gt;0,N(L3794)&gt;0),K3794/L3794,"")</f>
        <v/>
      </c>
      <c r="N3794" s="2" t="s">
        <v>1226</v>
      </c>
    </row>
    <row r="3795" customFormat="false" ht="15" hidden="false" customHeight="false" outlineLevel="0" collapsed="false">
      <c r="A3795" s="2" t="n">
        <v>3794</v>
      </c>
      <c r="B3795" s="2" t="s">
        <v>7814</v>
      </c>
      <c r="C3795" s="2" t="s">
        <v>7815</v>
      </c>
      <c r="D3795" s="2"/>
      <c r="E3795" s="2" t="s">
        <v>289</v>
      </c>
      <c r="F3795" s="3" t="n">
        <v>1.2E-005</v>
      </c>
      <c r="G3795" s="3" t="n">
        <f aca="false">SUM($F$2:F3795)</f>
        <v>0.991517</v>
      </c>
      <c r="H3795" s="4"/>
      <c r="I3795" s="5"/>
      <c r="J3795" s="4"/>
      <c r="K3795" s="5"/>
      <c r="L3795" s="6"/>
      <c r="M3795" s="5" t="str">
        <f aca="false">IF(AND(N(K3795)&gt;0,N(L3795)&gt;0),K3795/L3795,"")</f>
        <v/>
      </c>
      <c r="N3795" s="2" t="s">
        <v>1226</v>
      </c>
    </row>
    <row r="3796" customFormat="false" ht="15" hidden="false" customHeight="false" outlineLevel="0" collapsed="false">
      <c r="A3796" s="2" t="n">
        <v>3795</v>
      </c>
      <c r="B3796" s="2" t="s">
        <v>7816</v>
      </c>
      <c r="C3796" s="2" t="s">
        <v>7817</v>
      </c>
      <c r="D3796" s="2"/>
      <c r="E3796" s="2" t="s">
        <v>296</v>
      </c>
      <c r="F3796" s="3" t="n">
        <v>1.2E-005</v>
      </c>
      <c r="G3796" s="3" t="n">
        <f aca="false">SUM($F$2:F3796)</f>
        <v>0.991529</v>
      </c>
      <c r="H3796" s="4"/>
      <c r="I3796" s="5"/>
      <c r="J3796" s="4"/>
      <c r="K3796" s="5"/>
      <c r="L3796" s="6"/>
      <c r="M3796" s="5" t="str">
        <f aca="false">IF(AND(N(K3796)&gt;0,N(L3796)&gt;0),K3796/L3796,"")</f>
        <v/>
      </c>
      <c r="N3796" s="2" t="s">
        <v>1226</v>
      </c>
    </row>
    <row r="3797" customFormat="false" ht="15" hidden="false" customHeight="false" outlineLevel="0" collapsed="false">
      <c r="A3797" s="2" t="n">
        <v>3796</v>
      </c>
      <c r="B3797" s="2" t="s">
        <v>7818</v>
      </c>
      <c r="C3797" s="2" t="s">
        <v>7819</v>
      </c>
      <c r="D3797" s="2"/>
      <c r="E3797" s="2" t="s">
        <v>1345</v>
      </c>
      <c r="F3797" s="3" t="n">
        <v>1.2E-005</v>
      </c>
      <c r="G3797" s="3" t="n">
        <f aca="false">SUM($F$2:F3797)</f>
        <v>0.991541</v>
      </c>
      <c r="H3797" s="4"/>
      <c r="I3797" s="5"/>
      <c r="J3797" s="4"/>
      <c r="K3797" s="5"/>
      <c r="L3797" s="6"/>
      <c r="M3797" s="5" t="str">
        <f aca="false">IF(AND(N(K3797)&gt;0,N(L3797)&gt;0),K3797/L3797,"")</f>
        <v/>
      </c>
      <c r="N3797" s="2" t="s">
        <v>1226</v>
      </c>
    </row>
    <row r="3798" customFormat="false" ht="15" hidden="false" customHeight="false" outlineLevel="0" collapsed="false">
      <c r="A3798" s="2" t="n">
        <v>3797</v>
      </c>
      <c r="B3798" s="2" t="s">
        <v>7820</v>
      </c>
      <c r="C3798" s="2" t="s">
        <v>7821</v>
      </c>
      <c r="D3798" s="2"/>
      <c r="E3798" s="2" t="s">
        <v>1284</v>
      </c>
      <c r="F3798" s="3" t="n">
        <v>1.2E-005</v>
      </c>
      <c r="G3798" s="3" t="n">
        <f aca="false">SUM($F$2:F3798)</f>
        <v>0.991553</v>
      </c>
      <c r="H3798" s="4"/>
      <c r="I3798" s="5"/>
      <c r="J3798" s="4"/>
      <c r="K3798" s="5"/>
      <c r="L3798" s="6"/>
      <c r="M3798" s="5" t="str">
        <f aca="false">IF(AND(N(K3798)&gt;0,N(L3798)&gt;0),K3798/L3798,"")</f>
        <v/>
      </c>
      <c r="N3798" s="2" t="s">
        <v>1226</v>
      </c>
    </row>
    <row r="3799" customFormat="false" ht="15" hidden="false" customHeight="false" outlineLevel="0" collapsed="false">
      <c r="A3799" s="2" t="n">
        <v>3798</v>
      </c>
      <c r="B3799" s="2" t="s">
        <v>7822</v>
      </c>
      <c r="C3799" s="2" t="s">
        <v>7823</v>
      </c>
      <c r="D3799" s="2"/>
      <c r="E3799" s="2" t="s">
        <v>1345</v>
      </c>
      <c r="F3799" s="3" t="n">
        <v>1.2E-005</v>
      </c>
      <c r="G3799" s="3" t="n">
        <f aca="false">SUM($F$2:F3799)</f>
        <v>0.991565</v>
      </c>
      <c r="H3799" s="4"/>
      <c r="I3799" s="5"/>
      <c r="J3799" s="4"/>
      <c r="K3799" s="5"/>
      <c r="L3799" s="6"/>
      <c r="M3799" s="5" t="str">
        <f aca="false">IF(AND(N(K3799)&gt;0,N(L3799)&gt;0),K3799/L3799,"")</f>
        <v/>
      </c>
      <c r="N3799" s="2" t="s">
        <v>1226</v>
      </c>
    </row>
    <row r="3800" customFormat="false" ht="15" hidden="false" customHeight="false" outlineLevel="0" collapsed="false">
      <c r="A3800" s="2" t="n">
        <v>3799</v>
      </c>
      <c r="B3800" s="2" t="s">
        <v>7824</v>
      </c>
      <c r="C3800" s="2" t="s">
        <v>7825</v>
      </c>
      <c r="D3800" s="2"/>
      <c r="E3800" s="2" t="s">
        <v>2055</v>
      </c>
      <c r="F3800" s="3" t="n">
        <v>1.2E-005</v>
      </c>
      <c r="G3800" s="3" t="n">
        <f aca="false">SUM($F$2:F3800)</f>
        <v>0.991577</v>
      </c>
      <c r="H3800" s="4"/>
      <c r="I3800" s="5"/>
      <c r="J3800" s="4"/>
      <c r="K3800" s="5"/>
      <c r="L3800" s="6"/>
      <c r="M3800" s="5" t="str">
        <f aca="false">IF(AND(N(K3800)&gt;0,N(L3800)&gt;0),K3800/L3800,"")</f>
        <v/>
      </c>
      <c r="N3800" s="2" t="s">
        <v>1226</v>
      </c>
    </row>
    <row r="3801" customFormat="false" ht="15" hidden="false" customHeight="false" outlineLevel="0" collapsed="false">
      <c r="A3801" s="2" t="n">
        <v>3800</v>
      </c>
      <c r="B3801" s="2" t="s">
        <v>7826</v>
      </c>
      <c r="C3801" s="2" t="s">
        <v>7827</v>
      </c>
      <c r="D3801" s="2"/>
      <c r="E3801" s="2" t="s">
        <v>539</v>
      </c>
      <c r="F3801" s="3" t="n">
        <v>1.2E-005</v>
      </c>
      <c r="G3801" s="3" t="n">
        <f aca="false">SUM($F$2:F3801)</f>
        <v>0.991589</v>
      </c>
      <c r="H3801" s="4"/>
      <c r="I3801" s="5"/>
      <c r="J3801" s="4"/>
      <c r="K3801" s="5"/>
      <c r="L3801" s="6"/>
      <c r="M3801" s="5" t="str">
        <f aca="false">IF(AND(N(K3801)&gt;0,N(L3801)&gt;0),K3801/L3801,"")</f>
        <v/>
      </c>
      <c r="N3801" s="2" t="s">
        <v>1226</v>
      </c>
    </row>
    <row r="3802" customFormat="false" ht="15" hidden="false" customHeight="false" outlineLevel="0" collapsed="false">
      <c r="A3802" s="2" t="n">
        <v>3801</v>
      </c>
      <c r="B3802" s="2" t="s">
        <v>7828</v>
      </c>
      <c r="C3802" s="2" t="s">
        <v>7829</v>
      </c>
      <c r="D3802" s="2"/>
      <c r="E3802" s="2" t="s">
        <v>289</v>
      </c>
      <c r="F3802" s="3" t="n">
        <v>1.2E-005</v>
      </c>
      <c r="G3802" s="3" t="n">
        <f aca="false">SUM($F$2:F3802)</f>
        <v>0.991601</v>
      </c>
      <c r="H3802" s="4"/>
      <c r="I3802" s="5"/>
      <c r="J3802" s="4"/>
      <c r="K3802" s="5"/>
      <c r="L3802" s="6"/>
      <c r="M3802" s="5" t="str">
        <f aca="false">IF(AND(N(K3802)&gt;0,N(L3802)&gt;0),K3802/L3802,"")</f>
        <v/>
      </c>
      <c r="N3802" s="2" t="s">
        <v>1226</v>
      </c>
    </row>
    <row r="3803" customFormat="false" ht="15" hidden="false" customHeight="false" outlineLevel="0" collapsed="false">
      <c r="A3803" s="2" t="n">
        <v>3802</v>
      </c>
      <c r="B3803" s="2" t="s">
        <v>7830</v>
      </c>
      <c r="C3803" s="2" t="s">
        <v>7831</v>
      </c>
      <c r="D3803" s="2"/>
      <c r="E3803" s="2" t="s">
        <v>25</v>
      </c>
      <c r="F3803" s="3" t="n">
        <v>1.2E-005</v>
      </c>
      <c r="G3803" s="3" t="n">
        <f aca="false">SUM($F$2:F3803)</f>
        <v>0.991613</v>
      </c>
      <c r="H3803" s="4"/>
      <c r="I3803" s="5"/>
      <c r="J3803" s="4"/>
      <c r="K3803" s="5"/>
      <c r="L3803" s="6"/>
      <c r="M3803" s="5" t="str">
        <f aca="false">IF(AND(N(K3803)&gt;0,N(L3803)&gt;0),K3803/L3803,"")</f>
        <v/>
      </c>
      <c r="N3803" s="2" t="s">
        <v>1226</v>
      </c>
    </row>
    <row r="3804" customFormat="false" ht="15" hidden="false" customHeight="false" outlineLevel="0" collapsed="false">
      <c r="A3804" s="2" t="n">
        <v>3803</v>
      </c>
      <c r="B3804" s="2" t="s">
        <v>7832</v>
      </c>
      <c r="C3804" s="2" t="s">
        <v>7833</v>
      </c>
      <c r="D3804" s="2"/>
      <c r="E3804" s="2" t="s">
        <v>1345</v>
      </c>
      <c r="F3804" s="3" t="n">
        <v>1.2E-005</v>
      </c>
      <c r="G3804" s="3" t="n">
        <f aca="false">SUM($F$2:F3804)</f>
        <v>0.991625</v>
      </c>
      <c r="H3804" s="4"/>
      <c r="I3804" s="5"/>
      <c r="J3804" s="4"/>
      <c r="K3804" s="5"/>
      <c r="L3804" s="6"/>
      <c r="M3804" s="5" t="str">
        <f aca="false">IF(AND(N(K3804)&gt;0,N(L3804)&gt;0),K3804/L3804,"")</f>
        <v/>
      </c>
      <c r="N3804" s="2" t="s">
        <v>1226</v>
      </c>
    </row>
    <row r="3805" customFormat="false" ht="15" hidden="false" customHeight="false" outlineLevel="0" collapsed="false">
      <c r="A3805" s="2" t="n">
        <v>3804</v>
      </c>
      <c r="B3805" s="2" t="s">
        <v>7834</v>
      </c>
      <c r="C3805" s="2" t="s">
        <v>7835</v>
      </c>
      <c r="D3805" s="2"/>
      <c r="E3805" s="2" t="s">
        <v>1345</v>
      </c>
      <c r="F3805" s="3" t="n">
        <v>1.2E-005</v>
      </c>
      <c r="G3805" s="3" t="n">
        <f aca="false">SUM($F$2:F3805)</f>
        <v>0.991637</v>
      </c>
      <c r="H3805" s="4"/>
      <c r="I3805" s="5"/>
      <c r="J3805" s="4"/>
      <c r="K3805" s="5"/>
      <c r="L3805" s="6"/>
      <c r="M3805" s="5" t="str">
        <f aca="false">IF(AND(N(K3805)&gt;0,N(L3805)&gt;0),K3805/L3805,"")</f>
        <v/>
      </c>
      <c r="N3805" s="2" t="s">
        <v>1226</v>
      </c>
    </row>
    <row r="3806" customFormat="false" ht="15" hidden="false" customHeight="false" outlineLevel="0" collapsed="false">
      <c r="A3806" s="2" t="n">
        <v>3805</v>
      </c>
      <c r="B3806" s="2" t="s">
        <v>7836</v>
      </c>
      <c r="C3806" s="2" t="s">
        <v>7837</v>
      </c>
      <c r="D3806" s="2"/>
      <c r="E3806" s="2" t="s">
        <v>17</v>
      </c>
      <c r="F3806" s="3" t="n">
        <v>1.2E-005</v>
      </c>
      <c r="G3806" s="3" t="n">
        <f aca="false">SUM($F$2:F3806)</f>
        <v>0.991649</v>
      </c>
      <c r="H3806" s="4"/>
      <c r="I3806" s="5"/>
      <c r="J3806" s="4"/>
      <c r="K3806" s="5"/>
      <c r="L3806" s="6"/>
      <c r="M3806" s="5" t="str">
        <f aca="false">IF(AND(N(K3806)&gt;0,N(L3806)&gt;0),K3806/L3806,"")</f>
        <v/>
      </c>
      <c r="N3806" s="2" t="s">
        <v>1226</v>
      </c>
    </row>
    <row r="3807" customFormat="false" ht="15" hidden="false" customHeight="false" outlineLevel="0" collapsed="false">
      <c r="A3807" s="2" t="n">
        <v>3806</v>
      </c>
      <c r="B3807" s="2" t="s">
        <v>7838</v>
      </c>
      <c r="C3807" s="2" t="s">
        <v>7839</v>
      </c>
      <c r="D3807" s="2"/>
      <c r="E3807" s="2" t="s">
        <v>17</v>
      </c>
      <c r="F3807" s="3" t="n">
        <v>1.2E-005</v>
      </c>
      <c r="G3807" s="3" t="n">
        <f aca="false">SUM($F$2:F3807)</f>
        <v>0.991661</v>
      </c>
      <c r="H3807" s="4"/>
      <c r="I3807" s="5"/>
      <c r="J3807" s="4"/>
      <c r="K3807" s="5"/>
      <c r="L3807" s="6"/>
      <c r="M3807" s="5" t="str">
        <f aca="false">IF(AND(N(K3807)&gt;0,N(L3807)&gt;0),K3807/L3807,"")</f>
        <v/>
      </c>
      <c r="N3807" s="2" t="s">
        <v>1226</v>
      </c>
    </row>
    <row r="3808" customFormat="false" ht="15" hidden="false" customHeight="false" outlineLevel="0" collapsed="false">
      <c r="A3808" s="2" t="n">
        <v>3807</v>
      </c>
      <c r="B3808" s="2" t="s">
        <v>7840</v>
      </c>
      <c r="C3808" s="2" t="s">
        <v>7841</v>
      </c>
      <c r="D3808" s="2"/>
      <c r="E3808" s="2" t="s">
        <v>289</v>
      </c>
      <c r="F3808" s="3" t="n">
        <v>1.2E-005</v>
      </c>
      <c r="G3808" s="3" t="n">
        <f aca="false">SUM($F$2:F3808)</f>
        <v>0.991673</v>
      </c>
      <c r="H3808" s="4"/>
      <c r="I3808" s="5"/>
      <c r="J3808" s="4"/>
      <c r="K3808" s="5"/>
      <c r="L3808" s="6"/>
      <c r="M3808" s="5" t="str">
        <f aca="false">IF(AND(N(K3808)&gt;0,N(L3808)&gt;0),K3808/L3808,"")</f>
        <v/>
      </c>
      <c r="N3808" s="2" t="s">
        <v>1226</v>
      </c>
    </row>
    <row r="3809" customFormat="false" ht="15" hidden="false" customHeight="false" outlineLevel="0" collapsed="false">
      <c r="A3809" s="2" t="n">
        <v>3808</v>
      </c>
      <c r="B3809" s="2" t="s">
        <v>7842</v>
      </c>
      <c r="C3809" s="2" t="s">
        <v>7843</v>
      </c>
      <c r="D3809" s="2"/>
      <c r="E3809" s="2" t="s">
        <v>289</v>
      </c>
      <c r="F3809" s="3" t="n">
        <v>1.2E-005</v>
      </c>
      <c r="G3809" s="3" t="n">
        <f aca="false">SUM($F$2:F3809)</f>
        <v>0.991685</v>
      </c>
      <c r="H3809" s="4"/>
      <c r="I3809" s="5"/>
      <c r="J3809" s="4"/>
      <c r="K3809" s="5"/>
      <c r="L3809" s="6"/>
      <c r="M3809" s="5" t="str">
        <f aca="false">IF(AND(N(K3809)&gt;0,N(L3809)&gt;0),K3809/L3809,"")</f>
        <v/>
      </c>
      <c r="N3809" s="2" t="s">
        <v>1226</v>
      </c>
    </row>
    <row r="3810" customFormat="false" ht="15" hidden="false" customHeight="false" outlineLevel="0" collapsed="false">
      <c r="A3810" s="2" t="n">
        <v>3809</v>
      </c>
      <c r="B3810" s="2" t="s">
        <v>7844</v>
      </c>
      <c r="C3810" s="2" t="s">
        <v>7845</v>
      </c>
      <c r="D3810" s="2"/>
      <c r="E3810" s="2" t="s">
        <v>1345</v>
      </c>
      <c r="F3810" s="3" t="n">
        <v>1.2E-005</v>
      </c>
      <c r="G3810" s="3" t="n">
        <f aca="false">SUM($F$2:F3810)</f>
        <v>0.991697</v>
      </c>
      <c r="H3810" s="4"/>
      <c r="I3810" s="5"/>
      <c r="J3810" s="4"/>
      <c r="K3810" s="5"/>
      <c r="L3810" s="6"/>
      <c r="M3810" s="5" t="str">
        <f aca="false">IF(AND(N(K3810)&gt;0,N(L3810)&gt;0),K3810/L3810,"")</f>
        <v/>
      </c>
      <c r="N3810" s="2" t="s">
        <v>1226</v>
      </c>
    </row>
    <row r="3811" customFormat="false" ht="15" hidden="false" customHeight="false" outlineLevel="0" collapsed="false">
      <c r="A3811" s="2" t="n">
        <v>3810</v>
      </c>
      <c r="B3811" s="2" t="s">
        <v>7846</v>
      </c>
      <c r="C3811" s="2" t="s">
        <v>7847</v>
      </c>
      <c r="D3811" s="2"/>
      <c r="E3811" s="2" t="s">
        <v>1345</v>
      </c>
      <c r="F3811" s="3" t="n">
        <v>1.2E-005</v>
      </c>
      <c r="G3811" s="3" t="n">
        <f aca="false">SUM($F$2:F3811)</f>
        <v>0.991709</v>
      </c>
      <c r="H3811" s="4"/>
      <c r="I3811" s="5"/>
      <c r="J3811" s="4"/>
      <c r="K3811" s="5"/>
      <c r="L3811" s="6"/>
      <c r="M3811" s="5" t="str">
        <f aca="false">IF(AND(N(K3811)&gt;0,N(L3811)&gt;0),K3811/L3811,"")</f>
        <v/>
      </c>
      <c r="N3811" s="2" t="s">
        <v>1226</v>
      </c>
    </row>
    <row r="3812" customFormat="false" ht="15" hidden="false" customHeight="false" outlineLevel="0" collapsed="false">
      <c r="A3812" s="2" t="n">
        <v>3811</v>
      </c>
      <c r="B3812" s="2" t="s">
        <v>7848</v>
      </c>
      <c r="C3812" s="2" t="s">
        <v>7849</v>
      </c>
      <c r="D3812" s="2"/>
      <c r="E3812" s="2" t="s">
        <v>1284</v>
      </c>
      <c r="F3812" s="3" t="n">
        <v>1.2E-005</v>
      </c>
      <c r="G3812" s="3" t="n">
        <f aca="false">SUM($F$2:F3812)</f>
        <v>0.991721</v>
      </c>
      <c r="H3812" s="4"/>
      <c r="I3812" s="5"/>
      <c r="J3812" s="4"/>
      <c r="K3812" s="5"/>
      <c r="L3812" s="6"/>
      <c r="M3812" s="5" t="str">
        <f aca="false">IF(AND(N(K3812)&gt;0,N(L3812)&gt;0),K3812/L3812,"")</f>
        <v/>
      </c>
      <c r="N3812" s="2" t="s">
        <v>1226</v>
      </c>
    </row>
    <row r="3813" customFormat="false" ht="15" hidden="false" customHeight="false" outlineLevel="0" collapsed="false">
      <c r="A3813" s="2" t="n">
        <v>3812</v>
      </c>
      <c r="B3813" s="2" t="s">
        <v>7850</v>
      </c>
      <c r="C3813" s="2" t="s">
        <v>7851</v>
      </c>
      <c r="D3813" s="2"/>
      <c r="E3813" s="2" t="s">
        <v>1345</v>
      </c>
      <c r="F3813" s="3" t="n">
        <v>1.2E-005</v>
      </c>
      <c r="G3813" s="3" t="n">
        <f aca="false">SUM($F$2:F3813)</f>
        <v>0.991733</v>
      </c>
      <c r="H3813" s="4"/>
      <c r="I3813" s="5"/>
      <c r="J3813" s="4"/>
      <c r="K3813" s="5"/>
      <c r="L3813" s="6"/>
      <c r="M3813" s="5" t="str">
        <f aca="false">IF(AND(N(K3813)&gt;0,N(L3813)&gt;0),K3813/L3813,"")</f>
        <v/>
      </c>
      <c r="N3813" s="2" t="s">
        <v>1226</v>
      </c>
    </row>
    <row r="3814" customFormat="false" ht="15" hidden="false" customHeight="false" outlineLevel="0" collapsed="false">
      <c r="A3814" s="2" t="n">
        <v>3813</v>
      </c>
      <c r="B3814" s="2" t="s">
        <v>7852</v>
      </c>
      <c r="C3814" s="2" t="s">
        <v>7853</v>
      </c>
      <c r="D3814" s="2"/>
      <c r="E3814" s="2" t="s">
        <v>1345</v>
      </c>
      <c r="F3814" s="3" t="n">
        <v>1.2E-005</v>
      </c>
      <c r="G3814" s="3" t="n">
        <f aca="false">SUM($F$2:F3814)</f>
        <v>0.991745</v>
      </c>
      <c r="H3814" s="4"/>
      <c r="I3814" s="5"/>
      <c r="J3814" s="4"/>
      <c r="K3814" s="5"/>
      <c r="L3814" s="6"/>
      <c r="M3814" s="5" t="str">
        <f aca="false">IF(AND(N(K3814)&gt;0,N(L3814)&gt;0),K3814/L3814,"")</f>
        <v/>
      </c>
      <c r="N3814" s="2" t="s">
        <v>1226</v>
      </c>
    </row>
    <row r="3815" customFormat="false" ht="15" hidden="false" customHeight="false" outlineLevel="0" collapsed="false">
      <c r="A3815" s="2" t="n">
        <v>3814</v>
      </c>
      <c r="B3815" s="2" t="s">
        <v>7854</v>
      </c>
      <c r="C3815" s="2" t="s">
        <v>7855</v>
      </c>
      <c r="D3815" s="2"/>
      <c r="E3815" s="2" t="s">
        <v>17</v>
      </c>
      <c r="F3815" s="3" t="n">
        <v>1.2E-005</v>
      </c>
      <c r="G3815" s="3" t="n">
        <f aca="false">SUM($F$2:F3815)</f>
        <v>0.991757</v>
      </c>
      <c r="H3815" s="4"/>
      <c r="I3815" s="5"/>
      <c r="J3815" s="4"/>
      <c r="K3815" s="5"/>
      <c r="L3815" s="6"/>
      <c r="M3815" s="5" t="str">
        <f aca="false">IF(AND(N(K3815)&gt;0,N(L3815)&gt;0),K3815/L3815,"")</f>
        <v/>
      </c>
      <c r="N3815" s="2" t="s">
        <v>1226</v>
      </c>
    </row>
    <row r="3816" customFormat="false" ht="15" hidden="false" customHeight="false" outlineLevel="0" collapsed="false">
      <c r="A3816" s="2" t="n">
        <v>3815</v>
      </c>
      <c r="B3816" s="2" t="s">
        <v>7856</v>
      </c>
      <c r="C3816" s="2" t="s">
        <v>7857</v>
      </c>
      <c r="D3816" s="2"/>
      <c r="E3816" s="2" t="s">
        <v>1345</v>
      </c>
      <c r="F3816" s="3" t="n">
        <v>1.2E-005</v>
      </c>
      <c r="G3816" s="3" t="n">
        <f aca="false">SUM($F$2:F3816)</f>
        <v>0.991769</v>
      </c>
      <c r="H3816" s="4"/>
      <c r="I3816" s="5"/>
      <c r="J3816" s="4"/>
      <c r="K3816" s="5"/>
      <c r="L3816" s="6"/>
      <c r="M3816" s="5" t="str">
        <f aca="false">IF(AND(N(K3816)&gt;0,N(L3816)&gt;0),K3816/L3816,"")</f>
        <v/>
      </c>
      <c r="N3816" s="2" t="s">
        <v>1226</v>
      </c>
    </row>
    <row r="3817" customFormat="false" ht="15" hidden="false" customHeight="false" outlineLevel="0" collapsed="false">
      <c r="A3817" s="2" t="n">
        <v>3816</v>
      </c>
      <c r="B3817" s="2" t="s">
        <v>7858</v>
      </c>
      <c r="C3817" s="2" t="s">
        <v>7859</v>
      </c>
      <c r="D3817" s="2"/>
      <c r="E3817" s="2" t="s">
        <v>1345</v>
      </c>
      <c r="F3817" s="3" t="n">
        <v>1.2E-005</v>
      </c>
      <c r="G3817" s="3" t="n">
        <f aca="false">SUM($F$2:F3817)</f>
        <v>0.991781</v>
      </c>
      <c r="H3817" s="4"/>
      <c r="I3817" s="5"/>
      <c r="J3817" s="4"/>
      <c r="K3817" s="5"/>
      <c r="L3817" s="6"/>
      <c r="M3817" s="5" t="str">
        <f aca="false">IF(AND(N(K3817)&gt;0,N(L3817)&gt;0),K3817/L3817,"")</f>
        <v/>
      </c>
      <c r="N3817" s="2" t="s">
        <v>1226</v>
      </c>
    </row>
    <row r="3818" customFormat="false" ht="15" hidden="false" customHeight="false" outlineLevel="0" collapsed="false">
      <c r="A3818" s="2" t="n">
        <v>3817</v>
      </c>
      <c r="B3818" s="2" t="s">
        <v>7860</v>
      </c>
      <c r="C3818" s="2" t="s">
        <v>7861</v>
      </c>
      <c r="D3818" s="2"/>
      <c r="E3818" s="2" t="s">
        <v>2055</v>
      </c>
      <c r="F3818" s="3" t="n">
        <v>1.2E-005</v>
      </c>
      <c r="G3818" s="3" t="n">
        <f aca="false">SUM($F$2:F3818)</f>
        <v>0.991793</v>
      </c>
      <c r="H3818" s="4"/>
      <c r="I3818" s="5"/>
      <c r="J3818" s="4"/>
      <c r="K3818" s="5"/>
      <c r="L3818" s="6"/>
      <c r="M3818" s="5" t="str">
        <f aca="false">IF(AND(N(K3818)&gt;0,N(L3818)&gt;0),K3818/L3818,"")</f>
        <v/>
      </c>
      <c r="N3818" s="2" t="s">
        <v>1226</v>
      </c>
    </row>
    <row r="3819" customFormat="false" ht="15" hidden="false" customHeight="false" outlineLevel="0" collapsed="false">
      <c r="A3819" s="2" t="n">
        <v>3818</v>
      </c>
      <c r="B3819" s="2" t="s">
        <v>7862</v>
      </c>
      <c r="C3819" s="2" t="s">
        <v>7863</v>
      </c>
      <c r="D3819" s="2"/>
      <c r="E3819" s="2" t="s">
        <v>82</v>
      </c>
      <c r="F3819" s="3" t="n">
        <v>1.2E-005</v>
      </c>
      <c r="G3819" s="3" t="n">
        <f aca="false">SUM($F$2:F3819)</f>
        <v>0.991805</v>
      </c>
      <c r="H3819" s="4"/>
      <c r="I3819" s="5"/>
      <c r="J3819" s="4"/>
      <c r="K3819" s="5"/>
      <c r="L3819" s="6"/>
      <c r="M3819" s="5" t="str">
        <f aca="false">IF(AND(N(K3819)&gt;0,N(L3819)&gt;0),K3819/L3819,"")</f>
        <v/>
      </c>
      <c r="N3819" s="2" t="s">
        <v>1226</v>
      </c>
    </row>
    <row r="3820" customFormat="false" ht="15" hidden="false" customHeight="false" outlineLevel="0" collapsed="false">
      <c r="A3820" s="2" t="n">
        <v>3819</v>
      </c>
      <c r="B3820" s="2" t="s">
        <v>7864</v>
      </c>
      <c r="C3820" s="2" t="s">
        <v>7865</v>
      </c>
      <c r="D3820" s="2"/>
      <c r="E3820" s="2" t="s">
        <v>1345</v>
      </c>
      <c r="F3820" s="3" t="n">
        <v>1.2E-005</v>
      </c>
      <c r="G3820" s="3" t="n">
        <f aca="false">SUM($F$2:F3820)</f>
        <v>0.991817</v>
      </c>
      <c r="H3820" s="4"/>
      <c r="I3820" s="5"/>
      <c r="J3820" s="4"/>
      <c r="K3820" s="5"/>
      <c r="L3820" s="6"/>
      <c r="M3820" s="5" t="str">
        <f aca="false">IF(AND(N(K3820)&gt;0,N(L3820)&gt;0),K3820/L3820,"")</f>
        <v/>
      </c>
      <c r="N3820" s="2" t="s">
        <v>1226</v>
      </c>
    </row>
    <row r="3821" customFormat="false" ht="15" hidden="false" customHeight="false" outlineLevel="0" collapsed="false">
      <c r="A3821" s="2" t="n">
        <v>3820</v>
      </c>
      <c r="B3821" s="2" t="s">
        <v>7866</v>
      </c>
      <c r="C3821" s="2" t="s">
        <v>7867</v>
      </c>
      <c r="D3821" s="2"/>
      <c r="E3821" s="2" t="s">
        <v>43</v>
      </c>
      <c r="F3821" s="3" t="n">
        <v>1.2E-005</v>
      </c>
      <c r="G3821" s="3" t="n">
        <f aca="false">SUM($F$2:F3821)</f>
        <v>0.991829</v>
      </c>
      <c r="H3821" s="4"/>
      <c r="I3821" s="5"/>
      <c r="J3821" s="4"/>
      <c r="K3821" s="5"/>
      <c r="L3821" s="6"/>
      <c r="M3821" s="5" t="str">
        <f aca="false">IF(AND(N(K3821)&gt;0,N(L3821)&gt;0),K3821/L3821,"")</f>
        <v/>
      </c>
      <c r="N3821" s="2" t="s">
        <v>1226</v>
      </c>
    </row>
    <row r="3822" customFormat="false" ht="15" hidden="false" customHeight="false" outlineLevel="0" collapsed="false">
      <c r="A3822" s="2" t="n">
        <v>3821</v>
      </c>
      <c r="B3822" s="2" t="s">
        <v>7868</v>
      </c>
      <c r="C3822" s="2" t="s">
        <v>7869</v>
      </c>
      <c r="D3822" s="2"/>
      <c r="E3822" s="2" t="s">
        <v>21</v>
      </c>
      <c r="F3822" s="3" t="n">
        <v>1.2E-005</v>
      </c>
      <c r="G3822" s="3" t="n">
        <f aca="false">SUM($F$2:F3822)</f>
        <v>0.991841</v>
      </c>
      <c r="H3822" s="4"/>
      <c r="I3822" s="5"/>
      <c r="J3822" s="4"/>
      <c r="K3822" s="5"/>
      <c r="L3822" s="6"/>
      <c r="M3822" s="5" t="str">
        <f aca="false">IF(AND(N(K3822)&gt;0,N(L3822)&gt;0),K3822/L3822,"")</f>
        <v/>
      </c>
      <c r="N3822" s="2" t="s">
        <v>1226</v>
      </c>
    </row>
    <row r="3823" customFormat="false" ht="15" hidden="false" customHeight="false" outlineLevel="0" collapsed="false">
      <c r="A3823" s="2" t="n">
        <v>3822</v>
      </c>
      <c r="B3823" s="2" t="s">
        <v>7870</v>
      </c>
      <c r="C3823" s="2" t="s">
        <v>7871</v>
      </c>
      <c r="D3823" s="2"/>
      <c r="E3823" s="2" t="s">
        <v>1295</v>
      </c>
      <c r="F3823" s="3" t="n">
        <v>1.2E-005</v>
      </c>
      <c r="G3823" s="3" t="n">
        <f aca="false">SUM($F$2:F3823)</f>
        <v>0.991853</v>
      </c>
      <c r="H3823" s="4"/>
      <c r="I3823" s="5"/>
      <c r="J3823" s="4"/>
      <c r="K3823" s="5"/>
      <c r="L3823" s="6"/>
      <c r="M3823" s="5" t="str">
        <f aca="false">IF(AND(N(K3823)&gt;0,N(L3823)&gt;0),K3823/L3823,"")</f>
        <v/>
      </c>
      <c r="N3823" s="2" t="s">
        <v>1226</v>
      </c>
    </row>
    <row r="3824" customFormat="false" ht="15" hidden="false" customHeight="false" outlineLevel="0" collapsed="false">
      <c r="A3824" s="2" t="n">
        <v>3823</v>
      </c>
      <c r="B3824" s="2" t="s">
        <v>7872</v>
      </c>
      <c r="C3824" s="2" t="s">
        <v>7873</v>
      </c>
      <c r="D3824" s="2"/>
      <c r="E3824" s="2" t="s">
        <v>289</v>
      </c>
      <c r="F3824" s="3" t="n">
        <v>1.2E-005</v>
      </c>
      <c r="G3824" s="3" t="n">
        <f aca="false">SUM($F$2:F3824)</f>
        <v>0.991865</v>
      </c>
      <c r="H3824" s="4"/>
      <c r="I3824" s="5"/>
      <c r="J3824" s="4"/>
      <c r="K3824" s="5"/>
      <c r="L3824" s="6"/>
      <c r="M3824" s="5" t="str">
        <f aca="false">IF(AND(N(K3824)&gt;0,N(L3824)&gt;0),K3824/L3824,"")</f>
        <v/>
      </c>
      <c r="N3824" s="2" t="s">
        <v>1226</v>
      </c>
    </row>
    <row r="3825" customFormat="false" ht="15" hidden="false" customHeight="false" outlineLevel="0" collapsed="false">
      <c r="A3825" s="2" t="n">
        <v>3824</v>
      </c>
      <c r="B3825" s="2" t="s">
        <v>7874</v>
      </c>
      <c r="C3825" s="2" t="s">
        <v>7875</v>
      </c>
      <c r="D3825" s="2"/>
      <c r="E3825" s="2" t="s">
        <v>25</v>
      </c>
      <c r="F3825" s="3" t="n">
        <v>1.2E-005</v>
      </c>
      <c r="G3825" s="3" t="n">
        <f aca="false">SUM($F$2:F3825)</f>
        <v>0.991877</v>
      </c>
      <c r="H3825" s="4"/>
      <c r="I3825" s="5"/>
      <c r="J3825" s="4"/>
      <c r="K3825" s="5"/>
      <c r="L3825" s="6"/>
      <c r="M3825" s="5" t="str">
        <f aca="false">IF(AND(N(K3825)&gt;0,N(L3825)&gt;0),K3825/L3825,"")</f>
        <v/>
      </c>
      <c r="N3825" s="2" t="s">
        <v>1226</v>
      </c>
    </row>
    <row r="3826" customFormat="false" ht="15" hidden="false" customHeight="false" outlineLevel="0" collapsed="false">
      <c r="A3826" s="2" t="n">
        <v>3825</v>
      </c>
      <c r="B3826" s="2" t="s">
        <v>7876</v>
      </c>
      <c r="C3826" s="2" t="s">
        <v>7877</v>
      </c>
      <c r="D3826" s="2"/>
      <c r="E3826" s="2" t="s">
        <v>52</v>
      </c>
      <c r="F3826" s="3" t="n">
        <v>1.2E-005</v>
      </c>
      <c r="G3826" s="3" t="n">
        <f aca="false">SUM($F$2:F3826)</f>
        <v>0.991889</v>
      </c>
      <c r="H3826" s="4"/>
      <c r="I3826" s="5"/>
      <c r="J3826" s="4"/>
      <c r="K3826" s="5"/>
      <c r="L3826" s="6"/>
      <c r="M3826" s="5" t="str">
        <f aca="false">IF(AND(N(K3826)&gt;0,N(L3826)&gt;0),K3826/L3826,"")</f>
        <v/>
      </c>
      <c r="N3826" s="2" t="s">
        <v>1226</v>
      </c>
    </row>
    <row r="3827" customFormat="false" ht="15" hidden="false" customHeight="false" outlineLevel="0" collapsed="false">
      <c r="A3827" s="2" t="n">
        <v>3826</v>
      </c>
      <c r="B3827" s="2" t="s">
        <v>7878</v>
      </c>
      <c r="C3827" s="2" t="s">
        <v>7879</v>
      </c>
      <c r="D3827" s="2"/>
      <c r="E3827" s="2" t="s">
        <v>1345</v>
      </c>
      <c r="F3827" s="3" t="n">
        <v>1.2E-005</v>
      </c>
      <c r="G3827" s="3" t="n">
        <f aca="false">SUM($F$2:F3827)</f>
        <v>0.991901</v>
      </c>
      <c r="H3827" s="4"/>
      <c r="I3827" s="5"/>
      <c r="J3827" s="4"/>
      <c r="K3827" s="5"/>
      <c r="L3827" s="6"/>
      <c r="M3827" s="5" t="str">
        <f aca="false">IF(AND(N(K3827)&gt;0,N(L3827)&gt;0),K3827/L3827,"")</f>
        <v/>
      </c>
      <c r="N3827" s="2" t="s">
        <v>1226</v>
      </c>
    </row>
    <row r="3828" customFormat="false" ht="15" hidden="false" customHeight="false" outlineLevel="0" collapsed="false">
      <c r="A3828" s="2" t="n">
        <v>3827</v>
      </c>
      <c r="B3828" s="2" t="s">
        <v>7880</v>
      </c>
      <c r="C3828" s="2" t="s">
        <v>7881</v>
      </c>
      <c r="D3828" s="2"/>
      <c r="E3828" s="2" t="s">
        <v>1345</v>
      </c>
      <c r="F3828" s="3" t="n">
        <v>1.2E-005</v>
      </c>
      <c r="G3828" s="3" t="n">
        <f aca="false">SUM($F$2:F3828)</f>
        <v>0.991913</v>
      </c>
      <c r="H3828" s="4"/>
      <c r="I3828" s="5"/>
      <c r="J3828" s="4"/>
      <c r="K3828" s="5"/>
      <c r="L3828" s="6"/>
      <c r="M3828" s="5" t="str">
        <f aca="false">IF(AND(N(K3828)&gt;0,N(L3828)&gt;0),K3828/L3828,"")</f>
        <v/>
      </c>
      <c r="N3828" s="2" t="s">
        <v>1226</v>
      </c>
    </row>
    <row r="3829" customFormat="false" ht="15" hidden="false" customHeight="false" outlineLevel="0" collapsed="false">
      <c r="A3829" s="2" t="n">
        <v>3828</v>
      </c>
      <c r="B3829" s="2" t="s">
        <v>7882</v>
      </c>
      <c r="C3829" s="2" t="s">
        <v>7883</v>
      </c>
      <c r="D3829" s="2"/>
      <c r="E3829" s="2" t="s">
        <v>1019</v>
      </c>
      <c r="F3829" s="3" t="n">
        <v>1.2E-005</v>
      </c>
      <c r="G3829" s="3" t="n">
        <f aca="false">SUM($F$2:F3829)</f>
        <v>0.991925</v>
      </c>
      <c r="H3829" s="4"/>
      <c r="I3829" s="5"/>
      <c r="J3829" s="4"/>
      <c r="K3829" s="5"/>
      <c r="L3829" s="6"/>
      <c r="M3829" s="5" t="str">
        <f aca="false">IF(AND(N(K3829)&gt;0,N(L3829)&gt;0),K3829/L3829,"")</f>
        <v/>
      </c>
      <c r="N3829" s="2" t="s">
        <v>1226</v>
      </c>
    </row>
    <row r="3830" customFormat="false" ht="15" hidden="false" customHeight="false" outlineLevel="0" collapsed="false">
      <c r="A3830" s="2" t="n">
        <v>3829</v>
      </c>
      <c r="B3830" s="2" t="s">
        <v>7884</v>
      </c>
      <c r="C3830" s="2" t="s">
        <v>7885</v>
      </c>
      <c r="D3830" s="2"/>
      <c r="E3830" s="2" t="s">
        <v>1345</v>
      </c>
      <c r="F3830" s="3" t="n">
        <v>1.2E-005</v>
      </c>
      <c r="G3830" s="3" t="n">
        <f aca="false">SUM($F$2:F3830)</f>
        <v>0.991937</v>
      </c>
      <c r="H3830" s="4"/>
      <c r="I3830" s="5"/>
      <c r="J3830" s="4"/>
      <c r="K3830" s="5"/>
      <c r="L3830" s="6"/>
      <c r="M3830" s="5" t="str">
        <f aca="false">IF(AND(N(K3830)&gt;0,N(L3830)&gt;0),K3830/L3830,"")</f>
        <v/>
      </c>
      <c r="N3830" s="2" t="s">
        <v>1226</v>
      </c>
    </row>
    <row r="3831" customFormat="false" ht="15" hidden="false" customHeight="false" outlineLevel="0" collapsed="false">
      <c r="A3831" s="2" t="n">
        <v>3830</v>
      </c>
      <c r="B3831" s="2" t="s">
        <v>7886</v>
      </c>
      <c r="C3831" s="2" t="s">
        <v>7887</v>
      </c>
      <c r="D3831" s="2"/>
      <c r="E3831" s="2" t="s">
        <v>1345</v>
      </c>
      <c r="F3831" s="3" t="n">
        <v>1.2E-005</v>
      </c>
      <c r="G3831" s="3" t="n">
        <f aca="false">SUM($F$2:F3831)</f>
        <v>0.991949</v>
      </c>
      <c r="H3831" s="4"/>
      <c r="I3831" s="5"/>
      <c r="J3831" s="4"/>
      <c r="K3831" s="5"/>
      <c r="L3831" s="6"/>
      <c r="M3831" s="5" t="str">
        <f aca="false">IF(AND(N(K3831)&gt;0,N(L3831)&gt;0),K3831/L3831,"")</f>
        <v/>
      </c>
      <c r="N3831" s="2" t="s">
        <v>1226</v>
      </c>
    </row>
    <row r="3832" customFormat="false" ht="15" hidden="false" customHeight="false" outlineLevel="0" collapsed="false">
      <c r="A3832" s="2" t="n">
        <v>3831</v>
      </c>
      <c r="B3832" s="2" t="s">
        <v>7888</v>
      </c>
      <c r="C3832" s="2" t="s">
        <v>7889</v>
      </c>
      <c r="D3832" s="2"/>
      <c r="E3832" s="2" t="s">
        <v>539</v>
      </c>
      <c r="F3832" s="3" t="n">
        <v>1.2E-005</v>
      </c>
      <c r="G3832" s="3" t="n">
        <f aca="false">SUM($F$2:F3832)</f>
        <v>0.991961</v>
      </c>
      <c r="H3832" s="4"/>
      <c r="I3832" s="5"/>
      <c r="J3832" s="4"/>
      <c r="K3832" s="5"/>
      <c r="L3832" s="6"/>
      <c r="M3832" s="5" t="str">
        <f aca="false">IF(AND(N(K3832)&gt;0,N(L3832)&gt;0),K3832/L3832,"")</f>
        <v/>
      </c>
      <c r="N3832" s="2" t="s">
        <v>1226</v>
      </c>
    </row>
    <row r="3833" customFormat="false" ht="15" hidden="false" customHeight="false" outlineLevel="0" collapsed="false">
      <c r="A3833" s="2" t="n">
        <v>3832</v>
      </c>
      <c r="B3833" s="2" t="s">
        <v>7890</v>
      </c>
      <c r="C3833" s="2" t="s">
        <v>7891</v>
      </c>
      <c r="D3833" s="2"/>
      <c r="E3833" s="2" t="s">
        <v>1345</v>
      </c>
      <c r="F3833" s="3" t="n">
        <v>1.2E-005</v>
      </c>
      <c r="G3833" s="3" t="n">
        <f aca="false">SUM($F$2:F3833)</f>
        <v>0.991973</v>
      </c>
      <c r="H3833" s="4"/>
      <c r="I3833" s="5"/>
      <c r="J3833" s="4"/>
      <c r="K3833" s="5"/>
      <c r="L3833" s="6"/>
      <c r="M3833" s="5" t="str">
        <f aca="false">IF(AND(N(K3833)&gt;0,N(L3833)&gt;0),K3833/L3833,"")</f>
        <v/>
      </c>
      <c r="N3833" s="2" t="s">
        <v>1226</v>
      </c>
    </row>
    <row r="3834" customFormat="false" ht="15" hidden="false" customHeight="false" outlineLevel="0" collapsed="false">
      <c r="A3834" s="2" t="n">
        <v>3833</v>
      </c>
      <c r="B3834" s="2" t="s">
        <v>7892</v>
      </c>
      <c r="C3834" s="2" t="s">
        <v>7893</v>
      </c>
      <c r="D3834" s="2"/>
      <c r="E3834" s="2" t="s">
        <v>1345</v>
      </c>
      <c r="F3834" s="3" t="n">
        <v>1.2E-005</v>
      </c>
      <c r="G3834" s="3" t="n">
        <f aca="false">SUM($F$2:F3834)</f>
        <v>0.991985</v>
      </c>
      <c r="H3834" s="4"/>
      <c r="I3834" s="5"/>
      <c r="J3834" s="4"/>
      <c r="K3834" s="5"/>
      <c r="L3834" s="6"/>
      <c r="M3834" s="5" t="str">
        <f aca="false">IF(AND(N(K3834)&gt;0,N(L3834)&gt;0),K3834/L3834,"")</f>
        <v/>
      </c>
      <c r="N3834" s="2" t="s">
        <v>1226</v>
      </c>
    </row>
    <row r="3835" customFormat="false" ht="15" hidden="false" customHeight="false" outlineLevel="0" collapsed="false">
      <c r="A3835" s="2" t="n">
        <v>3834</v>
      </c>
      <c r="B3835" s="2" t="s">
        <v>7894</v>
      </c>
      <c r="C3835" s="2" t="s">
        <v>7895</v>
      </c>
      <c r="D3835" s="2"/>
      <c r="E3835" s="2" t="s">
        <v>1215</v>
      </c>
      <c r="F3835" s="3" t="n">
        <v>1.2E-005</v>
      </c>
      <c r="G3835" s="3" t="n">
        <f aca="false">SUM($F$2:F3835)</f>
        <v>0.991997</v>
      </c>
      <c r="H3835" s="4"/>
      <c r="I3835" s="5"/>
      <c r="J3835" s="4"/>
      <c r="K3835" s="5"/>
      <c r="L3835" s="6"/>
      <c r="M3835" s="5" t="str">
        <f aca="false">IF(AND(N(K3835)&gt;0,N(L3835)&gt;0),K3835/L3835,"")</f>
        <v/>
      </c>
      <c r="N3835" s="2" t="s">
        <v>1226</v>
      </c>
    </row>
    <row r="3836" customFormat="false" ht="15" hidden="false" customHeight="false" outlineLevel="0" collapsed="false">
      <c r="A3836" s="2" t="n">
        <v>3835</v>
      </c>
      <c r="B3836" s="2" t="s">
        <v>7896</v>
      </c>
      <c r="C3836" s="2" t="s">
        <v>7897</v>
      </c>
      <c r="D3836" s="2"/>
      <c r="E3836" s="2" t="s">
        <v>52</v>
      </c>
      <c r="F3836" s="3" t="n">
        <v>1.2E-005</v>
      </c>
      <c r="G3836" s="3" t="n">
        <f aca="false">SUM($F$2:F3836)</f>
        <v>0.992009</v>
      </c>
      <c r="H3836" s="4"/>
      <c r="I3836" s="5"/>
      <c r="J3836" s="4"/>
      <c r="K3836" s="5"/>
      <c r="L3836" s="6"/>
      <c r="M3836" s="5" t="str">
        <f aca="false">IF(AND(N(K3836)&gt;0,N(L3836)&gt;0),K3836/L3836,"")</f>
        <v/>
      </c>
      <c r="N3836" s="2" t="s">
        <v>1226</v>
      </c>
    </row>
    <row r="3837" customFormat="false" ht="15" hidden="false" customHeight="false" outlineLevel="0" collapsed="false">
      <c r="A3837" s="2" t="n">
        <v>3836</v>
      </c>
      <c r="B3837" s="2" t="s">
        <v>7898</v>
      </c>
      <c r="C3837" s="2" t="s">
        <v>7899</v>
      </c>
      <c r="D3837" s="2"/>
      <c r="E3837" s="2" t="s">
        <v>2055</v>
      </c>
      <c r="F3837" s="3" t="n">
        <v>1.2E-005</v>
      </c>
      <c r="G3837" s="3" t="n">
        <f aca="false">SUM($F$2:F3837)</f>
        <v>0.992021</v>
      </c>
      <c r="H3837" s="4"/>
      <c r="I3837" s="5"/>
      <c r="J3837" s="4"/>
      <c r="K3837" s="5"/>
      <c r="L3837" s="6"/>
      <c r="M3837" s="5" t="str">
        <f aca="false">IF(AND(N(K3837)&gt;0,N(L3837)&gt;0),K3837/L3837,"")</f>
        <v/>
      </c>
      <c r="N3837" s="2" t="s">
        <v>1226</v>
      </c>
    </row>
    <row r="3838" customFormat="false" ht="15" hidden="false" customHeight="false" outlineLevel="0" collapsed="false">
      <c r="A3838" s="2" t="n">
        <v>3837</v>
      </c>
      <c r="B3838" s="2" t="s">
        <v>7900</v>
      </c>
      <c r="C3838" s="2" t="s">
        <v>7901</v>
      </c>
      <c r="D3838" s="2"/>
      <c r="E3838" s="2" t="s">
        <v>289</v>
      </c>
      <c r="F3838" s="3" t="n">
        <v>1.2E-005</v>
      </c>
      <c r="G3838" s="3" t="n">
        <f aca="false">SUM($F$2:F3838)</f>
        <v>0.992033</v>
      </c>
      <c r="H3838" s="4"/>
      <c r="I3838" s="5"/>
      <c r="J3838" s="4"/>
      <c r="K3838" s="5"/>
      <c r="L3838" s="6"/>
      <c r="M3838" s="5" t="str">
        <f aca="false">IF(AND(N(K3838)&gt;0,N(L3838)&gt;0),K3838/L3838,"")</f>
        <v/>
      </c>
      <c r="N3838" s="2" t="s">
        <v>1226</v>
      </c>
    </row>
    <row r="3839" customFormat="false" ht="15" hidden="false" customHeight="false" outlineLevel="0" collapsed="false">
      <c r="A3839" s="2" t="n">
        <v>3838</v>
      </c>
      <c r="B3839" s="2" t="s">
        <v>7902</v>
      </c>
      <c r="C3839" s="2" t="s">
        <v>7903</v>
      </c>
      <c r="D3839" s="2"/>
      <c r="E3839" s="2" t="s">
        <v>1345</v>
      </c>
      <c r="F3839" s="3" t="n">
        <v>1.2E-005</v>
      </c>
      <c r="G3839" s="3" t="n">
        <f aca="false">SUM($F$2:F3839)</f>
        <v>0.992045</v>
      </c>
      <c r="H3839" s="4"/>
      <c r="I3839" s="5"/>
      <c r="J3839" s="4"/>
      <c r="K3839" s="5"/>
      <c r="L3839" s="6"/>
      <c r="M3839" s="5" t="str">
        <f aca="false">IF(AND(N(K3839)&gt;0,N(L3839)&gt;0),K3839/L3839,"")</f>
        <v/>
      </c>
      <c r="N3839" s="2" t="s">
        <v>1226</v>
      </c>
    </row>
    <row r="3840" customFormat="false" ht="15" hidden="false" customHeight="false" outlineLevel="0" collapsed="false">
      <c r="A3840" s="2" t="n">
        <v>3839</v>
      </c>
      <c r="B3840" s="2" t="s">
        <v>7904</v>
      </c>
      <c r="C3840" s="2" t="s">
        <v>7905</v>
      </c>
      <c r="D3840" s="2"/>
      <c r="E3840" s="2" t="s">
        <v>52</v>
      </c>
      <c r="F3840" s="3" t="n">
        <v>1.2E-005</v>
      </c>
      <c r="G3840" s="3" t="n">
        <f aca="false">SUM($F$2:F3840)</f>
        <v>0.992057</v>
      </c>
      <c r="H3840" s="4"/>
      <c r="I3840" s="5"/>
      <c r="J3840" s="4"/>
      <c r="K3840" s="5"/>
      <c r="L3840" s="6"/>
      <c r="M3840" s="5" t="str">
        <f aca="false">IF(AND(N(K3840)&gt;0,N(L3840)&gt;0),K3840/L3840,"")</f>
        <v/>
      </c>
      <c r="N3840" s="2" t="s">
        <v>1226</v>
      </c>
    </row>
    <row r="3841" customFormat="false" ht="15" hidden="false" customHeight="false" outlineLevel="0" collapsed="false">
      <c r="A3841" s="2" t="n">
        <v>3840</v>
      </c>
      <c r="B3841" s="2" t="s">
        <v>7906</v>
      </c>
      <c r="C3841" s="2" t="s">
        <v>7907</v>
      </c>
      <c r="D3841" s="2"/>
      <c r="E3841" s="2" t="s">
        <v>29</v>
      </c>
      <c r="F3841" s="3" t="n">
        <v>1.2E-005</v>
      </c>
      <c r="G3841" s="3" t="n">
        <f aca="false">SUM($F$2:F3841)</f>
        <v>0.992069</v>
      </c>
      <c r="H3841" s="4"/>
      <c r="I3841" s="5"/>
      <c r="J3841" s="4"/>
      <c r="K3841" s="5"/>
      <c r="L3841" s="6"/>
      <c r="M3841" s="5" t="str">
        <f aca="false">IF(AND(N(K3841)&gt;0,N(L3841)&gt;0),K3841/L3841,"")</f>
        <v/>
      </c>
      <c r="N3841" s="2" t="s">
        <v>1226</v>
      </c>
    </row>
    <row r="3842" customFormat="false" ht="15" hidden="false" customHeight="false" outlineLevel="0" collapsed="false">
      <c r="A3842" s="2" t="n">
        <v>3841</v>
      </c>
      <c r="B3842" s="2" t="s">
        <v>7908</v>
      </c>
      <c r="C3842" s="2" t="s">
        <v>7909</v>
      </c>
      <c r="D3842" s="2"/>
      <c r="E3842" s="2" t="s">
        <v>1295</v>
      </c>
      <c r="F3842" s="3" t="n">
        <v>1.2E-005</v>
      </c>
      <c r="G3842" s="3" t="n">
        <f aca="false">SUM($F$2:F3842)</f>
        <v>0.992081</v>
      </c>
      <c r="H3842" s="4"/>
      <c r="I3842" s="5"/>
      <c r="J3842" s="4"/>
      <c r="K3842" s="5"/>
      <c r="L3842" s="6"/>
      <c r="M3842" s="5" t="str">
        <f aca="false">IF(AND(N(K3842)&gt;0,N(L3842)&gt;0),K3842/L3842,"")</f>
        <v/>
      </c>
      <c r="N3842" s="2" t="s">
        <v>1226</v>
      </c>
    </row>
    <row r="3843" customFormat="false" ht="15" hidden="false" customHeight="false" outlineLevel="0" collapsed="false">
      <c r="A3843" s="2" t="n">
        <v>3842</v>
      </c>
      <c r="B3843" s="2" t="s">
        <v>7910</v>
      </c>
      <c r="C3843" s="2" t="s">
        <v>7911</v>
      </c>
      <c r="D3843" s="2"/>
      <c r="E3843" s="2" t="s">
        <v>1345</v>
      </c>
      <c r="F3843" s="3" t="n">
        <v>1.2E-005</v>
      </c>
      <c r="G3843" s="3" t="n">
        <f aca="false">SUM($F$2:F3843)</f>
        <v>0.992093</v>
      </c>
      <c r="H3843" s="4"/>
      <c r="I3843" s="5"/>
      <c r="J3843" s="4"/>
      <c r="K3843" s="5"/>
      <c r="L3843" s="6"/>
      <c r="M3843" s="5" t="str">
        <f aca="false">IF(AND(N(K3843)&gt;0,N(L3843)&gt;0),K3843/L3843,"")</f>
        <v/>
      </c>
      <c r="N3843" s="2" t="s">
        <v>1226</v>
      </c>
    </row>
    <row r="3844" customFormat="false" ht="15" hidden="false" customHeight="false" outlineLevel="0" collapsed="false">
      <c r="A3844" s="2" t="n">
        <v>3843</v>
      </c>
      <c r="B3844" s="2" t="s">
        <v>7912</v>
      </c>
      <c r="C3844" s="2" t="s">
        <v>7913</v>
      </c>
      <c r="D3844" s="2"/>
      <c r="E3844" s="2" t="s">
        <v>289</v>
      </c>
      <c r="F3844" s="3" t="n">
        <v>1.2E-005</v>
      </c>
      <c r="G3844" s="3" t="n">
        <f aca="false">SUM($F$2:F3844)</f>
        <v>0.992105</v>
      </c>
      <c r="H3844" s="4"/>
      <c r="I3844" s="5"/>
      <c r="J3844" s="4"/>
      <c r="K3844" s="5"/>
      <c r="L3844" s="6"/>
      <c r="M3844" s="5" t="str">
        <f aca="false">IF(AND(N(K3844)&gt;0,N(L3844)&gt;0),K3844/L3844,"")</f>
        <v/>
      </c>
      <c r="N3844" s="2" t="s">
        <v>1226</v>
      </c>
    </row>
    <row r="3845" customFormat="false" ht="15" hidden="false" customHeight="false" outlineLevel="0" collapsed="false">
      <c r="A3845" s="2" t="n">
        <v>3844</v>
      </c>
      <c r="B3845" s="2" t="s">
        <v>4014</v>
      </c>
      <c r="C3845" s="2" t="s">
        <v>7914</v>
      </c>
      <c r="D3845" s="2"/>
      <c r="E3845" s="2" t="s">
        <v>289</v>
      </c>
      <c r="F3845" s="3" t="n">
        <v>1.2E-005</v>
      </c>
      <c r="G3845" s="3" t="n">
        <f aca="false">SUM($F$2:F3845)</f>
        <v>0.992117</v>
      </c>
      <c r="H3845" s="4"/>
      <c r="I3845" s="5"/>
      <c r="J3845" s="4"/>
      <c r="K3845" s="5"/>
      <c r="L3845" s="6"/>
      <c r="M3845" s="5" t="str">
        <f aca="false">IF(AND(N(K3845)&gt;0,N(L3845)&gt;0),K3845/L3845,"")</f>
        <v/>
      </c>
      <c r="N3845" s="2" t="s">
        <v>1226</v>
      </c>
    </row>
    <row r="3846" customFormat="false" ht="15" hidden="false" customHeight="false" outlineLevel="0" collapsed="false">
      <c r="A3846" s="2" t="n">
        <v>3845</v>
      </c>
      <c r="B3846" s="2" t="s">
        <v>7915</v>
      </c>
      <c r="C3846" s="2" t="s">
        <v>7916</v>
      </c>
      <c r="D3846" s="2"/>
      <c r="E3846" s="2" t="s">
        <v>1345</v>
      </c>
      <c r="F3846" s="3" t="n">
        <v>1.2E-005</v>
      </c>
      <c r="G3846" s="3" t="n">
        <f aca="false">SUM($F$2:F3846)</f>
        <v>0.992129</v>
      </c>
      <c r="H3846" s="4"/>
      <c r="I3846" s="5"/>
      <c r="J3846" s="4"/>
      <c r="K3846" s="5"/>
      <c r="L3846" s="6"/>
      <c r="M3846" s="5" t="str">
        <f aca="false">IF(AND(N(K3846)&gt;0,N(L3846)&gt;0),K3846/L3846,"")</f>
        <v/>
      </c>
      <c r="N3846" s="2" t="s">
        <v>1226</v>
      </c>
    </row>
    <row r="3847" customFormat="false" ht="15" hidden="false" customHeight="false" outlineLevel="0" collapsed="false">
      <c r="A3847" s="2" t="n">
        <v>3846</v>
      </c>
      <c r="B3847" s="2" t="s">
        <v>7917</v>
      </c>
      <c r="C3847" s="2" t="s">
        <v>7918</v>
      </c>
      <c r="D3847" s="2"/>
      <c r="E3847" s="2" t="s">
        <v>29</v>
      </c>
      <c r="F3847" s="3" t="n">
        <v>1.2E-005</v>
      </c>
      <c r="G3847" s="3" t="n">
        <f aca="false">SUM($F$2:F3847)</f>
        <v>0.992141</v>
      </c>
      <c r="H3847" s="4"/>
      <c r="I3847" s="5"/>
      <c r="J3847" s="4"/>
      <c r="K3847" s="5"/>
      <c r="L3847" s="6"/>
      <c r="M3847" s="5" t="str">
        <f aca="false">IF(AND(N(K3847)&gt;0,N(L3847)&gt;0),K3847/L3847,"")</f>
        <v/>
      </c>
      <c r="N3847" s="2" t="s">
        <v>1226</v>
      </c>
    </row>
    <row r="3848" customFormat="false" ht="15" hidden="false" customHeight="false" outlineLevel="0" collapsed="false">
      <c r="A3848" s="2" t="n">
        <v>3847</v>
      </c>
      <c r="B3848" s="2" t="s">
        <v>7919</v>
      </c>
      <c r="C3848" s="2" t="s">
        <v>7920</v>
      </c>
      <c r="D3848" s="2"/>
      <c r="E3848" s="2" t="s">
        <v>52</v>
      </c>
      <c r="F3848" s="3" t="n">
        <v>1.2E-005</v>
      </c>
      <c r="G3848" s="3" t="n">
        <f aca="false">SUM($F$2:F3848)</f>
        <v>0.992153</v>
      </c>
      <c r="H3848" s="4"/>
      <c r="I3848" s="5"/>
      <c r="J3848" s="4"/>
      <c r="K3848" s="5"/>
      <c r="L3848" s="6"/>
      <c r="M3848" s="5" t="str">
        <f aca="false">IF(AND(N(K3848)&gt;0,N(L3848)&gt;0),K3848/L3848,"")</f>
        <v/>
      </c>
      <c r="N3848" s="2" t="s">
        <v>1226</v>
      </c>
    </row>
    <row r="3849" customFormat="false" ht="15" hidden="false" customHeight="false" outlineLevel="0" collapsed="false">
      <c r="A3849" s="2" t="n">
        <v>3848</v>
      </c>
      <c r="B3849" s="2" t="s">
        <v>7921</v>
      </c>
      <c r="C3849" s="2" t="s">
        <v>7922</v>
      </c>
      <c r="D3849" s="2"/>
      <c r="E3849" s="2" t="s">
        <v>1019</v>
      </c>
      <c r="F3849" s="3" t="n">
        <v>1.2E-005</v>
      </c>
      <c r="G3849" s="3" t="n">
        <f aca="false">SUM($F$2:F3849)</f>
        <v>0.992165</v>
      </c>
      <c r="H3849" s="4"/>
      <c r="I3849" s="5"/>
      <c r="J3849" s="4"/>
      <c r="K3849" s="5"/>
      <c r="L3849" s="6"/>
      <c r="M3849" s="5" t="str">
        <f aca="false">IF(AND(N(K3849)&gt;0,N(L3849)&gt;0),K3849/L3849,"")</f>
        <v/>
      </c>
      <c r="N3849" s="2" t="s">
        <v>1226</v>
      </c>
    </row>
    <row r="3850" customFormat="false" ht="15" hidden="false" customHeight="false" outlineLevel="0" collapsed="false">
      <c r="A3850" s="2" t="n">
        <v>3849</v>
      </c>
      <c r="B3850" s="2" t="s">
        <v>7923</v>
      </c>
      <c r="C3850" s="2" t="s">
        <v>7924</v>
      </c>
      <c r="D3850" s="2"/>
      <c r="E3850" s="2" t="s">
        <v>289</v>
      </c>
      <c r="F3850" s="3" t="n">
        <v>1.2E-005</v>
      </c>
      <c r="G3850" s="3" t="n">
        <f aca="false">SUM($F$2:F3850)</f>
        <v>0.992177</v>
      </c>
      <c r="H3850" s="4"/>
      <c r="I3850" s="5"/>
      <c r="J3850" s="4"/>
      <c r="K3850" s="5"/>
      <c r="L3850" s="6"/>
      <c r="M3850" s="5" t="str">
        <f aca="false">IF(AND(N(K3850)&gt;0,N(L3850)&gt;0),K3850/L3850,"")</f>
        <v/>
      </c>
      <c r="N3850" s="2" t="s">
        <v>1226</v>
      </c>
    </row>
    <row r="3851" customFormat="false" ht="15" hidden="false" customHeight="false" outlineLevel="0" collapsed="false">
      <c r="A3851" s="2" t="n">
        <v>3850</v>
      </c>
      <c r="B3851" s="2" t="s">
        <v>7925</v>
      </c>
      <c r="C3851" s="2" t="s">
        <v>7926</v>
      </c>
      <c r="D3851" s="2"/>
      <c r="E3851" s="2" t="s">
        <v>1345</v>
      </c>
      <c r="F3851" s="3" t="n">
        <v>1.2E-005</v>
      </c>
      <c r="G3851" s="3" t="n">
        <f aca="false">SUM($F$2:F3851)</f>
        <v>0.992189</v>
      </c>
      <c r="H3851" s="4"/>
      <c r="I3851" s="5"/>
      <c r="J3851" s="4"/>
      <c r="K3851" s="5"/>
      <c r="L3851" s="6"/>
      <c r="M3851" s="5" t="str">
        <f aca="false">IF(AND(N(K3851)&gt;0,N(L3851)&gt;0),K3851/L3851,"")</f>
        <v/>
      </c>
      <c r="N3851" s="2" t="s">
        <v>1226</v>
      </c>
    </row>
    <row r="3852" customFormat="false" ht="15" hidden="false" customHeight="false" outlineLevel="0" collapsed="false">
      <c r="A3852" s="2" t="n">
        <v>3851</v>
      </c>
      <c r="B3852" s="2" t="s">
        <v>7927</v>
      </c>
      <c r="C3852" s="2" t="s">
        <v>7928</v>
      </c>
      <c r="D3852" s="2"/>
      <c r="E3852" s="2" t="s">
        <v>48</v>
      </c>
      <c r="F3852" s="3" t="n">
        <v>1.2E-005</v>
      </c>
      <c r="G3852" s="3" t="n">
        <f aca="false">SUM($F$2:F3852)</f>
        <v>0.992201</v>
      </c>
      <c r="H3852" s="4"/>
      <c r="I3852" s="5"/>
      <c r="J3852" s="4"/>
      <c r="K3852" s="5"/>
      <c r="L3852" s="6"/>
      <c r="M3852" s="5" t="str">
        <f aca="false">IF(AND(N(K3852)&gt;0,N(L3852)&gt;0),K3852/L3852,"")</f>
        <v/>
      </c>
      <c r="N3852" s="2" t="s">
        <v>1226</v>
      </c>
    </row>
    <row r="3853" customFormat="false" ht="15" hidden="false" customHeight="false" outlineLevel="0" collapsed="false">
      <c r="A3853" s="2" t="n">
        <v>3852</v>
      </c>
      <c r="B3853" s="2" t="s">
        <v>7929</v>
      </c>
      <c r="C3853" s="2" t="s">
        <v>7930</v>
      </c>
      <c r="D3853" s="2"/>
      <c r="E3853" s="2" t="s">
        <v>1345</v>
      </c>
      <c r="F3853" s="3" t="n">
        <v>1.2E-005</v>
      </c>
      <c r="G3853" s="3" t="n">
        <f aca="false">SUM($F$2:F3853)</f>
        <v>0.992213</v>
      </c>
      <c r="H3853" s="4"/>
      <c r="I3853" s="5"/>
      <c r="J3853" s="4"/>
      <c r="K3853" s="5"/>
      <c r="L3853" s="6"/>
      <c r="M3853" s="5" t="str">
        <f aca="false">IF(AND(N(K3853)&gt;0,N(L3853)&gt;0),K3853/L3853,"")</f>
        <v/>
      </c>
      <c r="N3853" s="2" t="s">
        <v>1226</v>
      </c>
    </row>
    <row r="3854" customFormat="false" ht="15" hidden="false" customHeight="false" outlineLevel="0" collapsed="false">
      <c r="A3854" s="2" t="n">
        <v>3853</v>
      </c>
      <c r="B3854" s="2" t="s">
        <v>7931</v>
      </c>
      <c r="C3854" s="2" t="s">
        <v>7932</v>
      </c>
      <c r="D3854" s="2"/>
      <c r="E3854" s="2" t="s">
        <v>25</v>
      </c>
      <c r="F3854" s="3" t="n">
        <v>1.2E-005</v>
      </c>
      <c r="G3854" s="3" t="n">
        <f aca="false">SUM($F$2:F3854)</f>
        <v>0.992225</v>
      </c>
      <c r="H3854" s="4"/>
      <c r="I3854" s="5"/>
      <c r="J3854" s="4"/>
      <c r="K3854" s="5"/>
      <c r="L3854" s="6"/>
      <c r="M3854" s="5" t="str">
        <f aca="false">IF(AND(N(K3854)&gt;0,N(L3854)&gt;0),K3854/L3854,"")</f>
        <v/>
      </c>
      <c r="N3854" s="2" t="s">
        <v>1226</v>
      </c>
    </row>
    <row r="3855" customFormat="false" ht="15" hidden="false" customHeight="false" outlineLevel="0" collapsed="false">
      <c r="A3855" s="2" t="n">
        <v>3854</v>
      </c>
      <c r="B3855" s="2" t="s">
        <v>7933</v>
      </c>
      <c r="C3855" s="2" t="s">
        <v>7934</v>
      </c>
      <c r="D3855" s="2"/>
      <c r="E3855" s="2" t="s">
        <v>33</v>
      </c>
      <c r="F3855" s="3" t="n">
        <v>1.2E-005</v>
      </c>
      <c r="G3855" s="3" t="n">
        <f aca="false">SUM($F$2:F3855)</f>
        <v>0.992237</v>
      </c>
      <c r="H3855" s="4"/>
      <c r="I3855" s="5"/>
      <c r="J3855" s="4"/>
      <c r="K3855" s="5"/>
      <c r="L3855" s="6"/>
      <c r="M3855" s="5" t="str">
        <f aca="false">IF(AND(N(K3855)&gt;0,N(L3855)&gt;0),K3855/L3855,"")</f>
        <v/>
      </c>
      <c r="N3855" s="2" t="s">
        <v>1226</v>
      </c>
    </row>
    <row r="3856" customFormat="false" ht="15" hidden="false" customHeight="false" outlineLevel="0" collapsed="false">
      <c r="A3856" s="2" t="n">
        <v>3855</v>
      </c>
      <c r="B3856" s="2" t="s">
        <v>7935</v>
      </c>
      <c r="C3856" s="2" t="s">
        <v>7936</v>
      </c>
      <c r="D3856" s="2"/>
      <c r="E3856" s="2" t="s">
        <v>25</v>
      </c>
      <c r="F3856" s="3" t="n">
        <v>1.2E-005</v>
      </c>
      <c r="G3856" s="3" t="n">
        <f aca="false">SUM($F$2:F3856)</f>
        <v>0.992249</v>
      </c>
      <c r="H3856" s="4"/>
      <c r="I3856" s="5"/>
      <c r="J3856" s="4"/>
      <c r="K3856" s="5"/>
      <c r="L3856" s="6"/>
      <c r="M3856" s="5" t="str">
        <f aca="false">IF(AND(N(K3856)&gt;0,N(L3856)&gt;0),K3856/L3856,"")</f>
        <v/>
      </c>
      <c r="N3856" s="2" t="s">
        <v>1226</v>
      </c>
    </row>
    <row r="3857" customFormat="false" ht="15" hidden="false" customHeight="false" outlineLevel="0" collapsed="false">
      <c r="A3857" s="2" t="n">
        <v>3856</v>
      </c>
      <c r="B3857" s="2" t="s">
        <v>7937</v>
      </c>
      <c r="C3857" s="2" t="s">
        <v>7938</v>
      </c>
      <c r="D3857" s="2"/>
      <c r="E3857" s="2" t="s">
        <v>43</v>
      </c>
      <c r="F3857" s="3" t="n">
        <v>1.2E-005</v>
      </c>
      <c r="G3857" s="3" t="n">
        <f aca="false">SUM($F$2:F3857)</f>
        <v>0.992261</v>
      </c>
      <c r="H3857" s="4"/>
      <c r="I3857" s="5"/>
      <c r="J3857" s="4"/>
      <c r="K3857" s="5"/>
      <c r="L3857" s="6"/>
      <c r="M3857" s="5" t="str">
        <f aca="false">IF(AND(N(K3857)&gt;0,N(L3857)&gt;0),K3857/L3857,"")</f>
        <v/>
      </c>
      <c r="N3857" s="2" t="s">
        <v>1226</v>
      </c>
    </row>
    <row r="3858" customFormat="false" ht="15" hidden="false" customHeight="false" outlineLevel="0" collapsed="false">
      <c r="A3858" s="2" t="n">
        <v>3857</v>
      </c>
      <c r="B3858" s="2" t="s">
        <v>7939</v>
      </c>
      <c r="C3858" s="2" t="s">
        <v>7940</v>
      </c>
      <c r="D3858" s="2"/>
      <c r="E3858" s="2" t="s">
        <v>289</v>
      </c>
      <c r="F3858" s="3" t="n">
        <v>1.2E-005</v>
      </c>
      <c r="G3858" s="3" t="n">
        <f aca="false">SUM($F$2:F3858)</f>
        <v>0.992273</v>
      </c>
      <c r="H3858" s="4"/>
      <c r="I3858" s="5"/>
      <c r="J3858" s="4"/>
      <c r="K3858" s="5"/>
      <c r="L3858" s="6"/>
      <c r="M3858" s="5" t="str">
        <f aca="false">IF(AND(N(K3858)&gt;0,N(L3858)&gt;0),K3858/L3858,"")</f>
        <v/>
      </c>
      <c r="N3858" s="2" t="s">
        <v>1226</v>
      </c>
    </row>
    <row r="3859" customFormat="false" ht="15" hidden="false" customHeight="false" outlineLevel="0" collapsed="false">
      <c r="A3859" s="2" t="n">
        <v>3858</v>
      </c>
      <c r="B3859" s="2" t="s">
        <v>7941</v>
      </c>
      <c r="C3859" s="2" t="s">
        <v>7942</v>
      </c>
      <c r="D3859" s="2"/>
      <c r="E3859" s="2" t="s">
        <v>43</v>
      </c>
      <c r="F3859" s="3" t="n">
        <v>1.2E-005</v>
      </c>
      <c r="G3859" s="3" t="n">
        <f aca="false">SUM($F$2:F3859)</f>
        <v>0.992285</v>
      </c>
      <c r="H3859" s="4"/>
      <c r="I3859" s="5"/>
      <c r="J3859" s="4"/>
      <c r="K3859" s="5"/>
      <c r="L3859" s="6"/>
      <c r="M3859" s="5" t="str">
        <f aca="false">IF(AND(N(K3859)&gt;0,N(L3859)&gt;0),K3859/L3859,"")</f>
        <v/>
      </c>
      <c r="N3859" s="2" t="s">
        <v>1226</v>
      </c>
    </row>
    <row r="3860" customFormat="false" ht="15" hidden="false" customHeight="false" outlineLevel="0" collapsed="false">
      <c r="A3860" s="2" t="n">
        <v>3859</v>
      </c>
      <c r="B3860" s="2" t="s">
        <v>7943</v>
      </c>
      <c r="C3860" s="2" t="s">
        <v>7944</v>
      </c>
      <c r="D3860" s="2"/>
      <c r="E3860" s="2" t="s">
        <v>1284</v>
      </c>
      <c r="F3860" s="3" t="n">
        <v>1.2E-005</v>
      </c>
      <c r="G3860" s="3" t="n">
        <f aca="false">SUM($F$2:F3860)</f>
        <v>0.992297</v>
      </c>
      <c r="H3860" s="4"/>
      <c r="I3860" s="5"/>
      <c r="J3860" s="4"/>
      <c r="K3860" s="5"/>
      <c r="L3860" s="6"/>
      <c r="M3860" s="5" t="str">
        <f aca="false">IF(AND(N(K3860)&gt;0,N(L3860)&gt;0),K3860/L3860,"")</f>
        <v/>
      </c>
      <c r="N3860" s="2" t="s">
        <v>1226</v>
      </c>
    </row>
    <row r="3861" customFormat="false" ht="15" hidden="false" customHeight="false" outlineLevel="0" collapsed="false">
      <c r="A3861" s="2" t="n">
        <v>3860</v>
      </c>
      <c r="B3861" s="2" t="s">
        <v>7945</v>
      </c>
      <c r="C3861" s="2" t="s">
        <v>7946</v>
      </c>
      <c r="D3861" s="2"/>
      <c r="E3861" s="2" t="s">
        <v>17</v>
      </c>
      <c r="F3861" s="3" t="n">
        <v>1.2E-005</v>
      </c>
      <c r="G3861" s="3" t="n">
        <f aca="false">SUM($F$2:F3861)</f>
        <v>0.992309</v>
      </c>
      <c r="H3861" s="4"/>
      <c r="I3861" s="5"/>
      <c r="J3861" s="4"/>
      <c r="K3861" s="5"/>
      <c r="L3861" s="6"/>
      <c r="M3861" s="5" t="str">
        <f aca="false">IF(AND(N(K3861)&gt;0,N(L3861)&gt;0),K3861/L3861,"")</f>
        <v/>
      </c>
      <c r="N3861" s="2" t="s">
        <v>1226</v>
      </c>
    </row>
    <row r="3862" customFormat="false" ht="15" hidden="false" customHeight="false" outlineLevel="0" collapsed="false">
      <c r="A3862" s="2" t="n">
        <v>3861</v>
      </c>
      <c r="B3862" s="2" t="s">
        <v>7947</v>
      </c>
      <c r="C3862" s="2" t="s">
        <v>7948</v>
      </c>
      <c r="D3862" s="2"/>
      <c r="E3862" s="2" t="s">
        <v>52</v>
      </c>
      <c r="F3862" s="3" t="n">
        <v>1.2E-005</v>
      </c>
      <c r="G3862" s="3" t="n">
        <f aca="false">SUM($F$2:F3862)</f>
        <v>0.992321</v>
      </c>
      <c r="H3862" s="4"/>
      <c r="I3862" s="5"/>
      <c r="J3862" s="4"/>
      <c r="K3862" s="5"/>
      <c r="L3862" s="6"/>
      <c r="M3862" s="5" t="str">
        <f aca="false">IF(AND(N(K3862)&gt;0,N(L3862)&gt;0),K3862/L3862,"")</f>
        <v/>
      </c>
      <c r="N3862" s="2" t="s">
        <v>1226</v>
      </c>
    </row>
    <row r="3863" customFormat="false" ht="15" hidden="false" customHeight="false" outlineLevel="0" collapsed="false">
      <c r="A3863" s="2" t="n">
        <v>3862</v>
      </c>
      <c r="B3863" s="2" t="s">
        <v>7949</v>
      </c>
      <c r="C3863" s="2" t="s">
        <v>7950</v>
      </c>
      <c r="D3863" s="2"/>
      <c r="E3863" s="2" t="s">
        <v>1345</v>
      </c>
      <c r="F3863" s="3" t="n">
        <v>1.2E-005</v>
      </c>
      <c r="G3863" s="3" t="n">
        <f aca="false">SUM($F$2:F3863)</f>
        <v>0.992333</v>
      </c>
      <c r="H3863" s="4"/>
      <c r="I3863" s="5"/>
      <c r="J3863" s="4"/>
      <c r="K3863" s="5"/>
      <c r="L3863" s="6"/>
      <c r="M3863" s="5" t="str">
        <f aca="false">IF(AND(N(K3863)&gt;0,N(L3863)&gt;0),K3863/L3863,"")</f>
        <v/>
      </c>
      <c r="N3863" s="2" t="s">
        <v>1226</v>
      </c>
    </row>
    <row r="3864" customFormat="false" ht="15" hidden="false" customHeight="false" outlineLevel="0" collapsed="false">
      <c r="A3864" s="2" t="n">
        <v>3863</v>
      </c>
      <c r="B3864" s="2" t="s">
        <v>7951</v>
      </c>
      <c r="C3864" s="2" t="s">
        <v>7952</v>
      </c>
      <c r="D3864" s="2"/>
      <c r="E3864" s="2" t="s">
        <v>52</v>
      </c>
      <c r="F3864" s="3" t="n">
        <v>1.2E-005</v>
      </c>
      <c r="G3864" s="3" t="n">
        <f aca="false">SUM($F$2:F3864)</f>
        <v>0.992345</v>
      </c>
      <c r="H3864" s="4"/>
      <c r="I3864" s="5"/>
      <c r="J3864" s="4"/>
      <c r="K3864" s="5"/>
      <c r="L3864" s="6"/>
      <c r="M3864" s="5" t="str">
        <f aca="false">IF(AND(N(K3864)&gt;0,N(L3864)&gt;0),K3864/L3864,"")</f>
        <v/>
      </c>
      <c r="N3864" s="2" t="s">
        <v>1226</v>
      </c>
    </row>
    <row r="3865" customFormat="false" ht="15" hidden="false" customHeight="false" outlineLevel="0" collapsed="false">
      <c r="A3865" s="2" t="n">
        <v>3864</v>
      </c>
      <c r="B3865" s="2" t="s">
        <v>7953</v>
      </c>
      <c r="C3865" s="2" t="s">
        <v>7954</v>
      </c>
      <c r="D3865" s="2"/>
      <c r="E3865" s="2" t="s">
        <v>1345</v>
      </c>
      <c r="F3865" s="3" t="n">
        <v>1.2E-005</v>
      </c>
      <c r="G3865" s="3" t="n">
        <f aca="false">SUM($F$2:F3865)</f>
        <v>0.992357</v>
      </c>
      <c r="H3865" s="4"/>
      <c r="I3865" s="5"/>
      <c r="J3865" s="4"/>
      <c r="K3865" s="5"/>
      <c r="L3865" s="6"/>
      <c r="M3865" s="5" t="str">
        <f aca="false">IF(AND(N(K3865)&gt;0,N(L3865)&gt;0),K3865/L3865,"")</f>
        <v/>
      </c>
      <c r="N3865" s="2" t="s">
        <v>1226</v>
      </c>
    </row>
    <row r="3866" customFormat="false" ht="15" hidden="false" customHeight="false" outlineLevel="0" collapsed="false">
      <c r="A3866" s="2" t="n">
        <v>3865</v>
      </c>
      <c r="B3866" s="2" t="s">
        <v>7955</v>
      </c>
      <c r="C3866" s="2" t="s">
        <v>7956</v>
      </c>
      <c r="D3866" s="2"/>
      <c r="E3866" s="2" t="s">
        <v>21</v>
      </c>
      <c r="F3866" s="3" t="n">
        <v>1.2E-005</v>
      </c>
      <c r="G3866" s="3" t="n">
        <f aca="false">SUM($F$2:F3866)</f>
        <v>0.992369</v>
      </c>
      <c r="H3866" s="4"/>
      <c r="I3866" s="5"/>
      <c r="J3866" s="4"/>
      <c r="K3866" s="5"/>
      <c r="L3866" s="6"/>
      <c r="M3866" s="5" t="str">
        <f aca="false">IF(AND(N(K3866)&gt;0,N(L3866)&gt;0),K3866/L3866,"")</f>
        <v/>
      </c>
      <c r="N3866" s="2" t="s">
        <v>1226</v>
      </c>
    </row>
    <row r="3867" customFormat="false" ht="15" hidden="false" customHeight="false" outlineLevel="0" collapsed="false">
      <c r="A3867" s="2" t="n">
        <v>3866</v>
      </c>
      <c r="B3867" s="2" t="s">
        <v>7957</v>
      </c>
      <c r="C3867" s="2" t="s">
        <v>7958</v>
      </c>
      <c r="D3867" s="2"/>
      <c r="E3867" s="2" t="s">
        <v>289</v>
      </c>
      <c r="F3867" s="3" t="n">
        <v>1.2E-005</v>
      </c>
      <c r="G3867" s="3" t="n">
        <f aca="false">SUM($F$2:F3867)</f>
        <v>0.992381</v>
      </c>
      <c r="H3867" s="4"/>
      <c r="I3867" s="5"/>
      <c r="J3867" s="4"/>
      <c r="K3867" s="5"/>
      <c r="L3867" s="6"/>
      <c r="M3867" s="5" t="str">
        <f aca="false">IF(AND(N(K3867)&gt;0,N(L3867)&gt;0),K3867/L3867,"")</f>
        <v/>
      </c>
      <c r="N3867" s="2" t="s">
        <v>1226</v>
      </c>
    </row>
    <row r="3868" customFormat="false" ht="15" hidden="false" customHeight="false" outlineLevel="0" collapsed="false">
      <c r="A3868" s="2" t="n">
        <v>3867</v>
      </c>
      <c r="B3868" s="2" t="s">
        <v>7959</v>
      </c>
      <c r="C3868" s="2" t="s">
        <v>7960</v>
      </c>
      <c r="D3868" s="2"/>
      <c r="E3868" s="2" t="s">
        <v>539</v>
      </c>
      <c r="F3868" s="3" t="n">
        <v>1.2E-005</v>
      </c>
      <c r="G3868" s="3" t="n">
        <f aca="false">SUM($F$2:F3868)</f>
        <v>0.992393</v>
      </c>
      <c r="H3868" s="4"/>
      <c r="I3868" s="5"/>
      <c r="J3868" s="4"/>
      <c r="K3868" s="5"/>
      <c r="L3868" s="6"/>
      <c r="M3868" s="5" t="str">
        <f aca="false">IF(AND(N(K3868)&gt;0,N(L3868)&gt;0),K3868/L3868,"")</f>
        <v/>
      </c>
      <c r="N3868" s="2" t="s">
        <v>1226</v>
      </c>
    </row>
    <row r="3869" customFormat="false" ht="15" hidden="false" customHeight="false" outlineLevel="0" collapsed="false">
      <c r="A3869" s="2" t="n">
        <v>3868</v>
      </c>
      <c r="B3869" s="2" t="s">
        <v>7961</v>
      </c>
      <c r="C3869" s="2" t="s">
        <v>7962</v>
      </c>
      <c r="D3869" s="2"/>
      <c r="E3869" s="2" t="s">
        <v>43</v>
      </c>
      <c r="F3869" s="3" t="n">
        <v>1.2E-005</v>
      </c>
      <c r="G3869" s="3" t="n">
        <f aca="false">SUM($F$2:F3869)</f>
        <v>0.992405</v>
      </c>
      <c r="H3869" s="4"/>
      <c r="I3869" s="5"/>
      <c r="J3869" s="4"/>
      <c r="K3869" s="5"/>
      <c r="L3869" s="6"/>
      <c r="M3869" s="5" t="str">
        <f aca="false">IF(AND(N(K3869)&gt;0,N(L3869)&gt;0),K3869/L3869,"")</f>
        <v/>
      </c>
      <c r="N3869" s="2" t="s">
        <v>1226</v>
      </c>
    </row>
    <row r="3870" customFormat="false" ht="15" hidden="false" customHeight="false" outlineLevel="0" collapsed="false">
      <c r="A3870" s="2" t="n">
        <v>3869</v>
      </c>
      <c r="B3870" s="2" t="s">
        <v>7963</v>
      </c>
      <c r="C3870" s="2" t="s">
        <v>7964</v>
      </c>
      <c r="D3870" s="2"/>
      <c r="E3870" s="2" t="s">
        <v>289</v>
      </c>
      <c r="F3870" s="3" t="n">
        <v>1.2E-005</v>
      </c>
      <c r="G3870" s="3" t="n">
        <f aca="false">SUM($F$2:F3870)</f>
        <v>0.992417</v>
      </c>
      <c r="H3870" s="4"/>
      <c r="I3870" s="5"/>
      <c r="J3870" s="4"/>
      <c r="K3870" s="5"/>
      <c r="L3870" s="6"/>
      <c r="M3870" s="5" t="str">
        <f aca="false">IF(AND(N(K3870)&gt;0,N(L3870)&gt;0),K3870/L3870,"")</f>
        <v/>
      </c>
      <c r="N3870" s="2" t="s">
        <v>1226</v>
      </c>
    </row>
    <row r="3871" customFormat="false" ht="15" hidden="false" customHeight="false" outlineLevel="0" collapsed="false">
      <c r="A3871" s="2" t="n">
        <v>3870</v>
      </c>
      <c r="B3871" s="2" t="s">
        <v>6645</v>
      </c>
      <c r="C3871" s="2" t="s">
        <v>7965</v>
      </c>
      <c r="D3871" s="2"/>
      <c r="E3871" s="2" t="s">
        <v>17</v>
      </c>
      <c r="F3871" s="3" t="n">
        <v>1.2E-005</v>
      </c>
      <c r="G3871" s="3" t="n">
        <f aca="false">SUM($F$2:F3871)</f>
        <v>0.992429</v>
      </c>
      <c r="H3871" s="4"/>
      <c r="I3871" s="5"/>
      <c r="J3871" s="4"/>
      <c r="K3871" s="5"/>
      <c r="L3871" s="6"/>
      <c r="M3871" s="5" t="str">
        <f aca="false">IF(AND(N(K3871)&gt;0,N(L3871)&gt;0),K3871/L3871,"")</f>
        <v/>
      </c>
      <c r="N3871" s="2" t="s">
        <v>1226</v>
      </c>
    </row>
    <row r="3872" customFormat="false" ht="15" hidden="false" customHeight="false" outlineLevel="0" collapsed="false">
      <c r="A3872" s="2" t="n">
        <v>3871</v>
      </c>
      <c r="B3872" s="2" t="s">
        <v>7966</v>
      </c>
      <c r="C3872" s="2" t="s">
        <v>7967</v>
      </c>
      <c r="D3872" s="2"/>
      <c r="E3872" s="2" t="s">
        <v>826</v>
      </c>
      <c r="F3872" s="3" t="n">
        <v>1.2E-005</v>
      </c>
      <c r="G3872" s="3" t="n">
        <f aca="false">SUM($F$2:F3872)</f>
        <v>0.992441</v>
      </c>
      <c r="H3872" s="4"/>
      <c r="I3872" s="5"/>
      <c r="J3872" s="4"/>
      <c r="K3872" s="5"/>
      <c r="L3872" s="6"/>
      <c r="M3872" s="5" t="str">
        <f aca="false">IF(AND(N(K3872)&gt;0,N(L3872)&gt;0),K3872/L3872,"")</f>
        <v/>
      </c>
      <c r="N3872" s="2" t="s">
        <v>1226</v>
      </c>
    </row>
    <row r="3873" customFormat="false" ht="15" hidden="false" customHeight="false" outlineLevel="0" collapsed="false">
      <c r="A3873" s="2" t="n">
        <v>3872</v>
      </c>
      <c r="B3873" s="2" t="s">
        <v>7968</v>
      </c>
      <c r="C3873" s="2" t="s">
        <v>7969</v>
      </c>
      <c r="D3873" s="2"/>
      <c r="E3873" s="2" t="s">
        <v>48</v>
      </c>
      <c r="F3873" s="3" t="n">
        <v>1.2E-005</v>
      </c>
      <c r="G3873" s="3" t="n">
        <f aca="false">SUM($F$2:F3873)</f>
        <v>0.992453</v>
      </c>
      <c r="H3873" s="4"/>
      <c r="I3873" s="5"/>
      <c r="J3873" s="4"/>
      <c r="K3873" s="5"/>
      <c r="L3873" s="6"/>
      <c r="M3873" s="5" t="str">
        <f aca="false">IF(AND(N(K3873)&gt;0,N(L3873)&gt;0),K3873/L3873,"")</f>
        <v/>
      </c>
      <c r="N3873" s="2" t="s">
        <v>1226</v>
      </c>
    </row>
    <row r="3874" customFormat="false" ht="15" hidden="false" customHeight="false" outlineLevel="0" collapsed="false">
      <c r="A3874" s="2" t="n">
        <v>3873</v>
      </c>
      <c r="B3874" s="2" t="s">
        <v>7970</v>
      </c>
      <c r="C3874" s="2" t="s">
        <v>7971</v>
      </c>
      <c r="D3874" s="2"/>
      <c r="E3874" s="2" t="s">
        <v>296</v>
      </c>
      <c r="F3874" s="3" t="n">
        <v>1.1E-005</v>
      </c>
      <c r="G3874" s="3" t="n">
        <f aca="false">SUM($F$2:F3874)</f>
        <v>0.992464</v>
      </c>
      <c r="H3874" s="4"/>
      <c r="I3874" s="5"/>
      <c r="J3874" s="4"/>
      <c r="K3874" s="5"/>
      <c r="L3874" s="6"/>
      <c r="M3874" s="5" t="str">
        <f aca="false">IF(AND(N(K3874)&gt;0,N(L3874)&gt;0),K3874/L3874,"")</f>
        <v/>
      </c>
      <c r="N3874" s="2" t="s">
        <v>1226</v>
      </c>
    </row>
    <row r="3875" customFormat="false" ht="15" hidden="false" customHeight="false" outlineLevel="0" collapsed="false">
      <c r="A3875" s="2" t="n">
        <v>3874</v>
      </c>
      <c r="B3875" s="2" t="s">
        <v>7972</v>
      </c>
      <c r="C3875" s="2" t="s">
        <v>7973</v>
      </c>
      <c r="D3875" s="2"/>
      <c r="E3875" s="2" t="s">
        <v>52</v>
      </c>
      <c r="F3875" s="3" t="n">
        <v>1.1E-005</v>
      </c>
      <c r="G3875" s="3" t="n">
        <f aca="false">SUM($F$2:F3875)</f>
        <v>0.992475</v>
      </c>
      <c r="H3875" s="4"/>
      <c r="I3875" s="5"/>
      <c r="J3875" s="4"/>
      <c r="K3875" s="5"/>
      <c r="L3875" s="6"/>
      <c r="M3875" s="5" t="str">
        <f aca="false">IF(AND(N(K3875)&gt;0,N(L3875)&gt;0),K3875/L3875,"")</f>
        <v/>
      </c>
      <c r="N3875" s="2" t="s">
        <v>1226</v>
      </c>
    </row>
    <row r="3876" customFormat="false" ht="15" hidden="false" customHeight="false" outlineLevel="0" collapsed="false">
      <c r="A3876" s="2" t="n">
        <v>3875</v>
      </c>
      <c r="B3876" s="2" t="s">
        <v>7974</v>
      </c>
      <c r="C3876" s="2" t="s">
        <v>7975</v>
      </c>
      <c r="D3876" s="2"/>
      <c r="E3876" s="2" t="s">
        <v>1345</v>
      </c>
      <c r="F3876" s="3" t="n">
        <v>1.1E-005</v>
      </c>
      <c r="G3876" s="3" t="n">
        <f aca="false">SUM($F$2:F3876)</f>
        <v>0.992486</v>
      </c>
      <c r="H3876" s="4"/>
      <c r="I3876" s="5"/>
      <c r="J3876" s="4"/>
      <c r="K3876" s="5"/>
      <c r="L3876" s="6"/>
      <c r="M3876" s="5" t="str">
        <f aca="false">IF(AND(N(K3876)&gt;0,N(L3876)&gt;0),K3876/L3876,"")</f>
        <v/>
      </c>
      <c r="N3876" s="2" t="s">
        <v>1226</v>
      </c>
    </row>
    <row r="3877" customFormat="false" ht="15" hidden="false" customHeight="false" outlineLevel="0" collapsed="false">
      <c r="A3877" s="2" t="n">
        <v>3876</v>
      </c>
      <c r="B3877" s="2" t="s">
        <v>7976</v>
      </c>
      <c r="C3877" s="2" t="s">
        <v>7977</v>
      </c>
      <c r="D3877" s="2"/>
      <c r="E3877" s="2" t="s">
        <v>43</v>
      </c>
      <c r="F3877" s="3" t="n">
        <v>1.1E-005</v>
      </c>
      <c r="G3877" s="3" t="n">
        <f aca="false">SUM($F$2:F3877)</f>
        <v>0.992497</v>
      </c>
      <c r="H3877" s="4"/>
      <c r="I3877" s="5"/>
      <c r="J3877" s="4"/>
      <c r="K3877" s="5"/>
      <c r="L3877" s="6"/>
      <c r="M3877" s="5" t="str">
        <f aca="false">IF(AND(N(K3877)&gt;0,N(L3877)&gt;0),K3877/L3877,"")</f>
        <v/>
      </c>
      <c r="N3877" s="2" t="s">
        <v>1226</v>
      </c>
    </row>
    <row r="3878" customFormat="false" ht="15" hidden="false" customHeight="false" outlineLevel="0" collapsed="false">
      <c r="A3878" s="2" t="n">
        <v>3877</v>
      </c>
      <c r="B3878" s="2" t="s">
        <v>7978</v>
      </c>
      <c r="C3878" s="2" t="s">
        <v>7979</v>
      </c>
      <c r="D3878" s="2"/>
      <c r="E3878" s="2" t="s">
        <v>1345</v>
      </c>
      <c r="F3878" s="3" t="n">
        <v>1.1E-005</v>
      </c>
      <c r="G3878" s="3" t="n">
        <f aca="false">SUM($F$2:F3878)</f>
        <v>0.992508</v>
      </c>
      <c r="H3878" s="4"/>
      <c r="I3878" s="5"/>
      <c r="J3878" s="4"/>
      <c r="K3878" s="5"/>
      <c r="L3878" s="6"/>
      <c r="M3878" s="5" t="str">
        <f aca="false">IF(AND(N(K3878)&gt;0,N(L3878)&gt;0),K3878/L3878,"")</f>
        <v/>
      </c>
      <c r="N3878" s="2" t="s">
        <v>1226</v>
      </c>
    </row>
    <row r="3879" customFormat="false" ht="15" hidden="false" customHeight="false" outlineLevel="0" collapsed="false">
      <c r="A3879" s="2" t="n">
        <v>3878</v>
      </c>
      <c r="B3879" s="2" t="s">
        <v>7980</v>
      </c>
      <c r="C3879" s="2" t="s">
        <v>7981</v>
      </c>
      <c r="D3879" s="2"/>
      <c r="E3879" s="2" t="s">
        <v>1345</v>
      </c>
      <c r="F3879" s="3" t="n">
        <v>1.1E-005</v>
      </c>
      <c r="G3879" s="3" t="n">
        <f aca="false">SUM($F$2:F3879)</f>
        <v>0.992519</v>
      </c>
      <c r="H3879" s="4"/>
      <c r="I3879" s="5"/>
      <c r="J3879" s="4"/>
      <c r="K3879" s="5"/>
      <c r="L3879" s="6"/>
      <c r="M3879" s="5" t="str">
        <f aca="false">IF(AND(N(K3879)&gt;0,N(L3879)&gt;0),K3879/L3879,"")</f>
        <v/>
      </c>
      <c r="N3879" s="2" t="s">
        <v>1226</v>
      </c>
    </row>
    <row r="3880" customFormat="false" ht="15" hidden="false" customHeight="false" outlineLevel="0" collapsed="false">
      <c r="A3880" s="2" t="n">
        <v>3879</v>
      </c>
      <c r="B3880" s="2" t="s">
        <v>7982</v>
      </c>
      <c r="C3880" s="2" t="s">
        <v>7983</v>
      </c>
      <c r="D3880" s="2"/>
      <c r="E3880" s="2" t="s">
        <v>52</v>
      </c>
      <c r="F3880" s="3" t="n">
        <v>1.1E-005</v>
      </c>
      <c r="G3880" s="3" t="n">
        <f aca="false">SUM($F$2:F3880)</f>
        <v>0.99253</v>
      </c>
      <c r="H3880" s="4"/>
      <c r="I3880" s="5"/>
      <c r="J3880" s="4"/>
      <c r="K3880" s="5"/>
      <c r="L3880" s="6"/>
      <c r="M3880" s="5" t="str">
        <f aca="false">IF(AND(N(K3880)&gt;0,N(L3880)&gt;0),K3880/L3880,"")</f>
        <v/>
      </c>
      <c r="N3880" s="2" t="s">
        <v>1226</v>
      </c>
    </row>
    <row r="3881" customFormat="false" ht="15" hidden="false" customHeight="false" outlineLevel="0" collapsed="false">
      <c r="A3881" s="2" t="n">
        <v>3880</v>
      </c>
      <c r="B3881" s="2" t="s">
        <v>7984</v>
      </c>
      <c r="C3881" s="2" t="s">
        <v>7985</v>
      </c>
      <c r="D3881" s="2"/>
      <c r="E3881" s="2" t="s">
        <v>52</v>
      </c>
      <c r="F3881" s="3" t="n">
        <v>1.1E-005</v>
      </c>
      <c r="G3881" s="3" t="n">
        <f aca="false">SUM($F$2:F3881)</f>
        <v>0.992541</v>
      </c>
      <c r="H3881" s="4"/>
      <c r="I3881" s="5"/>
      <c r="J3881" s="4"/>
      <c r="K3881" s="5"/>
      <c r="L3881" s="6"/>
      <c r="M3881" s="5" t="str">
        <f aca="false">IF(AND(N(K3881)&gt;0,N(L3881)&gt;0),K3881/L3881,"")</f>
        <v/>
      </c>
      <c r="N3881" s="2" t="s">
        <v>1226</v>
      </c>
    </row>
    <row r="3882" customFormat="false" ht="15" hidden="false" customHeight="false" outlineLevel="0" collapsed="false">
      <c r="A3882" s="2" t="n">
        <v>3881</v>
      </c>
      <c r="B3882" s="2" t="s">
        <v>7986</v>
      </c>
      <c r="C3882" s="2" t="s">
        <v>7987</v>
      </c>
      <c r="D3882" s="2"/>
      <c r="E3882" s="2" t="s">
        <v>334</v>
      </c>
      <c r="F3882" s="3" t="n">
        <v>1.1E-005</v>
      </c>
      <c r="G3882" s="3" t="n">
        <f aca="false">SUM($F$2:F3882)</f>
        <v>0.992552</v>
      </c>
      <c r="H3882" s="4"/>
      <c r="I3882" s="5"/>
      <c r="J3882" s="4"/>
      <c r="K3882" s="5"/>
      <c r="L3882" s="6"/>
      <c r="M3882" s="5" t="str">
        <f aca="false">IF(AND(N(K3882)&gt;0,N(L3882)&gt;0),K3882/L3882,"")</f>
        <v/>
      </c>
      <c r="N3882" s="2" t="s">
        <v>1226</v>
      </c>
    </row>
    <row r="3883" customFormat="false" ht="15" hidden="false" customHeight="false" outlineLevel="0" collapsed="false">
      <c r="A3883" s="2" t="n">
        <v>3882</v>
      </c>
      <c r="B3883" s="2" t="s">
        <v>7988</v>
      </c>
      <c r="C3883" s="2" t="s">
        <v>7989</v>
      </c>
      <c r="D3883" s="2"/>
      <c r="E3883" s="2" t="s">
        <v>1345</v>
      </c>
      <c r="F3883" s="3" t="n">
        <v>1.1E-005</v>
      </c>
      <c r="G3883" s="3" t="n">
        <f aca="false">SUM($F$2:F3883)</f>
        <v>0.992563</v>
      </c>
      <c r="H3883" s="4"/>
      <c r="I3883" s="5"/>
      <c r="J3883" s="4"/>
      <c r="K3883" s="5"/>
      <c r="L3883" s="6"/>
      <c r="M3883" s="5" t="str">
        <f aca="false">IF(AND(N(K3883)&gt;0,N(L3883)&gt;0),K3883/L3883,"")</f>
        <v/>
      </c>
      <c r="N3883" s="2" t="s">
        <v>1226</v>
      </c>
    </row>
    <row r="3884" customFormat="false" ht="15" hidden="false" customHeight="false" outlineLevel="0" collapsed="false">
      <c r="A3884" s="2" t="n">
        <v>3883</v>
      </c>
      <c r="B3884" s="2" t="s">
        <v>7990</v>
      </c>
      <c r="C3884" s="2" t="s">
        <v>7991</v>
      </c>
      <c r="D3884" s="2"/>
      <c r="E3884" s="2" t="s">
        <v>52</v>
      </c>
      <c r="F3884" s="3" t="n">
        <v>1.1E-005</v>
      </c>
      <c r="G3884" s="3" t="n">
        <f aca="false">SUM($F$2:F3884)</f>
        <v>0.992574</v>
      </c>
      <c r="H3884" s="4"/>
      <c r="I3884" s="5"/>
      <c r="J3884" s="4"/>
      <c r="K3884" s="5"/>
      <c r="L3884" s="6"/>
      <c r="M3884" s="5" t="str">
        <f aca="false">IF(AND(N(K3884)&gt;0,N(L3884)&gt;0),K3884/L3884,"")</f>
        <v/>
      </c>
      <c r="N3884" s="2" t="s">
        <v>1226</v>
      </c>
    </row>
    <row r="3885" customFormat="false" ht="15" hidden="false" customHeight="false" outlineLevel="0" collapsed="false">
      <c r="A3885" s="2" t="n">
        <v>3884</v>
      </c>
      <c r="B3885" s="2" t="s">
        <v>7992</v>
      </c>
      <c r="C3885" s="2" t="s">
        <v>7993</v>
      </c>
      <c r="D3885" s="2"/>
      <c r="E3885" s="2" t="s">
        <v>289</v>
      </c>
      <c r="F3885" s="3" t="n">
        <v>1.1E-005</v>
      </c>
      <c r="G3885" s="3" t="n">
        <f aca="false">SUM($F$2:F3885)</f>
        <v>0.992585</v>
      </c>
      <c r="H3885" s="4"/>
      <c r="I3885" s="5"/>
      <c r="J3885" s="4"/>
      <c r="K3885" s="5"/>
      <c r="L3885" s="6"/>
      <c r="M3885" s="5" t="str">
        <f aca="false">IF(AND(N(K3885)&gt;0,N(L3885)&gt;0),K3885/L3885,"")</f>
        <v/>
      </c>
      <c r="N3885" s="2" t="s">
        <v>1226</v>
      </c>
    </row>
    <row r="3886" customFormat="false" ht="15" hidden="false" customHeight="false" outlineLevel="0" collapsed="false">
      <c r="A3886" s="2" t="n">
        <v>3885</v>
      </c>
      <c r="B3886" s="2" t="s">
        <v>7994</v>
      </c>
      <c r="C3886" s="2" t="s">
        <v>7995</v>
      </c>
      <c r="D3886" s="2"/>
      <c r="E3886" s="2" t="s">
        <v>1345</v>
      </c>
      <c r="F3886" s="3" t="n">
        <v>1.1E-005</v>
      </c>
      <c r="G3886" s="3" t="n">
        <f aca="false">SUM($F$2:F3886)</f>
        <v>0.992596</v>
      </c>
      <c r="H3886" s="4"/>
      <c r="I3886" s="5"/>
      <c r="J3886" s="4"/>
      <c r="K3886" s="5"/>
      <c r="L3886" s="6"/>
      <c r="M3886" s="5" t="str">
        <f aca="false">IF(AND(N(K3886)&gt;0,N(L3886)&gt;0),K3886/L3886,"")</f>
        <v/>
      </c>
      <c r="N3886" s="2" t="s">
        <v>1226</v>
      </c>
    </row>
    <row r="3887" customFormat="false" ht="15" hidden="false" customHeight="false" outlineLevel="0" collapsed="false">
      <c r="A3887" s="2" t="n">
        <v>3886</v>
      </c>
      <c r="B3887" s="2" t="s">
        <v>7996</v>
      </c>
      <c r="C3887" s="2" t="s">
        <v>7997</v>
      </c>
      <c r="D3887" s="2"/>
      <c r="E3887" s="2" t="s">
        <v>1345</v>
      </c>
      <c r="F3887" s="3" t="n">
        <v>1.1E-005</v>
      </c>
      <c r="G3887" s="3" t="n">
        <f aca="false">SUM($F$2:F3887)</f>
        <v>0.992607</v>
      </c>
      <c r="H3887" s="4"/>
      <c r="I3887" s="5"/>
      <c r="J3887" s="4"/>
      <c r="K3887" s="5"/>
      <c r="L3887" s="6"/>
      <c r="M3887" s="5" t="str">
        <f aca="false">IF(AND(N(K3887)&gt;0,N(L3887)&gt;0),K3887/L3887,"")</f>
        <v/>
      </c>
      <c r="N3887" s="2" t="s">
        <v>1226</v>
      </c>
    </row>
    <row r="3888" customFormat="false" ht="15" hidden="false" customHeight="false" outlineLevel="0" collapsed="false">
      <c r="A3888" s="2" t="n">
        <v>3887</v>
      </c>
      <c r="B3888" s="2" t="s">
        <v>7998</v>
      </c>
      <c r="C3888" s="2" t="s">
        <v>7999</v>
      </c>
      <c r="D3888" s="2"/>
      <c r="E3888" s="2" t="s">
        <v>17</v>
      </c>
      <c r="F3888" s="3" t="n">
        <v>1.1E-005</v>
      </c>
      <c r="G3888" s="3" t="n">
        <f aca="false">SUM($F$2:F3888)</f>
        <v>0.992618</v>
      </c>
      <c r="H3888" s="4"/>
      <c r="I3888" s="5"/>
      <c r="J3888" s="4"/>
      <c r="K3888" s="5"/>
      <c r="L3888" s="6"/>
      <c r="M3888" s="5" t="str">
        <f aca="false">IF(AND(N(K3888)&gt;0,N(L3888)&gt;0),K3888/L3888,"")</f>
        <v/>
      </c>
      <c r="N3888" s="2" t="s">
        <v>1226</v>
      </c>
    </row>
    <row r="3889" customFormat="false" ht="15" hidden="false" customHeight="false" outlineLevel="0" collapsed="false">
      <c r="A3889" s="2" t="n">
        <v>3888</v>
      </c>
      <c r="B3889" s="2" t="s">
        <v>8000</v>
      </c>
      <c r="C3889" s="2" t="s">
        <v>8001</v>
      </c>
      <c r="D3889" s="2"/>
      <c r="E3889" s="2" t="s">
        <v>1345</v>
      </c>
      <c r="F3889" s="3" t="n">
        <v>1.1E-005</v>
      </c>
      <c r="G3889" s="3" t="n">
        <f aca="false">SUM($F$2:F3889)</f>
        <v>0.992629</v>
      </c>
      <c r="H3889" s="4"/>
      <c r="I3889" s="5"/>
      <c r="J3889" s="4"/>
      <c r="K3889" s="5"/>
      <c r="L3889" s="6"/>
      <c r="M3889" s="5" t="str">
        <f aca="false">IF(AND(N(K3889)&gt;0,N(L3889)&gt;0),K3889/L3889,"")</f>
        <v/>
      </c>
      <c r="N3889" s="2" t="s">
        <v>1226</v>
      </c>
    </row>
    <row r="3890" customFormat="false" ht="15" hidden="false" customHeight="false" outlineLevel="0" collapsed="false">
      <c r="A3890" s="2" t="n">
        <v>3889</v>
      </c>
      <c r="B3890" s="2" t="s">
        <v>8002</v>
      </c>
      <c r="C3890" s="2" t="s">
        <v>8003</v>
      </c>
      <c r="D3890" s="2"/>
      <c r="E3890" s="2" t="s">
        <v>1345</v>
      </c>
      <c r="F3890" s="3" t="n">
        <v>1.1E-005</v>
      </c>
      <c r="G3890" s="3" t="n">
        <f aca="false">SUM($F$2:F3890)</f>
        <v>0.99264</v>
      </c>
      <c r="H3890" s="4"/>
      <c r="I3890" s="5"/>
      <c r="J3890" s="4"/>
      <c r="K3890" s="5"/>
      <c r="L3890" s="6"/>
      <c r="M3890" s="5" t="str">
        <f aca="false">IF(AND(N(K3890)&gt;0,N(L3890)&gt;0),K3890/L3890,"")</f>
        <v/>
      </c>
      <c r="N3890" s="2" t="s">
        <v>1226</v>
      </c>
    </row>
    <row r="3891" customFormat="false" ht="15" hidden="false" customHeight="false" outlineLevel="0" collapsed="false">
      <c r="A3891" s="2" t="n">
        <v>3890</v>
      </c>
      <c r="B3891" s="2" t="s">
        <v>8004</v>
      </c>
      <c r="C3891" s="2" t="s">
        <v>8005</v>
      </c>
      <c r="D3891" s="2"/>
      <c r="E3891" s="2" t="s">
        <v>289</v>
      </c>
      <c r="F3891" s="3" t="n">
        <v>1.1E-005</v>
      </c>
      <c r="G3891" s="3" t="n">
        <f aca="false">SUM($F$2:F3891)</f>
        <v>0.992651</v>
      </c>
      <c r="H3891" s="4"/>
      <c r="I3891" s="5"/>
      <c r="J3891" s="4"/>
      <c r="K3891" s="5"/>
      <c r="L3891" s="6"/>
      <c r="M3891" s="5" t="str">
        <f aca="false">IF(AND(N(K3891)&gt;0,N(L3891)&gt;0),K3891/L3891,"")</f>
        <v/>
      </c>
      <c r="N3891" s="2" t="s">
        <v>1226</v>
      </c>
    </row>
    <row r="3892" customFormat="false" ht="15" hidden="false" customHeight="false" outlineLevel="0" collapsed="false">
      <c r="A3892" s="2" t="n">
        <v>3891</v>
      </c>
      <c r="B3892" s="2" t="s">
        <v>8006</v>
      </c>
      <c r="C3892" s="2" t="s">
        <v>8007</v>
      </c>
      <c r="D3892" s="2"/>
      <c r="E3892" s="2" t="s">
        <v>52</v>
      </c>
      <c r="F3892" s="3" t="n">
        <v>1.1E-005</v>
      </c>
      <c r="G3892" s="3" t="n">
        <f aca="false">SUM($F$2:F3892)</f>
        <v>0.992662</v>
      </c>
      <c r="H3892" s="4"/>
      <c r="I3892" s="5"/>
      <c r="J3892" s="4"/>
      <c r="K3892" s="5"/>
      <c r="L3892" s="6"/>
      <c r="M3892" s="5" t="str">
        <f aca="false">IF(AND(N(K3892)&gt;0,N(L3892)&gt;0),K3892/L3892,"")</f>
        <v/>
      </c>
      <c r="N3892" s="2" t="s">
        <v>1226</v>
      </c>
    </row>
    <row r="3893" customFormat="false" ht="15" hidden="false" customHeight="false" outlineLevel="0" collapsed="false">
      <c r="A3893" s="2" t="n">
        <v>3892</v>
      </c>
      <c r="B3893" s="2" t="s">
        <v>8008</v>
      </c>
      <c r="C3893" s="2" t="s">
        <v>8009</v>
      </c>
      <c r="D3893" s="2"/>
      <c r="E3893" s="2" t="s">
        <v>1345</v>
      </c>
      <c r="F3893" s="3" t="n">
        <v>1.1E-005</v>
      </c>
      <c r="G3893" s="3" t="n">
        <f aca="false">SUM($F$2:F3893)</f>
        <v>0.992673</v>
      </c>
      <c r="H3893" s="4"/>
      <c r="I3893" s="5"/>
      <c r="J3893" s="4"/>
      <c r="K3893" s="5"/>
      <c r="L3893" s="6"/>
      <c r="M3893" s="5" t="str">
        <f aca="false">IF(AND(N(K3893)&gt;0,N(L3893)&gt;0),K3893/L3893,"")</f>
        <v/>
      </c>
      <c r="N3893" s="2" t="s">
        <v>1226</v>
      </c>
    </row>
    <row r="3894" customFormat="false" ht="15" hidden="false" customHeight="false" outlineLevel="0" collapsed="false">
      <c r="A3894" s="2" t="n">
        <v>3893</v>
      </c>
      <c r="B3894" s="2" t="s">
        <v>8010</v>
      </c>
      <c r="C3894" s="2" t="s">
        <v>8011</v>
      </c>
      <c r="D3894" s="2"/>
      <c r="E3894" s="2" t="s">
        <v>539</v>
      </c>
      <c r="F3894" s="3" t="n">
        <v>1.1E-005</v>
      </c>
      <c r="G3894" s="3" t="n">
        <f aca="false">SUM($F$2:F3894)</f>
        <v>0.992684</v>
      </c>
      <c r="H3894" s="4"/>
      <c r="I3894" s="5"/>
      <c r="J3894" s="4"/>
      <c r="K3894" s="5"/>
      <c r="L3894" s="6"/>
      <c r="M3894" s="5" t="str">
        <f aca="false">IF(AND(N(K3894)&gt;0,N(L3894)&gt;0),K3894/L3894,"")</f>
        <v/>
      </c>
      <c r="N3894" s="2" t="s">
        <v>1226</v>
      </c>
    </row>
    <row r="3895" customFormat="false" ht="15" hidden="false" customHeight="false" outlineLevel="0" collapsed="false">
      <c r="A3895" s="2" t="n">
        <v>3894</v>
      </c>
      <c r="B3895" s="2" t="s">
        <v>8012</v>
      </c>
      <c r="C3895" s="2" t="s">
        <v>8013</v>
      </c>
      <c r="D3895" s="2"/>
      <c r="E3895" s="2" t="s">
        <v>1345</v>
      </c>
      <c r="F3895" s="3" t="n">
        <v>1.1E-005</v>
      </c>
      <c r="G3895" s="3" t="n">
        <f aca="false">SUM($F$2:F3895)</f>
        <v>0.992695</v>
      </c>
      <c r="H3895" s="4"/>
      <c r="I3895" s="5"/>
      <c r="J3895" s="4"/>
      <c r="K3895" s="5"/>
      <c r="L3895" s="6"/>
      <c r="M3895" s="5" t="str">
        <f aca="false">IF(AND(N(K3895)&gt;0,N(L3895)&gt;0),K3895/L3895,"")</f>
        <v/>
      </c>
      <c r="N3895" s="2" t="s">
        <v>1226</v>
      </c>
    </row>
    <row r="3896" customFormat="false" ht="15" hidden="false" customHeight="false" outlineLevel="0" collapsed="false">
      <c r="A3896" s="2" t="n">
        <v>3895</v>
      </c>
      <c r="B3896" s="2" t="s">
        <v>8014</v>
      </c>
      <c r="C3896" s="2" t="s">
        <v>8015</v>
      </c>
      <c r="D3896" s="2"/>
      <c r="E3896" s="2" t="s">
        <v>52</v>
      </c>
      <c r="F3896" s="3" t="n">
        <v>1.1E-005</v>
      </c>
      <c r="G3896" s="3" t="n">
        <f aca="false">SUM($F$2:F3896)</f>
        <v>0.992706</v>
      </c>
      <c r="H3896" s="4"/>
      <c r="I3896" s="5"/>
      <c r="J3896" s="4"/>
      <c r="K3896" s="5"/>
      <c r="L3896" s="6"/>
      <c r="M3896" s="5" t="str">
        <f aca="false">IF(AND(N(K3896)&gt;0,N(L3896)&gt;0),K3896/L3896,"")</f>
        <v/>
      </c>
      <c r="N3896" s="2" t="s">
        <v>1226</v>
      </c>
    </row>
    <row r="3897" customFormat="false" ht="15" hidden="false" customHeight="false" outlineLevel="0" collapsed="false">
      <c r="A3897" s="2" t="n">
        <v>3896</v>
      </c>
      <c r="B3897" s="2" t="s">
        <v>8016</v>
      </c>
      <c r="C3897" s="2" t="s">
        <v>8017</v>
      </c>
      <c r="D3897" s="2"/>
      <c r="E3897" s="2" t="s">
        <v>33</v>
      </c>
      <c r="F3897" s="3" t="n">
        <v>1.1E-005</v>
      </c>
      <c r="G3897" s="3" t="n">
        <f aca="false">SUM($F$2:F3897)</f>
        <v>0.992717</v>
      </c>
      <c r="H3897" s="4"/>
      <c r="I3897" s="5"/>
      <c r="J3897" s="4"/>
      <c r="K3897" s="5"/>
      <c r="L3897" s="6"/>
      <c r="M3897" s="5" t="str">
        <f aca="false">IF(AND(N(K3897)&gt;0,N(L3897)&gt;0),K3897/L3897,"")</f>
        <v/>
      </c>
      <c r="N3897" s="2" t="s">
        <v>1226</v>
      </c>
    </row>
    <row r="3898" customFormat="false" ht="15" hidden="false" customHeight="false" outlineLevel="0" collapsed="false">
      <c r="A3898" s="2" t="n">
        <v>3897</v>
      </c>
      <c r="B3898" s="2" t="s">
        <v>8018</v>
      </c>
      <c r="C3898" s="2" t="s">
        <v>8019</v>
      </c>
      <c r="D3898" s="2"/>
      <c r="E3898" s="2" t="s">
        <v>43</v>
      </c>
      <c r="F3898" s="3" t="n">
        <v>1.1E-005</v>
      </c>
      <c r="G3898" s="3" t="n">
        <f aca="false">SUM($F$2:F3898)</f>
        <v>0.992728</v>
      </c>
      <c r="H3898" s="4"/>
      <c r="I3898" s="5"/>
      <c r="J3898" s="4"/>
      <c r="K3898" s="5"/>
      <c r="L3898" s="6"/>
      <c r="M3898" s="5" t="str">
        <f aca="false">IF(AND(N(K3898)&gt;0,N(L3898)&gt;0),K3898/L3898,"")</f>
        <v/>
      </c>
      <c r="N3898" s="2" t="s">
        <v>1226</v>
      </c>
    </row>
    <row r="3899" customFormat="false" ht="15" hidden="false" customHeight="false" outlineLevel="0" collapsed="false">
      <c r="A3899" s="2" t="n">
        <v>3898</v>
      </c>
      <c r="B3899" s="2" t="s">
        <v>8020</v>
      </c>
      <c r="C3899" s="2" t="s">
        <v>8021</v>
      </c>
      <c r="D3899" s="2"/>
      <c r="E3899" s="2" t="s">
        <v>1345</v>
      </c>
      <c r="F3899" s="3" t="n">
        <v>1.1E-005</v>
      </c>
      <c r="G3899" s="3" t="n">
        <f aca="false">SUM($F$2:F3899)</f>
        <v>0.992739</v>
      </c>
      <c r="H3899" s="4"/>
      <c r="I3899" s="5"/>
      <c r="J3899" s="4"/>
      <c r="K3899" s="5"/>
      <c r="L3899" s="6"/>
      <c r="M3899" s="5" t="str">
        <f aca="false">IF(AND(N(K3899)&gt;0,N(L3899)&gt;0),K3899/L3899,"")</f>
        <v/>
      </c>
      <c r="N3899" s="2" t="s">
        <v>1226</v>
      </c>
    </row>
    <row r="3900" customFormat="false" ht="15" hidden="false" customHeight="false" outlineLevel="0" collapsed="false">
      <c r="A3900" s="2" t="n">
        <v>3899</v>
      </c>
      <c r="B3900" s="2" t="s">
        <v>8022</v>
      </c>
      <c r="C3900" s="2" t="s">
        <v>8023</v>
      </c>
      <c r="D3900" s="2"/>
      <c r="E3900" s="2" t="s">
        <v>1295</v>
      </c>
      <c r="F3900" s="3" t="n">
        <v>1.1E-005</v>
      </c>
      <c r="G3900" s="3" t="n">
        <f aca="false">SUM($F$2:F3900)</f>
        <v>0.99275</v>
      </c>
      <c r="H3900" s="4"/>
      <c r="I3900" s="5"/>
      <c r="J3900" s="4"/>
      <c r="K3900" s="5"/>
      <c r="L3900" s="6"/>
      <c r="M3900" s="5" t="str">
        <f aca="false">IF(AND(N(K3900)&gt;0,N(L3900)&gt;0),K3900/L3900,"")</f>
        <v/>
      </c>
      <c r="N3900" s="2" t="s">
        <v>1226</v>
      </c>
    </row>
    <row r="3901" customFormat="false" ht="15" hidden="false" customHeight="false" outlineLevel="0" collapsed="false">
      <c r="A3901" s="2" t="n">
        <v>3900</v>
      </c>
      <c r="B3901" s="2" t="s">
        <v>8024</v>
      </c>
      <c r="C3901" s="2" t="s">
        <v>8025</v>
      </c>
      <c r="D3901" s="2"/>
      <c r="E3901" s="2" t="s">
        <v>289</v>
      </c>
      <c r="F3901" s="3" t="n">
        <v>1.1E-005</v>
      </c>
      <c r="G3901" s="3" t="n">
        <f aca="false">SUM($F$2:F3901)</f>
        <v>0.992761</v>
      </c>
      <c r="H3901" s="4"/>
      <c r="I3901" s="5"/>
      <c r="J3901" s="4"/>
      <c r="K3901" s="5"/>
      <c r="L3901" s="6"/>
      <c r="M3901" s="5" t="str">
        <f aca="false">IF(AND(N(K3901)&gt;0,N(L3901)&gt;0),K3901/L3901,"")</f>
        <v/>
      </c>
      <c r="N3901" s="2" t="s">
        <v>1226</v>
      </c>
    </row>
    <row r="3902" customFormat="false" ht="15" hidden="false" customHeight="false" outlineLevel="0" collapsed="false">
      <c r="A3902" s="2" t="n">
        <v>3901</v>
      </c>
      <c r="B3902" s="2" t="s">
        <v>8026</v>
      </c>
      <c r="C3902" s="2" t="s">
        <v>8027</v>
      </c>
      <c r="D3902" s="2"/>
      <c r="E3902" s="2" t="s">
        <v>1345</v>
      </c>
      <c r="F3902" s="3" t="n">
        <v>1.1E-005</v>
      </c>
      <c r="G3902" s="3" t="n">
        <f aca="false">SUM($F$2:F3902)</f>
        <v>0.992772</v>
      </c>
      <c r="H3902" s="4"/>
      <c r="I3902" s="5"/>
      <c r="J3902" s="4"/>
      <c r="K3902" s="5"/>
      <c r="L3902" s="6"/>
      <c r="M3902" s="5" t="str">
        <f aca="false">IF(AND(N(K3902)&gt;0,N(L3902)&gt;0),K3902/L3902,"")</f>
        <v/>
      </c>
      <c r="N3902" s="2" t="s">
        <v>1226</v>
      </c>
    </row>
    <row r="3903" customFormat="false" ht="15" hidden="false" customHeight="false" outlineLevel="0" collapsed="false">
      <c r="A3903" s="2" t="n">
        <v>3902</v>
      </c>
      <c r="B3903" s="2" t="s">
        <v>8028</v>
      </c>
      <c r="C3903" s="2" t="s">
        <v>8029</v>
      </c>
      <c r="D3903" s="2"/>
      <c r="E3903" s="2" t="s">
        <v>82</v>
      </c>
      <c r="F3903" s="3" t="n">
        <v>1.1E-005</v>
      </c>
      <c r="G3903" s="3" t="n">
        <f aca="false">SUM($F$2:F3903)</f>
        <v>0.992783</v>
      </c>
      <c r="H3903" s="4"/>
      <c r="I3903" s="5"/>
      <c r="J3903" s="4"/>
      <c r="K3903" s="5"/>
      <c r="L3903" s="6"/>
      <c r="M3903" s="5" t="str">
        <f aca="false">IF(AND(N(K3903)&gt;0,N(L3903)&gt;0),K3903/L3903,"")</f>
        <v/>
      </c>
      <c r="N3903" s="2" t="s">
        <v>1226</v>
      </c>
    </row>
    <row r="3904" customFormat="false" ht="15" hidden="false" customHeight="false" outlineLevel="0" collapsed="false">
      <c r="A3904" s="2" t="n">
        <v>3903</v>
      </c>
      <c r="B3904" s="2" t="s">
        <v>8030</v>
      </c>
      <c r="C3904" s="2" t="s">
        <v>8031</v>
      </c>
      <c r="D3904" s="2"/>
      <c r="E3904" s="2" t="s">
        <v>1345</v>
      </c>
      <c r="F3904" s="3" t="n">
        <v>1.1E-005</v>
      </c>
      <c r="G3904" s="3" t="n">
        <f aca="false">SUM($F$2:F3904)</f>
        <v>0.992794</v>
      </c>
      <c r="H3904" s="4"/>
      <c r="I3904" s="5"/>
      <c r="J3904" s="4"/>
      <c r="K3904" s="5"/>
      <c r="L3904" s="6"/>
      <c r="M3904" s="5" t="str">
        <f aca="false">IF(AND(N(K3904)&gt;0,N(L3904)&gt;0),K3904/L3904,"")</f>
        <v/>
      </c>
      <c r="N3904" s="2" t="s">
        <v>1226</v>
      </c>
    </row>
    <row r="3905" customFormat="false" ht="15" hidden="false" customHeight="false" outlineLevel="0" collapsed="false">
      <c r="A3905" s="2" t="n">
        <v>3904</v>
      </c>
      <c r="B3905" s="2" t="s">
        <v>8032</v>
      </c>
      <c r="C3905" s="2" t="s">
        <v>8033</v>
      </c>
      <c r="D3905" s="2"/>
      <c r="E3905" s="2" t="s">
        <v>1345</v>
      </c>
      <c r="F3905" s="3" t="n">
        <v>1.1E-005</v>
      </c>
      <c r="G3905" s="3" t="n">
        <f aca="false">SUM($F$2:F3905)</f>
        <v>0.992805</v>
      </c>
      <c r="H3905" s="4"/>
      <c r="I3905" s="5"/>
      <c r="J3905" s="4"/>
      <c r="K3905" s="5"/>
      <c r="L3905" s="6"/>
      <c r="M3905" s="5" t="str">
        <f aca="false">IF(AND(N(K3905)&gt;0,N(L3905)&gt;0),K3905/L3905,"")</f>
        <v/>
      </c>
      <c r="N3905" s="2" t="s">
        <v>1226</v>
      </c>
    </row>
    <row r="3906" customFormat="false" ht="15" hidden="false" customHeight="false" outlineLevel="0" collapsed="false">
      <c r="A3906" s="2" t="n">
        <v>3905</v>
      </c>
      <c r="B3906" s="2" t="s">
        <v>8034</v>
      </c>
      <c r="C3906" s="2" t="s">
        <v>8035</v>
      </c>
      <c r="D3906" s="2"/>
      <c r="E3906" s="2" t="s">
        <v>289</v>
      </c>
      <c r="F3906" s="3" t="n">
        <v>1.1E-005</v>
      </c>
      <c r="G3906" s="3" t="n">
        <f aca="false">SUM($F$2:F3906)</f>
        <v>0.992816</v>
      </c>
      <c r="H3906" s="4"/>
      <c r="I3906" s="5"/>
      <c r="J3906" s="4"/>
      <c r="K3906" s="5"/>
      <c r="L3906" s="6"/>
      <c r="M3906" s="5" t="str">
        <f aca="false">IF(AND(N(K3906)&gt;0,N(L3906)&gt;0),K3906/L3906,"")</f>
        <v/>
      </c>
      <c r="N3906" s="2" t="s">
        <v>1226</v>
      </c>
    </row>
    <row r="3907" customFormat="false" ht="15" hidden="false" customHeight="false" outlineLevel="0" collapsed="false">
      <c r="A3907" s="2" t="n">
        <v>3906</v>
      </c>
      <c r="B3907" s="2" t="s">
        <v>4341</v>
      </c>
      <c r="C3907" s="2" t="s">
        <v>8036</v>
      </c>
      <c r="D3907" s="2"/>
      <c r="E3907" s="2" t="s">
        <v>17</v>
      </c>
      <c r="F3907" s="3" t="n">
        <v>1.1E-005</v>
      </c>
      <c r="G3907" s="3" t="n">
        <f aca="false">SUM($F$2:F3907)</f>
        <v>0.992827</v>
      </c>
      <c r="H3907" s="4"/>
      <c r="I3907" s="5"/>
      <c r="J3907" s="4"/>
      <c r="K3907" s="5"/>
      <c r="L3907" s="6"/>
      <c r="M3907" s="5" t="str">
        <f aca="false">IF(AND(N(K3907)&gt;0,N(L3907)&gt;0),K3907/L3907,"")</f>
        <v/>
      </c>
      <c r="N3907" s="2" t="s">
        <v>1226</v>
      </c>
    </row>
    <row r="3908" customFormat="false" ht="15" hidden="false" customHeight="false" outlineLevel="0" collapsed="false">
      <c r="A3908" s="2" t="n">
        <v>3907</v>
      </c>
      <c r="B3908" s="2" t="s">
        <v>8037</v>
      </c>
      <c r="C3908" s="2" t="s">
        <v>8038</v>
      </c>
      <c r="D3908" s="2"/>
      <c r="E3908" s="2" t="s">
        <v>1345</v>
      </c>
      <c r="F3908" s="3" t="n">
        <v>1.1E-005</v>
      </c>
      <c r="G3908" s="3" t="n">
        <f aca="false">SUM($F$2:F3908)</f>
        <v>0.992838</v>
      </c>
      <c r="H3908" s="4"/>
      <c r="I3908" s="5"/>
      <c r="J3908" s="4"/>
      <c r="K3908" s="5"/>
      <c r="L3908" s="6"/>
      <c r="M3908" s="5" t="str">
        <f aca="false">IF(AND(N(K3908)&gt;0,N(L3908)&gt;0),K3908/L3908,"")</f>
        <v/>
      </c>
      <c r="N3908" s="2" t="s">
        <v>1226</v>
      </c>
    </row>
    <row r="3909" customFormat="false" ht="15" hidden="false" customHeight="false" outlineLevel="0" collapsed="false">
      <c r="A3909" s="2" t="n">
        <v>3908</v>
      </c>
      <c r="B3909" s="2" t="s">
        <v>8039</v>
      </c>
      <c r="C3909" s="2" t="s">
        <v>8040</v>
      </c>
      <c r="D3909" s="2"/>
      <c r="E3909" s="2" t="s">
        <v>289</v>
      </c>
      <c r="F3909" s="3" t="n">
        <v>1.1E-005</v>
      </c>
      <c r="G3909" s="3" t="n">
        <f aca="false">SUM($F$2:F3909)</f>
        <v>0.992849</v>
      </c>
      <c r="H3909" s="4"/>
      <c r="I3909" s="5"/>
      <c r="J3909" s="4"/>
      <c r="K3909" s="5"/>
      <c r="L3909" s="6"/>
      <c r="M3909" s="5" t="str">
        <f aca="false">IF(AND(N(K3909)&gt;0,N(L3909)&gt;0),K3909/L3909,"")</f>
        <v/>
      </c>
      <c r="N3909" s="2" t="s">
        <v>1226</v>
      </c>
    </row>
    <row r="3910" customFormat="false" ht="15" hidden="false" customHeight="false" outlineLevel="0" collapsed="false">
      <c r="A3910" s="2" t="n">
        <v>3909</v>
      </c>
      <c r="B3910" s="2" t="s">
        <v>8041</v>
      </c>
      <c r="C3910" s="2" t="s">
        <v>8042</v>
      </c>
      <c r="D3910" s="2"/>
      <c r="E3910" s="2" t="s">
        <v>1345</v>
      </c>
      <c r="F3910" s="3" t="n">
        <v>1.1E-005</v>
      </c>
      <c r="G3910" s="3" t="n">
        <f aca="false">SUM($F$2:F3910)</f>
        <v>0.99286</v>
      </c>
      <c r="H3910" s="4"/>
      <c r="I3910" s="5"/>
      <c r="J3910" s="4"/>
      <c r="K3910" s="5"/>
      <c r="L3910" s="6"/>
      <c r="M3910" s="5" t="str">
        <f aca="false">IF(AND(N(K3910)&gt;0,N(L3910)&gt;0),K3910/L3910,"")</f>
        <v/>
      </c>
      <c r="N3910" s="2" t="s">
        <v>1226</v>
      </c>
    </row>
    <row r="3911" customFormat="false" ht="15" hidden="false" customHeight="false" outlineLevel="0" collapsed="false">
      <c r="A3911" s="2" t="n">
        <v>3910</v>
      </c>
      <c r="B3911" s="2" t="s">
        <v>8043</v>
      </c>
      <c r="C3911" s="2" t="s">
        <v>8044</v>
      </c>
      <c r="D3911" s="2"/>
      <c r="E3911" s="2" t="s">
        <v>1345</v>
      </c>
      <c r="F3911" s="3" t="n">
        <v>1.1E-005</v>
      </c>
      <c r="G3911" s="3" t="n">
        <f aca="false">SUM($F$2:F3911)</f>
        <v>0.992871</v>
      </c>
      <c r="H3911" s="4"/>
      <c r="I3911" s="5"/>
      <c r="J3911" s="4"/>
      <c r="K3911" s="5"/>
      <c r="L3911" s="6"/>
      <c r="M3911" s="5" t="str">
        <f aca="false">IF(AND(N(K3911)&gt;0,N(L3911)&gt;0),K3911/L3911,"")</f>
        <v/>
      </c>
      <c r="N3911" s="2" t="s">
        <v>1226</v>
      </c>
    </row>
    <row r="3912" customFormat="false" ht="15" hidden="false" customHeight="false" outlineLevel="0" collapsed="false">
      <c r="A3912" s="2" t="n">
        <v>3911</v>
      </c>
      <c r="B3912" s="2" t="s">
        <v>8045</v>
      </c>
      <c r="C3912" s="2" t="s">
        <v>8046</v>
      </c>
      <c r="D3912" s="2"/>
      <c r="E3912" s="2" t="s">
        <v>1345</v>
      </c>
      <c r="F3912" s="3" t="n">
        <v>1.1E-005</v>
      </c>
      <c r="G3912" s="3" t="n">
        <f aca="false">SUM($F$2:F3912)</f>
        <v>0.992882</v>
      </c>
      <c r="H3912" s="4"/>
      <c r="I3912" s="5"/>
      <c r="J3912" s="4"/>
      <c r="K3912" s="5"/>
      <c r="L3912" s="6"/>
      <c r="M3912" s="5" t="str">
        <f aca="false">IF(AND(N(K3912)&gt;0,N(L3912)&gt;0),K3912/L3912,"")</f>
        <v/>
      </c>
      <c r="N3912" s="2" t="s">
        <v>1226</v>
      </c>
    </row>
    <row r="3913" customFormat="false" ht="15" hidden="false" customHeight="false" outlineLevel="0" collapsed="false">
      <c r="A3913" s="2" t="n">
        <v>3912</v>
      </c>
      <c r="B3913" s="2" t="s">
        <v>8047</v>
      </c>
      <c r="C3913" s="2" t="s">
        <v>8048</v>
      </c>
      <c r="D3913" s="2"/>
      <c r="E3913" s="2" t="s">
        <v>52</v>
      </c>
      <c r="F3913" s="3" t="n">
        <v>1.1E-005</v>
      </c>
      <c r="G3913" s="3" t="n">
        <f aca="false">SUM($F$2:F3913)</f>
        <v>0.992893</v>
      </c>
      <c r="H3913" s="4"/>
      <c r="I3913" s="5"/>
      <c r="J3913" s="4"/>
      <c r="K3913" s="5"/>
      <c r="L3913" s="6"/>
      <c r="M3913" s="5" t="str">
        <f aca="false">IF(AND(N(K3913)&gt;0,N(L3913)&gt;0),K3913/L3913,"")</f>
        <v/>
      </c>
      <c r="N3913" s="2" t="s">
        <v>1226</v>
      </c>
    </row>
    <row r="3914" customFormat="false" ht="15" hidden="false" customHeight="false" outlineLevel="0" collapsed="false">
      <c r="A3914" s="2" t="n">
        <v>3913</v>
      </c>
      <c r="B3914" s="2" t="s">
        <v>8049</v>
      </c>
      <c r="C3914" s="2" t="s">
        <v>8050</v>
      </c>
      <c r="D3914" s="2"/>
      <c r="E3914" s="2" t="s">
        <v>1345</v>
      </c>
      <c r="F3914" s="3" t="n">
        <v>1.1E-005</v>
      </c>
      <c r="G3914" s="3" t="n">
        <f aca="false">SUM($F$2:F3914)</f>
        <v>0.992904</v>
      </c>
      <c r="H3914" s="4"/>
      <c r="I3914" s="5"/>
      <c r="J3914" s="4"/>
      <c r="K3914" s="5"/>
      <c r="L3914" s="6"/>
      <c r="M3914" s="5" t="str">
        <f aca="false">IF(AND(N(K3914)&gt;0,N(L3914)&gt;0),K3914/L3914,"")</f>
        <v/>
      </c>
      <c r="N3914" s="2" t="s">
        <v>1226</v>
      </c>
    </row>
    <row r="3915" customFormat="false" ht="15" hidden="false" customHeight="false" outlineLevel="0" collapsed="false">
      <c r="A3915" s="2" t="n">
        <v>3914</v>
      </c>
      <c r="B3915" s="2" t="s">
        <v>8051</v>
      </c>
      <c r="C3915" s="2" t="s">
        <v>8052</v>
      </c>
      <c r="D3915" s="2"/>
      <c r="E3915" s="2" t="s">
        <v>1345</v>
      </c>
      <c r="F3915" s="3" t="n">
        <v>1.1E-005</v>
      </c>
      <c r="G3915" s="3" t="n">
        <f aca="false">SUM($F$2:F3915)</f>
        <v>0.992915</v>
      </c>
      <c r="H3915" s="4"/>
      <c r="I3915" s="5"/>
      <c r="J3915" s="4"/>
      <c r="K3915" s="5"/>
      <c r="L3915" s="6"/>
      <c r="M3915" s="5" t="str">
        <f aca="false">IF(AND(N(K3915)&gt;0,N(L3915)&gt;0),K3915/L3915,"")</f>
        <v/>
      </c>
      <c r="N3915" s="2" t="s">
        <v>1226</v>
      </c>
    </row>
    <row r="3916" customFormat="false" ht="15" hidden="false" customHeight="false" outlineLevel="0" collapsed="false">
      <c r="A3916" s="2" t="n">
        <v>3915</v>
      </c>
      <c r="B3916" s="2" t="s">
        <v>8053</v>
      </c>
      <c r="C3916" s="2" t="s">
        <v>8054</v>
      </c>
      <c r="D3916" s="2"/>
      <c r="E3916" s="2" t="s">
        <v>1345</v>
      </c>
      <c r="F3916" s="3" t="n">
        <v>1.1E-005</v>
      </c>
      <c r="G3916" s="3" t="n">
        <f aca="false">SUM($F$2:F3916)</f>
        <v>0.992926</v>
      </c>
      <c r="H3916" s="4"/>
      <c r="I3916" s="5"/>
      <c r="J3916" s="4"/>
      <c r="K3916" s="5"/>
      <c r="L3916" s="6"/>
      <c r="M3916" s="5" t="str">
        <f aca="false">IF(AND(N(K3916)&gt;0,N(L3916)&gt;0),K3916/L3916,"")</f>
        <v/>
      </c>
      <c r="N3916" s="2" t="s">
        <v>1226</v>
      </c>
    </row>
    <row r="3917" customFormat="false" ht="15" hidden="false" customHeight="false" outlineLevel="0" collapsed="false">
      <c r="A3917" s="2" t="n">
        <v>3916</v>
      </c>
      <c r="B3917" s="2" t="s">
        <v>8055</v>
      </c>
      <c r="C3917" s="2" t="s">
        <v>8056</v>
      </c>
      <c r="D3917" s="2"/>
      <c r="E3917" s="2" t="s">
        <v>1345</v>
      </c>
      <c r="F3917" s="3" t="n">
        <v>1.1E-005</v>
      </c>
      <c r="G3917" s="3" t="n">
        <f aca="false">SUM($F$2:F3917)</f>
        <v>0.992937</v>
      </c>
      <c r="H3917" s="4"/>
      <c r="I3917" s="5"/>
      <c r="J3917" s="4"/>
      <c r="K3917" s="5"/>
      <c r="L3917" s="6"/>
      <c r="M3917" s="5" t="str">
        <f aca="false">IF(AND(N(K3917)&gt;0,N(L3917)&gt;0),K3917/L3917,"")</f>
        <v/>
      </c>
      <c r="N3917" s="2" t="s">
        <v>1226</v>
      </c>
    </row>
    <row r="3918" customFormat="false" ht="15" hidden="false" customHeight="false" outlineLevel="0" collapsed="false">
      <c r="A3918" s="2" t="n">
        <v>3917</v>
      </c>
      <c r="B3918" s="2" t="s">
        <v>8057</v>
      </c>
      <c r="C3918" s="2" t="s">
        <v>8058</v>
      </c>
      <c r="D3918" s="2"/>
      <c r="E3918" s="2" t="s">
        <v>1345</v>
      </c>
      <c r="F3918" s="3" t="n">
        <v>1.1E-005</v>
      </c>
      <c r="G3918" s="3" t="n">
        <f aca="false">SUM($F$2:F3918)</f>
        <v>0.992948</v>
      </c>
      <c r="H3918" s="4"/>
      <c r="I3918" s="5"/>
      <c r="J3918" s="4"/>
      <c r="K3918" s="5"/>
      <c r="L3918" s="6"/>
      <c r="M3918" s="5" t="str">
        <f aca="false">IF(AND(N(K3918)&gt;0,N(L3918)&gt;0),K3918/L3918,"")</f>
        <v/>
      </c>
      <c r="N3918" s="2" t="s">
        <v>1226</v>
      </c>
    </row>
    <row r="3919" customFormat="false" ht="15" hidden="false" customHeight="false" outlineLevel="0" collapsed="false">
      <c r="A3919" s="2" t="n">
        <v>3918</v>
      </c>
      <c r="B3919" s="2" t="s">
        <v>8059</v>
      </c>
      <c r="C3919" s="2" t="s">
        <v>8060</v>
      </c>
      <c r="D3919" s="2"/>
      <c r="E3919" s="2" t="s">
        <v>1345</v>
      </c>
      <c r="F3919" s="3" t="n">
        <v>1.1E-005</v>
      </c>
      <c r="G3919" s="3" t="n">
        <f aca="false">SUM($F$2:F3919)</f>
        <v>0.992959</v>
      </c>
      <c r="H3919" s="4"/>
      <c r="I3919" s="5"/>
      <c r="J3919" s="4"/>
      <c r="K3919" s="5"/>
      <c r="L3919" s="6"/>
      <c r="M3919" s="5" t="str">
        <f aca="false">IF(AND(N(K3919)&gt;0,N(L3919)&gt;0),K3919/L3919,"")</f>
        <v/>
      </c>
      <c r="N3919" s="2" t="s">
        <v>1226</v>
      </c>
    </row>
    <row r="3920" customFormat="false" ht="15" hidden="false" customHeight="false" outlineLevel="0" collapsed="false">
      <c r="A3920" s="2" t="n">
        <v>3919</v>
      </c>
      <c r="B3920" s="2" t="s">
        <v>8061</v>
      </c>
      <c r="C3920" s="2" t="s">
        <v>8062</v>
      </c>
      <c r="D3920" s="2"/>
      <c r="E3920" s="2" t="s">
        <v>17</v>
      </c>
      <c r="F3920" s="3" t="n">
        <v>1.1E-005</v>
      </c>
      <c r="G3920" s="3" t="n">
        <f aca="false">SUM($F$2:F3920)</f>
        <v>0.99297</v>
      </c>
      <c r="H3920" s="4"/>
      <c r="I3920" s="5"/>
      <c r="J3920" s="4"/>
      <c r="K3920" s="5"/>
      <c r="L3920" s="6"/>
      <c r="M3920" s="5" t="str">
        <f aca="false">IF(AND(N(K3920)&gt;0,N(L3920)&gt;0),K3920/L3920,"")</f>
        <v/>
      </c>
      <c r="N3920" s="2" t="s">
        <v>1226</v>
      </c>
    </row>
    <row r="3921" customFormat="false" ht="15" hidden="false" customHeight="false" outlineLevel="0" collapsed="false">
      <c r="A3921" s="2" t="n">
        <v>3920</v>
      </c>
      <c r="B3921" s="2" t="s">
        <v>8063</v>
      </c>
      <c r="C3921" s="2" t="s">
        <v>8064</v>
      </c>
      <c r="D3921" s="2"/>
      <c r="E3921" s="2" t="s">
        <v>2055</v>
      </c>
      <c r="F3921" s="3" t="n">
        <v>1.1E-005</v>
      </c>
      <c r="G3921" s="3" t="n">
        <f aca="false">SUM($F$2:F3921)</f>
        <v>0.992981</v>
      </c>
      <c r="H3921" s="4"/>
      <c r="I3921" s="5"/>
      <c r="J3921" s="4"/>
      <c r="K3921" s="5"/>
      <c r="L3921" s="6"/>
      <c r="M3921" s="5" t="str">
        <f aca="false">IF(AND(N(K3921)&gt;0,N(L3921)&gt;0),K3921/L3921,"")</f>
        <v/>
      </c>
      <c r="N3921" s="2" t="s">
        <v>1226</v>
      </c>
    </row>
    <row r="3922" customFormat="false" ht="15" hidden="false" customHeight="false" outlineLevel="0" collapsed="false">
      <c r="A3922" s="2" t="n">
        <v>3921</v>
      </c>
      <c r="B3922" s="2" t="s">
        <v>8065</v>
      </c>
      <c r="C3922" s="2" t="s">
        <v>8066</v>
      </c>
      <c r="D3922" s="2"/>
      <c r="E3922" s="2" t="s">
        <v>539</v>
      </c>
      <c r="F3922" s="3" t="n">
        <v>1.1E-005</v>
      </c>
      <c r="G3922" s="3" t="n">
        <f aca="false">SUM($F$2:F3922)</f>
        <v>0.992992</v>
      </c>
      <c r="H3922" s="4"/>
      <c r="I3922" s="5"/>
      <c r="J3922" s="4"/>
      <c r="K3922" s="5"/>
      <c r="L3922" s="6"/>
      <c r="M3922" s="5" t="str">
        <f aca="false">IF(AND(N(K3922)&gt;0,N(L3922)&gt;0),K3922/L3922,"")</f>
        <v/>
      </c>
      <c r="N3922" s="2" t="s">
        <v>1226</v>
      </c>
    </row>
    <row r="3923" customFormat="false" ht="15" hidden="false" customHeight="false" outlineLevel="0" collapsed="false">
      <c r="A3923" s="2" t="n">
        <v>3922</v>
      </c>
      <c r="B3923" s="2" t="s">
        <v>8067</v>
      </c>
      <c r="C3923" s="2" t="s">
        <v>8068</v>
      </c>
      <c r="D3923" s="2"/>
      <c r="E3923" s="2" t="s">
        <v>289</v>
      </c>
      <c r="F3923" s="3" t="n">
        <v>1.1E-005</v>
      </c>
      <c r="G3923" s="3" t="n">
        <f aca="false">SUM($F$2:F3923)</f>
        <v>0.993003</v>
      </c>
      <c r="H3923" s="4"/>
      <c r="I3923" s="5"/>
      <c r="J3923" s="4"/>
      <c r="K3923" s="5"/>
      <c r="L3923" s="6"/>
      <c r="M3923" s="5" t="str">
        <f aca="false">IF(AND(N(K3923)&gt;0,N(L3923)&gt;0),K3923/L3923,"")</f>
        <v/>
      </c>
      <c r="N3923" s="2" t="s">
        <v>1226</v>
      </c>
    </row>
    <row r="3924" customFormat="false" ht="15" hidden="false" customHeight="false" outlineLevel="0" collapsed="false">
      <c r="A3924" s="2" t="n">
        <v>3923</v>
      </c>
      <c r="B3924" s="2" t="s">
        <v>8069</v>
      </c>
      <c r="C3924" s="2" t="s">
        <v>8070</v>
      </c>
      <c r="D3924" s="2"/>
      <c r="E3924" s="2" t="s">
        <v>52</v>
      </c>
      <c r="F3924" s="3" t="n">
        <v>1.1E-005</v>
      </c>
      <c r="G3924" s="3" t="n">
        <f aca="false">SUM($F$2:F3924)</f>
        <v>0.993014</v>
      </c>
      <c r="H3924" s="4"/>
      <c r="I3924" s="5"/>
      <c r="J3924" s="4"/>
      <c r="K3924" s="5"/>
      <c r="L3924" s="6"/>
      <c r="M3924" s="5" t="str">
        <f aca="false">IF(AND(N(K3924)&gt;0,N(L3924)&gt;0),K3924/L3924,"")</f>
        <v/>
      </c>
      <c r="N3924" s="2" t="s">
        <v>1226</v>
      </c>
    </row>
    <row r="3925" customFormat="false" ht="15" hidden="false" customHeight="false" outlineLevel="0" collapsed="false">
      <c r="A3925" s="2" t="n">
        <v>3924</v>
      </c>
      <c r="B3925" s="2" t="s">
        <v>8071</v>
      </c>
      <c r="C3925" s="2" t="s">
        <v>8072</v>
      </c>
      <c r="D3925" s="2"/>
      <c r="E3925" s="2" t="s">
        <v>48</v>
      </c>
      <c r="F3925" s="3" t="n">
        <v>1.1E-005</v>
      </c>
      <c r="G3925" s="3" t="n">
        <f aca="false">SUM($F$2:F3925)</f>
        <v>0.993025</v>
      </c>
      <c r="H3925" s="4"/>
      <c r="I3925" s="5"/>
      <c r="J3925" s="4"/>
      <c r="K3925" s="5"/>
      <c r="L3925" s="6"/>
      <c r="M3925" s="5" t="str">
        <f aca="false">IF(AND(N(K3925)&gt;0,N(L3925)&gt;0),K3925/L3925,"")</f>
        <v/>
      </c>
      <c r="N3925" s="2" t="s">
        <v>1226</v>
      </c>
    </row>
    <row r="3926" customFormat="false" ht="15" hidden="false" customHeight="false" outlineLevel="0" collapsed="false">
      <c r="A3926" s="2" t="n">
        <v>3925</v>
      </c>
      <c r="B3926" s="2" t="s">
        <v>8073</v>
      </c>
      <c r="C3926" s="2" t="s">
        <v>8074</v>
      </c>
      <c r="D3926" s="2"/>
      <c r="E3926" s="2" t="s">
        <v>289</v>
      </c>
      <c r="F3926" s="3" t="n">
        <v>1.1E-005</v>
      </c>
      <c r="G3926" s="3" t="n">
        <f aca="false">SUM($F$2:F3926)</f>
        <v>0.993036</v>
      </c>
      <c r="H3926" s="4"/>
      <c r="I3926" s="5"/>
      <c r="J3926" s="4"/>
      <c r="K3926" s="5"/>
      <c r="L3926" s="6"/>
      <c r="M3926" s="5" t="str">
        <f aca="false">IF(AND(N(K3926)&gt;0,N(L3926)&gt;0),K3926/L3926,"")</f>
        <v/>
      </c>
      <c r="N3926" s="2" t="s">
        <v>1226</v>
      </c>
    </row>
    <row r="3927" customFormat="false" ht="15" hidden="false" customHeight="false" outlineLevel="0" collapsed="false">
      <c r="A3927" s="2" t="n">
        <v>3926</v>
      </c>
      <c r="B3927" s="2" t="s">
        <v>8075</v>
      </c>
      <c r="C3927" s="2" t="s">
        <v>8076</v>
      </c>
      <c r="D3927" s="2"/>
      <c r="E3927" s="2" t="s">
        <v>289</v>
      </c>
      <c r="F3927" s="3" t="n">
        <v>1.1E-005</v>
      </c>
      <c r="G3927" s="3" t="n">
        <f aca="false">SUM($F$2:F3927)</f>
        <v>0.993047</v>
      </c>
      <c r="H3927" s="4"/>
      <c r="I3927" s="5"/>
      <c r="J3927" s="4"/>
      <c r="K3927" s="5"/>
      <c r="L3927" s="6"/>
      <c r="M3927" s="5" t="str">
        <f aca="false">IF(AND(N(K3927)&gt;0,N(L3927)&gt;0),K3927/L3927,"")</f>
        <v/>
      </c>
      <c r="N3927" s="2" t="s">
        <v>1226</v>
      </c>
    </row>
    <row r="3928" customFormat="false" ht="15" hidden="false" customHeight="false" outlineLevel="0" collapsed="false">
      <c r="A3928" s="2" t="n">
        <v>3927</v>
      </c>
      <c r="B3928" s="2" t="s">
        <v>301</v>
      </c>
      <c r="C3928" s="2" t="s">
        <v>8077</v>
      </c>
      <c r="D3928" s="2"/>
      <c r="E3928" s="2" t="s">
        <v>1215</v>
      </c>
      <c r="F3928" s="3" t="n">
        <v>1.1E-005</v>
      </c>
      <c r="G3928" s="3" t="n">
        <f aca="false">SUM($F$2:F3928)</f>
        <v>0.993058</v>
      </c>
      <c r="H3928" s="4"/>
      <c r="I3928" s="5"/>
      <c r="J3928" s="4"/>
      <c r="K3928" s="5"/>
      <c r="L3928" s="6"/>
      <c r="M3928" s="5" t="str">
        <f aca="false">IF(AND(N(K3928)&gt;0,N(L3928)&gt;0),K3928/L3928,"")</f>
        <v/>
      </c>
      <c r="N3928" s="2" t="s">
        <v>34</v>
      </c>
    </row>
    <row r="3929" customFormat="false" ht="15" hidden="false" customHeight="false" outlineLevel="0" collapsed="false">
      <c r="A3929" s="2" t="n">
        <v>3928</v>
      </c>
      <c r="B3929" s="2" t="s">
        <v>8078</v>
      </c>
      <c r="C3929" s="2" t="s">
        <v>8079</v>
      </c>
      <c r="D3929" s="2"/>
      <c r="E3929" s="2" t="s">
        <v>1345</v>
      </c>
      <c r="F3929" s="3" t="n">
        <v>1.1E-005</v>
      </c>
      <c r="G3929" s="3" t="n">
        <f aca="false">SUM($F$2:F3929)</f>
        <v>0.993069</v>
      </c>
      <c r="H3929" s="4"/>
      <c r="I3929" s="5"/>
      <c r="J3929" s="4"/>
      <c r="K3929" s="5"/>
      <c r="L3929" s="6"/>
      <c r="M3929" s="5" t="str">
        <f aca="false">IF(AND(N(K3929)&gt;0,N(L3929)&gt;0),K3929/L3929,"")</f>
        <v/>
      </c>
      <c r="N3929" s="2" t="s">
        <v>1226</v>
      </c>
    </row>
    <row r="3930" customFormat="false" ht="15" hidden="false" customHeight="false" outlineLevel="0" collapsed="false">
      <c r="A3930" s="2" t="n">
        <v>3929</v>
      </c>
      <c r="B3930" s="2" t="s">
        <v>8080</v>
      </c>
      <c r="C3930" s="2" t="s">
        <v>8081</v>
      </c>
      <c r="D3930" s="2"/>
      <c r="E3930" s="2" t="s">
        <v>539</v>
      </c>
      <c r="F3930" s="3" t="n">
        <v>1.1E-005</v>
      </c>
      <c r="G3930" s="3" t="n">
        <f aca="false">SUM($F$2:F3930)</f>
        <v>0.99308</v>
      </c>
      <c r="H3930" s="4"/>
      <c r="I3930" s="5"/>
      <c r="J3930" s="4"/>
      <c r="K3930" s="5"/>
      <c r="L3930" s="6"/>
      <c r="M3930" s="5" t="str">
        <f aca="false">IF(AND(N(K3930)&gt;0,N(L3930)&gt;0),K3930/L3930,"")</f>
        <v/>
      </c>
      <c r="N3930" s="2" t="s">
        <v>1226</v>
      </c>
    </row>
    <row r="3931" customFormat="false" ht="15" hidden="false" customHeight="false" outlineLevel="0" collapsed="false">
      <c r="A3931" s="2" t="n">
        <v>3930</v>
      </c>
      <c r="B3931" s="2" t="s">
        <v>8082</v>
      </c>
      <c r="C3931" s="2" t="s">
        <v>8083</v>
      </c>
      <c r="D3931" s="2"/>
      <c r="E3931" s="2" t="s">
        <v>25</v>
      </c>
      <c r="F3931" s="3" t="n">
        <v>1.1E-005</v>
      </c>
      <c r="G3931" s="3" t="n">
        <f aca="false">SUM($F$2:F3931)</f>
        <v>0.993091</v>
      </c>
      <c r="H3931" s="4"/>
      <c r="I3931" s="5"/>
      <c r="J3931" s="4"/>
      <c r="K3931" s="5"/>
      <c r="L3931" s="6"/>
      <c r="M3931" s="5" t="str">
        <f aca="false">IF(AND(N(K3931)&gt;0,N(L3931)&gt;0),K3931/L3931,"")</f>
        <v/>
      </c>
      <c r="N3931" s="2" t="s">
        <v>1226</v>
      </c>
    </row>
    <row r="3932" customFormat="false" ht="15" hidden="false" customHeight="false" outlineLevel="0" collapsed="false">
      <c r="A3932" s="2" t="n">
        <v>3931</v>
      </c>
      <c r="B3932" s="2" t="s">
        <v>8084</v>
      </c>
      <c r="C3932" s="2" t="s">
        <v>8085</v>
      </c>
      <c r="D3932" s="2"/>
      <c r="E3932" s="2" t="s">
        <v>1345</v>
      </c>
      <c r="F3932" s="3" t="n">
        <v>1.1E-005</v>
      </c>
      <c r="G3932" s="3" t="n">
        <f aca="false">SUM($F$2:F3932)</f>
        <v>0.993102</v>
      </c>
      <c r="H3932" s="4"/>
      <c r="I3932" s="5"/>
      <c r="J3932" s="4"/>
      <c r="K3932" s="5"/>
      <c r="L3932" s="6"/>
      <c r="M3932" s="5" t="str">
        <f aca="false">IF(AND(N(K3932)&gt;0,N(L3932)&gt;0),K3932/L3932,"")</f>
        <v/>
      </c>
      <c r="N3932" s="2" t="s">
        <v>1226</v>
      </c>
    </row>
    <row r="3933" customFormat="false" ht="15" hidden="false" customHeight="false" outlineLevel="0" collapsed="false">
      <c r="A3933" s="2" t="n">
        <v>3932</v>
      </c>
      <c r="B3933" s="2" t="s">
        <v>8086</v>
      </c>
      <c r="C3933" s="2" t="s">
        <v>8087</v>
      </c>
      <c r="D3933" s="2"/>
      <c r="E3933" s="2" t="s">
        <v>289</v>
      </c>
      <c r="F3933" s="3" t="n">
        <v>1.1E-005</v>
      </c>
      <c r="G3933" s="3" t="n">
        <f aca="false">SUM($F$2:F3933)</f>
        <v>0.993113</v>
      </c>
      <c r="H3933" s="4"/>
      <c r="I3933" s="5"/>
      <c r="J3933" s="4"/>
      <c r="K3933" s="5"/>
      <c r="L3933" s="6"/>
      <c r="M3933" s="5" t="str">
        <f aca="false">IF(AND(N(K3933)&gt;0,N(L3933)&gt;0),K3933/L3933,"")</f>
        <v/>
      </c>
      <c r="N3933" s="2" t="s">
        <v>1226</v>
      </c>
    </row>
    <row r="3934" customFormat="false" ht="15" hidden="false" customHeight="false" outlineLevel="0" collapsed="false">
      <c r="A3934" s="2" t="n">
        <v>3933</v>
      </c>
      <c r="B3934" s="2" t="s">
        <v>8088</v>
      </c>
      <c r="C3934" s="2" t="s">
        <v>8089</v>
      </c>
      <c r="D3934" s="2"/>
      <c r="E3934" s="2" t="s">
        <v>1345</v>
      </c>
      <c r="F3934" s="3" t="n">
        <v>1.1E-005</v>
      </c>
      <c r="G3934" s="3" t="n">
        <f aca="false">SUM($F$2:F3934)</f>
        <v>0.993124</v>
      </c>
      <c r="H3934" s="4"/>
      <c r="I3934" s="5"/>
      <c r="J3934" s="4"/>
      <c r="K3934" s="5"/>
      <c r="L3934" s="6"/>
      <c r="M3934" s="5" t="str">
        <f aca="false">IF(AND(N(K3934)&gt;0,N(L3934)&gt;0),K3934/L3934,"")</f>
        <v/>
      </c>
      <c r="N3934" s="2" t="s">
        <v>1226</v>
      </c>
    </row>
    <row r="3935" customFormat="false" ht="15" hidden="false" customHeight="false" outlineLevel="0" collapsed="false">
      <c r="A3935" s="2" t="n">
        <v>3934</v>
      </c>
      <c r="B3935" s="2" t="s">
        <v>8090</v>
      </c>
      <c r="C3935" s="2" t="s">
        <v>8091</v>
      </c>
      <c r="D3935" s="2"/>
      <c r="E3935" s="2" t="s">
        <v>289</v>
      </c>
      <c r="F3935" s="3" t="n">
        <v>1.1E-005</v>
      </c>
      <c r="G3935" s="3" t="n">
        <f aca="false">SUM($F$2:F3935)</f>
        <v>0.993135</v>
      </c>
      <c r="H3935" s="4"/>
      <c r="I3935" s="5"/>
      <c r="J3935" s="4"/>
      <c r="K3935" s="5"/>
      <c r="L3935" s="6"/>
      <c r="M3935" s="5" t="str">
        <f aca="false">IF(AND(N(K3935)&gt;0,N(L3935)&gt;0),K3935/L3935,"")</f>
        <v/>
      </c>
      <c r="N3935" s="2" t="s">
        <v>1226</v>
      </c>
    </row>
    <row r="3936" customFormat="false" ht="15" hidden="false" customHeight="false" outlineLevel="0" collapsed="false">
      <c r="A3936" s="2" t="n">
        <v>3935</v>
      </c>
      <c r="B3936" s="2" t="s">
        <v>8092</v>
      </c>
      <c r="C3936" s="2" t="s">
        <v>8093</v>
      </c>
      <c r="D3936" s="2"/>
      <c r="E3936" s="2" t="s">
        <v>1345</v>
      </c>
      <c r="F3936" s="3" t="n">
        <v>1.1E-005</v>
      </c>
      <c r="G3936" s="3" t="n">
        <f aca="false">SUM($F$2:F3936)</f>
        <v>0.993146</v>
      </c>
      <c r="H3936" s="4"/>
      <c r="I3936" s="5"/>
      <c r="J3936" s="4"/>
      <c r="K3936" s="5"/>
      <c r="L3936" s="6"/>
      <c r="M3936" s="5" t="str">
        <f aca="false">IF(AND(N(K3936)&gt;0,N(L3936)&gt;0),K3936/L3936,"")</f>
        <v/>
      </c>
      <c r="N3936" s="2" t="s">
        <v>1226</v>
      </c>
    </row>
    <row r="3937" customFormat="false" ht="15" hidden="false" customHeight="false" outlineLevel="0" collapsed="false">
      <c r="A3937" s="2" t="n">
        <v>3936</v>
      </c>
      <c r="B3937" s="2" t="s">
        <v>8094</v>
      </c>
      <c r="C3937" s="2" t="s">
        <v>8095</v>
      </c>
      <c r="D3937" s="2"/>
      <c r="E3937" s="2" t="s">
        <v>1345</v>
      </c>
      <c r="F3937" s="3" t="n">
        <v>1.1E-005</v>
      </c>
      <c r="G3937" s="3" t="n">
        <f aca="false">SUM($F$2:F3937)</f>
        <v>0.993157</v>
      </c>
      <c r="H3937" s="4"/>
      <c r="I3937" s="5"/>
      <c r="J3937" s="4"/>
      <c r="K3937" s="5"/>
      <c r="L3937" s="6"/>
      <c r="M3937" s="5" t="str">
        <f aca="false">IF(AND(N(K3937)&gt;0,N(L3937)&gt;0),K3937/L3937,"")</f>
        <v/>
      </c>
      <c r="N3937" s="2" t="s">
        <v>1226</v>
      </c>
    </row>
    <row r="3938" customFormat="false" ht="15" hidden="false" customHeight="false" outlineLevel="0" collapsed="false">
      <c r="A3938" s="2" t="n">
        <v>3937</v>
      </c>
      <c r="B3938" s="2" t="s">
        <v>8096</v>
      </c>
      <c r="C3938" s="2" t="s">
        <v>8097</v>
      </c>
      <c r="D3938" s="2"/>
      <c r="E3938" s="2" t="s">
        <v>289</v>
      </c>
      <c r="F3938" s="3" t="n">
        <v>1.1E-005</v>
      </c>
      <c r="G3938" s="3" t="n">
        <f aca="false">SUM($F$2:F3938)</f>
        <v>0.993168</v>
      </c>
      <c r="H3938" s="4"/>
      <c r="I3938" s="5"/>
      <c r="J3938" s="4"/>
      <c r="K3938" s="5"/>
      <c r="L3938" s="6"/>
      <c r="M3938" s="5" t="str">
        <f aca="false">IF(AND(N(K3938)&gt;0,N(L3938)&gt;0),K3938/L3938,"")</f>
        <v/>
      </c>
      <c r="N3938" s="2" t="s">
        <v>1226</v>
      </c>
    </row>
    <row r="3939" customFormat="false" ht="15" hidden="false" customHeight="false" outlineLevel="0" collapsed="false">
      <c r="A3939" s="2" t="n">
        <v>3938</v>
      </c>
      <c r="B3939" s="2" t="s">
        <v>8098</v>
      </c>
      <c r="C3939" s="2" t="s">
        <v>8099</v>
      </c>
      <c r="D3939" s="2"/>
      <c r="E3939" s="2" t="s">
        <v>289</v>
      </c>
      <c r="F3939" s="3" t="n">
        <v>1.1E-005</v>
      </c>
      <c r="G3939" s="3" t="n">
        <f aca="false">SUM($F$2:F3939)</f>
        <v>0.993179</v>
      </c>
      <c r="H3939" s="4"/>
      <c r="I3939" s="5"/>
      <c r="J3939" s="4"/>
      <c r="K3939" s="5"/>
      <c r="L3939" s="6"/>
      <c r="M3939" s="5" t="str">
        <f aca="false">IF(AND(N(K3939)&gt;0,N(L3939)&gt;0),K3939/L3939,"")</f>
        <v/>
      </c>
      <c r="N3939" s="2" t="s">
        <v>1226</v>
      </c>
    </row>
    <row r="3940" customFormat="false" ht="15" hidden="false" customHeight="false" outlineLevel="0" collapsed="false">
      <c r="A3940" s="2" t="n">
        <v>3939</v>
      </c>
      <c r="B3940" s="2" t="s">
        <v>8100</v>
      </c>
      <c r="C3940" s="2" t="s">
        <v>8101</v>
      </c>
      <c r="D3940" s="2"/>
      <c r="E3940" s="2" t="s">
        <v>1345</v>
      </c>
      <c r="F3940" s="3" t="n">
        <v>1.1E-005</v>
      </c>
      <c r="G3940" s="3" t="n">
        <f aca="false">SUM($F$2:F3940)</f>
        <v>0.99319</v>
      </c>
      <c r="H3940" s="4"/>
      <c r="I3940" s="5"/>
      <c r="J3940" s="4"/>
      <c r="K3940" s="5"/>
      <c r="L3940" s="6"/>
      <c r="M3940" s="5" t="str">
        <f aca="false">IF(AND(N(K3940)&gt;0,N(L3940)&gt;0),K3940/L3940,"")</f>
        <v/>
      </c>
      <c r="N3940" s="2" t="s">
        <v>1226</v>
      </c>
    </row>
    <row r="3941" customFormat="false" ht="15" hidden="false" customHeight="false" outlineLevel="0" collapsed="false">
      <c r="A3941" s="2" t="n">
        <v>3940</v>
      </c>
      <c r="B3941" s="2" t="s">
        <v>8102</v>
      </c>
      <c r="C3941" s="2" t="s">
        <v>8103</v>
      </c>
      <c r="D3941" s="2"/>
      <c r="E3941" s="2" t="s">
        <v>334</v>
      </c>
      <c r="F3941" s="3" t="n">
        <v>1.1E-005</v>
      </c>
      <c r="G3941" s="3" t="n">
        <f aca="false">SUM($F$2:F3941)</f>
        <v>0.993201</v>
      </c>
      <c r="H3941" s="4"/>
      <c r="I3941" s="5"/>
      <c r="J3941" s="4"/>
      <c r="K3941" s="5"/>
      <c r="L3941" s="6"/>
      <c r="M3941" s="5" t="str">
        <f aca="false">IF(AND(N(K3941)&gt;0,N(L3941)&gt;0),K3941/L3941,"")</f>
        <v/>
      </c>
      <c r="N3941" s="2" t="s">
        <v>1226</v>
      </c>
    </row>
    <row r="3942" customFormat="false" ht="15" hidden="false" customHeight="false" outlineLevel="0" collapsed="false">
      <c r="A3942" s="2" t="n">
        <v>3941</v>
      </c>
      <c r="B3942" s="2" t="s">
        <v>8104</v>
      </c>
      <c r="C3942" s="2" t="s">
        <v>8105</v>
      </c>
      <c r="D3942" s="2"/>
      <c r="E3942" s="2" t="s">
        <v>1345</v>
      </c>
      <c r="F3942" s="3" t="n">
        <v>1.1E-005</v>
      </c>
      <c r="G3942" s="3" t="n">
        <f aca="false">SUM($F$2:F3942)</f>
        <v>0.993212</v>
      </c>
      <c r="H3942" s="4"/>
      <c r="I3942" s="5"/>
      <c r="J3942" s="4"/>
      <c r="K3942" s="5"/>
      <c r="L3942" s="6"/>
      <c r="M3942" s="5" t="str">
        <f aca="false">IF(AND(N(K3942)&gt;0,N(L3942)&gt;0),K3942/L3942,"")</f>
        <v/>
      </c>
      <c r="N3942" s="2" t="s">
        <v>1226</v>
      </c>
    </row>
    <row r="3943" customFormat="false" ht="15" hidden="false" customHeight="false" outlineLevel="0" collapsed="false">
      <c r="A3943" s="2" t="n">
        <v>3942</v>
      </c>
      <c r="B3943" s="2" t="s">
        <v>8106</v>
      </c>
      <c r="C3943" s="2" t="s">
        <v>8107</v>
      </c>
      <c r="D3943" s="2"/>
      <c r="E3943" s="2" t="s">
        <v>1345</v>
      </c>
      <c r="F3943" s="3" t="n">
        <v>1.1E-005</v>
      </c>
      <c r="G3943" s="3" t="n">
        <f aca="false">SUM($F$2:F3943)</f>
        <v>0.993223</v>
      </c>
      <c r="H3943" s="4"/>
      <c r="I3943" s="5"/>
      <c r="J3943" s="4"/>
      <c r="K3943" s="5"/>
      <c r="L3943" s="6"/>
      <c r="M3943" s="5" t="str">
        <f aca="false">IF(AND(N(K3943)&gt;0,N(L3943)&gt;0),K3943/L3943,"")</f>
        <v/>
      </c>
      <c r="N3943" s="2" t="s">
        <v>1226</v>
      </c>
    </row>
    <row r="3944" customFormat="false" ht="15" hidden="false" customHeight="false" outlineLevel="0" collapsed="false">
      <c r="A3944" s="2" t="n">
        <v>3943</v>
      </c>
      <c r="B3944" s="2" t="s">
        <v>8108</v>
      </c>
      <c r="C3944" s="2" t="s">
        <v>8109</v>
      </c>
      <c r="D3944" s="2"/>
      <c r="E3944" s="2" t="s">
        <v>52</v>
      </c>
      <c r="F3944" s="3" t="n">
        <v>1.1E-005</v>
      </c>
      <c r="G3944" s="3" t="n">
        <f aca="false">SUM($F$2:F3944)</f>
        <v>0.993234</v>
      </c>
      <c r="H3944" s="4"/>
      <c r="I3944" s="5"/>
      <c r="J3944" s="4"/>
      <c r="K3944" s="5"/>
      <c r="L3944" s="6"/>
      <c r="M3944" s="5" t="str">
        <f aca="false">IF(AND(N(K3944)&gt;0,N(L3944)&gt;0),K3944/L3944,"")</f>
        <v/>
      </c>
      <c r="N3944" s="2" t="s">
        <v>1226</v>
      </c>
    </row>
    <row r="3945" customFormat="false" ht="15" hidden="false" customHeight="false" outlineLevel="0" collapsed="false">
      <c r="A3945" s="2" t="n">
        <v>3944</v>
      </c>
      <c r="B3945" s="2" t="s">
        <v>8110</v>
      </c>
      <c r="C3945" s="2" t="s">
        <v>8111</v>
      </c>
      <c r="D3945" s="2"/>
      <c r="E3945" s="2" t="s">
        <v>1345</v>
      </c>
      <c r="F3945" s="3" t="n">
        <v>1.1E-005</v>
      </c>
      <c r="G3945" s="3" t="n">
        <f aca="false">SUM($F$2:F3945)</f>
        <v>0.993245</v>
      </c>
      <c r="H3945" s="4"/>
      <c r="I3945" s="5"/>
      <c r="J3945" s="4"/>
      <c r="K3945" s="5"/>
      <c r="L3945" s="6"/>
      <c r="M3945" s="5" t="str">
        <f aca="false">IF(AND(N(K3945)&gt;0,N(L3945)&gt;0),K3945/L3945,"")</f>
        <v/>
      </c>
      <c r="N3945" s="2" t="s">
        <v>1226</v>
      </c>
    </row>
    <row r="3946" customFormat="false" ht="15" hidden="false" customHeight="false" outlineLevel="0" collapsed="false">
      <c r="A3946" s="2" t="n">
        <v>3945</v>
      </c>
      <c r="B3946" s="2" t="s">
        <v>8112</v>
      </c>
      <c r="C3946" s="2" t="s">
        <v>8113</v>
      </c>
      <c r="D3946" s="2"/>
      <c r="E3946" s="2" t="s">
        <v>289</v>
      </c>
      <c r="F3946" s="3" t="n">
        <v>1.1E-005</v>
      </c>
      <c r="G3946" s="3" t="n">
        <f aca="false">SUM($F$2:F3946)</f>
        <v>0.993256</v>
      </c>
      <c r="H3946" s="4"/>
      <c r="I3946" s="5"/>
      <c r="J3946" s="4"/>
      <c r="K3946" s="5"/>
      <c r="L3946" s="6"/>
      <c r="M3946" s="5" t="str">
        <f aca="false">IF(AND(N(K3946)&gt;0,N(L3946)&gt;0),K3946/L3946,"")</f>
        <v/>
      </c>
      <c r="N3946" s="2" t="s">
        <v>1226</v>
      </c>
    </row>
    <row r="3947" customFormat="false" ht="15" hidden="false" customHeight="false" outlineLevel="0" collapsed="false">
      <c r="A3947" s="2" t="n">
        <v>3946</v>
      </c>
      <c r="B3947" s="2" t="s">
        <v>8114</v>
      </c>
      <c r="C3947" s="2" t="s">
        <v>8115</v>
      </c>
      <c r="D3947" s="2"/>
      <c r="E3947" s="2" t="s">
        <v>334</v>
      </c>
      <c r="F3947" s="3" t="n">
        <v>1.1E-005</v>
      </c>
      <c r="G3947" s="3" t="n">
        <f aca="false">SUM($F$2:F3947)</f>
        <v>0.993267</v>
      </c>
      <c r="H3947" s="4"/>
      <c r="I3947" s="5"/>
      <c r="J3947" s="4"/>
      <c r="K3947" s="5"/>
      <c r="L3947" s="6"/>
      <c r="M3947" s="5" t="str">
        <f aca="false">IF(AND(N(K3947)&gt;0,N(L3947)&gt;0),K3947/L3947,"")</f>
        <v/>
      </c>
      <c r="N3947" s="2" t="s">
        <v>1226</v>
      </c>
    </row>
    <row r="3948" customFormat="false" ht="15" hidden="false" customHeight="false" outlineLevel="0" collapsed="false">
      <c r="A3948" s="2" t="n">
        <v>3947</v>
      </c>
      <c r="B3948" s="2" t="s">
        <v>8116</v>
      </c>
      <c r="C3948" s="2" t="s">
        <v>8117</v>
      </c>
      <c r="D3948" s="2"/>
      <c r="E3948" s="2" t="s">
        <v>1345</v>
      </c>
      <c r="F3948" s="3" t="n">
        <v>1.1E-005</v>
      </c>
      <c r="G3948" s="3" t="n">
        <f aca="false">SUM($F$2:F3948)</f>
        <v>0.993278</v>
      </c>
      <c r="H3948" s="4"/>
      <c r="I3948" s="5"/>
      <c r="J3948" s="4"/>
      <c r="K3948" s="5"/>
      <c r="L3948" s="6"/>
      <c r="M3948" s="5" t="str">
        <f aca="false">IF(AND(N(K3948)&gt;0,N(L3948)&gt;0),K3948/L3948,"")</f>
        <v/>
      </c>
      <c r="N3948" s="2" t="s">
        <v>1226</v>
      </c>
    </row>
    <row r="3949" customFormat="false" ht="15" hidden="false" customHeight="false" outlineLevel="0" collapsed="false">
      <c r="A3949" s="2" t="n">
        <v>3948</v>
      </c>
      <c r="B3949" s="2" t="s">
        <v>8118</v>
      </c>
      <c r="C3949" s="2" t="s">
        <v>8119</v>
      </c>
      <c r="D3949" s="2"/>
      <c r="E3949" s="2" t="s">
        <v>1345</v>
      </c>
      <c r="F3949" s="3" t="n">
        <v>1.1E-005</v>
      </c>
      <c r="G3949" s="3" t="n">
        <f aca="false">SUM($F$2:F3949)</f>
        <v>0.993289</v>
      </c>
      <c r="H3949" s="4"/>
      <c r="I3949" s="5"/>
      <c r="J3949" s="4"/>
      <c r="K3949" s="5"/>
      <c r="L3949" s="6"/>
      <c r="M3949" s="5" t="str">
        <f aca="false">IF(AND(N(K3949)&gt;0,N(L3949)&gt;0),K3949/L3949,"")</f>
        <v/>
      </c>
      <c r="N3949" s="2" t="s">
        <v>1226</v>
      </c>
    </row>
    <row r="3950" customFormat="false" ht="15" hidden="false" customHeight="false" outlineLevel="0" collapsed="false">
      <c r="A3950" s="2" t="n">
        <v>3949</v>
      </c>
      <c r="B3950" s="2" t="s">
        <v>8120</v>
      </c>
      <c r="C3950" s="2" t="s">
        <v>8121</v>
      </c>
      <c r="D3950" s="2"/>
      <c r="E3950" s="2" t="s">
        <v>1345</v>
      </c>
      <c r="F3950" s="3" t="n">
        <v>1.1E-005</v>
      </c>
      <c r="G3950" s="3" t="n">
        <f aca="false">SUM($F$2:F3950)</f>
        <v>0.9933</v>
      </c>
      <c r="H3950" s="4"/>
      <c r="I3950" s="5"/>
      <c r="J3950" s="4"/>
      <c r="K3950" s="5"/>
      <c r="L3950" s="6"/>
      <c r="M3950" s="5" t="str">
        <f aca="false">IF(AND(N(K3950)&gt;0,N(L3950)&gt;0),K3950/L3950,"")</f>
        <v/>
      </c>
      <c r="N3950" s="2" t="s">
        <v>1226</v>
      </c>
    </row>
    <row r="3951" customFormat="false" ht="15" hidden="false" customHeight="false" outlineLevel="0" collapsed="false">
      <c r="A3951" s="2" t="n">
        <v>3950</v>
      </c>
      <c r="B3951" s="2" t="s">
        <v>8122</v>
      </c>
      <c r="C3951" s="2" t="s">
        <v>8123</v>
      </c>
      <c r="D3951" s="2"/>
      <c r="E3951" s="2" t="s">
        <v>2055</v>
      </c>
      <c r="F3951" s="3" t="n">
        <v>1.1E-005</v>
      </c>
      <c r="G3951" s="3" t="n">
        <f aca="false">SUM($F$2:F3951)</f>
        <v>0.993311</v>
      </c>
      <c r="H3951" s="4"/>
      <c r="I3951" s="5"/>
      <c r="J3951" s="4"/>
      <c r="K3951" s="5"/>
      <c r="L3951" s="6"/>
      <c r="M3951" s="5" t="str">
        <f aca="false">IF(AND(N(K3951)&gt;0,N(L3951)&gt;0),K3951/L3951,"")</f>
        <v/>
      </c>
      <c r="N3951" s="2" t="s">
        <v>1226</v>
      </c>
    </row>
    <row r="3952" customFormat="false" ht="15" hidden="false" customHeight="false" outlineLevel="0" collapsed="false">
      <c r="A3952" s="2" t="n">
        <v>3951</v>
      </c>
      <c r="B3952" s="2" t="s">
        <v>8124</v>
      </c>
      <c r="C3952" s="2" t="s">
        <v>8125</v>
      </c>
      <c r="D3952" s="2"/>
      <c r="E3952" s="2" t="s">
        <v>289</v>
      </c>
      <c r="F3952" s="3" t="n">
        <v>1.1E-005</v>
      </c>
      <c r="G3952" s="3" t="n">
        <f aca="false">SUM($F$2:F3952)</f>
        <v>0.993322</v>
      </c>
      <c r="H3952" s="4"/>
      <c r="I3952" s="5"/>
      <c r="J3952" s="4"/>
      <c r="K3952" s="5"/>
      <c r="L3952" s="6"/>
      <c r="M3952" s="5" t="str">
        <f aca="false">IF(AND(N(K3952)&gt;0,N(L3952)&gt;0),K3952/L3952,"")</f>
        <v/>
      </c>
      <c r="N3952" s="2" t="s">
        <v>1226</v>
      </c>
    </row>
    <row r="3953" customFormat="false" ht="15" hidden="false" customHeight="false" outlineLevel="0" collapsed="false">
      <c r="A3953" s="2" t="n">
        <v>3952</v>
      </c>
      <c r="B3953" s="2" t="s">
        <v>8126</v>
      </c>
      <c r="C3953" s="2" t="s">
        <v>8127</v>
      </c>
      <c r="D3953" s="2"/>
      <c r="E3953" s="2" t="s">
        <v>289</v>
      </c>
      <c r="F3953" s="3" t="n">
        <v>1.1E-005</v>
      </c>
      <c r="G3953" s="3" t="n">
        <f aca="false">SUM($F$2:F3953)</f>
        <v>0.993333</v>
      </c>
      <c r="H3953" s="4"/>
      <c r="I3953" s="5"/>
      <c r="J3953" s="4"/>
      <c r="K3953" s="5"/>
      <c r="L3953" s="6"/>
      <c r="M3953" s="5" t="str">
        <f aca="false">IF(AND(N(K3953)&gt;0,N(L3953)&gt;0),K3953/L3953,"")</f>
        <v/>
      </c>
      <c r="N3953" s="2" t="s">
        <v>1226</v>
      </c>
    </row>
    <row r="3954" customFormat="false" ht="15" hidden="false" customHeight="false" outlineLevel="0" collapsed="false">
      <c r="A3954" s="2" t="n">
        <v>3953</v>
      </c>
      <c r="B3954" s="2" t="s">
        <v>8128</v>
      </c>
      <c r="C3954" s="2" t="s">
        <v>8129</v>
      </c>
      <c r="D3954" s="2"/>
      <c r="E3954" s="2" t="s">
        <v>289</v>
      </c>
      <c r="F3954" s="3" t="n">
        <v>1.1E-005</v>
      </c>
      <c r="G3954" s="3" t="n">
        <f aca="false">SUM($F$2:F3954)</f>
        <v>0.993344</v>
      </c>
      <c r="H3954" s="4"/>
      <c r="I3954" s="5"/>
      <c r="J3954" s="4"/>
      <c r="K3954" s="5"/>
      <c r="L3954" s="6"/>
      <c r="M3954" s="5" t="str">
        <f aca="false">IF(AND(N(K3954)&gt;0,N(L3954)&gt;0),K3954/L3954,"")</f>
        <v/>
      </c>
      <c r="N3954" s="2" t="s">
        <v>1226</v>
      </c>
    </row>
    <row r="3955" customFormat="false" ht="15" hidden="false" customHeight="false" outlineLevel="0" collapsed="false">
      <c r="A3955" s="2" t="n">
        <v>3954</v>
      </c>
      <c r="B3955" s="2" t="s">
        <v>8130</v>
      </c>
      <c r="C3955" s="2" t="s">
        <v>8131</v>
      </c>
      <c r="D3955" s="2"/>
      <c r="E3955" s="2" t="s">
        <v>1345</v>
      </c>
      <c r="F3955" s="3" t="n">
        <v>1.1E-005</v>
      </c>
      <c r="G3955" s="3" t="n">
        <f aca="false">SUM($F$2:F3955)</f>
        <v>0.993355</v>
      </c>
      <c r="H3955" s="4"/>
      <c r="I3955" s="5"/>
      <c r="J3955" s="4"/>
      <c r="K3955" s="5"/>
      <c r="L3955" s="6"/>
      <c r="M3955" s="5" t="str">
        <f aca="false">IF(AND(N(K3955)&gt;0,N(L3955)&gt;0),K3955/L3955,"")</f>
        <v/>
      </c>
      <c r="N3955" s="2" t="s">
        <v>1226</v>
      </c>
    </row>
    <row r="3956" customFormat="false" ht="15" hidden="false" customHeight="false" outlineLevel="0" collapsed="false">
      <c r="A3956" s="2" t="n">
        <v>3955</v>
      </c>
      <c r="B3956" s="2" t="s">
        <v>8132</v>
      </c>
      <c r="C3956" s="2" t="s">
        <v>8133</v>
      </c>
      <c r="D3956" s="2"/>
      <c r="E3956" s="2" t="s">
        <v>199</v>
      </c>
      <c r="F3956" s="3" t="n">
        <v>1.1E-005</v>
      </c>
      <c r="G3956" s="3" t="n">
        <f aca="false">SUM($F$2:F3956)</f>
        <v>0.993366</v>
      </c>
      <c r="H3956" s="4"/>
      <c r="I3956" s="5"/>
      <c r="J3956" s="4"/>
      <c r="K3956" s="5"/>
      <c r="L3956" s="6"/>
      <c r="M3956" s="5" t="str">
        <f aca="false">IF(AND(N(K3956)&gt;0,N(L3956)&gt;0),K3956/L3956,"")</f>
        <v/>
      </c>
      <c r="N3956" s="2" t="s">
        <v>1226</v>
      </c>
    </row>
    <row r="3957" customFormat="false" ht="15" hidden="false" customHeight="false" outlineLevel="0" collapsed="false">
      <c r="A3957" s="2" t="n">
        <v>3956</v>
      </c>
      <c r="B3957" s="2" t="s">
        <v>8134</v>
      </c>
      <c r="C3957" s="2" t="s">
        <v>8135</v>
      </c>
      <c r="D3957" s="2"/>
      <c r="E3957" s="2" t="s">
        <v>289</v>
      </c>
      <c r="F3957" s="3" t="n">
        <v>1.1E-005</v>
      </c>
      <c r="G3957" s="3" t="n">
        <f aca="false">SUM($F$2:F3957)</f>
        <v>0.993377</v>
      </c>
      <c r="H3957" s="4"/>
      <c r="I3957" s="5"/>
      <c r="J3957" s="4"/>
      <c r="K3957" s="5"/>
      <c r="L3957" s="6"/>
      <c r="M3957" s="5" t="str">
        <f aca="false">IF(AND(N(K3957)&gt;0,N(L3957)&gt;0),K3957/L3957,"")</f>
        <v/>
      </c>
      <c r="N3957" s="2" t="s">
        <v>1226</v>
      </c>
    </row>
    <row r="3958" customFormat="false" ht="15" hidden="false" customHeight="false" outlineLevel="0" collapsed="false">
      <c r="A3958" s="2" t="n">
        <v>3957</v>
      </c>
      <c r="B3958" s="2" t="s">
        <v>8136</v>
      </c>
      <c r="C3958" s="2" t="s">
        <v>8137</v>
      </c>
      <c r="D3958" s="2"/>
      <c r="E3958" s="2" t="s">
        <v>289</v>
      </c>
      <c r="F3958" s="3" t="n">
        <v>1.1E-005</v>
      </c>
      <c r="G3958" s="3" t="n">
        <f aca="false">SUM($F$2:F3958)</f>
        <v>0.993388</v>
      </c>
      <c r="H3958" s="4"/>
      <c r="I3958" s="5"/>
      <c r="J3958" s="4"/>
      <c r="K3958" s="5"/>
      <c r="L3958" s="6"/>
      <c r="M3958" s="5" t="str">
        <f aca="false">IF(AND(N(K3958)&gt;0,N(L3958)&gt;0),K3958/L3958,"")</f>
        <v/>
      </c>
      <c r="N3958" s="2" t="s">
        <v>1226</v>
      </c>
    </row>
    <row r="3959" customFormat="false" ht="15" hidden="false" customHeight="false" outlineLevel="0" collapsed="false">
      <c r="A3959" s="2" t="n">
        <v>3958</v>
      </c>
      <c r="B3959" s="2" t="s">
        <v>8138</v>
      </c>
      <c r="C3959" s="2" t="s">
        <v>8139</v>
      </c>
      <c r="D3959" s="2"/>
      <c r="E3959" s="2" t="s">
        <v>1345</v>
      </c>
      <c r="F3959" s="3" t="n">
        <v>1.1E-005</v>
      </c>
      <c r="G3959" s="3" t="n">
        <f aca="false">SUM($F$2:F3959)</f>
        <v>0.993399</v>
      </c>
      <c r="H3959" s="4"/>
      <c r="I3959" s="5"/>
      <c r="J3959" s="4"/>
      <c r="K3959" s="5"/>
      <c r="L3959" s="6"/>
      <c r="M3959" s="5" t="str">
        <f aca="false">IF(AND(N(K3959)&gt;0,N(L3959)&gt;0),K3959/L3959,"")</f>
        <v/>
      </c>
      <c r="N3959" s="2" t="s">
        <v>1226</v>
      </c>
    </row>
    <row r="3960" customFormat="false" ht="15" hidden="false" customHeight="false" outlineLevel="0" collapsed="false">
      <c r="A3960" s="2" t="n">
        <v>3959</v>
      </c>
      <c r="B3960" s="2" t="s">
        <v>8140</v>
      </c>
      <c r="C3960" s="2" t="s">
        <v>8141</v>
      </c>
      <c r="D3960" s="2"/>
      <c r="E3960" s="2" t="s">
        <v>1345</v>
      </c>
      <c r="F3960" s="3" t="n">
        <v>1.1E-005</v>
      </c>
      <c r="G3960" s="3" t="n">
        <f aca="false">SUM($F$2:F3960)</f>
        <v>0.99341</v>
      </c>
      <c r="H3960" s="4"/>
      <c r="I3960" s="5"/>
      <c r="J3960" s="4"/>
      <c r="K3960" s="5"/>
      <c r="L3960" s="6"/>
      <c r="M3960" s="5" t="str">
        <f aca="false">IF(AND(N(K3960)&gt;0,N(L3960)&gt;0),K3960/L3960,"")</f>
        <v/>
      </c>
      <c r="N3960" s="2" t="s">
        <v>1226</v>
      </c>
    </row>
    <row r="3961" customFormat="false" ht="15" hidden="false" customHeight="false" outlineLevel="0" collapsed="false">
      <c r="A3961" s="2" t="n">
        <v>3960</v>
      </c>
      <c r="B3961" s="2" t="s">
        <v>8142</v>
      </c>
      <c r="C3961" s="2" t="s">
        <v>8143</v>
      </c>
      <c r="D3961" s="2"/>
      <c r="E3961" s="2" t="s">
        <v>52</v>
      </c>
      <c r="F3961" s="3" t="n">
        <v>1.1E-005</v>
      </c>
      <c r="G3961" s="3" t="n">
        <f aca="false">SUM($F$2:F3961)</f>
        <v>0.993421</v>
      </c>
      <c r="H3961" s="4"/>
      <c r="I3961" s="5"/>
      <c r="J3961" s="4"/>
      <c r="K3961" s="5"/>
      <c r="L3961" s="6"/>
      <c r="M3961" s="5" t="str">
        <f aca="false">IF(AND(N(K3961)&gt;0,N(L3961)&gt;0),K3961/L3961,"")</f>
        <v/>
      </c>
      <c r="N3961" s="2" t="s">
        <v>1226</v>
      </c>
    </row>
    <row r="3962" customFormat="false" ht="15" hidden="false" customHeight="false" outlineLevel="0" collapsed="false">
      <c r="A3962" s="2" t="n">
        <v>3961</v>
      </c>
      <c r="B3962" s="2" t="s">
        <v>8144</v>
      </c>
      <c r="C3962" s="2" t="s">
        <v>8145</v>
      </c>
      <c r="D3962" s="2"/>
      <c r="E3962" s="2" t="s">
        <v>25</v>
      </c>
      <c r="F3962" s="3" t="n">
        <v>1.1E-005</v>
      </c>
      <c r="G3962" s="3" t="n">
        <f aca="false">SUM($F$2:F3962)</f>
        <v>0.993432</v>
      </c>
      <c r="H3962" s="4"/>
      <c r="I3962" s="5"/>
      <c r="J3962" s="4"/>
      <c r="K3962" s="5"/>
      <c r="L3962" s="6"/>
      <c r="M3962" s="5" t="str">
        <f aca="false">IF(AND(N(K3962)&gt;0,N(L3962)&gt;0),K3962/L3962,"")</f>
        <v/>
      </c>
      <c r="N3962" s="2" t="s">
        <v>1226</v>
      </c>
    </row>
    <row r="3963" customFormat="false" ht="15" hidden="false" customHeight="false" outlineLevel="0" collapsed="false">
      <c r="A3963" s="2" t="n">
        <v>3962</v>
      </c>
      <c r="B3963" s="2" t="s">
        <v>8146</v>
      </c>
      <c r="C3963" s="2" t="s">
        <v>8147</v>
      </c>
      <c r="D3963" s="2"/>
      <c r="E3963" s="2" t="s">
        <v>1345</v>
      </c>
      <c r="F3963" s="3" t="n">
        <v>1.1E-005</v>
      </c>
      <c r="G3963" s="3" t="n">
        <f aca="false">SUM($F$2:F3963)</f>
        <v>0.993443</v>
      </c>
      <c r="H3963" s="4"/>
      <c r="I3963" s="5"/>
      <c r="J3963" s="4"/>
      <c r="K3963" s="5"/>
      <c r="L3963" s="6"/>
      <c r="M3963" s="5" t="str">
        <f aca="false">IF(AND(N(K3963)&gt;0,N(L3963)&gt;0),K3963/L3963,"")</f>
        <v/>
      </c>
      <c r="N3963" s="2" t="s">
        <v>1226</v>
      </c>
    </row>
    <row r="3964" customFormat="false" ht="15" hidden="false" customHeight="false" outlineLevel="0" collapsed="false">
      <c r="A3964" s="2" t="n">
        <v>3963</v>
      </c>
      <c r="B3964" s="2" t="s">
        <v>8148</v>
      </c>
      <c r="C3964" s="2" t="s">
        <v>8149</v>
      </c>
      <c r="D3964" s="2"/>
      <c r="E3964" s="2" t="s">
        <v>52</v>
      </c>
      <c r="F3964" s="3" t="n">
        <v>1.1E-005</v>
      </c>
      <c r="G3964" s="3" t="n">
        <f aca="false">SUM($F$2:F3964)</f>
        <v>0.993454</v>
      </c>
      <c r="H3964" s="4"/>
      <c r="I3964" s="5"/>
      <c r="J3964" s="4"/>
      <c r="K3964" s="5"/>
      <c r="L3964" s="6"/>
      <c r="M3964" s="5" t="str">
        <f aca="false">IF(AND(N(K3964)&gt;0,N(L3964)&gt;0),K3964/L3964,"")</f>
        <v/>
      </c>
      <c r="N3964" s="2" t="s">
        <v>1226</v>
      </c>
    </row>
    <row r="3965" customFormat="false" ht="15" hidden="false" customHeight="false" outlineLevel="0" collapsed="false">
      <c r="A3965" s="2" t="n">
        <v>3964</v>
      </c>
      <c r="B3965" s="2" t="s">
        <v>8150</v>
      </c>
      <c r="C3965" s="2" t="s">
        <v>8151</v>
      </c>
      <c r="D3965" s="2"/>
      <c r="E3965" s="2" t="s">
        <v>1345</v>
      </c>
      <c r="F3965" s="3" t="n">
        <v>1.1E-005</v>
      </c>
      <c r="G3965" s="3" t="n">
        <f aca="false">SUM($F$2:F3965)</f>
        <v>0.993465</v>
      </c>
      <c r="H3965" s="4"/>
      <c r="I3965" s="5"/>
      <c r="J3965" s="4"/>
      <c r="K3965" s="5"/>
      <c r="L3965" s="6"/>
      <c r="M3965" s="5" t="str">
        <f aca="false">IF(AND(N(K3965)&gt;0,N(L3965)&gt;0),K3965/L3965,"")</f>
        <v/>
      </c>
      <c r="N3965" s="2" t="s">
        <v>1226</v>
      </c>
    </row>
    <row r="3966" customFormat="false" ht="15" hidden="false" customHeight="false" outlineLevel="0" collapsed="false">
      <c r="A3966" s="2" t="n">
        <v>3965</v>
      </c>
      <c r="B3966" s="2" t="s">
        <v>8152</v>
      </c>
      <c r="C3966" s="2" t="s">
        <v>8153</v>
      </c>
      <c r="D3966" s="2"/>
      <c r="E3966" s="2" t="s">
        <v>1345</v>
      </c>
      <c r="F3966" s="3" t="n">
        <v>1.1E-005</v>
      </c>
      <c r="G3966" s="3" t="n">
        <f aca="false">SUM($F$2:F3966)</f>
        <v>0.993476</v>
      </c>
      <c r="H3966" s="4"/>
      <c r="I3966" s="5"/>
      <c r="J3966" s="4"/>
      <c r="K3966" s="5"/>
      <c r="L3966" s="6"/>
      <c r="M3966" s="5" t="str">
        <f aca="false">IF(AND(N(K3966)&gt;0,N(L3966)&gt;0),K3966/L3966,"")</f>
        <v/>
      </c>
      <c r="N3966" s="2" t="s">
        <v>1226</v>
      </c>
    </row>
    <row r="3967" customFormat="false" ht="15" hidden="false" customHeight="false" outlineLevel="0" collapsed="false">
      <c r="A3967" s="2" t="n">
        <v>3966</v>
      </c>
      <c r="B3967" s="2" t="s">
        <v>3543</v>
      </c>
      <c r="C3967" s="2" t="s">
        <v>8154</v>
      </c>
      <c r="D3967" s="2"/>
      <c r="E3967" s="2" t="s">
        <v>17</v>
      </c>
      <c r="F3967" s="3" t="n">
        <v>1.1E-005</v>
      </c>
      <c r="G3967" s="3" t="n">
        <f aca="false">SUM($F$2:F3967)</f>
        <v>0.993487</v>
      </c>
      <c r="H3967" s="4"/>
      <c r="I3967" s="5"/>
      <c r="J3967" s="4"/>
      <c r="K3967" s="5"/>
      <c r="L3967" s="6"/>
      <c r="M3967" s="5" t="str">
        <f aca="false">IF(AND(N(K3967)&gt;0,N(L3967)&gt;0),K3967/L3967,"")</f>
        <v/>
      </c>
      <c r="N3967" s="2" t="s">
        <v>1226</v>
      </c>
    </row>
    <row r="3968" customFormat="false" ht="15" hidden="false" customHeight="false" outlineLevel="0" collapsed="false">
      <c r="A3968" s="2" t="n">
        <v>3967</v>
      </c>
      <c r="B3968" s="2" t="s">
        <v>8155</v>
      </c>
      <c r="C3968" s="2" t="s">
        <v>8156</v>
      </c>
      <c r="D3968" s="2"/>
      <c r="E3968" s="2" t="s">
        <v>289</v>
      </c>
      <c r="F3968" s="3" t="n">
        <v>1E-005</v>
      </c>
      <c r="G3968" s="3" t="n">
        <f aca="false">SUM($F$2:F3968)</f>
        <v>0.993497</v>
      </c>
      <c r="H3968" s="4"/>
      <c r="I3968" s="5"/>
      <c r="J3968" s="4"/>
      <c r="K3968" s="5"/>
      <c r="L3968" s="6"/>
      <c r="M3968" s="5" t="str">
        <f aca="false">IF(AND(N(K3968)&gt;0,N(L3968)&gt;0),K3968/L3968,"")</f>
        <v/>
      </c>
      <c r="N3968" s="2" t="s">
        <v>1226</v>
      </c>
    </row>
    <row r="3969" customFormat="false" ht="15" hidden="false" customHeight="false" outlineLevel="0" collapsed="false">
      <c r="A3969" s="2" t="n">
        <v>3968</v>
      </c>
      <c r="B3969" s="2" t="s">
        <v>8157</v>
      </c>
      <c r="C3969" s="2" t="s">
        <v>8158</v>
      </c>
      <c r="D3969" s="2"/>
      <c r="E3969" s="2" t="s">
        <v>2763</v>
      </c>
      <c r="F3969" s="3" t="n">
        <v>1E-005</v>
      </c>
      <c r="G3969" s="3" t="n">
        <f aca="false">SUM($F$2:F3969)</f>
        <v>0.993507</v>
      </c>
      <c r="H3969" s="4"/>
      <c r="I3969" s="5"/>
      <c r="J3969" s="4"/>
      <c r="K3969" s="5"/>
      <c r="L3969" s="6"/>
      <c r="M3969" s="5" t="str">
        <f aca="false">IF(AND(N(K3969)&gt;0,N(L3969)&gt;0),K3969/L3969,"")</f>
        <v/>
      </c>
      <c r="N3969" s="2" t="s">
        <v>1226</v>
      </c>
    </row>
    <row r="3970" customFormat="false" ht="15" hidden="false" customHeight="false" outlineLevel="0" collapsed="false">
      <c r="A3970" s="2" t="n">
        <v>3969</v>
      </c>
      <c r="B3970" s="2" t="s">
        <v>8159</v>
      </c>
      <c r="C3970" s="2" t="s">
        <v>8160</v>
      </c>
      <c r="D3970" s="2"/>
      <c r="E3970" s="2" t="s">
        <v>539</v>
      </c>
      <c r="F3970" s="3" t="n">
        <v>1E-005</v>
      </c>
      <c r="G3970" s="3" t="n">
        <f aca="false">SUM($F$2:F3970)</f>
        <v>0.993517</v>
      </c>
      <c r="H3970" s="4"/>
      <c r="I3970" s="5"/>
      <c r="J3970" s="4"/>
      <c r="K3970" s="5"/>
      <c r="L3970" s="6"/>
      <c r="M3970" s="5" t="str">
        <f aca="false">IF(AND(N(K3970)&gt;0,N(L3970)&gt;0),K3970/L3970,"")</f>
        <v/>
      </c>
      <c r="N3970" s="2" t="s">
        <v>1226</v>
      </c>
    </row>
    <row r="3971" customFormat="false" ht="15" hidden="false" customHeight="false" outlineLevel="0" collapsed="false">
      <c r="A3971" s="2" t="n">
        <v>3970</v>
      </c>
      <c r="B3971" s="2" t="s">
        <v>87</v>
      </c>
      <c r="C3971" s="2" t="s">
        <v>8161</v>
      </c>
      <c r="D3971" s="2"/>
      <c r="E3971" s="2" t="s">
        <v>765</v>
      </c>
      <c r="F3971" s="3" t="n">
        <v>1E-005</v>
      </c>
      <c r="G3971" s="3" t="n">
        <f aca="false">SUM($F$2:F3971)</f>
        <v>0.993527</v>
      </c>
      <c r="H3971" s="4"/>
      <c r="I3971" s="5"/>
      <c r="J3971" s="4"/>
      <c r="K3971" s="5"/>
      <c r="L3971" s="6"/>
      <c r="M3971" s="5" t="str">
        <f aca="false">IF(AND(N(K3971)&gt;0,N(L3971)&gt;0),K3971/L3971,"")</f>
        <v/>
      </c>
      <c r="N3971" s="2" t="s">
        <v>1226</v>
      </c>
    </row>
    <row r="3972" customFormat="false" ht="15" hidden="false" customHeight="false" outlineLevel="0" collapsed="false">
      <c r="A3972" s="2" t="n">
        <v>3971</v>
      </c>
      <c r="B3972" s="2" t="s">
        <v>8162</v>
      </c>
      <c r="C3972" s="2" t="s">
        <v>8163</v>
      </c>
      <c r="D3972" s="2"/>
      <c r="E3972" s="2" t="s">
        <v>43</v>
      </c>
      <c r="F3972" s="3" t="n">
        <v>1E-005</v>
      </c>
      <c r="G3972" s="3" t="n">
        <f aca="false">SUM($F$2:F3972)</f>
        <v>0.993537</v>
      </c>
      <c r="H3972" s="4"/>
      <c r="I3972" s="5"/>
      <c r="J3972" s="4"/>
      <c r="K3972" s="5"/>
      <c r="L3972" s="6"/>
      <c r="M3972" s="5" t="str">
        <f aca="false">IF(AND(N(K3972)&gt;0,N(L3972)&gt;0),K3972/L3972,"")</f>
        <v/>
      </c>
      <c r="N3972" s="2" t="s">
        <v>1226</v>
      </c>
    </row>
    <row r="3973" customFormat="false" ht="15" hidden="false" customHeight="false" outlineLevel="0" collapsed="false">
      <c r="A3973" s="2" t="n">
        <v>3972</v>
      </c>
      <c r="B3973" s="2" t="s">
        <v>8164</v>
      </c>
      <c r="C3973" s="2" t="s">
        <v>8165</v>
      </c>
      <c r="D3973" s="2"/>
      <c r="E3973" s="2" t="s">
        <v>1345</v>
      </c>
      <c r="F3973" s="3" t="n">
        <v>1E-005</v>
      </c>
      <c r="G3973" s="3" t="n">
        <f aca="false">SUM($F$2:F3973)</f>
        <v>0.993547</v>
      </c>
      <c r="H3973" s="4"/>
      <c r="I3973" s="5"/>
      <c r="J3973" s="4"/>
      <c r="K3973" s="5"/>
      <c r="L3973" s="6"/>
      <c r="M3973" s="5" t="str">
        <f aca="false">IF(AND(N(K3973)&gt;0,N(L3973)&gt;0),K3973/L3973,"")</f>
        <v/>
      </c>
      <c r="N3973" s="2" t="s">
        <v>1226</v>
      </c>
    </row>
    <row r="3974" customFormat="false" ht="15" hidden="false" customHeight="false" outlineLevel="0" collapsed="false">
      <c r="A3974" s="2" t="n">
        <v>3973</v>
      </c>
      <c r="B3974" s="2" t="s">
        <v>8166</v>
      </c>
      <c r="C3974" s="2" t="s">
        <v>8167</v>
      </c>
      <c r="D3974" s="2"/>
      <c r="E3974" s="2" t="s">
        <v>289</v>
      </c>
      <c r="F3974" s="3" t="n">
        <v>1E-005</v>
      </c>
      <c r="G3974" s="3" t="n">
        <f aca="false">SUM($F$2:F3974)</f>
        <v>0.993557</v>
      </c>
      <c r="H3974" s="4"/>
      <c r="I3974" s="5"/>
      <c r="J3974" s="4"/>
      <c r="K3974" s="5"/>
      <c r="L3974" s="6"/>
      <c r="M3974" s="5" t="str">
        <f aca="false">IF(AND(N(K3974)&gt;0,N(L3974)&gt;0),K3974/L3974,"")</f>
        <v/>
      </c>
      <c r="N3974" s="2" t="s">
        <v>1226</v>
      </c>
    </row>
    <row r="3975" customFormat="false" ht="15" hidden="false" customHeight="false" outlineLevel="0" collapsed="false">
      <c r="A3975" s="2" t="n">
        <v>3974</v>
      </c>
      <c r="B3975" s="2" t="s">
        <v>8168</v>
      </c>
      <c r="C3975" s="2" t="s">
        <v>8169</v>
      </c>
      <c r="D3975" s="2"/>
      <c r="E3975" s="2" t="s">
        <v>43</v>
      </c>
      <c r="F3975" s="3" t="n">
        <v>1E-005</v>
      </c>
      <c r="G3975" s="3" t="n">
        <f aca="false">SUM($F$2:F3975)</f>
        <v>0.993567</v>
      </c>
      <c r="H3975" s="4"/>
      <c r="I3975" s="5"/>
      <c r="J3975" s="4"/>
      <c r="K3975" s="5"/>
      <c r="L3975" s="6"/>
      <c r="M3975" s="5" t="str">
        <f aca="false">IF(AND(N(K3975)&gt;0,N(L3975)&gt;0),K3975/L3975,"")</f>
        <v/>
      </c>
      <c r="N3975" s="2" t="s">
        <v>1226</v>
      </c>
    </row>
    <row r="3976" customFormat="false" ht="15" hidden="false" customHeight="false" outlineLevel="0" collapsed="false">
      <c r="A3976" s="2" t="n">
        <v>3975</v>
      </c>
      <c r="B3976" s="2" t="s">
        <v>8170</v>
      </c>
      <c r="C3976" s="2" t="s">
        <v>8171</v>
      </c>
      <c r="D3976" s="2"/>
      <c r="E3976" s="2" t="s">
        <v>1295</v>
      </c>
      <c r="F3976" s="3" t="n">
        <v>1E-005</v>
      </c>
      <c r="G3976" s="3" t="n">
        <f aca="false">SUM($F$2:F3976)</f>
        <v>0.993577</v>
      </c>
      <c r="H3976" s="4"/>
      <c r="I3976" s="5"/>
      <c r="J3976" s="4"/>
      <c r="K3976" s="5"/>
      <c r="L3976" s="6"/>
      <c r="M3976" s="5" t="str">
        <f aca="false">IF(AND(N(K3976)&gt;0,N(L3976)&gt;0),K3976/L3976,"")</f>
        <v/>
      </c>
      <c r="N3976" s="2" t="s">
        <v>1226</v>
      </c>
    </row>
    <row r="3977" customFormat="false" ht="15" hidden="false" customHeight="false" outlineLevel="0" collapsed="false">
      <c r="A3977" s="2" t="n">
        <v>3976</v>
      </c>
      <c r="B3977" s="2" t="s">
        <v>8172</v>
      </c>
      <c r="C3977" s="2" t="s">
        <v>8173</v>
      </c>
      <c r="D3977" s="2"/>
      <c r="E3977" s="2" t="s">
        <v>296</v>
      </c>
      <c r="F3977" s="3" t="n">
        <v>1E-005</v>
      </c>
      <c r="G3977" s="3" t="n">
        <f aca="false">SUM($F$2:F3977)</f>
        <v>0.993587</v>
      </c>
      <c r="H3977" s="4"/>
      <c r="I3977" s="5"/>
      <c r="J3977" s="4"/>
      <c r="K3977" s="5"/>
      <c r="L3977" s="6"/>
      <c r="M3977" s="5" t="str">
        <f aca="false">IF(AND(N(K3977)&gt;0,N(L3977)&gt;0),K3977/L3977,"")</f>
        <v/>
      </c>
      <c r="N3977" s="2" t="s">
        <v>1226</v>
      </c>
    </row>
    <row r="3978" customFormat="false" ht="15" hidden="false" customHeight="false" outlineLevel="0" collapsed="false">
      <c r="A3978" s="2" t="n">
        <v>3977</v>
      </c>
      <c r="B3978" s="2" t="s">
        <v>8174</v>
      </c>
      <c r="C3978" s="2" t="s">
        <v>8175</v>
      </c>
      <c r="D3978" s="2"/>
      <c r="E3978" s="2" t="s">
        <v>1345</v>
      </c>
      <c r="F3978" s="3" t="n">
        <v>1E-005</v>
      </c>
      <c r="G3978" s="3" t="n">
        <f aca="false">SUM($F$2:F3978)</f>
        <v>0.993597</v>
      </c>
      <c r="H3978" s="4"/>
      <c r="I3978" s="5"/>
      <c r="J3978" s="4"/>
      <c r="K3978" s="5"/>
      <c r="L3978" s="6"/>
      <c r="M3978" s="5" t="str">
        <f aca="false">IF(AND(N(K3978)&gt;0,N(L3978)&gt;0),K3978/L3978,"")</f>
        <v/>
      </c>
      <c r="N3978" s="2" t="s">
        <v>1226</v>
      </c>
    </row>
    <row r="3979" customFormat="false" ht="15" hidden="false" customHeight="false" outlineLevel="0" collapsed="false">
      <c r="A3979" s="2" t="n">
        <v>3978</v>
      </c>
      <c r="B3979" s="2" t="s">
        <v>8176</v>
      </c>
      <c r="C3979" s="2" t="s">
        <v>8177</v>
      </c>
      <c r="D3979" s="2"/>
      <c r="E3979" s="2" t="s">
        <v>1345</v>
      </c>
      <c r="F3979" s="3" t="n">
        <v>1E-005</v>
      </c>
      <c r="G3979" s="3" t="n">
        <f aca="false">SUM($F$2:F3979)</f>
        <v>0.993607</v>
      </c>
      <c r="H3979" s="4"/>
      <c r="I3979" s="5"/>
      <c r="J3979" s="4"/>
      <c r="K3979" s="5"/>
      <c r="L3979" s="6"/>
      <c r="M3979" s="5" t="str">
        <f aca="false">IF(AND(N(K3979)&gt;0,N(L3979)&gt;0),K3979/L3979,"")</f>
        <v/>
      </c>
      <c r="N3979" s="2" t="s">
        <v>1226</v>
      </c>
    </row>
    <row r="3980" customFormat="false" ht="15" hidden="false" customHeight="false" outlineLevel="0" collapsed="false">
      <c r="A3980" s="2" t="n">
        <v>3979</v>
      </c>
      <c r="B3980" s="2" t="s">
        <v>8178</v>
      </c>
      <c r="C3980" s="2" t="s">
        <v>8179</v>
      </c>
      <c r="D3980" s="2"/>
      <c r="E3980" s="2" t="s">
        <v>48</v>
      </c>
      <c r="F3980" s="3" t="n">
        <v>1E-005</v>
      </c>
      <c r="G3980" s="3" t="n">
        <f aca="false">SUM($F$2:F3980)</f>
        <v>0.993617</v>
      </c>
      <c r="H3980" s="4"/>
      <c r="I3980" s="5"/>
      <c r="J3980" s="4"/>
      <c r="K3980" s="5"/>
      <c r="L3980" s="6"/>
      <c r="M3980" s="5" t="str">
        <f aca="false">IF(AND(N(K3980)&gt;0,N(L3980)&gt;0),K3980/L3980,"")</f>
        <v/>
      </c>
      <c r="N3980" s="2" t="s">
        <v>1226</v>
      </c>
    </row>
    <row r="3981" customFormat="false" ht="15" hidden="false" customHeight="false" outlineLevel="0" collapsed="false">
      <c r="A3981" s="2" t="n">
        <v>3980</v>
      </c>
      <c r="B3981" s="2" t="s">
        <v>8180</v>
      </c>
      <c r="C3981" s="2" t="s">
        <v>8181</v>
      </c>
      <c r="D3981" s="2"/>
      <c r="E3981" s="2" t="s">
        <v>2055</v>
      </c>
      <c r="F3981" s="3" t="n">
        <v>1E-005</v>
      </c>
      <c r="G3981" s="3" t="n">
        <f aca="false">SUM($F$2:F3981)</f>
        <v>0.993627</v>
      </c>
      <c r="H3981" s="4"/>
      <c r="I3981" s="5"/>
      <c r="J3981" s="4"/>
      <c r="K3981" s="5"/>
      <c r="L3981" s="6"/>
      <c r="M3981" s="5" t="str">
        <f aca="false">IF(AND(N(K3981)&gt;0,N(L3981)&gt;0),K3981/L3981,"")</f>
        <v/>
      </c>
      <c r="N3981" s="2" t="s">
        <v>1226</v>
      </c>
    </row>
    <row r="3982" customFormat="false" ht="15" hidden="false" customHeight="false" outlineLevel="0" collapsed="false">
      <c r="A3982" s="2" t="n">
        <v>3981</v>
      </c>
      <c r="B3982" s="2" t="s">
        <v>8182</v>
      </c>
      <c r="C3982" s="2" t="s">
        <v>8183</v>
      </c>
      <c r="D3982" s="2"/>
      <c r="E3982" s="2" t="s">
        <v>1345</v>
      </c>
      <c r="F3982" s="3" t="n">
        <v>1E-005</v>
      </c>
      <c r="G3982" s="3" t="n">
        <f aca="false">SUM($F$2:F3982)</f>
        <v>0.993637</v>
      </c>
      <c r="H3982" s="4"/>
      <c r="I3982" s="5"/>
      <c r="J3982" s="4"/>
      <c r="K3982" s="5"/>
      <c r="L3982" s="6"/>
      <c r="M3982" s="5" t="str">
        <f aca="false">IF(AND(N(K3982)&gt;0,N(L3982)&gt;0),K3982/L3982,"")</f>
        <v/>
      </c>
      <c r="N3982" s="2" t="s">
        <v>1226</v>
      </c>
    </row>
    <row r="3983" customFormat="false" ht="15" hidden="false" customHeight="false" outlineLevel="0" collapsed="false">
      <c r="A3983" s="2" t="n">
        <v>3982</v>
      </c>
      <c r="B3983" s="2" t="s">
        <v>8184</v>
      </c>
      <c r="C3983" s="2" t="s">
        <v>8185</v>
      </c>
      <c r="D3983" s="2"/>
      <c r="E3983" s="2" t="s">
        <v>43</v>
      </c>
      <c r="F3983" s="3" t="n">
        <v>1E-005</v>
      </c>
      <c r="G3983" s="3" t="n">
        <f aca="false">SUM($F$2:F3983)</f>
        <v>0.993647</v>
      </c>
      <c r="H3983" s="4"/>
      <c r="I3983" s="5"/>
      <c r="J3983" s="4"/>
      <c r="K3983" s="5"/>
      <c r="L3983" s="6"/>
      <c r="M3983" s="5" t="str">
        <f aca="false">IF(AND(N(K3983)&gt;0,N(L3983)&gt;0),K3983/L3983,"")</f>
        <v/>
      </c>
      <c r="N3983" s="2" t="s">
        <v>1226</v>
      </c>
    </row>
    <row r="3984" customFormat="false" ht="15" hidden="false" customHeight="false" outlineLevel="0" collapsed="false">
      <c r="A3984" s="2" t="n">
        <v>3983</v>
      </c>
      <c r="B3984" s="2" t="s">
        <v>8186</v>
      </c>
      <c r="C3984" s="2" t="s">
        <v>8187</v>
      </c>
      <c r="D3984" s="2"/>
      <c r="E3984" s="2" t="s">
        <v>25</v>
      </c>
      <c r="F3984" s="3" t="n">
        <v>1E-005</v>
      </c>
      <c r="G3984" s="3" t="n">
        <f aca="false">SUM($F$2:F3984)</f>
        <v>0.993657</v>
      </c>
      <c r="H3984" s="4"/>
      <c r="I3984" s="5"/>
      <c r="J3984" s="4"/>
      <c r="K3984" s="5"/>
      <c r="L3984" s="6"/>
      <c r="M3984" s="5" t="str">
        <f aca="false">IF(AND(N(K3984)&gt;0,N(L3984)&gt;0),K3984/L3984,"")</f>
        <v/>
      </c>
      <c r="N3984" s="2" t="s">
        <v>1226</v>
      </c>
    </row>
    <row r="3985" customFormat="false" ht="15" hidden="false" customHeight="false" outlineLevel="0" collapsed="false">
      <c r="A3985" s="2" t="n">
        <v>3984</v>
      </c>
      <c r="B3985" s="2" t="s">
        <v>8188</v>
      </c>
      <c r="C3985" s="2" t="s">
        <v>8189</v>
      </c>
      <c r="D3985" s="2"/>
      <c r="E3985" s="2" t="s">
        <v>43</v>
      </c>
      <c r="F3985" s="3" t="n">
        <v>1E-005</v>
      </c>
      <c r="G3985" s="3" t="n">
        <f aca="false">SUM($F$2:F3985)</f>
        <v>0.993667</v>
      </c>
      <c r="H3985" s="4"/>
      <c r="I3985" s="5"/>
      <c r="J3985" s="4"/>
      <c r="K3985" s="5"/>
      <c r="L3985" s="6"/>
      <c r="M3985" s="5" t="str">
        <f aca="false">IF(AND(N(K3985)&gt;0,N(L3985)&gt;0),K3985/L3985,"")</f>
        <v/>
      </c>
      <c r="N3985" s="2" t="s">
        <v>1226</v>
      </c>
    </row>
    <row r="3986" customFormat="false" ht="15" hidden="false" customHeight="false" outlineLevel="0" collapsed="false">
      <c r="A3986" s="2" t="n">
        <v>3985</v>
      </c>
      <c r="B3986" s="2" t="s">
        <v>8190</v>
      </c>
      <c r="C3986" s="2" t="s">
        <v>8191</v>
      </c>
      <c r="D3986" s="2"/>
      <c r="E3986" s="2" t="s">
        <v>289</v>
      </c>
      <c r="F3986" s="3" t="n">
        <v>1E-005</v>
      </c>
      <c r="G3986" s="3" t="n">
        <f aca="false">SUM($F$2:F3986)</f>
        <v>0.993677</v>
      </c>
      <c r="H3986" s="4"/>
      <c r="I3986" s="5"/>
      <c r="J3986" s="4"/>
      <c r="K3986" s="5"/>
      <c r="L3986" s="6"/>
      <c r="M3986" s="5" t="str">
        <f aca="false">IF(AND(N(K3986)&gt;0,N(L3986)&gt;0),K3986/L3986,"")</f>
        <v/>
      </c>
      <c r="N3986" s="2" t="s">
        <v>1226</v>
      </c>
    </row>
    <row r="3987" customFormat="false" ht="15" hidden="false" customHeight="false" outlineLevel="0" collapsed="false">
      <c r="A3987" s="2" t="n">
        <v>3986</v>
      </c>
      <c r="B3987" s="2" t="s">
        <v>8192</v>
      </c>
      <c r="C3987" s="2" t="s">
        <v>8193</v>
      </c>
      <c r="D3987" s="2"/>
      <c r="E3987" s="2" t="s">
        <v>1345</v>
      </c>
      <c r="F3987" s="3" t="n">
        <v>1E-005</v>
      </c>
      <c r="G3987" s="3" t="n">
        <f aca="false">SUM($F$2:F3987)</f>
        <v>0.993687</v>
      </c>
      <c r="H3987" s="4"/>
      <c r="I3987" s="5"/>
      <c r="J3987" s="4"/>
      <c r="K3987" s="5"/>
      <c r="L3987" s="6"/>
      <c r="M3987" s="5" t="str">
        <f aca="false">IF(AND(N(K3987)&gt;0,N(L3987)&gt;0),K3987/L3987,"")</f>
        <v/>
      </c>
      <c r="N3987" s="2" t="s">
        <v>1226</v>
      </c>
    </row>
    <row r="3988" customFormat="false" ht="15" hidden="false" customHeight="false" outlineLevel="0" collapsed="false">
      <c r="A3988" s="2" t="n">
        <v>3987</v>
      </c>
      <c r="B3988" s="2" t="s">
        <v>8194</v>
      </c>
      <c r="C3988" s="2" t="s">
        <v>8195</v>
      </c>
      <c r="D3988" s="2"/>
      <c r="E3988" s="2" t="s">
        <v>1345</v>
      </c>
      <c r="F3988" s="3" t="n">
        <v>1E-005</v>
      </c>
      <c r="G3988" s="3" t="n">
        <f aca="false">SUM($F$2:F3988)</f>
        <v>0.993697</v>
      </c>
      <c r="H3988" s="4"/>
      <c r="I3988" s="5"/>
      <c r="J3988" s="4"/>
      <c r="K3988" s="5"/>
      <c r="L3988" s="6"/>
      <c r="M3988" s="5" t="str">
        <f aca="false">IF(AND(N(K3988)&gt;0,N(L3988)&gt;0),K3988/L3988,"")</f>
        <v/>
      </c>
      <c r="N3988" s="2" t="s">
        <v>1226</v>
      </c>
    </row>
    <row r="3989" customFormat="false" ht="15" hidden="false" customHeight="false" outlineLevel="0" collapsed="false">
      <c r="A3989" s="2" t="n">
        <v>3988</v>
      </c>
      <c r="B3989" s="2" t="s">
        <v>8196</v>
      </c>
      <c r="C3989" s="2" t="s">
        <v>8197</v>
      </c>
      <c r="D3989" s="2"/>
      <c r="E3989" s="2" t="s">
        <v>1345</v>
      </c>
      <c r="F3989" s="3" t="n">
        <v>1E-005</v>
      </c>
      <c r="G3989" s="3" t="n">
        <f aca="false">SUM($F$2:F3989)</f>
        <v>0.993707</v>
      </c>
      <c r="H3989" s="4"/>
      <c r="I3989" s="5"/>
      <c r="J3989" s="4"/>
      <c r="K3989" s="5"/>
      <c r="L3989" s="6"/>
      <c r="M3989" s="5" t="str">
        <f aca="false">IF(AND(N(K3989)&gt;0,N(L3989)&gt;0),K3989/L3989,"")</f>
        <v/>
      </c>
      <c r="N3989" s="2" t="s">
        <v>1226</v>
      </c>
    </row>
    <row r="3990" customFormat="false" ht="15" hidden="false" customHeight="false" outlineLevel="0" collapsed="false">
      <c r="A3990" s="2" t="n">
        <v>3989</v>
      </c>
      <c r="B3990" s="2" t="s">
        <v>8198</v>
      </c>
      <c r="C3990" s="2" t="s">
        <v>8199</v>
      </c>
      <c r="D3990" s="2"/>
      <c r="E3990" s="2" t="s">
        <v>52</v>
      </c>
      <c r="F3990" s="3" t="n">
        <v>1E-005</v>
      </c>
      <c r="G3990" s="3" t="n">
        <f aca="false">SUM($F$2:F3990)</f>
        <v>0.993717</v>
      </c>
      <c r="H3990" s="4"/>
      <c r="I3990" s="5"/>
      <c r="J3990" s="4"/>
      <c r="K3990" s="5"/>
      <c r="L3990" s="6"/>
      <c r="M3990" s="5" t="str">
        <f aca="false">IF(AND(N(K3990)&gt;0,N(L3990)&gt;0),K3990/L3990,"")</f>
        <v/>
      </c>
      <c r="N3990" s="2" t="s">
        <v>1226</v>
      </c>
    </row>
    <row r="3991" customFormat="false" ht="15" hidden="false" customHeight="false" outlineLevel="0" collapsed="false">
      <c r="A3991" s="2" t="n">
        <v>3990</v>
      </c>
      <c r="B3991" s="2" t="s">
        <v>8200</v>
      </c>
      <c r="C3991" s="2" t="s">
        <v>8201</v>
      </c>
      <c r="D3991" s="2"/>
      <c r="E3991" s="2" t="s">
        <v>199</v>
      </c>
      <c r="F3991" s="3" t="n">
        <v>1E-005</v>
      </c>
      <c r="G3991" s="3" t="n">
        <f aca="false">SUM($F$2:F3991)</f>
        <v>0.993727</v>
      </c>
      <c r="H3991" s="4"/>
      <c r="I3991" s="5"/>
      <c r="J3991" s="4"/>
      <c r="K3991" s="5"/>
      <c r="L3991" s="6"/>
      <c r="M3991" s="5" t="str">
        <f aca="false">IF(AND(N(K3991)&gt;0,N(L3991)&gt;0),K3991/L3991,"")</f>
        <v/>
      </c>
      <c r="N3991" s="2" t="s">
        <v>1226</v>
      </c>
    </row>
    <row r="3992" customFormat="false" ht="15" hidden="false" customHeight="false" outlineLevel="0" collapsed="false">
      <c r="A3992" s="2" t="n">
        <v>3991</v>
      </c>
      <c r="B3992" s="2" t="s">
        <v>8202</v>
      </c>
      <c r="C3992" s="2" t="s">
        <v>8203</v>
      </c>
      <c r="D3992" s="2"/>
      <c r="E3992" s="2" t="s">
        <v>289</v>
      </c>
      <c r="F3992" s="3" t="n">
        <v>1E-005</v>
      </c>
      <c r="G3992" s="3" t="n">
        <f aca="false">SUM($F$2:F3992)</f>
        <v>0.993737</v>
      </c>
      <c r="H3992" s="4"/>
      <c r="I3992" s="5"/>
      <c r="J3992" s="4"/>
      <c r="K3992" s="5"/>
      <c r="L3992" s="6"/>
      <c r="M3992" s="5" t="str">
        <f aca="false">IF(AND(N(K3992)&gt;0,N(L3992)&gt;0),K3992/L3992,"")</f>
        <v/>
      </c>
      <c r="N3992" s="2" t="s">
        <v>1226</v>
      </c>
    </row>
    <row r="3993" customFormat="false" ht="15" hidden="false" customHeight="false" outlineLevel="0" collapsed="false">
      <c r="A3993" s="2" t="n">
        <v>3992</v>
      </c>
      <c r="B3993" s="2" t="s">
        <v>8204</v>
      </c>
      <c r="C3993" s="2" t="s">
        <v>8205</v>
      </c>
      <c r="D3993" s="2"/>
      <c r="E3993" s="2" t="s">
        <v>1345</v>
      </c>
      <c r="F3993" s="3" t="n">
        <v>1E-005</v>
      </c>
      <c r="G3993" s="3" t="n">
        <f aca="false">SUM($F$2:F3993)</f>
        <v>0.993747</v>
      </c>
      <c r="H3993" s="4"/>
      <c r="I3993" s="5"/>
      <c r="J3993" s="4"/>
      <c r="K3993" s="5"/>
      <c r="L3993" s="6"/>
      <c r="M3993" s="5" t="str">
        <f aca="false">IF(AND(N(K3993)&gt;0,N(L3993)&gt;0),K3993/L3993,"")</f>
        <v/>
      </c>
      <c r="N3993" s="2" t="s">
        <v>1226</v>
      </c>
    </row>
    <row r="3994" customFormat="false" ht="15" hidden="false" customHeight="false" outlineLevel="0" collapsed="false">
      <c r="A3994" s="2" t="n">
        <v>3993</v>
      </c>
      <c r="B3994" s="2" t="s">
        <v>8206</v>
      </c>
      <c r="C3994" s="2" t="s">
        <v>8207</v>
      </c>
      <c r="D3994" s="2"/>
      <c r="E3994" s="2" t="s">
        <v>29</v>
      </c>
      <c r="F3994" s="3" t="n">
        <v>1E-005</v>
      </c>
      <c r="G3994" s="3" t="n">
        <f aca="false">SUM($F$2:F3994)</f>
        <v>0.993757</v>
      </c>
      <c r="H3994" s="4"/>
      <c r="I3994" s="5"/>
      <c r="J3994" s="4"/>
      <c r="K3994" s="5"/>
      <c r="L3994" s="6"/>
      <c r="M3994" s="5" t="str">
        <f aca="false">IF(AND(N(K3994)&gt;0,N(L3994)&gt;0),K3994/L3994,"")</f>
        <v/>
      </c>
      <c r="N3994" s="2" t="s">
        <v>1226</v>
      </c>
    </row>
    <row r="3995" customFormat="false" ht="15" hidden="false" customHeight="false" outlineLevel="0" collapsed="false">
      <c r="A3995" s="2" t="n">
        <v>3994</v>
      </c>
      <c r="B3995" s="2" t="s">
        <v>8208</v>
      </c>
      <c r="C3995" s="2" t="s">
        <v>8209</v>
      </c>
      <c r="D3995" s="2"/>
      <c r="E3995" s="2" t="s">
        <v>289</v>
      </c>
      <c r="F3995" s="3" t="n">
        <v>1E-005</v>
      </c>
      <c r="G3995" s="3" t="n">
        <f aca="false">SUM($F$2:F3995)</f>
        <v>0.993767</v>
      </c>
      <c r="H3995" s="4"/>
      <c r="I3995" s="5"/>
      <c r="J3995" s="4"/>
      <c r="K3995" s="5"/>
      <c r="L3995" s="6"/>
      <c r="M3995" s="5" t="str">
        <f aca="false">IF(AND(N(K3995)&gt;0,N(L3995)&gt;0),K3995/L3995,"")</f>
        <v/>
      </c>
      <c r="N3995" s="2" t="s">
        <v>1226</v>
      </c>
    </row>
    <row r="3996" customFormat="false" ht="15" hidden="false" customHeight="false" outlineLevel="0" collapsed="false">
      <c r="A3996" s="2" t="n">
        <v>3995</v>
      </c>
      <c r="B3996" s="2" t="s">
        <v>8210</v>
      </c>
      <c r="C3996" s="2" t="s">
        <v>8211</v>
      </c>
      <c r="D3996" s="2"/>
      <c r="E3996" s="2" t="s">
        <v>52</v>
      </c>
      <c r="F3996" s="3" t="n">
        <v>1E-005</v>
      </c>
      <c r="G3996" s="3" t="n">
        <f aca="false">SUM($F$2:F3996)</f>
        <v>0.993777</v>
      </c>
      <c r="H3996" s="4"/>
      <c r="I3996" s="5"/>
      <c r="J3996" s="4"/>
      <c r="K3996" s="5"/>
      <c r="L3996" s="6"/>
      <c r="M3996" s="5" t="str">
        <f aca="false">IF(AND(N(K3996)&gt;0,N(L3996)&gt;0),K3996/L3996,"")</f>
        <v/>
      </c>
      <c r="N3996" s="2" t="s">
        <v>1226</v>
      </c>
    </row>
    <row r="3997" customFormat="false" ht="15" hidden="false" customHeight="false" outlineLevel="0" collapsed="false">
      <c r="A3997" s="2" t="n">
        <v>3996</v>
      </c>
      <c r="B3997" s="2" t="s">
        <v>8212</v>
      </c>
      <c r="C3997" s="2" t="s">
        <v>8213</v>
      </c>
      <c r="D3997" s="2"/>
      <c r="E3997" s="2" t="s">
        <v>1345</v>
      </c>
      <c r="F3997" s="3" t="n">
        <v>1E-005</v>
      </c>
      <c r="G3997" s="3" t="n">
        <f aca="false">SUM($F$2:F3997)</f>
        <v>0.993787</v>
      </c>
      <c r="H3997" s="4"/>
      <c r="I3997" s="5"/>
      <c r="J3997" s="4"/>
      <c r="K3997" s="5"/>
      <c r="L3997" s="6"/>
      <c r="M3997" s="5" t="str">
        <f aca="false">IF(AND(N(K3997)&gt;0,N(L3997)&gt;0),K3997/L3997,"")</f>
        <v/>
      </c>
      <c r="N3997" s="2" t="s">
        <v>1226</v>
      </c>
    </row>
    <row r="3998" customFormat="false" ht="15" hidden="false" customHeight="false" outlineLevel="0" collapsed="false">
      <c r="A3998" s="2" t="n">
        <v>3997</v>
      </c>
      <c r="B3998" s="2" t="s">
        <v>7810</v>
      </c>
      <c r="C3998" s="2" t="s">
        <v>8214</v>
      </c>
      <c r="D3998" s="2"/>
      <c r="E3998" s="2" t="s">
        <v>52</v>
      </c>
      <c r="F3998" s="3" t="n">
        <v>1E-005</v>
      </c>
      <c r="G3998" s="3" t="n">
        <f aca="false">SUM($F$2:F3998)</f>
        <v>0.993797</v>
      </c>
      <c r="H3998" s="4"/>
      <c r="I3998" s="5"/>
      <c r="J3998" s="4"/>
      <c r="K3998" s="5"/>
      <c r="L3998" s="6"/>
      <c r="M3998" s="5" t="str">
        <f aca="false">IF(AND(N(K3998)&gt;0,N(L3998)&gt;0),K3998/L3998,"")</f>
        <v/>
      </c>
      <c r="N3998" s="2" t="s">
        <v>1226</v>
      </c>
    </row>
    <row r="3999" customFormat="false" ht="15" hidden="false" customHeight="false" outlineLevel="0" collapsed="false">
      <c r="A3999" s="2" t="n">
        <v>3998</v>
      </c>
      <c r="B3999" s="2" t="s">
        <v>8215</v>
      </c>
      <c r="C3999" s="2" t="s">
        <v>8216</v>
      </c>
      <c r="D3999" s="2"/>
      <c r="E3999" s="2" t="s">
        <v>52</v>
      </c>
      <c r="F3999" s="3" t="n">
        <v>1E-005</v>
      </c>
      <c r="G3999" s="3" t="n">
        <f aca="false">SUM($F$2:F3999)</f>
        <v>0.993807</v>
      </c>
      <c r="H3999" s="4"/>
      <c r="I3999" s="5"/>
      <c r="J3999" s="4"/>
      <c r="K3999" s="5"/>
      <c r="L3999" s="6"/>
      <c r="M3999" s="5" t="str">
        <f aca="false">IF(AND(N(K3999)&gt;0,N(L3999)&gt;0),K3999/L3999,"")</f>
        <v/>
      </c>
      <c r="N3999" s="2" t="s">
        <v>1226</v>
      </c>
    </row>
    <row r="4000" customFormat="false" ht="15" hidden="false" customHeight="false" outlineLevel="0" collapsed="false">
      <c r="A4000" s="2" t="n">
        <v>3999</v>
      </c>
      <c r="B4000" s="2" t="s">
        <v>1239</v>
      </c>
      <c r="C4000" s="2" t="s">
        <v>8217</v>
      </c>
      <c r="D4000" s="2"/>
      <c r="E4000" s="2" t="s">
        <v>33</v>
      </c>
      <c r="F4000" s="3" t="n">
        <v>1E-005</v>
      </c>
      <c r="G4000" s="3" t="n">
        <f aca="false">SUM($F$2:F4000)</f>
        <v>0.993817</v>
      </c>
      <c r="H4000" s="4"/>
      <c r="I4000" s="5"/>
      <c r="J4000" s="4"/>
      <c r="K4000" s="5"/>
      <c r="L4000" s="6"/>
      <c r="M4000" s="5" t="str">
        <f aca="false">IF(AND(N(K4000)&gt;0,N(L4000)&gt;0),K4000/L4000,"")</f>
        <v/>
      </c>
      <c r="N4000" s="2" t="s">
        <v>1226</v>
      </c>
    </row>
    <row r="4001" customFormat="false" ht="15" hidden="false" customHeight="false" outlineLevel="0" collapsed="false">
      <c r="A4001" s="2" t="n">
        <v>4000</v>
      </c>
      <c r="B4001" s="2" t="s">
        <v>8218</v>
      </c>
      <c r="C4001" s="2" t="s">
        <v>8219</v>
      </c>
      <c r="D4001" s="2"/>
      <c r="E4001" s="2" t="s">
        <v>43</v>
      </c>
      <c r="F4001" s="3" t="n">
        <v>1E-005</v>
      </c>
      <c r="G4001" s="3" t="n">
        <f aca="false">SUM($F$2:F4001)</f>
        <v>0.993827</v>
      </c>
      <c r="H4001" s="4"/>
      <c r="I4001" s="5"/>
      <c r="J4001" s="4"/>
      <c r="K4001" s="5"/>
      <c r="L4001" s="6"/>
      <c r="M4001" s="5" t="str">
        <f aca="false">IF(AND(N(K4001)&gt;0,N(L4001)&gt;0),K4001/L4001,"")</f>
        <v/>
      </c>
      <c r="N4001" s="2" t="s">
        <v>1226</v>
      </c>
    </row>
    <row r="4002" customFormat="false" ht="15" hidden="false" customHeight="false" outlineLevel="0" collapsed="false">
      <c r="A4002" s="2" t="n">
        <v>4001</v>
      </c>
      <c r="B4002" s="2" t="s">
        <v>8220</v>
      </c>
      <c r="C4002" s="2" t="s">
        <v>8221</v>
      </c>
      <c r="D4002" s="2"/>
      <c r="E4002" s="2" t="s">
        <v>1588</v>
      </c>
      <c r="F4002" s="3" t="n">
        <v>1E-005</v>
      </c>
      <c r="G4002" s="3" t="n">
        <f aca="false">SUM($F$2:F4002)</f>
        <v>0.993837</v>
      </c>
      <c r="H4002" s="4"/>
      <c r="I4002" s="5"/>
      <c r="J4002" s="4"/>
      <c r="K4002" s="5"/>
      <c r="L4002" s="6"/>
      <c r="M4002" s="5" t="str">
        <f aca="false">IF(AND(N(K4002)&gt;0,N(L4002)&gt;0),K4002/L4002,"")</f>
        <v/>
      </c>
      <c r="N4002" s="2" t="s">
        <v>1226</v>
      </c>
    </row>
    <row r="4003" customFormat="false" ht="15" hidden="false" customHeight="false" outlineLevel="0" collapsed="false">
      <c r="A4003" s="2" t="n">
        <v>4002</v>
      </c>
      <c r="B4003" s="2" t="s">
        <v>8222</v>
      </c>
      <c r="C4003" s="2" t="s">
        <v>8223</v>
      </c>
      <c r="D4003" s="2"/>
      <c r="E4003" s="2" t="s">
        <v>296</v>
      </c>
      <c r="F4003" s="3" t="n">
        <v>1E-005</v>
      </c>
      <c r="G4003" s="3" t="n">
        <f aca="false">SUM($F$2:F4003)</f>
        <v>0.993847</v>
      </c>
      <c r="H4003" s="4"/>
      <c r="I4003" s="5"/>
      <c r="J4003" s="4"/>
      <c r="K4003" s="5"/>
      <c r="L4003" s="6"/>
      <c r="M4003" s="5" t="str">
        <f aca="false">IF(AND(N(K4003)&gt;0,N(L4003)&gt;0),K4003/L4003,"")</f>
        <v/>
      </c>
      <c r="N4003" s="2" t="s">
        <v>1226</v>
      </c>
    </row>
    <row r="4004" customFormat="false" ht="15" hidden="false" customHeight="false" outlineLevel="0" collapsed="false">
      <c r="A4004" s="2" t="n">
        <v>4003</v>
      </c>
      <c r="B4004" s="2" t="s">
        <v>8224</v>
      </c>
      <c r="C4004" s="2" t="s">
        <v>8225</v>
      </c>
      <c r="D4004" s="2"/>
      <c r="E4004" s="2" t="s">
        <v>1345</v>
      </c>
      <c r="F4004" s="3" t="n">
        <v>1E-005</v>
      </c>
      <c r="G4004" s="3" t="n">
        <f aca="false">SUM($F$2:F4004)</f>
        <v>0.993857</v>
      </c>
      <c r="H4004" s="4"/>
      <c r="I4004" s="5"/>
      <c r="J4004" s="4"/>
      <c r="K4004" s="5"/>
      <c r="L4004" s="6"/>
      <c r="M4004" s="5" t="str">
        <f aca="false">IF(AND(N(K4004)&gt;0,N(L4004)&gt;0),K4004/L4004,"")</f>
        <v/>
      </c>
      <c r="N4004" s="2" t="s">
        <v>1226</v>
      </c>
    </row>
    <row r="4005" customFormat="false" ht="15" hidden="false" customHeight="false" outlineLevel="0" collapsed="false">
      <c r="A4005" s="2" t="n">
        <v>4004</v>
      </c>
      <c r="B4005" s="2" t="s">
        <v>8226</v>
      </c>
      <c r="C4005" s="2" t="s">
        <v>8227</v>
      </c>
      <c r="D4005" s="2"/>
      <c r="E4005" s="2" t="s">
        <v>1345</v>
      </c>
      <c r="F4005" s="3" t="n">
        <v>1E-005</v>
      </c>
      <c r="G4005" s="3" t="n">
        <f aca="false">SUM($F$2:F4005)</f>
        <v>0.993867</v>
      </c>
      <c r="H4005" s="4"/>
      <c r="I4005" s="5"/>
      <c r="J4005" s="4"/>
      <c r="K4005" s="5"/>
      <c r="L4005" s="6"/>
      <c r="M4005" s="5" t="str">
        <f aca="false">IF(AND(N(K4005)&gt;0,N(L4005)&gt;0),K4005/L4005,"")</f>
        <v/>
      </c>
      <c r="N4005" s="2" t="s">
        <v>1226</v>
      </c>
    </row>
    <row r="4006" customFormat="false" ht="15" hidden="false" customHeight="false" outlineLevel="0" collapsed="false">
      <c r="A4006" s="2" t="n">
        <v>4005</v>
      </c>
      <c r="B4006" s="2" t="s">
        <v>8228</v>
      </c>
      <c r="C4006" s="2" t="s">
        <v>8229</v>
      </c>
      <c r="D4006" s="2"/>
      <c r="E4006" s="2" t="s">
        <v>289</v>
      </c>
      <c r="F4006" s="3" t="n">
        <v>1E-005</v>
      </c>
      <c r="G4006" s="3" t="n">
        <f aca="false">SUM($F$2:F4006)</f>
        <v>0.993877</v>
      </c>
      <c r="H4006" s="4"/>
      <c r="I4006" s="5"/>
      <c r="J4006" s="4"/>
      <c r="K4006" s="5"/>
      <c r="L4006" s="6"/>
      <c r="M4006" s="5" t="str">
        <f aca="false">IF(AND(N(K4006)&gt;0,N(L4006)&gt;0),K4006/L4006,"")</f>
        <v/>
      </c>
      <c r="N4006" s="2" t="s">
        <v>1226</v>
      </c>
    </row>
    <row r="4007" customFormat="false" ht="15" hidden="false" customHeight="false" outlineLevel="0" collapsed="false">
      <c r="A4007" s="2" t="n">
        <v>4006</v>
      </c>
      <c r="B4007" s="2" t="s">
        <v>8230</v>
      </c>
      <c r="C4007" s="2" t="s">
        <v>8231</v>
      </c>
      <c r="D4007" s="2"/>
      <c r="E4007" s="2" t="s">
        <v>38</v>
      </c>
      <c r="F4007" s="3" t="n">
        <v>1E-005</v>
      </c>
      <c r="G4007" s="3" t="n">
        <f aca="false">SUM($F$2:F4007)</f>
        <v>0.993887</v>
      </c>
      <c r="H4007" s="4"/>
      <c r="I4007" s="5"/>
      <c r="J4007" s="4"/>
      <c r="K4007" s="5"/>
      <c r="L4007" s="6"/>
      <c r="M4007" s="5" t="str">
        <f aca="false">IF(AND(N(K4007)&gt;0,N(L4007)&gt;0),K4007/L4007,"")</f>
        <v/>
      </c>
      <c r="N4007" s="2" t="s">
        <v>1226</v>
      </c>
    </row>
    <row r="4008" customFormat="false" ht="15" hidden="false" customHeight="false" outlineLevel="0" collapsed="false">
      <c r="A4008" s="2" t="n">
        <v>4007</v>
      </c>
      <c r="B4008" s="2" t="s">
        <v>8232</v>
      </c>
      <c r="C4008" s="2" t="s">
        <v>8233</v>
      </c>
      <c r="D4008" s="2"/>
      <c r="E4008" s="2" t="s">
        <v>52</v>
      </c>
      <c r="F4008" s="3" t="n">
        <v>1E-005</v>
      </c>
      <c r="G4008" s="3" t="n">
        <f aca="false">SUM($F$2:F4008)</f>
        <v>0.993897</v>
      </c>
      <c r="H4008" s="4"/>
      <c r="I4008" s="5"/>
      <c r="J4008" s="4"/>
      <c r="K4008" s="5"/>
      <c r="L4008" s="6"/>
      <c r="M4008" s="5" t="str">
        <f aca="false">IF(AND(N(K4008)&gt;0,N(L4008)&gt;0),K4008/L4008,"")</f>
        <v/>
      </c>
      <c r="N4008" s="2" t="s">
        <v>1226</v>
      </c>
    </row>
    <row r="4009" customFormat="false" ht="15" hidden="false" customHeight="false" outlineLevel="0" collapsed="false">
      <c r="A4009" s="2" t="n">
        <v>4008</v>
      </c>
      <c r="B4009" s="2" t="s">
        <v>6211</v>
      </c>
      <c r="C4009" s="2" t="s">
        <v>8234</v>
      </c>
      <c r="D4009" s="2"/>
      <c r="E4009" s="2" t="s">
        <v>17</v>
      </c>
      <c r="F4009" s="3" t="n">
        <v>1E-005</v>
      </c>
      <c r="G4009" s="3" t="n">
        <f aca="false">SUM($F$2:F4009)</f>
        <v>0.993907</v>
      </c>
      <c r="H4009" s="4"/>
      <c r="I4009" s="5"/>
      <c r="J4009" s="4"/>
      <c r="K4009" s="5"/>
      <c r="L4009" s="6"/>
      <c r="M4009" s="5" t="str">
        <f aca="false">IF(AND(N(K4009)&gt;0,N(L4009)&gt;0),K4009/L4009,"")</f>
        <v/>
      </c>
      <c r="N4009" s="2" t="s">
        <v>1226</v>
      </c>
    </row>
    <row r="4010" customFormat="false" ht="15" hidden="false" customHeight="false" outlineLevel="0" collapsed="false">
      <c r="A4010" s="2" t="n">
        <v>4009</v>
      </c>
      <c r="B4010" s="2" t="s">
        <v>8235</v>
      </c>
      <c r="C4010" s="2" t="s">
        <v>8236</v>
      </c>
      <c r="D4010" s="2"/>
      <c r="E4010" s="2" t="s">
        <v>1345</v>
      </c>
      <c r="F4010" s="3" t="n">
        <v>1E-005</v>
      </c>
      <c r="G4010" s="3" t="n">
        <f aca="false">SUM($F$2:F4010)</f>
        <v>0.993917</v>
      </c>
      <c r="H4010" s="4"/>
      <c r="I4010" s="5"/>
      <c r="J4010" s="4"/>
      <c r="K4010" s="5"/>
      <c r="L4010" s="6"/>
      <c r="M4010" s="5" t="str">
        <f aca="false">IF(AND(N(K4010)&gt;0,N(L4010)&gt;0),K4010/L4010,"")</f>
        <v/>
      </c>
      <c r="N4010" s="2" t="s">
        <v>1226</v>
      </c>
    </row>
    <row r="4011" customFormat="false" ht="15" hidden="false" customHeight="false" outlineLevel="0" collapsed="false">
      <c r="A4011" s="2" t="n">
        <v>4010</v>
      </c>
      <c r="B4011" s="2" t="s">
        <v>8237</v>
      </c>
      <c r="C4011" s="2" t="s">
        <v>8238</v>
      </c>
      <c r="D4011" s="2"/>
      <c r="E4011" s="2" t="s">
        <v>1345</v>
      </c>
      <c r="F4011" s="3" t="n">
        <v>1E-005</v>
      </c>
      <c r="G4011" s="3" t="n">
        <f aca="false">SUM($F$2:F4011)</f>
        <v>0.993927</v>
      </c>
      <c r="H4011" s="4"/>
      <c r="I4011" s="5"/>
      <c r="J4011" s="4"/>
      <c r="K4011" s="5"/>
      <c r="L4011" s="6"/>
      <c r="M4011" s="5" t="str">
        <f aca="false">IF(AND(N(K4011)&gt;0,N(L4011)&gt;0),K4011/L4011,"")</f>
        <v/>
      </c>
      <c r="N4011" s="2" t="s">
        <v>1226</v>
      </c>
    </row>
    <row r="4012" customFormat="false" ht="15" hidden="false" customHeight="false" outlineLevel="0" collapsed="false">
      <c r="A4012" s="2" t="n">
        <v>4011</v>
      </c>
      <c r="B4012" s="2" t="s">
        <v>8239</v>
      </c>
      <c r="C4012" s="2" t="s">
        <v>8240</v>
      </c>
      <c r="D4012" s="2"/>
      <c r="E4012" s="2" t="s">
        <v>1345</v>
      </c>
      <c r="F4012" s="3" t="n">
        <v>1E-005</v>
      </c>
      <c r="G4012" s="3" t="n">
        <f aca="false">SUM($F$2:F4012)</f>
        <v>0.993937</v>
      </c>
      <c r="H4012" s="4"/>
      <c r="I4012" s="5"/>
      <c r="J4012" s="4"/>
      <c r="K4012" s="5"/>
      <c r="L4012" s="6"/>
      <c r="M4012" s="5" t="str">
        <f aca="false">IF(AND(N(K4012)&gt;0,N(L4012)&gt;0),K4012/L4012,"")</f>
        <v/>
      </c>
      <c r="N4012" s="2" t="s">
        <v>1226</v>
      </c>
    </row>
    <row r="4013" customFormat="false" ht="15" hidden="false" customHeight="false" outlineLevel="0" collapsed="false">
      <c r="A4013" s="2" t="n">
        <v>4012</v>
      </c>
      <c r="B4013" s="2" t="s">
        <v>8241</v>
      </c>
      <c r="C4013" s="2" t="s">
        <v>8242</v>
      </c>
      <c r="D4013" s="2"/>
      <c r="E4013" s="2" t="s">
        <v>1345</v>
      </c>
      <c r="F4013" s="3" t="n">
        <v>1E-005</v>
      </c>
      <c r="G4013" s="3" t="n">
        <f aca="false">SUM($F$2:F4013)</f>
        <v>0.993947</v>
      </c>
      <c r="H4013" s="4"/>
      <c r="I4013" s="5"/>
      <c r="J4013" s="4"/>
      <c r="K4013" s="5"/>
      <c r="L4013" s="6"/>
      <c r="M4013" s="5" t="str">
        <f aca="false">IF(AND(N(K4013)&gt;0,N(L4013)&gt;0),K4013/L4013,"")</f>
        <v/>
      </c>
      <c r="N4013" s="2" t="s">
        <v>1226</v>
      </c>
    </row>
    <row r="4014" customFormat="false" ht="15" hidden="false" customHeight="false" outlineLevel="0" collapsed="false">
      <c r="A4014" s="2" t="n">
        <v>4013</v>
      </c>
      <c r="B4014" s="2" t="s">
        <v>301</v>
      </c>
      <c r="C4014" s="2" t="s">
        <v>8243</v>
      </c>
      <c r="D4014" s="2"/>
      <c r="E4014" s="2" t="s">
        <v>173</v>
      </c>
      <c r="F4014" s="3" t="n">
        <v>1E-005</v>
      </c>
      <c r="G4014" s="3" t="n">
        <f aca="false">SUM($F$2:F4014)</f>
        <v>0.993957</v>
      </c>
      <c r="H4014" s="4"/>
      <c r="I4014" s="5"/>
      <c r="J4014" s="4"/>
      <c r="K4014" s="5"/>
      <c r="L4014" s="6"/>
      <c r="M4014" s="5" t="str">
        <f aca="false">IF(AND(N(K4014)&gt;0,N(L4014)&gt;0),K4014/L4014,"")</f>
        <v/>
      </c>
      <c r="N4014" s="2" t="s">
        <v>34</v>
      </c>
    </row>
    <row r="4015" customFormat="false" ht="15" hidden="false" customHeight="false" outlineLevel="0" collapsed="false">
      <c r="A4015" s="2" t="n">
        <v>4014</v>
      </c>
      <c r="B4015" s="2" t="s">
        <v>8244</v>
      </c>
      <c r="C4015" s="2" t="s">
        <v>8245</v>
      </c>
      <c r="D4015" s="2"/>
      <c r="E4015" s="2" t="s">
        <v>1284</v>
      </c>
      <c r="F4015" s="3" t="n">
        <v>1E-005</v>
      </c>
      <c r="G4015" s="3" t="n">
        <f aca="false">SUM($F$2:F4015)</f>
        <v>0.993967</v>
      </c>
      <c r="H4015" s="4"/>
      <c r="I4015" s="5"/>
      <c r="J4015" s="4"/>
      <c r="K4015" s="5"/>
      <c r="L4015" s="6"/>
      <c r="M4015" s="5" t="str">
        <f aca="false">IF(AND(N(K4015)&gt;0,N(L4015)&gt;0),K4015/L4015,"")</f>
        <v/>
      </c>
      <c r="N4015" s="2" t="s">
        <v>1226</v>
      </c>
    </row>
    <row r="4016" customFormat="false" ht="15" hidden="false" customHeight="false" outlineLevel="0" collapsed="false">
      <c r="A4016" s="2" t="n">
        <v>4015</v>
      </c>
      <c r="B4016" s="2" t="s">
        <v>8246</v>
      </c>
      <c r="C4016" s="2" t="s">
        <v>8247</v>
      </c>
      <c r="D4016" s="2"/>
      <c r="E4016" s="2" t="s">
        <v>289</v>
      </c>
      <c r="F4016" s="3" t="n">
        <v>1E-005</v>
      </c>
      <c r="G4016" s="3" t="n">
        <f aca="false">SUM($F$2:F4016)</f>
        <v>0.993977</v>
      </c>
      <c r="H4016" s="4"/>
      <c r="I4016" s="5"/>
      <c r="J4016" s="4"/>
      <c r="K4016" s="5"/>
      <c r="L4016" s="6"/>
      <c r="M4016" s="5" t="str">
        <f aca="false">IF(AND(N(K4016)&gt;0,N(L4016)&gt;0),K4016/L4016,"")</f>
        <v/>
      </c>
      <c r="N4016" s="2" t="s">
        <v>1226</v>
      </c>
    </row>
    <row r="4017" customFormat="false" ht="15" hidden="false" customHeight="false" outlineLevel="0" collapsed="false">
      <c r="A4017" s="2" t="n">
        <v>4016</v>
      </c>
      <c r="B4017" s="2" t="s">
        <v>8248</v>
      </c>
      <c r="C4017" s="2" t="s">
        <v>8249</v>
      </c>
      <c r="D4017" s="2"/>
      <c r="E4017" s="2" t="s">
        <v>17</v>
      </c>
      <c r="F4017" s="3" t="n">
        <v>1E-005</v>
      </c>
      <c r="G4017" s="3" t="n">
        <f aca="false">SUM($F$2:F4017)</f>
        <v>0.993987</v>
      </c>
      <c r="H4017" s="4"/>
      <c r="I4017" s="5"/>
      <c r="J4017" s="4"/>
      <c r="K4017" s="5"/>
      <c r="L4017" s="6"/>
      <c r="M4017" s="5" t="str">
        <f aca="false">IF(AND(N(K4017)&gt;0,N(L4017)&gt;0),K4017/L4017,"")</f>
        <v/>
      </c>
      <c r="N4017" s="2" t="s">
        <v>1226</v>
      </c>
    </row>
    <row r="4018" customFormat="false" ht="15" hidden="false" customHeight="false" outlineLevel="0" collapsed="false">
      <c r="A4018" s="2" t="n">
        <v>4017</v>
      </c>
      <c r="B4018" s="2" t="s">
        <v>8250</v>
      </c>
      <c r="C4018" s="2" t="s">
        <v>8251</v>
      </c>
      <c r="D4018" s="2"/>
      <c r="E4018" s="2" t="s">
        <v>2055</v>
      </c>
      <c r="F4018" s="3" t="n">
        <v>1E-005</v>
      </c>
      <c r="G4018" s="3" t="n">
        <f aca="false">SUM($F$2:F4018)</f>
        <v>0.993997</v>
      </c>
      <c r="H4018" s="4"/>
      <c r="I4018" s="5"/>
      <c r="J4018" s="4"/>
      <c r="K4018" s="5"/>
      <c r="L4018" s="6"/>
      <c r="M4018" s="5" t="str">
        <f aca="false">IF(AND(N(K4018)&gt;0,N(L4018)&gt;0),K4018/L4018,"")</f>
        <v/>
      </c>
      <c r="N4018" s="2" t="s">
        <v>1226</v>
      </c>
    </row>
    <row r="4019" customFormat="false" ht="15" hidden="false" customHeight="false" outlineLevel="0" collapsed="false">
      <c r="A4019" s="2" t="n">
        <v>4018</v>
      </c>
      <c r="B4019" s="2" t="s">
        <v>8252</v>
      </c>
      <c r="C4019" s="2" t="s">
        <v>8253</v>
      </c>
      <c r="D4019" s="2"/>
      <c r="E4019" s="2" t="s">
        <v>52</v>
      </c>
      <c r="F4019" s="3" t="n">
        <v>1E-005</v>
      </c>
      <c r="G4019" s="3" t="n">
        <f aca="false">SUM($F$2:F4019)</f>
        <v>0.994007</v>
      </c>
      <c r="H4019" s="4"/>
      <c r="I4019" s="5"/>
      <c r="J4019" s="4"/>
      <c r="K4019" s="5"/>
      <c r="L4019" s="6"/>
      <c r="M4019" s="5" t="str">
        <f aca="false">IF(AND(N(K4019)&gt;0,N(L4019)&gt;0),K4019/L4019,"")</f>
        <v/>
      </c>
      <c r="N4019" s="2" t="s">
        <v>1226</v>
      </c>
    </row>
    <row r="4020" customFormat="false" ht="15" hidden="false" customHeight="false" outlineLevel="0" collapsed="false">
      <c r="A4020" s="2" t="n">
        <v>4019</v>
      </c>
      <c r="B4020" s="2" t="s">
        <v>8254</v>
      </c>
      <c r="C4020" s="2" t="s">
        <v>8255</v>
      </c>
      <c r="D4020" s="2"/>
      <c r="E4020" s="2" t="s">
        <v>25</v>
      </c>
      <c r="F4020" s="3" t="n">
        <v>1E-005</v>
      </c>
      <c r="G4020" s="3" t="n">
        <f aca="false">SUM($F$2:F4020)</f>
        <v>0.994017</v>
      </c>
      <c r="H4020" s="4"/>
      <c r="I4020" s="5"/>
      <c r="J4020" s="4"/>
      <c r="K4020" s="5"/>
      <c r="L4020" s="6"/>
      <c r="M4020" s="5" t="str">
        <f aca="false">IF(AND(N(K4020)&gt;0,N(L4020)&gt;0),K4020/L4020,"")</f>
        <v/>
      </c>
      <c r="N4020" s="2" t="s">
        <v>1226</v>
      </c>
    </row>
    <row r="4021" customFormat="false" ht="15" hidden="false" customHeight="false" outlineLevel="0" collapsed="false">
      <c r="A4021" s="2" t="n">
        <v>4020</v>
      </c>
      <c r="B4021" s="2" t="s">
        <v>8256</v>
      </c>
      <c r="C4021" s="2" t="s">
        <v>8257</v>
      </c>
      <c r="D4021" s="2"/>
      <c r="E4021" s="2" t="s">
        <v>1345</v>
      </c>
      <c r="F4021" s="3" t="n">
        <v>1E-005</v>
      </c>
      <c r="G4021" s="3" t="n">
        <f aca="false">SUM($F$2:F4021)</f>
        <v>0.994027</v>
      </c>
      <c r="H4021" s="4"/>
      <c r="I4021" s="5"/>
      <c r="J4021" s="4"/>
      <c r="K4021" s="5"/>
      <c r="L4021" s="6"/>
      <c r="M4021" s="5" t="str">
        <f aca="false">IF(AND(N(K4021)&gt;0,N(L4021)&gt;0),K4021/L4021,"")</f>
        <v/>
      </c>
      <c r="N4021" s="2" t="s">
        <v>1226</v>
      </c>
    </row>
    <row r="4022" customFormat="false" ht="15" hidden="false" customHeight="false" outlineLevel="0" collapsed="false">
      <c r="A4022" s="2" t="n">
        <v>4021</v>
      </c>
      <c r="B4022" s="2" t="s">
        <v>8258</v>
      </c>
      <c r="C4022" s="2" t="s">
        <v>8259</v>
      </c>
      <c r="D4022" s="2"/>
      <c r="E4022" s="2" t="s">
        <v>29</v>
      </c>
      <c r="F4022" s="3" t="n">
        <v>1E-005</v>
      </c>
      <c r="G4022" s="3" t="n">
        <f aca="false">SUM($F$2:F4022)</f>
        <v>0.994037</v>
      </c>
      <c r="H4022" s="4"/>
      <c r="I4022" s="5"/>
      <c r="J4022" s="4"/>
      <c r="K4022" s="5"/>
      <c r="L4022" s="6"/>
      <c r="M4022" s="5" t="str">
        <f aca="false">IF(AND(N(K4022)&gt;0,N(L4022)&gt;0),K4022/L4022,"")</f>
        <v/>
      </c>
      <c r="N4022" s="2" t="s">
        <v>1226</v>
      </c>
    </row>
    <row r="4023" customFormat="false" ht="15" hidden="false" customHeight="false" outlineLevel="0" collapsed="false">
      <c r="A4023" s="2" t="n">
        <v>4022</v>
      </c>
      <c r="B4023" s="2" t="s">
        <v>8260</v>
      </c>
      <c r="C4023" s="2" t="s">
        <v>8261</v>
      </c>
      <c r="D4023" s="2"/>
      <c r="E4023" s="2" t="s">
        <v>289</v>
      </c>
      <c r="F4023" s="3" t="n">
        <v>1E-005</v>
      </c>
      <c r="G4023" s="3" t="n">
        <f aca="false">SUM($F$2:F4023)</f>
        <v>0.994047</v>
      </c>
      <c r="H4023" s="4"/>
      <c r="I4023" s="5"/>
      <c r="J4023" s="4"/>
      <c r="K4023" s="5"/>
      <c r="L4023" s="6"/>
      <c r="M4023" s="5" t="str">
        <f aca="false">IF(AND(N(K4023)&gt;0,N(L4023)&gt;0),K4023/L4023,"")</f>
        <v/>
      </c>
      <c r="N4023" s="2" t="s">
        <v>1226</v>
      </c>
    </row>
    <row r="4024" customFormat="false" ht="15" hidden="false" customHeight="false" outlineLevel="0" collapsed="false">
      <c r="A4024" s="2" t="n">
        <v>4023</v>
      </c>
      <c r="B4024" s="2" t="s">
        <v>8262</v>
      </c>
      <c r="C4024" s="2" t="s">
        <v>8263</v>
      </c>
      <c r="D4024" s="2"/>
      <c r="E4024" s="2" t="s">
        <v>2055</v>
      </c>
      <c r="F4024" s="3" t="n">
        <v>1E-005</v>
      </c>
      <c r="G4024" s="3" t="n">
        <f aca="false">SUM($F$2:F4024)</f>
        <v>0.994057</v>
      </c>
      <c r="H4024" s="4"/>
      <c r="I4024" s="5"/>
      <c r="J4024" s="4"/>
      <c r="K4024" s="5"/>
      <c r="L4024" s="6"/>
      <c r="M4024" s="5" t="str">
        <f aca="false">IF(AND(N(K4024)&gt;0,N(L4024)&gt;0),K4024/L4024,"")</f>
        <v/>
      </c>
      <c r="N4024" s="2" t="s">
        <v>1226</v>
      </c>
    </row>
    <row r="4025" customFormat="false" ht="15" hidden="false" customHeight="false" outlineLevel="0" collapsed="false">
      <c r="A4025" s="2" t="n">
        <v>4024</v>
      </c>
      <c r="B4025" s="2" t="s">
        <v>8264</v>
      </c>
      <c r="C4025" s="2" t="s">
        <v>8265</v>
      </c>
      <c r="D4025" s="2"/>
      <c r="E4025" s="2" t="s">
        <v>1345</v>
      </c>
      <c r="F4025" s="3" t="n">
        <v>1E-005</v>
      </c>
      <c r="G4025" s="3" t="n">
        <f aca="false">SUM($F$2:F4025)</f>
        <v>0.994067</v>
      </c>
      <c r="H4025" s="4"/>
      <c r="I4025" s="5"/>
      <c r="J4025" s="4"/>
      <c r="K4025" s="5"/>
      <c r="L4025" s="6"/>
      <c r="M4025" s="5" t="str">
        <f aca="false">IF(AND(N(K4025)&gt;0,N(L4025)&gt;0),K4025/L4025,"")</f>
        <v/>
      </c>
      <c r="N4025" s="2" t="s">
        <v>1226</v>
      </c>
    </row>
    <row r="4026" customFormat="false" ht="15" hidden="false" customHeight="false" outlineLevel="0" collapsed="false">
      <c r="A4026" s="2" t="n">
        <v>4025</v>
      </c>
      <c r="B4026" s="2" t="s">
        <v>8266</v>
      </c>
      <c r="C4026" s="2" t="s">
        <v>8267</v>
      </c>
      <c r="D4026" s="2"/>
      <c r="E4026" s="2" t="s">
        <v>289</v>
      </c>
      <c r="F4026" s="3" t="n">
        <v>1E-005</v>
      </c>
      <c r="G4026" s="3" t="n">
        <f aca="false">SUM($F$2:F4026)</f>
        <v>0.994077</v>
      </c>
      <c r="H4026" s="4"/>
      <c r="I4026" s="5"/>
      <c r="J4026" s="4"/>
      <c r="K4026" s="5"/>
      <c r="L4026" s="6"/>
      <c r="M4026" s="5" t="str">
        <f aca="false">IF(AND(N(K4026)&gt;0,N(L4026)&gt;0),K4026/L4026,"")</f>
        <v/>
      </c>
      <c r="N4026" s="2" t="s">
        <v>1226</v>
      </c>
    </row>
    <row r="4027" customFormat="false" ht="15" hidden="false" customHeight="false" outlineLevel="0" collapsed="false">
      <c r="A4027" s="2" t="n">
        <v>4026</v>
      </c>
      <c r="B4027" s="2" t="s">
        <v>8268</v>
      </c>
      <c r="C4027" s="2" t="s">
        <v>8269</v>
      </c>
      <c r="D4027" s="2"/>
      <c r="E4027" s="2" t="s">
        <v>1345</v>
      </c>
      <c r="F4027" s="3" t="n">
        <v>1E-005</v>
      </c>
      <c r="G4027" s="3" t="n">
        <f aca="false">SUM($F$2:F4027)</f>
        <v>0.994087</v>
      </c>
      <c r="H4027" s="4"/>
      <c r="I4027" s="5"/>
      <c r="J4027" s="4"/>
      <c r="K4027" s="5"/>
      <c r="L4027" s="6"/>
      <c r="M4027" s="5" t="str">
        <f aca="false">IF(AND(N(K4027)&gt;0,N(L4027)&gt;0),K4027/L4027,"")</f>
        <v/>
      </c>
      <c r="N4027" s="2" t="s">
        <v>1226</v>
      </c>
    </row>
    <row r="4028" customFormat="false" ht="15" hidden="false" customHeight="false" outlineLevel="0" collapsed="false">
      <c r="A4028" s="2" t="n">
        <v>4027</v>
      </c>
      <c r="B4028" s="2" t="s">
        <v>8270</v>
      </c>
      <c r="C4028" s="2" t="s">
        <v>8271</v>
      </c>
      <c r="D4028" s="2"/>
      <c r="E4028" s="2" t="s">
        <v>52</v>
      </c>
      <c r="F4028" s="3" t="n">
        <v>1E-005</v>
      </c>
      <c r="G4028" s="3" t="n">
        <f aca="false">SUM($F$2:F4028)</f>
        <v>0.994097</v>
      </c>
      <c r="H4028" s="4"/>
      <c r="I4028" s="5"/>
      <c r="J4028" s="4"/>
      <c r="K4028" s="5"/>
      <c r="L4028" s="6"/>
      <c r="M4028" s="5" t="str">
        <f aca="false">IF(AND(N(K4028)&gt;0,N(L4028)&gt;0),K4028/L4028,"")</f>
        <v/>
      </c>
      <c r="N4028" s="2" t="s">
        <v>1226</v>
      </c>
    </row>
    <row r="4029" customFormat="false" ht="15" hidden="false" customHeight="false" outlineLevel="0" collapsed="false">
      <c r="A4029" s="2" t="n">
        <v>4028</v>
      </c>
      <c r="B4029" s="2" t="s">
        <v>8272</v>
      </c>
      <c r="C4029" s="2" t="s">
        <v>8273</v>
      </c>
      <c r="D4029" s="2"/>
      <c r="E4029" s="2" t="s">
        <v>1345</v>
      </c>
      <c r="F4029" s="3" t="n">
        <v>1E-005</v>
      </c>
      <c r="G4029" s="3" t="n">
        <f aca="false">SUM($F$2:F4029)</f>
        <v>0.994107</v>
      </c>
      <c r="H4029" s="4"/>
      <c r="I4029" s="5"/>
      <c r="J4029" s="4"/>
      <c r="K4029" s="5"/>
      <c r="L4029" s="6"/>
      <c r="M4029" s="5" t="str">
        <f aca="false">IF(AND(N(K4029)&gt;0,N(L4029)&gt;0),K4029/L4029,"")</f>
        <v/>
      </c>
      <c r="N4029" s="2" t="s">
        <v>1226</v>
      </c>
    </row>
    <row r="4030" customFormat="false" ht="15" hidden="false" customHeight="false" outlineLevel="0" collapsed="false">
      <c r="A4030" s="2" t="n">
        <v>4029</v>
      </c>
      <c r="B4030" s="2" t="s">
        <v>8274</v>
      </c>
      <c r="C4030" s="2" t="s">
        <v>8275</v>
      </c>
      <c r="D4030" s="2"/>
      <c r="E4030" s="2" t="s">
        <v>52</v>
      </c>
      <c r="F4030" s="3" t="n">
        <v>1E-005</v>
      </c>
      <c r="G4030" s="3" t="n">
        <f aca="false">SUM($F$2:F4030)</f>
        <v>0.994117</v>
      </c>
      <c r="H4030" s="4"/>
      <c r="I4030" s="5"/>
      <c r="J4030" s="4"/>
      <c r="K4030" s="5"/>
      <c r="L4030" s="6"/>
      <c r="M4030" s="5" t="str">
        <f aca="false">IF(AND(N(K4030)&gt;0,N(L4030)&gt;0),K4030/L4030,"")</f>
        <v/>
      </c>
      <c r="N4030" s="2" t="s">
        <v>1226</v>
      </c>
    </row>
    <row r="4031" customFormat="false" ht="15" hidden="false" customHeight="false" outlineLevel="0" collapsed="false">
      <c r="A4031" s="2" t="n">
        <v>4030</v>
      </c>
      <c r="B4031" s="2" t="s">
        <v>8276</v>
      </c>
      <c r="C4031" s="2" t="s">
        <v>8277</v>
      </c>
      <c r="D4031" s="2"/>
      <c r="E4031" s="2" t="s">
        <v>289</v>
      </c>
      <c r="F4031" s="3" t="n">
        <v>1E-005</v>
      </c>
      <c r="G4031" s="3" t="n">
        <f aca="false">SUM($F$2:F4031)</f>
        <v>0.994127</v>
      </c>
      <c r="H4031" s="4"/>
      <c r="I4031" s="5"/>
      <c r="J4031" s="4"/>
      <c r="K4031" s="5"/>
      <c r="L4031" s="6"/>
      <c r="M4031" s="5" t="str">
        <f aca="false">IF(AND(N(K4031)&gt;0,N(L4031)&gt;0),K4031/L4031,"")</f>
        <v/>
      </c>
      <c r="N4031" s="2" t="s">
        <v>1226</v>
      </c>
    </row>
    <row r="4032" customFormat="false" ht="15" hidden="false" customHeight="false" outlineLevel="0" collapsed="false">
      <c r="A4032" s="2" t="n">
        <v>4031</v>
      </c>
      <c r="B4032" s="2" t="s">
        <v>8278</v>
      </c>
      <c r="C4032" s="2" t="s">
        <v>8279</v>
      </c>
      <c r="D4032" s="2"/>
      <c r="E4032" s="2" t="s">
        <v>1345</v>
      </c>
      <c r="F4032" s="3" t="n">
        <v>1E-005</v>
      </c>
      <c r="G4032" s="3" t="n">
        <f aca="false">SUM($F$2:F4032)</f>
        <v>0.994137</v>
      </c>
      <c r="H4032" s="4"/>
      <c r="I4032" s="5"/>
      <c r="J4032" s="4"/>
      <c r="K4032" s="5"/>
      <c r="L4032" s="6"/>
      <c r="M4032" s="5" t="str">
        <f aca="false">IF(AND(N(K4032)&gt;0,N(L4032)&gt;0),K4032/L4032,"")</f>
        <v/>
      </c>
      <c r="N4032" s="2" t="s">
        <v>1226</v>
      </c>
    </row>
    <row r="4033" customFormat="false" ht="15" hidden="false" customHeight="false" outlineLevel="0" collapsed="false">
      <c r="A4033" s="2" t="n">
        <v>4032</v>
      </c>
      <c r="B4033" s="2" t="s">
        <v>8280</v>
      </c>
      <c r="C4033" s="2" t="s">
        <v>8281</v>
      </c>
      <c r="D4033" s="2"/>
      <c r="E4033" s="2" t="s">
        <v>289</v>
      </c>
      <c r="F4033" s="3" t="n">
        <v>1E-005</v>
      </c>
      <c r="G4033" s="3" t="n">
        <f aca="false">SUM($F$2:F4033)</f>
        <v>0.994147</v>
      </c>
      <c r="H4033" s="4"/>
      <c r="I4033" s="5"/>
      <c r="J4033" s="4"/>
      <c r="K4033" s="5"/>
      <c r="L4033" s="6"/>
      <c r="M4033" s="5" t="str">
        <f aca="false">IF(AND(N(K4033)&gt;0,N(L4033)&gt;0),K4033/L4033,"")</f>
        <v/>
      </c>
      <c r="N4033" s="2" t="s">
        <v>1226</v>
      </c>
    </row>
    <row r="4034" customFormat="false" ht="15" hidden="false" customHeight="false" outlineLevel="0" collapsed="false">
      <c r="A4034" s="2" t="n">
        <v>4033</v>
      </c>
      <c r="B4034" s="2" t="s">
        <v>8282</v>
      </c>
      <c r="C4034" s="2" t="s">
        <v>8283</v>
      </c>
      <c r="D4034" s="2"/>
      <c r="E4034" s="2" t="s">
        <v>289</v>
      </c>
      <c r="F4034" s="3" t="n">
        <v>1E-005</v>
      </c>
      <c r="G4034" s="3" t="n">
        <f aca="false">SUM($F$2:F4034)</f>
        <v>0.994157</v>
      </c>
      <c r="H4034" s="4"/>
      <c r="I4034" s="5"/>
      <c r="J4034" s="4"/>
      <c r="K4034" s="5"/>
      <c r="L4034" s="6"/>
      <c r="M4034" s="5" t="str">
        <f aca="false">IF(AND(N(K4034)&gt;0,N(L4034)&gt;0),K4034/L4034,"")</f>
        <v/>
      </c>
      <c r="N4034" s="2" t="s">
        <v>1226</v>
      </c>
    </row>
    <row r="4035" customFormat="false" ht="15" hidden="false" customHeight="false" outlineLevel="0" collapsed="false">
      <c r="A4035" s="2" t="n">
        <v>4034</v>
      </c>
      <c r="B4035" s="2" t="s">
        <v>8284</v>
      </c>
      <c r="C4035" s="2" t="s">
        <v>8285</v>
      </c>
      <c r="D4035" s="2"/>
      <c r="E4035" s="2" t="s">
        <v>29</v>
      </c>
      <c r="F4035" s="3" t="n">
        <v>1E-005</v>
      </c>
      <c r="G4035" s="3" t="n">
        <f aca="false">SUM($F$2:F4035)</f>
        <v>0.994167</v>
      </c>
      <c r="H4035" s="4"/>
      <c r="I4035" s="5"/>
      <c r="J4035" s="4"/>
      <c r="K4035" s="5"/>
      <c r="L4035" s="6"/>
      <c r="M4035" s="5" t="str">
        <f aca="false">IF(AND(N(K4035)&gt;0,N(L4035)&gt;0),K4035/L4035,"")</f>
        <v/>
      </c>
      <c r="N4035" s="2" t="s">
        <v>1226</v>
      </c>
    </row>
    <row r="4036" customFormat="false" ht="15" hidden="false" customHeight="false" outlineLevel="0" collapsed="false">
      <c r="A4036" s="2" t="n">
        <v>4035</v>
      </c>
      <c r="B4036" s="2" t="s">
        <v>8286</v>
      </c>
      <c r="C4036" s="2" t="s">
        <v>8287</v>
      </c>
      <c r="D4036" s="2"/>
      <c r="E4036" s="2" t="s">
        <v>1345</v>
      </c>
      <c r="F4036" s="3" t="n">
        <v>1E-005</v>
      </c>
      <c r="G4036" s="3" t="n">
        <f aca="false">SUM($F$2:F4036)</f>
        <v>0.994177</v>
      </c>
      <c r="H4036" s="4"/>
      <c r="I4036" s="5"/>
      <c r="J4036" s="4"/>
      <c r="K4036" s="5"/>
      <c r="L4036" s="6"/>
      <c r="M4036" s="5" t="str">
        <f aca="false">IF(AND(N(K4036)&gt;0,N(L4036)&gt;0),K4036/L4036,"")</f>
        <v/>
      </c>
      <c r="N4036" s="2" t="s">
        <v>1226</v>
      </c>
    </row>
    <row r="4037" customFormat="false" ht="15" hidden="false" customHeight="false" outlineLevel="0" collapsed="false">
      <c r="A4037" s="2" t="n">
        <v>4036</v>
      </c>
      <c r="B4037" s="2" t="s">
        <v>8288</v>
      </c>
      <c r="C4037" s="2" t="s">
        <v>8289</v>
      </c>
      <c r="D4037" s="2"/>
      <c r="E4037" s="2" t="s">
        <v>2763</v>
      </c>
      <c r="F4037" s="3" t="n">
        <v>1E-005</v>
      </c>
      <c r="G4037" s="3" t="n">
        <f aca="false">SUM($F$2:F4037)</f>
        <v>0.994187</v>
      </c>
      <c r="H4037" s="4"/>
      <c r="I4037" s="5"/>
      <c r="J4037" s="4"/>
      <c r="K4037" s="5"/>
      <c r="L4037" s="6"/>
      <c r="M4037" s="5" t="str">
        <f aca="false">IF(AND(N(K4037)&gt;0,N(L4037)&gt;0),K4037/L4037,"")</f>
        <v/>
      </c>
      <c r="N4037" s="2" t="s">
        <v>1226</v>
      </c>
    </row>
    <row r="4038" customFormat="false" ht="15" hidden="false" customHeight="false" outlineLevel="0" collapsed="false">
      <c r="A4038" s="2" t="n">
        <v>4037</v>
      </c>
      <c r="B4038" s="2" t="s">
        <v>5334</v>
      </c>
      <c r="C4038" s="2" t="s">
        <v>8290</v>
      </c>
      <c r="D4038" s="2"/>
      <c r="E4038" s="2" t="s">
        <v>539</v>
      </c>
      <c r="F4038" s="3" t="n">
        <v>1E-005</v>
      </c>
      <c r="G4038" s="3" t="n">
        <f aca="false">SUM($F$2:F4038)</f>
        <v>0.994197</v>
      </c>
      <c r="H4038" s="4"/>
      <c r="I4038" s="5"/>
      <c r="J4038" s="4"/>
      <c r="K4038" s="5"/>
      <c r="L4038" s="6"/>
      <c r="M4038" s="5" t="str">
        <f aca="false">IF(AND(N(K4038)&gt;0,N(L4038)&gt;0),K4038/L4038,"")</f>
        <v/>
      </c>
      <c r="N4038" s="2" t="s">
        <v>1226</v>
      </c>
    </row>
    <row r="4039" customFormat="false" ht="15" hidden="false" customHeight="false" outlineLevel="0" collapsed="false">
      <c r="A4039" s="2" t="n">
        <v>4038</v>
      </c>
      <c r="B4039" s="2" t="s">
        <v>8291</v>
      </c>
      <c r="C4039" s="2" t="s">
        <v>8292</v>
      </c>
      <c r="D4039" s="2"/>
      <c r="E4039" s="2" t="s">
        <v>1345</v>
      </c>
      <c r="F4039" s="3" t="n">
        <v>1E-005</v>
      </c>
      <c r="G4039" s="3" t="n">
        <f aca="false">SUM($F$2:F4039)</f>
        <v>0.994207</v>
      </c>
      <c r="H4039" s="4"/>
      <c r="I4039" s="5"/>
      <c r="J4039" s="4"/>
      <c r="K4039" s="5"/>
      <c r="L4039" s="6"/>
      <c r="M4039" s="5" t="str">
        <f aca="false">IF(AND(N(K4039)&gt;0,N(L4039)&gt;0),K4039/L4039,"")</f>
        <v/>
      </c>
      <c r="N4039" s="2" t="s">
        <v>1226</v>
      </c>
    </row>
    <row r="4040" customFormat="false" ht="15" hidden="false" customHeight="false" outlineLevel="0" collapsed="false">
      <c r="A4040" s="2" t="n">
        <v>4039</v>
      </c>
      <c r="B4040" s="2" t="s">
        <v>8293</v>
      </c>
      <c r="C4040" s="2" t="s">
        <v>8294</v>
      </c>
      <c r="D4040" s="2"/>
      <c r="E4040" s="2" t="s">
        <v>1345</v>
      </c>
      <c r="F4040" s="3" t="n">
        <v>1E-005</v>
      </c>
      <c r="G4040" s="3" t="n">
        <f aca="false">SUM($F$2:F4040)</f>
        <v>0.994217</v>
      </c>
      <c r="H4040" s="4"/>
      <c r="I4040" s="5"/>
      <c r="J4040" s="4"/>
      <c r="K4040" s="5"/>
      <c r="L4040" s="6"/>
      <c r="M4040" s="5" t="str">
        <f aca="false">IF(AND(N(K4040)&gt;0,N(L4040)&gt;0),K4040/L4040,"")</f>
        <v/>
      </c>
      <c r="N4040" s="2" t="s">
        <v>1226</v>
      </c>
    </row>
    <row r="4041" customFormat="false" ht="15" hidden="false" customHeight="false" outlineLevel="0" collapsed="false">
      <c r="A4041" s="2" t="n">
        <v>4040</v>
      </c>
      <c r="B4041" s="2" t="s">
        <v>8295</v>
      </c>
      <c r="C4041" s="2" t="s">
        <v>8296</v>
      </c>
      <c r="D4041" s="2"/>
      <c r="E4041" s="2" t="s">
        <v>1345</v>
      </c>
      <c r="F4041" s="3" t="n">
        <v>1E-005</v>
      </c>
      <c r="G4041" s="3" t="n">
        <f aca="false">SUM($F$2:F4041)</f>
        <v>0.994227</v>
      </c>
      <c r="H4041" s="4"/>
      <c r="I4041" s="5"/>
      <c r="J4041" s="4"/>
      <c r="K4041" s="5"/>
      <c r="L4041" s="6"/>
      <c r="M4041" s="5" t="str">
        <f aca="false">IF(AND(N(K4041)&gt;0,N(L4041)&gt;0),K4041/L4041,"")</f>
        <v/>
      </c>
      <c r="N4041" s="2" t="s">
        <v>1226</v>
      </c>
    </row>
    <row r="4042" customFormat="false" ht="15" hidden="false" customHeight="false" outlineLevel="0" collapsed="false">
      <c r="A4042" s="2" t="n">
        <v>4041</v>
      </c>
      <c r="B4042" s="2" t="s">
        <v>5602</v>
      </c>
      <c r="C4042" s="2" t="s">
        <v>8297</v>
      </c>
      <c r="D4042" s="2"/>
      <c r="E4042" s="2" t="s">
        <v>17</v>
      </c>
      <c r="F4042" s="3" t="n">
        <v>1E-005</v>
      </c>
      <c r="G4042" s="3" t="n">
        <f aca="false">SUM($F$2:F4042)</f>
        <v>0.994237</v>
      </c>
      <c r="H4042" s="4"/>
      <c r="I4042" s="5"/>
      <c r="J4042" s="4"/>
      <c r="K4042" s="5"/>
      <c r="L4042" s="6"/>
      <c r="M4042" s="5" t="str">
        <f aca="false">IF(AND(N(K4042)&gt;0,N(L4042)&gt;0),K4042/L4042,"")</f>
        <v/>
      </c>
      <c r="N4042" s="2" t="s">
        <v>1226</v>
      </c>
    </row>
    <row r="4043" customFormat="false" ht="15" hidden="false" customHeight="false" outlineLevel="0" collapsed="false">
      <c r="A4043" s="2" t="n">
        <v>4042</v>
      </c>
      <c r="B4043" s="2" t="s">
        <v>8298</v>
      </c>
      <c r="C4043" s="2" t="s">
        <v>8299</v>
      </c>
      <c r="D4043" s="2"/>
      <c r="E4043" s="2" t="s">
        <v>43</v>
      </c>
      <c r="F4043" s="3" t="n">
        <v>1E-005</v>
      </c>
      <c r="G4043" s="3" t="n">
        <f aca="false">SUM($F$2:F4043)</f>
        <v>0.994247</v>
      </c>
      <c r="H4043" s="4"/>
      <c r="I4043" s="5"/>
      <c r="J4043" s="4"/>
      <c r="K4043" s="5"/>
      <c r="L4043" s="6"/>
      <c r="M4043" s="5" t="str">
        <f aca="false">IF(AND(N(K4043)&gt;0,N(L4043)&gt;0),K4043/L4043,"")</f>
        <v/>
      </c>
      <c r="N4043" s="2" t="s">
        <v>1226</v>
      </c>
    </row>
    <row r="4044" customFormat="false" ht="15" hidden="false" customHeight="false" outlineLevel="0" collapsed="false">
      <c r="A4044" s="2" t="n">
        <v>4043</v>
      </c>
      <c r="B4044" s="2" t="s">
        <v>8300</v>
      </c>
      <c r="C4044" s="2" t="s">
        <v>8301</v>
      </c>
      <c r="D4044" s="2"/>
      <c r="E4044" s="2" t="s">
        <v>1284</v>
      </c>
      <c r="F4044" s="3" t="n">
        <v>1E-005</v>
      </c>
      <c r="G4044" s="3" t="n">
        <f aca="false">SUM($F$2:F4044)</f>
        <v>0.994257</v>
      </c>
      <c r="H4044" s="4"/>
      <c r="I4044" s="5"/>
      <c r="J4044" s="4"/>
      <c r="K4044" s="5"/>
      <c r="L4044" s="6"/>
      <c r="M4044" s="5" t="str">
        <f aca="false">IF(AND(N(K4044)&gt;0,N(L4044)&gt;0),K4044/L4044,"")</f>
        <v/>
      </c>
      <c r="N4044" s="2" t="s">
        <v>1226</v>
      </c>
    </row>
    <row r="4045" customFormat="false" ht="15" hidden="false" customHeight="false" outlineLevel="0" collapsed="false">
      <c r="A4045" s="2" t="n">
        <v>4044</v>
      </c>
      <c r="B4045" s="2" t="s">
        <v>8302</v>
      </c>
      <c r="C4045" s="2" t="s">
        <v>8303</v>
      </c>
      <c r="D4045" s="2"/>
      <c r="E4045" s="2" t="s">
        <v>1345</v>
      </c>
      <c r="F4045" s="3" t="n">
        <v>1E-005</v>
      </c>
      <c r="G4045" s="3" t="n">
        <f aca="false">SUM($F$2:F4045)</f>
        <v>0.994267</v>
      </c>
      <c r="H4045" s="4"/>
      <c r="I4045" s="5"/>
      <c r="J4045" s="4"/>
      <c r="K4045" s="5"/>
      <c r="L4045" s="6"/>
      <c r="M4045" s="5" t="str">
        <f aca="false">IF(AND(N(K4045)&gt;0,N(L4045)&gt;0),K4045/L4045,"")</f>
        <v/>
      </c>
      <c r="N4045" s="2" t="s">
        <v>1226</v>
      </c>
    </row>
    <row r="4046" customFormat="false" ht="15" hidden="false" customHeight="false" outlineLevel="0" collapsed="false">
      <c r="A4046" s="2" t="n">
        <v>4045</v>
      </c>
      <c r="B4046" s="2" t="s">
        <v>8304</v>
      </c>
      <c r="C4046" s="2" t="s">
        <v>8305</v>
      </c>
      <c r="D4046" s="2"/>
      <c r="E4046" s="2" t="s">
        <v>82</v>
      </c>
      <c r="F4046" s="3" t="n">
        <v>1E-005</v>
      </c>
      <c r="G4046" s="3" t="n">
        <f aca="false">SUM($F$2:F4046)</f>
        <v>0.994277</v>
      </c>
      <c r="H4046" s="4"/>
      <c r="I4046" s="5"/>
      <c r="J4046" s="4"/>
      <c r="K4046" s="5"/>
      <c r="L4046" s="6"/>
      <c r="M4046" s="5" t="str">
        <f aca="false">IF(AND(N(K4046)&gt;0,N(L4046)&gt;0),K4046/L4046,"")</f>
        <v/>
      </c>
      <c r="N4046" s="2" t="s">
        <v>1226</v>
      </c>
    </row>
    <row r="4047" customFormat="false" ht="15" hidden="false" customHeight="false" outlineLevel="0" collapsed="false">
      <c r="A4047" s="2" t="n">
        <v>4046</v>
      </c>
      <c r="B4047" s="2" t="s">
        <v>8306</v>
      </c>
      <c r="C4047" s="2" t="s">
        <v>8307</v>
      </c>
      <c r="D4047" s="2"/>
      <c r="E4047" s="2" t="s">
        <v>1345</v>
      </c>
      <c r="F4047" s="3" t="n">
        <v>1E-005</v>
      </c>
      <c r="G4047" s="3" t="n">
        <f aca="false">SUM($F$2:F4047)</f>
        <v>0.994287</v>
      </c>
      <c r="H4047" s="4"/>
      <c r="I4047" s="5"/>
      <c r="J4047" s="4"/>
      <c r="K4047" s="5"/>
      <c r="L4047" s="6"/>
      <c r="M4047" s="5" t="str">
        <f aca="false">IF(AND(N(K4047)&gt;0,N(L4047)&gt;0),K4047/L4047,"")</f>
        <v/>
      </c>
      <c r="N4047" s="2" t="s">
        <v>1226</v>
      </c>
    </row>
    <row r="4048" customFormat="false" ht="15" hidden="false" customHeight="false" outlineLevel="0" collapsed="false">
      <c r="A4048" s="2" t="n">
        <v>4047</v>
      </c>
      <c r="B4048" s="2" t="s">
        <v>8308</v>
      </c>
      <c r="C4048" s="2" t="s">
        <v>8309</v>
      </c>
      <c r="D4048" s="2"/>
      <c r="E4048" s="2" t="s">
        <v>199</v>
      </c>
      <c r="F4048" s="3" t="n">
        <v>1E-005</v>
      </c>
      <c r="G4048" s="3" t="n">
        <f aca="false">SUM($F$2:F4048)</f>
        <v>0.994297</v>
      </c>
      <c r="H4048" s="4"/>
      <c r="I4048" s="5"/>
      <c r="J4048" s="4"/>
      <c r="K4048" s="5"/>
      <c r="L4048" s="6"/>
      <c r="M4048" s="5" t="str">
        <f aca="false">IF(AND(N(K4048)&gt;0,N(L4048)&gt;0),K4048/L4048,"")</f>
        <v/>
      </c>
      <c r="N4048" s="2" t="s">
        <v>1226</v>
      </c>
    </row>
    <row r="4049" customFormat="false" ht="15" hidden="false" customHeight="false" outlineLevel="0" collapsed="false">
      <c r="A4049" s="2" t="n">
        <v>4048</v>
      </c>
      <c r="B4049" s="2" t="s">
        <v>8310</v>
      </c>
      <c r="C4049" s="2" t="s">
        <v>8311</v>
      </c>
      <c r="D4049" s="2"/>
      <c r="E4049" s="2" t="s">
        <v>1345</v>
      </c>
      <c r="F4049" s="3" t="n">
        <v>1E-005</v>
      </c>
      <c r="G4049" s="3" t="n">
        <f aca="false">SUM($F$2:F4049)</f>
        <v>0.994307</v>
      </c>
      <c r="H4049" s="4"/>
      <c r="I4049" s="5"/>
      <c r="J4049" s="4"/>
      <c r="K4049" s="5"/>
      <c r="L4049" s="6"/>
      <c r="M4049" s="5" t="str">
        <f aca="false">IF(AND(N(K4049)&gt;0,N(L4049)&gt;0),K4049/L4049,"")</f>
        <v/>
      </c>
      <c r="N4049" s="2" t="s">
        <v>1226</v>
      </c>
    </row>
    <row r="4050" customFormat="false" ht="15" hidden="false" customHeight="false" outlineLevel="0" collapsed="false">
      <c r="A4050" s="2" t="n">
        <v>4049</v>
      </c>
      <c r="B4050" s="2" t="s">
        <v>8312</v>
      </c>
      <c r="C4050" s="2" t="s">
        <v>8313</v>
      </c>
      <c r="D4050" s="2"/>
      <c r="E4050" s="2" t="s">
        <v>167</v>
      </c>
      <c r="F4050" s="3" t="n">
        <v>1E-005</v>
      </c>
      <c r="G4050" s="3" t="n">
        <f aca="false">SUM($F$2:F4050)</f>
        <v>0.994317</v>
      </c>
      <c r="H4050" s="4"/>
      <c r="I4050" s="5"/>
      <c r="J4050" s="4"/>
      <c r="K4050" s="5"/>
      <c r="L4050" s="6"/>
      <c r="M4050" s="5" t="str">
        <f aca="false">IF(AND(N(K4050)&gt;0,N(L4050)&gt;0),K4050/L4050,"")</f>
        <v/>
      </c>
      <c r="N4050" s="2" t="s">
        <v>1226</v>
      </c>
    </row>
    <row r="4051" customFormat="false" ht="15" hidden="false" customHeight="false" outlineLevel="0" collapsed="false">
      <c r="A4051" s="2" t="n">
        <v>4050</v>
      </c>
      <c r="B4051" s="2" t="s">
        <v>8314</v>
      </c>
      <c r="C4051" s="2" t="s">
        <v>8315</v>
      </c>
      <c r="D4051" s="2"/>
      <c r="E4051" s="2" t="s">
        <v>25</v>
      </c>
      <c r="F4051" s="3" t="n">
        <v>1E-005</v>
      </c>
      <c r="G4051" s="3" t="n">
        <f aca="false">SUM($F$2:F4051)</f>
        <v>0.994327</v>
      </c>
      <c r="H4051" s="4"/>
      <c r="I4051" s="5"/>
      <c r="J4051" s="4"/>
      <c r="K4051" s="5"/>
      <c r="L4051" s="6"/>
      <c r="M4051" s="5" t="str">
        <f aca="false">IF(AND(N(K4051)&gt;0,N(L4051)&gt;0),K4051/L4051,"")</f>
        <v/>
      </c>
      <c r="N4051" s="2" t="s">
        <v>1226</v>
      </c>
    </row>
    <row r="4052" customFormat="false" ht="15" hidden="false" customHeight="false" outlineLevel="0" collapsed="false">
      <c r="A4052" s="2" t="n">
        <v>4051</v>
      </c>
      <c r="B4052" s="2" t="s">
        <v>8316</v>
      </c>
      <c r="C4052" s="2" t="s">
        <v>8317</v>
      </c>
      <c r="D4052" s="2"/>
      <c r="E4052" s="2" t="s">
        <v>289</v>
      </c>
      <c r="F4052" s="3" t="n">
        <v>1E-005</v>
      </c>
      <c r="G4052" s="3" t="n">
        <f aca="false">SUM($F$2:F4052)</f>
        <v>0.994337</v>
      </c>
      <c r="H4052" s="4"/>
      <c r="I4052" s="5"/>
      <c r="J4052" s="4"/>
      <c r="K4052" s="5"/>
      <c r="L4052" s="6"/>
      <c r="M4052" s="5" t="str">
        <f aca="false">IF(AND(N(K4052)&gt;0,N(L4052)&gt;0),K4052/L4052,"")</f>
        <v/>
      </c>
      <c r="N4052" s="2" t="s">
        <v>1226</v>
      </c>
    </row>
    <row r="4053" customFormat="false" ht="15" hidden="false" customHeight="false" outlineLevel="0" collapsed="false">
      <c r="A4053" s="2" t="n">
        <v>4052</v>
      </c>
      <c r="B4053" s="2" t="s">
        <v>8318</v>
      </c>
      <c r="C4053" s="2" t="s">
        <v>8319</v>
      </c>
      <c r="D4053" s="2"/>
      <c r="E4053" s="2" t="s">
        <v>1295</v>
      </c>
      <c r="F4053" s="3" t="n">
        <v>1E-005</v>
      </c>
      <c r="G4053" s="3" t="n">
        <f aca="false">SUM($F$2:F4053)</f>
        <v>0.994347</v>
      </c>
      <c r="H4053" s="4"/>
      <c r="I4053" s="5"/>
      <c r="J4053" s="4"/>
      <c r="K4053" s="5"/>
      <c r="L4053" s="6"/>
      <c r="M4053" s="5" t="str">
        <f aca="false">IF(AND(N(K4053)&gt;0,N(L4053)&gt;0),K4053/L4053,"")</f>
        <v/>
      </c>
      <c r="N4053" s="2" t="s">
        <v>1226</v>
      </c>
    </row>
    <row r="4054" customFormat="false" ht="15" hidden="false" customHeight="false" outlineLevel="0" collapsed="false">
      <c r="A4054" s="2" t="n">
        <v>4053</v>
      </c>
      <c r="B4054" s="2" t="s">
        <v>8320</v>
      </c>
      <c r="C4054" s="2" t="s">
        <v>8321</v>
      </c>
      <c r="D4054" s="2"/>
      <c r="E4054" s="2" t="s">
        <v>25</v>
      </c>
      <c r="F4054" s="3" t="n">
        <v>1E-005</v>
      </c>
      <c r="G4054" s="3" t="n">
        <f aca="false">SUM($F$2:F4054)</f>
        <v>0.994357</v>
      </c>
      <c r="H4054" s="4"/>
      <c r="I4054" s="5"/>
      <c r="J4054" s="4"/>
      <c r="K4054" s="5"/>
      <c r="L4054" s="6"/>
      <c r="M4054" s="5" t="str">
        <f aca="false">IF(AND(N(K4054)&gt;0,N(L4054)&gt;0),K4054/L4054,"")</f>
        <v/>
      </c>
      <c r="N4054" s="2" t="s">
        <v>1226</v>
      </c>
    </row>
    <row r="4055" customFormat="false" ht="15" hidden="false" customHeight="false" outlineLevel="0" collapsed="false">
      <c r="A4055" s="2" t="n">
        <v>4054</v>
      </c>
      <c r="B4055" s="2" t="s">
        <v>8322</v>
      </c>
      <c r="C4055" s="2" t="s">
        <v>8323</v>
      </c>
      <c r="D4055" s="2"/>
      <c r="E4055" s="2" t="s">
        <v>21</v>
      </c>
      <c r="F4055" s="3" t="n">
        <v>1E-005</v>
      </c>
      <c r="G4055" s="3" t="n">
        <f aca="false">SUM($F$2:F4055)</f>
        <v>0.994367</v>
      </c>
      <c r="H4055" s="4"/>
      <c r="I4055" s="5"/>
      <c r="J4055" s="4"/>
      <c r="K4055" s="5"/>
      <c r="L4055" s="6"/>
      <c r="M4055" s="5" t="str">
        <f aca="false">IF(AND(N(K4055)&gt;0,N(L4055)&gt;0),K4055/L4055,"")</f>
        <v/>
      </c>
      <c r="N4055" s="2" t="s">
        <v>1226</v>
      </c>
    </row>
    <row r="4056" customFormat="false" ht="15" hidden="false" customHeight="false" outlineLevel="0" collapsed="false">
      <c r="A4056" s="2" t="n">
        <v>4055</v>
      </c>
      <c r="B4056" s="2" t="s">
        <v>8324</v>
      </c>
      <c r="C4056" s="2" t="s">
        <v>8325</v>
      </c>
      <c r="D4056" s="2"/>
      <c r="E4056" s="2" t="s">
        <v>33</v>
      </c>
      <c r="F4056" s="3" t="n">
        <v>1E-005</v>
      </c>
      <c r="G4056" s="3" t="n">
        <f aca="false">SUM($F$2:F4056)</f>
        <v>0.994377</v>
      </c>
      <c r="H4056" s="4"/>
      <c r="I4056" s="5"/>
      <c r="J4056" s="4"/>
      <c r="K4056" s="5"/>
      <c r="L4056" s="6"/>
      <c r="M4056" s="5" t="str">
        <f aca="false">IF(AND(N(K4056)&gt;0,N(L4056)&gt;0),K4056/L4056,"")</f>
        <v/>
      </c>
      <c r="N4056" s="2" t="s">
        <v>1226</v>
      </c>
    </row>
    <row r="4057" customFormat="false" ht="15" hidden="false" customHeight="false" outlineLevel="0" collapsed="false">
      <c r="A4057" s="2" t="n">
        <v>4056</v>
      </c>
      <c r="B4057" s="2" t="s">
        <v>8326</v>
      </c>
      <c r="C4057" s="2" t="s">
        <v>8327</v>
      </c>
      <c r="D4057" s="2"/>
      <c r="E4057" s="2" t="s">
        <v>43</v>
      </c>
      <c r="F4057" s="3" t="n">
        <v>1E-005</v>
      </c>
      <c r="G4057" s="3" t="n">
        <f aca="false">SUM($F$2:F4057)</f>
        <v>0.994387</v>
      </c>
      <c r="H4057" s="4"/>
      <c r="I4057" s="5"/>
      <c r="J4057" s="4"/>
      <c r="K4057" s="5"/>
      <c r="L4057" s="6"/>
      <c r="M4057" s="5" t="str">
        <f aca="false">IF(AND(N(K4057)&gt;0,N(L4057)&gt;0),K4057/L4057,"")</f>
        <v/>
      </c>
      <c r="N4057" s="2" t="s">
        <v>1226</v>
      </c>
    </row>
    <row r="4058" customFormat="false" ht="15" hidden="false" customHeight="false" outlineLevel="0" collapsed="false">
      <c r="A4058" s="2" t="n">
        <v>4057</v>
      </c>
      <c r="B4058" s="2" t="s">
        <v>8328</v>
      </c>
      <c r="C4058" s="2" t="s">
        <v>8329</v>
      </c>
      <c r="D4058" s="2"/>
      <c r="E4058" s="2" t="s">
        <v>1345</v>
      </c>
      <c r="F4058" s="3" t="n">
        <v>1E-005</v>
      </c>
      <c r="G4058" s="3" t="n">
        <f aca="false">SUM($F$2:F4058)</f>
        <v>0.994397</v>
      </c>
      <c r="H4058" s="4"/>
      <c r="I4058" s="5"/>
      <c r="J4058" s="4"/>
      <c r="K4058" s="5"/>
      <c r="L4058" s="6"/>
      <c r="M4058" s="5" t="str">
        <f aca="false">IF(AND(N(K4058)&gt;0,N(L4058)&gt;0),K4058/L4058,"")</f>
        <v/>
      </c>
      <c r="N4058" s="2" t="s">
        <v>1226</v>
      </c>
    </row>
    <row r="4059" customFormat="false" ht="15" hidden="false" customHeight="false" outlineLevel="0" collapsed="false">
      <c r="A4059" s="2" t="n">
        <v>4058</v>
      </c>
      <c r="B4059" s="2" t="s">
        <v>8330</v>
      </c>
      <c r="C4059" s="2" t="s">
        <v>8331</v>
      </c>
      <c r="D4059" s="2"/>
      <c r="E4059" s="2" t="s">
        <v>25</v>
      </c>
      <c r="F4059" s="3" t="n">
        <v>1E-005</v>
      </c>
      <c r="G4059" s="3" t="n">
        <f aca="false">SUM($F$2:F4059)</f>
        <v>0.994407</v>
      </c>
      <c r="H4059" s="4"/>
      <c r="I4059" s="5"/>
      <c r="J4059" s="4"/>
      <c r="K4059" s="5"/>
      <c r="L4059" s="6"/>
      <c r="M4059" s="5" t="str">
        <f aca="false">IF(AND(N(K4059)&gt;0,N(L4059)&gt;0),K4059/L4059,"")</f>
        <v/>
      </c>
      <c r="N4059" s="2" t="s">
        <v>1226</v>
      </c>
    </row>
    <row r="4060" customFormat="false" ht="15" hidden="false" customHeight="false" outlineLevel="0" collapsed="false">
      <c r="A4060" s="2" t="n">
        <v>4059</v>
      </c>
      <c r="B4060" s="2" t="s">
        <v>8332</v>
      </c>
      <c r="C4060" s="2" t="s">
        <v>8333</v>
      </c>
      <c r="D4060" s="2"/>
      <c r="E4060" s="2" t="s">
        <v>52</v>
      </c>
      <c r="F4060" s="3" t="n">
        <v>1E-005</v>
      </c>
      <c r="G4060" s="3" t="n">
        <f aca="false">SUM($F$2:F4060)</f>
        <v>0.994417</v>
      </c>
      <c r="H4060" s="4"/>
      <c r="I4060" s="5"/>
      <c r="J4060" s="4"/>
      <c r="K4060" s="5"/>
      <c r="L4060" s="6"/>
      <c r="M4060" s="5" t="str">
        <f aca="false">IF(AND(N(K4060)&gt;0,N(L4060)&gt;0),K4060/L4060,"")</f>
        <v/>
      </c>
      <c r="N4060" s="2" t="s">
        <v>1226</v>
      </c>
    </row>
    <row r="4061" customFormat="false" ht="15" hidden="false" customHeight="false" outlineLevel="0" collapsed="false">
      <c r="A4061" s="2" t="n">
        <v>4060</v>
      </c>
      <c r="B4061" s="2" t="s">
        <v>8334</v>
      </c>
      <c r="C4061" s="2" t="s">
        <v>8335</v>
      </c>
      <c r="D4061" s="2"/>
      <c r="E4061" s="2" t="s">
        <v>199</v>
      </c>
      <c r="F4061" s="3" t="n">
        <v>1E-005</v>
      </c>
      <c r="G4061" s="3" t="n">
        <f aca="false">SUM($F$2:F4061)</f>
        <v>0.994427</v>
      </c>
      <c r="H4061" s="4"/>
      <c r="I4061" s="5"/>
      <c r="J4061" s="4"/>
      <c r="K4061" s="5"/>
      <c r="L4061" s="6"/>
      <c r="M4061" s="5" t="str">
        <f aca="false">IF(AND(N(K4061)&gt;0,N(L4061)&gt;0),K4061/L4061,"")</f>
        <v/>
      </c>
      <c r="N4061" s="2" t="s">
        <v>1226</v>
      </c>
    </row>
    <row r="4062" customFormat="false" ht="15" hidden="false" customHeight="false" outlineLevel="0" collapsed="false">
      <c r="A4062" s="2" t="n">
        <v>4061</v>
      </c>
      <c r="B4062" s="2" t="s">
        <v>8336</v>
      </c>
      <c r="C4062" s="2" t="s">
        <v>8337</v>
      </c>
      <c r="D4062" s="2"/>
      <c r="E4062" s="2" t="s">
        <v>1345</v>
      </c>
      <c r="F4062" s="3" t="n">
        <v>1E-005</v>
      </c>
      <c r="G4062" s="3" t="n">
        <f aca="false">SUM($F$2:F4062)</f>
        <v>0.994437</v>
      </c>
      <c r="H4062" s="4"/>
      <c r="I4062" s="5"/>
      <c r="J4062" s="4"/>
      <c r="K4062" s="5"/>
      <c r="L4062" s="6"/>
      <c r="M4062" s="5" t="str">
        <f aca="false">IF(AND(N(K4062)&gt;0,N(L4062)&gt;0),K4062/L4062,"")</f>
        <v/>
      </c>
      <c r="N4062" s="2" t="s">
        <v>1226</v>
      </c>
    </row>
    <row r="4063" customFormat="false" ht="15" hidden="false" customHeight="false" outlineLevel="0" collapsed="false">
      <c r="A4063" s="2" t="n">
        <v>4062</v>
      </c>
      <c r="B4063" s="2" t="s">
        <v>8338</v>
      </c>
      <c r="C4063" s="2" t="s">
        <v>8339</v>
      </c>
      <c r="D4063" s="2"/>
      <c r="E4063" s="2" t="s">
        <v>289</v>
      </c>
      <c r="F4063" s="3" t="n">
        <v>1E-005</v>
      </c>
      <c r="G4063" s="3" t="n">
        <f aca="false">SUM($F$2:F4063)</f>
        <v>0.994447</v>
      </c>
      <c r="H4063" s="4"/>
      <c r="I4063" s="5"/>
      <c r="J4063" s="4"/>
      <c r="K4063" s="5"/>
      <c r="L4063" s="6"/>
      <c r="M4063" s="5" t="str">
        <f aca="false">IF(AND(N(K4063)&gt;0,N(L4063)&gt;0),K4063/L4063,"")</f>
        <v/>
      </c>
      <c r="N4063" s="2" t="s">
        <v>1226</v>
      </c>
    </row>
    <row r="4064" customFormat="false" ht="15" hidden="false" customHeight="false" outlineLevel="0" collapsed="false">
      <c r="A4064" s="2" t="n">
        <v>4063</v>
      </c>
      <c r="B4064" s="2" t="s">
        <v>8340</v>
      </c>
      <c r="C4064" s="2" t="s">
        <v>8341</v>
      </c>
      <c r="D4064" s="2"/>
      <c r="E4064" s="2" t="s">
        <v>296</v>
      </c>
      <c r="F4064" s="3" t="n">
        <v>1E-005</v>
      </c>
      <c r="G4064" s="3" t="n">
        <f aca="false">SUM($F$2:F4064)</f>
        <v>0.994457</v>
      </c>
      <c r="H4064" s="4"/>
      <c r="I4064" s="5"/>
      <c r="J4064" s="4"/>
      <c r="K4064" s="5"/>
      <c r="L4064" s="6"/>
      <c r="M4064" s="5" t="str">
        <f aca="false">IF(AND(N(K4064)&gt;0,N(L4064)&gt;0),K4064/L4064,"")</f>
        <v/>
      </c>
      <c r="N4064" s="2" t="s">
        <v>1226</v>
      </c>
    </row>
    <row r="4065" customFormat="false" ht="15" hidden="false" customHeight="false" outlineLevel="0" collapsed="false">
      <c r="A4065" s="2" t="n">
        <v>4064</v>
      </c>
      <c r="B4065" s="2" t="s">
        <v>8342</v>
      </c>
      <c r="C4065" s="2" t="s">
        <v>8343</v>
      </c>
      <c r="D4065" s="2"/>
      <c r="E4065" s="2" t="s">
        <v>52</v>
      </c>
      <c r="F4065" s="3" t="n">
        <v>1E-005</v>
      </c>
      <c r="G4065" s="3" t="n">
        <f aca="false">SUM($F$2:F4065)</f>
        <v>0.994467</v>
      </c>
      <c r="H4065" s="4"/>
      <c r="I4065" s="5"/>
      <c r="J4065" s="4"/>
      <c r="K4065" s="5"/>
      <c r="L4065" s="6"/>
      <c r="M4065" s="5" t="str">
        <f aca="false">IF(AND(N(K4065)&gt;0,N(L4065)&gt;0),K4065/L4065,"")</f>
        <v/>
      </c>
      <c r="N4065" s="2" t="s">
        <v>1226</v>
      </c>
    </row>
    <row r="4066" customFormat="false" ht="15" hidden="false" customHeight="false" outlineLevel="0" collapsed="false">
      <c r="A4066" s="2" t="n">
        <v>4065</v>
      </c>
      <c r="B4066" s="2" t="s">
        <v>8344</v>
      </c>
      <c r="C4066" s="2" t="s">
        <v>8345</v>
      </c>
      <c r="D4066" s="2"/>
      <c r="E4066" s="2" t="s">
        <v>1345</v>
      </c>
      <c r="F4066" s="3" t="n">
        <v>1E-005</v>
      </c>
      <c r="G4066" s="3" t="n">
        <f aca="false">SUM($F$2:F4066)</f>
        <v>0.994477</v>
      </c>
      <c r="H4066" s="4"/>
      <c r="I4066" s="5"/>
      <c r="J4066" s="4"/>
      <c r="K4066" s="5"/>
      <c r="L4066" s="6"/>
      <c r="M4066" s="5" t="str">
        <f aca="false">IF(AND(N(K4066)&gt;0,N(L4066)&gt;0),K4066/L4066,"")</f>
        <v/>
      </c>
      <c r="N4066" s="2" t="s">
        <v>1226</v>
      </c>
    </row>
    <row r="4067" customFormat="false" ht="15" hidden="false" customHeight="false" outlineLevel="0" collapsed="false">
      <c r="A4067" s="2" t="n">
        <v>4066</v>
      </c>
      <c r="B4067" s="2" t="s">
        <v>8346</v>
      </c>
      <c r="C4067" s="2" t="s">
        <v>8347</v>
      </c>
      <c r="D4067" s="2"/>
      <c r="E4067" s="2" t="s">
        <v>25</v>
      </c>
      <c r="F4067" s="3" t="n">
        <v>1E-005</v>
      </c>
      <c r="G4067" s="3" t="n">
        <f aca="false">SUM($F$2:F4067)</f>
        <v>0.994487</v>
      </c>
      <c r="H4067" s="4"/>
      <c r="I4067" s="5"/>
      <c r="J4067" s="4"/>
      <c r="K4067" s="5"/>
      <c r="L4067" s="6"/>
      <c r="M4067" s="5" t="str">
        <f aca="false">IF(AND(N(K4067)&gt;0,N(L4067)&gt;0),K4067/L4067,"")</f>
        <v/>
      </c>
      <c r="N4067" s="2" t="s">
        <v>1226</v>
      </c>
    </row>
    <row r="4068" customFormat="false" ht="15" hidden="false" customHeight="false" outlineLevel="0" collapsed="false">
      <c r="A4068" s="2" t="n">
        <v>4067</v>
      </c>
      <c r="B4068" s="2" t="s">
        <v>8348</v>
      </c>
      <c r="C4068" s="2" t="s">
        <v>8349</v>
      </c>
      <c r="D4068" s="2"/>
      <c r="E4068" s="2" t="s">
        <v>296</v>
      </c>
      <c r="F4068" s="3" t="n">
        <v>1E-005</v>
      </c>
      <c r="G4068" s="3" t="n">
        <f aca="false">SUM($F$2:F4068)</f>
        <v>0.994497</v>
      </c>
      <c r="H4068" s="4"/>
      <c r="I4068" s="5"/>
      <c r="J4068" s="4"/>
      <c r="K4068" s="5"/>
      <c r="L4068" s="6"/>
      <c r="M4068" s="5" t="str">
        <f aca="false">IF(AND(N(K4068)&gt;0,N(L4068)&gt;0),K4068/L4068,"")</f>
        <v/>
      </c>
      <c r="N4068" s="2" t="s">
        <v>1226</v>
      </c>
    </row>
    <row r="4069" customFormat="false" ht="15" hidden="false" customHeight="false" outlineLevel="0" collapsed="false">
      <c r="A4069" s="2" t="n">
        <v>4068</v>
      </c>
      <c r="B4069" s="2" t="s">
        <v>8350</v>
      </c>
      <c r="C4069" s="2" t="s">
        <v>8351</v>
      </c>
      <c r="D4069" s="2"/>
      <c r="E4069" s="2" t="s">
        <v>296</v>
      </c>
      <c r="F4069" s="3" t="n">
        <v>1E-005</v>
      </c>
      <c r="G4069" s="3" t="n">
        <f aca="false">SUM($F$2:F4069)</f>
        <v>0.994507</v>
      </c>
      <c r="H4069" s="4"/>
      <c r="I4069" s="5"/>
      <c r="J4069" s="4"/>
      <c r="K4069" s="5"/>
      <c r="L4069" s="6"/>
      <c r="M4069" s="5" t="str">
        <f aca="false">IF(AND(N(K4069)&gt;0,N(L4069)&gt;0),K4069/L4069,"")</f>
        <v/>
      </c>
      <c r="N4069" s="2" t="s">
        <v>1226</v>
      </c>
    </row>
    <row r="4070" customFormat="false" ht="15" hidden="false" customHeight="false" outlineLevel="0" collapsed="false">
      <c r="A4070" s="2" t="n">
        <v>4069</v>
      </c>
      <c r="B4070" s="2" t="s">
        <v>8352</v>
      </c>
      <c r="C4070" s="2" t="s">
        <v>8353</v>
      </c>
      <c r="D4070" s="2"/>
      <c r="E4070" s="2" t="s">
        <v>25</v>
      </c>
      <c r="F4070" s="3" t="n">
        <v>1E-005</v>
      </c>
      <c r="G4070" s="3" t="n">
        <f aca="false">SUM($F$2:F4070)</f>
        <v>0.994517</v>
      </c>
      <c r="H4070" s="4"/>
      <c r="I4070" s="5"/>
      <c r="J4070" s="4"/>
      <c r="K4070" s="5"/>
      <c r="L4070" s="6"/>
      <c r="M4070" s="5" t="str">
        <f aca="false">IF(AND(N(K4070)&gt;0,N(L4070)&gt;0),K4070/L4070,"")</f>
        <v/>
      </c>
      <c r="N4070" s="2" t="s">
        <v>1226</v>
      </c>
    </row>
    <row r="4071" customFormat="false" ht="15" hidden="false" customHeight="false" outlineLevel="0" collapsed="false">
      <c r="A4071" s="2" t="n">
        <v>4070</v>
      </c>
      <c r="B4071" s="2" t="s">
        <v>8354</v>
      </c>
      <c r="C4071" s="2" t="s">
        <v>8355</v>
      </c>
      <c r="D4071" s="2"/>
      <c r="E4071" s="2" t="s">
        <v>1345</v>
      </c>
      <c r="F4071" s="3" t="n">
        <v>1E-005</v>
      </c>
      <c r="G4071" s="3" t="n">
        <f aca="false">SUM($F$2:F4071)</f>
        <v>0.994527</v>
      </c>
      <c r="H4071" s="4"/>
      <c r="I4071" s="5"/>
      <c r="J4071" s="4"/>
      <c r="K4071" s="5"/>
      <c r="L4071" s="6"/>
      <c r="M4071" s="5" t="str">
        <f aca="false">IF(AND(N(K4071)&gt;0,N(L4071)&gt;0),K4071/L4071,"")</f>
        <v/>
      </c>
      <c r="N4071" s="2" t="s">
        <v>1226</v>
      </c>
    </row>
    <row r="4072" customFormat="false" ht="15" hidden="false" customHeight="false" outlineLevel="0" collapsed="false">
      <c r="A4072" s="2" t="n">
        <v>4071</v>
      </c>
      <c r="B4072" s="2" t="s">
        <v>8356</v>
      </c>
      <c r="C4072" s="2" t="s">
        <v>8357</v>
      </c>
      <c r="D4072" s="2"/>
      <c r="E4072" s="2" t="s">
        <v>1295</v>
      </c>
      <c r="F4072" s="3" t="n">
        <v>1E-005</v>
      </c>
      <c r="G4072" s="3" t="n">
        <f aca="false">SUM($F$2:F4072)</f>
        <v>0.994537</v>
      </c>
      <c r="H4072" s="4"/>
      <c r="I4072" s="5"/>
      <c r="J4072" s="4"/>
      <c r="K4072" s="5"/>
      <c r="L4072" s="6"/>
      <c r="M4072" s="5" t="str">
        <f aca="false">IF(AND(N(K4072)&gt;0,N(L4072)&gt;0),K4072/L4072,"")</f>
        <v/>
      </c>
      <c r="N4072" s="2" t="s">
        <v>1226</v>
      </c>
    </row>
    <row r="4073" customFormat="false" ht="15" hidden="false" customHeight="false" outlineLevel="0" collapsed="false">
      <c r="A4073" s="2" t="n">
        <v>4072</v>
      </c>
      <c r="B4073" s="2" t="s">
        <v>8358</v>
      </c>
      <c r="C4073" s="2" t="s">
        <v>8359</v>
      </c>
      <c r="D4073" s="2"/>
      <c r="E4073" s="2" t="s">
        <v>1345</v>
      </c>
      <c r="F4073" s="3" t="n">
        <v>9E-006</v>
      </c>
      <c r="G4073" s="3" t="n">
        <f aca="false">SUM($F$2:F4073)</f>
        <v>0.994546</v>
      </c>
      <c r="H4073" s="4"/>
      <c r="I4073" s="5"/>
      <c r="J4073" s="4"/>
      <c r="K4073" s="5"/>
      <c r="L4073" s="6"/>
      <c r="M4073" s="5" t="str">
        <f aca="false">IF(AND(N(K4073)&gt;0,N(L4073)&gt;0),K4073/L4073,"")</f>
        <v/>
      </c>
      <c r="N4073" s="2" t="s">
        <v>1226</v>
      </c>
    </row>
    <row r="4074" customFormat="false" ht="15" hidden="false" customHeight="false" outlineLevel="0" collapsed="false">
      <c r="A4074" s="2" t="n">
        <v>4073</v>
      </c>
      <c r="B4074" s="2" t="s">
        <v>8360</v>
      </c>
      <c r="C4074" s="2" t="s">
        <v>8361</v>
      </c>
      <c r="D4074" s="2"/>
      <c r="E4074" s="2" t="s">
        <v>1345</v>
      </c>
      <c r="F4074" s="3" t="n">
        <v>9E-006</v>
      </c>
      <c r="G4074" s="3" t="n">
        <f aca="false">SUM($F$2:F4074)</f>
        <v>0.994555</v>
      </c>
      <c r="H4074" s="4"/>
      <c r="I4074" s="5"/>
      <c r="J4074" s="4"/>
      <c r="K4074" s="5"/>
      <c r="L4074" s="6"/>
      <c r="M4074" s="5" t="str">
        <f aca="false">IF(AND(N(K4074)&gt;0,N(L4074)&gt;0),K4074/L4074,"")</f>
        <v/>
      </c>
      <c r="N4074" s="2" t="s">
        <v>1226</v>
      </c>
    </row>
    <row r="4075" customFormat="false" ht="15" hidden="false" customHeight="false" outlineLevel="0" collapsed="false">
      <c r="A4075" s="2" t="n">
        <v>4074</v>
      </c>
      <c r="B4075" s="2" t="s">
        <v>8362</v>
      </c>
      <c r="C4075" s="2" t="s">
        <v>8363</v>
      </c>
      <c r="D4075" s="2"/>
      <c r="E4075" s="2" t="s">
        <v>43</v>
      </c>
      <c r="F4075" s="3" t="n">
        <v>9E-006</v>
      </c>
      <c r="G4075" s="3" t="n">
        <f aca="false">SUM($F$2:F4075)</f>
        <v>0.994564</v>
      </c>
      <c r="H4075" s="4"/>
      <c r="I4075" s="5"/>
      <c r="J4075" s="4"/>
      <c r="K4075" s="5"/>
      <c r="L4075" s="6"/>
      <c r="M4075" s="5" t="str">
        <f aca="false">IF(AND(N(K4075)&gt;0,N(L4075)&gt;0),K4075/L4075,"")</f>
        <v/>
      </c>
      <c r="N4075" s="2" t="s">
        <v>1226</v>
      </c>
    </row>
    <row r="4076" customFormat="false" ht="15" hidden="false" customHeight="false" outlineLevel="0" collapsed="false">
      <c r="A4076" s="2" t="n">
        <v>4075</v>
      </c>
      <c r="B4076" s="2" t="s">
        <v>8364</v>
      </c>
      <c r="C4076" s="2" t="s">
        <v>8365</v>
      </c>
      <c r="D4076" s="2"/>
      <c r="E4076" s="2" t="s">
        <v>289</v>
      </c>
      <c r="F4076" s="3" t="n">
        <v>9E-006</v>
      </c>
      <c r="G4076" s="3" t="n">
        <f aca="false">SUM($F$2:F4076)</f>
        <v>0.994573</v>
      </c>
      <c r="H4076" s="4"/>
      <c r="I4076" s="5"/>
      <c r="J4076" s="4"/>
      <c r="K4076" s="5"/>
      <c r="L4076" s="6"/>
      <c r="M4076" s="5" t="str">
        <f aca="false">IF(AND(N(K4076)&gt;0,N(L4076)&gt;0),K4076/L4076,"")</f>
        <v/>
      </c>
      <c r="N4076" s="2" t="s">
        <v>1226</v>
      </c>
    </row>
    <row r="4077" customFormat="false" ht="15" hidden="false" customHeight="false" outlineLevel="0" collapsed="false">
      <c r="A4077" s="2" t="n">
        <v>4076</v>
      </c>
      <c r="B4077" s="2" t="s">
        <v>8366</v>
      </c>
      <c r="C4077" s="2" t="s">
        <v>8367</v>
      </c>
      <c r="D4077" s="2"/>
      <c r="E4077" s="2" t="s">
        <v>539</v>
      </c>
      <c r="F4077" s="3" t="n">
        <v>9E-006</v>
      </c>
      <c r="G4077" s="3" t="n">
        <f aca="false">SUM($F$2:F4077)</f>
        <v>0.994582</v>
      </c>
      <c r="H4077" s="4"/>
      <c r="I4077" s="5"/>
      <c r="J4077" s="4"/>
      <c r="K4077" s="5"/>
      <c r="L4077" s="6"/>
      <c r="M4077" s="5" t="str">
        <f aca="false">IF(AND(N(K4077)&gt;0,N(L4077)&gt;0),K4077/L4077,"")</f>
        <v/>
      </c>
      <c r="N4077" s="2" t="s">
        <v>1226</v>
      </c>
    </row>
    <row r="4078" customFormat="false" ht="15" hidden="false" customHeight="false" outlineLevel="0" collapsed="false">
      <c r="A4078" s="2" t="n">
        <v>4077</v>
      </c>
      <c r="B4078" s="2" t="s">
        <v>5768</v>
      </c>
      <c r="C4078" s="2" t="s">
        <v>8368</v>
      </c>
      <c r="D4078" s="2"/>
      <c r="E4078" s="2" t="s">
        <v>17</v>
      </c>
      <c r="F4078" s="3" t="n">
        <v>9E-006</v>
      </c>
      <c r="G4078" s="3" t="n">
        <f aca="false">SUM($F$2:F4078)</f>
        <v>0.994591</v>
      </c>
      <c r="H4078" s="4"/>
      <c r="I4078" s="5"/>
      <c r="J4078" s="4"/>
      <c r="K4078" s="5"/>
      <c r="L4078" s="6"/>
      <c r="M4078" s="5" t="str">
        <f aca="false">IF(AND(N(K4078)&gt;0,N(L4078)&gt;0),K4078/L4078,"")</f>
        <v/>
      </c>
      <c r="N4078" s="2" t="s">
        <v>1226</v>
      </c>
    </row>
    <row r="4079" customFormat="false" ht="15" hidden="false" customHeight="false" outlineLevel="0" collapsed="false">
      <c r="A4079" s="2" t="n">
        <v>4078</v>
      </c>
      <c r="B4079" s="2" t="s">
        <v>8369</v>
      </c>
      <c r="C4079" s="2" t="s">
        <v>8370</v>
      </c>
      <c r="D4079" s="2"/>
      <c r="E4079" s="2" t="s">
        <v>289</v>
      </c>
      <c r="F4079" s="3" t="n">
        <v>9E-006</v>
      </c>
      <c r="G4079" s="3" t="n">
        <f aca="false">SUM($F$2:F4079)</f>
        <v>0.9946</v>
      </c>
      <c r="H4079" s="4"/>
      <c r="I4079" s="5"/>
      <c r="J4079" s="4"/>
      <c r="K4079" s="5"/>
      <c r="L4079" s="6"/>
      <c r="M4079" s="5" t="str">
        <f aca="false">IF(AND(N(K4079)&gt;0,N(L4079)&gt;0),K4079/L4079,"")</f>
        <v/>
      </c>
      <c r="N4079" s="2" t="s">
        <v>1226</v>
      </c>
    </row>
    <row r="4080" customFormat="false" ht="15" hidden="false" customHeight="false" outlineLevel="0" collapsed="false">
      <c r="A4080" s="2" t="n">
        <v>4079</v>
      </c>
      <c r="B4080" s="2" t="s">
        <v>8371</v>
      </c>
      <c r="C4080" s="2" t="s">
        <v>8372</v>
      </c>
      <c r="D4080" s="2"/>
      <c r="E4080" s="2" t="s">
        <v>1345</v>
      </c>
      <c r="F4080" s="3" t="n">
        <v>9E-006</v>
      </c>
      <c r="G4080" s="3" t="n">
        <f aca="false">SUM($F$2:F4080)</f>
        <v>0.994609</v>
      </c>
      <c r="H4080" s="4"/>
      <c r="I4080" s="5"/>
      <c r="J4080" s="4"/>
      <c r="K4080" s="5"/>
      <c r="L4080" s="6"/>
      <c r="M4080" s="5" t="str">
        <f aca="false">IF(AND(N(K4080)&gt;0,N(L4080)&gt;0),K4080/L4080,"")</f>
        <v/>
      </c>
      <c r="N4080" s="2" t="s">
        <v>1226</v>
      </c>
    </row>
    <row r="4081" customFormat="false" ht="15" hidden="false" customHeight="false" outlineLevel="0" collapsed="false">
      <c r="A4081" s="2" t="n">
        <v>4080</v>
      </c>
      <c r="B4081" s="2" t="s">
        <v>8373</v>
      </c>
      <c r="C4081" s="2" t="s">
        <v>8374</v>
      </c>
      <c r="D4081" s="2"/>
      <c r="E4081" s="2" t="s">
        <v>2763</v>
      </c>
      <c r="F4081" s="3" t="n">
        <v>9E-006</v>
      </c>
      <c r="G4081" s="3" t="n">
        <f aca="false">SUM($F$2:F4081)</f>
        <v>0.994618</v>
      </c>
      <c r="H4081" s="4"/>
      <c r="I4081" s="5"/>
      <c r="J4081" s="4"/>
      <c r="K4081" s="5"/>
      <c r="L4081" s="6"/>
      <c r="M4081" s="5" t="str">
        <f aca="false">IF(AND(N(K4081)&gt;0,N(L4081)&gt;0),K4081/L4081,"")</f>
        <v/>
      </c>
      <c r="N4081" s="2" t="s">
        <v>1226</v>
      </c>
    </row>
    <row r="4082" customFormat="false" ht="15" hidden="false" customHeight="false" outlineLevel="0" collapsed="false">
      <c r="A4082" s="2" t="n">
        <v>4081</v>
      </c>
      <c r="B4082" s="2" t="s">
        <v>8375</v>
      </c>
      <c r="C4082" s="2" t="s">
        <v>8376</v>
      </c>
      <c r="D4082" s="2"/>
      <c r="E4082" s="2" t="s">
        <v>29</v>
      </c>
      <c r="F4082" s="3" t="n">
        <v>9E-006</v>
      </c>
      <c r="G4082" s="3" t="n">
        <f aca="false">SUM($F$2:F4082)</f>
        <v>0.994627</v>
      </c>
      <c r="H4082" s="4"/>
      <c r="I4082" s="5"/>
      <c r="J4082" s="4"/>
      <c r="K4082" s="5"/>
      <c r="L4082" s="6"/>
      <c r="M4082" s="5" t="str">
        <f aca="false">IF(AND(N(K4082)&gt;0,N(L4082)&gt;0),K4082/L4082,"")</f>
        <v/>
      </c>
      <c r="N4082" s="2" t="s">
        <v>1226</v>
      </c>
    </row>
    <row r="4083" customFormat="false" ht="15" hidden="false" customHeight="false" outlineLevel="0" collapsed="false">
      <c r="A4083" s="2" t="n">
        <v>4082</v>
      </c>
      <c r="B4083" s="2" t="s">
        <v>8377</v>
      </c>
      <c r="C4083" s="2" t="s">
        <v>8378</v>
      </c>
      <c r="D4083" s="2"/>
      <c r="E4083" s="2" t="s">
        <v>38</v>
      </c>
      <c r="F4083" s="3" t="n">
        <v>9E-006</v>
      </c>
      <c r="G4083" s="3" t="n">
        <f aca="false">SUM($F$2:F4083)</f>
        <v>0.994636</v>
      </c>
      <c r="H4083" s="4"/>
      <c r="I4083" s="5"/>
      <c r="J4083" s="4"/>
      <c r="K4083" s="5"/>
      <c r="L4083" s="6"/>
      <c r="M4083" s="5" t="str">
        <f aca="false">IF(AND(N(K4083)&gt;0,N(L4083)&gt;0),K4083/L4083,"")</f>
        <v/>
      </c>
      <c r="N4083" s="2" t="s">
        <v>1226</v>
      </c>
    </row>
    <row r="4084" customFormat="false" ht="15" hidden="false" customHeight="false" outlineLevel="0" collapsed="false">
      <c r="A4084" s="2" t="n">
        <v>4083</v>
      </c>
      <c r="B4084" s="2" t="s">
        <v>8379</v>
      </c>
      <c r="C4084" s="2" t="s">
        <v>8380</v>
      </c>
      <c r="D4084" s="2"/>
      <c r="E4084" s="2" t="s">
        <v>52</v>
      </c>
      <c r="F4084" s="3" t="n">
        <v>9E-006</v>
      </c>
      <c r="G4084" s="3" t="n">
        <f aca="false">SUM($F$2:F4084)</f>
        <v>0.994645</v>
      </c>
      <c r="H4084" s="4"/>
      <c r="I4084" s="5"/>
      <c r="J4084" s="4"/>
      <c r="K4084" s="5"/>
      <c r="L4084" s="6"/>
      <c r="M4084" s="5" t="str">
        <f aca="false">IF(AND(N(K4084)&gt;0,N(L4084)&gt;0),K4084/L4084,"")</f>
        <v/>
      </c>
      <c r="N4084" s="2" t="s">
        <v>1226</v>
      </c>
    </row>
    <row r="4085" customFormat="false" ht="15" hidden="false" customHeight="false" outlineLevel="0" collapsed="false">
      <c r="A4085" s="2" t="n">
        <v>4084</v>
      </c>
      <c r="B4085" s="2" t="s">
        <v>8381</v>
      </c>
      <c r="C4085" s="2" t="s">
        <v>8382</v>
      </c>
      <c r="D4085" s="2"/>
      <c r="E4085" s="2" t="s">
        <v>1345</v>
      </c>
      <c r="F4085" s="3" t="n">
        <v>9E-006</v>
      </c>
      <c r="G4085" s="3" t="n">
        <f aca="false">SUM($F$2:F4085)</f>
        <v>0.994654</v>
      </c>
      <c r="H4085" s="4"/>
      <c r="I4085" s="5"/>
      <c r="J4085" s="4"/>
      <c r="K4085" s="5"/>
      <c r="L4085" s="6"/>
      <c r="M4085" s="5" t="str">
        <f aca="false">IF(AND(N(K4085)&gt;0,N(L4085)&gt;0),K4085/L4085,"")</f>
        <v/>
      </c>
      <c r="N4085" s="2" t="s">
        <v>1226</v>
      </c>
    </row>
    <row r="4086" customFormat="false" ht="15" hidden="false" customHeight="false" outlineLevel="0" collapsed="false">
      <c r="A4086" s="2" t="n">
        <v>4085</v>
      </c>
      <c r="B4086" s="2" t="s">
        <v>8383</v>
      </c>
      <c r="C4086" s="2" t="s">
        <v>8384</v>
      </c>
      <c r="D4086" s="2"/>
      <c r="E4086" s="2" t="s">
        <v>52</v>
      </c>
      <c r="F4086" s="3" t="n">
        <v>9E-006</v>
      </c>
      <c r="G4086" s="3" t="n">
        <f aca="false">SUM($F$2:F4086)</f>
        <v>0.994663</v>
      </c>
      <c r="H4086" s="4"/>
      <c r="I4086" s="5"/>
      <c r="J4086" s="4"/>
      <c r="K4086" s="5"/>
      <c r="L4086" s="6"/>
      <c r="M4086" s="5" t="str">
        <f aca="false">IF(AND(N(K4086)&gt;0,N(L4086)&gt;0),K4086/L4086,"")</f>
        <v/>
      </c>
      <c r="N4086" s="2" t="s">
        <v>1226</v>
      </c>
    </row>
    <row r="4087" customFormat="false" ht="15" hidden="false" customHeight="false" outlineLevel="0" collapsed="false">
      <c r="A4087" s="2" t="n">
        <v>4086</v>
      </c>
      <c r="B4087" s="2" t="s">
        <v>8385</v>
      </c>
      <c r="C4087" s="2" t="s">
        <v>8386</v>
      </c>
      <c r="D4087" s="2"/>
      <c r="E4087" s="2" t="s">
        <v>52</v>
      </c>
      <c r="F4087" s="3" t="n">
        <v>9E-006</v>
      </c>
      <c r="G4087" s="3" t="n">
        <f aca="false">SUM($F$2:F4087)</f>
        <v>0.994672</v>
      </c>
      <c r="H4087" s="4"/>
      <c r="I4087" s="5"/>
      <c r="J4087" s="4"/>
      <c r="K4087" s="5"/>
      <c r="L4087" s="6"/>
      <c r="M4087" s="5" t="str">
        <f aca="false">IF(AND(N(K4087)&gt;0,N(L4087)&gt;0),K4087/L4087,"")</f>
        <v/>
      </c>
      <c r="N4087" s="2" t="s">
        <v>1226</v>
      </c>
    </row>
    <row r="4088" customFormat="false" ht="15" hidden="false" customHeight="false" outlineLevel="0" collapsed="false">
      <c r="A4088" s="2" t="n">
        <v>4087</v>
      </c>
      <c r="B4088" s="2" t="s">
        <v>8387</v>
      </c>
      <c r="C4088" s="2" t="s">
        <v>8388</v>
      </c>
      <c r="D4088" s="2"/>
      <c r="E4088" s="2" t="s">
        <v>1345</v>
      </c>
      <c r="F4088" s="3" t="n">
        <v>9E-006</v>
      </c>
      <c r="G4088" s="3" t="n">
        <f aca="false">SUM($F$2:F4088)</f>
        <v>0.994681</v>
      </c>
      <c r="H4088" s="4"/>
      <c r="I4088" s="5"/>
      <c r="J4088" s="4"/>
      <c r="K4088" s="5"/>
      <c r="L4088" s="6"/>
      <c r="M4088" s="5" t="str">
        <f aca="false">IF(AND(N(K4088)&gt;0,N(L4088)&gt;0),K4088/L4088,"")</f>
        <v/>
      </c>
      <c r="N4088" s="2" t="s">
        <v>1226</v>
      </c>
    </row>
    <row r="4089" customFormat="false" ht="15" hidden="false" customHeight="false" outlineLevel="0" collapsed="false">
      <c r="A4089" s="2" t="n">
        <v>4088</v>
      </c>
      <c r="B4089" s="2" t="s">
        <v>8389</v>
      </c>
      <c r="C4089" s="2" t="s">
        <v>8390</v>
      </c>
      <c r="D4089" s="2"/>
      <c r="E4089" s="2" t="s">
        <v>17</v>
      </c>
      <c r="F4089" s="3" t="n">
        <v>9E-006</v>
      </c>
      <c r="G4089" s="3" t="n">
        <f aca="false">SUM($F$2:F4089)</f>
        <v>0.99469</v>
      </c>
      <c r="H4089" s="4"/>
      <c r="I4089" s="5"/>
      <c r="J4089" s="4"/>
      <c r="K4089" s="5"/>
      <c r="L4089" s="6"/>
      <c r="M4089" s="5" t="str">
        <f aca="false">IF(AND(N(K4089)&gt;0,N(L4089)&gt;0),K4089/L4089,"")</f>
        <v/>
      </c>
      <c r="N4089" s="2" t="s">
        <v>1226</v>
      </c>
    </row>
    <row r="4090" customFormat="false" ht="15" hidden="false" customHeight="false" outlineLevel="0" collapsed="false">
      <c r="A4090" s="2" t="n">
        <v>4089</v>
      </c>
      <c r="B4090" s="2" t="s">
        <v>8391</v>
      </c>
      <c r="C4090" s="2" t="s">
        <v>8392</v>
      </c>
      <c r="D4090" s="2"/>
      <c r="E4090" s="2" t="s">
        <v>1345</v>
      </c>
      <c r="F4090" s="3" t="n">
        <v>9E-006</v>
      </c>
      <c r="G4090" s="3" t="n">
        <f aca="false">SUM($F$2:F4090)</f>
        <v>0.994699</v>
      </c>
      <c r="H4090" s="4"/>
      <c r="I4090" s="5"/>
      <c r="J4090" s="4"/>
      <c r="K4090" s="5"/>
      <c r="L4090" s="6"/>
      <c r="M4090" s="5" t="str">
        <f aca="false">IF(AND(N(K4090)&gt;0,N(L4090)&gt;0),K4090/L4090,"")</f>
        <v/>
      </c>
      <c r="N4090" s="2" t="s">
        <v>1226</v>
      </c>
    </row>
    <row r="4091" customFormat="false" ht="15" hidden="false" customHeight="false" outlineLevel="0" collapsed="false">
      <c r="A4091" s="2" t="n">
        <v>4090</v>
      </c>
      <c r="B4091" s="2" t="s">
        <v>8393</v>
      </c>
      <c r="C4091" s="2" t="s">
        <v>8394</v>
      </c>
      <c r="D4091" s="2"/>
      <c r="E4091" s="2" t="s">
        <v>289</v>
      </c>
      <c r="F4091" s="3" t="n">
        <v>9E-006</v>
      </c>
      <c r="G4091" s="3" t="n">
        <f aca="false">SUM($F$2:F4091)</f>
        <v>0.994708</v>
      </c>
      <c r="H4091" s="4"/>
      <c r="I4091" s="5"/>
      <c r="J4091" s="4"/>
      <c r="K4091" s="5"/>
      <c r="L4091" s="6"/>
      <c r="M4091" s="5" t="str">
        <f aca="false">IF(AND(N(K4091)&gt;0,N(L4091)&gt;0),K4091/L4091,"")</f>
        <v/>
      </c>
      <c r="N4091" s="2" t="s">
        <v>1226</v>
      </c>
    </row>
    <row r="4092" customFormat="false" ht="15" hidden="false" customHeight="false" outlineLevel="0" collapsed="false">
      <c r="A4092" s="2" t="n">
        <v>4091</v>
      </c>
      <c r="B4092" s="2" t="s">
        <v>8395</v>
      </c>
      <c r="C4092" s="2" t="s">
        <v>8396</v>
      </c>
      <c r="D4092" s="2"/>
      <c r="E4092" s="2" t="s">
        <v>17</v>
      </c>
      <c r="F4092" s="3" t="n">
        <v>9E-006</v>
      </c>
      <c r="G4092" s="3" t="n">
        <f aca="false">SUM($F$2:F4092)</f>
        <v>0.994717</v>
      </c>
      <c r="H4092" s="4"/>
      <c r="I4092" s="5"/>
      <c r="J4092" s="4"/>
      <c r="K4092" s="5"/>
      <c r="L4092" s="6"/>
      <c r="M4092" s="5" t="str">
        <f aca="false">IF(AND(N(K4092)&gt;0,N(L4092)&gt;0),K4092/L4092,"")</f>
        <v/>
      </c>
      <c r="N4092" s="2" t="s">
        <v>1226</v>
      </c>
    </row>
    <row r="4093" customFormat="false" ht="15" hidden="false" customHeight="false" outlineLevel="0" collapsed="false">
      <c r="A4093" s="2" t="n">
        <v>4092</v>
      </c>
      <c r="B4093" s="2" t="s">
        <v>2293</v>
      </c>
      <c r="C4093" s="2" t="s">
        <v>8397</v>
      </c>
      <c r="D4093" s="2"/>
      <c r="E4093" s="2" t="s">
        <v>289</v>
      </c>
      <c r="F4093" s="3" t="n">
        <v>9E-006</v>
      </c>
      <c r="G4093" s="3" t="n">
        <f aca="false">SUM($F$2:F4093)</f>
        <v>0.994726</v>
      </c>
      <c r="H4093" s="4"/>
      <c r="I4093" s="5"/>
      <c r="J4093" s="4"/>
      <c r="K4093" s="5"/>
      <c r="L4093" s="6"/>
      <c r="M4093" s="5" t="str">
        <f aca="false">IF(AND(N(K4093)&gt;0,N(L4093)&gt;0),K4093/L4093,"")</f>
        <v/>
      </c>
      <c r="N4093" s="2" t="s">
        <v>1226</v>
      </c>
    </row>
    <row r="4094" customFormat="false" ht="15" hidden="false" customHeight="false" outlineLevel="0" collapsed="false">
      <c r="A4094" s="2" t="n">
        <v>4093</v>
      </c>
      <c r="B4094" s="2" t="s">
        <v>8398</v>
      </c>
      <c r="C4094" s="2" t="s">
        <v>8399</v>
      </c>
      <c r="D4094" s="2"/>
      <c r="E4094" s="2" t="s">
        <v>2055</v>
      </c>
      <c r="F4094" s="3" t="n">
        <v>9E-006</v>
      </c>
      <c r="G4094" s="3" t="n">
        <f aca="false">SUM($F$2:F4094)</f>
        <v>0.994735</v>
      </c>
      <c r="H4094" s="4"/>
      <c r="I4094" s="5"/>
      <c r="J4094" s="4"/>
      <c r="K4094" s="5"/>
      <c r="L4094" s="6"/>
      <c r="M4094" s="5" t="str">
        <f aca="false">IF(AND(N(K4094)&gt;0,N(L4094)&gt;0),K4094/L4094,"")</f>
        <v/>
      </c>
      <c r="N4094" s="2" t="s">
        <v>1226</v>
      </c>
    </row>
    <row r="4095" customFormat="false" ht="15" hidden="false" customHeight="false" outlineLevel="0" collapsed="false">
      <c r="A4095" s="2" t="n">
        <v>4094</v>
      </c>
      <c r="B4095" s="2" t="s">
        <v>8400</v>
      </c>
      <c r="C4095" s="2" t="s">
        <v>8401</v>
      </c>
      <c r="D4095" s="2"/>
      <c r="E4095" s="2" t="s">
        <v>2055</v>
      </c>
      <c r="F4095" s="3" t="n">
        <v>9E-006</v>
      </c>
      <c r="G4095" s="3" t="n">
        <f aca="false">SUM($F$2:F4095)</f>
        <v>0.994744</v>
      </c>
      <c r="H4095" s="4"/>
      <c r="I4095" s="5"/>
      <c r="J4095" s="4"/>
      <c r="K4095" s="5"/>
      <c r="L4095" s="6"/>
      <c r="M4095" s="5" t="str">
        <f aca="false">IF(AND(N(K4095)&gt;0,N(L4095)&gt;0),K4095/L4095,"")</f>
        <v/>
      </c>
      <c r="N4095" s="2" t="s">
        <v>1226</v>
      </c>
    </row>
    <row r="4096" customFormat="false" ht="15" hidden="false" customHeight="false" outlineLevel="0" collapsed="false">
      <c r="A4096" s="2" t="n">
        <v>4095</v>
      </c>
      <c r="B4096" s="2" t="s">
        <v>8402</v>
      </c>
      <c r="C4096" s="2" t="s">
        <v>8403</v>
      </c>
      <c r="D4096" s="2"/>
      <c r="E4096" s="2" t="s">
        <v>289</v>
      </c>
      <c r="F4096" s="3" t="n">
        <v>9E-006</v>
      </c>
      <c r="G4096" s="3" t="n">
        <f aca="false">SUM($F$2:F4096)</f>
        <v>0.994753</v>
      </c>
      <c r="H4096" s="4"/>
      <c r="I4096" s="5"/>
      <c r="J4096" s="4"/>
      <c r="K4096" s="5"/>
      <c r="L4096" s="6"/>
      <c r="M4096" s="5" t="str">
        <f aca="false">IF(AND(N(K4096)&gt;0,N(L4096)&gt;0),K4096/L4096,"")</f>
        <v/>
      </c>
      <c r="N4096" s="2" t="s">
        <v>1226</v>
      </c>
    </row>
    <row r="4097" customFormat="false" ht="15" hidden="false" customHeight="false" outlineLevel="0" collapsed="false">
      <c r="A4097" s="2" t="n">
        <v>4096</v>
      </c>
      <c r="B4097" s="2" t="s">
        <v>8404</v>
      </c>
      <c r="C4097" s="2" t="s">
        <v>8405</v>
      </c>
      <c r="D4097" s="2"/>
      <c r="E4097" s="2" t="s">
        <v>289</v>
      </c>
      <c r="F4097" s="3" t="n">
        <v>9E-006</v>
      </c>
      <c r="G4097" s="3" t="n">
        <f aca="false">SUM($F$2:F4097)</f>
        <v>0.994762</v>
      </c>
      <c r="H4097" s="4"/>
      <c r="I4097" s="5"/>
      <c r="J4097" s="4"/>
      <c r="K4097" s="5"/>
      <c r="L4097" s="6"/>
      <c r="M4097" s="5" t="str">
        <f aca="false">IF(AND(N(K4097)&gt;0,N(L4097)&gt;0),K4097/L4097,"")</f>
        <v/>
      </c>
      <c r="N4097" s="2" t="s">
        <v>1226</v>
      </c>
    </row>
    <row r="4098" customFormat="false" ht="15" hidden="false" customHeight="false" outlineLevel="0" collapsed="false">
      <c r="A4098" s="2" t="n">
        <v>4097</v>
      </c>
      <c r="B4098" s="2" t="s">
        <v>8406</v>
      </c>
      <c r="C4098" s="2" t="s">
        <v>8407</v>
      </c>
      <c r="D4098" s="2"/>
      <c r="E4098" s="2" t="s">
        <v>52</v>
      </c>
      <c r="F4098" s="3" t="n">
        <v>9E-006</v>
      </c>
      <c r="G4098" s="3" t="n">
        <f aca="false">SUM($F$2:F4098)</f>
        <v>0.994771</v>
      </c>
      <c r="H4098" s="4"/>
      <c r="I4098" s="5"/>
      <c r="J4098" s="4"/>
      <c r="K4098" s="5"/>
      <c r="L4098" s="6"/>
      <c r="M4098" s="5" t="str">
        <f aca="false">IF(AND(N(K4098)&gt;0,N(L4098)&gt;0),K4098/L4098,"")</f>
        <v/>
      </c>
      <c r="N4098" s="2" t="s">
        <v>1226</v>
      </c>
    </row>
    <row r="4099" customFormat="false" ht="15" hidden="false" customHeight="false" outlineLevel="0" collapsed="false">
      <c r="A4099" s="2" t="n">
        <v>4098</v>
      </c>
      <c r="B4099" s="2" t="s">
        <v>8408</v>
      </c>
      <c r="C4099" s="2" t="s">
        <v>8409</v>
      </c>
      <c r="D4099" s="2"/>
      <c r="E4099" s="2" t="s">
        <v>52</v>
      </c>
      <c r="F4099" s="3" t="n">
        <v>9E-006</v>
      </c>
      <c r="G4099" s="3" t="n">
        <f aca="false">SUM($F$2:F4099)</f>
        <v>0.99478</v>
      </c>
      <c r="H4099" s="4"/>
      <c r="I4099" s="5"/>
      <c r="J4099" s="4"/>
      <c r="K4099" s="5"/>
      <c r="L4099" s="6"/>
      <c r="M4099" s="5" t="str">
        <f aca="false">IF(AND(N(K4099)&gt;0,N(L4099)&gt;0),K4099/L4099,"")</f>
        <v/>
      </c>
      <c r="N4099" s="2" t="s">
        <v>1226</v>
      </c>
    </row>
    <row r="4100" customFormat="false" ht="15" hidden="false" customHeight="false" outlineLevel="0" collapsed="false">
      <c r="A4100" s="2" t="n">
        <v>4099</v>
      </c>
      <c r="B4100" s="2" t="s">
        <v>8410</v>
      </c>
      <c r="C4100" s="2" t="s">
        <v>8411</v>
      </c>
      <c r="D4100" s="2"/>
      <c r="E4100" s="2" t="s">
        <v>52</v>
      </c>
      <c r="F4100" s="3" t="n">
        <v>9E-006</v>
      </c>
      <c r="G4100" s="3" t="n">
        <f aca="false">SUM($F$2:F4100)</f>
        <v>0.994789</v>
      </c>
      <c r="H4100" s="4"/>
      <c r="I4100" s="5"/>
      <c r="J4100" s="4"/>
      <c r="K4100" s="5"/>
      <c r="L4100" s="6"/>
      <c r="M4100" s="5" t="str">
        <f aca="false">IF(AND(N(K4100)&gt;0,N(L4100)&gt;0),K4100/L4100,"")</f>
        <v/>
      </c>
      <c r="N4100" s="2" t="s">
        <v>1226</v>
      </c>
    </row>
    <row r="4101" customFormat="false" ht="15" hidden="false" customHeight="false" outlineLevel="0" collapsed="false">
      <c r="A4101" s="2" t="n">
        <v>4100</v>
      </c>
      <c r="B4101" s="2" t="s">
        <v>8412</v>
      </c>
      <c r="C4101" s="2" t="s">
        <v>8413</v>
      </c>
      <c r="D4101" s="2"/>
      <c r="E4101" s="2" t="s">
        <v>289</v>
      </c>
      <c r="F4101" s="3" t="n">
        <v>9E-006</v>
      </c>
      <c r="G4101" s="3" t="n">
        <f aca="false">SUM($F$2:F4101)</f>
        <v>0.994798</v>
      </c>
      <c r="H4101" s="4"/>
      <c r="I4101" s="5"/>
      <c r="J4101" s="4"/>
      <c r="K4101" s="5"/>
      <c r="L4101" s="6"/>
      <c r="M4101" s="5" t="str">
        <f aca="false">IF(AND(N(K4101)&gt;0,N(L4101)&gt;0),K4101/L4101,"")</f>
        <v/>
      </c>
      <c r="N4101" s="2" t="s">
        <v>1226</v>
      </c>
    </row>
    <row r="4102" customFormat="false" ht="15" hidden="false" customHeight="false" outlineLevel="0" collapsed="false">
      <c r="A4102" s="2" t="n">
        <v>4101</v>
      </c>
      <c r="B4102" s="2" t="s">
        <v>8414</v>
      </c>
      <c r="C4102" s="2" t="s">
        <v>8415</v>
      </c>
      <c r="D4102" s="2"/>
      <c r="E4102" s="2" t="s">
        <v>1345</v>
      </c>
      <c r="F4102" s="3" t="n">
        <v>9E-006</v>
      </c>
      <c r="G4102" s="3" t="n">
        <f aca="false">SUM($F$2:F4102)</f>
        <v>0.994807</v>
      </c>
      <c r="H4102" s="4"/>
      <c r="I4102" s="5"/>
      <c r="J4102" s="4"/>
      <c r="K4102" s="5"/>
      <c r="L4102" s="6"/>
      <c r="M4102" s="5" t="str">
        <f aca="false">IF(AND(N(K4102)&gt;0,N(L4102)&gt;0),K4102/L4102,"")</f>
        <v/>
      </c>
      <c r="N4102" s="2" t="s">
        <v>1226</v>
      </c>
    </row>
    <row r="4103" customFormat="false" ht="15" hidden="false" customHeight="false" outlineLevel="0" collapsed="false">
      <c r="A4103" s="2" t="n">
        <v>4102</v>
      </c>
      <c r="B4103" s="2" t="s">
        <v>8416</v>
      </c>
      <c r="C4103" s="2" t="s">
        <v>8417</v>
      </c>
      <c r="D4103" s="2"/>
      <c r="E4103" s="2" t="s">
        <v>1345</v>
      </c>
      <c r="F4103" s="3" t="n">
        <v>9E-006</v>
      </c>
      <c r="G4103" s="3" t="n">
        <f aca="false">SUM($F$2:F4103)</f>
        <v>0.994816</v>
      </c>
      <c r="H4103" s="4"/>
      <c r="I4103" s="5"/>
      <c r="J4103" s="4"/>
      <c r="K4103" s="5"/>
      <c r="L4103" s="6"/>
      <c r="M4103" s="5" t="str">
        <f aca="false">IF(AND(N(K4103)&gt;0,N(L4103)&gt;0),K4103/L4103,"")</f>
        <v/>
      </c>
      <c r="N4103" s="2" t="s">
        <v>1226</v>
      </c>
    </row>
    <row r="4104" customFormat="false" ht="15" hidden="false" customHeight="false" outlineLevel="0" collapsed="false">
      <c r="A4104" s="2" t="n">
        <v>4103</v>
      </c>
      <c r="B4104" s="2" t="s">
        <v>8418</v>
      </c>
      <c r="C4104" s="2" t="s">
        <v>8419</v>
      </c>
      <c r="D4104" s="2"/>
      <c r="E4104" s="2" t="s">
        <v>289</v>
      </c>
      <c r="F4104" s="3" t="n">
        <v>9E-006</v>
      </c>
      <c r="G4104" s="3" t="n">
        <f aca="false">SUM($F$2:F4104)</f>
        <v>0.994825</v>
      </c>
      <c r="H4104" s="4"/>
      <c r="I4104" s="5"/>
      <c r="J4104" s="4"/>
      <c r="K4104" s="5"/>
      <c r="L4104" s="6"/>
      <c r="M4104" s="5" t="str">
        <f aca="false">IF(AND(N(K4104)&gt;0,N(L4104)&gt;0),K4104/L4104,"")</f>
        <v/>
      </c>
      <c r="N4104" s="2" t="s">
        <v>1226</v>
      </c>
    </row>
    <row r="4105" customFormat="false" ht="15" hidden="false" customHeight="false" outlineLevel="0" collapsed="false">
      <c r="A4105" s="2" t="n">
        <v>4104</v>
      </c>
      <c r="B4105" s="2" t="s">
        <v>8420</v>
      </c>
      <c r="C4105" s="2" t="s">
        <v>8421</v>
      </c>
      <c r="D4105" s="2"/>
      <c r="E4105" s="2" t="s">
        <v>1345</v>
      </c>
      <c r="F4105" s="3" t="n">
        <v>9E-006</v>
      </c>
      <c r="G4105" s="3" t="n">
        <f aca="false">SUM($F$2:F4105)</f>
        <v>0.994834</v>
      </c>
      <c r="H4105" s="4"/>
      <c r="I4105" s="5"/>
      <c r="J4105" s="4"/>
      <c r="K4105" s="5"/>
      <c r="L4105" s="6"/>
      <c r="M4105" s="5" t="str">
        <f aca="false">IF(AND(N(K4105)&gt;0,N(L4105)&gt;0),K4105/L4105,"")</f>
        <v/>
      </c>
      <c r="N4105" s="2" t="s">
        <v>1226</v>
      </c>
    </row>
    <row r="4106" customFormat="false" ht="15" hidden="false" customHeight="false" outlineLevel="0" collapsed="false">
      <c r="A4106" s="2" t="n">
        <v>4105</v>
      </c>
      <c r="B4106" s="2" t="s">
        <v>8422</v>
      </c>
      <c r="C4106" s="2" t="s">
        <v>8423</v>
      </c>
      <c r="D4106" s="2"/>
      <c r="E4106" s="2" t="s">
        <v>1345</v>
      </c>
      <c r="F4106" s="3" t="n">
        <v>9E-006</v>
      </c>
      <c r="G4106" s="3" t="n">
        <f aca="false">SUM($F$2:F4106)</f>
        <v>0.994843</v>
      </c>
      <c r="H4106" s="4"/>
      <c r="I4106" s="5"/>
      <c r="J4106" s="4"/>
      <c r="K4106" s="5"/>
      <c r="L4106" s="6"/>
      <c r="M4106" s="5" t="str">
        <f aca="false">IF(AND(N(K4106)&gt;0,N(L4106)&gt;0),K4106/L4106,"")</f>
        <v/>
      </c>
      <c r="N4106" s="2" t="s">
        <v>1226</v>
      </c>
    </row>
    <row r="4107" customFormat="false" ht="15" hidden="false" customHeight="false" outlineLevel="0" collapsed="false">
      <c r="A4107" s="2" t="n">
        <v>4106</v>
      </c>
      <c r="B4107" s="2" t="s">
        <v>8424</v>
      </c>
      <c r="C4107" s="2" t="s">
        <v>8425</v>
      </c>
      <c r="D4107" s="2"/>
      <c r="E4107" s="2" t="s">
        <v>289</v>
      </c>
      <c r="F4107" s="3" t="n">
        <v>9E-006</v>
      </c>
      <c r="G4107" s="3" t="n">
        <f aca="false">SUM($F$2:F4107)</f>
        <v>0.994852</v>
      </c>
      <c r="H4107" s="4"/>
      <c r="I4107" s="5"/>
      <c r="J4107" s="4"/>
      <c r="K4107" s="5"/>
      <c r="L4107" s="6"/>
      <c r="M4107" s="5" t="str">
        <f aca="false">IF(AND(N(K4107)&gt;0,N(L4107)&gt;0),K4107/L4107,"")</f>
        <v/>
      </c>
      <c r="N4107" s="2" t="s">
        <v>1226</v>
      </c>
    </row>
    <row r="4108" customFormat="false" ht="15" hidden="false" customHeight="false" outlineLevel="0" collapsed="false">
      <c r="A4108" s="2" t="n">
        <v>4107</v>
      </c>
      <c r="B4108" s="2" t="s">
        <v>8426</v>
      </c>
      <c r="C4108" s="2" t="s">
        <v>8427</v>
      </c>
      <c r="D4108" s="2"/>
      <c r="E4108" s="2" t="s">
        <v>289</v>
      </c>
      <c r="F4108" s="3" t="n">
        <v>9E-006</v>
      </c>
      <c r="G4108" s="3" t="n">
        <f aca="false">SUM($F$2:F4108)</f>
        <v>0.994861</v>
      </c>
      <c r="H4108" s="4"/>
      <c r="I4108" s="5"/>
      <c r="J4108" s="4"/>
      <c r="K4108" s="5"/>
      <c r="L4108" s="6"/>
      <c r="M4108" s="5" t="str">
        <f aca="false">IF(AND(N(K4108)&gt;0,N(L4108)&gt;0),K4108/L4108,"")</f>
        <v/>
      </c>
      <c r="N4108" s="2" t="s">
        <v>1226</v>
      </c>
    </row>
    <row r="4109" customFormat="false" ht="15" hidden="false" customHeight="false" outlineLevel="0" collapsed="false">
      <c r="A4109" s="2" t="n">
        <v>4108</v>
      </c>
      <c r="B4109" s="2" t="s">
        <v>8428</v>
      </c>
      <c r="C4109" s="2" t="s">
        <v>8429</v>
      </c>
      <c r="D4109" s="2"/>
      <c r="E4109" s="2" t="s">
        <v>25</v>
      </c>
      <c r="F4109" s="3" t="n">
        <v>9E-006</v>
      </c>
      <c r="G4109" s="3" t="n">
        <f aca="false">SUM($F$2:F4109)</f>
        <v>0.99487</v>
      </c>
      <c r="H4109" s="4"/>
      <c r="I4109" s="5"/>
      <c r="J4109" s="4"/>
      <c r="K4109" s="5"/>
      <c r="L4109" s="6"/>
      <c r="M4109" s="5" t="str">
        <f aca="false">IF(AND(N(K4109)&gt;0,N(L4109)&gt;0),K4109/L4109,"")</f>
        <v/>
      </c>
      <c r="N4109" s="2" t="s">
        <v>1226</v>
      </c>
    </row>
    <row r="4110" customFormat="false" ht="15" hidden="false" customHeight="false" outlineLevel="0" collapsed="false">
      <c r="A4110" s="2" t="n">
        <v>4109</v>
      </c>
      <c r="B4110" s="2" t="s">
        <v>8430</v>
      </c>
      <c r="C4110" s="2" t="s">
        <v>8431</v>
      </c>
      <c r="D4110" s="2"/>
      <c r="E4110" s="2" t="s">
        <v>1345</v>
      </c>
      <c r="F4110" s="3" t="n">
        <v>9E-006</v>
      </c>
      <c r="G4110" s="3" t="n">
        <f aca="false">SUM($F$2:F4110)</f>
        <v>0.994879</v>
      </c>
      <c r="H4110" s="4"/>
      <c r="I4110" s="5"/>
      <c r="J4110" s="4"/>
      <c r="K4110" s="5"/>
      <c r="L4110" s="6"/>
      <c r="M4110" s="5" t="str">
        <f aca="false">IF(AND(N(K4110)&gt;0,N(L4110)&gt;0),K4110/L4110,"")</f>
        <v/>
      </c>
      <c r="N4110" s="2" t="s">
        <v>1226</v>
      </c>
    </row>
    <row r="4111" customFormat="false" ht="15" hidden="false" customHeight="false" outlineLevel="0" collapsed="false">
      <c r="A4111" s="2" t="n">
        <v>4110</v>
      </c>
      <c r="B4111" s="2" t="s">
        <v>8432</v>
      </c>
      <c r="C4111" s="2" t="s">
        <v>8433</v>
      </c>
      <c r="D4111" s="2"/>
      <c r="E4111" s="2" t="s">
        <v>1345</v>
      </c>
      <c r="F4111" s="3" t="n">
        <v>9E-006</v>
      </c>
      <c r="G4111" s="3" t="n">
        <f aca="false">SUM($F$2:F4111)</f>
        <v>0.994888</v>
      </c>
      <c r="H4111" s="4"/>
      <c r="I4111" s="5"/>
      <c r="J4111" s="4"/>
      <c r="K4111" s="5"/>
      <c r="L4111" s="6"/>
      <c r="M4111" s="5" t="str">
        <f aca="false">IF(AND(N(K4111)&gt;0,N(L4111)&gt;0),K4111/L4111,"")</f>
        <v/>
      </c>
      <c r="N4111" s="2" t="s">
        <v>1226</v>
      </c>
    </row>
    <row r="4112" customFormat="false" ht="15" hidden="false" customHeight="false" outlineLevel="0" collapsed="false">
      <c r="A4112" s="2" t="n">
        <v>4111</v>
      </c>
      <c r="B4112" s="2" t="s">
        <v>8434</v>
      </c>
      <c r="C4112" s="2" t="s">
        <v>8435</v>
      </c>
      <c r="D4112" s="2"/>
      <c r="E4112" s="2" t="s">
        <v>289</v>
      </c>
      <c r="F4112" s="3" t="n">
        <v>9E-006</v>
      </c>
      <c r="G4112" s="3" t="n">
        <f aca="false">SUM($F$2:F4112)</f>
        <v>0.994897</v>
      </c>
      <c r="H4112" s="4"/>
      <c r="I4112" s="5"/>
      <c r="J4112" s="4"/>
      <c r="K4112" s="5"/>
      <c r="L4112" s="6"/>
      <c r="M4112" s="5" t="str">
        <f aca="false">IF(AND(N(K4112)&gt;0,N(L4112)&gt;0),K4112/L4112,"")</f>
        <v/>
      </c>
      <c r="N4112" s="2" t="s">
        <v>1226</v>
      </c>
    </row>
    <row r="4113" customFormat="false" ht="15" hidden="false" customHeight="false" outlineLevel="0" collapsed="false">
      <c r="A4113" s="2" t="n">
        <v>4112</v>
      </c>
      <c r="B4113" s="2" t="s">
        <v>8436</v>
      </c>
      <c r="C4113" s="2" t="s">
        <v>8437</v>
      </c>
      <c r="D4113" s="2"/>
      <c r="E4113" s="2" t="s">
        <v>700</v>
      </c>
      <c r="F4113" s="3" t="n">
        <v>9E-006</v>
      </c>
      <c r="G4113" s="3" t="n">
        <f aca="false">SUM($F$2:F4113)</f>
        <v>0.994906</v>
      </c>
      <c r="H4113" s="4"/>
      <c r="I4113" s="5"/>
      <c r="J4113" s="4"/>
      <c r="K4113" s="5"/>
      <c r="L4113" s="6"/>
      <c r="M4113" s="5" t="str">
        <f aca="false">IF(AND(N(K4113)&gt;0,N(L4113)&gt;0),K4113/L4113,"")</f>
        <v/>
      </c>
      <c r="N4113" s="2" t="s">
        <v>1226</v>
      </c>
    </row>
    <row r="4114" customFormat="false" ht="15" hidden="false" customHeight="false" outlineLevel="0" collapsed="false">
      <c r="A4114" s="2" t="n">
        <v>4113</v>
      </c>
      <c r="B4114" s="2" t="s">
        <v>8438</v>
      </c>
      <c r="C4114" s="2" t="s">
        <v>8439</v>
      </c>
      <c r="D4114" s="2"/>
      <c r="E4114" s="2" t="s">
        <v>1345</v>
      </c>
      <c r="F4114" s="3" t="n">
        <v>9E-006</v>
      </c>
      <c r="G4114" s="3" t="n">
        <f aca="false">SUM($F$2:F4114)</f>
        <v>0.994915</v>
      </c>
      <c r="H4114" s="4"/>
      <c r="I4114" s="5"/>
      <c r="J4114" s="4"/>
      <c r="K4114" s="5"/>
      <c r="L4114" s="6"/>
      <c r="M4114" s="5" t="str">
        <f aca="false">IF(AND(N(K4114)&gt;0,N(L4114)&gt;0),K4114/L4114,"")</f>
        <v/>
      </c>
      <c r="N4114" s="2" t="s">
        <v>1226</v>
      </c>
    </row>
    <row r="4115" customFormat="false" ht="15" hidden="false" customHeight="false" outlineLevel="0" collapsed="false">
      <c r="A4115" s="2" t="n">
        <v>4114</v>
      </c>
      <c r="B4115" s="2" t="s">
        <v>8440</v>
      </c>
      <c r="C4115" s="2" t="s">
        <v>8441</v>
      </c>
      <c r="D4115" s="2"/>
      <c r="E4115" s="2" t="s">
        <v>860</v>
      </c>
      <c r="F4115" s="3" t="n">
        <v>9E-006</v>
      </c>
      <c r="G4115" s="3" t="n">
        <f aca="false">SUM($F$2:F4115)</f>
        <v>0.994924</v>
      </c>
      <c r="H4115" s="4"/>
      <c r="I4115" s="5"/>
      <c r="J4115" s="4"/>
      <c r="K4115" s="5"/>
      <c r="L4115" s="6"/>
      <c r="M4115" s="5" t="str">
        <f aca="false">IF(AND(N(K4115)&gt;0,N(L4115)&gt;0),K4115/L4115,"")</f>
        <v/>
      </c>
      <c r="N4115" s="2" t="s">
        <v>1226</v>
      </c>
    </row>
    <row r="4116" customFormat="false" ht="15" hidden="false" customHeight="false" outlineLevel="0" collapsed="false">
      <c r="A4116" s="2" t="n">
        <v>4115</v>
      </c>
      <c r="B4116" s="2" t="s">
        <v>8442</v>
      </c>
      <c r="C4116" s="2" t="s">
        <v>8443</v>
      </c>
      <c r="D4116" s="2"/>
      <c r="E4116" s="2" t="s">
        <v>1345</v>
      </c>
      <c r="F4116" s="3" t="n">
        <v>9E-006</v>
      </c>
      <c r="G4116" s="3" t="n">
        <f aca="false">SUM($F$2:F4116)</f>
        <v>0.994933</v>
      </c>
      <c r="H4116" s="4"/>
      <c r="I4116" s="5"/>
      <c r="J4116" s="4"/>
      <c r="K4116" s="5"/>
      <c r="L4116" s="6"/>
      <c r="M4116" s="5" t="str">
        <f aca="false">IF(AND(N(K4116)&gt;0,N(L4116)&gt;0),K4116/L4116,"")</f>
        <v/>
      </c>
      <c r="N4116" s="2" t="s">
        <v>1226</v>
      </c>
    </row>
    <row r="4117" customFormat="false" ht="15" hidden="false" customHeight="false" outlineLevel="0" collapsed="false">
      <c r="A4117" s="2" t="n">
        <v>4116</v>
      </c>
      <c r="B4117" s="2" t="s">
        <v>8444</v>
      </c>
      <c r="C4117" s="2" t="s">
        <v>8445</v>
      </c>
      <c r="D4117" s="2"/>
      <c r="E4117" s="2" t="s">
        <v>48</v>
      </c>
      <c r="F4117" s="3" t="n">
        <v>9E-006</v>
      </c>
      <c r="G4117" s="3" t="n">
        <f aca="false">SUM($F$2:F4117)</f>
        <v>0.994942</v>
      </c>
      <c r="H4117" s="4"/>
      <c r="I4117" s="5"/>
      <c r="J4117" s="4"/>
      <c r="K4117" s="5"/>
      <c r="L4117" s="6"/>
      <c r="M4117" s="5" t="str">
        <f aca="false">IF(AND(N(K4117)&gt;0,N(L4117)&gt;0),K4117/L4117,"")</f>
        <v/>
      </c>
      <c r="N4117" s="2" t="s">
        <v>1226</v>
      </c>
    </row>
    <row r="4118" customFormat="false" ht="15" hidden="false" customHeight="false" outlineLevel="0" collapsed="false">
      <c r="A4118" s="2" t="n">
        <v>4117</v>
      </c>
      <c r="B4118" s="2" t="s">
        <v>8446</v>
      </c>
      <c r="C4118" s="2" t="s">
        <v>8447</v>
      </c>
      <c r="D4118" s="2"/>
      <c r="E4118" s="2" t="s">
        <v>1345</v>
      </c>
      <c r="F4118" s="3" t="n">
        <v>9E-006</v>
      </c>
      <c r="G4118" s="3" t="n">
        <f aca="false">SUM($F$2:F4118)</f>
        <v>0.994951</v>
      </c>
      <c r="H4118" s="4"/>
      <c r="I4118" s="5"/>
      <c r="J4118" s="4"/>
      <c r="K4118" s="5"/>
      <c r="L4118" s="6"/>
      <c r="M4118" s="5" t="str">
        <f aca="false">IF(AND(N(K4118)&gt;0,N(L4118)&gt;0),K4118/L4118,"")</f>
        <v/>
      </c>
      <c r="N4118" s="2" t="s">
        <v>1226</v>
      </c>
    </row>
    <row r="4119" customFormat="false" ht="15" hidden="false" customHeight="false" outlineLevel="0" collapsed="false">
      <c r="A4119" s="2" t="n">
        <v>4118</v>
      </c>
      <c r="B4119" s="2" t="s">
        <v>8448</v>
      </c>
      <c r="C4119" s="2" t="s">
        <v>8449</v>
      </c>
      <c r="D4119" s="2"/>
      <c r="E4119" s="2" t="s">
        <v>43</v>
      </c>
      <c r="F4119" s="3" t="n">
        <v>9E-006</v>
      </c>
      <c r="G4119" s="3" t="n">
        <f aca="false">SUM($F$2:F4119)</f>
        <v>0.99496</v>
      </c>
      <c r="H4119" s="4"/>
      <c r="I4119" s="5"/>
      <c r="J4119" s="4"/>
      <c r="K4119" s="5"/>
      <c r="L4119" s="6"/>
      <c r="M4119" s="5" t="str">
        <f aca="false">IF(AND(N(K4119)&gt;0,N(L4119)&gt;0),K4119/L4119,"")</f>
        <v/>
      </c>
      <c r="N4119" s="2" t="s">
        <v>1226</v>
      </c>
    </row>
    <row r="4120" customFormat="false" ht="15" hidden="false" customHeight="false" outlineLevel="0" collapsed="false">
      <c r="A4120" s="2" t="n">
        <v>4119</v>
      </c>
      <c r="B4120" s="2" t="s">
        <v>8450</v>
      </c>
      <c r="C4120" s="2" t="s">
        <v>8451</v>
      </c>
      <c r="D4120" s="2"/>
      <c r="E4120" s="2" t="s">
        <v>17</v>
      </c>
      <c r="F4120" s="3" t="n">
        <v>9E-006</v>
      </c>
      <c r="G4120" s="3" t="n">
        <f aca="false">SUM($F$2:F4120)</f>
        <v>0.994969</v>
      </c>
      <c r="H4120" s="4"/>
      <c r="I4120" s="5"/>
      <c r="J4120" s="4"/>
      <c r="K4120" s="5"/>
      <c r="L4120" s="6"/>
      <c r="M4120" s="5" t="str">
        <f aca="false">IF(AND(N(K4120)&gt;0,N(L4120)&gt;0),K4120/L4120,"")</f>
        <v/>
      </c>
      <c r="N4120" s="2" t="s">
        <v>1226</v>
      </c>
    </row>
    <row r="4121" customFormat="false" ht="15" hidden="false" customHeight="false" outlineLevel="0" collapsed="false">
      <c r="A4121" s="2" t="n">
        <v>4120</v>
      </c>
      <c r="B4121" s="2" t="s">
        <v>8452</v>
      </c>
      <c r="C4121" s="2" t="s">
        <v>8453</v>
      </c>
      <c r="D4121" s="2"/>
      <c r="E4121" s="2" t="s">
        <v>48</v>
      </c>
      <c r="F4121" s="3" t="n">
        <v>9E-006</v>
      </c>
      <c r="G4121" s="3" t="n">
        <f aca="false">SUM($F$2:F4121)</f>
        <v>0.994978</v>
      </c>
      <c r="H4121" s="4"/>
      <c r="I4121" s="5"/>
      <c r="J4121" s="4"/>
      <c r="K4121" s="5"/>
      <c r="L4121" s="6"/>
      <c r="M4121" s="5" t="str">
        <f aca="false">IF(AND(N(K4121)&gt;0,N(L4121)&gt;0),K4121/L4121,"")</f>
        <v/>
      </c>
      <c r="N4121" s="2" t="s">
        <v>1226</v>
      </c>
    </row>
    <row r="4122" customFormat="false" ht="15" hidden="false" customHeight="false" outlineLevel="0" collapsed="false">
      <c r="A4122" s="2" t="n">
        <v>4121</v>
      </c>
      <c r="B4122" s="2" t="s">
        <v>3634</v>
      </c>
      <c r="C4122" s="2" t="s">
        <v>8454</v>
      </c>
      <c r="D4122" s="2"/>
      <c r="E4122" s="2" t="s">
        <v>33</v>
      </c>
      <c r="F4122" s="3" t="n">
        <v>9E-006</v>
      </c>
      <c r="G4122" s="3" t="n">
        <f aca="false">SUM($F$2:F4122)</f>
        <v>0.994987</v>
      </c>
      <c r="H4122" s="4"/>
      <c r="I4122" s="5"/>
      <c r="J4122" s="4"/>
      <c r="K4122" s="5"/>
      <c r="L4122" s="6"/>
      <c r="M4122" s="5" t="str">
        <f aca="false">IF(AND(N(K4122)&gt;0,N(L4122)&gt;0),K4122/L4122,"")</f>
        <v/>
      </c>
      <c r="N4122" s="2" t="s">
        <v>1226</v>
      </c>
    </row>
    <row r="4123" customFormat="false" ht="15" hidden="false" customHeight="false" outlineLevel="0" collapsed="false">
      <c r="A4123" s="2" t="n">
        <v>4122</v>
      </c>
      <c r="B4123" s="2" t="s">
        <v>8455</v>
      </c>
      <c r="C4123" s="2" t="s">
        <v>8456</v>
      </c>
      <c r="D4123" s="2"/>
      <c r="E4123" s="2" t="s">
        <v>1345</v>
      </c>
      <c r="F4123" s="3" t="n">
        <v>9E-006</v>
      </c>
      <c r="G4123" s="3" t="n">
        <f aca="false">SUM($F$2:F4123)</f>
        <v>0.994996</v>
      </c>
      <c r="H4123" s="4"/>
      <c r="I4123" s="5"/>
      <c r="J4123" s="4"/>
      <c r="K4123" s="5"/>
      <c r="L4123" s="6"/>
      <c r="M4123" s="5" t="str">
        <f aca="false">IF(AND(N(K4123)&gt;0,N(L4123)&gt;0),K4123/L4123,"")</f>
        <v/>
      </c>
      <c r="N4123" s="2" t="s">
        <v>1226</v>
      </c>
    </row>
    <row r="4124" customFormat="false" ht="15" hidden="false" customHeight="false" outlineLevel="0" collapsed="false">
      <c r="A4124" s="2" t="n">
        <v>4123</v>
      </c>
      <c r="B4124" s="2" t="s">
        <v>8457</v>
      </c>
      <c r="C4124" s="2" t="s">
        <v>8458</v>
      </c>
      <c r="D4124" s="2"/>
      <c r="E4124" s="2" t="s">
        <v>1345</v>
      </c>
      <c r="F4124" s="3" t="n">
        <v>9E-006</v>
      </c>
      <c r="G4124" s="3" t="n">
        <f aca="false">SUM($F$2:F4124)</f>
        <v>0.995005</v>
      </c>
      <c r="H4124" s="4"/>
      <c r="I4124" s="5"/>
      <c r="J4124" s="4"/>
      <c r="K4124" s="5"/>
      <c r="L4124" s="6"/>
      <c r="M4124" s="5" t="str">
        <f aca="false">IF(AND(N(K4124)&gt;0,N(L4124)&gt;0),K4124/L4124,"")</f>
        <v/>
      </c>
      <c r="N4124" s="2" t="s">
        <v>1226</v>
      </c>
    </row>
    <row r="4125" customFormat="false" ht="15" hidden="false" customHeight="false" outlineLevel="0" collapsed="false">
      <c r="A4125" s="2" t="n">
        <v>4124</v>
      </c>
      <c r="B4125" s="2" t="s">
        <v>8080</v>
      </c>
      <c r="C4125" s="2" t="s">
        <v>8459</v>
      </c>
      <c r="D4125" s="2"/>
      <c r="E4125" s="2" t="s">
        <v>52</v>
      </c>
      <c r="F4125" s="3" t="n">
        <v>9E-006</v>
      </c>
      <c r="G4125" s="3" t="n">
        <f aca="false">SUM($F$2:F4125)</f>
        <v>0.995014</v>
      </c>
      <c r="H4125" s="4"/>
      <c r="I4125" s="5"/>
      <c r="J4125" s="4"/>
      <c r="K4125" s="5"/>
      <c r="L4125" s="6"/>
      <c r="M4125" s="5" t="str">
        <f aca="false">IF(AND(N(K4125)&gt;0,N(L4125)&gt;0),K4125/L4125,"")</f>
        <v/>
      </c>
      <c r="N4125" s="2" t="s">
        <v>1226</v>
      </c>
    </row>
    <row r="4126" customFormat="false" ht="15" hidden="false" customHeight="false" outlineLevel="0" collapsed="false">
      <c r="A4126" s="2" t="n">
        <v>4125</v>
      </c>
      <c r="B4126" s="2" t="s">
        <v>8460</v>
      </c>
      <c r="C4126" s="2" t="s">
        <v>8461</v>
      </c>
      <c r="D4126" s="2"/>
      <c r="E4126" s="2" t="s">
        <v>1345</v>
      </c>
      <c r="F4126" s="3" t="n">
        <v>9E-006</v>
      </c>
      <c r="G4126" s="3" t="n">
        <f aca="false">SUM($F$2:F4126)</f>
        <v>0.995023</v>
      </c>
      <c r="H4126" s="4"/>
      <c r="I4126" s="5"/>
      <c r="J4126" s="4"/>
      <c r="K4126" s="5"/>
      <c r="L4126" s="6"/>
      <c r="M4126" s="5" t="str">
        <f aca="false">IF(AND(N(K4126)&gt;0,N(L4126)&gt;0),K4126/L4126,"")</f>
        <v/>
      </c>
      <c r="N4126" s="2" t="s">
        <v>1226</v>
      </c>
    </row>
    <row r="4127" customFormat="false" ht="15" hidden="false" customHeight="false" outlineLevel="0" collapsed="false">
      <c r="A4127" s="2" t="n">
        <v>4126</v>
      </c>
      <c r="B4127" s="2" t="s">
        <v>8462</v>
      </c>
      <c r="C4127" s="2" t="s">
        <v>8463</v>
      </c>
      <c r="D4127" s="2"/>
      <c r="E4127" s="2" t="s">
        <v>1345</v>
      </c>
      <c r="F4127" s="3" t="n">
        <v>9E-006</v>
      </c>
      <c r="G4127" s="3" t="n">
        <f aca="false">SUM($F$2:F4127)</f>
        <v>0.995032</v>
      </c>
      <c r="H4127" s="4"/>
      <c r="I4127" s="5"/>
      <c r="J4127" s="4"/>
      <c r="K4127" s="5"/>
      <c r="L4127" s="6"/>
      <c r="M4127" s="5" t="str">
        <f aca="false">IF(AND(N(K4127)&gt;0,N(L4127)&gt;0),K4127/L4127,"")</f>
        <v/>
      </c>
      <c r="N4127" s="2" t="s">
        <v>1226</v>
      </c>
    </row>
    <row r="4128" customFormat="false" ht="15" hidden="false" customHeight="false" outlineLevel="0" collapsed="false">
      <c r="A4128" s="2" t="n">
        <v>4127</v>
      </c>
      <c r="B4128" s="2" t="s">
        <v>8464</v>
      </c>
      <c r="C4128" s="2" t="s">
        <v>8465</v>
      </c>
      <c r="D4128" s="2"/>
      <c r="E4128" s="2" t="s">
        <v>1345</v>
      </c>
      <c r="F4128" s="3" t="n">
        <v>9E-006</v>
      </c>
      <c r="G4128" s="3" t="n">
        <f aca="false">SUM($F$2:F4128)</f>
        <v>0.995041</v>
      </c>
      <c r="H4128" s="4"/>
      <c r="I4128" s="5"/>
      <c r="J4128" s="4"/>
      <c r="K4128" s="5"/>
      <c r="L4128" s="6"/>
      <c r="M4128" s="5" t="str">
        <f aca="false">IF(AND(N(K4128)&gt;0,N(L4128)&gt;0),K4128/L4128,"")</f>
        <v/>
      </c>
      <c r="N4128" s="2" t="s">
        <v>1226</v>
      </c>
    </row>
    <row r="4129" customFormat="false" ht="15" hidden="false" customHeight="false" outlineLevel="0" collapsed="false">
      <c r="A4129" s="2" t="n">
        <v>4128</v>
      </c>
      <c r="B4129" s="2" t="s">
        <v>8466</v>
      </c>
      <c r="C4129" s="2" t="s">
        <v>8467</v>
      </c>
      <c r="D4129" s="2"/>
      <c r="E4129" s="2" t="s">
        <v>1345</v>
      </c>
      <c r="F4129" s="3" t="n">
        <v>9E-006</v>
      </c>
      <c r="G4129" s="3" t="n">
        <f aca="false">SUM($F$2:F4129)</f>
        <v>0.99505</v>
      </c>
      <c r="H4129" s="4"/>
      <c r="I4129" s="5"/>
      <c r="J4129" s="4"/>
      <c r="K4129" s="5"/>
      <c r="L4129" s="6"/>
      <c r="M4129" s="5" t="str">
        <f aca="false">IF(AND(N(K4129)&gt;0,N(L4129)&gt;0),K4129/L4129,"")</f>
        <v/>
      </c>
      <c r="N4129" s="2" t="s">
        <v>1226</v>
      </c>
    </row>
    <row r="4130" customFormat="false" ht="15" hidden="false" customHeight="false" outlineLevel="0" collapsed="false">
      <c r="A4130" s="2" t="n">
        <v>4129</v>
      </c>
      <c r="B4130" s="2" t="s">
        <v>8468</v>
      </c>
      <c r="C4130" s="2" t="s">
        <v>8469</v>
      </c>
      <c r="D4130" s="2"/>
      <c r="E4130" s="2" t="s">
        <v>334</v>
      </c>
      <c r="F4130" s="3" t="n">
        <v>9E-006</v>
      </c>
      <c r="G4130" s="3" t="n">
        <f aca="false">SUM($F$2:F4130)</f>
        <v>0.995059</v>
      </c>
      <c r="H4130" s="4"/>
      <c r="I4130" s="5"/>
      <c r="J4130" s="4"/>
      <c r="K4130" s="5"/>
      <c r="L4130" s="6"/>
      <c r="M4130" s="5" t="str">
        <f aca="false">IF(AND(N(K4130)&gt;0,N(L4130)&gt;0),K4130/L4130,"")</f>
        <v/>
      </c>
      <c r="N4130" s="2" t="s">
        <v>1226</v>
      </c>
    </row>
    <row r="4131" customFormat="false" ht="15" hidden="false" customHeight="false" outlineLevel="0" collapsed="false">
      <c r="A4131" s="2" t="n">
        <v>4130</v>
      </c>
      <c r="B4131" s="2" t="s">
        <v>8470</v>
      </c>
      <c r="C4131" s="2" t="s">
        <v>8471</v>
      </c>
      <c r="D4131" s="2"/>
      <c r="E4131" s="2" t="s">
        <v>1345</v>
      </c>
      <c r="F4131" s="3" t="n">
        <v>9E-006</v>
      </c>
      <c r="G4131" s="3" t="n">
        <f aca="false">SUM($F$2:F4131)</f>
        <v>0.995068</v>
      </c>
      <c r="H4131" s="4"/>
      <c r="I4131" s="5"/>
      <c r="J4131" s="4"/>
      <c r="K4131" s="5"/>
      <c r="L4131" s="6"/>
      <c r="M4131" s="5" t="str">
        <f aca="false">IF(AND(N(K4131)&gt;0,N(L4131)&gt;0),K4131/L4131,"")</f>
        <v/>
      </c>
      <c r="N4131" s="2" t="s">
        <v>1226</v>
      </c>
    </row>
    <row r="4132" customFormat="false" ht="15" hidden="false" customHeight="false" outlineLevel="0" collapsed="false">
      <c r="A4132" s="2" t="n">
        <v>4131</v>
      </c>
      <c r="B4132" s="2" t="s">
        <v>8472</v>
      </c>
      <c r="C4132" s="2" t="s">
        <v>8473</v>
      </c>
      <c r="D4132" s="2"/>
      <c r="E4132" s="2" t="s">
        <v>1345</v>
      </c>
      <c r="F4132" s="3" t="n">
        <v>9E-006</v>
      </c>
      <c r="G4132" s="3" t="n">
        <f aca="false">SUM($F$2:F4132)</f>
        <v>0.995077</v>
      </c>
      <c r="H4132" s="4"/>
      <c r="I4132" s="5"/>
      <c r="J4132" s="4"/>
      <c r="K4132" s="5"/>
      <c r="L4132" s="6"/>
      <c r="M4132" s="5" t="str">
        <f aca="false">IF(AND(N(K4132)&gt;0,N(L4132)&gt;0),K4132/L4132,"")</f>
        <v/>
      </c>
      <c r="N4132" s="2" t="s">
        <v>1226</v>
      </c>
    </row>
    <row r="4133" customFormat="false" ht="15" hidden="false" customHeight="false" outlineLevel="0" collapsed="false">
      <c r="A4133" s="2" t="n">
        <v>4132</v>
      </c>
      <c r="B4133" s="2" t="s">
        <v>8474</v>
      </c>
      <c r="C4133" s="2" t="s">
        <v>8475</v>
      </c>
      <c r="D4133" s="2"/>
      <c r="E4133" s="2" t="s">
        <v>2638</v>
      </c>
      <c r="F4133" s="3" t="n">
        <v>9E-006</v>
      </c>
      <c r="G4133" s="3" t="n">
        <f aca="false">SUM($F$2:F4133)</f>
        <v>0.995086</v>
      </c>
      <c r="H4133" s="4"/>
      <c r="I4133" s="5"/>
      <c r="J4133" s="4"/>
      <c r="K4133" s="5"/>
      <c r="L4133" s="6"/>
      <c r="M4133" s="5" t="str">
        <f aca="false">IF(AND(N(K4133)&gt;0,N(L4133)&gt;0),K4133/L4133,"")</f>
        <v/>
      </c>
      <c r="N4133" s="2" t="s">
        <v>1226</v>
      </c>
    </row>
    <row r="4134" customFormat="false" ht="15" hidden="false" customHeight="false" outlineLevel="0" collapsed="false">
      <c r="A4134" s="2" t="n">
        <v>4133</v>
      </c>
      <c r="B4134" s="2" t="s">
        <v>8476</v>
      </c>
      <c r="C4134" s="2" t="s">
        <v>8477</v>
      </c>
      <c r="D4134" s="2"/>
      <c r="E4134" s="2" t="s">
        <v>289</v>
      </c>
      <c r="F4134" s="3" t="n">
        <v>9E-006</v>
      </c>
      <c r="G4134" s="3" t="n">
        <f aca="false">SUM($F$2:F4134)</f>
        <v>0.995095</v>
      </c>
      <c r="H4134" s="4"/>
      <c r="I4134" s="5"/>
      <c r="J4134" s="4"/>
      <c r="K4134" s="5"/>
      <c r="L4134" s="6"/>
      <c r="M4134" s="5" t="str">
        <f aca="false">IF(AND(N(K4134)&gt;0,N(L4134)&gt;0),K4134/L4134,"")</f>
        <v/>
      </c>
      <c r="N4134" s="2" t="s">
        <v>1226</v>
      </c>
    </row>
    <row r="4135" customFormat="false" ht="15" hidden="false" customHeight="false" outlineLevel="0" collapsed="false">
      <c r="A4135" s="2" t="n">
        <v>4134</v>
      </c>
      <c r="B4135" s="2" t="s">
        <v>8478</v>
      </c>
      <c r="C4135" s="2" t="s">
        <v>8479</v>
      </c>
      <c r="D4135" s="2"/>
      <c r="E4135" s="2" t="s">
        <v>289</v>
      </c>
      <c r="F4135" s="3" t="n">
        <v>9E-006</v>
      </c>
      <c r="G4135" s="3" t="n">
        <f aca="false">SUM($F$2:F4135)</f>
        <v>0.995104</v>
      </c>
      <c r="H4135" s="4"/>
      <c r="I4135" s="5"/>
      <c r="J4135" s="4"/>
      <c r="K4135" s="5"/>
      <c r="L4135" s="6"/>
      <c r="M4135" s="5" t="str">
        <f aca="false">IF(AND(N(K4135)&gt;0,N(L4135)&gt;0),K4135/L4135,"")</f>
        <v/>
      </c>
      <c r="N4135" s="2" t="s">
        <v>1226</v>
      </c>
    </row>
    <row r="4136" customFormat="false" ht="15" hidden="false" customHeight="false" outlineLevel="0" collapsed="false">
      <c r="A4136" s="2" t="n">
        <v>4135</v>
      </c>
      <c r="B4136" s="2" t="s">
        <v>8480</v>
      </c>
      <c r="C4136" s="2" t="s">
        <v>8481</v>
      </c>
      <c r="D4136" s="2"/>
      <c r="E4136" s="2" t="s">
        <v>1345</v>
      </c>
      <c r="F4136" s="3" t="n">
        <v>9E-006</v>
      </c>
      <c r="G4136" s="3" t="n">
        <f aca="false">SUM($F$2:F4136)</f>
        <v>0.995113</v>
      </c>
      <c r="H4136" s="4"/>
      <c r="I4136" s="5"/>
      <c r="J4136" s="4"/>
      <c r="K4136" s="5"/>
      <c r="L4136" s="6"/>
      <c r="M4136" s="5" t="str">
        <f aca="false">IF(AND(N(K4136)&gt;0,N(L4136)&gt;0),K4136/L4136,"")</f>
        <v/>
      </c>
      <c r="N4136" s="2" t="s">
        <v>1226</v>
      </c>
    </row>
    <row r="4137" customFormat="false" ht="15" hidden="false" customHeight="false" outlineLevel="0" collapsed="false">
      <c r="A4137" s="2" t="n">
        <v>4136</v>
      </c>
      <c r="B4137" s="2" t="s">
        <v>600</v>
      </c>
      <c r="C4137" s="2" t="s">
        <v>8482</v>
      </c>
      <c r="D4137" s="2"/>
      <c r="E4137" s="2" t="s">
        <v>1050</v>
      </c>
      <c r="F4137" s="3" t="n">
        <v>9E-006</v>
      </c>
      <c r="G4137" s="3" t="n">
        <f aca="false">SUM($F$2:F4137)</f>
        <v>0.995122</v>
      </c>
      <c r="H4137" s="4"/>
      <c r="I4137" s="5"/>
      <c r="J4137" s="4"/>
      <c r="K4137" s="5"/>
      <c r="L4137" s="6"/>
      <c r="M4137" s="5" t="str">
        <f aca="false">IF(AND(N(K4137)&gt;0,N(L4137)&gt;0),K4137/L4137,"")</f>
        <v/>
      </c>
      <c r="N4137" s="2" t="s">
        <v>1226</v>
      </c>
    </row>
    <row r="4138" customFormat="false" ht="15" hidden="false" customHeight="false" outlineLevel="0" collapsed="false">
      <c r="A4138" s="2" t="n">
        <v>4137</v>
      </c>
      <c r="B4138" s="2" t="s">
        <v>8483</v>
      </c>
      <c r="C4138" s="2" t="s">
        <v>8484</v>
      </c>
      <c r="D4138" s="2"/>
      <c r="E4138" s="2" t="s">
        <v>2055</v>
      </c>
      <c r="F4138" s="3" t="n">
        <v>9E-006</v>
      </c>
      <c r="G4138" s="3" t="n">
        <f aca="false">SUM($F$2:F4138)</f>
        <v>0.995131</v>
      </c>
      <c r="H4138" s="4"/>
      <c r="I4138" s="5"/>
      <c r="J4138" s="4"/>
      <c r="K4138" s="5"/>
      <c r="L4138" s="6"/>
      <c r="M4138" s="5" t="str">
        <f aca="false">IF(AND(N(K4138)&gt;0,N(L4138)&gt;0),K4138/L4138,"")</f>
        <v/>
      </c>
      <c r="N4138" s="2" t="s">
        <v>1226</v>
      </c>
    </row>
    <row r="4139" customFormat="false" ht="15" hidden="false" customHeight="false" outlineLevel="0" collapsed="false">
      <c r="A4139" s="2" t="n">
        <v>4138</v>
      </c>
      <c r="B4139" s="2" t="s">
        <v>8485</v>
      </c>
      <c r="C4139" s="2" t="s">
        <v>8486</v>
      </c>
      <c r="D4139" s="2"/>
      <c r="E4139" s="2" t="s">
        <v>43</v>
      </c>
      <c r="F4139" s="3" t="n">
        <v>9E-006</v>
      </c>
      <c r="G4139" s="3" t="n">
        <f aca="false">SUM($F$2:F4139)</f>
        <v>0.99514</v>
      </c>
      <c r="H4139" s="4"/>
      <c r="I4139" s="5"/>
      <c r="J4139" s="4"/>
      <c r="K4139" s="5"/>
      <c r="L4139" s="6"/>
      <c r="M4139" s="5" t="str">
        <f aca="false">IF(AND(N(K4139)&gt;0,N(L4139)&gt;0),K4139/L4139,"")</f>
        <v/>
      </c>
      <c r="N4139" s="2" t="s">
        <v>1226</v>
      </c>
    </row>
    <row r="4140" customFormat="false" ht="15" hidden="false" customHeight="false" outlineLevel="0" collapsed="false">
      <c r="A4140" s="2" t="n">
        <v>4139</v>
      </c>
      <c r="B4140" s="2" t="s">
        <v>8487</v>
      </c>
      <c r="C4140" s="2" t="s">
        <v>8488</v>
      </c>
      <c r="D4140" s="2"/>
      <c r="E4140" s="2" t="s">
        <v>52</v>
      </c>
      <c r="F4140" s="3" t="n">
        <v>9E-006</v>
      </c>
      <c r="G4140" s="3" t="n">
        <f aca="false">SUM($F$2:F4140)</f>
        <v>0.995149</v>
      </c>
      <c r="H4140" s="4"/>
      <c r="I4140" s="5"/>
      <c r="J4140" s="4"/>
      <c r="K4140" s="5"/>
      <c r="L4140" s="6"/>
      <c r="M4140" s="5" t="str">
        <f aca="false">IF(AND(N(K4140)&gt;0,N(L4140)&gt;0),K4140/L4140,"")</f>
        <v/>
      </c>
      <c r="N4140" s="2" t="s">
        <v>1226</v>
      </c>
    </row>
    <row r="4141" customFormat="false" ht="15" hidden="false" customHeight="false" outlineLevel="0" collapsed="false">
      <c r="A4141" s="2" t="n">
        <v>4140</v>
      </c>
      <c r="B4141" s="2" t="s">
        <v>8489</v>
      </c>
      <c r="C4141" s="2" t="s">
        <v>8490</v>
      </c>
      <c r="D4141" s="2"/>
      <c r="E4141" s="2" t="s">
        <v>334</v>
      </c>
      <c r="F4141" s="3" t="n">
        <v>9E-006</v>
      </c>
      <c r="G4141" s="3" t="n">
        <f aca="false">SUM($F$2:F4141)</f>
        <v>0.995158</v>
      </c>
      <c r="H4141" s="4"/>
      <c r="I4141" s="5"/>
      <c r="J4141" s="4"/>
      <c r="K4141" s="5"/>
      <c r="L4141" s="6"/>
      <c r="M4141" s="5" t="str">
        <f aca="false">IF(AND(N(K4141)&gt;0,N(L4141)&gt;0),K4141/L4141,"")</f>
        <v/>
      </c>
      <c r="N4141" s="2" t="s">
        <v>1226</v>
      </c>
    </row>
    <row r="4142" customFormat="false" ht="15" hidden="false" customHeight="false" outlineLevel="0" collapsed="false">
      <c r="A4142" s="2" t="n">
        <v>4141</v>
      </c>
      <c r="B4142" s="2" t="s">
        <v>8491</v>
      </c>
      <c r="C4142" s="2" t="s">
        <v>8492</v>
      </c>
      <c r="D4142" s="2"/>
      <c r="E4142" s="2" t="s">
        <v>21</v>
      </c>
      <c r="F4142" s="3" t="n">
        <v>9E-006</v>
      </c>
      <c r="G4142" s="3" t="n">
        <f aca="false">SUM($F$2:F4142)</f>
        <v>0.995167</v>
      </c>
      <c r="H4142" s="4"/>
      <c r="I4142" s="5"/>
      <c r="J4142" s="4"/>
      <c r="K4142" s="5"/>
      <c r="L4142" s="6"/>
      <c r="M4142" s="5" t="str">
        <f aca="false">IF(AND(N(K4142)&gt;0,N(L4142)&gt;0),K4142/L4142,"")</f>
        <v/>
      </c>
      <c r="N4142" s="2" t="s">
        <v>1226</v>
      </c>
    </row>
    <row r="4143" customFormat="false" ht="15" hidden="false" customHeight="false" outlineLevel="0" collapsed="false">
      <c r="A4143" s="2" t="n">
        <v>4142</v>
      </c>
      <c r="B4143" s="2" t="s">
        <v>8493</v>
      </c>
      <c r="C4143" s="2" t="s">
        <v>8494</v>
      </c>
      <c r="D4143" s="2"/>
      <c r="E4143" s="2" t="s">
        <v>43</v>
      </c>
      <c r="F4143" s="3" t="n">
        <v>9E-006</v>
      </c>
      <c r="G4143" s="3" t="n">
        <f aca="false">SUM($F$2:F4143)</f>
        <v>0.995176</v>
      </c>
      <c r="H4143" s="4"/>
      <c r="I4143" s="5"/>
      <c r="J4143" s="4"/>
      <c r="K4143" s="5"/>
      <c r="L4143" s="6"/>
      <c r="M4143" s="5" t="str">
        <f aca="false">IF(AND(N(K4143)&gt;0,N(L4143)&gt;0),K4143/L4143,"")</f>
        <v/>
      </c>
      <c r="N4143" s="2" t="s">
        <v>1226</v>
      </c>
    </row>
    <row r="4144" customFormat="false" ht="15" hidden="false" customHeight="false" outlineLevel="0" collapsed="false">
      <c r="A4144" s="2" t="n">
        <v>4143</v>
      </c>
      <c r="B4144" s="2" t="s">
        <v>8495</v>
      </c>
      <c r="C4144" s="2" t="s">
        <v>8496</v>
      </c>
      <c r="D4144" s="2"/>
      <c r="E4144" s="2" t="s">
        <v>17</v>
      </c>
      <c r="F4144" s="3" t="n">
        <v>9E-006</v>
      </c>
      <c r="G4144" s="3" t="n">
        <f aca="false">SUM($F$2:F4144)</f>
        <v>0.995185</v>
      </c>
      <c r="H4144" s="4"/>
      <c r="I4144" s="5"/>
      <c r="J4144" s="4"/>
      <c r="K4144" s="5"/>
      <c r="L4144" s="6"/>
      <c r="M4144" s="5" t="str">
        <f aca="false">IF(AND(N(K4144)&gt;0,N(L4144)&gt;0),K4144/L4144,"")</f>
        <v/>
      </c>
      <c r="N4144" s="2" t="s">
        <v>1226</v>
      </c>
    </row>
    <row r="4145" customFormat="false" ht="15" hidden="false" customHeight="false" outlineLevel="0" collapsed="false">
      <c r="A4145" s="2" t="n">
        <v>4144</v>
      </c>
      <c r="B4145" s="2" t="s">
        <v>8497</v>
      </c>
      <c r="C4145" s="2" t="s">
        <v>8498</v>
      </c>
      <c r="D4145" s="2"/>
      <c r="E4145" s="2" t="s">
        <v>43</v>
      </c>
      <c r="F4145" s="3" t="n">
        <v>9E-006</v>
      </c>
      <c r="G4145" s="3" t="n">
        <f aca="false">SUM($F$2:F4145)</f>
        <v>0.995194</v>
      </c>
      <c r="H4145" s="4"/>
      <c r="I4145" s="5"/>
      <c r="J4145" s="4"/>
      <c r="K4145" s="5"/>
      <c r="L4145" s="6"/>
      <c r="M4145" s="5" t="str">
        <f aca="false">IF(AND(N(K4145)&gt;0,N(L4145)&gt;0),K4145/L4145,"")</f>
        <v/>
      </c>
      <c r="N4145" s="2" t="s">
        <v>1226</v>
      </c>
    </row>
    <row r="4146" customFormat="false" ht="15" hidden="false" customHeight="false" outlineLevel="0" collapsed="false">
      <c r="A4146" s="2" t="n">
        <v>4145</v>
      </c>
      <c r="B4146" s="2" t="s">
        <v>8499</v>
      </c>
      <c r="C4146" s="2" t="s">
        <v>8500</v>
      </c>
      <c r="D4146" s="2"/>
      <c r="E4146" s="2" t="s">
        <v>17</v>
      </c>
      <c r="F4146" s="3" t="n">
        <v>9E-006</v>
      </c>
      <c r="G4146" s="3" t="n">
        <f aca="false">SUM($F$2:F4146)</f>
        <v>0.995203</v>
      </c>
      <c r="H4146" s="4"/>
      <c r="I4146" s="5"/>
      <c r="J4146" s="4"/>
      <c r="K4146" s="5"/>
      <c r="L4146" s="6"/>
      <c r="M4146" s="5" t="str">
        <f aca="false">IF(AND(N(K4146)&gt;0,N(L4146)&gt;0),K4146/L4146,"")</f>
        <v/>
      </c>
      <c r="N4146" s="2" t="s">
        <v>1226</v>
      </c>
    </row>
    <row r="4147" customFormat="false" ht="15" hidden="false" customHeight="false" outlineLevel="0" collapsed="false">
      <c r="A4147" s="2" t="n">
        <v>4146</v>
      </c>
      <c r="B4147" s="2" t="s">
        <v>8501</v>
      </c>
      <c r="C4147" s="2" t="s">
        <v>8502</v>
      </c>
      <c r="D4147" s="2"/>
      <c r="E4147" s="2" t="s">
        <v>2055</v>
      </c>
      <c r="F4147" s="3" t="n">
        <v>9E-006</v>
      </c>
      <c r="G4147" s="3" t="n">
        <f aca="false">SUM($F$2:F4147)</f>
        <v>0.995212</v>
      </c>
      <c r="H4147" s="4"/>
      <c r="I4147" s="5"/>
      <c r="J4147" s="4"/>
      <c r="K4147" s="5"/>
      <c r="L4147" s="6"/>
      <c r="M4147" s="5" t="str">
        <f aca="false">IF(AND(N(K4147)&gt;0,N(L4147)&gt;0),K4147/L4147,"")</f>
        <v/>
      </c>
      <c r="N4147" s="2" t="s">
        <v>1226</v>
      </c>
    </row>
    <row r="4148" customFormat="false" ht="15" hidden="false" customHeight="false" outlineLevel="0" collapsed="false">
      <c r="A4148" s="2" t="n">
        <v>4147</v>
      </c>
      <c r="B4148" s="2" t="s">
        <v>8503</v>
      </c>
      <c r="C4148" s="2" t="s">
        <v>8504</v>
      </c>
      <c r="D4148" s="2"/>
      <c r="E4148" s="2" t="s">
        <v>826</v>
      </c>
      <c r="F4148" s="3" t="n">
        <v>9E-006</v>
      </c>
      <c r="G4148" s="3" t="n">
        <f aca="false">SUM($F$2:F4148)</f>
        <v>0.995221</v>
      </c>
      <c r="H4148" s="4"/>
      <c r="I4148" s="5"/>
      <c r="J4148" s="4"/>
      <c r="K4148" s="5"/>
      <c r="L4148" s="6"/>
      <c r="M4148" s="5" t="str">
        <f aca="false">IF(AND(N(K4148)&gt;0,N(L4148)&gt;0),K4148/L4148,"")</f>
        <v/>
      </c>
      <c r="N4148" s="2" t="s">
        <v>1226</v>
      </c>
    </row>
    <row r="4149" customFormat="false" ht="15" hidden="false" customHeight="false" outlineLevel="0" collapsed="false">
      <c r="A4149" s="2" t="n">
        <v>4148</v>
      </c>
      <c r="B4149" s="2" t="s">
        <v>8505</v>
      </c>
      <c r="C4149" s="2" t="s">
        <v>8506</v>
      </c>
      <c r="D4149" s="2"/>
      <c r="E4149" s="2" t="s">
        <v>1345</v>
      </c>
      <c r="F4149" s="3" t="n">
        <v>9E-006</v>
      </c>
      <c r="G4149" s="3" t="n">
        <f aca="false">SUM($F$2:F4149)</f>
        <v>0.99523</v>
      </c>
      <c r="H4149" s="4"/>
      <c r="I4149" s="5"/>
      <c r="J4149" s="4"/>
      <c r="K4149" s="5"/>
      <c r="L4149" s="6"/>
      <c r="M4149" s="5" t="str">
        <f aca="false">IF(AND(N(K4149)&gt;0,N(L4149)&gt;0),K4149/L4149,"")</f>
        <v/>
      </c>
      <c r="N4149" s="2" t="s">
        <v>1226</v>
      </c>
    </row>
    <row r="4150" customFormat="false" ht="15" hidden="false" customHeight="false" outlineLevel="0" collapsed="false">
      <c r="A4150" s="2" t="n">
        <v>4149</v>
      </c>
      <c r="B4150" s="2" t="s">
        <v>8507</v>
      </c>
      <c r="C4150" s="2" t="s">
        <v>8508</v>
      </c>
      <c r="D4150" s="2"/>
      <c r="E4150" s="2" t="s">
        <v>52</v>
      </c>
      <c r="F4150" s="3" t="n">
        <v>9E-006</v>
      </c>
      <c r="G4150" s="3" t="n">
        <f aca="false">SUM($F$2:F4150)</f>
        <v>0.995239</v>
      </c>
      <c r="H4150" s="4"/>
      <c r="I4150" s="5"/>
      <c r="J4150" s="4"/>
      <c r="K4150" s="5"/>
      <c r="L4150" s="6"/>
      <c r="M4150" s="5" t="str">
        <f aca="false">IF(AND(N(K4150)&gt;0,N(L4150)&gt;0),K4150/L4150,"")</f>
        <v/>
      </c>
      <c r="N4150" s="2" t="s">
        <v>1226</v>
      </c>
    </row>
    <row r="4151" customFormat="false" ht="15" hidden="false" customHeight="false" outlineLevel="0" collapsed="false">
      <c r="A4151" s="2" t="n">
        <v>4150</v>
      </c>
      <c r="B4151" s="2" t="s">
        <v>8509</v>
      </c>
      <c r="C4151" s="2" t="s">
        <v>8510</v>
      </c>
      <c r="D4151" s="2"/>
      <c r="E4151" s="2" t="s">
        <v>826</v>
      </c>
      <c r="F4151" s="3" t="n">
        <v>9E-006</v>
      </c>
      <c r="G4151" s="3" t="n">
        <f aca="false">SUM($F$2:F4151)</f>
        <v>0.995248</v>
      </c>
      <c r="H4151" s="4"/>
      <c r="I4151" s="5"/>
      <c r="J4151" s="4"/>
      <c r="K4151" s="5"/>
      <c r="L4151" s="6"/>
      <c r="M4151" s="5" t="str">
        <f aca="false">IF(AND(N(K4151)&gt;0,N(L4151)&gt;0),K4151/L4151,"")</f>
        <v/>
      </c>
      <c r="N4151" s="2" t="s">
        <v>1226</v>
      </c>
    </row>
    <row r="4152" customFormat="false" ht="15" hidden="false" customHeight="false" outlineLevel="0" collapsed="false">
      <c r="A4152" s="2" t="n">
        <v>4151</v>
      </c>
      <c r="B4152" s="2" t="s">
        <v>8511</v>
      </c>
      <c r="C4152" s="2" t="s">
        <v>8512</v>
      </c>
      <c r="D4152" s="2"/>
      <c r="E4152" s="2" t="s">
        <v>43</v>
      </c>
      <c r="F4152" s="3" t="n">
        <v>9E-006</v>
      </c>
      <c r="G4152" s="3" t="n">
        <f aca="false">SUM($F$2:F4152)</f>
        <v>0.995257</v>
      </c>
      <c r="H4152" s="4"/>
      <c r="I4152" s="5"/>
      <c r="J4152" s="4"/>
      <c r="K4152" s="5"/>
      <c r="L4152" s="6"/>
      <c r="M4152" s="5" t="str">
        <f aca="false">IF(AND(N(K4152)&gt;0,N(L4152)&gt;0),K4152/L4152,"")</f>
        <v/>
      </c>
      <c r="N4152" s="2" t="s">
        <v>1226</v>
      </c>
    </row>
    <row r="4153" customFormat="false" ht="15" hidden="false" customHeight="false" outlineLevel="0" collapsed="false">
      <c r="A4153" s="2" t="n">
        <v>4152</v>
      </c>
      <c r="B4153" s="2" t="s">
        <v>301</v>
      </c>
      <c r="C4153" s="2" t="s">
        <v>8513</v>
      </c>
      <c r="D4153" s="2"/>
      <c r="E4153" s="2" t="s">
        <v>1295</v>
      </c>
      <c r="F4153" s="3" t="n">
        <v>9E-006</v>
      </c>
      <c r="G4153" s="3" t="n">
        <f aca="false">SUM($F$2:F4153)</f>
        <v>0.995266</v>
      </c>
      <c r="H4153" s="4"/>
      <c r="I4153" s="5"/>
      <c r="J4153" s="4"/>
      <c r="K4153" s="5"/>
      <c r="L4153" s="6"/>
      <c r="M4153" s="5" t="str">
        <f aca="false">IF(AND(N(K4153)&gt;0,N(L4153)&gt;0),K4153/L4153,"")</f>
        <v/>
      </c>
      <c r="N4153" s="2" t="s">
        <v>34</v>
      </c>
    </row>
    <row r="4154" customFormat="false" ht="15" hidden="false" customHeight="false" outlineLevel="0" collapsed="false">
      <c r="A4154" s="2" t="n">
        <v>4153</v>
      </c>
      <c r="B4154" s="2" t="s">
        <v>8514</v>
      </c>
      <c r="C4154" s="2" t="s">
        <v>8515</v>
      </c>
      <c r="D4154" s="2"/>
      <c r="E4154" s="2" t="s">
        <v>17</v>
      </c>
      <c r="F4154" s="3" t="n">
        <v>9E-006</v>
      </c>
      <c r="G4154" s="3" t="n">
        <f aca="false">SUM($F$2:F4154)</f>
        <v>0.995275</v>
      </c>
      <c r="H4154" s="4"/>
      <c r="I4154" s="5"/>
      <c r="J4154" s="4"/>
      <c r="K4154" s="5"/>
      <c r="L4154" s="6"/>
      <c r="M4154" s="5" t="str">
        <f aca="false">IF(AND(N(K4154)&gt;0,N(L4154)&gt;0),K4154/L4154,"")</f>
        <v/>
      </c>
      <c r="N4154" s="2" t="s">
        <v>1226</v>
      </c>
    </row>
    <row r="4155" customFormat="false" ht="15" hidden="false" customHeight="false" outlineLevel="0" collapsed="false">
      <c r="A4155" s="2" t="n">
        <v>4154</v>
      </c>
      <c r="B4155" s="2" t="s">
        <v>8516</v>
      </c>
      <c r="C4155" s="2" t="s">
        <v>8517</v>
      </c>
      <c r="D4155" s="2"/>
      <c r="E4155" s="2" t="s">
        <v>52</v>
      </c>
      <c r="F4155" s="3" t="n">
        <v>9E-006</v>
      </c>
      <c r="G4155" s="3" t="n">
        <f aca="false">SUM($F$2:F4155)</f>
        <v>0.995284</v>
      </c>
      <c r="H4155" s="4"/>
      <c r="I4155" s="5"/>
      <c r="J4155" s="4"/>
      <c r="K4155" s="5"/>
      <c r="L4155" s="6"/>
      <c r="M4155" s="5" t="str">
        <f aca="false">IF(AND(N(K4155)&gt;0,N(L4155)&gt;0),K4155/L4155,"")</f>
        <v/>
      </c>
      <c r="N4155" s="2" t="s">
        <v>1226</v>
      </c>
    </row>
    <row r="4156" customFormat="false" ht="15" hidden="false" customHeight="false" outlineLevel="0" collapsed="false">
      <c r="A4156" s="2" t="n">
        <v>4155</v>
      </c>
      <c r="B4156" s="2" t="s">
        <v>8518</v>
      </c>
      <c r="C4156" s="2" t="s">
        <v>8519</v>
      </c>
      <c r="D4156" s="2"/>
      <c r="E4156" s="2" t="s">
        <v>289</v>
      </c>
      <c r="F4156" s="3" t="n">
        <v>9E-006</v>
      </c>
      <c r="G4156" s="3" t="n">
        <f aca="false">SUM($F$2:F4156)</f>
        <v>0.995293</v>
      </c>
      <c r="H4156" s="4"/>
      <c r="I4156" s="5"/>
      <c r="J4156" s="4"/>
      <c r="K4156" s="5"/>
      <c r="L4156" s="6"/>
      <c r="M4156" s="5" t="str">
        <f aca="false">IF(AND(N(K4156)&gt;0,N(L4156)&gt;0),K4156/L4156,"")</f>
        <v/>
      </c>
      <c r="N4156" s="2" t="s">
        <v>1226</v>
      </c>
    </row>
    <row r="4157" customFormat="false" ht="15" hidden="false" customHeight="false" outlineLevel="0" collapsed="false">
      <c r="A4157" s="2" t="n">
        <v>4156</v>
      </c>
      <c r="B4157" s="2" t="s">
        <v>8520</v>
      </c>
      <c r="C4157" s="2" t="s">
        <v>8521</v>
      </c>
      <c r="D4157" s="2"/>
      <c r="E4157" s="2" t="s">
        <v>17</v>
      </c>
      <c r="F4157" s="3" t="n">
        <v>9E-006</v>
      </c>
      <c r="G4157" s="3" t="n">
        <f aca="false">SUM($F$2:F4157)</f>
        <v>0.995302</v>
      </c>
      <c r="H4157" s="4"/>
      <c r="I4157" s="5"/>
      <c r="J4157" s="4"/>
      <c r="K4157" s="5"/>
      <c r="L4157" s="6"/>
      <c r="M4157" s="5" t="str">
        <f aca="false">IF(AND(N(K4157)&gt;0,N(L4157)&gt;0),K4157/L4157,"")</f>
        <v/>
      </c>
      <c r="N4157" s="2" t="s">
        <v>1226</v>
      </c>
    </row>
    <row r="4158" customFormat="false" ht="15" hidden="false" customHeight="false" outlineLevel="0" collapsed="false">
      <c r="A4158" s="2" t="n">
        <v>4157</v>
      </c>
      <c r="B4158" s="2" t="s">
        <v>8522</v>
      </c>
      <c r="C4158" s="2" t="s">
        <v>8523</v>
      </c>
      <c r="D4158" s="2"/>
      <c r="E4158" s="2" t="s">
        <v>1345</v>
      </c>
      <c r="F4158" s="3" t="n">
        <v>9E-006</v>
      </c>
      <c r="G4158" s="3" t="n">
        <f aca="false">SUM($F$2:F4158)</f>
        <v>0.995311</v>
      </c>
      <c r="H4158" s="4"/>
      <c r="I4158" s="5"/>
      <c r="J4158" s="4"/>
      <c r="K4158" s="5"/>
      <c r="L4158" s="6"/>
      <c r="M4158" s="5" t="str">
        <f aca="false">IF(AND(N(K4158)&gt;0,N(L4158)&gt;0),K4158/L4158,"")</f>
        <v/>
      </c>
      <c r="N4158" s="2" t="s">
        <v>1226</v>
      </c>
    </row>
    <row r="4159" customFormat="false" ht="15" hidden="false" customHeight="false" outlineLevel="0" collapsed="false">
      <c r="A4159" s="2" t="n">
        <v>4158</v>
      </c>
      <c r="B4159" s="2" t="s">
        <v>8524</v>
      </c>
      <c r="C4159" s="2" t="s">
        <v>8525</v>
      </c>
      <c r="D4159" s="2"/>
      <c r="E4159" s="2" t="s">
        <v>289</v>
      </c>
      <c r="F4159" s="3" t="n">
        <v>9E-006</v>
      </c>
      <c r="G4159" s="3" t="n">
        <f aca="false">SUM($F$2:F4159)</f>
        <v>0.99532</v>
      </c>
      <c r="H4159" s="4"/>
      <c r="I4159" s="5"/>
      <c r="J4159" s="4"/>
      <c r="K4159" s="5"/>
      <c r="L4159" s="6"/>
      <c r="M4159" s="5" t="str">
        <f aca="false">IF(AND(N(K4159)&gt;0,N(L4159)&gt;0),K4159/L4159,"")</f>
        <v/>
      </c>
      <c r="N4159" s="2" t="s">
        <v>1226</v>
      </c>
    </row>
    <row r="4160" customFormat="false" ht="15" hidden="false" customHeight="false" outlineLevel="0" collapsed="false">
      <c r="A4160" s="2" t="n">
        <v>4159</v>
      </c>
      <c r="B4160" s="2" t="s">
        <v>8526</v>
      </c>
      <c r="C4160" s="2" t="s">
        <v>8527</v>
      </c>
      <c r="D4160" s="2"/>
      <c r="E4160" s="2" t="s">
        <v>1345</v>
      </c>
      <c r="F4160" s="3" t="n">
        <v>9E-006</v>
      </c>
      <c r="G4160" s="3" t="n">
        <f aca="false">SUM($F$2:F4160)</f>
        <v>0.995329</v>
      </c>
      <c r="H4160" s="4"/>
      <c r="I4160" s="5"/>
      <c r="J4160" s="4"/>
      <c r="K4160" s="5"/>
      <c r="L4160" s="6"/>
      <c r="M4160" s="5" t="str">
        <f aca="false">IF(AND(N(K4160)&gt;0,N(L4160)&gt;0),K4160/L4160,"")</f>
        <v/>
      </c>
      <c r="N4160" s="2" t="s">
        <v>1226</v>
      </c>
    </row>
    <row r="4161" customFormat="false" ht="15" hidden="false" customHeight="false" outlineLevel="0" collapsed="false">
      <c r="A4161" s="2" t="n">
        <v>4160</v>
      </c>
      <c r="B4161" s="2" t="s">
        <v>8528</v>
      </c>
      <c r="C4161" s="2" t="s">
        <v>8529</v>
      </c>
      <c r="D4161" s="2"/>
      <c r="E4161" s="2" t="s">
        <v>1345</v>
      </c>
      <c r="F4161" s="3" t="n">
        <v>9E-006</v>
      </c>
      <c r="G4161" s="3" t="n">
        <f aca="false">SUM($F$2:F4161)</f>
        <v>0.995338</v>
      </c>
      <c r="H4161" s="4"/>
      <c r="I4161" s="5"/>
      <c r="J4161" s="4"/>
      <c r="K4161" s="5"/>
      <c r="L4161" s="6"/>
      <c r="M4161" s="5" t="str">
        <f aca="false">IF(AND(N(K4161)&gt;0,N(L4161)&gt;0),K4161/L4161,"")</f>
        <v/>
      </c>
      <c r="N4161" s="2" t="s">
        <v>1226</v>
      </c>
    </row>
    <row r="4162" customFormat="false" ht="15" hidden="false" customHeight="false" outlineLevel="0" collapsed="false">
      <c r="A4162" s="2" t="n">
        <v>4161</v>
      </c>
      <c r="B4162" s="2" t="s">
        <v>8530</v>
      </c>
      <c r="C4162" s="2" t="s">
        <v>8531</v>
      </c>
      <c r="D4162" s="2"/>
      <c r="E4162" s="2" t="s">
        <v>1295</v>
      </c>
      <c r="F4162" s="3" t="n">
        <v>9E-006</v>
      </c>
      <c r="G4162" s="3" t="n">
        <f aca="false">SUM($F$2:F4162)</f>
        <v>0.995347</v>
      </c>
      <c r="H4162" s="4"/>
      <c r="I4162" s="5"/>
      <c r="J4162" s="4"/>
      <c r="K4162" s="5"/>
      <c r="L4162" s="6"/>
      <c r="M4162" s="5" t="str">
        <f aca="false">IF(AND(N(K4162)&gt;0,N(L4162)&gt;0),K4162/L4162,"")</f>
        <v/>
      </c>
      <c r="N4162" s="2" t="s">
        <v>1226</v>
      </c>
    </row>
    <row r="4163" customFormat="false" ht="15" hidden="false" customHeight="false" outlineLevel="0" collapsed="false">
      <c r="A4163" s="2" t="n">
        <v>4162</v>
      </c>
      <c r="B4163" s="2" t="s">
        <v>8532</v>
      </c>
      <c r="C4163" s="2" t="s">
        <v>8533</v>
      </c>
      <c r="D4163" s="2"/>
      <c r="E4163" s="2" t="s">
        <v>48</v>
      </c>
      <c r="F4163" s="3" t="n">
        <v>9E-006</v>
      </c>
      <c r="G4163" s="3" t="n">
        <f aca="false">SUM($F$2:F4163)</f>
        <v>0.995356</v>
      </c>
      <c r="H4163" s="4"/>
      <c r="I4163" s="5"/>
      <c r="J4163" s="4"/>
      <c r="K4163" s="5"/>
      <c r="L4163" s="6"/>
      <c r="M4163" s="5" t="str">
        <f aca="false">IF(AND(N(K4163)&gt;0,N(L4163)&gt;0),K4163/L4163,"")</f>
        <v/>
      </c>
      <c r="N4163" s="2" t="s">
        <v>1226</v>
      </c>
    </row>
    <row r="4164" customFormat="false" ht="15" hidden="false" customHeight="false" outlineLevel="0" collapsed="false">
      <c r="A4164" s="2" t="n">
        <v>4163</v>
      </c>
      <c r="B4164" s="2" t="s">
        <v>8534</v>
      </c>
      <c r="C4164" s="2" t="s">
        <v>8535</v>
      </c>
      <c r="D4164" s="2"/>
      <c r="E4164" s="2" t="s">
        <v>1345</v>
      </c>
      <c r="F4164" s="3" t="n">
        <v>9E-006</v>
      </c>
      <c r="G4164" s="3" t="n">
        <f aca="false">SUM($F$2:F4164)</f>
        <v>0.995365</v>
      </c>
      <c r="H4164" s="4"/>
      <c r="I4164" s="5"/>
      <c r="J4164" s="4"/>
      <c r="K4164" s="5"/>
      <c r="L4164" s="6"/>
      <c r="M4164" s="5" t="str">
        <f aca="false">IF(AND(N(K4164)&gt;0,N(L4164)&gt;0),K4164/L4164,"")</f>
        <v/>
      </c>
      <c r="N4164" s="2" t="s">
        <v>1226</v>
      </c>
    </row>
    <row r="4165" customFormat="false" ht="15" hidden="false" customHeight="false" outlineLevel="0" collapsed="false">
      <c r="A4165" s="2" t="n">
        <v>4164</v>
      </c>
      <c r="B4165" s="2" t="s">
        <v>8536</v>
      </c>
      <c r="C4165" s="2" t="s">
        <v>8537</v>
      </c>
      <c r="D4165" s="2"/>
      <c r="E4165" s="2" t="s">
        <v>29</v>
      </c>
      <c r="F4165" s="3" t="n">
        <v>9E-006</v>
      </c>
      <c r="G4165" s="3" t="n">
        <f aca="false">SUM($F$2:F4165)</f>
        <v>0.995374</v>
      </c>
      <c r="H4165" s="4"/>
      <c r="I4165" s="5"/>
      <c r="J4165" s="4"/>
      <c r="K4165" s="5"/>
      <c r="L4165" s="6"/>
      <c r="M4165" s="5" t="str">
        <f aca="false">IF(AND(N(K4165)&gt;0,N(L4165)&gt;0),K4165/L4165,"")</f>
        <v/>
      </c>
      <c r="N4165" s="2" t="s">
        <v>1226</v>
      </c>
    </row>
    <row r="4166" customFormat="false" ht="15" hidden="false" customHeight="false" outlineLevel="0" collapsed="false">
      <c r="A4166" s="2" t="n">
        <v>4165</v>
      </c>
      <c r="B4166" s="2" t="s">
        <v>8538</v>
      </c>
      <c r="C4166" s="2" t="s">
        <v>8539</v>
      </c>
      <c r="D4166" s="2"/>
      <c r="E4166" s="2" t="s">
        <v>52</v>
      </c>
      <c r="F4166" s="3" t="n">
        <v>9E-006</v>
      </c>
      <c r="G4166" s="3" t="n">
        <f aca="false">SUM($F$2:F4166)</f>
        <v>0.995383</v>
      </c>
      <c r="H4166" s="4"/>
      <c r="I4166" s="5"/>
      <c r="J4166" s="4"/>
      <c r="K4166" s="5"/>
      <c r="L4166" s="6"/>
      <c r="M4166" s="5" t="str">
        <f aca="false">IF(AND(N(K4166)&gt;0,N(L4166)&gt;0),K4166/L4166,"")</f>
        <v/>
      </c>
      <c r="N4166" s="2" t="s">
        <v>1226</v>
      </c>
    </row>
    <row r="4167" customFormat="false" ht="15" hidden="false" customHeight="false" outlineLevel="0" collapsed="false">
      <c r="A4167" s="2" t="n">
        <v>4166</v>
      </c>
      <c r="B4167" s="2" t="s">
        <v>8540</v>
      </c>
      <c r="C4167" s="2" t="s">
        <v>8541</v>
      </c>
      <c r="D4167" s="2"/>
      <c r="E4167" s="2" t="s">
        <v>1345</v>
      </c>
      <c r="F4167" s="3" t="n">
        <v>9E-006</v>
      </c>
      <c r="G4167" s="3" t="n">
        <f aca="false">SUM($F$2:F4167)</f>
        <v>0.995392</v>
      </c>
      <c r="H4167" s="4"/>
      <c r="I4167" s="5"/>
      <c r="J4167" s="4"/>
      <c r="K4167" s="5"/>
      <c r="L4167" s="6"/>
      <c r="M4167" s="5" t="str">
        <f aca="false">IF(AND(N(K4167)&gt;0,N(L4167)&gt;0),K4167/L4167,"")</f>
        <v/>
      </c>
      <c r="N4167" s="2" t="s">
        <v>1226</v>
      </c>
    </row>
    <row r="4168" customFormat="false" ht="15" hidden="false" customHeight="false" outlineLevel="0" collapsed="false">
      <c r="A4168" s="2" t="n">
        <v>4167</v>
      </c>
      <c r="B4168" s="2" t="s">
        <v>8542</v>
      </c>
      <c r="C4168" s="2" t="s">
        <v>8543</v>
      </c>
      <c r="D4168" s="2"/>
      <c r="E4168" s="2" t="s">
        <v>1019</v>
      </c>
      <c r="F4168" s="3" t="n">
        <v>9E-006</v>
      </c>
      <c r="G4168" s="3" t="n">
        <f aca="false">SUM($F$2:F4168)</f>
        <v>0.995401</v>
      </c>
      <c r="H4168" s="4"/>
      <c r="I4168" s="5"/>
      <c r="J4168" s="4"/>
      <c r="K4168" s="5"/>
      <c r="L4168" s="6"/>
      <c r="M4168" s="5" t="str">
        <f aca="false">IF(AND(N(K4168)&gt;0,N(L4168)&gt;0),K4168/L4168,"")</f>
        <v/>
      </c>
      <c r="N4168" s="2" t="s">
        <v>1226</v>
      </c>
    </row>
    <row r="4169" customFormat="false" ht="15" hidden="false" customHeight="false" outlineLevel="0" collapsed="false">
      <c r="A4169" s="2" t="n">
        <v>4168</v>
      </c>
      <c r="B4169" s="2" t="s">
        <v>8544</v>
      </c>
      <c r="C4169" s="2" t="s">
        <v>8545</v>
      </c>
      <c r="D4169" s="2"/>
      <c r="E4169" s="2" t="s">
        <v>1345</v>
      </c>
      <c r="F4169" s="3" t="n">
        <v>9E-006</v>
      </c>
      <c r="G4169" s="3" t="n">
        <f aca="false">SUM($F$2:F4169)</f>
        <v>0.99541</v>
      </c>
      <c r="H4169" s="4"/>
      <c r="I4169" s="5"/>
      <c r="J4169" s="4"/>
      <c r="K4169" s="5"/>
      <c r="L4169" s="6"/>
      <c r="M4169" s="5" t="str">
        <f aca="false">IF(AND(N(K4169)&gt;0,N(L4169)&gt;0),K4169/L4169,"")</f>
        <v/>
      </c>
      <c r="N4169" s="2" t="s">
        <v>1226</v>
      </c>
    </row>
    <row r="4170" customFormat="false" ht="15" hidden="false" customHeight="false" outlineLevel="0" collapsed="false">
      <c r="A4170" s="2" t="n">
        <v>4169</v>
      </c>
      <c r="B4170" s="2" t="s">
        <v>8546</v>
      </c>
      <c r="C4170" s="2" t="s">
        <v>8547</v>
      </c>
      <c r="D4170" s="2"/>
      <c r="E4170" s="2" t="s">
        <v>25</v>
      </c>
      <c r="F4170" s="3" t="n">
        <v>9E-006</v>
      </c>
      <c r="G4170" s="3" t="n">
        <f aca="false">SUM($F$2:F4170)</f>
        <v>0.995419</v>
      </c>
      <c r="H4170" s="4"/>
      <c r="I4170" s="5"/>
      <c r="J4170" s="4"/>
      <c r="K4170" s="5"/>
      <c r="L4170" s="6"/>
      <c r="M4170" s="5" t="str">
        <f aca="false">IF(AND(N(K4170)&gt;0,N(L4170)&gt;0),K4170/L4170,"")</f>
        <v/>
      </c>
      <c r="N4170" s="2" t="s">
        <v>1226</v>
      </c>
    </row>
    <row r="4171" customFormat="false" ht="15" hidden="false" customHeight="false" outlineLevel="0" collapsed="false">
      <c r="A4171" s="2" t="n">
        <v>4170</v>
      </c>
      <c r="B4171" s="2" t="s">
        <v>8548</v>
      </c>
      <c r="C4171" s="2" t="s">
        <v>8549</v>
      </c>
      <c r="D4171" s="2"/>
      <c r="E4171" s="2" t="s">
        <v>17</v>
      </c>
      <c r="F4171" s="3" t="n">
        <v>9E-006</v>
      </c>
      <c r="G4171" s="3" t="n">
        <f aca="false">SUM($F$2:F4171)</f>
        <v>0.995428</v>
      </c>
      <c r="H4171" s="4"/>
      <c r="I4171" s="5"/>
      <c r="J4171" s="4"/>
      <c r="K4171" s="5"/>
      <c r="L4171" s="6"/>
      <c r="M4171" s="5" t="str">
        <f aca="false">IF(AND(N(K4171)&gt;0,N(L4171)&gt;0),K4171/L4171,"")</f>
        <v/>
      </c>
      <c r="N4171" s="2" t="s">
        <v>1226</v>
      </c>
    </row>
    <row r="4172" customFormat="false" ht="15" hidden="false" customHeight="false" outlineLevel="0" collapsed="false">
      <c r="A4172" s="2" t="n">
        <v>4171</v>
      </c>
      <c r="B4172" s="2" t="s">
        <v>8550</v>
      </c>
      <c r="C4172" s="2" t="s">
        <v>8551</v>
      </c>
      <c r="D4172" s="2"/>
      <c r="E4172" s="2" t="s">
        <v>2055</v>
      </c>
      <c r="F4172" s="3" t="n">
        <v>9E-006</v>
      </c>
      <c r="G4172" s="3" t="n">
        <f aca="false">SUM($F$2:F4172)</f>
        <v>0.995437</v>
      </c>
      <c r="H4172" s="4"/>
      <c r="I4172" s="5"/>
      <c r="J4172" s="4"/>
      <c r="K4172" s="5"/>
      <c r="L4172" s="6"/>
      <c r="M4172" s="5" t="str">
        <f aca="false">IF(AND(N(K4172)&gt;0,N(L4172)&gt;0),K4172/L4172,"")</f>
        <v/>
      </c>
      <c r="N4172" s="2" t="s">
        <v>1226</v>
      </c>
    </row>
    <row r="4173" customFormat="false" ht="15" hidden="false" customHeight="false" outlineLevel="0" collapsed="false">
      <c r="A4173" s="2" t="n">
        <v>4172</v>
      </c>
      <c r="B4173" s="2" t="s">
        <v>7922</v>
      </c>
      <c r="C4173" s="2" t="s">
        <v>8552</v>
      </c>
      <c r="D4173" s="2"/>
      <c r="E4173" s="2" t="s">
        <v>1050</v>
      </c>
      <c r="F4173" s="3" t="n">
        <v>9E-006</v>
      </c>
      <c r="G4173" s="3" t="n">
        <f aca="false">SUM($F$2:F4173)</f>
        <v>0.995446</v>
      </c>
      <c r="H4173" s="4"/>
      <c r="I4173" s="5"/>
      <c r="J4173" s="4"/>
      <c r="K4173" s="5"/>
      <c r="L4173" s="6"/>
      <c r="M4173" s="5" t="str">
        <f aca="false">IF(AND(N(K4173)&gt;0,N(L4173)&gt;0),K4173/L4173,"")</f>
        <v/>
      </c>
      <c r="N4173" s="2" t="s">
        <v>1226</v>
      </c>
    </row>
    <row r="4174" customFormat="false" ht="15" hidden="false" customHeight="false" outlineLevel="0" collapsed="false">
      <c r="A4174" s="2" t="n">
        <v>4173</v>
      </c>
      <c r="B4174" s="2" t="s">
        <v>8553</v>
      </c>
      <c r="C4174" s="2" t="s">
        <v>8554</v>
      </c>
      <c r="D4174" s="2"/>
      <c r="E4174" s="2" t="s">
        <v>1345</v>
      </c>
      <c r="F4174" s="3" t="n">
        <v>9E-006</v>
      </c>
      <c r="G4174" s="3" t="n">
        <f aca="false">SUM($F$2:F4174)</f>
        <v>0.995455</v>
      </c>
      <c r="H4174" s="4"/>
      <c r="I4174" s="5"/>
      <c r="J4174" s="4"/>
      <c r="K4174" s="5"/>
      <c r="L4174" s="6"/>
      <c r="M4174" s="5" t="str">
        <f aca="false">IF(AND(N(K4174)&gt;0,N(L4174)&gt;0),K4174/L4174,"")</f>
        <v/>
      </c>
      <c r="N4174" s="2" t="s">
        <v>1226</v>
      </c>
    </row>
    <row r="4175" customFormat="false" ht="15" hidden="false" customHeight="false" outlineLevel="0" collapsed="false">
      <c r="A4175" s="2" t="n">
        <v>4174</v>
      </c>
      <c r="B4175" s="2" t="s">
        <v>8555</v>
      </c>
      <c r="C4175" s="2" t="s">
        <v>8556</v>
      </c>
      <c r="D4175" s="2"/>
      <c r="E4175" s="2" t="s">
        <v>334</v>
      </c>
      <c r="F4175" s="3" t="n">
        <v>9E-006</v>
      </c>
      <c r="G4175" s="3" t="n">
        <f aca="false">SUM($F$2:F4175)</f>
        <v>0.995464</v>
      </c>
      <c r="H4175" s="4"/>
      <c r="I4175" s="5"/>
      <c r="J4175" s="4"/>
      <c r="K4175" s="5"/>
      <c r="L4175" s="6"/>
      <c r="M4175" s="5" t="str">
        <f aca="false">IF(AND(N(K4175)&gt;0,N(L4175)&gt;0),K4175/L4175,"")</f>
        <v/>
      </c>
      <c r="N4175" s="2" t="s">
        <v>1226</v>
      </c>
    </row>
    <row r="4176" customFormat="false" ht="15" hidden="false" customHeight="false" outlineLevel="0" collapsed="false">
      <c r="A4176" s="2" t="n">
        <v>4175</v>
      </c>
      <c r="B4176" s="2" t="s">
        <v>8557</v>
      </c>
      <c r="C4176" s="2" t="s">
        <v>8558</v>
      </c>
      <c r="D4176" s="2"/>
      <c r="E4176" s="2" t="s">
        <v>17</v>
      </c>
      <c r="F4176" s="3" t="n">
        <v>9E-006</v>
      </c>
      <c r="G4176" s="3" t="n">
        <f aca="false">SUM($F$2:F4176)</f>
        <v>0.995473</v>
      </c>
      <c r="H4176" s="4"/>
      <c r="I4176" s="5"/>
      <c r="J4176" s="4"/>
      <c r="K4176" s="5"/>
      <c r="L4176" s="6"/>
      <c r="M4176" s="5" t="str">
        <f aca="false">IF(AND(N(K4176)&gt;0,N(L4176)&gt;0),K4176/L4176,"")</f>
        <v/>
      </c>
      <c r="N4176" s="2" t="s">
        <v>1226</v>
      </c>
    </row>
    <row r="4177" customFormat="false" ht="15" hidden="false" customHeight="false" outlineLevel="0" collapsed="false">
      <c r="A4177" s="2" t="n">
        <v>4176</v>
      </c>
      <c r="B4177" s="2" t="s">
        <v>8559</v>
      </c>
      <c r="C4177" s="2" t="s">
        <v>8560</v>
      </c>
      <c r="D4177" s="2"/>
      <c r="E4177" s="2" t="s">
        <v>199</v>
      </c>
      <c r="F4177" s="3" t="n">
        <v>9E-006</v>
      </c>
      <c r="G4177" s="3" t="n">
        <f aca="false">SUM($F$2:F4177)</f>
        <v>0.995482</v>
      </c>
      <c r="H4177" s="4"/>
      <c r="I4177" s="5"/>
      <c r="J4177" s="4"/>
      <c r="K4177" s="5"/>
      <c r="L4177" s="6"/>
      <c r="M4177" s="5" t="str">
        <f aca="false">IF(AND(N(K4177)&gt;0,N(L4177)&gt;0),K4177/L4177,"")</f>
        <v/>
      </c>
      <c r="N4177" s="2" t="s">
        <v>1226</v>
      </c>
    </row>
    <row r="4178" customFormat="false" ht="15" hidden="false" customHeight="false" outlineLevel="0" collapsed="false">
      <c r="A4178" s="2" t="n">
        <v>4177</v>
      </c>
      <c r="B4178" s="2" t="s">
        <v>8561</v>
      </c>
      <c r="C4178" s="2" t="s">
        <v>8562</v>
      </c>
      <c r="D4178" s="2"/>
      <c r="E4178" s="2" t="s">
        <v>52</v>
      </c>
      <c r="F4178" s="3" t="n">
        <v>8E-006</v>
      </c>
      <c r="G4178" s="3" t="n">
        <f aca="false">SUM($F$2:F4178)</f>
        <v>0.99549</v>
      </c>
      <c r="H4178" s="4"/>
      <c r="I4178" s="5"/>
      <c r="J4178" s="4"/>
      <c r="K4178" s="5"/>
      <c r="L4178" s="6"/>
      <c r="M4178" s="5" t="str">
        <f aca="false">IF(AND(N(K4178)&gt;0,N(L4178)&gt;0),K4178/L4178,"")</f>
        <v/>
      </c>
      <c r="N4178" s="2" t="s">
        <v>1226</v>
      </c>
    </row>
    <row r="4179" customFormat="false" ht="15" hidden="false" customHeight="false" outlineLevel="0" collapsed="false">
      <c r="A4179" s="2" t="n">
        <v>4178</v>
      </c>
      <c r="B4179" s="2" t="s">
        <v>8563</v>
      </c>
      <c r="C4179" s="2" t="s">
        <v>8564</v>
      </c>
      <c r="D4179" s="2"/>
      <c r="E4179" s="2" t="s">
        <v>1345</v>
      </c>
      <c r="F4179" s="3" t="n">
        <v>8E-006</v>
      </c>
      <c r="G4179" s="3" t="n">
        <f aca="false">SUM($F$2:F4179)</f>
        <v>0.995498</v>
      </c>
      <c r="H4179" s="4"/>
      <c r="I4179" s="5"/>
      <c r="J4179" s="4"/>
      <c r="K4179" s="5"/>
      <c r="L4179" s="6"/>
      <c r="M4179" s="5" t="str">
        <f aca="false">IF(AND(N(K4179)&gt;0,N(L4179)&gt;0),K4179/L4179,"")</f>
        <v/>
      </c>
      <c r="N4179" s="2" t="s">
        <v>1226</v>
      </c>
    </row>
    <row r="4180" customFormat="false" ht="15" hidden="false" customHeight="false" outlineLevel="0" collapsed="false">
      <c r="A4180" s="2" t="n">
        <v>4179</v>
      </c>
      <c r="B4180" s="2" t="s">
        <v>8565</v>
      </c>
      <c r="C4180" s="2" t="s">
        <v>8566</v>
      </c>
      <c r="D4180" s="2"/>
      <c r="E4180" s="2" t="s">
        <v>289</v>
      </c>
      <c r="F4180" s="3" t="n">
        <v>8E-006</v>
      </c>
      <c r="G4180" s="3" t="n">
        <f aca="false">SUM($F$2:F4180)</f>
        <v>0.995506</v>
      </c>
      <c r="H4180" s="4"/>
      <c r="I4180" s="5"/>
      <c r="J4180" s="4"/>
      <c r="K4180" s="5"/>
      <c r="L4180" s="6"/>
      <c r="M4180" s="5" t="str">
        <f aca="false">IF(AND(N(K4180)&gt;0,N(L4180)&gt;0),K4180/L4180,"")</f>
        <v/>
      </c>
      <c r="N4180" s="2" t="s">
        <v>1226</v>
      </c>
    </row>
    <row r="4181" customFormat="false" ht="15" hidden="false" customHeight="false" outlineLevel="0" collapsed="false">
      <c r="A4181" s="2" t="n">
        <v>4180</v>
      </c>
      <c r="B4181" s="2" t="s">
        <v>8567</v>
      </c>
      <c r="C4181" s="2" t="s">
        <v>8568</v>
      </c>
      <c r="D4181" s="2"/>
      <c r="E4181" s="2" t="s">
        <v>1345</v>
      </c>
      <c r="F4181" s="3" t="n">
        <v>8E-006</v>
      </c>
      <c r="G4181" s="3" t="n">
        <f aca="false">SUM($F$2:F4181)</f>
        <v>0.995514</v>
      </c>
      <c r="H4181" s="4"/>
      <c r="I4181" s="5"/>
      <c r="J4181" s="4"/>
      <c r="K4181" s="5"/>
      <c r="L4181" s="6"/>
      <c r="M4181" s="5" t="str">
        <f aca="false">IF(AND(N(K4181)&gt;0,N(L4181)&gt;0),K4181/L4181,"")</f>
        <v/>
      </c>
      <c r="N4181" s="2" t="s">
        <v>1226</v>
      </c>
    </row>
    <row r="4182" customFormat="false" ht="15" hidden="false" customHeight="false" outlineLevel="0" collapsed="false">
      <c r="A4182" s="2" t="n">
        <v>4181</v>
      </c>
      <c r="B4182" s="2" t="s">
        <v>8569</v>
      </c>
      <c r="C4182" s="2" t="s">
        <v>8570</v>
      </c>
      <c r="D4182" s="2"/>
      <c r="E4182" s="2" t="s">
        <v>17</v>
      </c>
      <c r="F4182" s="3" t="n">
        <v>8E-006</v>
      </c>
      <c r="G4182" s="3" t="n">
        <f aca="false">SUM($F$2:F4182)</f>
        <v>0.995522</v>
      </c>
      <c r="H4182" s="4"/>
      <c r="I4182" s="5"/>
      <c r="J4182" s="4"/>
      <c r="K4182" s="5"/>
      <c r="L4182" s="6"/>
      <c r="M4182" s="5" t="str">
        <f aca="false">IF(AND(N(K4182)&gt;0,N(L4182)&gt;0),K4182/L4182,"")</f>
        <v/>
      </c>
      <c r="N4182" s="2" t="s">
        <v>1226</v>
      </c>
    </row>
    <row r="4183" customFormat="false" ht="15" hidden="false" customHeight="false" outlineLevel="0" collapsed="false">
      <c r="A4183" s="2" t="n">
        <v>4182</v>
      </c>
      <c r="B4183" s="2" t="s">
        <v>8571</v>
      </c>
      <c r="C4183" s="2" t="s">
        <v>8572</v>
      </c>
      <c r="D4183" s="2"/>
      <c r="E4183" s="2" t="s">
        <v>33</v>
      </c>
      <c r="F4183" s="3" t="n">
        <v>8E-006</v>
      </c>
      <c r="G4183" s="3" t="n">
        <f aca="false">SUM($F$2:F4183)</f>
        <v>0.99553</v>
      </c>
      <c r="H4183" s="4"/>
      <c r="I4183" s="5"/>
      <c r="J4183" s="4"/>
      <c r="K4183" s="5"/>
      <c r="L4183" s="6"/>
      <c r="M4183" s="5" t="str">
        <f aca="false">IF(AND(N(K4183)&gt;0,N(L4183)&gt;0),K4183/L4183,"")</f>
        <v/>
      </c>
      <c r="N4183" s="2" t="s">
        <v>1226</v>
      </c>
    </row>
    <row r="4184" customFormat="false" ht="15" hidden="false" customHeight="false" outlineLevel="0" collapsed="false">
      <c r="A4184" s="2" t="n">
        <v>4183</v>
      </c>
      <c r="B4184" s="2" t="s">
        <v>8573</v>
      </c>
      <c r="C4184" s="2" t="s">
        <v>8574</v>
      </c>
      <c r="D4184" s="2"/>
      <c r="E4184" s="2" t="s">
        <v>539</v>
      </c>
      <c r="F4184" s="3" t="n">
        <v>8E-006</v>
      </c>
      <c r="G4184" s="3" t="n">
        <f aca="false">SUM($F$2:F4184)</f>
        <v>0.995538</v>
      </c>
      <c r="H4184" s="4"/>
      <c r="I4184" s="5"/>
      <c r="J4184" s="4"/>
      <c r="K4184" s="5"/>
      <c r="L4184" s="6"/>
      <c r="M4184" s="5" t="str">
        <f aca="false">IF(AND(N(K4184)&gt;0,N(L4184)&gt;0),K4184/L4184,"")</f>
        <v/>
      </c>
      <c r="N4184" s="2" t="s">
        <v>1226</v>
      </c>
    </row>
    <row r="4185" customFormat="false" ht="15" hidden="false" customHeight="false" outlineLevel="0" collapsed="false">
      <c r="A4185" s="2" t="n">
        <v>4184</v>
      </c>
      <c r="B4185" s="2" t="s">
        <v>8575</v>
      </c>
      <c r="C4185" s="2" t="s">
        <v>8576</v>
      </c>
      <c r="D4185" s="2"/>
      <c r="E4185" s="2" t="s">
        <v>1345</v>
      </c>
      <c r="F4185" s="3" t="n">
        <v>8E-006</v>
      </c>
      <c r="G4185" s="3" t="n">
        <f aca="false">SUM($F$2:F4185)</f>
        <v>0.995546</v>
      </c>
      <c r="H4185" s="4"/>
      <c r="I4185" s="5"/>
      <c r="J4185" s="4"/>
      <c r="K4185" s="5"/>
      <c r="L4185" s="6"/>
      <c r="M4185" s="5" t="str">
        <f aca="false">IF(AND(N(K4185)&gt;0,N(L4185)&gt;0),K4185/L4185,"")</f>
        <v/>
      </c>
      <c r="N4185" s="2" t="s">
        <v>1226</v>
      </c>
    </row>
    <row r="4186" customFormat="false" ht="15" hidden="false" customHeight="false" outlineLevel="0" collapsed="false">
      <c r="A4186" s="2" t="n">
        <v>4185</v>
      </c>
      <c r="B4186" s="2" t="s">
        <v>8577</v>
      </c>
      <c r="C4186" s="2" t="s">
        <v>8578</v>
      </c>
      <c r="D4186" s="2"/>
      <c r="E4186" s="2" t="s">
        <v>17</v>
      </c>
      <c r="F4186" s="3" t="n">
        <v>8E-006</v>
      </c>
      <c r="G4186" s="3" t="n">
        <f aca="false">SUM($F$2:F4186)</f>
        <v>0.995554</v>
      </c>
      <c r="H4186" s="4"/>
      <c r="I4186" s="5"/>
      <c r="J4186" s="4"/>
      <c r="K4186" s="5"/>
      <c r="L4186" s="6"/>
      <c r="M4186" s="5" t="str">
        <f aca="false">IF(AND(N(K4186)&gt;0,N(L4186)&gt;0),K4186/L4186,"")</f>
        <v/>
      </c>
      <c r="N4186" s="2" t="s">
        <v>1226</v>
      </c>
    </row>
    <row r="4187" customFormat="false" ht="15" hidden="false" customHeight="false" outlineLevel="0" collapsed="false">
      <c r="A4187" s="2" t="n">
        <v>4186</v>
      </c>
      <c r="B4187" s="2" t="s">
        <v>8579</v>
      </c>
      <c r="C4187" s="2" t="s">
        <v>8580</v>
      </c>
      <c r="D4187" s="2"/>
      <c r="E4187" s="2" t="s">
        <v>1345</v>
      </c>
      <c r="F4187" s="3" t="n">
        <v>8E-006</v>
      </c>
      <c r="G4187" s="3" t="n">
        <f aca="false">SUM($F$2:F4187)</f>
        <v>0.995562</v>
      </c>
      <c r="H4187" s="4"/>
      <c r="I4187" s="5"/>
      <c r="J4187" s="4"/>
      <c r="K4187" s="5"/>
      <c r="L4187" s="6"/>
      <c r="M4187" s="5" t="str">
        <f aca="false">IF(AND(N(K4187)&gt;0,N(L4187)&gt;0),K4187/L4187,"")</f>
        <v/>
      </c>
      <c r="N4187" s="2" t="s">
        <v>1226</v>
      </c>
    </row>
    <row r="4188" customFormat="false" ht="15" hidden="false" customHeight="false" outlineLevel="0" collapsed="false">
      <c r="A4188" s="2" t="n">
        <v>4187</v>
      </c>
      <c r="B4188" s="2" t="s">
        <v>8581</v>
      </c>
      <c r="C4188" s="2" t="s">
        <v>8582</v>
      </c>
      <c r="D4188" s="2"/>
      <c r="E4188" s="2" t="s">
        <v>2763</v>
      </c>
      <c r="F4188" s="3" t="n">
        <v>8E-006</v>
      </c>
      <c r="G4188" s="3" t="n">
        <f aca="false">SUM($F$2:F4188)</f>
        <v>0.99557</v>
      </c>
      <c r="H4188" s="4"/>
      <c r="I4188" s="5"/>
      <c r="J4188" s="4"/>
      <c r="K4188" s="5"/>
      <c r="L4188" s="6"/>
      <c r="M4188" s="5" t="str">
        <f aca="false">IF(AND(N(K4188)&gt;0,N(L4188)&gt;0),K4188/L4188,"")</f>
        <v/>
      </c>
      <c r="N4188" s="2" t="s">
        <v>1226</v>
      </c>
    </row>
    <row r="4189" customFormat="false" ht="15" hidden="false" customHeight="false" outlineLevel="0" collapsed="false">
      <c r="A4189" s="2" t="n">
        <v>4188</v>
      </c>
      <c r="B4189" s="2" t="s">
        <v>8583</v>
      </c>
      <c r="C4189" s="2" t="s">
        <v>8584</v>
      </c>
      <c r="D4189" s="2"/>
      <c r="E4189" s="2" t="s">
        <v>52</v>
      </c>
      <c r="F4189" s="3" t="n">
        <v>8E-006</v>
      </c>
      <c r="G4189" s="3" t="n">
        <f aca="false">SUM($F$2:F4189)</f>
        <v>0.995578</v>
      </c>
      <c r="H4189" s="4"/>
      <c r="I4189" s="5"/>
      <c r="J4189" s="4"/>
      <c r="K4189" s="5"/>
      <c r="L4189" s="6"/>
      <c r="M4189" s="5" t="str">
        <f aca="false">IF(AND(N(K4189)&gt;0,N(L4189)&gt;0),K4189/L4189,"")</f>
        <v/>
      </c>
      <c r="N4189" s="2" t="s">
        <v>1226</v>
      </c>
    </row>
    <row r="4190" customFormat="false" ht="15" hidden="false" customHeight="false" outlineLevel="0" collapsed="false">
      <c r="A4190" s="2" t="n">
        <v>4189</v>
      </c>
      <c r="B4190" s="2" t="s">
        <v>8585</v>
      </c>
      <c r="C4190" s="2" t="s">
        <v>8586</v>
      </c>
      <c r="D4190" s="2"/>
      <c r="E4190" s="2" t="s">
        <v>25</v>
      </c>
      <c r="F4190" s="3" t="n">
        <v>8E-006</v>
      </c>
      <c r="G4190" s="3" t="n">
        <f aca="false">SUM($F$2:F4190)</f>
        <v>0.995586</v>
      </c>
      <c r="H4190" s="4"/>
      <c r="I4190" s="5"/>
      <c r="J4190" s="4"/>
      <c r="K4190" s="5"/>
      <c r="L4190" s="6"/>
      <c r="M4190" s="5" t="str">
        <f aca="false">IF(AND(N(K4190)&gt;0,N(L4190)&gt;0),K4190/L4190,"")</f>
        <v/>
      </c>
      <c r="N4190" s="2" t="s">
        <v>1226</v>
      </c>
    </row>
    <row r="4191" customFormat="false" ht="15" hidden="false" customHeight="false" outlineLevel="0" collapsed="false">
      <c r="A4191" s="2" t="n">
        <v>4190</v>
      </c>
      <c r="B4191" s="2" t="s">
        <v>8587</v>
      </c>
      <c r="C4191" s="2" t="s">
        <v>8588</v>
      </c>
      <c r="D4191" s="2"/>
      <c r="E4191" s="2" t="s">
        <v>765</v>
      </c>
      <c r="F4191" s="3" t="n">
        <v>8E-006</v>
      </c>
      <c r="G4191" s="3" t="n">
        <f aca="false">SUM($F$2:F4191)</f>
        <v>0.995594</v>
      </c>
      <c r="H4191" s="4"/>
      <c r="I4191" s="5"/>
      <c r="J4191" s="4"/>
      <c r="K4191" s="5"/>
      <c r="L4191" s="6"/>
      <c r="M4191" s="5" t="str">
        <f aca="false">IF(AND(N(K4191)&gt;0,N(L4191)&gt;0),K4191/L4191,"")</f>
        <v/>
      </c>
      <c r="N4191" s="2" t="s">
        <v>1226</v>
      </c>
    </row>
    <row r="4192" customFormat="false" ht="15" hidden="false" customHeight="false" outlineLevel="0" collapsed="false">
      <c r="A4192" s="2" t="n">
        <v>4191</v>
      </c>
      <c r="B4192" s="2" t="s">
        <v>8589</v>
      </c>
      <c r="C4192" s="2" t="s">
        <v>8590</v>
      </c>
      <c r="D4192" s="2"/>
      <c r="E4192" s="2" t="s">
        <v>1345</v>
      </c>
      <c r="F4192" s="3" t="n">
        <v>8E-006</v>
      </c>
      <c r="G4192" s="3" t="n">
        <f aca="false">SUM($F$2:F4192)</f>
        <v>0.995602</v>
      </c>
      <c r="H4192" s="4"/>
      <c r="I4192" s="5"/>
      <c r="J4192" s="4"/>
      <c r="K4192" s="5"/>
      <c r="L4192" s="6"/>
      <c r="M4192" s="5" t="str">
        <f aca="false">IF(AND(N(K4192)&gt;0,N(L4192)&gt;0),K4192/L4192,"")</f>
        <v/>
      </c>
      <c r="N4192" s="2" t="s">
        <v>1226</v>
      </c>
    </row>
    <row r="4193" customFormat="false" ht="15" hidden="false" customHeight="false" outlineLevel="0" collapsed="false">
      <c r="A4193" s="2" t="n">
        <v>4192</v>
      </c>
      <c r="B4193" s="2" t="s">
        <v>8591</v>
      </c>
      <c r="C4193" s="2" t="s">
        <v>8592</v>
      </c>
      <c r="D4193" s="2"/>
      <c r="E4193" s="2" t="s">
        <v>43</v>
      </c>
      <c r="F4193" s="3" t="n">
        <v>8E-006</v>
      </c>
      <c r="G4193" s="3" t="n">
        <f aca="false">SUM($F$2:F4193)</f>
        <v>0.99561</v>
      </c>
      <c r="H4193" s="4"/>
      <c r="I4193" s="5"/>
      <c r="J4193" s="4"/>
      <c r="K4193" s="5"/>
      <c r="L4193" s="6"/>
      <c r="M4193" s="5" t="str">
        <f aca="false">IF(AND(N(K4193)&gt;0,N(L4193)&gt;0),K4193/L4193,"")</f>
        <v/>
      </c>
      <c r="N4193" s="2" t="s">
        <v>1226</v>
      </c>
    </row>
    <row r="4194" customFormat="false" ht="15" hidden="false" customHeight="false" outlineLevel="0" collapsed="false">
      <c r="A4194" s="2" t="n">
        <v>4193</v>
      </c>
      <c r="B4194" s="2" t="s">
        <v>8593</v>
      </c>
      <c r="C4194" s="2" t="s">
        <v>8594</v>
      </c>
      <c r="D4194" s="2"/>
      <c r="E4194" s="2" t="s">
        <v>17</v>
      </c>
      <c r="F4194" s="3" t="n">
        <v>8E-006</v>
      </c>
      <c r="G4194" s="3" t="n">
        <f aca="false">SUM($F$2:F4194)</f>
        <v>0.995618</v>
      </c>
      <c r="H4194" s="4"/>
      <c r="I4194" s="5"/>
      <c r="J4194" s="4"/>
      <c r="K4194" s="5"/>
      <c r="L4194" s="6"/>
      <c r="M4194" s="5" t="str">
        <f aca="false">IF(AND(N(K4194)&gt;0,N(L4194)&gt;0),K4194/L4194,"")</f>
        <v/>
      </c>
      <c r="N4194" s="2" t="s">
        <v>1226</v>
      </c>
    </row>
    <row r="4195" customFormat="false" ht="15" hidden="false" customHeight="false" outlineLevel="0" collapsed="false">
      <c r="A4195" s="2" t="n">
        <v>4194</v>
      </c>
      <c r="B4195" s="2" t="s">
        <v>8595</v>
      </c>
      <c r="C4195" s="2" t="s">
        <v>8596</v>
      </c>
      <c r="D4195" s="2"/>
      <c r="E4195" s="2" t="s">
        <v>334</v>
      </c>
      <c r="F4195" s="3" t="n">
        <v>8E-006</v>
      </c>
      <c r="G4195" s="3" t="n">
        <f aca="false">SUM($F$2:F4195)</f>
        <v>0.995626</v>
      </c>
      <c r="H4195" s="4"/>
      <c r="I4195" s="5"/>
      <c r="J4195" s="4"/>
      <c r="K4195" s="5"/>
      <c r="L4195" s="6"/>
      <c r="M4195" s="5" t="str">
        <f aca="false">IF(AND(N(K4195)&gt;0,N(L4195)&gt;0),K4195/L4195,"")</f>
        <v/>
      </c>
      <c r="N4195" s="2" t="s">
        <v>1226</v>
      </c>
    </row>
    <row r="4196" customFormat="false" ht="15" hidden="false" customHeight="false" outlineLevel="0" collapsed="false">
      <c r="A4196" s="2" t="n">
        <v>4195</v>
      </c>
      <c r="B4196" s="2" t="s">
        <v>8597</v>
      </c>
      <c r="C4196" s="2" t="s">
        <v>8598</v>
      </c>
      <c r="D4196" s="2"/>
      <c r="E4196" s="2" t="s">
        <v>826</v>
      </c>
      <c r="F4196" s="3" t="n">
        <v>8E-006</v>
      </c>
      <c r="G4196" s="3" t="n">
        <f aca="false">SUM($F$2:F4196)</f>
        <v>0.995634</v>
      </c>
      <c r="H4196" s="4"/>
      <c r="I4196" s="5"/>
      <c r="J4196" s="4"/>
      <c r="K4196" s="5"/>
      <c r="L4196" s="6"/>
      <c r="M4196" s="5" t="str">
        <f aca="false">IF(AND(N(K4196)&gt;0,N(L4196)&gt;0),K4196/L4196,"")</f>
        <v/>
      </c>
      <c r="N4196" s="2" t="s">
        <v>1226</v>
      </c>
    </row>
    <row r="4197" customFormat="false" ht="15" hidden="false" customHeight="false" outlineLevel="0" collapsed="false">
      <c r="A4197" s="2" t="n">
        <v>4196</v>
      </c>
      <c r="B4197" s="2" t="s">
        <v>8599</v>
      </c>
      <c r="C4197" s="2" t="s">
        <v>8600</v>
      </c>
      <c r="D4197" s="2"/>
      <c r="E4197" s="2" t="s">
        <v>25</v>
      </c>
      <c r="F4197" s="3" t="n">
        <v>8E-006</v>
      </c>
      <c r="G4197" s="3" t="n">
        <f aca="false">SUM($F$2:F4197)</f>
        <v>0.995642</v>
      </c>
      <c r="H4197" s="4"/>
      <c r="I4197" s="5"/>
      <c r="J4197" s="4"/>
      <c r="K4197" s="5"/>
      <c r="L4197" s="6"/>
      <c r="M4197" s="5" t="str">
        <f aca="false">IF(AND(N(K4197)&gt;0,N(L4197)&gt;0),K4197/L4197,"")</f>
        <v/>
      </c>
      <c r="N4197" s="2" t="s">
        <v>1226</v>
      </c>
    </row>
    <row r="4198" customFormat="false" ht="15" hidden="false" customHeight="false" outlineLevel="0" collapsed="false">
      <c r="A4198" s="2" t="n">
        <v>4197</v>
      </c>
      <c r="B4198" s="2" t="s">
        <v>8601</v>
      </c>
      <c r="C4198" s="2" t="s">
        <v>8602</v>
      </c>
      <c r="D4198" s="2"/>
      <c r="E4198" s="2" t="s">
        <v>289</v>
      </c>
      <c r="F4198" s="3" t="n">
        <v>8E-006</v>
      </c>
      <c r="G4198" s="3" t="n">
        <f aca="false">SUM($F$2:F4198)</f>
        <v>0.99565</v>
      </c>
      <c r="H4198" s="4"/>
      <c r="I4198" s="5"/>
      <c r="J4198" s="4"/>
      <c r="K4198" s="5"/>
      <c r="L4198" s="6"/>
      <c r="M4198" s="5" t="str">
        <f aca="false">IF(AND(N(K4198)&gt;0,N(L4198)&gt;0),K4198/L4198,"")</f>
        <v/>
      </c>
      <c r="N4198" s="2" t="s">
        <v>1226</v>
      </c>
    </row>
    <row r="4199" customFormat="false" ht="15" hidden="false" customHeight="false" outlineLevel="0" collapsed="false">
      <c r="A4199" s="2" t="n">
        <v>4198</v>
      </c>
      <c r="B4199" s="2" t="s">
        <v>8603</v>
      </c>
      <c r="C4199" s="2" t="s">
        <v>8604</v>
      </c>
      <c r="D4199" s="2"/>
      <c r="E4199" s="2" t="s">
        <v>1345</v>
      </c>
      <c r="F4199" s="3" t="n">
        <v>8E-006</v>
      </c>
      <c r="G4199" s="3" t="n">
        <f aca="false">SUM($F$2:F4199)</f>
        <v>0.995658</v>
      </c>
      <c r="H4199" s="4"/>
      <c r="I4199" s="5"/>
      <c r="J4199" s="4"/>
      <c r="K4199" s="5"/>
      <c r="L4199" s="6"/>
      <c r="M4199" s="5" t="str">
        <f aca="false">IF(AND(N(K4199)&gt;0,N(L4199)&gt;0),K4199/L4199,"")</f>
        <v/>
      </c>
      <c r="N4199" s="2" t="s">
        <v>1226</v>
      </c>
    </row>
    <row r="4200" customFormat="false" ht="15" hidden="false" customHeight="false" outlineLevel="0" collapsed="false">
      <c r="A4200" s="2" t="n">
        <v>4199</v>
      </c>
      <c r="B4200" s="2" t="s">
        <v>8605</v>
      </c>
      <c r="C4200" s="2" t="s">
        <v>8606</v>
      </c>
      <c r="D4200" s="2"/>
      <c r="E4200" s="2" t="s">
        <v>52</v>
      </c>
      <c r="F4200" s="3" t="n">
        <v>8E-006</v>
      </c>
      <c r="G4200" s="3" t="n">
        <f aca="false">SUM($F$2:F4200)</f>
        <v>0.995666</v>
      </c>
      <c r="H4200" s="4"/>
      <c r="I4200" s="5"/>
      <c r="J4200" s="4"/>
      <c r="K4200" s="5"/>
      <c r="L4200" s="6"/>
      <c r="M4200" s="5" t="str">
        <f aca="false">IF(AND(N(K4200)&gt;0,N(L4200)&gt;0),K4200/L4200,"")</f>
        <v/>
      </c>
      <c r="N4200" s="2" t="s">
        <v>1226</v>
      </c>
    </row>
    <row r="4201" customFormat="false" ht="15" hidden="false" customHeight="false" outlineLevel="0" collapsed="false">
      <c r="A4201" s="2" t="n">
        <v>4200</v>
      </c>
      <c r="B4201" s="2" t="s">
        <v>8607</v>
      </c>
      <c r="C4201" s="2" t="s">
        <v>8608</v>
      </c>
      <c r="D4201" s="2"/>
      <c r="E4201" s="2" t="s">
        <v>1345</v>
      </c>
      <c r="F4201" s="3" t="n">
        <v>8E-006</v>
      </c>
      <c r="G4201" s="3" t="n">
        <f aca="false">SUM($F$2:F4201)</f>
        <v>0.995674</v>
      </c>
      <c r="H4201" s="4"/>
      <c r="I4201" s="5"/>
      <c r="J4201" s="4"/>
      <c r="K4201" s="5"/>
      <c r="L4201" s="6"/>
      <c r="M4201" s="5" t="str">
        <f aca="false">IF(AND(N(K4201)&gt;0,N(L4201)&gt;0),K4201/L4201,"")</f>
        <v/>
      </c>
      <c r="N4201" s="2" t="s">
        <v>1226</v>
      </c>
    </row>
    <row r="4202" customFormat="false" ht="15" hidden="false" customHeight="false" outlineLevel="0" collapsed="false">
      <c r="A4202" s="2" t="n">
        <v>4201</v>
      </c>
      <c r="B4202" s="2" t="s">
        <v>8609</v>
      </c>
      <c r="C4202" s="2" t="s">
        <v>8610</v>
      </c>
      <c r="D4202" s="2"/>
      <c r="E4202" s="2" t="s">
        <v>52</v>
      </c>
      <c r="F4202" s="3" t="n">
        <v>8E-006</v>
      </c>
      <c r="G4202" s="3" t="n">
        <f aca="false">SUM($F$2:F4202)</f>
        <v>0.995682</v>
      </c>
      <c r="H4202" s="4"/>
      <c r="I4202" s="5"/>
      <c r="J4202" s="4"/>
      <c r="K4202" s="5"/>
      <c r="L4202" s="6"/>
      <c r="M4202" s="5" t="str">
        <f aca="false">IF(AND(N(K4202)&gt;0,N(L4202)&gt;0),K4202/L4202,"")</f>
        <v/>
      </c>
      <c r="N4202" s="2" t="s">
        <v>1226</v>
      </c>
    </row>
    <row r="4203" customFormat="false" ht="15" hidden="false" customHeight="false" outlineLevel="0" collapsed="false">
      <c r="A4203" s="2" t="n">
        <v>4202</v>
      </c>
      <c r="B4203" s="2" t="s">
        <v>8611</v>
      </c>
      <c r="C4203" s="2" t="s">
        <v>8612</v>
      </c>
      <c r="D4203" s="2"/>
      <c r="E4203" s="2" t="s">
        <v>43</v>
      </c>
      <c r="F4203" s="3" t="n">
        <v>8E-006</v>
      </c>
      <c r="G4203" s="3" t="n">
        <f aca="false">SUM($F$2:F4203)</f>
        <v>0.99569</v>
      </c>
      <c r="H4203" s="4"/>
      <c r="I4203" s="5"/>
      <c r="J4203" s="4"/>
      <c r="K4203" s="5"/>
      <c r="L4203" s="6"/>
      <c r="M4203" s="5" t="str">
        <f aca="false">IF(AND(N(K4203)&gt;0,N(L4203)&gt;0),K4203/L4203,"")</f>
        <v/>
      </c>
      <c r="N4203" s="2" t="s">
        <v>1226</v>
      </c>
    </row>
    <row r="4204" customFormat="false" ht="15" hidden="false" customHeight="false" outlineLevel="0" collapsed="false">
      <c r="A4204" s="2" t="n">
        <v>4203</v>
      </c>
      <c r="B4204" s="2" t="s">
        <v>8613</v>
      </c>
      <c r="C4204" s="2" t="s">
        <v>8614</v>
      </c>
      <c r="D4204" s="2"/>
      <c r="E4204" s="2" t="s">
        <v>82</v>
      </c>
      <c r="F4204" s="3" t="n">
        <v>8E-006</v>
      </c>
      <c r="G4204" s="3" t="n">
        <f aca="false">SUM($F$2:F4204)</f>
        <v>0.995698</v>
      </c>
      <c r="H4204" s="4"/>
      <c r="I4204" s="5"/>
      <c r="J4204" s="4"/>
      <c r="K4204" s="5"/>
      <c r="L4204" s="6"/>
      <c r="M4204" s="5" t="str">
        <f aca="false">IF(AND(N(K4204)&gt;0,N(L4204)&gt;0),K4204/L4204,"")</f>
        <v/>
      </c>
      <c r="N4204" s="2" t="s">
        <v>1226</v>
      </c>
    </row>
    <row r="4205" customFormat="false" ht="15" hidden="false" customHeight="false" outlineLevel="0" collapsed="false">
      <c r="A4205" s="2" t="n">
        <v>4204</v>
      </c>
      <c r="B4205" s="2" t="s">
        <v>8615</v>
      </c>
      <c r="C4205" s="2" t="s">
        <v>8616</v>
      </c>
      <c r="D4205" s="2"/>
      <c r="E4205" s="2" t="s">
        <v>289</v>
      </c>
      <c r="F4205" s="3" t="n">
        <v>8E-006</v>
      </c>
      <c r="G4205" s="3" t="n">
        <f aca="false">SUM($F$2:F4205)</f>
        <v>0.995706</v>
      </c>
      <c r="H4205" s="4"/>
      <c r="I4205" s="5"/>
      <c r="J4205" s="4"/>
      <c r="K4205" s="5"/>
      <c r="L4205" s="6"/>
      <c r="M4205" s="5" t="str">
        <f aca="false">IF(AND(N(K4205)&gt;0,N(L4205)&gt;0),K4205/L4205,"")</f>
        <v/>
      </c>
      <c r="N4205" s="2" t="s">
        <v>1226</v>
      </c>
    </row>
    <row r="4206" customFormat="false" ht="15" hidden="false" customHeight="false" outlineLevel="0" collapsed="false">
      <c r="A4206" s="2" t="n">
        <v>4205</v>
      </c>
      <c r="B4206" s="2" t="s">
        <v>8617</v>
      </c>
      <c r="C4206" s="2" t="s">
        <v>8618</v>
      </c>
      <c r="D4206" s="2"/>
      <c r="E4206" s="2" t="s">
        <v>334</v>
      </c>
      <c r="F4206" s="3" t="n">
        <v>8E-006</v>
      </c>
      <c r="G4206" s="3" t="n">
        <f aca="false">SUM($F$2:F4206)</f>
        <v>0.995714</v>
      </c>
      <c r="H4206" s="4"/>
      <c r="I4206" s="5"/>
      <c r="J4206" s="4"/>
      <c r="K4206" s="5"/>
      <c r="L4206" s="6"/>
      <c r="M4206" s="5" t="str">
        <f aca="false">IF(AND(N(K4206)&gt;0,N(L4206)&gt;0),K4206/L4206,"")</f>
        <v/>
      </c>
      <c r="N4206" s="2" t="s">
        <v>1226</v>
      </c>
    </row>
    <row r="4207" customFormat="false" ht="15" hidden="false" customHeight="false" outlineLevel="0" collapsed="false">
      <c r="A4207" s="2" t="n">
        <v>4206</v>
      </c>
      <c r="B4207" s="2" t="s">
        <v>1698</v>
      </c>
      <c r="C4207" s="2" t="s">
        <v>8619</v>
      </c>
      <c r="D4207" s="2"/>
      <c r="E4207" s="2" t="s">
        <v>17</v>
      </c>
      <c r="F4207" s="3" t="n">
        <v>8E-006</v>
      </c>
      <c r="G4207" s="3" t="n">
        <f aca="false">SUM($F$2:F4207)</f>
        <v>0.995722</v>
      </c>
      <c r="H4207" s="4"/>
      <c r="I4207" s="5"/>
      <c r="J4207" s="4"/>
      <c r="K4207" s="5"/>
      <c r="L4207" s="6"/>
      <c r="M4207" s="5" t="str">
        <f aca="false">IF(AND(N(K4207)&gt;0,N(L4207)&gt;0),K4207/L4207,"")</f>
        <v/>
      </c>
      <c r="N4207" s="2" t="s">
        <v>1226</v>
      </c>
    </row>
    <row r="4208" customFormat="false" ht="15" hidden="false" customHeight="false" outlineLevel="0" collapsed="false">
      <c r="A4208" s="2" t="n">
        <v>4207</v>
      </c>
      <c r="B4208" s="2" t="s">
        <v>8620</v>
      </c>
      <c r="C4208" s="2" t="s">
        <v>8621</v>
      </c>
      <c r="D4208" s="2"/>
      <c r="E4208" s="2" t="s">
        <v>1345</v>
      </c>
      <c r="F4208" s="3" t="n">
        <v>8E-006</v>
      </c>
      <c r="G4208" s="3" t="n">
        <f aca="false">SUM($F$2:F4208)</f>
        <v>0.99573</v>
      </c>
      <c r="H4208" s="4"/>
      <c r="I4208" s="5"/>
      <c r="J4208" s="4"/>
      <c r="K4208" s="5"/>
      <c r="L4208" s="6"/>
      <c r="M4208" s="5" t="str">
        <f aca="false">IF(AND(N(K4208)&gt;0,N(L4208)&gt;0),K4208/L4208,"")</f>
        <v/>
      </c>
      <c r="N4208" s="2" t="s">
        <v>1226</v>
      </c>
    </row>
    <row r="4209" customFormat="false" ht="15" hidden="false" customHeight="false" outlineLevel="0" collapsed="false">
      <c r="A4209" s="2" t="n">
        <v>4208</v>
      </c>
      <c r="B4209" s="2" t="s">
        <v>8622</v>
      </c>
      <c r="C4209" s="2" t="s">
        <v>8623</v>
      </c>
      <c r="D4209" s="2"/>
      <c r="E4209" s="2" t="s">
        <v>52</v>
      </c>
      <c r="F4209" s="3" t="n">
        <v>8E-006</v>
      </c>
      <c r="G4209" s="3" t="n">
        <f aca="false">SUM($F$2:F4209)</f>
        <v>0.995738</v>
      </c>
      <c r="H4209" s="4"/>
      <c r="I4209" s="5"/>
      <c r="J4209" s="4"/>
      <c r="K4209" s="5"/>
      <c r="L4209" s="6"/>
      <c r="M4209" s="5" t="str">
        <f aca="false">IF(AND(N(K4209)&gt;0,N(L4209)&gt;0),K4209/L4209,"")</f>
        <v/>
      </c>
      <c r="N4209" s="2" t="s">
        <v>1226</v>
      </c>
    </row>
    <row r="4210" customFormat="false" ht="15" hidden="false" customHeight="false" outlineLevel="0" collapsed="false">
      <c r="A4210" s="2" t="n">
        <v>4209</v>
      </c>
      <c r="B4210" s="2" t="s">
        <v>8624</v>
      </c>
      <c r="C4210" s="2" t="s">
        <v>8625</v>
      </c>
      <c r="D4210" s="2"/>
      <c r="E4210" s="2" t="s">
        <v>1345</v>
      </c>
      <c r="F4210" s="3" t="n">
        <v>8E-006</v>
      </c>
      <c r="G4210" s="3" t="n">
        <f aca="false">SUM($F$2:F4210)</f>
        <v>0.995746</v>
      </c>
      <c r="H4210" s="4"/>
      <c r="I4210" s="5"/>
      <c r="J4210" s="4"/>
      <c r="K4210" s="5"/>
      <c r="L4210" s="6"/>
      <c r="M4210" s="5" t="str">
        <f aca="false">IF(AND(N(K4210)&gt;0,N(L4210)&gt;0),K4210/L4210,"")</f>
        <v/>
      </c>
      <c r="N4210" s="2" t="s">
        <v>1226</v>
      </c>
    </row>
    <row r="4211" customFormat="false" ht="15" hidden="false" customHeight="false" outlineLevel="0" collapsed="false">
      <c r="A4211" s="2" t="n">
        <v>4210</v>
      </c>
      <c r="B4211" s="2" t="s">
        <v>8626</v>
      </c>
      <c r="C4211" s="2" t="s">
        <v>8627</v>
      </c>
      <c r="D4211" s="2"/>
      <c r="E4211" s="2" t="s">
        <v>29</v>
      </c>
      <c r="F4211" s="3" t="n">
        <v>8E-006</v>
      </c>
      <c r="G4211" s="3" t="n">
        <f aca="false">SUM($F$2:F4211)</f>
        <v>0.995754</v>
      </c>
      <c r="H4211" s="4"/>
      <c r="I4211" s="5"/>
      <c r="J4211" s="4"/>
      <c r="K4211" s="5"/>
      <c r="L4211" s="6"/>
      <c r="M4211" s="5" t="str">
        <f aca="false">IF(AND(N(K4211)&gt;0,N(L4211)&gt;0),K4211/L4211,"")</f>
        <v/>
      </c>
      <c r="N4211" s="2" t="s">
        <v>1226</v>
      </c>
    </row>
    <row r="4212" customFormat="false" ht="15" hidden="false" customHeight="false" outlineLevel="0" collapsed="false">
      <c r="A4212" s="2" t="n">
        <v>4211</v>
      </c>
      <c r="B4212" s="2" t="s">
        <v>8628</v>
      </c>
      <c r="C4212" s="2" t="s">
        <v>8629</v>
      </c>
      <c r="D4212" s="2"/>
      <c r="E4212" s="2" t="s">
        <v>1245</v>
      </c>
      <c r="F4212" s="3" t="n">
        <v>8E-006</v>
      </c>
      <c r="G4212" s="3" t="n">
        <f aca="false">SUM($F$2:F4212)</f>
        <v>0.995762</v>
      </c>
      <c r="H4212" s="4"/>
      <c r="I4212" s="5"/>
      <c r="J4212" s="4"/>
      <c r="K4212" s="5"/>
      <c r="L4212" s="6"/>
      <c r="M4212" s="5" t="str">
        <f aca="false">IF(AND(N(K4212)&gt;0,N(L4212)&gt;0),K4212/L4212,"")</f>
        <v/>
      </c>
      <c r="N4212" s="2" t="s">
        <v>1226</v>
      </c>
    </row>
    <row r="4213" customFormat="false" ht="15" hidden="false" customHeight="false" outlineLevel="0" collapsed="false">
      <c r="A4213" s="2" t="n">
        <v>4212</v>
      </c>
      <c r="B4213" s="2" t="s">
        <v>8630</v>
      </c>
      <c r="C4213" s="2" t="s">
        <v>8631</v>
      </c>
      <c r="D4213" s="2"/>
      <c r="E4213" s="2" t="s">
        <v>52</v>
      </c>
      <c r="F4213" s="3" t="n">
        <v>8E-006</v>
      </c>
      <c r="G4213" s="3" t="n">
        <f aca="false">SUM($F$2:F4213)</f>
        <v>0.99577</v>
      </c>
      <c r="H4213" s="4"/>
      <c r="I4213" s="5"/>
      <c r="J4213" s="4"/>
      <c r="K4213" s="5"/>
      <c r="L4213" s="6"/>
      <c r="M4213" s="5" t="str">
        <f aca="false">IF(AND(N(K4213)&gt;0,N(L4213)&gt;0),K4213/L4213,"")</f>
        <v/>
      </c>
      <c r="N4213" s="2" t="s">
        <v>1226</v>
      </c>
    </row>
    <row r="4214" customFormat="false" ht="15" hidden="false" customHeight="false" outlineLevel="0" collapsed="false">
      <c r="A4214" s="2" t="n">
        <v>4213</v>
      </c>
      <c r="B4214" s="2" t="s">
        <v>14</v>
      </c>
      <c r="C4214" s="2" t="s">
        <v>8632</v>
      </c>
      <c r="D4214" s="2"/>
      <c r="E4214" s="2" t="s">
        <v>539</v>
      </c>
      <c r="F4214" s="3" t="n">
        <v>8E-006</v>
      </c>
      <c r="G4214" s="3" t="n">
        <f aca="false">SUM($F$2:F4214)</f>
        <v>0.995778</v>
      </c>
      <c r="H4214" s="4"/>
      <c r="I4214" s="5"/>
      <c r="J4214" s="4"/>
      <c r="K4214" s="5"/>
      <c r="L4214" s="6"/>
      <c r="M4214" s="5" t="str">
        <f aca="false">IF(AND(N(K4214)&gt;0,N(L4214)&gt;0),K4214/L4214,"")</f>
        <v/>
      </c>
      <c r="N4214" s="2" t="s">
        <v>1226</v>
      </c>
    </row>
    <row r="4215" customFormat="false" ht="15" hidden="false" customHeight="false" outlineLevel="0" collapsed="false">
      <c r="A4215" s="2" t="n">
        <v>4214</v>
      </c>
      <c r="B4215" s="2" t="s">
        <v>257</v>
      </c>
      <c r="C4215" s="2" t="s">
        <v>8633</v>
      </c>
      <c r="D4215" s="2"/>
      <c r="E4215" s="2" t="s">
        <v>52</v>
      </c>
      <c r="F4215" s="3" t="n">
        <v>8E-006</v>
      </c>
      <c r="G4215" s="3" t="n">
        <f aca="false">SUM($F$2:F4215)</f>
        <v>0.995786</v>
      </c>
      <c r="H4215" s="4"/>
      <c r="I4215" s="5"/>
      <c r="J4215" s="4"/>
      <c r="K4215" s="5"/>
      <c r="L4215" s="6"/>
      <c r="M4215" s="5" t="str">
        <f aca="false">IF(AND(N(K4215)&gt;0,N(L4215)&gt;0),K4215/L4215,"")</f>
        <v/>
      </c>
      <c r="N4215" s="2" t="s">
        <v>1226</v>
      </c>
    </row>
    <row r="4216" customFormat="false" ht="15" hidden="false" customHeight="false" outlineLevel="0" collapsed="false">
      <c r="A4216" s="2" t="n">
        <v>4215</v>
      </c>
      <c r="B4216" s="2" t="s">
        <v>8634</v>
      </c>
      <c r="C4216" s="2" t="s">
        <v>8635</v>
      </c>
      <c r="D4216" s="2"/>
      <c r="E4216" s="2" t="s">
        <v>289</v>
      </c>
      <c r="F4216" s="3" t="n">
        <v>8E-006</v>
      </c>
      <c r="G4216" s="3" t="n">
        <f aca="false">SUM($F$2:F4216)</f>
        <v>0.995794</v>
      </c>
      <c r="H4216" s="4"/>
      <c r="I4216" s="5"/>
      <c r="J4216" s="4"/>
      <c r="K4216" s="5"/>
      <c r="L4216" s="6"/>
      <c r="M4216" s="5" t="str">
        <f aca="false">IF(AND(N(K4216)&gt;0,N(L4216)&gt;0),K4216/L4216,"")</f>
        <v/>
      </c>
      <c r="N4216" s="2" t="s">
        <v>1226</v>
      </c>
    </row>
    <row r="4217" customFormat="false" ht="15" hidden="false" customHeight="false" outlineLevel="0" collapsed="false">
      <c r="A4217" s="2" t="n">
        <v>4216</v>
      </c>
      <c r="B4217" s="2" t="s">
        <v>8636</v>
      </c>
      <c r="C4217" s="2" t="s">
        <v>8637</v>
      </c>
      <c r="D4217" s="2"/>
      <c r="E4217" s="2" t="s">
        <v>2055</v>
      </c>
      <c r="F4217" s="3" t="n">
        <v>8E-006</v>
      </c>
      <c r="G4217" s="3" t="n">
        <f aca="false">SUM($F$2:F4217)</f>
        <v>0.995802</v>
      </c>
      <c r="H4217" s="4"/>
      <c r="I4217" s="5"/>
      <c r="J4217" s="4"/>
      <c r="K4217" s="5"/>
      <c r="L4217" s="6"/>
      <c r="M4217" s="5" t="str">
        <f aca="false">IF(AND(N(K4217)&gt;0,N(L4217)&gt;0),K4217/L4217,"")</f>
        <v/>
      </c>
      <c r="N4217" s="2" t="s">
        <v>1226</v>
      </c>
    </row>
    <row r="4218" customFormat="false" ht="15" hidden="false" customHeight="false" outlineLevel="0" collapsed="false">
      <c r="A4218" s="2" t="n">
        <v>4217</v>
      </c>
      <c r="B4218" s="2" t="s">
        <v>8638</v>
      </c>
      <c r="C4218" s="2" t="s">
        <v>8639</v>
      </c>
      <c r="D4218" s="2"/>
      <c r="E4218" s="2" t="s">
        <v>289</v>
      </c>
      <c r="F4218" s="3" t="n">
        <v>8E-006</v>
      </c>
      <c r="G4218" s="3" t="n">
        <f aca="false">SUM($F$2:F4218)</f>
        <v>0.99581</v>
      </c>
      <c r="H4218" s="4"/>
      <c r="I4218" s="5"/>
      <c r="J4218" s="4"/>
      <c r="K4218" s="5"/>
      <c r="L4218" s="6"/>
      <c r="M4218" s="5" t="str">
        <f aca="false">IF(AND(N(K4218)&gt;0,N(L4218)&gt;0),K4218/L4218,"")</f>
        <v/>
      </c>
      <c r="N4218" s="2" t="s">
        <v>1226</v>
      </c>
    </row>
    <row r="4219" customFormat="false" ht="15" hidden="false" customHeight="false" outlineLevel="0" collapsed="false">
      <c r="A4219" s="2" t="n">
        <v>4218</v>
      </c>
      <c r="B4219" s="2" t="s">
        <v>8640</v>
      </c>
      <c r="C4219" s="2" t="s">
        <v>8641</v>
      </c>
      <c r="D4219" s="2"/>
      <c r="E4219" s="2" t="s">
        <v>1345</v>
      </c>
      <c r="F4219" s="3" t="n">
        <v>8E-006</v>
      </c>
      <c r="G4219" s="3" t="n">
        <f aca="false">SUM($F$2:F4219)</f>
        <v>0.995818</v>
      </c>
      <c r="H4219" s="4"/>
      <c r="I4219" s="5"/>
      <c r="J4219" s="4"/>
      <c r="K4219" s="5"/>
      <c r="L4219" s="6"/>
      <c r="M4219" s="5" t="str">
        <f aca="false">IF(AND(N(K4219)&gt;0,N(L4219)&gt;0),K4219/L4219,"")</f>
        <v/>
      </c>
      <c r="N4219" s="2" t="s">
        <v>1226</v>
      </c>
    </row>
    <row r="4220" customFormat="false" ht="15" hidden="false" customHeight="false" outlineLevel="0" collapsed="false">
      <c r="A4220" s="2" t="n">
        <v>4219</v>
      </c>
      <c r="B4220" s="2" t="s">
        <v>8642</v>
      </c>
      <c r="C4220" s="2" t="s">
        <v>8643</v>
      </c>
      <c r="D4220" s="2"/>
      <c r="E4220" s="2" t="s">
        <v>25</v>
      </c>
      <c r="F4220" s="3" t="n">
        <v>8E-006</v>
      </c>
      <c r="G4220" s="3" t="n">
        <f aca="false">SUM($F$2:F4220)</f>
        <v>0.995826</v>
      </c>
      <c r="H4220" s="4"/>
      <c r="I4220" s="5"/>
      <c r="J4220" s="4"/>
      <c r="K4220" s="5"/>
      <c r="L4220" s="6"/>
      <c r="M4220" s="5" t="str">
        <f aca="false">IF(AND(N(K4220)&gt;0,N(L4220)&gt;0),K4220/L4220,"")</f>
        <v/>
      </c>
      <c r="N4220" s="2" t="s">
        <v>1226</v>
      </c>
    </row>
    <row r="4221" customFormat="false" ht="15" hidden="false" customHeight="false" outlineLevel="0" collapsed="false">
      <c r="A4221" s="2" t="n">
        <v>4220</v>
      </c>
      <c r="B4221" s="2" t="s">
        <v>8644</v>
      </c>
      <c r="C4221" s="2" t="s">
        <v>8645</v>
      </c>
      <c r="D4221" s="2"/>
      <c r="E4221" s="2" t="s">
        <v>1245</v>
      </c>
      <c r="F4221" s="3" t="n">
        <v>8E-006</v>
      </c>
      <c r="G4221" s="3" t="n">
        <f aca="false">SUM($F$2:F4221)</f>
        <v>0.995834</v>
      </c>
      <c r="H4221" s="4"/>
      <c r="I4221" s="5"/>
      <c r="J4221" s="4"/>
      <c r="K4221" s="5"/>
      <c r="L4221" s="6"/>
      <c r="M4221" s="5" t="str">
        <f aca="false">IF(AND(N(K4221)&gt;0,N(L4221)&gt;0),K4221/L4221,"")</f>
        <v/>
      </c>
      <c r="N4221" s="2" t="s">
        <v>1226</v>
      </c>
    </row>
    <row r="4222" customFormat="false" ht="15" hidden="false" customHeight="false" outlineLevel="0" collapsed="false">
      <c r="A4222" s="2" t="n">
        <v>4221</v>
      </c>
      <c r="B4222" s="2" t="s">
        <v>8646</v>
      </c>
      <c r="C4222" s="2" t="s">
        <v>8647</v>
      </c>
      <c r="D4222" s="2"/>
      <c r="E4222" s="2" t="s">
        <v>1050</v>
      </c>
      <c r="F4222" s="3" t="n">
        <v>8E-006</v>
      </c>
      <c r="G4222" s="3" t="n">
        <f aca="false">SUM($F$2:F4222)</f>
        <v>0.995842</v>
      </c>
      <c r="H4222" s="4"/>
      <c r="I4222" s="5"/>
      <c r="J4222" s="4"/>
      <c r="K4222" s="5"/>
      <c r="L4222" s="6"/>
      <c r="M4222" s="5" t="str">
        <f aca="false">IF(AND(N(K4222)&gt;0,N(L4222)&gt;0),K4222/L4222,"")</f>
        <v/>
      </c>
      <c r="N4222" s="2" t="s">
        <v>1226</v>
      </c>
    </row>
    <row r="4223" customFormat="false" ht="15" hidden="false" customHeight="false" outlineLevel="0" collapsed="false">
      <c r="A4223" s="2" t="n">
        <v>4222</v>
      </c>
      <c r="B4223" s="2" t="s">
        <v>8648</v>
      </c>
      <c r="C4223" s="2" t="s">
        <v>8649</v>
      </c>
      <c r="D4223" s="2"/>
      <c r="E4223" s="2" t="s">
        <v>1345</v>
      </c>
      <c r="F4223" s="3" t="n">
        <v>8E-006</v>
      </c>
      <c r="G4223" s="3" t="n">
        <f aca="false">SUM($F$2:F4223)</f>
        <v>0.99585</v>
      </c>
      <c r="H4223" s="4"/>
      <c r="I4223" s="5"/>
      <c r="J4223" s="4"/>
      <c r="K4223" s="5"/>
      <c r="L4223" s="6"/>
      <c r="M4223" s="5" t="str">
        <f aca="false">IF(AND(N(K4223)&gt;0,N(L4223)&gt;0),K4223/L4223,"")</f>
        <v/>
      </c>
      <c r="N4223" s="2" t="s">
        <v>1226</v>
      </c>
    </row>
    <row r="4224" customFormat="false" ht="15" hidden="false" customHeight="false" outlineLevel="0" collapsed="false">
      <c r="A4224" s="2" t="n">
        <v>4223</v>
      </c>
      <c r="B4224" s="2" t="s">
        <v>8650</v>
      </c>
      <c r="C4224" s="2" t="s">
        <v>8651</v>
      </c>
      <c r="D4224" s="2"/>
      <c r="E4224" s="2" t="s">
        <v>1345</v>
      </c>
      <c r="F4224" s="3" t="n">
        <v>8E-006</v>
      </c>
      <c r="G4224" s="3" t="n">
        <f aca="false">SUM($F$2:F4224)</f>
        <v>0.995858</v>
      </c>
      <c r="H4224" s="4"/>
      <c r="I4224" s="5"/>
      <c r="J4224" s="4"/>
      <c r="K4224" s="5"/>
      <c r="L4224" s="6"/>
      <c r="M4224" s="5" t="str">
        <f aca="false">IF(AND(N(K4224)&gt;0,N(L4224)&gt;0),K4224/L4224,"")</f>
        <v/>
      </c>
      <c r="N4224" s="2" t="s">
        <v>1226</v>
      </c>
    </row>
    <row r="4225" customFormat="false" ht="15" hidden="false" customHeight="false" outlineLevel="0" collapsed="false">
      <c r="A4225" s="2" t="n">
        <v>4224</v>
      </c>
      <c r="B4225" s="2" t="s">
        <v>8652</v>
      </c>
      <c r="C4225" s="2" t="s">
        <v>8653</v>
      </c>
      <c r="D4225" s="2"/>
      <c r="E4225" s="2" t="s">
        <v>1345</v>
      </c>
      <c r="F4225" s="3" t="n">
        <v>8E-006</v>
      </c>
      <c r="G4225" s="3" t="n">
        <f aca="false">SUM($F$2:F4225)</f>
        <v>0.995866</v>
      </c>
      <c r="H4225" s="4"/>
      <c r="I4225" s="5"/>
      <c r="J4225" s="4"/>
      <c r="K4225" s="5"/>
      <c r="L4225" s="6"/>
      <c r="M4225" s="5" t="str">
        <f aca="false">IF(AND(N(K4225)&gt;0,N(L4225)&gt;0),K4225/L4225,"")</f>
        <v/>
      </c>
      <c r="N4225" s="2" t="s">
        <v>1226</v>
      </c>
    </row>
    <row r="4226" customFormat="false" ht="15" hidden="false" customHeight="false" outlineLevel="0" collapsed="false">
      <c r="A4226" s="2" t="n">
        <v>4225</v>
      </c>
      <c r="B4226" s="2" t="s">
        <v>8654</v>
      </c>
      <c r="C4226" s="2" t="s">
        <v>8655</v>
      </c>
      <c r="D4226" s="2"/>
      <c r="E4226" s="2" t="s">
        <v>1345</v>
      </c>
      <c r="F4226" s="3" t="n">
        <v>8E-006</v>
      </c>
      <c r="G4226" s="3" t="n">
        <f aca="false">SUM($F$2:F4226)</f>
        <v>0.995874</v>
      </c>
      <c r="H4226" s="4"/>
      <c r="I4226" s="5"/>
      <c r="J4226" s="4"/>
      <c r="K4226" s="5"/>
      <c r="L4226" s="6"/>
      <c r="M4226" s="5" t="str">
        <f aca="false">IF(AND(N(K4226)&gt;0,N(L4226)&gt;0),K4226/L4226,"")</f>
        <v/>
      </c>
      <c r="N4226" s="2" t="s">
        <v>1226</v>
      </c>
    </row>
    <row r="4227" customFormat="false" ht="15" hidden="false" customHeight="false" outlineLevel="0" collapsed="false">
      <c r="A4227" s="2" t="n">
        <v>4226</v>
      </c>
      <c r="B4227" s="2" t="s">
        <v>8656</v>
      </c>
      <c r="C4227" s="2" t="s">
        <v>8657</v>
      </c>
      <c r="D4227" s="2"/>
      <c r="E4227" s="2" t="s">
        <v>1345</v>
      </c>
      <c r="F4227" s="3" t="n">
        <v>8E-006</v>
      </c>
      <c r="G4227" s="3" t="n">
        <f aca="false">SUM($F$2:F4227)</f>
        <v>0.995882</v>
      </c>
      <c r="H4227" s="4"/>
      <c r="I4227" s="5"/>
      <c r="J4227" s="4"/>
      <c r="K4227" s="5"/>
      <c r="L4227" s="6"/>
      <c r="M4227" s="5" t="str">
        <f aca="false">IF(AND(N(K4227)&gt;0,N(L4227)&gt;0),K4227/L4227,"")</f>
        <v/>
      </c>
      <c r="N4227" s="2" t="s">
        <v>1226</v>
      </c>
    </row>
    <row r="4228" customFormat="false" ht="15" hidden="false" customHeight="false" outlineLevel="0" collapsed="false">
      <c r="A4228" s="2" t="n">
        <v>4227</v>
      </c>
      <c r="B4228" s="2" t="s">
        <v>4837</v>
      </c>
      <c r="C4228" s="2" t="s">
        <v>8658</v>
      </c>
      <c r="D4228" s="2"/>
      <c r="E4228" s="2" t="s">
        <v>43</v>
      </c>
      <c r="F4228" s="3" t="n">
        <v>8E-006</v>
      </c>
      <c r="G4228" s="3" t="n">
        <f aca="false">SUM($F$2:F4228)</f>
        <v>0.99589</v>
      </c>
      <c r="H4228" s="4"/>
      <c r="I4228" s="5"/>
      <c r="J4228" s="4"/>
      <c r="K4228" s="5"/>
      <c r="L4228" s="6"/>
      <c r="M4228" s="5" t="str">
        <f aca="false">IF(AND(N(K4228)&gt;0,N(L4228)&gt;0),K4228/L4228,"")</f>
        <v/>
      </c>
      <c r="N4228" s="2" t="s">
        <v>1226</v>
      </c>
    </row>
    <row r="4229" customFormat="false" ht="15" hidden="false" customHeight="false" outlineLevel="0" collapsed="false">
      <c r="A4229" s="2" t="n">
        <v>4228</v>
      </c>
      <c r="B4229" s="2" t="s">
        <v>8659</v>
      </c>
      <c r="C4229" s="2" t="s">
        <v>8660</v>
      </c>
      <c r="D4229" s="2"/>
      <c r="E4229" s="2" t="s">
        <v>1345</v>
      </c>
      <c r="F4229" s="3" t="n">
        <v>8E-006</v>
      </c>
      <c r="G4229" s="3" t="n">
        <f aca="false">SUM($F$2:F4229)</f>
        <v>0.995898</v>
      </c>
      <c r="H4229" s="4"/>
      <c r="I4229" s="5"/>
      <c r="J4229" s="4"/>
      <c r="K4229" s="5"/>
      <c r="L4229" s="6"/>
      <c r="M4229" s="5" t="str">
        <f aca="false">IF(AND(N(K4229)&gt;0,N(L4229)&gt;0),K4229/L4229,"")</f>
        <v/>
      </c>
      <c r="N4229" s="2" t="s">
        <v>1226</v>
      </c>
    </row>
    <row r="4230" customFormat="false" ht="15" hidden="false" customHeight="false" outlineLevel="0" collapsed="false">
      <c r="A4230" s="2" t="n">
        <v>4229</v>
      </c>
      <c r="B4230" s="2" t="s">
        <v>8661</v>
      </c>
      <c r="C4230" s="2" t="s">
        <v>8662</v>
      </c>
      <c r="D4230" s="2"/>
      <c r="E4230" s="2" t="s">
        <v>860</v>
      </c>
      <c r="F4230" s="3" t="n">
        <v>8E-006</v>
      </c>
      <c r="G4230" s="3" t="n">
        <f aca="false">SUM($F$2:F4230)</f>
        <v>0.995906</v>
      </c>
      <c r="H4230" s="4"/>
      <c r="I4230" s="5"/>
      <c r="J4230" s="4"/>
      <c r="K4230" s="5"/>
      <c r="L4230" s="6"/>
      <c r="M4230" s="5" t="str">
        <f aca="false">IF(AND(N(K4230)&gt;0,N(L4230)&gt;0),K4230/L4230,"")</f>
        <v/>
      </c>
      <c r="N4230" s="2" t="s">
        <v>1226</v>
      </c>
    </row>
    <row r="4231" customFormat="false" ht="15" hidden="false" customHeight="false" outlineLevel="0" collapsed="false">
      <c r="A4231" s="2" t="n">
        <v>4230</v>
      </c>
      <c r="B4231" s="2" t="s">
        <v>6737</v>
      </c>
      <c r="C4231" s="2" t="s">
        <v>8663</v>
      </c>
      <c r="D4231" s="2"/>
      <c r="E4231" s="2" t="s">
        <v>334</v>
      </c>
      <c r="F4231" s="3" t="n">
        <v>8E-006</v>
      </c>
      <c r="G4231" s="3" t="n">
        <f aca="false">SUM($F$2:F4231)</f>
        <v>0.995914</v>
      </c>
      <c r="H4231" s="4"/>
      <c r="I4231" s="5"/>
      <c r="J4231" s="4"/>
      <c r="K4231" s="5"/>
      <c r="L4231" s="6"/>
      <c r="M4231" s="5" t="str">
        <f aca="false">IF(AND(N(K4231)&gt;0,N(L4231)&gt;0),K4231/L4231,"")</f>
        <v/>
      </c>
      <c r="N4231" s="2" t="s">
        <v>1226</v>
      </c>
    </row>
    <row r="4232" customFormat="false" ht="15" hidden="false" customHeight="false" outlineLevel="0" collapsed="false">
      <c r="A4232" s="2" t="n">
        <v>4231</v>
      </c>
      <c r="B4232" s="2" t="s">
        <v>8664</v>
      </c>
      <c r="C4232" s="2" t="s">
        <v>8665</v>
      </c>
      <c r="D4232" s="2"/>
      <c r="E4232" s="2" t="s">
        <v>296</v>
      </c>
      <c r="F4232" s="3" t="n">
        <v>8E-006</v>
      </c>
      <c r="G4232" s="3" t="n">
        <f aca="false">SUM($F$2:F4232)</f>
        <v>0.995922</v>
      </c>
      <c r="H4232" s="4"/>
      <c r="I4232" s="5"/>
      <c r="J4232" s="4"/>
      <c r="K4232" s="5"/>
      <c r="L4232" s="6"/>
      <c r="M4232" s="5" t="str">
        <f aca="false">IF(AND(N(K4232)&gt;0,N(L4232)&gt;0),K4232/L4232,"")</f>
        <v/>
      </c>
      <c r="N4232" s="2" t="s">
        <v>1226</v>
      </c>
    </row>
    <row r="4233" customFormat="false" ht="15" hidden="false" customHeight="false" outlineLevel="0" collapsed="false">
      <c r="A4233" s="2" t="n">
        <v>4232</v>
      </c>
      <c r="B4233" s="2" t="s">
        <v>8666</v>
      </c>
      <c r="C4233" s="2" t="s">
        <v>8667</v>
      </c>
      <c r="D4233" s="2"/>
      <c r="E4233" s="2" t="s">
        <v>21</v>
      </c>
      <c r="F4233" s="3" t="n">
        <v>8E-006</v>
      </c>
      <c r="G4233" s="3" t="n">
        <f aca="false">SUM($F$2:F4233)</f>
        <v>0.99593</v>
      </c>
      <c r="H4233" s="4"/>
      <c r="I4233" s="5"/>
      <c r="J4233" s="4"/>
      <c r="K4233" s="5"/>
      <c r="L4233" s="6"/>
      <c r="M4233" s="5" t="str">
        <f aca="false">IF(AND(N(K4233)&gt;0,N(L4233)&gt;0),K4233/L4233,"")</f>
        <v/>
      </c>
      <c r="N4233" s="2" t="s">
        <v>1226</v>
      </c>
    </row>
    <row r="4234" customFormat="false" ht="15" hidden="false" customHeight="false" outlineLevel="0" collapsed="false">
      <c r="A4234" s="2" t="n">
        <v>4233</v>
      </c>
      <c r="B4234" s="2" t="s">
        <v>8668</v>
      </c>
      <c r="C4234" s="2" t="s">
        <v>8669</v>
      </c>
      <c r="D4234" s="2"/>
      <c r="E4234" s="2" t="s">
        <v>1345</v>
      </c>
      <c r="F4234" s="3" t="n">
        <v>8E-006</v>
      </c>
      <c r="G4234" s="3" t="n">
        <f aca="false">SUM($F$2:F4234)</f>
        <v>0.995938</v>
      </c>
      <c r="H4234" s="4"/>
      <c r="I4234" s="5"/>
      <c r="J4234" s="4"/>
      <c r="K4234" s="5"/>
      <c r="L4234" s="6"/>
      <c r="M4234" s="5" t="str">
        <f aca="false">IF(AND(N(K4234)&gt;0,N(L4234)&gt;0),K4234/L4234,"")</f>
        <v/>
      </c>
      <c r="N4234" s="2" t="s">
        <v>1226</v>
      </c>
    </row>
    <row r="4235" customFormat="false" ht="15" hidden="false" customHeight="false" outlineLevel="0" collapsed="false">
      <c r="A4235" s="2" t="n">
        <v>4234</v>
      </c>
      <c r="B4235" s="2" t="s">
        <v>8670</v>
      </c>
      <c r="C4235" s="2" t="s">
        <v>8671</v>
      </c>
      <c r="D4235" s="2"/>
      <c r="E4235" s="2" t="s">
        <v>289</v>
      </c>
      <c r="F4235" s="3" t="n">
        <v>8E-006</v>
      </c>
      <c r="G4235" s="3" t="n">
        <f aca="false">SUM($F$2:F4235)</f>
        <v>0.995946</v>
      </c>
      <c r="H4235" s="4"/>
      <c r="I4235" s="5"/>
      <c r="J4235" s="4"/>
      <c r="K4235" s="5"/>
      <c r="L4235" s="6"/>
      <c r="M4235" s="5" t="str">
        <f aca="false">IF(AND(N(K4235)&gt;0,N(L4235)&gt;0),K4235/L4235,"")</f>
        <v/>
      </c>
      <c r="N4235" s="2" t="s">
        <v>1226</v>
      </c>
    </row>
    <row r="4236" customFormat="false" ht="15" hidden="false" customHeight="false" outlineLevel="0" collapsed="false">
      <c r="A4236" s="2" t="n">
        <v>4235</v>
      </c>
      <c r="B4236" s="2" t="s">
        <v>8672</v>
      </c>
      <c r="C4236" s="2" t="s">
        <v>8673</v>
      </c>
      <c r="D4236" s="2"/>
      <c r="E4236" s="2" t="s">
        <v>1245</v>
      </c>
      <c r="F4236" s="3" t="n">
        <v>8E-006</v>
      </c>
      <c r="G4236" s="3" t="n">
        <f aca="false">SUM($F$2:F4236)</f>
        <v>0.995954</v>
      </c>
      <c r="H4236" s="4"/>
      <c r="I4236" s="5"/>
      <c r="J4236" s="4"/>
      <c r="K4236" s="5"/>
      <c r="L4236" s="6"/>
      <c r="M4236" s="5" t="str">
        <f aca="false">IF(AND(N(K4236)&gt;0,N(L4236)&gt;0),K4236/L4236,"")</f>
        <v/>
      </c>
      <c r="N4236" s="2" t="s">
        <v>1226</v>
      </c>
    </row>
    <row r="4237" customFormat="false" ht="15" hidden="false" customHeight="false" outlineLevel="0" collapsed="false">
      <c r="A4237" s="2" t="n">
        <v>4236</v>
      </c>
      <c r="B4237" s="2" t="s">
        <v>8674</v>
      </c>
      <c r="C4237" s="2" t="s">
        <v>8675</v>
      </c>
      <c r="D4237" s="2"/>
      <c r="E4237" s="2" t="s">
        <v>52</v>
      </c>
      <c r="F4237" s="3" t="n">
        <v>8E-006</v>
      </c>
      <c r="G4237" s="3" t="n">
        <f aca="false">SUM($F$2:F4237)</f>
        <v>0.995962</v>
      </c>
      <c r="H4237" s="4"/>
      <c r="I4237" s="5"/>
      <c r="J4237" s="4"/>
      <c r="K4237" s="5"/>
      <c r="L4237" s="6"/>
      <c r="M4237" s="5" t="str">
        <f aca="false">IF(AND(N(K4237)&gt;0,N(L4237)&gt;0),K4237/L4237,"")</f>
        <v/>
      </c>
      <c r="N4237" s="2" t="s">
        <v>1226</v>
      </c>
    </row>
    <row r="4238" customFormat="false" ht="15" hidden="false" customHeight="false" outlineLevel="0" collapsed="false">
      <c r="A4238" s="2" t="n">
        <v>4237</v>
      </c>
      <c r="B4238" s="2" t="s">
        <v>8676</v>
      </c>
      <c r="C4238" s="2" t="s">
        <v>8677</v>
      </c>
      <c r="D4238" s="2"/>
      <c r="E4238" s="2" t="s">
        <v>43</v>
      </c>
      <c r="F4238" s="3" t="n">
        <v>8E-006</v>
      </c>
      <c r="G4238" s="3" t="n">
        <f aca="false">SUM($F$2:F4238)</f>
        <v>0.99597</v>
      </c>
      <c r="H4238" s="4"/>
      <c r="I4238" s="5"/>
      <c r="J4238" s="4"/>
      <c r="K4238" s="5"/>
      <c r="L4238" s="6"/>
      <c r="M4238" s="5" t="str">
        <f aca="false">IF(AND(N(K4238)&gt;0,N(L4238)&gt;0),K4238/L4238,"")</f>
        <v/>
      </c>
      <c r="N4238" s="2" t="s">
        <v>1226</v>
      </c>
    </row>
    <row r="4239" customFormat="false" ht="15" hidden="false" customHeight="false" outlineLevel="0" collapsed="false">
      <c r="A4239" s="2" t="n">
        <v>4238</v>
      </c>
      <c r="B4239" s="2" t="s">
        <v>8678</v>
      </c>
      <c r="C4239" s="2" t="s">
        <v>8679</v>
      </c>
      <c r="D4239" s="2"/>
      <c r="E4239" s="2" t="s">
        <v>296</v>
      </c>
      <c r="F4239" s="3" t="n">
        <v>8E-006</v>
      </c>
      <c r="G4239" s="3" t="n">
        <f aca="false">SUM($F$2:F4239)</f>
        <v>0.995978</v>
      </c>
      <c r="H4239" s="4"/>
      <c r="I4239" s="5"/>
      <c r="J4239" s="4"/>
      <c r="K4239" s="5"/>
      <c r="L4239" s="6"/>
      <c r="M4239" s="5" t="str">
        <f aca="false">IF(AND(N(K4239)&gt;0,N(L4239)&gt;0),K4239/L4239,"")</f>
        <v/>
      </c>
      <c r="N4239" s="2" t="s">
        <v>1226</v>
      </c>
    </row>
    <row r="4240" customFormat="false" ht="15" hidden="false" customHeight="false" outlineLevel="0" collapsed="false">
      <c r="A4240" s="2" t="n">
        <v>4239</v>
      </c>
      <c r="B4240" s="2" t="s">
        <v>8680</v>
      </c>
      <c r="C4240" s="2" t="s">
        <v>8681</v>
      </c>
      <c r="D4240" s="2"/>
      <c r="E4240" s="2" t="s">
        <v>52</v>
      </c>
      <c r="F4240" s="3" t="n">
        <v>8E-006</v>
      </c>
      <c r="G4240" s="3" t="n">
        <f aca="false">SUM($F$2:F4240)</f>
        <v>0.995986</v>
      </c>
      <c r="H4240" s="4"/>
      <c r="I4240" s="5"/>
      <c r="J4240" s="4"/>
      <c r="K4240" s="5"/>
      <c r="L4240" s="6"/>
      <c r="M4240" s="5" t="str">
        <f aca="false">IF(AND(N(K4240)&gt;0,N(L4240)&gt;0),K4240/L4240,"")</f>
        <v/>
      </c>
      <c r="N4240" s="2" t="s">
        <v>1226</v>
      </c>
    </row>
    <row r="4241" customFormat="false" ht="15" hidden="false" customHeight="false" outlineLevel="0" collapsed="false">
      <c r="A4241" s="2" t="n">
        <v>4240</v>
      </c>
      <c r="B4241" s="2" t="s">
        <v>8682</v>
      </c>
      <c r="C4241" s="2" t="s">
        <v>8683</v>
      </c>
      <c r="D4241" s="2"/>
      <c r="E4241" s="2" t="s">
        <v>17</v>
      </c>
      <c r="F4241" s="3" t="n">
        <v>8E-006</v>
      </c>
      <c r="G4241" s="3" t="n">
        <f aca="false">SUM($F$2:F4241)</f>
        <v>0.995994</v>
      </c>
      <c r="H4241" s="4"/>
      <c r="I4241" s="5"/>
      <c r="J4241" s="4"/>
      <c r="K4241" s="5"/>
      <c r="L4241" s="6"/>
      <c r="M4241" s="5" t="str">
        <f aca="false">IF(AND(N(K4241)&gt;0,N(L4241)&gt;0),K4241/L4241,"")</f>
        <v/>
      </c>
      <c r="N4241" s="2" t="s">
        <v>1226</v>
      </c>
    </row>
    <row r="4242" customFormat="false" ht="15" hidden="false" customHeight="false" outlineLevel="0" collapsed="false">
      <c r="A4242" s="2" t="n">
        <v>4241</v>
      </c>
      <c r="B4242" s="2" t="s">
        <v>8684</v>
      </c>
      <c r="C4242" s="2" t="s">
        <v>8685</v>
      </c>
      <c r="D4242" s="2"/>
      <c r="E4242" s="2" t="s">
        <v>1345</v>
      </c>
      <c r="F4242" s="3" t="n">
        <v>8E-006</v>
      </c>
      <c r="G4242" s="3" t="n">
        <f aca="false">SUM($F$2:F4242)</f>
        <v>0.996002</v>
      </c>
      <c r="H4242" s="4"/>
      <c r="I4242" s="5"/>
      <c r="J4242" s="4"/>
      <c r="K4242" s="5"/>
      <c r="L4242" s="6"/>
      <c r="M4242" s="5" t="str">
        <f aca="false">IF(AND(N(K4242)&gt;0,N(L4242)&gt;0),K4242/L4242,"")</f>
        <v/>
      </c>
      <c r="N4242" s="2" t="s">
        <v>1226</v>
      </c>
    </row>
    <row r="4243" customFormat="false" ht="15" hidden="false" customHeight="false" outlineLevel="0" collapsed="false">
      <c r="A4243" s="2" t="n">
        <v>4242</v>
      </c>
      <c r="B4243" s="2" t="s">
        <v>8686</v>
      </c>
      <c r="C4243" s="2" t="s">
        <v>8687</v>
      </c>
      <c r="D4243" s="2"/>
      <c r="E4243" s="2" t="s">
        <v>826</v>
      </c>
      <c r="F4243" s="3" t="n">
        <v>8E-006</v>
      </c>
      <c r="G4243" s="3" t="n">
        <f aca="false">SUM($F$2:F4243)</f>
        <v>0.99601</v>
      </c>
      <c r="H4243" s="4"/>
      <c r="I4243" s="5"/>
      <c r="J4243" s="4"/>
      <c r="K4243" s="5"/>
      <c r="L4243" s="6"/>
      <c r="M4243" s="5" t="str">
        <f aca="false">IF(AND(N(K4243)&gt;0,N(L4243)&gt;0),K4243/L4243,"")</f>
        <v/>
      </c>
      <c r="N4243" s="2" t="s">
        <v>1226</v>
      </c>
    </row>
    <row r="4244" customFormat="false" ht="15" hidden="false" customHeight="false" outlineLevel="0" collapsed="false">
      <c r="A4244" s="2" t="n">
        <v>4243</v>
      </c>
      <c r="B4244" s="2" t="s">
        <v>8688</v>
      </c>
      <c r="C4244" s="2" t="s">
        <v>8689</v>
      </c>
      <c r="D4244" s="2"/>
      <c r="E4244" s="2" t="s">
        <v>1345</v>
      </c>
      <c r="F4244" s="3" t="n">
        <v>8E-006</v>
      </c>
      <c r="G4244" s="3" t="n">
        <f aca="false">SUM($F$2:F4244)</f>
        <v>0.996018</v>
      </c>
      <c r="H4244" s="4"/>
      <c r="I4244" s="5"/>
      <c r="J4244" s="4"/>
      <c r="K4244" s="5"/>
      <c r="L4244" s="6"/>
      <c r="M4244" s="5" t="str">
        <f aca="false">IF(AND(N(K4244)&gt;0,N(L4244)&gt;0),K4244/L4244,"")</f>
        <v/>
      </c>
      <c r="N4244" s="2" t="s">
        <v>1226</v>
      </c>
    </row>
    <row r="4245" customFormat="false" ht="15" hidden="false" customHeight="false" outlineLevel="0" collapsed="false">
      <c r="A4245" s="2" t="n">
        <v>4244</v>
      </c>
      <c r="B4245" s="2" t="s">
        <v>8690</v>
      </c>
      <c r="C4245" s="2" t="s">
        <v>8691</v>
      </c>
      <c r="D4245" s="2"/>
      <c r="E4245" s="2" t="s">
        <v>199</v>
      </c>
      <c r="F4245" s="3" t="n">
        <v>8E-006</v>
      </c>
      <c r="G4245" s="3" t="n">
        <f aca="false">SUM($F$2:F4245)</f>
        <v>0.996026</v>
      </c>
      <c r="H4245" s="4"/>
      <c r="I4245" s="5"/>
      <c r="J4245" s="4"/>
      <c r="K4245" s="5"/>
      <c r="L4245" s="6"/>
      <c r="M4245" s="5" t="str">
        <f aca="false">IF(AND(N(K4245)&gt;0,N(L4245)&gt;0),K4245/L4245,"")</f>
        <v/>
      </c>
      <c r="N4245" s="2" t="s">
        <v>1226</v>
      </c>
    </row>
    <row r="4246" customFormat="false" ht="15" hidden="false" customHeight="false" outlineLevel="0" collapsed="false">
      <c r="A4246" s="2" t="n">
        <v>4245</v>
      </c>
      <c r="B4246" s="2" t="s">
        <v>8692</v>
      </c>
      <c r="C4246" s="2" t="s">
        <v>8693</v>
      </c>
      <c r="D4246" s="2"/>
      <c r="E4246" s="2" t="s">
        <v>1345</v>
      </c>
      <c r="F4246" s="3" t="n">
        <v>8E-006</v>
      </c>
      <c r="G4246" s="3" t="n">
        <f aca="false">SUM($F$2:F4246)</f>
        <v>0.996034</v>
      </c>
      <c r="H4246" s="4"/>
      <c r="I4246" s="5"/>
      <c r="J4246" s="4"/>
      <c r="K4246" s="5"/>
      <c r="L4246" s="6"/>
      <c r="M4246" s="5" t="str">
        <f aca="false">IF(AND(N(K4246)&gt;0,N(L4246)&gt;0),K4246/L4246,"")</f>
        <v/>
      </c>
      <c r="N4246" s="2" t="s">
        <v>1226</v>
      </c>
    </row>
    <row r="4247" customFormat="false" ht="15" hidden="false" customHeight="false" outlineLevel="0" collapsed="false">
      <c r="A4247" s="2" t="n">
        <v>4246</v>
      </c>
      <c r="B4247" s="2" t="s">
        <v>8694</v>
      </c>
      <c r="C4247" s="2" t="s">
        <v>8695</v>
      </c>
      <c r="D4247" s="2"/>
      <c r="E4247" s="2" t="s">
        <v>826</v>
      </c>
      <c r="F4247" s="3" t="n">
        <v>8E-006</v>
      </c>
      <c r="G4247" s="3" t="n">
        <f aca="false">SUM($F$2:F4247)</f>
        <v>0.996042</v>
      </c>
      <c r="H4247" s="4"/>
      <c r="I4247" s="5"/>
      <c r="J4247" s="4"/>
      <c r="K4247" s="5"/>
      <c r="L4247" s="6"/>
      <c r="M4247" s="5" t="str">
        <f aca="false">IF(AND(N(K4247)&gt;0,N(L4247)&gt;0),K4247/L4247,"")</f>
        <v/>
      </c>
      <c r="N4247" s="2" t="s">
        <v>1226</v>
      </c>
    </row>
    <row r="4248" customFormat="false" ht="15" hidden="false" customHeight="false" outlineLevel="0" collapsed="false">
      <c r="A4248" s="2" t="n">
        <v>4247</v>
      </c>
      <c r="B4248" s="2" t="s">
        <v>8696</v>
      </c>
      <c r="C4248" s="2" t="s">
        <v>8697</v>
      </c>
      <c r="D4248" s="2"/>
      <c r="E4248" s="2" t="s">
        <v>52</v>
      </c>
      <c r="F4248" s="3" t="n">
        <v>8E-006</v>
      </c>
      <c r="G4248" s="3" t="n">
        <f aca="false">SUM($F$2:F4248)</f>
        <v>0.99605</v>
      </c>
      <c r="H4248" s="4"/>
      <c r="I4248" s="5"/>
      <c r="J4248" s="4"/>
      <c r="K4248" s="5"/>
      <c r="L4248" s="6"/>
      <c r="M4248" s="5" t="str">
        <f aca="false">IF(AND(N(K4248)&gt;0,N(L4248)&gt;0),K4248/L4248,"")</f>
        <v/>
      </c>
      <c r="N4248" s="2" t="s">
        <v>1226</v>
      </c>
    </row>
    <row r="4249" customFormat="false" ht="15" hidden="false" customHeight="false" outlineLevel="0" collapsed="false">
      <c r="A4249" s="2" t="n">
        <v>4248</v>
      </c>
      <c r="B4249" s="2" t="s">
        <v>8698</v>
      </c>
      <c r="C4249" s="2" t="s">
        <v>8699</v>
      </c>
      <c r="D4249" s="2"/>
      <c r="E4249" s="2" t="s">
        <v>289</v>
      </c>
      <c r="F4249" s="3" t="n">
        <v>8E-006</v>
      </c>
      <c r="G4249" s="3" t="n">
        <f aca="false">SUM($F$2:F4249)</f>
        <v>0.996058</v>
      </c>
      <c r="H4249" s="4"/>
      <c r="I4249" s="5"/>
      <c r="J4249" s="4"/>
      <c r="K4249" s="5"/>
      <c r="L4249" s="6"/>
      <c r="M4249" s="5" t="str">
        <f aca="false">IF(AND(N(K4249)&gt;0,N(L4249)&gt;0),K4249/L4249,"")</f>
        <v/>
      </c>
      <c r="N4249" s="2" t="s">
        <v>1226</v>
      </c>
    </row>
    <row r="4250" customFormat="false" ht="15" hidden="false" customHeight="false" outlineLevel="0" collapsed="false">
      <c r="A4250" s="2" t="n">
        <v>4249</v>
      </c>
      <c r="B4250" s="2" t="s">
        <v>8700</v>
      </c>
      <c r="C4250" s="2" t="s">
        <v>8701</v>
      </c>
      <c r="D4250" s="2"/>
      <c r="E4250" s="2" t="s">
        <v>1345</v>
      </c>
      <c r="F4250" s="3" t="n">
        <v>8E-006</v>
      </c>
      <c r="G4250" s="3" t="n">
        <f aca="false">SUM($F$2:F4250)</f>
        <v>0.996066</v>
      </c>
      <c r="H4250" s="4"/>
      <c r="I4250" s="5"/>
      <c r="J4250" s="4"/>
      <c r="K4250" s="5"/>
      <c r="L4250" s="6"/>
      <c r="M4250" s="5" t="str">
        <f aca="false">IF(AND(N(K4250)&gt;0,N(L4250)&gt;0),K4250/L4250,"")</f>
        <v/>
      </c>
      <c r="N4250" s="2" t="s">
        <v>1226</v>
      </c>
    </row>
    <row r="4251" customFormat="false" ht="15" hidden="false" customHeight="false" outlineLevel="0" collapsed="false">
      <c r="A4251" s="2" t="n">
        <v>4250</v>
      </c>
      <c r="B4251" s="2" t="s">
        <v>8172</v>
      </c>
      <c r="C4251" s="2" t="s">
        <v>8702</v>
      </c>
      <c r="D4251" s="2"/>
      <c r="E4251" s="2" t="s">
        <v>289</v>
      </c>
      <c r="F4251" s="3" t="n">
        <v>8E-006</v>
      </c>
      <c r="G4251" s="3" t="n">
        <f aca="false">SUM($F$2:F4251)</f>
        <v>0.996074</v>
      </c>
      <c r="H4251" s="4"/>
      <c r="I4251" s="5"/>
      <c r="J4251" s="4"/>
      <c r="K4251" s="5"/>
      <c r="L4251" s="6"/>
      <c r="M4251" s="5" t="str">
        <f aca="false">IF(AND(N(K4251)&gt;0,N(L4251)&gt;0),K4251/L4251,"")</f>
        <v/>
      </c>
      <c r="N4251" s="2" t="s">
        <v>1226</v>
      </c>
    </row>
    <row r="4252" customFormat="false" ht="15" hidden="false" customHeight="false" outlineLevel="0" collapsed="false">
      <c r="A4252" s="2" t="n">
        <v>4251</v>
      </c>
      <c r="B4252" s="2" t="s">
        <v>8703</v>
      </c>
      <c r="C4252" s="2" t="s">
        <v>8704</v>
      </c>
      <c r="D4252" s="2"/>
      <c r="E4252" s="2" t="s">
        <v>826</v>
      </c>
      <c r="F4252" s="3" t="n">
        <v>8E-006</v>
      </c>
      <c r="G4252" s="3" t="n">
        <f aca="false">SUM($F$2:F4252)</f>
        <v>0.996082</v>
      </c>
      <c r="H4252" s="4"/>
      <c r="I4252" s="5"/>
      <c r="J4252" s="4"/>
      <c r="K4252" s="5"/>
      <c r="L4252" s="6"/>
      <c r="M4252" s="5" t="str">
        <f aca="false">IF(AND(N(K4252)&gt;0,N(L4252)&gt;0),K4252/L4252,"")</f>
        <v/>
      </c>
      <c r="N4252" s="2" t="s">
        <v>1226</v>
      </c>
    </row>
    <row r="4253" customFormat="false" ht="15" hidden="false" customHeight="false" outlineLevel="0" collapsed="false">
      <c r="A4253" s="2" t="n">
        <v>4252</v>
      </c>
      <c r="B4253" s="2" t="s">
        <v>8705</v>
      </c>
      <c r="C4253" s="2" t="s">
        <v>8706</v>
      </c>
      <c r="D4253" s="2"/>
      <c r="E4253" s="2" t="s">
        <v>1284</v>
      </c>
      <c r="F4253" s="3" t="n">
        <v>8E-006</v>
      </c>
      <c r="G4253" s="3" t="n">
        <f aca="false">SUM($F$2:F4253)</f>
        <v>0.99609</v>
      </c>
      <c r="H4253" s="4"/>
      <c r="I4253" s="5"/>
      <c r="J4253" s="4"/>
      <c r="K4253" s="5"/>
      <c r="L4253" s="6"/>
      <c r="M4253" s="5" t="str">
        <f aca="false">IF(AND(N(K4253)&gt;0,N(L4253)&gt;0),K4253/L4253,"")</f>
        <v/>
      </c>
      <c r="N4253" s="2" t="s">
        <v>1226</v>
      </c>
    </row>
    <row r="4254" customFormat="false" ht="15" hidden="false" customHeight="false" outlineLevel="0" collapsed="false">
      <c r="A4254" s="2" t="n">
        <v>4253</v>
      </c>
      <c r="B4254" s="2" t="s">
        <v>8707</v>
      </c>
      <c r="C4254" s="2" t="s">
        <v>8708</v>
      </c>
      <c r="D4254" s="2"/>
      <c r="E4254" s="2" t="s">
        <v>1284</v>
      </c>
      <c r="F4254" s="3" t="n">
        <v>8E-006</v>
      </c>
      <c r="G4254" s="3" t="n">
        <f aca="false">SUM($F$2:F4254)</f>
        <v>0.996098</v>
      </c>
      <c r="H4254" s="4"/>
      <c r="I4254" s="5"/>
      <c r="J4254" s="4"/>
      <c r="K4254" s="5"/>
      <c r="L4254" s="6"/>
      <c r="M4254" s="5" t="str">
        <f aca="false">IF(AND(N(K4254)&gt;0,N(L4254)&gt;0),K4254/L4254,"")</f>
        <v/>
      </c>
      <c r="N4254" s="2" t="s">
        <v>1226</v>
      </c>
    </row>
    <row r="4255" customFormat="false" ht="15" hidden="false" customHeight="false" outlineLevel="0" collapsed="false">
      <c r="A4255" s="2" t="n">
        <v>4254</v>
      </c>
      <c r="B4255" s="2" t="s">
        <v>8709</v>
      </c>
      <c r="C4255" s="2" t="s">
        <v>8710</v>
      </c>
      <c r="D4255" s="2"/>
      <c r="E4255" s="2" t="s">
        <v>1050</v>
      </c>
      <c r="F4255" s="3" t="n">
        <v>8E-006</v>
      </c>
      <c r="G4255" s="3" t="n">
        <f aca="false">SUM($F$2:F4255)</f>
        <v>0.996106</v>
      </c>
      <c r="H4255" s="4"/>
      <c r="I4255" s="5"/>
      <c r="J4255" s="4"/>
      <c r="K4255" s="5"/>
      <c r="L4255" s="6"/>
      <c r="M4255" s="5" t="str">
        <f aca="false">IF(AND(N(K4255)&gt;0,N(L4255)&gt;0),K4255/L4255,"")</f>
        <v/>
      </c>
      <c r="N4255" s="2" t="s">
        <v>1226</v>
      </c>
    </row>
    <row r="4256" customFormat="false" ht="15" hidden="false" customHeight="false" outlineLevel="0" collapsed="false">
      <c r="A4256" s="2" t="n">
        <v>4255</v>
      </c>
      <c r="B4256" s="2" t="s">
        <v>8711</v>
      </c>
      <c r="C4256" s="2" t="s">
        <v>8712</v>
      </c>
      <c r="D4256" s="2"/>
      <c r="E4256" s="2" t="s">
        <v>1345</v>
      </c>
      <c r="F4256" s="3" t="n">
        <v>8E-006</v>
      </c>
      <c r="G4256" s="3" t="n">
        <f aca="false">SUM($F$2:F4256)</f>
        <v>0.996114</v>
      </c>
      <c r="H4256" s="4"/>
      <c r="I4256" s="5"/>
      <c r="J4256" s="4"/>
      <c r="K4256" s="5"/>
      <c r="L4256" s="6"/>
      <c r="M4256" s="5" t="str">
        <f aca="false">IF(AND(N(K4256)&gt;0,N(L4256)&gt;0),K4256/L4256,"")</f>
        <v/>
      </c>
      <c r="N4256" s="2" t="s">
        <v>1226</v>
      </c>
    </row>
    <row r="4257" customFormat="false" ht="15" hidden="false" customHeight="false" outlineLevel="0" collapsed="false">
      <c r="A4257" s="2" t="n">
        <v>4256</v>
      </c>
      <c r="B4257" s="2" t="s">
        <v>8713</v>
      </c>
      <c r="C4257" s="2" t="s">
        <v>8714</v>
      </c>
      <c r="D4257" s="2"/>
      <c r="E4257" s="2" t="s">
        <v>52</v>
      </c>
      <c r="F4257" s="3" t="n">
        <v>8E-006</v>
      </c>
      <c r="G4257" s="3" t="n">
        <f aca="false">SUM($F$2:F4257)</f>
        <v>0.996122</v>
      </c>
      <c r="H4257" s="4"/>
      <c r="I4257" s="5"/>
      <c r="J4257" s="4"/>
      <c r="K4257" s="5"/>
      <c r="L4257" s="6"/>
      <c r="M4257" s="5" t="str">
        <f aca="false">IF(AND(N(K4257)&gt;0,N(L4257)&gt;0),K4257/L4257,"")</f>
        <v/>
      </c>
      <c r="N4257" s="2" t="s">
        <v>1226</v>
      </c>
    </row>
    <row r="4258" customFormat="false" ht="15" hidden="false" customHeight="false" outlineLevel="0" collapsed="false">
      <c r="A4258" s="2" t="n">
        <v>4257</v>
      </c>
      <c r="B4258" s="2" t="s">
        <v>8715</v>
      </c>
      <c r="C4258" s="2" t="s">
        <v>8716</v>
      </c>
      <c r="D4258" s="2"/>
      <c r="E4258" s="2" t="s">
        <v>289</v>
      </c>
      <c r="F4258" s="3" t="n">
        <v>8E-006</v>
      </c>
      <c r="G4258" s="3" t="n">
        <f aca="false">SUM($F$2:F4258)</f>
        <v>0.99613</v>
      </c>
      <c r="H4258" s="4"/>
      <c r="I4258" s="5"/>
      <c r="J4258" s="4"/>
      <c r="K4258" s="5"/>
      <c r="L4258" s="6"/>
      <c r="M4258" s="5" t="str">
        <f aca="false">IF(AND(N(K4258)&gt;0,N(L4258)&gt;0),K4258/L4258,"")</f>
        <v/>
      </c>
      <c r="N4258" s="2" t="s">
        <v>1226</v>
      </c>
    </row>
    <row r="4259" customFormat="false" ht="15" hidden="false" customHeight="false" outlineLevel="0" collapsed="false">
      <c r="A4259" s="2" t="n">
        <v>4258</v>
      </c>
      <c r="B4259" s="2" t="s">
        <v>8717</v>
      </c>
      <c r="C4259" s="2" t="s">
        <v>8718</v>
      </c>
      <c r="D4259" s="2"/>
      <c r="E4259" s="2" t="s">
        <v>1345</v>
      </c>
      <c r="F4259" s="3" t="n">
        <v>8E-006</v>
      </c>
      <c r="G4259" s="3" t="n">
        <f aca="false">SUM($F$2:F4259)</f>
        <v>0.996138</v>
      </c>
      <c r="H4259" s="4"/>
      <c r="I4259" s="5"/>
      <c r="J4259" s="4"/>
      <c r="K4259" s="5"/>
      <c r="L4259" s="6"/>
      <c r="M4259" s="5" t="str">
        <f aca="false">IF(AND(N(K4259)&gt;0,N(L4259)&gt;0),K4259/L4259,"")</f>
        <v/>
      </c>
      <c r="N4259" s="2" t="s">
        <v>1226</v>
      </c>
    </row>
    <row r="4260" customFormat="false" ht="15" hidden="false" customHeight="false" outlineLevel="0" collapsed="false">
      <c r="A4260" s="2" t="n">
        <v>4259</v>
      </c>
      <c r="B4260" s="2" t="s">
        <v>8719</v>
      </c>
      <c r="C4260" s="2" t="s">
        <v>8720</v>
      </c>
      <c r="D4260" s="2"/>
      <c r="E4260" s="2" t="s">
        <v>334</v>
      </c>
      <c r="F4260" s="3" t="n">
        <v>8E-006</v>
      </c>
      <c r="G4260" s="3" t="n">
        <f aca="false">SUM($F$2:F4260)</f>
        <v>0.996146</v>
      </c>
      <c r="H4260" s="4"/>
      <c r="I4260" s="5"/>
      <c r="J4260" s="4"/>
      <c r="K4260" s="5"/>
      <c r="L4260" s="6"/>
      <c r="M4260" s="5" t="str">
        <f aca="false">IF(AND(N(K4260)&gt;0,N(L4260)&gt;0),K4260/L4260,"")</f>
        <v/>
      </c>
      <c r="N4260" s="2" t="s">
        <v>1226</v>
      </c>
    </row>
    <row r="4261" customFormat="false" ht="15" hidden="false" customHeight="false" outlineLevel="0" collapsed="false">
      <c r="A4261" s="2" t="n">
        <v>4260</v>
      </c>
      <c r="B4261" s="2" t="s">
        <v>8721</v>
      </c>
      <c r="C4261" s="2" t="s">
        <v>8722</v>
      </c>
      <c r="D4261" s="2"/>
      <c r="E4261" s="2" t="s">
        <v>1345</v>
      </c>
      <c r="F4261" s="3" t="n">
        <v>8E-006</v>
      </c>
      <c r="G4261" s="3" t="n">
        <f aca="false">SUM($F$2:F4261)</f>
        <v>0.996154</v>
      </c>
      <c r="H4261" s="4"/>
      <c r="I4261" s="5"/>
      <c r="J4261" s="4"/>
      <c r="K4261" s="5"/>
      <c r="L4261" s="6"/>
      <c r="M4261" s="5" t="str">
        <f aca="false">IF(AND(N(K4261)&gt;0,N(L4261)&gt;0),K4261/L4261,"")</f>
        <v/>
      </c>
      <c r="N4261" s="2" t="s">
        <v>1226</v>
      </c>
    </row>
    <row r="4262" customFormat="false" ht="15" hidden="false" customHeight="false" outlineLevel="0" collapsed="false">
      <c r="A4262" s="2" t="n">
        <v>4261</v>
      </c>
      <c r="B4262" s="2" t="s">
        <v>8723</v>
      </c>
      <c r="C4262" s="2" t="s">
        <v>8724</v>
      </c>
      <c r="D4262" s="2"/>
      <c r="E4262" s="2" t="s">
        <v>1345</v>
      </c>
      <c r="F4262" s="3" t="n">
        <v>8E-006</v>
      </c>
      <c r="G4262" s="3" t="n">
        <f aca="false">SUM($F$2:F4262)</f>
        <v>0.996162</v>
      </c>
      <c r="H4262" s="4"/>
      <c r="I4262" s="5"/>
      <c r="J4262" s="4"/>
      <c r="K4262" s="5"/>
      <c r="L4262" s="6"/>
      <c r="M4262" s="5" t="str">
        <f aca="false">IF(AND(N(K4262)&gt;0,N(L4262)&gt;0),K4262/L4262,"")</f>
        <v/>
      </c>
      <c r="N4262" s="2" t="s">
        <v>1226</v>
      </c>
    </row>
    <row r="4263" customFormat="false" ht="15" hidden="false" customHeight="false" outlineLevel="0" collapsed="false">
      <c r="A4263" s="2" t="n">
        <v>4262</v>
      </c>
      <c r="B4263" s="2" t="s">
        <v>8725</v>
      </c>
      <c r="C4263" s="2" t="s">
        <v>8726</v>
      </c>
      <c r="D4263" s="2"/>
      <c r="E4263" s="2" t="s">
        <v>17</v>
      </c>
      <c r="F4263" s="3" t="n">
        <v>8E-006</v>
      </c>
      <c r="G4263" s="3" t="n">
        <f aca="false">SUM($F$2:F4263)</f>
        <v>0.99617</v>
      </c>
      <c r="H4263" s="4"/>
      <c r="I4263" s="5"/>
      <c r="J4263" s="4"/>
      <c r="K4263" s="5"/>
      <c r="L4263" s="6"/>
      <c r="M4263" s="5" t="str">
        <f aca="false">IF(AND(N(K4263)&gt;0,N(L4263)&gt;0),K4263/L4263,"")</f>
        <v/>
      </c>
      <c r="N4263" s="2" t="s">
        <v>1226</v>
      </c>
    </row>
    <row r="4264" customFormat="false" ht="15" hidden="false" customHeight="false" outlineLevel="0" collapsed="false">
      <c r="A4264" s="2" t="n">
        <v>4263</v>
      </c>
      <c r="B4264" s="2" t="s">
        <v>8727</v>
      </c>
      <c r="C4264" s="2" t="s">
        <v>8728</v>
      </c>
      <c r="D4264" s="2"/>
      <c r="E4264" s="2" t="s">
        <v>289</v>
      </c>
      <c r="F4264" s="3" t="n">
        <v>8E-006</v>
      </c>
      <c r="G4264" s="3" t="n">
        <f aca="false">SUM($F$2:F4264)</f>
        <v>0.996178</v>
      </c>
      <c r="H4264" s="4"/>
      <c r="I4264" s="5"/>
      <c r="J4264" s="4"/>
      <c r="K4264" s="5"/>
      <c r="L4264" s="6"/>
      <c r="M4264" s="5" t="str">
        <f aca="false">IF(AND(N(K4264)&gt;0,N(L4264)&gt;0),K4264/L4264,"")</f>
        <v/>
      </c>
      <c r="N4264" s="2" t="s">
        <v>1226</v>
      </c>
    </row>
    <row r="4265" customFormat="false" ht="15" hidden="false" customHeight="false" outlineLevel="0" collapsed="false">
      <c r="A4265" s="2" t="n">
        <v>4264</v>
      </c>
      <c r="B4265" s="2" t="s">
        <v>8729</v>
      </c>
      <c r="C4265" s="2" t="s">
        <v>8730</v>
      </c>
      <c r="D4265" s="2"/>
      <c r="E4265" s="2" t="s">
        <v>52</v>
      </c>
      <c r="F4265" s="3" t="n">
        <v>8E-006</v>
      </c>
      <c r="G4265" s="3" t="n">
        <f aca="false">SUM($F$2:F4265)</f>
        <v>0.996186</v>
      </c>
      <c r="H4265" s="4"/>
      <c r="I4265" s="5"/>
      <c r="J4265" s="4"/>
      <c r="K4265" s="5"/>
      <c r="L4265" s="6"/>
      <c r="M4265" s="5" t="str">
        <f aca="false">IF(AND(N(K4265)&gt;0,N(L4265)&gt;0),K4265/L4265,"")</f>
        <v/>
      </c>
      <c r="N4265" s="2" t="s">
        <v>1226</v>
      </c>
    </row>
    <row r="4266" customFormat="false" ht="15" hidden="false" customHeight="false" outlineLevel="0" collapsed="false">
      <c r="A4266" s="2" t="n">
        <v>4265</v>
      </c>
      <c r="B4266" s="2" t="s">
        <v>8731</v>
      </c>
      <c r="C4266" s="2" t="s">
        <v>8732</v>
      </c>
      <c r="D4266" s="2"/>
      <c r="E4266" s="2" t="s">
        <v>1345</v>
      </c>
      <c r="F4266" s="3" t="n">
        <v>8E-006</v>
      </c>
      <c r="G4266" s="3" t="n">
        <f aca="false">SUM($F$2:F4266)</f>
        <v>0.996194</v>
      </c>
      <c r="H4266" s="4"/>
      <c r="I4266" s="5"/>
      <c r="J4266" s="4"/>
      <c r="K4266" s="5"/>
      <c r="L4266" s="6"/>
      <c r="M4266" s="5" t="str">
        <f aca="false">IF(AND(N(K4266)&gt;0,N(L4266)&gt;0),K4266/L4266,"")</f>
        <v/>
      </c>
      <c r="N4266" s="2" t="s">
        <v>1226</v>
      </c>
    </row>
    <row r="4267" customFormat="false" ht="15" hidden="false" customHeight="false" outlineLevel="0" collapsed="false">
      <c r="A4267" s="2" t="n">
        <v>4266</v>
      </c>
      <c r="B4267" s="2" t="s">
        <v>8733</v>
      </c>
      <c r="C4267" s="2" t="s">
        <v>8734</v>
      </c>
      <c r="D4267" s="2"/>
      <c r="E4267" s="2" t="s">
        <v>52</v>
      </c>
      <c r="F4267" s="3" t="n">
        <v>8E-006</v>
      </c>
      <c r="G4267" s="3" t="n">
        <f aca="false">SUM($F$2:F4267)</f>
        <v>0.996202</v>
      </c>
      <c r="H4267" s="4"/>
      <c r="I4267" s="5"/>
      <c r="J4267" s="4"/>
      <c r="K4267" s="5"/>
      <c r="L4267" s="6"/>
      <c r="M4267" s="5" t="str">
        <f aca="false">IF(AND(N(K4267)&gt;0,N(L4267)&gt;0),K4267/L4267,"")</f>
        <v/>
      </c>
      <c r="N4267" s="2" t="s">
        <v>1226</v>
      </c>
    </row>
    <row r="4268" customFormat="false" ht="15" hidden="false" customHeight="false" outlineLevel="0" collapsed="false">
      <c r="A4268" s="2" t="n">
        <v>4267</v>
      </c>
      <c r="B4268" s="2" t="s">
        <v>8735</v>
      </c>
      <c r="C4268" s="2" t="s">
        <v>8736</v>
      </c>
      <c r="D4268" s="2"/>
      <c r="E4268" s="2" t="s">
        <v>1345</v>
      </c>
      <c r="F4268" s="3" t="n">
        <v>8E-006</v>
      </c>
      <c r="G4268" s="3" t="n">
        <f aca="false">SUM($F$2:F4268)</f>
        <v>0.99621</v>
      </c>
      <c r="H4268" s="4"/>
      <c r="I4268" s="5"/>
      <c r="J4268" s="4"/>
      <c r="K4268" s="5"/>
      <c r="L4268" s="6"/>
      <c r="M4268" s="5" t="str">
        <f aca="false">IF(AND(N(K4268)&gt;0,N(L4268)&gt;0),K4268/L4268,"")</f>
        <v/>
      </c>
      <c r="N4268" s="2" t="s">
        <v>1226</v>
      </c>
    </row>
    <row r="4269" customFormat="false" ht="15" hidden="false" customHeight="false" outlineLevel="0" collapsed="false">
      <c r="A4269" s="2" t="n">
        <v>4268</v>
      </c>
      <c r="B4269" s="2" t="s">
        <v>8737</v>
      </c>
      <c r="C4269" s="2" t="s">
        <v>8738</v>
      </c>
      <c r="D4269" s="2"/>
      <c r="E4269" s="2" t="s">
        <v>1345</v>
      </c>
      <c r="F4269" s="3" t="n">
        <v>8E-006</v>
      </c>
      <c r="G4269" s="3" t="n">
        <f aca="false">SUM($F$2:F4269)</f>
        <v>0.996218</v>
      </c>
      <c r="H4269" s="4"/>
      <c r="I4269" s="5"/>
      <c r="J4269" s="4"/>
      <c r="K4269" s="5"/>
      <c r="L4269" s="6"/>
      <c r="M4269" s="5" t="str">
        <f aca="false">IF(AND(N(K4269)&gt;0,N(L4269)&gt;0),K4269/L4269,"")</f>
        <v/>
      </c>
      <c r="N4269" s="2" t="s">
        <v>1226</v>
      </c>
    </row>
    <row r="4270" customFormat="false" ht="15" hidden="false" customHeight="false" outlineLevel="0" collapsed="false">
      <c r="A4270" s="2" t="n">
        <v>4269</v>
      </c>
      <c r="B4270" s="2" t="s">
        <v>8739</v>
      </c>
      <c r="C4270" s="2" t="s">
        <v>8740</v>
      </c>
      <c r="D4270" s="2"/>
      <c r="E4270" s="2" t="s">
        <v>52</v>
      </c>
      <c r="F4270" s="3" t="n">
        <v>8E-006</v>
      </c>
      <c r="G4270" s="3" t="n">
        <f aca="false">SUM($F$2:F4270)</f>
        <v>0.996226</v>
      </c>
      <c r="H4270" s="4"/>
      <c r="I4270" s="5"/>
      <c r="J4270" s="4"/>
      <c r="K4270" s="5"/>
      <c r="L4270" s="6"/>
      <c r="M4270" s="5" t="str">
        <f aca="false">IF(AND(N(K4270)&gt;0,N(L4270)&gt;0),K4270/L4270,"")</f>
        <v/>
      </c>
      <c r="N4270" s="2" t="s">
        <v>1226</v>
      </c>
    </row>
    <row r="4271" customFormat="false" ht="15" hidden="false" customHeight="false" outlineLevel="0" collapsed="false">
      <c r="A4271" s="2" t="n">
        <v>4270</v>
      </c>
      <c r="B4271" s="2" t="s">
        <v>8741</v>
      </c>
      <c r="C4271" s="2" t="s">
        <v>8742</v>
      </c>
      <c r="D4271" s="2"/>
      <c r="E4271" s="2" t="s">
        <v>25</v>
      </c>
      <c r="F4271" s="3" t="n">
        <v>8E-006</v>
      </c>
      <c r="G4271" s="3" t="n">
        <f aca="false">SUM($F$2:F4271)</f>
        <v>0.996234</v>
      </c>
      <c r="H4271" s="4"/>
      <c r="I4271" s="5"/>
      <c r="J4271" s="4"/>
      <c r="K4271" s="5"/>
      <c r="L4271" s="6"/>
      <c r="M4271" s="5" t="str">
        <f aca="false">IF(AND(N(K4271)&gt;0,N(L4271)&gt;0),K4271/L4271,"")</f>
        <v/>
      </c>
      <c r="N4271" s="2" t="s">
        <v>1226</v>
      </c>
    </row>
    <row r="4272" customFormat="false" ht="15" hidden="false" customHeight="false" outlineLevel="0" collapsed="false">
      <c r="A4272" s="2" t="n">
        <v>4271</v>
      </c>
      <c r="B4272" s="2" t="s">
        <v>8743</v>
      </c>
      <c r="C4272" s="2" t="s">
        <v>8744</v>
      </c>
      <c r="D4272" s="2"/>
      <c r="E4272" s="2" t="s">
        <v>1345</v>
      </c>
      <c r="F4272" s="3" t="n">
        <v>8E-006</v>
      </c>
      <c r="G4272" s="3" t="n">
        <f aca="false">SUM($F$2:F4272)</f>
        <v>0.996242</v>
      </c>
      <c r="H4272" s="4"/>
      <c r="I4272" s="5"/>
      <c r="J4272" s="4"/>
      <c r="K4272" s="5"/>
      <c r="L4272" s="6"/>
      <c r="M4272" s="5" t="str">
        <f aca="false">IF(AND(N(K4272)&gt;0,N(L4272)&gt;0),K4272/L4272,"")</f>
        <v/>
      </c>
      <c r="N4272" s="2" t="s">
        <v>1226</v>
      </c>
    </row>
    <row r="4273" customFormat="false" ht="15" hidden="false" customHeight="false" outlineLevel="0" collapsed="false">
      <c r="A4273" s="2" t="n">
        <v>4272</v>
      </c>
      <c r="B4273" s="2" t="s">
        <v>8745</v>
      </c>
      <c r="C4273" s="2" t="s">
        <v>8746</v>
      </c>
      <c r="D4273" s="2"/>
      <c r="E4273" s="2" t="s">
        <v>25</v>
      </c>
      <c r="F4273" s="3" t="n">
        <v>8E-006</v>
      </c>
      <c r="G4273" s="3" t="n">
        <f aca="false">SUM($F$2:F4273)</f>
        <v>0.99625</v>
      </c>
      <c r="H4273" s="4"/>
      <c r="I4273" s="5"/>
      <c r="J4273" s="4"/>
      <c r="K4273" s="5"/>
      <c r="L4273" s="6"/>
      <c r="M4273" s="5" t="str">
        <f aca="false">IF(AND(N(K4273)&gt;0,N(L4273)&gt;0),K4273/L4273,"")</f>
        <v/>
      </c>
      <c r="N4273" s="2" t="s">
        <v>1226</v>
      </c>
    </row>
    <row r="4274" customFormat="false" ht="15" hidden="false" customHeight="false" outlineLevel="0" collapsed="false">
      <c r="A4274" s="2" t="n">
        <v>4273</v>
      </c>
      <c r="B4274" s="2" t="s">
        <v>8747</v>
      </c>
      <c r="C4274" s="2" t="s">
        <v>8748</v>
      </c>
      <c r="D4274" s="2"/>
      <c r="E4274" s="2" t="s">
        <v>1284</v>
      </c>
      <c r="F4274" s="3" t="n">
        <v>8E-006</v>
      </c>
      <c r="G4274" s="3" t="n">
        <f aca="false">SUM($F$2:F4274)</f>
        <v>0.996258</v>
      </c>
      <c r="H4274" s="4"/>
      <c r="I4274" s="5"/>
      <c r="J4274" s="4"/>
      <c r="K4274" s="5"/>
      <c r="L4274" s="6"/>
      <c r="M4274" s="5" t="str">
        <f aca="false">IF(AND(N(K4274)&gt;0,N(L4274)&gt;0),K4274/L4274,"")</f>
        <v/>
      </c>
      <c r="N4274" s="2" t="s">
        <v>1226</v>
      </c>
    </row>
    <row r="4275" customFormat="false" ht="15" hidden="false" customHeight="false" outlineLevel="0" collapsed="false">
      <c r="A4275" s="2" t="n">
        <v>4274</v>
      </c>
      <c r="B4275" s="2" t="s">
        <v>8749</v>
      </c>
      <c r="C4275" s="2" t="s">
        <v>8750</v>
      </c>
      <c r="D4275" s="2"/>
      <c r="E4275" s="2" t="s">
        <v>1345</v>
      </c>
      <c r="F4275" s="3" t="n">
        <v>8E-006</v>
      </c>
      <c r="G4275" s="3" t="n">
        <f aca="false">SUM($F$2:F4275)</f>
        <v>0.996266</v>
      </c>
      <c r="H4275" s="4"/>
      <c r="I4275" s="5"/>
      <c r="J4275" s="4"/>
      <c r="K4275" s="5"/>
      <c r="L4275" s="6"/>
      <c r="M4275" s="5" t="str">
        <f aca="false">IF(AND(N(K4275)&gt;0,N(L4275)&gt;0),K4275/L4275,"")</f>
        <v/>
      </c>
      <c r="N4275" s="2" t="s">
        <v>1226</v>
      </c>
    </row>
    <row r="4276" customFormat="false" ht="15" hidden="false" customHeight="false" outlineLevel="0" collapsed="false">
      <c r="A4276" s="2" t="n">
        <v>4275</v>
      </c>
      <c r="B4276" s="2" t="s">
        <v>8751</v>
      </c>
      <c r="C4276" s="2" t="s">
        <v>8752</v>
      </c>
      <c r="D4276" s="2"/>
      <c r="E4276" s="2" t="s">
        <v>826</v>
      </c>
      <c r="F4276" s="3" t="n">
        <v>8E-006</v>
      </c>
      <c r="G4276" s="3" t="n">
        <f aca="false">SUM($F$2:F4276)</f>
        <v>0.996274</v>
      </c>
      <c r="H4276" s="4"/>
      <c r="I4276" s="5"/>
      <c r="J4276" s="4"/>
      <c r="K4276" s="5"/>
      <c r="L4276" s="6"/>
      <c r="M4276" s="5" t="str">
        <f aca="false">IF(AND(N(K4276)&gt;0,N(L4276)&gt;0),K4276/L4276,"")</f>
        <v/>
      </c>
      <c r="N4276" s="2" t="s">
        <v>1226</v>
      </c>
    </row>
    <row r="4277" customFormat="false" ht="15" hidden="false" customHeight="false" outlineLevel="0" collapsed="false">
      <c r="A4277" s="2" t="n">
        <v>4276</v>
      </c>
      <c r="B4277" s="2" t="s">
        <v>8753</v>
      </c>
      <c r="C4277" s="2" t="s">
        <v>8754</v>
      </c>
      <c r="D4277" s="2"/>
      <c r="E4277" s="2" t="s">
        <v>2741</v>
      </c>
      <c r="F4277" s="3" t="n">
        <v>8E-006</v>
      </c>
      <c r="G4277" s="3" t="n">
        <f aca="false">SUM($F$2:F4277)</f>
        <v>0.996282</v>
      </c>
      <c r="H4277" s="4"/>
      <c r="I4277" s="5"/>
      <c r="J4277" s="4"/>
      <c r="K4277" s="5"/>
      <c r="L4277" s="6"/>
      <c r="M4277" s="5" t="str">
        <f aca="false">IF(AND(N(K4277)&gt;0,N(L4277)&gt;0),K4277/L4277,"")</f>
        <v/>
      </c>
      <c r="N4277" s="2" t="s">
        <v>1226</v>
      </c>
    </row>
    <row r="4278" customFormat="false" ht="15" hidden="false" customHeight="false" outlineLevel="0" collapsed="false">
      <c r="A4278" s="2" t="n">
        <v>4277</v>
      </c>
      <c r="B4278" s="2" t="s">
        <v>8755</v>
      </c>
      <c r="C4278" s="2" t="s">
        <v>8756</v>
      </c>
      <c r="D4278" s="2"/>
      <c r="E4278" s="2" t="s">
        <v>289</v>
      </c>
      <c r="F4278" s="3" t="n">
        <v>8E-006</v>
      </c>
      <c r="G4278" s="3" t="n">
        <f aca="false">SUM($F$2:F4278)</f>
        <v>0.99629</v>
      </c>
      <c r="H4278" s="4"/>
      <c r="I4278" s="5"/>
      <c r="J4278" s="4"/>
      <c r="K4278" s="5"/>
      <c r="L4278" s="6"/>
      <c r="M4278" s="5" t="str">
        <f aca="false">IF(AND(N(K4278)&gt;0,N(L4278)&gt;0),K4278/L4278,"")</f>
        <v/>
      </c>
      <c r="N4278" s="2" t="s">
        <v>1226</v>
      </c>
    </row>
    <row r="4279" customFormat="false" ht="15" hidden="false" customHeight="false" outlineLevel="0" collapsed="false">
      <c r="A4279" s="2" t="n">
        <v>4278</v>
      </c>
      <c r="B4279" s="2" t="s">
        <v>8757</v>
      </c>
      <c r="C4279" s="2" t="s">
        <v>8758</v>
      </c>
      <c r="D4279" s="2"/>
      <c r="E4279" s="2" t="s">
        <v>52</v>
      </c>
      <c r="F4279" s="3" t="n">
        <v>8E-006</v>
      </c>
      <c r="G4279" s="3" t="n">
        <f aca="false">SUM($F$2:F4279)</f>
        <v>0.996298</v>
      </c>
      <c r="H4279" s="4"/>
      <c r="I4279" s="5"/>
      <c r="J4279" s="4"/>
      <c r="K4279" s="5"/>
      <c r="L4279" s="6"/>
      <c r="M4279" s="5" t="str">
        <f aca="false">IF(AND(N(K4279)&gt;0,N(L4279)&gt;0),K4279/L4279,"")</f>
        <v/>
      </c>
      <c r="N4279" s="2" t="s">
        <v>1226</v>
      </c>
    </row>
    <row r="4280" customFormat="false" ht="15" hidden="false" customHeight="false" outlineLevel="0" collapsed="false">
      <c r="A4280" s="2" t="n">
        <v>4279</v>
      </c>
      <c r="B4280" s="2" t="s">
        <v>8759</v>
      </c>
      <c r="C4280" s="2" t="s">
        <v>8760</v>
      </c>
      <c r="D4280" s="2"/>
      <c r="E4280" s="2" t="s">
        <v>826</v>
      </c>
      <c r="F4280" s="3" t="n">
        <v>8E-006</v>
      </c>
      <c r="G4280" s="3" t="n">
        <f aca="false">SUM($F$2:F4280)</f>
        <v>0.996306</v>
      </c>
      <c r="H4280" s="4"/>
      <c r="I4280" s="5"/>
      <c r="J4280" s="4"/>
      <c r="K4280" s="5"/>
      <c r="L4280" s="6"/>
      <c r="M4280" s="5" t="str">
        <f aca="false">IF(AND(N(K4280)&gt;0,N(L4280)&gt;0),K4280/L4280,"")</f>
        <v/>
      </c>
      <c r="N4280" s="2" t="s">
        <v>1226</v>
      </c>
    </row>
    <row r="4281" customFormat="false" ht="15" hidden="false" customHeight="false" outlineLevel="0" collapsed="false">
      <c r="A4281" s="2" t="n">
        <v>4280</v>
      </c>
      <c r="B4281" s="2" t="s">
        <v>8761</v>
      </c>
      <c r="C4281" s="2" t="s">
        <v>8762</v>
      </c>
      <c r="D4281" s="2"/>
      <c r="E4281" s="2" t="s">
        <v>289</v>
      </c>
      <c r="F4281" s="3" t="n">
        <v>8E-006</v>
      </c>
      <c r="G4281" s="3" t="n">
        <f aca="false">SUM($F$2:F4281)</f>
        <v>0.996314</v>
      </c>
      <c r="H4281" s="4"/>
      <c r="I4281" s="5"/>
      <c r="J4281" s="4"/>
      <c r="K4281" s="5"/>
      <c r="L4281" s="6"/>
      <c r="M4281" s="5" t="str">
        <f aca="false">IF(AND(N(K4281)&gt;0,N(L4281)&gt;0),K4281/L4281,"")</f>
        <v/>
      </c>
      <c r="N4281" s="2" t="s">
        <v>1226</v>
      </c>
    </row>
    <row r="4282" customFormat="false" ht="15" hidden="false" customHeight="false" outlineLevel="0" collapsed="false">
      <c r="A4282" s="2" t="n">
        <v>4281</v>
      </c>
      <c r="B4282" s="2" t="s">
        <v>8763</v>
      </c>
      <c r="C4282" s="2" t="s">
        <v>8764</v>
      </c>
      <c r="D4282" s="2"/>
      <c r="E4282" s="2" t="s">
        <v>21</v>
      </c>
      <c r="F4282" s="3" t="n">
        <v>7E-006</v>
      </c>
      <c r="G4282" s="3" t="n">
        <f aca="false">SUM($F$2:F4282)</f>
        <v>0.996321</v>
      </c>
      <c r="H4282" s="4"/>
      <c r="I4282" s="5"/>
      <c r="J4282" s="4"/>
      <c r="K4282" s="5"/>
      <c r="L4282" s="6"/>
      <c r="M4282" s="5" t="str">
        <f aca="false">IF(AND(N(K4282)&gt;0,N(L4282)&gt;0),K4282/L4282,"")</f>
        <v/>
      </c>
      <c r="N4282" s="2" t="s">
        <v>1226</v>
      </c>
    </row>
    <row r="4283" customFormat="false" ht="15" hidden="false" customHeight="false" outlineLevel="0" collapsed="false">
      <c r="A4283" s="2" t="n">
        <v>4282</v>
      </c>
      <c r="B4283" s="2" t="s">
        <v>8765</v>
      </c>
      <c r="C4283" s="2" t="s">
        <v>8766</v>
      </c>
      <c r="D4283" s="2"/>
      <c r="E4283" s="2" t="s">
        <v>539</v>
      </c>
      <c r="F4283" s="3" t="n">
        <v>7E-006</v>
      </c>
      <c r="G4283" s="3" t="n">
        <f aca="false">SUM($F$2:F4283)</f>
        <v>0.996328</v>
      </c>
      <c r="H4283" s="4"/>
      <c r="I4283" s="5"/>
      <c r="J4283" s="4"/>
      <c r="K4283" s="5"/>
      <c r="L4283" s="6"/>
      <c r="M4283" s="5" t="str">
        <f aca="false">IF(AND(N(K4283)&gt;0,N(L4283)&gt;0),K4283/L4283,"")</f>
        <v/>
      </c>
      <c r="N4283" s="2" t="s">
        <v>1226</v>
      </c>
    </row>
    <row r="4284" customFormat="false" ht="15" hidden="false" customHeight="false" outlineLevel="0" collapsed="false">
      <c r="A4284" s="2" t="n">
        <v>4283</v>
      </c>
      <c r="B4284" s="2" t="s">
        <v>8767</v>
      </c>
      <c r="C4284" s="2" t="s">
        <v>8768</v>
      </c>
      <c r="D4284" s="2"/>
      <c r="E4284" s="2" t="s">
        <v>29</v>
      </c>
      <c r="F4284" s="3" t="n">
        <v>7E-006</v>
      </c>
      <c r="G4284" s="3" t="n">
        <f aca="false">SUM($F$2:F4284)</f>
        <v>0.996335</v>
      </c>
      <c r="H4284" s="4"/>
      <c r="I4284" s="5"/>
      <c r="J4284" s="4"/>
      <c r="K4284" s="5"/>
      <c r="L4284" s="6"/>
      <c r="M4284" s="5" t="str">
        <f aca="false">IF(AND(N(K4284)&gt;0,N(L4284)&gt;0),K4284/L4284,"")</f>
        <v/>
      </c>
      <c r="N4284" s="2" t="s">
        <v>1226</v>
      </c>
    </row>
    <row r="4285" customFormat="false" ht="15" hidden="false" customHeight="false" outlineLevel="0" collapsed="false">
      <c r="A4285" s="2" t="n">
        <v>4284</v>
      </c>
      <c r="B4285" s="2" t="s">
        <v>8769</v>
      </c>
      <c r="C4285" s="2" t="s">
        <v>8770</v>
      </c>
      <c r="D4285" s="2"/>
      <c r="E4285" s="2" t="s">
        <v>1345</v>
      </c>
      <c r="F4285" s="3" t="n">
        <v>7E-006</v>
      </c>
      <c r="G4285" s="3" t="n">
        <f aca="false">SUM($F$2:F4285)</f>
        <v>0.996342</v>
      </c>
      <c r="H4285" s="4"/>
      <c r="I4285" s="5"/>
      <c r="J4285" s="4"/>
      <c r="K4285" s="5"/>
      <c r="L4285" s="6"/>
      <c r="M4285" s="5" t="str">
        <f aca="false">IF(AND(N(K4285)&gt;0,N(L4285)&gt;0),K4285/L4285,"")</f>
        <v/>
      </c>
      <c r="N4285" s="2" t="s">
        <v>1226</v>
      </c>
    </row>
    <row r="4286" customFormat="false" ht="15" hidden="false" customHeight="false" outlineLevel="0" collapsed="false">
      <c r="A4286" s="2" t="n">
        <v>4285</v>
      </c>
      <c r="B4286" s="2" t="s">
        <v>8771</v>
      </c>
      <c r="C4286" s="2" t="s">
        <v>8772</v>
      </c>
      <c r="D4286" s="2"/>
      <c r="E4286" s="2" t="s">
        <v>1345</v>
      </c>
      <c r="F4286" s="3" t="n">
        <v>7E-006</v>
      </c>
      <c r="G4286" s="3" t="n">
        <f aca="false">SUM($F$2:F4286)</f>
        <v>0.996349</v>
      </c>
      <c r="H4286" s="4"/>
      <c r="I4286" s="5"/>
      <c r="J4286" s="4"/>
      <c r="K4286" s="5"/>
      <c r="L4286" s="6"/>
      <c r="M4286" s="5" t="str">
        <f aca="false">IF(AND(N(K4286)&gt;0,N(L4286)&gt;0),K4286/L4286,"")</f>
        <v/>
      </c>
      <c r="N4286" s="2" t="s">
        <v>1226</v>
      </c>
    </row>
    <row r="4287" customFormat="false" ht="15" hidden="false" customHeight="false" outlineLevel="0" collapsed="false">
      <c r="A4287" s="2" t="n">
        <v>4286</v>
      </c>
      <c r="B4287" s="2" t="s">
        <v>8773</v>
      </c>
      <c r="C4287" s="2" t="s">
        <v>8774</v>
      </c>
      <c r="D4287" s="2"/>
      <c r="E4287" s="2" t="s">
        <v>17</v>
      </c>
      <c r="F4287" s="3" t="n">
        <v>7E-006</v>
      </c>
      <c r="G4287" s="3" t="n">
        <f aca="false">SUM($F$2:F4287)</f>
        <v>0.996356</v>
      </c>
      <c r="H4287" s="4"/>
      <c r="I4287" s="5"/>
      <c r="J4287" s="4"/>
      <c r="K4287" s="5"/>
      <c r="L4287" s="6"/>
      <c r="M4287" s="5" t="str">
        <f aca="false">IF(AND(N(K4287)&gt;0,N(L4287)&gt;0),K4287/L4287,"")</f>
        <v/>
      </c>
      <c r="N4287" s="2" t="s">
        <v>1226</v>
      </c>
    </row>
    <row r="4288" customFormat="false" ht="15" hidden="false" customHeight="false" outlineLevel="0" collapsed="false">
      <c r="A4288" s="2" t="n">
        <v>4287</v>
      </c>
      <c r="B4288" s="2" t="s">
        <v>8775</v>
      </c>
      <c r="C4288" s="2" t="s">
        <v>8776</v>
      </c>
      <c r="D4288" s="2"/>
      <c r="E4288" s="2" t="s">
        <v>289</v>
      </c>
      <c r="F4288" s="3" t="n">
        <v>7E-006</v>
      </c>
      <c r="G4288" s="3" t="n">
        <f aca="false">SUM($F$2:F4288)</f>
        <v>0.996363</v>
      </c>
      <c r="H4288" s="4"/>
      <c r="I4288" s="5"/>
      <c r="J4288" s="4"/>
      <c r="K4288" s="5"/>
      <c r="L4288" s="6"/>
      <c r="M4288" s="5" t="str">
        <f aca="false">IF(AND(N(K4288)&gt;0,N(L4288)&gt;0),K4288/L4288,"")</f>
        <v/>
      </c>
      <c r="N4288" s="2" t="s">
        <v>1226</v>
      </c>
    </row>
    <row r="4289" customFormat="false" ht="15" hidden="false" customHeight="false" outlineLevel="0" collapsed="false">
      <c r="A4289" s="2" t="n">
        <v>4288</v>
      </c>
      <c r="B4289" s="2" t="s">
        <v>8777</v>
      </c>
      <c r="C4289" s="2" t="s">
        <v>8778</v>
      </c>
      <c r="D4289" s="2"/>
      <c r="E4289" s="2" t="s">
        <v>199</v>
      </c>
      <c r="F4289" s="3" t="n">
        <v>7E-006</v>
      </c>
      <c r="G4289" s="3" t="n">
        <f aca="false">SUM($F$2:F4289)</f>
        <v>0.99637</v>
      </c>
      <c r="H4289" s="4"/>
      <c r="I4289" s="5"/>
      <c r="J4289" s="4"/>
      <c r="K4289" s="5"/>
      <c r="L4289" s="6"/>
      <c r="M4289" s="5" t="str">
        <f aca="false">IF(AND(N(K4289)&gt;0,N(L4289)&gt;0),K4289/L4289,"")</f>
        <v/>
      </c>
      <c r="N4289" s="2" t="s">
        <v>1226</v>
      </c>
    </row>
    <row r="4290" customFormat="false" ht="15" hidden="false" customHeight="false" outlineLevel="0" collapsed="false">
      <c r="A4290" s="2" t="n">
        <v>4289</v>
      </c>
      <c r="B4290" s="2" t="s">
        <v>8779</v>
      </c>
      <c r="C4290" s="2" t="s">
        <v>8780</v>
      </c>
      <c r="D4290" s="2"/>
      <c r="E4290" s="2" t="s">
        <v>43</v>
      </c>
      <c r="F4290" s="3" t="n">
        <v>7E-006</v>
      </c>
      <c r="G4290" s="3" t="n">
        <f aca="false">SUM($F$2:F4290)</f>
        <v>0.996377</v>
      </c>
      <c r="H4290" s="4"/>
      <c r="I4290" s="5"/>
      <c r="J4290" s="4"/>
      <c r="K4290" s="5"/>
      <c r="L4290" s="6"/>
      <c r="M4290" s="5" t="str">
        <f aca="false">IF(AND(N(K4290)&gt;0,N(L4290)&gt;0),K4290/L4290,"")</f>
        <v/>
      </c>
      <c r="N4290" s="2" t="s">
        <v>1226</v>
      </c>
    </row>
    <row r="4291" customFormat="false" ht="15" hidden="false" customHeight="false" outlineLevel="0" collapsed="false">
      <c r="A4291" s="2" t="n">
        <v>4290</v>
      </c>
      <c r="B4291" s="2" t="s">
        <v>8781</v>
      </c>
      <c r="C4291" s="2" t="s">
        <v>8782</v>
      </c>
      <c r="D4291" s="2"/>
      <c r="E4291" s="2" t="s">
        <v>1345</v>
      </c>
      <c r="F4291" s="3" t="n">
        <v>7E-006</v>
      </c>
      <c r="G4291" s="3" t="n">
        <f aca="false">SUM($F$2:F4291)</f>
        <v>0.996384</v>
      </c>
      <c r="H4291" s="4"/>
      <c r="I4291" s="5"/>
      <c r="J4291" s="4"/>
      <c r="K4291" s="5"/>
      <c r="L4291" s="6"/>
      <c r="M4291" s="5" t="str">
        <f aca="false">IF(AND(N(K4291)&gt;0,N(L4291)&gt;0),K4291/L4291,"")</f>
        <v/>
      </c>
      <c r="N4291" s="2" t="s">
        <v>1226</v>
      </c>
    </row>
    <row r="4292" customFormat="false" ht="15" hidden="false" customHeight="false" outlineLevel="0" collapsed="false">
      <c r="A4292" s="2" t="n">
        <v>4291</v>
      </c>
      <c r="B4292" s="2" t="s">
        <v>8783</v>
      </c>
      <c r="C4292" s="2" t="s">
        <v>8784</v>
      </c>
      <c r="D4292" s="2"/>
      <c r="E4292" s="2" t="s">
        <v>289</v>
      </c>
      <c r="F4292" s="3" t="n">
        <v>7E-006</v>
      </c>
      <c r="G4292" s="3" t="n">
        <f aca="false">SUM($F$2:F4292)</f>
        <v>0.996391</v>
      </c>
      <c r="H4292" s="4"/>
      <c r="I4292" s="5"/>
      <c r="J4292" s="4"/>
      <c r="K4292" s="5"/>
      <c r="L4292" s="6"/>
      <c r="M4292" s="5" t="str">
        <f aca="false">IF(AND(N(K4292)&gt;0,N(L4292)&gt;0),K4292/L4292,"")</f>
        <v/>
      </c>
      <c r="N4292" s="2" t="s">
        <v>1226</v>
      </c>
    </row>
    <row r="4293" customFormat="false" ht="15" hidden="false" customHeight="false" outlineLevel="0" collapsed="false">
      <c r="A4293" s="2" t="n">
        <v>4292</v>
      </c>
      <c r="B4293" s="2" t="s">
        <v>8785</v>
      </c>
      <c r="C4293" s="2" t="s">
        <v>8786</v>
      </c>
      <c r="D4293" s="2"/>
      <c r="E4293" s="2" t="s">
        <v>1215</v>
      </c>
      <c r="F4293" s="3" t="n">
        <v>7E-006</v>
      </c>
      <c r="G4293" s="3" t="n">
        <f aca="false">SUM($F$2:F4293)</f>
        <v>0.996398</v>
      </c>
      <c r="H4293" s="4"/>
      <c r="I4293" s="5"/>
      <c r="J4293" s="4"/>
      <c r="K4293" s="5"/>
      <c r="L4293" s="6"/>
      <c r="M4293" s="5" t="str">
        <f aca="false">IF(AND(N(K4293)&gt;0,N(L4293)&gt;0),K4293/L4293,"")</f>
        <v/>
      </c>
      <c r="N4293" s="2" t="s">
        <v>1226</v>
      </c>
    </row>
    <row r="4294" customFormat="false" ht="15" hidden="false" customHeight="false" outlineLevel="0" collapsed="false">
      <c r="A4294" s="2" t="n">
        <v>4293</v>
      </c>
      <c r="B4294" s="2" t="s">
        <v>8787</v>
      </c>
      <c r="C4294" s="2" t="s">
        <v>8788</v>
      </c>
      <c r="D4294" s="2"/>
      <c r="E4294" s="2" t="s">
        <v>43</v>
      </c>
      <c r="F4294" s="3" t="n">
        <v>7E-006</v>
      </c>
      <c r="G4294" s="3" t="n">
        <f aca="false">SUM($F$2:F4294)</f>
        <v>0.996405</v>
      </c>
      <c r="H4294" s="4"/>
      <c r="I4294" s="5"/>
      <c r="J4294" s="4"/>
      <c r="K4294" s="5"/>
      <c r="L4294" s="6"/>
      <c r="M4294" s="5" t="str">
        <f aca="false">IF(AND(N(K4294)&gt;0,N(L4294)&gt;0),K4294/L4294,"")</f>
        <v/>
      </c>
      <c r="N4294" s="2" t="s">
        <v>1226</v>
      </c>
    </row>
    <row r="4295" customFormat="false" ht="15" hidden="false" customHeight="false" outlineLevel="0" collapsed="false">
      <c r="A4295" s="2" t="n">
        <v>4294</v>
      </c>
      <c r="B4295" s="2" t="s">
        <v>7673</v>
      </c>
      <c r="C4295" s="2" t="s">
        <v>8789</v>
      </c>
      <c r="D4295" s="2"/>
      <c r="E4295" s="2" t="s">
        <v>29</v>
      </c>
      <c r="F4295" s="3" t="n">
        <v>7E-006</v>
      </c>
      <c r="G4295" s="3" t="n">
        <f aca="false">SUM($F$2:F4295)</f>
        <v>0.996412</v>
      </c>
      <c r="H4295" s="4"/>
      <c r="I4295" s="5"/>
      <c r="J4295" s="4"/>
      <c r="K4295" s="5"/>
      <c r="L4295" s="6"/>
      <c r="M4295" s="5" t="str">
        <f aca="false">IF(AND(N(K4295)&gt;0,N(L4295)&gt;0),K4295/L4295,"")</f>
        <v/>
      </c>
      <c r="N4295" s="2" t="s">
        <v>1226</v>
      </c>
    </row>
    <row r="4296" customFormat="false" ht="15" hidden="false" customHeight="false" outlineLevel="0" collapsed="false">
      <c r="A4296" s="2" t="n">
        <v>4295</v>
      </c>
      <c r="B4296" s="2" t="s">
        <v>8790</v>
      </c>
      <c r="C4296" s="2" t="s">
        <v>8791</v>
      </c>
      <c r="D4296" s="2"/>
      <c r="E4296" s="2" t="s">
        <v>38</v>
      </c>
      <c r="F4296" s="3" t="n">
        <v>7E-006</v>
      </c>
      <c r="G4296" s="3" t="n">
        <f aca="false">SUM($F$2:F4296)</f>
        <v>0.996419</v>
      </c>
      <c r="H4296" s="4"/>
      <c r="I4296" s="5"/>
      <c r="J4296" s="4"/>
      <c r="K4296" s="5"/>
      <c r="L4296" s="6"/>
      <c r="M4296" s="5" t="str">
        <f aca="false">IF(AND(N(K4296)&gt;0,N(L4296)&gt;0),K4296/L4296,"")</f>
        <v/>
      </c>
      <c r="N4296" s="2" t="s">
        <v>1226</v>
      </c>
    </row>
    <row r="4297" customFormat="false" ht="15" hidden="false" customHeight="false" outlineLevel="0" collapsed="false">
      <c r="A4297" s="2" t="n">
        <v>4296</v>
      </c>
      <c r="B4297" s="2" t="s">
        <v>8792</v>
      </c>
      <c r="C4297" s="2" t="s">
        <v>8793</v>
      </c>
      <c r="D4297" s="2"/>
      <c r="E4297" s="2" t="s">
        <v>1345</v>
      </c>
      <c r="F4297" s="3" t="n">
        <v>7E-006</v>
      </c>
      <c r="G4297" s="3" t="n">
        <f aca="false">SUM($F$2:F4297)</f>
        <v>0.996426</v>
      </c>
      <c r="H4297" s="4"/>
      <c r="I4297" s="5"/>
      <c r="J4297" s="4"/>
      <c r="K4297" s="5"/>
      <c r="L4297" s="6"/>
      <c r="M4297" s="5" t="str">
        <f aca="false">IF(AND(N(K4297)&gt;0,N(L4297)&gt;0),K4297/L4297,"")</f>
        <v/>
      </c>
      <c r="N4297" s="2" t="s">
        <v>1226</v>
      </c>
    </row>
    <row r="4298" customFormat="false" ht="15" hidden="false" customHeight="false" outlineLevel="0" collapsed="false">
      <c r="A4298" s="2" t="n">
        <v>4297</v>
      </c>
      <c r="B4298" s="2" t="s">
        <v>8794</v>
      </c>
      <c r="C4298" s="2" t="s">
        <v>8795</v>
      </c>
      <c r="D4298" s="2"/>
      <c r="E4298" s="2" t="s">
        <v>1345</v>
      </c>
      <c r="F4298" s="3" t="n">
        <v>7E-006</v>
      </c>
      <c r="G4298" s="3" t="n">
        <f aca="false">SUM($F$2:F4298)</f>
        <v>0.996433</v>
      </c>
      <c r="H4298" s="4"/>
      <c r="I4298" s="5"/>
      <c r="J4298" s="4"/>
      <c r="K4298" s="5"/>
      <c r="L4298" s="6"/>
      <c r="M4298" s="5" t="str">
        <f aca="false">IF(AND(N(K4298)&gt;0,N(L4298)&gt;0),K4298/L4298,"")</f>
        <v/>
      </c>
      <c r="N4298" s="2" t="s">
        <v>1226</v>
      </c>
    </row>
    <row r="4299" customFormat="false" ht="15" hidden="false" customHeight="false" outlineLevel="0" collapsed="false">
      <c r="A4299" s="2" t="n">
        <v>4298</v>
      </c>
      <c r="B4299" s="2" t="s">
        <v>8796</v>
      </c>
      <c r="C4299" s="2" t="s">
        <v>8797</v>
      </c>
      <c r="D4299" s="2"/>
      <c r="E4299" s="2" t="s">
        <v>1345</v>
      </c>
      <c r="F4299" s="3" t="n">
        <v>7E-006</v>
      </c>
      <c r="G4299" s="3" t="n">
        <f aca="false">SUM($F$2:F4299)</f>
        <v>0.99644</v>
      </c>
      <c r="H4299" s="4"/>
      <c r="I4299" s="5"/>
      <c r="J4299" s="4"/>
      <c r="K4299" s="5"/>
      <c r="L4299" s="6"/>
      <c r="M4299" s="5" t="str">
        <f aca="false">IF(AND(N(K4299)&gt;0,N(L4299)&gt;0),K4299/L4299,"")</f>
        <v/>
      </c>
      <c r="N4299" s="2" t="s">
        <v>1226</v>
      </c>
    </row>
    <row r="4300" customFormat="false" ht="15" hidden="false" customHeight="false" outlineLevel="0" collapsed="false">
      <c r="A4300" s="2" t="n">
        <v>4299</v>
      </c>
      <c r="B4300" s="2" t="s">
        <v>8798</v>
      </c>
      <c r="C4300" s="2" t="s">
        <v>8799</v>
      </c>
      <c r="D4300" s="2"/>
      <c r="E4300" s="2" t="s">
        <v>1345</v>
      </c>
      <c r="F4300" s="3" t="n">
        <v>7E-006</v>
      </c>
      <c r="G4300" s="3" t="n">
        <f aca="false">SUM($F$2:F4300)</f>
        <v>0.996447</v>
      </c>
      <c r="H4300" s="4"/>
      <c r="I4300" s="5"/>
      <c r="J4300" s="4"/>
      <c r="K4300" s="5"/>
      <c r="L4300" s="6"/>
      <c r="M4300" s="5" t="str">
        <f aca="false">IF(AND(N(K4300)&gt;0,N(L4300)&gt;0),K4300/L4300,"")</f>
        <v/>
      </c>
      <c r="N4300" s="2" t="s">
        <v>1226</v>
      </c>
    </row>
    <row r="4301" customFormat="false" ht="15" hidden="false" customHeight="false" outlineLevel="0" collapsed="false">
      <c r="A4301" s="2" t="n">
        <v>4300</v>
      </c>
      <c r="B4301" s="2" t="s">
        <v>8800</v>
      </c>
      <c r="C4301" s="2" t="s">
        <v>8801</v>
      </c>
      <c r="D4301" s="2"/>
      <c r="E4301" s="2" t="s">
        <v>17</v>
      </c>
      <c r="F4301" s="3" t="n">
        <v>7E-006</v>
      </c>
      <c r="G4301" s="3" t="n">
        <f aca="false">SUM($F$2:F4301)</f>
        <v>0.996454</v>
      </c>
      <c r="H4301" s="4"/>
      <c r="I4301" s="5"/>
      <c r="J4301" s="4"/>
      <c r="K4301" s="5"/>
      <c r="L4301" s="6"/>
      <c r="M4301" s="5" t="str">
        <f aca="false">IF(AND(N(K4301)&gt;0,N(L4301)&gt;0),K4301/L4301,"")</f>
        <v/>
      </c>
      <c r="N4301" s="2" t="s">
        <v>1226</v>
      </c>
    </row>
    <row r="4302" customFormat="false" ht="15" hidden="false" customHeight="false" outlineLevel="0" collapsed="false">
      <c r="A4302" s="2" t="n">
        <v>4301</v>
      </c>
      <c r="B4302" s="2" t="s">
        <v>8802</v>
      </c>
      <c r="C4302" s="2" t="s">
        <v>8803</v>
      </c>
      <c r="D4302" s="2"/>
      <c r="E4302" s="2" t="s">
        <v>25</v>
      </c>
      <c r="F4302" s="3" t="n">
        <v>7E-006</v>
      </c>
      <c r="G4302" s="3" t="n">
        <f aca="false">SUM($F$2:F4302)</f>
        <v>0.996461</v>
      </c>
      <c r="H4302" s="4"/>
      <c r="I4302" s="5"/>
      <c r="J4302" s="4"/>
      <c r="K4302" s="5"/>
      <c r="L4302" s="6"/>
      <c r="M4302" s="5" t="str">
        <f aca="false">IF(AND(N(K4302)&gt;0,N(L4302)&gt;0),K4302/L4302,"")</f>
        <v/>
      </c>
      <c r="N4302" s="2" t="s">
        <v>1226</v>
      </c>
    </row>
    <row r="4303" customFormat="false" ht="15" hidden="false" customHeight="false" outlineLevel="0" collapsed="false">
      <c r="A4303" s="2" t="n">
        <v>4302</v>
      </c>
      <c r="B4303" s="2" t="s">
        <v>8804</v>
      </c>
      <c r="C4303" s="2" t="s">
        <v>8805</v>
      </c>
      <c r="D4303" s="2"/>
      <c r="E4303" s="2" t="s">
        <v>52</v>
      </c>
      <c r="F4303" s="3" t="n">
        <v>7E-006</v>
      </c>
      <c r="G4303" s="3" t="n">
        <f aca="false">SUM($F$2:F4303)</f>
        <v>0.996468</v>
      </c>
      <c r="H4303" s="4"/>
      <c r="I4303" s="5"/>
      <c r="J4303" s="4"/>
      <c r="K4303" s="5"/>
      <c r="L4303" s="6"/>
      <c r="M4303" s="5" t="str">
        <f aca="false">IF(AND(N(K4303)&gt;0,N(L4303)&gt;0),K4303/L4303,"")</f>
        <v/>
      </c>
      <c r="N4303" s="2" t="s">
        <v>1226</v>
      </c>
    </row>
    <row r="4304" customFormat="false" ht="15" hidden="false" customHeight="false" outlineLevel="0" collapsed="false">
      <c r="A4304" s="2" t="n">
        <v>4303</v>
      </c>
      <c r="B4304" s="2" t="s">
        <v>8806</v>
      </c>
      <c r="C4304" s="2" t="s">
        <v>8807</v>
      </c>
      <c r="D4304" s="2"/>
      <c r="E4304" s="2" t="s">
        <v>52</v>
      </c>
      <c r="F4304" s="3" t="n">
        <v>7E-006</v>
      </c>
      <c r="G4304" s="3" t="n">
        <f aca="false">SUM($F$2:F4304)</f>
        <v>0.996475</v>
      </c>
      <c r="H4304" s="4"/>
      <c r="I4304" s="5"/>
      <c r="J4304" s="4"/>
      <c r="K4304" s="5"/>
      <c r="L4304" s="6"/>
      <c r="M4304" s="5" t="str">
        <f aca="false">IF(AND(N(K4304)&gt;0,N(L4304)&gt;0),K4304/L4304,"")</f>
        <v/>
      </c>
      <c r="N4304" s="2" t="s">
        <v>1226</v>
      </c>
    </row>
    <row r="4305" customFormat="false" ht="15" hidden="false" customHeight="false" outlineLevel="0" collapsed="false">
      <c r="A4305" s="2" t="n">
        <v>4304</v>
      </c>
      <c r="B4305" s="2" t="s">
        <v>8808</v>
      </c>
      <c r="C4305" s="2" t="s">
        <v>8809</v>
      </c>
      <c r="D4305" s="2"/>
      <c r="E4305" s="2" t="s">
        <v>1345</v>
      </c>
      <c r="F4305" s="3" t="n">
        <v>7E-006</v>
      </c>
      <c r="G4305" s="3" t="n">
        <f aca="false">SUM($F$2:F4305)</f>
        <v>0.996482</v>
      </c>
      <c r="H4305" s="4"/>
      <c r="I4305" s="5"/>
      <c r="J4305" s="4"/>
      <c r="K4305" s="5"/>
      <c r="L4305" s="6"/>
      <c r="M4305" s="5" t="str">
        <f aca="false">IF(AND(N(K4305)&gt;0,N(L4305)&gt;0),K4305/L4305,"")</f>
        <v/>
      </c>
      <c r="N4305" s="2" t="s">
        <v>1226</v>
      </c>
    </row>
    <row r="4306" customFormat="false" ht="15" hidden="false" customHeight="false" outlineLevel="0" collapsed="false">
      <c r="A4306" s="2" t="n">
        <v>4305</v>
      </c>
      <c r="B4306" s="2" t="s">
        <v>8810</v>
      </c>
      <c r="C4306" s="2" t="s">
        <v>8811</v>
      </c>
      <c r="D4306" s="2"/>
      <c r="E4306" s="2" t="s">
        <v>289</v>
      </c>
      <c r="F4306" s="3" t="n">
        <v>7E-006</v>
      </c>
      <c r="G4306" s="3" t="n">
        <f aca="false">SUM($F$2:F4306)</f>
        <v>0.996489</v>
      </c>
      <c r="H4306" s="4"/>
      <c r="I4306" s="5"/>
      <c r="J4306" s="4"/>
      <c r="K4306" s="5"/>
      <c r="L4306" s="6"/>
      <c r="M4306" s="5" t="str">
        <f aca="false">IF(AND(N(K4306)&gt;0,N(L4306)&gt;0),K4306/L4306,"")</f>
        <v/>
      </c>
      <c r="N4306" s="2" t="s">
        <v>1226</v>
      </c>
    </row>
    <row r="4307" customFormat="false" ht="15" hidden="false" customHeight="false" outlineLevel="0" collapsed="false">
      <c r="A4307" s="2" t="n">
        <v>4306</v>
      </c>
      <c r="B4307" s="2" t="s">
        <v>8812</v>
      </c>
      <c r="C4307" s="2" t="s">
        <v>8813</v>
      </c>
      <c r="D4307" s="2"/>
      <c r="E4307" s="2" t="s">
        <v>43</v>
      </c>
      <c r="F4307" s="3" t="n">
        <v>7E-006</v>
      </c>
      <c r="G4307" s="3" t="n">
        <f aca="false">SUM($F$2:F4307)</f>
        <v>0.996496</v>
      </c>
      <c r="H4307" s="4"/>
      <c r="I4307" s="5"/>
      <c r="J4307" s="4"/>
      <c r="K4307" s="5"/>
      <c r="L4307" s="6"/>
      <c r="M4307" s="5" t="str">
        <f aca="false">IF(AND(N(K4307)&gt;0,N(L4307)&gt;0),K4307/L4307,"")</f>
        <v/>
      </c>
      <c r="N4307" s="2" t="s">
        <v>1226</v>
      </c>
    </row>
    <row r="4308" customFormat="false" ht="15" hidden="false" customHeight="false" outlineLevel="0" collapsed="false">
      <c r="A4308" s="2" t="n">
        <v>4307</v>
      </c>
      <c r="B4308" s="2" t="s">
        <v>8814</v>
      </c>
      <c r="C4308" s="2" t="s">
        <v>8815</v>
      </c>
      <c r="D4308" s="2"/>
      <c r="E4308" s="2" t="s">
        <v>334</v>
      </c>
      <c r="F4308" s="3" t="n">
        <v>7E-006</v>
      </c>
      <c r="G4308" s="3" t="n">
        <f aca="false">SUM($F$2:F4308)</f>
        <v>0.996503</v>
      </c>
      <c r="H4308" s="4"/>
      <c r="I4308" s="5"/>
      <c r="J4308" s="4"/>
      <c r="K4308" s="5"/>
      <c r="L4308" s="6"/>
      <c r="M4308" s="5" t="str">
        <f aca="false">IF(AND(N(K4308)&gt;0,N(L4308)&gt;0),K4308/L4308,"")</f>
        <v/>
      </c>
      <c r="N4308" s="2" t="s">
        <v>1226</v>
      </c>
    </row>
    <row r="4309" customFormat="false" ht="15" hidden="false" customHeight="false" outlineLevel="0" collapsed="false">
      <c r="A4309" s="2" t="n">
        <v>4308</v>
      </c>
      <c r="B4309" s="2" t="s">
        <v>8816</v>
      </c>
      <c r="C4309" s="2" t="s">
        <v>8817</v>
      </c>
      <c r="D4309" s="2"/>
      <c r="E4309" s="2" t="s">
        <v>1245</v>
      </c>
      <c r="F4309" s="3" t="n">
        <v>7E-006</v>
      </c>
      <c r="G4309" s="3" t="n">
        <f aca="false">SUM($F$2:F4309)</f>
        <v>0.99651</v>
      </c>
      <c r="H4309" s="4"/>
      <c r="I4309" s="5"/>
      <c r="J4309" s="4"/>
      <c r="K4309" s="5"/>
      <c r="L4309" s="6"/>
      <c r="M4309" s="5" t="str">
        <f aca="false">IF(AND(N(K4309)&gt;0,N(L4309)&gt;0),K4309/L4309,"")</f>
        <v/>
      </c>
      <c r="N4309" s="2" t="s">
        <v>1226</v>
      </c>
    </row>
    <row r="4310" customFormat="false" ht="15" hidden="false" customHeight="false" outlineLevel="0" collapsed="false">
      <c r="A4310" s="2" t="n">
        <v>4309</v>
      </c>
      <c r="B4310" s="2" t="s">
        <v>8818</v>
      </c>
      <c r="C4310" s="2" t="s">
        <v>8819</v>
      </c>
      <c r="D4310" s="2"/>
      <c r="E4310" s="2" t="s">
        <v>17</v>
      </c>
      <c r="F4310" s="3" t="n">
        <v>7E-006</v>
      </c>
      <c r="G4310" s="3" t="n">
        <f aca="false">SUM($F$2:F4310)</f>
        <v>0.996517</v>
      </c>
      <c r="H4310" s="4"/>
      <c r="I4310" s="5"/>
      <c r="J4310" s="4"/>
      <c r="K4310" s="5"/>
      <c r="L4310" s="6"/>
      <c r="M4310" s="5" t="str">
        <f aca="false">IF(AND(N(K4310)&gt;0,N(L4310)&gt;0),K4310/L4310,"")</f>
        <v/>
      </c>
      <c r="N4310" s="2" t="s">
        <v>1226</v>
      </c>
    </row>
    <row r="4311" customFormat="false" ht="15" hidden="false" customHeight="false" outlineLevel="0" collapsed="false">
      <c r="A4311" s="2" t="n">
        <v>4310</v>
      </c>
      <c r="B4311" s="2" t="s">
        <v>8820</v>
      </c>
      <c r="C4311" s="2" t="s">
        <v>8821</v>
      </c>
      <c r="D4311" s="2"/>
      <c r="E4311" s="2" t="s">
        <v>289</v>
      </c>
      <c r="F4311" s="3" t="n">
        <v>7E-006</v>
      </c>
      <c r="G4311" s="3" t="n">
        <f aca="false">SUM($F$2:F4311)</f>
        <v>0.996524</v>
      </c>
      <c r="H4311" s="4"/>
      <c r="I4311" s="5"/>
      <c r="J4311" s="4"/>
      <c r="K4311" s="5"/>
      <c r="L4311" s="6"/>
      <c r="M4311" s="5" t="str">
        <f aca="false">IF(AND(N(K4311)&gt;0,N(L4311)&gt;0),K4311/L4311,"")</f>
        <v/>
      </c>
      <c r="N4311" s="2" t="s">
        <v>1226</v>
      </c>
    </row>
    <row r="4312" customFormat="false" ht="15" hidden="false" customHeight="false" outlineLevel="0" collapsed="false">
      <c r="A4312" s="2" t="n">
        <v>4311</v>
      </c>
      <c r="B4312" s="2" t="s">
        <v>8822</v>
      </c>
      <c r="C4312" s="2" t="s">
        <v>8823</v>
      </c>
      <c r="D4312" s="2"/>
      <c r="E4312" s="2" t="s">
        <v>296</v>
      </c>
      <c r="F4312" s="3" t="n">
        <v>7E-006</v>
      </c>
      <c r="G4312" s="3" t="n">
        <f aca="false">SUM($F$2:F4312)</f>
        <v>0.996531</v>
      </c>
      <c r="H4312" s="4"/>
      <c r="I4312" s="5"/>
      <c r="J4312" s="4"/>
      <c r="K4312" s="5"/>
      <c r="L4312" s="6"/>
      <c r="M4312" s="5" t="str">
        <f aca="false">IF(AND(N(K4312)&gt;0,N(L4312)&gt;0),K4312/L4312,"")</f>
        <v/>
      </c>
      <c r="N4312" s="2" t="s">
        <v>1226</v>
      </c>
    </row>
    <row r="4313" customFormat="false" ht="15" hidden="false" customHeight="false" outlineLevel="0" collapsed="false">
      <c r="A4313" s="2" t="n">
        <v>4312</v>
      </c>
      <c r="B4313" s="2" t="s">
        <v>8824</v>
      </c>
      <c r="C4313" s="2" t="s">
        <v>8825</v>
      </c>
      <c r="D4313" s="2"/>
      <c r="E4313" s="2" t="s">
        <v>29</v>
      </c>
      <c r="F4313" s="3" t="n">
        <v>7E-006</v>
      </c>
      <c r="G4313" s="3" t="n">
        <f aca="false">SUM($F$2:F4313)</f>
        <v>0.996538</v>
      </c>
      <c r="H4313" s="4"/>
      <c r="I4313" s="5"/>
      <c r="J4313" s="4"/>
      <c r="K4313" s="5"/>
      <c r="L4313" s="6"/>
      <c r="M4313" s="5" t="str">
        <f aca="false">IF(AND(N(K4313)&gt;0,N(L4313)&gt;0),K4313/L4313,"")</f>
        <v/>
      </c>
      <c r="N4313" s="2" t="s">
        <v>1226</v>
      </c>
    </row>
    <row r="4314" customFormat="false" ht="15" hidden="false" customHeight="false" outlineLevel="0" collapsed="false">
      <c r="A4314" s="2" t="n">
        <v>4313</v>
      </c>
      <c r="B4314" s="2" t="s">
        <v>8826</v>
      </c>
      <c r="C4314" s="2" t="s">
        <v>8827</v>
      </c>
      <c r="D4314" s="2"/>
      <c r="E4314" s="2" t="s">
        <v>289</v>
      </c>
      <c r="F4314" s="3" t="n">
        <v>7E-006</v>
      </c>
      <c r="G4314" s="3" t="n">
        <f aca="false">SUM($F$2:F4314)</f>
        <v>0.996545</v>
      </c>
      <c r="H4314" s="4"/>
      <c r="I4314" s="5"/>
      <c r="J4314" s="4"/>
      <c r="K4314" s="5"/>
      <c r="L4314" s="6"/>
      <c r="M4314" s="5" t="str">
        <f aca="false">IF(AND(N(K4314)&gt;0,N(L4314)&gt;0),K4314/L4314,"")</f>
        <v/>
      </c>
      <c r="N4314" s="2" t="s">
        <v>1226</v>
      </c>
    </row>
    <row r="4315" customFormat="false" ht="15" hidden="false" customHeight="false" outlineLevel="0" collapsed="false">
      <c r="A4315" s="2" t="n">
        <v>4314</v>
      </c>
      <c r="B4315" s="2" t="s">
        <v>8828</v>
      </c>
      <c r="C4315" s="2" t="s">
        <v>8829</v>
      </c>
      <c r="D4315" s="2"/>
      <c r="E4315" s="2" t="s">
        <v>43</v>
      </c>
      <c r="F4315" s="3" t="n">
        <v>7E-006</v>
      </c>
      <c r="G4315" s="3" t="n">
        <f aca="false">SUM($F$2:F4315)</f>
        <v>0.996552</v>
      </c>
      <c r="H4315" s="4"/>
      <c r="I4315" s="5"/>
      <c r="J4315" s="4"/>
      <c r="K4315" s="5"/>
      <c r="L4315" s="6"/>
      <c r="M4315" s="5" t="str">
        <f aca="false">IF(AND(N(K4315)&gt;0,N(L4315)&gt;0),K4315/L4315,"")</f>
        <v/>
      </c>
      <c r="N4315" s="2" t="s">
        <v>1226</v>
      </c>
    </row>
    <row r="4316" customFormat="false" ht="15" hidden="false" customHeight="false" outlineLevel="0" collapsed="false">
      <c r="A4316" s="2" t="n">
        <v>4315</v>
      </c>
      <c r="B4316" s="2" t="s">
        <v>8830</v>
      </c>
      <c r="C4316" s="2" t="s">
        <v>8831</v>
      </c>
      <c r="D4316" s="2"/>
      <c r="E4316" s="2" t="s">
        <v>1345</v>
      </c>
      <c r="F4316" s="3" t="n">
        <v>7E-006</v>
      </c>
      <c r="G4316" s="3" t="n">
        <f aca="false">SUM($F$2:F4316)</f>
        <v>0.996559</v>
      </c>
      <c r="H4316" s="4"/>
      <c r="I4316" s="5"/>
      <c r="J4316" s="4"/>
      <c r="K4316" s="5"/>
      <c r="L4316" s="6"/>
      <c r="M4316" s="5" t="str">
        <f aca="false">IF(AND(N(K4316)&gt;0,N(L4316)&gt;0),K4316/L4316,"")</f>
        <v/>
      </c>
      <c r="N4316" s="2" t="s">
        <v>1226</v>
      </c>
    </row>
    <row r="4317" customFormat="false" ht="15" hidden="false" customHeight="false" outlineLevel="0" collapsed="false">
      <c r="A4317" s="2" t="n">
        <v>4316</v>
      </c>
      <c r="B4317" s="2" t="s">
        <v>8832</v>
      </c>
      <c r="C4317" s="2" t="s">
        <v>8833</v>
      </c>
      <c r="D4317" s="2"/>
      <c r="E4317" s="2" t="s">
        <v>2055</v>
      </c>
      <c r="F4317" s="3" t="n">
        <v>7E-006</v>
      </c>
      <c r="G4317" s="3" t="n">
        <f aca="false">SUM($F$2:F4317)</f>
        <v>0.996566</v>
      </c>
      <c r="H4317" s="4"/>
      <c r="I4317" s="5"/>
      <c r="J4317" s="4"/>
      <c r="K4317" s="5"/>
      <c r="L4317" s="6"/>
      <c r="M4317" s="5" t="str">
        <f aca="false">IF(AND(N(K4317)&gt;0,N(L4317)&gt;0),K4317/L4317,"")</f>
        <v/>
      </c>
      <c r="N4317" s="2" t="s">
        <v>1226</v>
      </c>
    </row>
    <row r="4318" customFormat="false" ht="15" hidden="false" customHeight="false" outlineLevel="0" collapsed="false">
      <c r="A4318" s="2" t="n">
        <v>4317</v>
      </c>
      <c r="B4318" s="2" t="s">
        <v>8834</v>
      </c>
      <c r="C4318" s="2" t="s">
        <v>8835</v>
      </c>
      <c r="D4318" s="2"/>
      <c r="E4318" s="2" t="s">
        <v>1345</v>
      </c>
      <c r="F4318" s="3" t="n">
        <v>7E-006</v>
      </c>
      <c r="G4318" s="3" t="n">
        <f aca="false">SUM($F$2:F4318)</f>
        <v>0.996573</v>
      </c>
      <c r="H4318" s="4"/>
      <c r="I4318" s="5"/>
      <c r="J4318" s="4"/>
      <c r="K4318" s="5"/>
      <c r="L4318" s="6"/>
      <c r="M4318" s="5" t="str">
        <f aca="false">IF(AND(N(K4318)&gt;0,N(L4318)&gt;0),K4318/L4318,"")</f>
        <v/>
      </c>
      <c r="N4318" s="2" t="s">
        <v>1226</v>
      </c>
    </row>
    <row r="4319" customFormat="false" ht="15" hidden="false" customHeight="false" outlineLevel="0" collapsed="false">
      <c r="A4319" s="2" t="n">
        <v>4318</v>
      </c>
      <c r="B4319" s="2" t="s">
        <v>8836</v>
      </c>
      <c r="C4319" s="2" t="s">
        <v>8837</v>
      </c>
      <c r="D4319" s="2"/>
      <c r="E4319" s="2" t="s">
        <v>289</v>
      </c>
      <c r="F4319" s="3" t="n">
        <v>7E-006</v>
      </c>
      <c r="G4319" s="3" t="n">
        <f aca="false">SUM($F$2:F4319)</f>
        <v>0.99658</v>
      </c>
      <c r="H4319" s="4"/>
      <c r="I4319" s="5"/>
      <c r="J4319" s="4"/>
      <c r="K4319" s="5"/>
      <c r="L4319" s="6"/>
      <c r="M4319" s="5" t="str">
        <f aca="false">IF(AND(N(K4319)&gt;0,N(L4319)&gt;0),K4319/L4319,"")</f>
        <v/>
      </c>
      <c r="N4319" s="2" t="s">
        <v>1226</v>
      </c>
    </row>
    <row r="4320" customFormat="false" ht="15" hidden="false" customHeight="false" outlineLevel="0" collapsed="false">
      <c r="A4320" s="2" t="n">
        <v>4319</v>
      </c>
      <c r="B4320" s="2" t="s">
        <v>8838</v>
      </c>
      <c r="C4320" s="2" t="s">
        <v>8839</v>
      </c>
      <c r="D4320" s="2"/>
      <c r="E4320" s="2" t="s">
        <v>289</v>
      </c>
      <c r="F4320" s="3" t="n">
        <v>7E-006</v>
      </c>
      <c r="G4320" s="3" t="n">
        <f aca="false">SUM($F$2:F4320)</f>
        <v>0.996587</v>
      </c>
      <c r="H4320" s="4"/>
      <c r="I4320" s="5"/>
      <c r="J4320" s="4"/>
      <c r="K4320" s="5"/>
      <c r="L4320" s="6"/>
      <c r="M4320" s="5" t="str">
        <f aca="false">IF(AND(N(K4320)&gt;0,N(L4320)&gt;0),K4320/L4320,"")</f>
        <v/>
      </c>
      <c r="N4320" s="2" t="s">
        <v>1226</v>
      </c>
    </row>
    <row r="4321" customFormat="false" ht="15" hidden="false" customHeight="false" outlineLevel="0" collapsed="false">
      <c r="A4321" s="2" t="n">
        <v>4320</v>
      </c>
      <c r="B4321" s="2" t="s">
        <v>8840</v>
      </c>
      <c r="C4321" s="2" t="s">
        <v>8841</v>
      </c>
      <c r="D4321" s="2"/>
      <c r="E4321" s="2" t="s">
        <v>52</v>
      </c>
      <c r="F4321" s="3" t="n">
        <v>7E-006</v>
      </c>
      <c r="G4321" s="3" t="n">
        <f aca="false">SUM($F$2:F4321)</f>
        <v>0.996594</v>
      </c>
      <c r="H4321" s="4"/>
      <c r="I4321" s="5"/>
      <c r="J4321" s="4"/>
      <c r="K4321" s="5"/>
      <c r="L4321" s="6"/>
      <c r="M4321" s="5" t="str">
        <f aca="false">IF(AND(N(K4321)&gt;0,N(L4321)&gt;0),K4321/L4321,"")</f>
        <v/>
      </c>
      <c r="N4321" s="2" t="s">
        <v>1226</v>
      </c>
    </row>
    <row r="4322" customFormat="false" ht="15" hidden="false" customHeight="false" outlineLevel="0" collapsed="false">
      <c r="A4322" s="2" t="n">
        <v>4321</v>
      </c>
      <c r="B4322" s="2" t="s">
        <v>8842</v>
      </c>
      <c r="C4322" s="2" t="s">
        <v>8843</v>
      </c>
      <c r="D4322" s="2"/>
      <c r="E4322" s="2" t="s">
        <v>82</v>
      </c>
      <c r="F4322" s="3" t="n">
        <v>7E-006</v>
      </c>
      <c r="G4322" s="3" t="n">
        <f aca="false">SUM($F$2:F4322)</f>
        <v>0.996601</v>
      </c>
      <c r="H4322" s="4"/>
      <c r="I4322" s="5"/>
      <c r="J4322" s="4"/>
      <c r="K4322" s="5"/>
      <c r="L4322" s="6"/>
      <c r="M4322" s="5" t="str">
        <f aca="false">IF(AND(N(K4322)&gt;0,N(L4322)&gt;0),K4322/L4322,"")</f>
        <v/>
      </c>
      <c r="N4322" s="2" t="s">
        <v>1226</v>
      </c>
    </row>
    <row r="4323" customFormat="false" ht="15" hidden="false" customHeight="false" outlineLevel="0" collapsed="false">
      <c r="A4323" s="2" t="n">
        <v>4322</v>
      </c>
      <c r="B4323" s="2" t="s">
        <v>8844</v>
      </c>
      <c r="C4323" s="2" t="s">
        <v>8845</v>
      </c>
      <c r="D4323" s="2"/>
      <c r="E4323" s="2" t="s">
        <v>1345</v>
      </c>
      <c r="F4323" s="3" t="n">
        <v>7E-006</v>
      </c>
      <c r="G4323" s="3" t="n">
        <f aca="false">SUM($F$2:F4323)</f>
        <v>0.996608</v>
      </c>
      <c r="H4323" s="4"/>
      <c r="I4323" s="5"/>
      <c r="J4323" s="4"/>
      <c r="K4323" s="5"/>
      <c r="L4323" s="6"/>
      <c r="M4323" s="5" t="str">
        <f aca="false">IF(AND(N(K4323)&gt;0,N(L4323)&gt;0),K4323/L4323,"")</f>
        <v/>
      </c>
      <c r="N4323" s="2" t="s">
        <v>1226</v>
      </c>
    </row>
    <row r="4324" customFormat="false" ht="15" hidden="false" customHeight="false" outlineLevel="0" collapsed="false">
      <c r="A4324" s="2" t="n">
        <v>4323</v>
      </c>
      <c r="B4324" s="2" t="s">
        <v>8846</v>
      </c>
      <c r="C4324" s="2" t="s">
        <v>8847</v>
      </c>
      <c r="D4324" s="2"/>
      <c r="E4324" s="2" t="s">
        <v>289</v>
      </c>
      <c r="F4324" s="3" t="n">
        <v>7E-006</v>
      </c>
      <c r="G4324" s="3" t="n">
        <f aca="false">SUM($F$2:F4324)</f>
        <v>0.996615</v>
      </c>
      <c r="H4324" s="4"/>
      <c r="I4324" s="5"/>
      <c r="J4324" s="4"/>
      <c r="K4324" s="5"/>
      <c r="L4324" s="6"/>
      <c r="M4324" s="5" t="str">
        <f aca="false">IF(AND(N(K4324)&gt;0,N(L4324)&gt;0),K4324/L4324,"")</f>
        <v/>
      </c>
      <c r="N4324" s="2" t="s">
        <v>1226</v>
      </c>
    </row>
    <row r="4325" customFormat="false" ht="15" hidden="false" customHeight="false" outlineLevel="0" collapsed="false">
      <c r="A4325" s="2" t="n">
        <v>4324</v>
      </c>
      <c r="B4325" s="2" t="s">
        <v>8848</v>
      </c>
      <c r="C4325" s="2" t="s">
        <v>8849</v>
      </c>
      <c r="D4325" s="2"/>
      <c r="E4325" s="2" t="s">
        <v>826</v>
      </c>
      <c r="F4325" s="3" t="n">
        <v>7E-006</v>
      </c>
      <c r="G4325" s="3" t="n">
        <f aca="false">SUM($F$2:F4325)</f>
        <v>0.996622</v>
      </c>
      <c r="H4325" s="4"/>
      <c r="I4325" s="5"/>
      <c r="J4325" s="4"/>
      <c r="K4325" s="5"/>
      <c r="L4325" s="6"/>
      <c r="M4325" s="5" t="str">
        <f aca="false">IF(AND(N(K4325)&gt;0,N(L4325)&gt;0),K4325/L4325,"")</f>
        <v/>
      </c>
      <c r="N4325" s="2" t="s">
        <v>1226</v>
      </c>
    </row>
    <row r="4326" customFormat="false" ht="15" hidden="false" customHeight="false" outlineLevel="0" collapsed="false">
      <c r="A4326" s="2" t="n">
        <v>4325</v>
      </c>
      <c r="B4326" s="2" t="s">
        <v>8850</v>
      </c>
      <c r="C4326" s="2" t="s">
        <v>8851</v>
      </c>
      <c r="D4326" s="2"/>
      <c r="E4326" s="2" t="s">
        <v>17</v>
      </c>
      <c r="F4326" s="3" t="n">
        <v>7E-006</v>
      </c>
      <c r="G4326" s="3" t="n">
        <f aca="false">SUM($F$2:F4326)</f>
        <v>0.996629</v>
      </c>
      <c r="H4326" s="4"/>
      <c r="I4326" s="5"/>
      <c r="J4326" s="4"/>
      <c r="K4326" s="5"/>
      <c r="L4326" s="6"/>
      <c r="M4326" s="5" t="str">
        <f aca="false">IF(AND(N(K4326)&gt;0,N(L4326)&gt;0),K4326/L4326,"")</f>
        <v/>
      </c>
      <c r="N4326" s="2" t="s">
        <v>1226</v>
      </c>
    </row>
    <row r="4327" customFormat="false" ht="15" hidden="false" customHeight="false" outlineLevel="0" collapsed="false">
      <c r="A4327" s="2" t="n">
        <v>4326</v>
      </c>
      <c r="B4327" s="2" t="s">
        <v>8852</v>
      </c>
      <c r="C4327" s="2" t="s">
        <v>8853</v>
      </c>
      <c r="D4327" s="2"/>
      <c r="E4327" s="2" t="s">
        <v>1345</v>
      </c>
      <c r="F4327" s="3" t="n">
        <v>7E-006</v>
      </c>
      <c r="G4327" s="3" t="n">
        <f aca="false">SUM($F$2:F4327)</f>
        <v>0.996636</v>
      </c>
      <c r="H4327" s="4"/>
      <c r="I4327" s="5"/>
      <c r="J4327" s="4"/>
      <c r="K4327" s="5"/>
      <c r="L4327" s="6"/>
      <c r="M4327" s="5" t="str">
        <f aca="false">IF(AND(N(K4327)&gt;0,N(L4327)&gt;0),K4327/L4327,"")</f>
        <v/>
      </c>
      <c r="N4327" s="2" t="s">
        <v>1226</v>
      </c>
    </row>
    <row r="4328" customFormat="false" ht="15" hidden="false" customHeight="false" outlineLevel="0" collapsed="false">
      <c r="A4328" s="2" t="n">
        <v>4327</v>
      </c>
      <c r="B4328" s="2" t="s">
        <v>5018</v>
      </c>
      <c r="C4328" s="2" t="s">
        <v>8854</v>
      </c>
      <c r="D4328" s="2"/>
      <c r="E4328" s="2" t="s">
        <v>289</v>
      </c>
      <c r="F4328" s="3" t="n">
        <v>7E-006</v>
      </c>
      <c r="G4328" s="3" t="n">
        <f aca="false">SUM($F$2:F4328)</f>
        <v>0.996643</v>
      </c>
      <c r="H4328" s="4"/>
      <c r="I4328" s="5"/>
      <c r="J4328" s="4"/>
      <c r="K4328" s="5"/>
      <c r="L4328" s="6"/>
      <c r="M4328" s="5" t="str">
        <f aca="false">IF(AND(N(K4328)&gt;0,N(L4328)&gt;0),K4328/L4328,"")</f>
        <v/>
      </c>
      <c r="N4328" s="2" t="s">
        <v>1226</v>
      </c>
    </row>
    <row r="4329" customFormat="false" ht="15" hidden="false" customHeight="false" outlineLevel="0" collapsed="false">
      <c r="A4329" s="2" t="n">
        <v>4328</v>
      </c>
      <c r="B4329" s="2" t="s">
        <v>4945</v>
      </c>
      <c r="C4329" s="2" t="s">
        <v>8855</v>
      </c>
      <c r="D4329" s="2"/>
      <c r="E4329" s="2" t="s">
        <v>539</v>
      </c>
      <c r="F4329" s="3" t="n">
        <v>7E-006</v>
      </c>
      <c r="G4329" s="3" t="n">
        <f aca="false">SUM($F$2:F4329)</f>
        <v>0.99665</v>
      </c>
      <c r="H4329" s="4"/>
      <c r="I4329" s="5"/>
      <c r="J4329" s="4"/>
      <c r="K4329" s="5"/>
      <c r="L4329" s="6"/>
      <c r="M4329" s="5" t="str">
        <f aca="false">IF(AND(N(K4329)&gt;0,N(L4329)&gt;0),K4329/L4329,"")</f>
        <v/>
      </c>
      <c r="N4329" s="2" t="s">
        <v>1226</v>
      </c>
    </row>
    <row r="4330" customFormat="false" ht="15" hidden="false" customHeight="false" outlineLevel="0" collapsed="false">
      <c r="A4330" s="2" t="n">
        <v>4329</v>
      </c>
      <c r="B4330" s="2" t="s">
        <v>8856</v>
      </c>
      <c r="C4330" s="2" t="s">
        <v>8857</v>
      </c>
      <c r="D4330" s="2"/>
      <c r="E4330" s="2" t="s">
        <v>334</v>
      </c>
      <c r="F4330" s="3" t="n">
        <v>7E-006</v>
      </c>
      <c r="G4330" s="3" t="n">
        <f aca="false">SUM($F$2:F4330)</f>
        <v>0.996657</v>
      </c>
      <c r="H4330" s="4"/>
      <c r="I4330" s="5"/>
      <c r="J4330" s="4"/>
      <c r="K4330" s="5"/>
      <c r="L4330" s="6"/>
      <c r="M4330" s="5" t="str">
        <f aca="false">IF(AND(N(K4330)&gt;0,N(L4330)&gt;0),K4330/L4330,"")</f>
        <v/>
      </c>
      <c r="N4330" s="2" t="s">
        <v>1226</v>
      </c>
    </row>
    <row r="4331" customFormat="false" ht="15" hidden="false" customHeight="false" outlineLevel="0" collapsed="false">
      <c r="A4331" s="2" t="n">
        <v>4330</v>
      </c>
      <c r="B4331" s="2" t="s">
        <v>8858</v>
      </c>
      <c r="C4331" s="2" t="s">
        <v>8859</v>
      </c>
      <c r="D4331" s="2"/>
      <c r="E4331" s="2" t="s">
        <v>52</v>
      </c>
      <c r="F4331" s="3" t="n">
        <v>7E-006</v>
      </c>
      <c r="G4331" s="3" t="n">
        <f aca="false">SUM($F$2:F4331)</f>
        <v>0.996664</v>
      </c>
      <c r="H4331" s="4"/>
      <c r="I4331" s="5"/>
      <c r="J4331" s="4"/>
      <c r="K4331" s="5"/>
      <c r="L4331" s="6"/>
      <c r="M4331" s="5" t="str">
        <f aca="false">IF(AND(N(K4331)&gt;0,N(L4331)&gt;0),K4331/L4331,"")</f>
        <v/>
      </c>
      <c r="N4331" s="2" t="s">
        <v>1226</v>
      </c>
    </row>
    <row r="4332" customFormat="false" ht="15" hidden="false" customHeight="false" outlineLevel="0" collapsed="false">
      <c r="A4332" s="2" t="n">
        <v>4331</v>
      </c>
      <c r="B4332" s="2" t="s">
        <v>962</v>
      </c>
      <c r="C4332" s="2" t="s">
        <v>8860</v>
      </c>
      <c r="D4332" s="2"/>
      <c r="E4332" s="2" t="s">
        <v>38</v>
      </c>
      <c r="F4332" s="3" t="n">
        <v>7E-006</v>
      </c>
      <c r="G4332" s="3" t="n">
        <f aca="false">SUM($F$2:F4332)</f>
        <v>0.996671</v>
      </c>
      <c r="H4332" s="4"/>
      <c r="I4332" s="5"/>
      <c r="J4332" s="4"/>
      <c r="K4332" s="5"/>
      <c r="L4332" s="6"/>
      <c r="M4332" s="5" t="str">
        <f aca="false">IF(AND(N(K4332)&gt;0,N(L4332)&gt;0),K4332/L4332,"")</f>
        <v/>
      </c>
      <c r="N4332" s="2" t="s">
        <v>1226</v>
      </c>
    </row>
    <row r="4333" customFormat="false" ht="15" hidden="false" customHeight="false" outlineLevel="0" collapsed="false">
      <c r="A4333" s="2" t="n">
        <v>4332</v>
      </c>
      <c r="B4333" s="2" t="s">
        <v>8861</v>
      </c>
      <c r="C4333" s="2" t="s">
        <v>8862</v>
      </c>
      <c r="D4333" s="2"/>
      <c r="E4333" s="2" t="s">
        <v>43</v>
      </c>
      <c r="F4333" s="3" t="n">
        <v>7E-006</v>
      </c>
      <c r="G4333" s="3" t="n">
        <f aca="false">SUM($F$2:F4333)</f>
        <v>0.996678</v>
      </c>
      <c r="H4333" s="4"/>
      <c r="I4333" s="5"/>
      <c r="J4333" s="4"/>
      <c r="K4333" s="5"/>
      <c r="L4333" s="6"/>
      <c r="M4333" s="5" t="str">
        <f aca="false">IF(AND(N(K4333)&gt;0,N(L4333)&gt;0),K4333/L4333,"")</f>
        <v/>
      </c>
      <c r="N4333" s="2" t="s">
        <v>1226</v>
      </c>
    </row>
    <row r="4334" customFormat="false" ht="15" hidden="false" customHeight="false" outlineLevel="0" collapsed="false">
      <c r="A4334" s="2" t="n">
        <v>4333</v>
      </c>
      <c r="B4334" s="2" t="s">
        <v>8863</v>
      </c>
      <c r="C4334" s="2" t="s">
        <v>8864</v>
      </c>
      <c r="D4334" s="2"/>
      <c r="E4334" s="2" t="s">
        <v>1345</v>
      </c>
      <c r="F4334" s="3" t="n">
        <v>7E-006</v>
      </c>
      <c r="G4334" s="3" t="n">
        <f aca="false">SUM($F$2:F4334)</f>
        <v>0.996685</v>
      </c>
      <c r="H4334" s="4"/>
      <c r="I4334" s="5"/>
      <c r="J4334" s="4"/>
      <c r="K4334" s="5"/>
      <c r="L4334" s="6"/>
      <c r="M4334" s="5" t="str">
        <f aca="false">IF(AND(N(K4334)&gt;0,N(L4334)&gt;0),K4334/L4334,"")</f>
        <v/>
      </c>
      <c r="N4334" s="2" t="s">
        <v>1226</v>
      </c>
    </row>
    <row r="4335" customFormat="false" ht="15" hidden="false" customHeight="false" outlineLevel="0" collapsed="false">
      <c r="A4335" s="2" t="n">
        <v>4334</v>
      </c>
      <c r="B4335" s="2" t="s">
        <v>8865</v>
      </c>
      <c r="C4335" s="2" t="s">
        <v>8866</v>
      </c>
      <c r="D4335" s="2"/>
      <c r="E4335" s="2" t="s">
        <v>289</v>
      </c>
      <c r="F4335" s="3" t="n">
        <v>7E-006</v>
      </c>
      <c r="G4335" s="3" t="n">
        <f aca="false">SUM($F$2:F4335)</f>
        <v>0.996692</v>
      </c>
      <c r="H4335" s="4"/>
      <c r="I4335" s="5"/>
      <c r="J4335" s="4"/>
      <c r="K4335" s="5"/>
      <c r="L4335" s="6"/>
      <c r="M4335" s="5" t="str">
        <f aca="false">IF(AND(N(K4335)&gt;0,N(L4335)&gt;0),K4335/L4335,"")</f>
        <v/>
      </c>
      <c r="N4335" s="2" t="s">
        <v>1226</v>
      </c>
    </row>
    <row r="4336" customFormat="false" ht="15" hidden="false" customHeight="false" outlineLevel="0" collapsed="false">
      <c r="A4336" s="2" t="n">
        <v>4335</v>
      </c>
      <c r="B4336" s="2" t="s">
        <v>8867</v>
      </c>
      <c r="C4336" s="2" t="s">
        <v>8868</v>
      </c>
      <c r="D4336" s="2"/>
      <c r="E4336" s="2" t="s">
        <v>1345</v>
      </c>
      <c r="F4336" s="3" t="n">
        <v>7E-006</v>
      </c>
      <c r="G4336" s="3" t="n">
        <f aca="false">SUM($F$2:F4336)</f>
        <v>0.996699</v>
      </c>
      <c r="H4336" s="4"/>
      <c r="I4336" s="5"/>
      <c r="J4336" s="4"/>
      <c r="K4336" s="5"/>
      <c r="L4336" s="6"/>
      <c r="M4336" s="5" t="str">
        <f aca="false">IF(AND(N(K4336)&gt;0,N(L4336)&gt;0),K4336/L4336,"")</f>
        <v/>
      </c>
      <c r="N4336" s="2" t="s">
        <v>1226</v>
      </c>
    </row>
    <row r="4337" customFormat="false" ht="15" hidden="false" customHeight="false" outlineLevel="0" collapsed="false">
      <c r="A4337" s="2" t="n">
        <v>4336</v>
      </c>
      <c r="B4337" s="2" t="s">
        <v>8869</v>
      </c>
      <c r="C4337" s="2" t="s">
        <v>8870</v>
      </c>
      <c r="D4337" s="2"/>
      <c r="E4337" s="2" t="s">
        <v>1345</v>
      </c>
      <c r="F4337" s="3" t="n">
        <v>7E-006</v>
      </c>
      <c r="G4337" s="3" t="n">
        <f aca="false">SUM($F$2:F4337)</f>
        <v>0.996706</v>
      </c>
      <c r="H4337" s="4"/>
      <c r="I4337" s="5"/>
      <c r="J4337" s="4"/>
      <c r="K4337" s="5"/>
      <c r="L4337" s="6"/>
      <c r="M4337" s="5" t="str">
        <f aca="false">IF(AND(N(K4337)&gt;0,N(L4337)&gt;0),K4337/L4337,"")</f>
        <v/>
      </c>
      <c r="N4337" s="2" t="s">
        <v>1226</v>
      </c>
    </row>
    <row r="4338" customFormat="false" ht="15" hidden="false" customHeight="false" outlineLevel="0" collapsed="false">
      <c r="A4338" s="2" t="n">
        <v>4337</v>
      </c>
      <c r="B4338" s="2" t="s">
        <v>8871</v>
      </c>
      <c r="C4338" s="2" t="s">
        <v>8872</v>
      </c>
      <c r="D4338" s="2"/>
      <c r="E4338" s="2" t="s">
        <v>17</v>
      </c>
      <c r="F4338" s="3" t="n">
        <v>7E-006</v>
      </c>
      <c r="G4338" s="3" t="n">
        <f aca="false">SUM($F$2:F4338)</f>
        <v>0.996713</v>
      </c>
      <c r="H4338" s="4"/>
      <c r="I4338" s="5"/>
      <c r="J4338" s="4"/>
      <c r="K4338" s="5"/>
      <c r="L4338" s="6"/>
      <c r="M4338" s="5" t="str">
        <f aca="false">IF(AND(N(K4338)&gt;0,N(L4338)&gt;0),K4338/L4338,"")</f>
        <v/>
      </c>
      <c r="N4338" s="2" t="s">
        <v>1226</v>
      </c>
    </row>
    <row r="4339" customFormat="false" ht="15" hidden="false" customHeight="false" outlineLevel="0" collapsed="false">
      <c r="A4339" s="2" t="n">
        <v>4338</v>
      </c>
      <c r="B4339" s="2" t="s">
        <v>8873</v>
      </c>
      <c r="C4339" s="2" t="s">
        <v>8874</v>
      </c>
      <c r="D4339" s="2"/>
      <c r="E4339" s="2" t="s">
        <v>1345</v>
      </c>
      <c r="F4339" s="3" t="n">
        <v>7E-006</v>
      </c>
      <c r="G4339" s="3" t="n">
        <f aca="false">SUM($F$2:F4339)</f>
        <v>0.99672</v>
      </c>
      <c r="H4339" s="4"/>
      <c r="I4339" s="5"/>
      <c r="J4339" s="4"/>
      <c r="K4339" s="5"/>
      <c r="L4339" s="6"/>
      <c r="M4339" s="5" t="str">
        <f aca="false">IF(AND(N(K4339)&gt;0,N(L4339)&gt;0),K4339/L4339,"")</f>
        <v/>
      </c>
      <c r="N4339" s="2" t="s">
        <v>1226</v>
      </c>
    </row>
    <row r="4340" customFormat="false" ht="15" hidden="false" customHeight="false" outlineLevel="0" collapsed="false">
      <c r="A4340" s="2" t="n">
        <v>4339</v>
      </c>
      <c r="B4340" s="2" t="s">
        <v>8875</v>
      </c>
      <c r="C4340" s="2" t="s">
        <v>8876</v>
      </c>
      <c r="D4340" s="2"/>
      <c r="E4340" s="2" t="s">
        <v>289</v>
      </c>
      <c r="F4340" s="3" t="n">
        <v>7E-006</v>
      </c>
      <c r="G4340" s="3" t="n">
        <f aca="false">SUM($F$2:F4340)</f>
        <v>0.996727</v>
      </c>
      <c r="H4340" s="4"/>
      <c r="I4340" s="5"/>
      <c r="J4340" s="4"/>
      <c r="K4340" s="5"/>
      <c r="L4340" s="6"/>
      <c r="M4340" s="5" t="str">
        <f aca="false">IF(AND(N(K4340)&gt;0,N(L4340)&gt;0),K4340/L4340,"")</f>
        <v/>
      </c>
      <c r="N4340" s="2" t="s">
        <v>1226</v>
      </c>
    </row>
    <row r="4341" customFormat="false" ht="15" hidden="false" customHeight="false" outlineLevel="0" collapsed="false">
      <c r="A4341" s="2" t="n">
        <v>4340</v>
      </c>
      <c r="B4341" s="2" t="s">
        <v>8877</v>
      </c>
      <c r="C4341" s="2" t="s">
        <v>8878</v>
      </c>
      <c r="D4341" s="2"/>
      <c r="E4341" s="2" t="s">
        <v>1345</v>
      </c>
      <c r="F4341" s="3" t="n">
        <v>7E-006</v>
      </c>
      <c r="G4341" s="3" t="n">
        <f aca="false">SUM($F$2:F4341)</f>
        <v>0.996734</v>
      </c>
      <c r="H4341" s="4"/>
      <c r="I4341" s="5"/>
      <c r="J4341" s="4"/>
      <c r="K4341" s="5"/>
      <c r="L4341" s="6"/>
      <c r="M4341" s="5" t="str">
        <f aca="false">IF(AND(N(K4341)&gt;0,N(L4341)&gt;0),K4341/L4341,"")</f>
        <v/>
      </c>
      <c r="N4341" s="2" t="s">
        <v>1226</v>
      </c>
    </row>
    <row r="4342" customFormat="false" ht="15" hidden="false" customHeight="false" outlineLevel="0" collapsed="false">
      <c r="A4342" s="2" t="n">
        <v>4341</v>
      </c>
      <c r="B4342" s="2" t="s">
        <v>8879</v>
      </c>
      <c r="C4342" s="2" t="s">
        <v>8880</v>
      </c>
      <c r="D4342" s="2"/>
      <c r="E4342" s="2" t="s">
        <v>52</v>
      </c>
      <c r="F4342" s="3" t="n">
        <v>7E-006</v>
      </c>
      <c r="G4342" s="3" t="n">
        <f aca="false">SUM($F$2:F4342)</f>
        <v>0.996741</v>
      </c>
      <c r="H4342" s="4"/>
      <c r="I4342" s="5"/>
      <c r="J4342" s="4"/>
      <c r="K4342" s="5"/>
      <c r="L4342" s="6"/>
      <c r="M4342" s="5" t="str">
        <f aca="false">IF(AND(N(K4342)&gt;0,N(L4342)&gt;0),K4342/L4342,"")</f>
        <v/>
      </c>
      <c r="N4342" s="2" t="s">
        <v>1226</v>
      </c>
    </row>
    <row r="4343" customFormat="false" ht="15" hidden="false" customHeight="false" outlineLevel="0" collapsed="false">
      <c r="A4343" s="2" t="n">
        <v>4342</v>
      </c>
      <c r="B4343" s="2" t="s">
        <v>8881</v>
      </c>
      <c r="C4343" s="2" t="s">
        <v>8882</v>
      </c>
      <c r="D4343" s="2"/>
      <c r="E4343" s="2" t="s">
        <v>1345</v>
      </c>
      <c r="F4343" s="3" t="n">
        <v>7E-006</v>
      </c>
      <c r="G4343" s="3" t="n">
        <f aca="false">SUM($F$2:F4343)</f>
        <v>0.996748</v>
      </c>
      <c r="H4343" s="4"/>
      <c r="I4343" s="5"/>
      <c r="J4343" s="4"/>
      <c r="K4343" s="5"/>
      <c r="L4343" s="6"/>
      <c r="M4343" s="5" t="str">
        <f aca="false">IF(AND(N(K4343)&gt;0,N(L4343)&gt;0),K4343/L4343,"")</f>
        <v/>
      </c>
      <c r="N4343" s="2" t="s">
        <v>1226</v>
      </c>
    </row>
    <row r="4344" customFormat="false" ht="15" hidden="false" customHeight="false" outlineLevel="0" collapsed="false">
      <c r="A4344" s="2" t="n">
        <v>4343</v>
      </c>
      <c r="B4344" s="2" t="s">
        <v>8883</v>
      </c>
      <c r="C4344" s="2" t="s">
        <v>8884</v>
      </c>
      <c r="D4344" s="2"/>
      <c r="E4344" s="2" t="s">
        <v>1345</v>
      </c>
      <c r="F4344" s="3" t="n">
        <v>7E-006</v>
      </c>
      <c r="G4344" s="3" t="n">
        <f aca="false">SUM($F$2:F4344)</f>
        <v>0.996755</v>
      </c>
      <c r="H4344" s="4"/>
      <c r="I4344" s="5"/>
      <c r="J4344" s="4"/>
      <c r="K4344" s="5"/>
      <c r="L4344" s="6"/>
      <c r="M4344" s="5" t="str">
        <f aca="false">IF(AND(N(K4344)&gt;0,N(L4344)&gt;0),K4344/L4344,"")</f>
        <v/>
      </c>
      <c r="N4344" s="2" t="s">
        <v>1226</v>
      </c>
    </row>
    <row r="4345" customFormat="false" ht="15" hidden="false" customHeight="false" outlineLevel="0" collapsed="false">
      <c r="A4345" s="2" t="n">
        <v>4344</v>
      </c>
      <c r="B4345" s="2" t="s">
        <v>8885</v>
      </c>
      <c r="C4345" s="2" t="s">
        <v>8886</v>
      </c>
      <c r="D4345" s="2"/>
      <c r="E4345" s="2" t="s">
        <v>52</v>
      </c>
      <c r="F4345" s="3" t="n">
        <v>7E-006</v>
      </c>
      <c r="G4345" s="3" t="n">
        <f aca="false">SUM($F$2:F4345)</f>
        <v>0.996762</v>
      </c>
      <c r="H4345" s="4"/>
      <c r="I4345" s="5"/>
      <c r="J4345" s="4"/>
      <c r="K4345" s="5"/>
      <c r="L4345" s="6"/>
      <c r="M4345" s="5" t="str">
        <f aca="false">IF(AND(N(K4345)&gt;0,N(L4345)&gt;0),K4345/L4345,"")</f>
        <v/>
      </c>
      <c r="N4345" s="2" t="s">
        <v>1226</v>
      </c>
    </row>
    <row r="4346" customFormat="false" ht="15" hidden="false" customHeight="false" outlineLevel="0" collapsed="false">
      <c r="A4346" s="2" t="n">
        <v>4345</v>
      </c>
      <c r="B4346" s="2" t="s">
        <v>8887</v>
      </c>
      <c r="C4346" s="2" t="s">
        <v>8888</v>
      </c>
      <c r="D4346" s="2"/>
      <c r="E4346" s="2" t="s">
        <v>25</v>
      </c>
      <c r="F4346" s="3" t="n">
        <v>7E-006</v>
      </c>
      <c r="G4346" s="3" t="n">
        <f aca="false">SUM($F$2:F4346)</f>
        <v>0.996769</v>
      </c>
      <c r="H4346" s="4"/>
      <c r="I4346" s="5"/>
      <c r="J4346" s="4"/>
      <c r="K4346" s="5"/>
      <c r="L4346" s="6"/>
      <c r="M4346" s="5" t="str">
        <f aca="false">IF(AND(N(K4346)&gt;0,N(L4346)&gt;0),K4346/L4346,"")</f>
        <v/>
      </c>
      <c r="N4346" s="2" t="s">
        <v>1226</v>
      </c>
    </row>
    <row r="4347" customFormat="false" ht="15" hidden="false" customHeight="false" outlineLevel="0" collapsed="false">
      <c r="A4347" s="2" t="n">
        <v>4346</v>
      </c>
      <c r="B4347" s="2" t="s">
        <v>8889</v>
      </c>
      <c r="C4347" s="2" t="s">
        <v>8890</v>
      </c>
      <c r="D4347" s="2"/>
      <c r="E4347" s="2" t="s">
        <v>25</v>
      </c>
      <c r="F4347" s="3" t="n">
        <v>7E-006</v>
      </c>
      <c r="G4347" s="3" t="n">
        <f aca="false">SUM($F$2:F4347)</f>
        <v>0.996776</v>
      </c>
      <c r="H4347" s="4"/>
      <c r="I4347" s="5"/>
      <c r="J4347" s="4"/>
      <c r="K4347" s="5"/>
      <c r="L4347" s="6"/>
      <c r="M4347" s="5" t="str">
        <f aca="false">IF(AND(N(K4347)&gt;0,N(L4347)&gt;0),K4347/L4347,"")</f>
        <v/>
      </c>
      <c r="N4347" s="2" t="s">
        <v>1226</v>
      </c>
    </row>
    <row r="4348" customFormat="false" ht="15" hidden="false" customHeight="false" outlineLevel="0" collapsed="false">
      <c r="A4348" s="2" t="n">
        <v>4347</v>
      </c>
      <c r="B4348" s="2" t="s">
        <v>8891</v>
      </c>
      <c r="C4348" s="2" t="s">
        <v>8892</v>
      </c>
      <c r="D4348" s="2"/>
      <c r="E4348" s="2" t="s">
        <v>1345</v>
      </c>
      <c r="F4348" s="3" t="n">
        <v>7E-006</v>
      </c>
      <c r="G4348" s="3" t="n">
        <f aca="false">SUM($F$2:F4348)</f>
        <v>0.996783</v>
      </c>
      <c r="H4348" s="4"/>
      <c r="I4348" s="5"/>
      <c r="J4348" s="4"/>
      <c r="K4348" s="5"/>
      <c r="L4348" s="6"/>
      <c r="M4348" s="5" t="str">
        <f aca="false">IF(AND(N(K4348)&gt;0,N(L4348)&gt;0),K4348/L4348,"")</f>
        <v/>
      </c>
      <c r="N4348" s="2" t="s">
        <v>1226</v>
      </c>
    </row>
    <row r="4349" customFormat="false" ht="15" hidden="false" customHeight="false" outlineLevel="0" collapsed="false">
      <c r="A4349" s="2" t="n">
        <v>4348</v>
      </c>
      <c r="B4349" s="2" t="s">
        <v>8893</v>
      </c>
      <c r="C4349" s="2" t="s">
        <v>8894</v>
      </c>
      <c r="D4349" s="2"/>
      <c r="E4349" s="2" t="s">
        <v>289</v>
      </c>
      <c r="F4349" s="3" t="n">
        <v>7E-006</v>
      </c>
      <c r="G4349" s="3" t="n">
        <f aca="false">SUM($F$2:F4349)</f>
        <v>0.99679</v>
      </c>
      <c r="H4349" s="4"/>
      <c r="I4349" s="5"/>
      <c r="J4349" s="4"/>
      <c r="K4349" s="5"/>
      <c r="L4349" s="6"/>
      <c r="M4349" s="5" t="str">
        <f aca="false">IF(AND(N(K4349)&gt;0,N(L4349)&gt;0),K4349/L4349,"")</f>
        <v/>
      </c>
      <c r="N4349" s="2" t="s">
        <v>1226</v>
      </c>
    </row>
    <row r="4350" customFormat="false" ht="15" hidden="false" customHeight="false" outlineLevel="0" collapsed="false">
      <c r="A4350" s="2" t="n">
        <v>4349</v>
      </c>
      <c r="B4350" s="2" t="s">
        <v>8895</v>
      </c>
      <c r="C4350" s="2" t="s">
        <v>8896</v>
      </c>
      <c r="D4350" s="2"/>
      <c r="E4350" s="2" t="s">
        <v>1345</v>
      </c>
      <c r="F4350" s="3" t="n">
        <v>7E-006</v>
      </c>
      <c r="G4350" s="3" t="n">
        <f aca="false">SUM($F$2:F4350)</f>
        <v>0.996797</v>
      </c>
      <c r="H4350" s="4"/>
      <c r="I4350" s="5"/>
      <c r="J4350" s="4"/>
      <c r="K4350" s="5"/>
      <c r="L4350" s="6"/>
      <c r="M4350" s="5" t="str">
        <f aca="false">IF(AND(N(K4350)&gt;0,N(L4350)&gt;0),K4350/L4350,"")</f>
        <v/>
      </c>
      <c r="N4350" s="2" t="s">
        <v>1226</v>
      </c>
    </row>
    <row r="4351" customFormat="false" ht="15" hidden="false" customHeight="false" outlineLevel="0" collapsed="false">
      <c r="A4351" s="2" t="n">
        <v>4350</v>
      </c>
      <c r="B4351" s="2" t="s">
        <v>8897</v>
      </c>
      <c r="C4351" s="2" t="s">
        <v>8898</v>
      </c>
      <c r="D4351" s="2"/>
      <c r="E4351" s="2" t="s">
        <v>1345</v>
      </c>
      <c r="F4351" s="3" t="n">
        <v>7E-006</v>
      </c>
      <c r="G4351" s="3" t="n">
        <f aca="false">SUM($F$2:F4351)</f>
        <v>0.996804</v>
      </c>
      <c r="H4351" s="4"/>
      <c r="I4351" s="5"/>
      <c r="J4351" s="4"/>
      <c r="K4351" s="5"/>
      <c r="L4351" s="6"/>
      <c r="M4351" s="5" t="str">
        <f aca="false">IF(AND(N(K4351)&gt;0,N(L4351)&gt;0),K4351/L4351,"")</f>
        <v/>
      </c>
      <c r="N4351" s="2" t="s">
        <v>1226</v>
      </c>
    </row>
    <row r="4352" customFormat="false" ht="15" hidden="false" customHeight="false" outlineLevel="0" collapsed="false">
      <c r="A4352" s="2" t="n">
        <v>4351</v>
      </c>
      <c r="B4352" s="2" t="s">
        <v>8899</v>
      </c>
      <c r="C4352" s="2" t="s">
        <v>8900</v>
      </c>
      <c r="D4352" s="2"/>
      <c r="E4352" s="2" t="s">
        <v>1345</v>
      </c>
      <c r="F4352" s="3" t="n">
        <v>7E-006</v>
      </c>
      <c r="G4352" s="3" t="n">
        <f aca="false">SUM($F$2:F4352)</f>
        <v>0.996811</v>
      </c>
      <c r="H4352" s="4"/>
      <c r="I4352" s="5"/>
      <c r="J4352" s="4"/>
      <c r="K4352" s="5"/>
      <c r="L4352" s="6"/>
      <c r="M4352" s="5" t="str">
        <f aca="false">IF(AND(N(K4352)&gt;0,N(L4352)&gt;0),K4352/L4352,"")</f>
        <v/>
      </c>
      <c r="N4352" s="2" t="s">
        <v>1226</v>
      </c>
    </row>
    <row r="4353" customFormat="false" ht="15" hidden="false" customHeight="false" outlineLevel="0" collapsed="false">
      <c r="A4353" s="2" t="n">
        <v>4352</v>
      </c>
      <c r="B4353" s="2" t="s">
        <v>8901</v>
      </c>
      <c r="C4353" s="2" t="s">
        <v>8902</v>
      </c>
      <c r="D4353" s="2"/>
      <c r="E4353" s="2" t="s">
        <v>1345</v>
      </c>
      <c r="F4353" s="3" t="n">
        <v>7E-006</v>
      </c>
      <c r="G4353" s="3" t="n">
        <f aca="false">SUM($F$2:F4353)</f>
        <v>0.996818</v>
      </c>
      <c r="H4353" s="4"/>
      <c r="I4353" s="5"/>
      <c r="J4353" s="4"/>
      <c r="K4353" s="5"/>
      <c r="L4353" s="6"/>
      <c r="M4353" s="5" t="str">
        <f aca="false">IF(AND(N(K4353)&gt;0,N(L4353)&gt;0),K4353/L4353,"")</f>
        <v/>
      </c>
      <c r="N4353" s="2" t="s">
        <v>1226</v>
      </c>
    </row>
    <row r="4354" customFormat="false" ht="15" hidden="false" customHeight="false" outlineLevel="0" collapsed="false">
      <c r="A4354" s="2" t="n">
        <v>4353</v>
      </c>
      <c r="B4354" s="2" t="s">
        <v>8903</v>
      </c>
      <c r="C4354" s="2" t="s">
        <v>8904</v>
      </c>
      <c r="D4354" s="2"/>
      <c r="E4354" s="2" t="s">
        <v>1345</v>
      </c>
      <c r="F4354" s="3" t="n">
        <v>7E-006</v>
      </c>
      <c r="G4354" s="3" t="n">
        <f aca="false">SUM($F$2:F4354)</f>
        <v>0.996825</v>
      </c>
      <c r="H4354" s="4"/>
      <c r="I4354" s="5"/>
      <c r="J4354" s="4"/>
      <c r="K4354" s="5"/>
      <c r="L4354" s="6"/>
      <c r="M4354" s="5" t="str">
        <f aca="false">IF(AND(N(K4354)&gt;0,N(L4354)&gt;0),K4354/L4354,"")</f>
        <v/>
      </c>
      <c r="N4354" s="2" t="s">
        <v>1226</v>
      </c>
    </row>
    <row r="4355" customFormat="false" ht="15" hidden="false" customHeight="false" outlineLevel="0" collapsed="false">
      <c r="A4355" s="2" t="n">
        <v>4354</v>
      </c>
      <c r="B4355" s="2" t="s">
        <v>2517</v>
      </c>
      <c r="C4355" s="2" t="s">
        <v>8905</v>
      </c>
      <c r="D4355" s="2"/>
      <c r="E4355" s="2" t="s">
        <v>52</v>
      </c>
      <c r="F4355" s="3" t="n">
        <v>7E-006</v>
      </c>
      <c r="G4355" s="3" t="n">
        <f aca="false">SUM($F$2:F4355)</f>
        <v>0.996832</v>
      </c>
      <c r="H4355" s="4"/>
      <c r="I4355" s="5"/>
      <c r="J4355" s="4"/>
      <c r="K4355" s="5"/>
      <c r="L4355" s="6"/>
      <c r="M4355" s="5" t="str">
        <f aca="false">IF(AND(N(K4355)&gt;0,N(L4355)&gt;0),K4355/L4355,"")</f>
        <v/>
      </c>
      <c r="N4355" s="2" t="s">
        <v>1226</v>
      </c>
    </row>
    <row r="4356" customFormat="false" ht="15" hidden="false" customHeight="false" outlineLevel="0" collapsed="false">
      <c r="A4356" s="2" t="n">
        <v>4355</v>
      </c>
      <c r="B4356" s="2" t="s">
        <v>8906</v>
      </c>
      <c r="C4356" s="2" t="s">
        <v>8907</v>
      </c>
      <c r="D4356" s="2"/>
      <c r="E4356" s="2" t="s">
        <v>289</v>
      </c>
      <c r="F4356" s="3" t="n">
        <v>7E-006</v>
      </c>
      <c r="G4356" s="3" t="n">
        <f aca="false">SUM($F$2:F4356)</f>
        <v>0.996839</v>
      </c>
      <c r="H4356" s="4"/>
      <c r="I4356" s="5"/>
      <c r="J4356" s="4"/>
      <c r="K4356" s="5"/>
      <c r="L4356" s="6"/>
      <c r="M4356" s="5" t="str">
        <f aca="false">IF(AND(N(K4356)&gt;0,N(L4356)&gt;0),K4356/L4356,"")</f>
        <v/>
      </c>
      <c r="N4356" s="2" t="s">
        <v>1226</v>
      </c>
    </row>
    <row r="4357" customFormat="false" ht="15" hidden="false" customHeight="false" outlineLevel="0" collapsed="false">
      <c r="A4357" s="2" t="n">
        <v>4356</v>
      </c>
      <c r="B4357" s="2" t="s">
        <v>8908</v>
      </c>
      <c r="C4357" s="2" t="s">
        <v>8909</v>
      </c>
      <c r="D4357" s="2"/>
      <c r="E4357" s="2" t="s">
        <v>38</v>
      </c>
      <c r="F4357" s="3" t="n">
        <v>7E-006</v>
      </c>
      <c r="G4357" s="3" t="n">
        <f aca="false">SUM($F$2:F4357)</f>
        <v>0.996846</v>
      </c>
      <c r="H4357" s="4"/>
      <c r="I4357" s="5"/>
      <c r="J4357" s="4"/>
      <c r="K4357" s="5"/>
      <c r="L4357" s="6"/>
      <c r="M4357" s="5" t="str">
        <f aca="false">IF(AND(N(K4357)&gt;0,N(L4357)&gt;0),K4357/L4357,"")</f>
        <v/>
      </c>
      <c r="N4357" s="2" t="s">
        <v>1226</v>
      </c>
    </row>
    <row r="4358" customFormat="false" ht="15" hidden="false" customHeight="false" outlineLevel="0" collapsed="false">
      <c r="A4358" s="2" t="n">
        <v>4357</v>
      </c>
      <c r="B4358" s="2" t="s">
        <v>8910</v>
      </c>
      <c r="C4358" s="2" t="s">
        <v>8911</v>
      </c>
      <c r="D4358" s="2"/>
      <c r="E4358" s="2" t="s">
        <v>1295</v>
      </c>
      <c r="F4358" s="3" t="n">
        <v>7E-006</v>
      </c>
      <c r="G4358" s="3" t="n">
        <f aca="false">SUM($F$2:F4358)</f>
        <v>0.996853</v>
      </c>
      <c r="H4358" s="4"/>
      <c r="I4358" s="5"/>
      <c r="J4358" s="4"/>
      <c r="K4358" s="5"/>
      <c r="L4358" s="6"/>
      <c r="M4358" s="5" t="str">
        <f aca="false">IF(AND(N(K4358)&gt;0,N(L4358)&gt;0),K4358/L4358,"")</f>
        <v/>
      </c>
      <c r="N4358" s="2" t="s">
        <v>1226</v>
      </c>
    </row>
    <row r="4359" customFormat="false" ht="15" hidden="false" customHeight="false" outlineLevel="0" collapsed="false">
      <c r="A4359" s="2" t="n">
        <v>4358</v>
      </c>
      <c r="B4359" s="2" t="s">
        <v>8912</v>
      </c>
      <c r="C4359" s="2" t="s">
        <v>8913</v>
      </c>
      <c r="D4359" s="2"/>
      <c r="E4359" s="2" t="s">
        <v>48</v>
      </c>
      <c r="F4359" s="3" t="n">
        <v>7E-006</v>
      </c>
      <c r="G4359" s="3" t="n">
        <f aca="false">SUM($F$2:F4359)</f>
        <v>0.99686</v>
      </c>
      <c r="H4359" s="4"/>
      <c r="I4359" s="5"/>
      <c r="J4359" s="4"/>
      <c r="K4359" s="5"/>
      <c r="L4359" s="6"/>
      <c r="M4359" s="5" t="str">
        <f aca="false">IF(AND(N(K4359)&gt;0,N(L4359)&gt;0),K4359/L4359,"")</f>
        <v/>
      </c>
      <c r="N4359" s="2" t="s">
        <v>1226</v>
      </c>
    </row>
    <row r="4360" customFormat="false" ht="15" hidden="false" customHeight="false" outlineLevel="0" collapsed="false">
      <c r="A4360" s="2" t="n">
        <v>4359</v>
      </c>
      <c r="B4360" s="2" t="s">
        <v>8914</v>
      </c>
      <c r="C4360" s="2" t="s">
        <v>8915</v>
      </c>
      <c r="D4360" s="2"/>
      <c r="E4360" s="2" t="s">
        <v>1345</v>
      </c>
      <c r="F4360" s="3" t="n">
        <v>7E-006</v>
      </c>
      <c r="G4360" s="3" t="n">
        <f aca="false">SUM($F$2:F4360)</f>
        <v>0.996867</v>
      </c>
      <c r="H4360" s="4"/>
      <c r="I4360" s="5"/>
      <c r="J4360" s="4"/>
      <c r="K4360" s="5"/>
      <c r="L4360" s="6"/>
      <c r="M4360" s="5" t="str">
        <f aca="false">IF(AND(N(K4360)&gt;0,N(L4360)&gt;0),K4360/L4360,"")</f>
        <v/>
      </c>
      <c r="N4360" s="2" t="s">
        <v>1226</v>
      </c>
    </row>
    <row r="4361" customFormat="false" ht="15" hidden="false" customHeight="false" outlineLevel="0" collapsed="false">
      <c r="A4361" s="2" t="n">
        <v>4360</v>
      </c>
      <c r="B4361" s="2" t="s">
        <v>8916</v>
      </c>
      <c r="C4361" s="2" t="s">
        <v>8917</v>
      </c>
      <c r="D4361" s="2"/>
      <c r="E4361" s="2" t="s">
        <v>1284</v>
      </c>
      <c r="F4361" s="3" t="n">
        <v>7E-006</v>
      </c>
      <c r="G4361" s="3" t="n">
        <f aca="false">SUM($F$2:F4361)</f>
        <v>0.996874</v>
      </c>
      <c r="H4361" s="4"/>
      <c r="I4361" s="5"/>
      <c r="J4361" s="4"/>
      <c r="K4361" s="5"/>
      <c r="L4361" s="6"/>
      <c r="M4361" s="5" t="str">
        <f aca="false">IF(AND(N(K4361)&gt;0,N(L4361)&gt;0),K4361/L4361,"")</f>
        <v/>
      </c>
      <c r="N4361" s="2" t="s">
        <v>1226</v>
      </c>
    </row>
    <row r="4362" customFormat="false" ht="15" hidden="false" customHeight="false" outlineLevel="0" collapsed="false">
      <c r="A4362" s="2" t="n">
        <v>4361</v>
      </c>
      <c r="B4362" s="2" t="s">
        <v>8918</v>
      </c>
      <c r="C4362" s="2" t="s">
        <v>8919</v>
      </c>
      <c r="D4362" s="2"/>
      <c r="E4362" s="2" t="s">
        <v>826</v>
      </c>
      <c r="F4362" s="3" t="n">
        <v>7E-006</v>
      </c>
      <c r="G4362" s="3" t="n">
        <f aca="false">SUM($F$2:F4362)</f>
        <v>0.996881</v>
      </c>
      <c r="H4362" s="4"/>
      <c r="I4362" s="5"/>
      <c r="J4362" s="4"/>
      <c r="K4362" s="5"/>
      <c r="L4362" s="6"/>
      <c r="M4362" s="5" t="str">
        <f aca="false">IF(AND(N(K4362)&gt;0,N(L4362)&gt;0),K4362/L4362,"")</f>
        <v/>
      </c>
      <c r="N4362" s="2" t="s">
        <v>1226</v>
      </c>
    </row>
    <row r="4363" customFormat="false" ht="15" hidden="false" customHeight="false" outlineLevel="0" collapsed="false">
      <c r="A4363" s="2" t="n">
        <v>4362</v>
      </c>
      <c r="B4363" s="2" t="s">
        <v>8920</v>
      </c>
      <c r="C4363" s="2" t="s">
        <v>8921</v>
      </c>
      <c r="D4363" s="2"/>
      <c r="E4363" s="2" t="s">
        <v>52</v>
      </c>
      <c r="F4363" s="3" t="n">
        <v>7E-006</v>
      </c>
      <c r="G4363" s="3" t="n">
        <f aca="false">SUM($F$2:F4363)</f>
        <v>0.996888</v>
      </c>
      <c r="H4363" s="4"/>
      <c r="I4363" s="5"/>
      <c r="J4363" s="4"/>
      <c r="K4363" s="5"/>
      <c r="L4363" s="6"/>
      <c r="M4363" s="5" t="str">
        <f aca="false">IF(AND(N(K4363)&gt;0,N(L4363)&gt;0),K4363/L4363,"")</f>
        <v/>
      </c>
      <c r="N4363" s="2" t="s">
        <v>1226</v>
      </c>
    </row>
    <row r="4364" customFormat="false" ht="15" hidden="false" customHeight="false" outlineLevel="0" collapsed="false">
      <c r="A4364" s="2" t="n">
        <v>4363</v>
      </c>
      <c r="B4364" s="2" t="s">
        <v>8922</v>
      </c>
      <c r="C4364" s="2" t="s">
        <v>8923</v>
      </c>
      <c r="D4364" s="2"/>
      <c r="E4364" s="2" t="s">
        <v>1284</v>
      </c>
      <c r="F4364" s="3" t="n">
        <v>7E-006</v>
      </c>
      <c r="G4364" s="3" t="n">
        <f aca="false">SUM($F$2:F4364)</f>
        <v>0.996895</v>
      </c>
      <c r="H4364" s="4"/>
      <c r="I4364" s="5"/>
      <c r="J4364" s="4"/>
      <c r="K4364" s="5"/>
      <c r="L4364" s="6"/>
      <c r="M4364" s="5" t="str">
        <f aca="false">IF(AND(N(K4364)&gt;0,N(L4364)&gt;0),K4364/L4364,"")</f>
        <v/>
      </c>
      <c r="N4364" s="2" t="s">
        <v>1226</v>
      </c>
    </row>
    <row r="4365" customFormat="false" ht="15" hidden="false" customHeight="false" outlineLevel="0" collapsed="false">
      <c r="A4365" s="2" t="n">
        <v>4364</v>
      </c>
      <c r="B4365" s="2" t="s">
        <v>8924</v>
      </c>
      <c r="C4365" s="2" t="s">
        <v>8925</v>
      </c>
      <c r="D4365" s="2"/>
      <c r="E4365" s="2" t="s">
        <v>52</v>
      </c>
      <c r="F4365" s="3" t="n">
        <v>7E-006</v>
      </c>
      <c r="G4365" s="3" t="n">
        <f aca="false">SUM($F$2:F4365)</f>
        <v>0.996902</v>
      </c>
      <c r="H4365" s="4"/>
      <c r="I4365" s="5"/>
      <c r="J4365" s="4"/>
      <c r="K4365" s="5"/>
      <c r="L4365" s="6"/>
      <c r="M4365" s="5" t="str">
        <f aca="false">IF(AND(N(K4365)&gt;0,N(L4365)&gt;0),K4365/L4365,"")</f>
        <v/>
      </c>
      <c r="N4365" s="2" t="s">
        <v>1226</v>
      </c>
    </row>
    <row r="4366" customFormat="false" ht="15" hidden="false" customHeight="false" outlineLevel="0" collapsed="false">
      <c r="A4366" s="2" t="n">
        <v>4365</v>
      </c>
      <c r="B4366" s="2" t="s">
        <v>8926</v>
      </c>
      <c r="C4366" s="2" t="s">
        <v>8927</v>
      </c>
      <c r="D4366" s="2"/>
      <c r="E4366" s="2" t="s">
        <v>1345</v>
      </c>
      <c r="F4366" s="3" t="n">
        <v>7E-006</v>
      </c>
      <c r="G4366" s="3" t="n">
        <f aca="false">SUM($F$2:F4366)</f>
        <v>0.996909</v>
      </c>
      <c r="H4366" s="4"/>
      <c r="I4366" s="5"/>
      <c r="J4366" s="4"/>
      <c r="K4366" s="5"/>
      <c r="L4366" s="6"/>
      <c r="M4366" s="5" t="str">
        <f aca="false">IF(AND(N(K4366)&gt;0,N(L4366)&gt;0),K4366/L4366,"")</f>
        <v/>
      </c>
      <c r="N4366" s="2" t="s">
        <v>1226</v>
      </c>
    </row>
    <row r="4367" customFormat="false" ht="15" hidden="false" customHeight="false" outlineLevel="0" collapsed="false">
      <c r="A4367" s="2" t="n">
        <v>4366</v>
      </c>
      <c r="B4367" s="2" t="s">
        <v>8928</v>
      </c>
      <c r="C4367" s="2" t="s">
        <v>8929</v>
      </c>
      <c r="D4367" s="2"/>
      <c r="E4367" s="2" t="s">
        <v>43</v>
      </c>
      <c r="F4367" s="3" t="n">
        <v>7E-006</v>
      </c>
      <c r="G4367" s="3" t="n">
        <f aca="false">SUM($F$2:F4367)</f>
        <v>0.996916</v>
      </c>
      <c r="H4367" s="4"/>
      <c r="I4367" s="5"/>
      <c r="J4367" s="4"/>
      <c r="K4367" s="5"/>
      <c r="L4367" s="6"/>
      <c r="M4367" s="5" t="str">
        <f aca="false">IF(AND(N(K4367)&gt;0,N(L4367)&gt;0),K4367/L4367,"")</f>
        <v/>
      </c>
      <c r="N4367" s="2" t="s">
        <v>1226</v>
      </c>
    </row>
    <row r="4368" customFormat="false" ht="15" hidden="false" customHeight="false" outlineLevel="0" collapsed="false">
      <c r="A4368" s="2" t="n">
        <v>4367</v>
      </c>
      <c r="B4368" s="2" t="s">
        <v>8930</v>
      </c>
      <c r="C4368" s="2" t="s">
        <v>8931</v>
      </c>
      <c r="D4368" s="2"/>
      <c r="E4368" s="2" t="s">
        <v>1345</v>
      </c>
      <c r="F4368" s="3" t="n">
        <v>7E-006</v>
      </c>
      <c r="G4368" s="3" t="n">
        <f aca="false">SUM($F$2:F4368)</f>
        <v>0.996923</v>
      </c>
      <c r="H4368" s="4"/>
      <c r="I4368" s="5"/>
      <c r="J4368" s="4"/>
      <c r="K4368" s="5"/>
      <c r="L4368" s="6"/>
      <c r="M4368" s="5" t="str">
        <f aca="false">IF(AND(N(K4368)&gt;0,N(L4368)&gt;0),K4368/L4368,"")</f>
        <v/>
      </c>
      <c r="N4368" s="2" t="s">
        <v>1226</v>
      </c>
    </row>
    <row r="4369" customFormat="false" ht="15" hidden="false" customHeight="false" outlineLevel="0" collapsed="false">
      <c r="A4369" s="2" t="n">
        <v>4368</v>
      </c>
      <c r="B4369" s="2" t="s">
        <v>6237</v>
      </c>
      <c r="C4369" s="2" t="s">
        <v>8932</v>
      </c>
      <c r="D4369" s="2"/>
      <c r="E4369" s="2" t="s">
        <v>52</v>
      </c>
      <c r="F4369" s="3" t="n">
        <v>7E-006</v>
      </c>
      <c r="G4369" s="3" t="n">
        <f aca="false">SUM($F$2:F4369)</f>
        <v>0.99693</v>
      </c>
      <c r="H4369" s="4"/>
      <c r="I4369" s="5"/>
      <c r="J4369" s="4"/>
      <c r="K4369" s="5"/>
      <c r="L4369" s="6"/>
      <c r="M4369" s="5" t="str">
        <f aca="false">IF(AND(N(K4369)&gt;0,N(L4369)&gt;0),K4369/L4369,"")</f>
        <v/>
      </c>
      <c r="N4369" s="2" t="s">
        <v>1226</v>
      </c>
    </row>
    <row r="4370" customFormat="false" ht="15" hidden="false" customHeight="false" outlineLevel="0" collapsed="false">
      <c r="A4370" s="2" t="n">
        <v>4369</v>
      </c>
      <c r="B4370" s="2" t="s">
        <v>8933</v>
      </c>
      <c r="C4370" s="2" t="s">
        <v>8934</v>
      </c>
      <c r="D4370" s="2"/>
      <c r="E4370" s="2" t="s">
        <v>539</v>
      </c>
      <c r="F4370" s="3" t="n">
        <v>7E-006</v>
      </c>
      <c r="G4370" s="3" t="n">
        <f aca="false">SUM($F$2:F4370)</f>
        <v>0.996937</v>
      </c>
      <c r="H4370" s="4"/>
      <c r="I4370" s="5"/>
      <c r="J4370" s="4"/>
      <c r="K4370" s="5"/>
      <c r="L4370" s="6"/>
      <c r="M4370" s="5" t="str">
        <f aca="false">IF(AND(N(K4370)&gt;0,N(L4370)&gt;0),K4370/L4370,"")</f>
        <v/>
      </c>
      <c r="N4370" s="2" t="s">
        <v>1226</v>
      </c>
    </row>
    <row r="4371" customFormat="false" ht="15" hidden="false" customHeight="false" outlineLevel="0" collapsed="false">
      <c r="A4371" s="2" t="n">
        <v>4370</v>
      </c>
      <c r="B4371" s="2" t="s">
        <v>8935</v>
      </c>
      <c r="C4371" s="2" t="s">
        <v>8936</v>
      </c>
      <c r="D4371" s="2"/>
      <c r="E4371" s="2" t="s">
        <v>52</v>
      </c>
      <c r="F4371" s="3" t="n">
        <v>7E-006</v>
      </c>
      <c r="G4371" s="3" t="n">
        <f aca="false">SUM($F$2:F4371)</f>
        <v>0.996944</v>
      </c>
      <c r="H4371" s="4"/>
      <c r="I4371" s="5"/>
      <c r="J4371" s="4"/>
      <c r="K4371" s="5"/>
      <c r="L4371" s="6"/>
      <c r="M4371" s="5" t="str">
        <f aca="false">IF(AND(N(K4371)&gt;0,N(L4371)&gt;0),K4371/L4371,"")</f>
        <v/>
      </c>
      <c r="N4371" s="2" t="s">
        <v>1226</v>
      </c>
    </row>
    <row r="4372" customFormat="false" ht="15" hidden="false" customHeight="false" outlineLevel="0" collapsed="false">
      <c r="A4372" s="2" t="n">
        <v>4371</v>
      </c>
      <c r="B4372" s="2" t="s">
        <v>8937</v>
      </c>
      <c r="C4372" s="2" t="s">
        <v>8938</v>
      </c>
      <c r="D4372" s="2"/>
      <c r="E4372" s="2" t="s">
        <v>17</v>
      </c>
      <c r="F4372" s="3" t="n">
        <v>7E-006</v>
      </c>
      <c r="G4372" s="3" t="n">
        <f aca="false">SUM($F$2:F4372)</f>
        <v>0.996951</v>
      </c>
      <c r="H4372" s="4"/>
      <c r="I4372" s="5"/>
      <c r="J4372" s="4"/>
      <c r="K4372" s="5"/>
      <c r="L4372" s="6"/>
      <c r="M4372" s="5" t="str">
        <f aca="false">IF(AND(N(K4372)&gt;0,N(L4372)&gt;0),K4372/L4372,"")</f>
        <v/>
      </c>
      <c r="N4372" s="2" t="s">
        <v>1226</v>
      </c>
    </row>
    <row r="4373" customFormat="false" ht="15" hidden="false" customHeight="false" outlineLevel="0" collapsed="false">
      <c r="A4373" s="2" t="n">
        <v>4372</v>
      </c>
      <c r="B4373" s="2" t="s">
        <v>8939</v>
      </c>
      <c r="C4373" s="2" t="s">
        <v>8940</v>
      </c>
      <c r="D4373" s="2"/>
      <c r="E4373" s="2" t="s">
        <v>2055</v>
      </c>
      <c r="F4373" s="3" t="n">
        <v>7E-006</v>
      </c>
      <c r="G4373" s="3" t="n">
        <f aca="false">SUM($F$2:F4373)</f>
        <v>0.996958</v>
      </c>
      <c r="H4373" s="4"/>
      <c r="I4373" s="5"/>
      <c r="J4373" s="4"/>
      <c r="K4373" s="5"/>
      <c r="L4373" s="6"/>
      <c r="M4373" s="5" t="str">
        <f aca="false">IF(AND(N(K4373)&gt;0,N(L4373)&gt;0),K4373/L4373,"")</f>
        <v/>
      </c>
      <c r="N4373" s="2" t="s">
        <v>1226</v>
      </c>
    </row>
    <row r="4374" customFormat="false" ht="15" hidden="false" customHeight="false" outlineLevel="0" collapsed="false">
      <c r="A4374" s="2" t="n">
        <v>4373</v>
      </c>
      <c r="B4374" s="2" t="s">
        <v>8941</v>
      </c>
      <c r="C4374" s="2" t="s">
        <v>8942</v>
      </c>
      <c r="D4374" s="2"/>
      <c r="E4374" s="2" t="s">
        <v>296</v>
      </c>
      <c r="F4374" s="3" t="n">
        <v>7E-006</v>
      </c>
      <c r="G4374" s="3" t="n">
        <f aca="false">SUM($F$2:F4374)</f>
        <v>0.996965</v>
      </c>
      <c r="H4374" s="4"/>
      <c r="I4374" s="5"/>
      <c r="J4374" s="4"/>
      <c r="K4374" s="5"/>
      <c r="L4374" s="6"/>
      <c r="M4374" s="5" t="str">
        <f aca="false">IF(AND(N(K4374)&gt;0,N(L4374)&gt;0),K4374/L4374,"")</f>
        <v/>
      </c>
      <c r="N4374" s="2" t="s">
        <v>1226</v>
      </c>
    </row>
    <row r="4375" customFormat="false" ht="15" hidden="false" customHeight="false" outlineLevel="0" collapsed="false">
      <c r="A4375" s="2" t="n">
        <v>4374</v>
      </c>
      <c r="B4375" s="2" t="s">
        <v>8943</v>
      </c>
      <c r="C4375" s="2" t="s">
        <v>8944</v>
      </c>
      <c r="D4375" s="2"/>
      <c r="E4375" s="2" t="s">
        <v>2055</v>
      </c>
      <c r="F4375" s="3" t="n">
        <v>7E-006</v>
      </c>
      <c r="G4375" s="3" t="n">
        <f aca="false">SUM($F$2:F4375)</f>
        <v>0.996972</v>
      </c>
      <c r="H4375" s="4"/>
      <c r="I4375" s="5"/>
      <c r="J4375" s="4"/>
      <c r="K4375" s="5"/>
      <c r="L4375" s="6"/>
      <c r="M4375" s="5" t="str">
        <f aca="false">IF(AND(N(K4375)&gt;0,N(L4375)&gt;0),K4375/L4375,"")</f>
        <v/>
      </c>
      <c r="N4375" s="2" t="s">
        <v>1226</v>
      </c>
    </row>
    <row r="4376" customFormat="false" ht="15" hidden="false" customHeight="false" outlineLevel="0" collapsed="false">
      <c r="A4376" s="2" t="n">
        <v>4375</v>
      </c>
      <c r="B4376" s="2" t="s">
        <v>8945</v>
      </c>
      <c r="C4376" s="2" t="s">
        <v>8946</v>
      </c>
      <c r="D4376" s="2"/>
      <c r="E4376" s="2" t="s">
        <v>289</v>
      </c>
      <c r="F4376" s="3" t="n">
        <v>7E-006</v>
      </c>
      <c r="G4376" s="3" t="n">
        <f aca="false">SUM($F$2:F4376)</f>
        <v>0.996979</v>
      </c>
      <c r="H4376" s="4"/>
      <c r="I4376" s="5"/>
      <c r="J4376" s="4"/>
      <c r="K4376" s="5"/>
      <c r="L4376" s="6"/>
      <c r="M4376" s="5" t="str">
        <f aca="false">IF(AND(N(K4376)&gt;0,N(L4376)&gt;0),K4376/L4376,"")</f>
        <v/>
      </c>
      <c r="N4376" s="2" t="s">
        <v>1226</v>
      </c>
    </row>
    <row r="4377" customFormat="false" ht="15" hidden="false" customHeight="false" outlineLevel="0" collapsed="false">
      <c r="A4377" s="2" t="n">
        <v>4376</v>
      </c>
      <c r="B4377" s="2" t="s">
        <v>8947</v>
      </c>
      <c r="C4377" s="2" t="s">
        <v>8948</v>
      </c>
      <c r="D4377" s="2"/>
      <c r="E4377" s="2" t="s">
        <v>289</v>
      </c>
      <c r="F4377" s="3" t="n">
        <v>7E-006</v>
      </c>
      <c r="G4377" s="3" t="n">
        <f aca="false">SUM($F$2:F4377)</f>
        <v>0.996986</v>
      </c>
      <c r="H4377" s="4"/>
      <c r="I4377" s="5"/>
      <c r="J4377" s="4"/>
      <c r="K4377" s="5"/>
      <c r="L4377" s="6"/>
      <c r="M4377" s="5" t="str">
        <f aca="false">IF(AND(N(K4377)&gt;0,N(L4377)&gt;0),K4377/L4377,"")</f>
        <v/>
      </c>
      <c r="N4377" s="2" t="s">
        <v>1226</v>
      </c>
    </row>
    <row r="4378" customFormat="false" ht="15" hidden="false" customHeight="false" outlineLevel="0" collapsed="false">
      <c r="A4378" s="2" t="n">
        <v>4377</v>
      </c>
      <c r="B4378" s="2" t="s">
        <v>8949</v>
      </c>
      <c r="C4378" s="2" t="s">
        <v>8950</v>
      </c>
      <c r="D4378" s="2"/>
      <c r="E4378" s="2" t="s">
        <v>1345</v>
      </c>
      <c r="F4378" s="3" t="n">
        <v>7E-006</v>
      </c>
      <c r="G4378" s="3" t="n">
        <f aca="false">SUM($F$2:F4378)</f>
        <v>0.996993</v>
      </c>
      <c r="H4378" s="4"/>
      <c r="I4378" s="5"/>
      <c r="J4378" s="4"/>
      <c r="K4378" s="5"/>
      <c r="L4378" s="6"/>
      <c r="M4378" s="5" t="str">
        <f aca="false">IF(AND(N(K4378)&gt;0,N(L4378)&gt;0),K4378/L4378,"")</f>
        <v/>
      </c>
      <c r="N4378" s="2" t="s">
        <v>1226</v>
      </c>
    </row>
    <row r="4379" customFormat="false" ht="15" hidden="false" customHeight="false" outlineLevel="0" collapsed="false">
      <c r="A4379" s="2" t="n">
        <v>4378</v>
      </c>
      <c r="B4379" s="2" t="s">
        <v>8951</v>
      </c>
      <c r="C4379" s="2" t="s">
        <v>8952</v>
      </c>
      <c r="D4379" s="2"/>
      <c r="E4379" s="2" t="s">
        <v>289</v>
      </c>
      <c r="F4379" s="3" t="n">
        <v>7E-006</v>
      </c>
      <c r="G4379" s="3" t="n">
        <f aca="false">SUM($F$2:F4379)</f>
        <v>0.997</v>
      </c>
      <c r="H4379" s="4"/>
      <c r="I4379" s="5"/>
      <c r="J4379" s="4"/>
      <c r="K4379" s="5"/>
      <c r="L4379" s="6"/>
      <c r="M4379" s="5" t="str">
        <f aca="false">IF(AND(N(K4379)&gt;0,N(L4379)&gt;0),K4379/L4379,"")</f>
        <v/>
      </c>
      <c r="N4379" s="2" t="s">
        <v>1226</v>
      </c>
    </row>
    <row r="4380" customFormat="false" ht="15" hidden="false" customHeight="false" outlineLevel="0" collapsed="false">
      <c r="A4380" s="2" t="n">
        <v>4379</v>
      </c>
      <c r="B4380" s="2" t="s">
        <v>8953</v>
      </c>
      <c r="C4380" s="2" t="s">
        <v>8954</v>
      </c>
      <c r="D4380" s="2"/>
      <c r="E4380" s="2" t="s">
        <v>296</v>
      </c>
      <c r="F4380" s="3" t="n">
        <v>7E-006</v>
      </c>
      <c r="G4380" s="3" t="n">
        <f aca="false">SUM($F$2:F4380)</f>
        <v>0.997007</v>
      </c>
      <c r="H4380" s="4"/>
      <c r="I4380" s="5"/>
      <c r="J4380" s="4"/>
      <c r="K4380" s="5"/>
      <c r="L4380" s="6"/>
      <c r="M4380" s="5" t="str">
        <f aca="false">IF(AND(N(K4380)&gt;0,N(L4380)&gt;0),K4380/L4380,"")</f>
        <v/>
      </c>
      <c r="N4380" s="2" t="s">
        <v>1226</v>
      </c>
    </row>
    <row r="4381" customFormat="false" ht="15" hidden="false" customHeight="false" outlineLevel="0" collapsed="false">
      <c r="A4381" s="2" t="n">
        <v>4380</v>
      </c>
      <c r="B4381" s="2" t="s">
        <v>8955</v>
      </c>
      <c r="C4381" s="2" t="s">
        <v>8956</v>
      </c>
      <c r="D4381" s="2"/>
      <c r="E4381" s="2" t="s">
        <v>289</v>
      </c>
      <c r="F4381" s="3" t="n">
        <v>7E-006</v>
      </c>
      <c r="G4381" s="3" t="n">
        <f aca="false">SUM($F$2:F4381)</f>
        <v>0.997014</v>
      </c>
      <c r="H4381" s="4"/>
      <c r="I4381" s="5"/>
      <c r="J4381" s="4"/>
      <c r="K4381" s="5"/>
      <c r="L4381" s="6"/>
      <c r="M4381" s="5" t="str">
        <f aca="false">IF(AND(N(K4381)&gt;0,N(L4381)&gt;0),K4381/L4381,"")</f>
        <v/>
      </c>
      <c r="N4381" s="2" t="s">
        <v>1226</v>
      </c>
    </row>
    <row r="4382" customFormat="false" ht="15" hidden="false" customHeight="false" outlineLevel="0" collapsed="false">
      <c r="A4382" s="2" t="n">
        <v>4381</v>
      </c>
      <c r="B4382" s="2" t="s">
        <v>8957</v>
      </c>
      <c r="C4382" s="2" t="s">
        <v>8958</v>
      </c>
      <c r="D4382" s="2"/>
      <c r="E4382" s="2" t="s">
        <v>1345</v>
      </c>
      <c r="F4382" s="3" t="n">
        <v>7E-006</v>
      </c>
      <c r="G4382" s="3" t="n">
        <f aca="false">SUM($F$2:F4382)</f>
        <v>0.997021</v>
      </c>
      <c r="H4382" s="4"/>
      <c r="I4382" s="5"/>
      <c r="J4382" s="4"/>
      <c r="K4382" s="5"/>
      <c r="L4382" s="6"/>
      <c r="M4382" s="5" t="str">
        <f aca="false">IF(AND(N(K4382)&gt;0,N(L4382)&gt;0),K4382/L4382,"")</f>
        <v/>
      </c>
      <c r="N4382" s="2" t="s">
        <v>1226</v>
      </c>
    </row>
    <row r="4383" customFormat="false" ht="15" hidden="false" customHeight="false" outlineLevel="0" collapsed="false">
      <c r="A4383" s="2" t="n">
        <v>4382</v>
      </c>
      <c r="B4383" s="2" t="s">
        <v>8959</v>
      </c>
      <c r="C4383" s="2" t="s">
        <v>8960</v>
      </c>
      <c r="D4383" s="2"/>
      <c r="E4383" s="2" t="s">
        <v>1345</v>
      </c>
      <c r="F4383" s="3" t="n">
        <v>7E-006</v>
      </c>
      <c r="G4383" s="3" t="n">
        <f aca="false">SUM($F$2:F4383)</f>
        <v>0.997028</v>
      </c>
      <c r="H4383" s="4"/>
      <c r="I4383" s="5"/>
      <c r="J4383" s="4"/>
      <c r="K4383" s="5"/>
      <c r="L4383" s="6"/>
      <c r="M4383" s="5" t="str">
        <f aca="false">IF(AND(N(K4383)&gt;0,N(L4383)&gt;0),K4383/L4383,"")</f>
        <v/>
      </c>
      <c r="N4383" s="2" t="s">
        <v>1226</v>
      </c>
    </row>
    <row r="4384" customFormat="false" ht="15" hidden="false" customHeight="false" outlineLevel="0" collapsed="false">
      <c r="A4384" s="2" t="n">
        <v>4383</v>
      </c>
      <c r="B4384" s="2" t="s">
        <v>8961</v>
      </c>
      <c r="C4384" s="2" t="s">
        <v>8962</v>
      </c>
      <c r="D4384" s="2"/>
      <c r="E4384" s="2" t="s">
        <v>289</v>
      </c>
      <c r="F4384" s="3" t="n">
        <v>7E-006</v>
      </c>
      <c r="G4384" s="3" t="n">
        <f aca="false">SUM($F$2:F4384)</f>
        <v>0.997035</v>
      </c>
      <c r="H4384" s="4"/>
      <c r="I4384" s="5"/>
      <c r="J4384" s="4"/>
      <c r="K4384" s="5"/>
      <c r="L4384" s="6"/>
      <c r="M4384" s="5" t="str">
        <f aca="false">IF(AND(N(K4384)&gt;0,N(L4384)&gt;0),K4384/L4384,"")</f>
        <v/>
      </c>
      <c r="N4384" s="2" t="s">
        <v>1226</v>
      </c>
    </row>
    <row r="4385" customFormat="false" ht="15" hidden="false" customHeight="false" outlineLevel="0" collapsed="false">
      <c r="A4385" s="2" t="n">
        <v>4384</v>
      </c>
      <c r="B4385" s="2" t="s">
        <v>8963</v>
      </c>
      <c r="C4385" s="2" t="s">
        <v>8964</v>
      </c>
      <c r="D4385" s="2"/>
      <c r="E4385" s="2" t="s">
        <v>1345</v>
      </c>
      <c r="F4385" s="3" t="n">
        <v>7E-006</v>
      </c>
      <c r="G4385" s="3" t="n">
        <f aca="false">SUM($F$2:F4385)</f>
        <v>0.997042</v>
      </c>
      <c r="H4385" s="4"/>
      <c r="I4385" s="5"/>
      <c r="J4385" s="4"/>
      <c r="K4385" s="5"/>
      <c r="L4385" s="6"/>
      <c r="M4385" s="5" t="str">
        <f aca="false">IF(AND(N(K4385)&gt;0,N(L4385)&gt;0),K4385/L4385,"")</f>
        <v/>
      </c>
      <c r="N4385" s="2" t="s">
        <v>1226</v>
      </c>
    </row>
    <row r="4386" customFormat="false" ht="15" hidden="false" customHeight="false" outlineLevel="0" collapsed="false">
      <c r="A4386" s="2" t="n">
        <v>4385</v>
      </c>
      <c r="B4386" s="2" t="s">
        <v>8965</v>
      </c>
      <c r="C4386" s="2" t="s">
        <v>8966</v>
      </c>
      <c r="D4386" s="2"/>
      <c r="E4386" s="2" t="s">
        <v>1019</v>
      </c>
      <c r="F4386" s="3" t="n">
        <v>7E-006</v>
      </c>
      <c r="G4386" s="3" t="n">
        <f aca="false">SUM($F$2:F4386)</f>
        <v>0.997049</v>
      </c>
      <c r="H4386" s="4"/>
      <c r="I4386" s="5"/>
      <c r="J4386" s="4"/>
      <c r="K4386" s="5"/>
      <c r="L4386" s="6"/>
      <c r="M4386" s="5" t="str">
        <f aca="false">IF(AND(N(K4386)&gt;0,N(L4386)&gt;0),K4386/L4386,"")</f>
        <v/>
      </c>
      <c r="N4386" s="2" t="s">
        <v>1226</v>
      </c>
    </row>
    <row r="4387" customFormat="false" ht="15" hidden="false" customHeight="false" outlineLevel="0" collapsed="false">
      <c r="A4387" s="2" t="n">
        <v>4386</v>
      </c>
      <c r="B4387" s="2" t="s">
        <v>8967</v>
      </c>
      <c r="C4387" s="2" t="s">
        <v>8968</v>
      </c>
      <c r="D4387" s="2"/>
      <c r="E4387" s="2" t="s">
        <v>82</v>
      </c>
      <c r="F4387" s="3" t="n">
        <v>7E-006</v>
      </c>
      <c r="G4387" s="3" t="n">
        <f aca="false">SUM($F$2:F4387)</f>
        <v>0.997056</v>
      </c>
      <c r="H4387" s="4"/>
      <c r="I4387" s="5"/>
      <c r="J4387" s="4"/>
      <c r="K4387" s="5"/>
      <c r="L4387" s="6"/>
      <c r="M4387" s="5" t="str">
        <f aca="false">IF(AND(N(K4387)&gt;0,N(L4387)&gt;0),K4387/L4387,"")</f>
        <v/>
      </c>
      <c r="N4387" s="2" t="s">
        <v>1226</v>
      </c>
    </row>
    <row r="4388" customFormat="false" ht="15" hidden="false" customHeight="false" outlineLevel="0" collapsed="false">
      <c r="A4388" s="2" t="n">
        <v>4387</v>
      </c>
      <c r="B4388" s="2" t="s">
        <v>8969</v>
      </c>
      <c r="C4388" s="2" t="s">
        <v>8970</v>
      </c>
      <c r="D4388" s="2"/>
      <c r="E4388" s="2" t="s">
        <v>1345</v>
      </c>
      <c r="F4388" s="3" t="n">
        <v>7E-006</v>
      </c>
      <c r="G4388" s="3" t="n">
        <f aca="false">SUM($F$2:F4388)</f>
        <v>0.997063</v>
      </c>
      <c r="H4388" s="4"/>
      <c r="I4388" s="5"/>
      <c r="J4388" s="4"/>
      <c r="K4388" s="5"/>
      <c r="L4388" s="6"/>
      <c r="M4388" s="5" t="str">
        <f aca="false">IF(AND(N(K4388)&gt;0,N(L4388)&gt;0),K4388/L4388,"")</f>
        <v/>
      </c>
      <c r="N4388" s="2" t="s">
        <v>1226</v>
      </c>
    </row>
    <row r="4389" customFormat="false" ht="15" hidden="false" customHeight="false" outlineLevel="0" collapsed="false">
      <c r="A4389" s="2" t="n">
        <v>4388</v>
      </c>
      <c r="B4389" s="2" t="s">
        <v>8971</v>
      </c>
      <c r="C4389" s="2" t="s">
        <v>8972</v>
      </c>
      <c r="D4389" s="2"/>
      <c r="E4389" s="2" t="s">
        <v>52</v>
      </c>
      <c r="F4389" s="3" t="n">
        <v>7E-006</v>
      </c>
      <c r="G4389" s="3" t="n">
        <f aca="false">SUM($F$2:F4389)</f>
        <v>0.99707</v>
      </c>
      <c r="H4389" s="4"/>
      <c r="I4389" s="5"/>
      <c r="J4389" s="4"/>
      <c r="K4389" s="5"/>
      <c r="L4389" s="6"/>
      <c r="M4389" s="5" t="str">
        <f aca="false">IF(AND(N(K4389)&gt;0,N(L4389)&gt;0),K4389/L4389,"")</f>
        <v/>
      </c>
      <c r="N4389" s="2" t="s">
        <v>1226</v>
      </c>
    </row>
    <row r="4390" customFormat="false" ht="15" hidden="false" customHeight="false" outlineLevel="0" collapsed="false">
      <c r="A4390" s="2" t="n">
        <v>4389</v>
      </c>
      <c r="B4390" s="2" t="s">
        <v>8973</v>
      </c>
      <c r="C4390" s="2" t="s">
        <v>8974</v>
      </c>
      <c r="D4390" s="2"/>
      <c r="E4390" s="2" t="s">
        <v>52</v>
      </c>
      <c r="F4390" s="3" t="n">
        <v>7E-006</v>
      </c>
      <c r="G4390" s="3" t="n">
        <f aca="false">SUM($F$2:F4390)</f>
        <v>0.997077</v>
      </c>
      <c r="H4390" s="4"/>
      <c r="I4390" s="5"/>
      <c r="J4390" s="4"/>
      <c r="K4390" s="5"/>
      <c r="L4390" s="6"/>
      <c r="M4390" s="5" t="str">
        <f aca="false">IF(AND(N(K4390)&gt;0,N(L4390)&gt;0),K4390/L4390,"")</f>
        <v/>
      </c>
      <c r="N4390" s="2" t="s">
        <v>1226</v>
      </c>
    </row>
    <row r="4391" customFormat="false" ht="15" hidden="false" customHeight="false" outlineLevel="0" collapsed="false">
      <c r="A4391" s="2" t="n">
        <v>4390</v>
      </c>
      <c r="B4391" s="2" t="s">
        <v>8975</v>
      </c>
      <c r="C4391" s="2" t="s">
        <v>8976</v>
      </c>
      <c r="D4391" s="2"/>
      <c r="E4391" s="2" t="s">
        <v>1295</v>
      </c>
      <c r="F4391" s="3" t="n">
        <v>7E-006</v>
      </c>
      <c r="G4391" s="3" t="n">
        <f aca="false">SUM($F$2:F4391)</f>
        <v>0.997084</v>
      </c>
      <c r="H4391" s="4"/>
      <c r="I4391" s="5"/>
      <c r="J4391" s="4"/>
      <c r="K4391" s="5"/>
      <c r="L4391" s="6"/>
      <c r="M4391" s="5" t="str">
        <f aca="false">IF(AND(N(K4391)&gt;0,N(L4391)&gt;0),K4391/L4391,"")</f>
        <v/>
      </c>
      <c r="N4391" s="2" t="s">
        <v>1226</v>
      </c>
    </row>
    <row r="4392" customFormat="false" ht="15" hidden="false" customHeight="false" outlineLevel="0" collapsed="false">
      <c r="A4392" s="2" t="n">
        <v>4391</v>
      </c>
      <c r="B4392" s="2" t="s">
        <v>8977</v>
      </c>
      <c r="C4392" s="2" t="s">
        <v>8978</v>
      </c>
      <c r="D4392" s="2"/>
      <c r="E4392" s="2" t="s">
        <v>1345</v>
      </c>
      <c r="F4392" s="3" t="n">
        <v>6E-006</v>
      </c>
      <c r="G4392" s="3" t="n">
        <f aca="false">SUM($F$2:F4392)</f>
        <v>0.99709</v>
      </c>
      <c r="H4392" s="4"/>
      <c r="I4392" s="5"/>
      <c r="J4392" s="4"/>
      <c r="K4392" s="5"/>
      <c r="L4392" s="6"/>
      <c r="M4392" s="5" t="str">
        <f aca="false">IF(AND(N(K4392)&gt;0,N(L4392)&gt;0),K4392/L4392,"")</f>
        <v/>
      </c>
      <c r="N4392" s="2" t="s">
        <v>1226</v>
      </c>
    </row>
    <row r="4393" customFormat="false" ht="15" hidden="false" customHeight="false" outlineLevel="0" collapsed="false">
      <c r="A4393" s="2" t="n">
        <v>4392</v>
      </c>
      <c r="B4393" s="2" t="s">
        <v>8979</v>
      </c>
      <c r="C4393" s="2" t="s">
        <v>8980</v>
      </c>
      <c r="D4393" s="2"/>
      <c r="E4393" s="2" t="s">
        <v>1345</v>
      </c>
      <c r="F4393" s="3" t="n">
        <v>6E-006</v>
      </c>
      <c r="G4393" s="3" t="n">
        <f aca="false">SUM($F$2:F4393)</f>
        <v>0.997096</v>
      </c>
      <c r="H4393" s="4"/>
      <c r="I4393" s="5"/>
      <c r="J4393" s="4"/>
      <c r="K4393" s="5"/>
      <c r="L4393" s="6"/>
      <c r="M4393" s="5" t="str">
        <f aca="false">IF(AND(N(K4393)&gt;0,N(L4393)&gt;0),K4393/L4393,"")</f>
        <v/>
      </c>
      <c r="N4393" s="2" t="s">
        <v>1226</v>
      </c>
    </row>
    <row r="4394" customFormat="false" ht="15" hidden="false" customHeight="false" outlineLevel="0" collapsed="false">
      <c r="A4394" s="2" t="n">
        <v>4393</v>
      </c>
      <c r="B4394" s="2" t="s">
        <v>8981</v>
      </c>
      <c r="C4394" s="2" t="s">
        <v>8982</v>
      </c>
      <c r="D4394" s="2"/>
      <c r="E4394" s="2" t="s">
        <v>1295</v>
      </c>
      <c r="F4394" s="3" t="n">
        <v>6E-006</v>
      </c>
      <c r="G4394" s="3" t="n">
        <f aca="false">SUM($F$2:F4394)</f>
        <v>0.997102</v>
      </c>
      <c r="H4394" s="4"/>
      <c r="I4394" s="5"/>
      <c r="J4394" s="4"/>
      <c r="K4394" s="5"/>
      <c r="L4394" s="6"/>
      <c r="M4394" s="5" t="str">
        <f aca="false">IF(AND(N(K4394)&gt;0,N(L4394)&gt;0),K4394/L4394,"")</f>
        <v/>
      </c>
      <c r="N4394" s="2" t="s">
        <v>1226</v>
      </c>
    </row>
    <row r="4395" customFormat="false" ht="15" hidden="false" customHeight="false" outlineLevel="0" collapsed="false">
      <c r="A4395" s="2" t="n">
        <v>4394</v>
      </c>
      <c r="B4395" s="2" t="s">
        <v>8983</v>
      </c>
      <c r="C4395" s="2" t="s">
        <v>8984</v>
      </c>
      <c r="D4395" s="2"/>
      <c r="E4395" s="2" t="s">
        <v>1345</v>
      </c>
      <c r="F4395" s="3" t="n">
        <v>6E-006</v>
      </c>
      <c r="G4395" s="3" t="n">
        <f aca="false">SUM($F$2:F4395)</f>
        <v>0.997108</v>
      </c>
      <c r="H4395" s="4"/>
      <c r="I4395" s="5"/>
      <c r="J4395" s="4"/>
      <c r="K4395" s="5"/>
      <c r="L4395" s="6"/>
      <c r="M4395" s="5" t="str">
        <f aca="false">IF(AND(N(K4395)&gt;0,N(L4395)&gt;0),K4395/L4395,"")</f>
        <v/>
      </c>
      <c r="N4395" s="2" t="s">
        <v>1226</v>
      </c>
    </row>
    <row r="4396" customFormat="false" ht="15" hidden="false" customHeight="false" outlineLevel="0" collapsed="false">
      <c r="A4396" s="2" t="n">
        <v>4395</v>
      </c>
      <c r="B4396" s="2" t="s">
        <v>8985</v>
      </c>
      <c r="C4396" s="2" t="s">
        <v>8986</v>
      </c>
      <c r="D4396" s="2"/>
      <c r="E4396" s="2" t="s">
        <v>289</v>
      </c>
      <c r="F4396" s="3" t="n">
        <v>6E-006</v>
      </c>
      <c r="G4396" s="3" t="n">
        <f aca="false">SUM($F$2:F4396)</f>
        <v>0.997114</v>
      </c>
      <c r="H4396" s="4"/>
      <c r="I4396" s="5"/>
      <c r="J4396" s="4"/>
      <c r="K4396" s="5"/>
      <c r="L4396" s="6"/>
      <c r="M4396" s="5" t="str">
        <f aca="false">IF(AND(N(K4396)&gt;0,N(L4396)&gt;0),K4396/L4396,"")</f>
        <v/>
      </c>
      <c r="N4396" s="2" t="s">
        <v>1226</v>
      </c>
    </row>
    <row r="4397" customFormat="false" ht="15" hidden="false" customHeight="false" outlineLevel="0" collapsed="false">
      <c r="A4397" s="2" t="n">
        <v>4396</v>
      </c>
      <c r="B4397" s="2" t="s">
        <v>8987</v>
      </c>
      <c r="C4397" s="2" t="s">
        <v>8988</v>
      </c>
      <c r="D4397" s="2"/>
      <c r="E4397" s="2" t="s">
        <v>82</v>
      </c>
      <c r="F4397" s="3" t="n">
        <v>6E-006</v>
      </c>
      <c r="G4397" s="3" t="n">
        <f aca="false">SUM($F$2:F4397)</f>
        <v>0.99712</v>
      </c>
      <c r="H4397" s="4"/>
      <c r="I4397" s="5"/>
      <c r="J4397" s="4"/>
      <c r="K4397" s="5"/>
      <c r="L4397" s="6"/>
      <c r="M4397" s="5" t="str">
        <f aca="false">IF(AND(N(K4397)&gt;0,N(L4397)&gt;0),K4397/L4397,"")</f>
        <v/>
      </c>
      <c r="N4397" s="2" t="s">
        <v>1226</v>
      </c>
    </row>
    <row r="4398" customFormat="false" ht="15" hidden="false" customHeight="false" outlineLevel="0" collapsed="false">
      <c r="A4398" s="2" t="n">
        <v>4397</v>
      </c>
      <c r="B4398" s="2" t="s">
        <v>8989</v>
      </c>
      <c r="C4398" s="2" t="s">
        <v>8990</v>
      </c>
      <c r="D4398" s="2"/>
      <c r="E4398" s="2" t="s">
        <v>1345</v>
      </c>
      <c r="F4398" s="3" t="n">
        <v>6E-006</v>
      </c>
      <c r="G4398" s="3" t="n">
        <f aca="false">SUM($F$2:F4398)</f>
        <v>0.997126</v>
      </c>
      <c r="H4398" s="4"/>
      <c r="I4398" s="5"/>
      <c r="J4398" s="4"/>
      <c r="K4398" s="5"/>
      <c r="L4398" s="6"/>
      <c r="M4398" s="5" t="str">
        <f aca="false">IF(AND(N(K4398)&gt;0,N(L4398)&gt;0),K4398/L4398,"")</f>
        <v/>
      </c>
      <c r="N4398" s="2" t="s">
        <v>1226</v>
      </c>
    </row>
    <row r="4399" customFormat="false" ht="15" hidden="false" customHeight="false" outlineLevel="0" collapsed="false">
      <c r="A4399" s="2" t="n">
        <v>4398</v>
      </c>
      <c r="B4399" s="2" t="s">
        <v>8991</v>
      </c>
      <c r="C4399" s="2" t="s">
        <v>8992</v>
      </c>
      <c r="D4399" s="2"/>
      <c r="E4399" s="2" t="s">
        <v>199</v>
      </c>
      <c r="F4399" s="3" t="n">
        <v>6E-006</v>
      </c>
      <c r="G4399" s="3" t="n">
        <f aca="false">SUM($F$2:F4399)</f>
        <v>0.997132</v>
      </c>
      <c r="H4399" s="4"/>
      <c r="I4399" s="5"/>
      <c r="J4399" s="4"/>
      <c r="K4399" s="5"/>
      <c r="L4399" s="6"/>
      <c r="M4399" s="5" t="str">
        <f aca="false">IF(AND(N(K4399)&gt;0,N(L4399)&gt;0),K4399/L4399,"")</f>
        <v/>
      </c>
      <c r="N4399" s="2" t="s">
        <v>1226</v>
      </c>
    </row>
    <row r="4400" customFormat="false" ht="15" hidden="false" customHeight="false" outlineLevel="0" collapsed="false">
      <c r="A4400" s="2" t="n">
        <v>4399</v>
      </c>
      <c r="B4400" s="2" t="s">
        <v>8993</v>
      </c>
      <c r="C4400" s="2" t="s">
        <v>8994</v>
      </c>
      <c r="D4400" s="2"/>
      <c r="E4400" s="2" t="s">
        <v>52</v>
      </c>
      <c r="F4400" s="3" t="n">
        <v>6E-006</v>
      </c>
      <c r="G4400" s="3" t="n">
        <f aca="false">SUM($F$2:F4400)</f>
        <v>0.997138</v>
      </c>
      <c r="H4400" s="4"/>
      <c r="I4400" s="5"/>
      <c r="J4400" s="4"/>
      <c r="K4400" s="5"/>
      <c r="L4400" s="6"/>
      <c r="M4400" s="5" t="str">
        <f aca="false">IF(AND(N(K4400)&gt;0,N(L4400)&gt;0),K4400/L4400,"")</f>
        <v/>
      </c>
      <c r="N4400" s="2" t="s">
        <v>1226</v>
      </c>
    </row>
    <row r="4401" customFormat="false" ht="15" hidden="false" customHeight="false" outlineLevel="0" collapsed="false">
      <c r="A4401" s="2" t="n">
        <v>4400</v>
      </c>
      <c r="B4401" s="2" t="s">
        <v>8995</v>
      </c>
      <c r="C4401" s="2" t="s">
        <v>8996</v>
      </c>
      <c r="D4401" s="2"/>
      <c r="E4401" s="2" t="s">
        <v>52</v>
      </c>
      <c r="F4401" s="3" t="n">
        <v>6E-006</v>
      </c>
      <c r="G4401" s="3" t="n">
        <f aca="false">SUM($F$2:F4401)</f>
        <v>0.997144</v>
      </c>
      <c r="H4401" s="4"/>
      <c r="I4401" s="5"/>
      <c r="J4401" s="4"/>
      <c r="K4401" s="5"/>
      <c r="L4401" s="6"/>
      <c r="M4401" s="5" t="str">
        <f aca="false">IF(AND(N(K4401)&gt;0,N(L4401)&gt;0),K4401/L4401,"")</f>
        <v/>
      </c>
      <c r="N4401" s="2" t="s">
        <v>1226</v>
      </c>
    </row>
    <row r="4402" customFormat="false" ht="15" hidden="false" customHeight="false" outlineLevel="0" collapsed="false">
      <c r="A4402" s="2" t="n">
        <v>4401</v>
      </c>
      <c r="B4402" s="2" t="s">
        <v>8997</v>
      </c>
      <c r="C4402" s="2" t="s">
        <v>8998</v>
      </c>
      <c r="D4402" s="2"/>
      <c r="E4402" s="2" t="s">
        <v>296</v>
      </c>
      <c r="F4402" s="3" t="n">
        <v>6E-006</v>
      </c>
      <c r="G4402" s="3" t="n">
        <f aca="false">SUM($F$2:F4402)</f>
        <v>0.99715</v>
      </c>
      <c r="H4402" s="4"/>
      <c r="I4402" s="5"/>
      <c r="J4402" s="4"/>
      <c r="K4402" s="5"/>
      <c r="L4402" s="6"/>
      <c r="M4402" s="5" t="str">
        <f aca="false">IF(AND(N(K4402)&gt;0,N(L4402)&gt;0),K4402/L4402,"")</f>
        <v/>
      </c>
      <c r="N4402" s="2" t="s">
        <v>1226</v>
      </c>
    </row>
    <row r="4403" customFormat="false" ht="15" hidden="false" customHeight="false" outlineLevel="0" collapsed="false">
      <c r="A4403" s="2" t="n">
        <v>4402</v>
      </c>
      <c r="B4403" s="2" t="s">
        <v>8999</v>
      </c>
      <c r="C4403" s="2" t="s">
        <v>9000</v>
      </c>
      <c r="D4403" s="2"/>
      <c r="E4403" s="2" t="s">
        <v>52</v>
      </c>
      <c r="F4403" s="3" t="n">
        <v>6E-006</v>
      </c>
      <c r="G4403" s="3" t="n">
        <f aca="false">SUM($F$2:F4403)</f>
        <v>0.997156</v>
      </c>
      <c r="H4403" s="4"/>
      <c r="I4403" s="5"/>
      <c r="J4403" s="4"/>
      <c r="K4403" s="5"/>
      <c r="L4403" s="6"/>
      <c r="M4403" s="5" t="str">
        <f aca="false">IF(AND(N(K4403)&gt;0,N(L4403)&gt;0),K4403/L4403,"")</f>
        <v/>
      </c>
      <c r="N4403" s="2" t="s">
        <v>1226</v>
      </c>
    </row>
    <row r="4404" customFormat="false" ht="15" hidden="false" customHeight="false" outlineLevel="0" collapsed="false">
      <c r="A4404" s="2" t="n">
        <v>4403</v>
      </c>
      <c r="B4404" s="2" t="s">
        <v>9001</v>
      </c>
      <c r="C4404" s="2" t="s">
        <v>9002</v>
      </c>
      <c r="D4404" s="2"/>
      <c r="E4404" s="2" t="s">
        <v>289</v>
      </c>
      <c r="F4404" s="3" t="n">
        <v>6E-006</v>
      </c>
      <c r="G4404" s="3" t="n">
        <f aca="false">SUM($F$2:F4404)</f>
        <v>0.997162</v>
      </c>
      <c r="H4404" s="4"/>
      <c r="I4404" s="5"/>
      <c r="J4404" s="4"/>
      <c r="K4404" s="5"/>
      <c r="L4404" s="6"/>
      <c r="M4404" s="5" t="str">
        <f aca="false">IF(AND(N(K4404)&gt;0,N(L4404)&gt;0),K4404/L4404,"")</f>
        <v/>
      </c>
      <c r="N4404" s="2" t="s">
        <v>1226</v>
      </c>
    </row>
    <row r="4405" customFormat="false" ht="15" hidden="false" customHeight="false" outlineLevel="0" collapsed="false">
      <c r="A4405" s="2" t="n">
        <v>4404</v>
      </c>
      <c r="B4405" s="2" t="s">
        <v>9003</v>
      </c>
      <c r="C4405" s="2" t="s">
        <v>9004</v>
      </c>
      <c r="D4405" s="2"/>
      <c r="E4405" s="2" t="s">
        <v>25</v>
      </c>
      <c r="F4405" s="3" t="n">
        <v>6E-006</v>
      </c>
      <c r="G4405" s="3" t="n">
        <f aca="false">SUM($F$2:F4405)</f>
        <v>0.997168</v>
      </c>
      <c r="H4405" s="4"/>
      <c r="I4405" s="5"/>
      <c r="J4405" s="4"/>
      <c r="K4405" s="5"/>
      <c r="L4405" s="6"/>
      <c r="M4405" s="5" t="str">
        <f aca="false">IF(AND(N(K4405)&gt;0,N(L4405)&gt;0),K4405/L4405,"")</f>
        <v/>
      </c>
      <c r="N4405" s="2" t="s">
        <v>1226</v>
      </c>
    </row>
    <row r="4406" customFormat="false" ht="15" hidden="false" customHeight="false" outlineLevel="0" collapsed="false">
      <c r="A4406" s="2" t="n">
        <v>4405</v>
      </c>
      <c r="B4406" s="2" t="s">
        <v>9005</v>
      </c>
      <c r="C4406" s="2" t="s">
        <v>9006</v>
      </c>
      <c r="D4406" s="2"/>
      <c r="E4406" s="2" t="s">
        <v>539</v>
      </c>
      <c r="F4406" s="3" t="n">
        <v>6E-006</v>
      </c>
      <c r="G4406" s="3" t="n">
        <f aca="false">SUM($F$2:F4406)</f>
        <v>0.997174</v>
      </c>
      <c r="H4406" s="4"/>
      <c r="I4406" s="5"/>
      <c r="J4406" s="4"/>
      <c r="K4406" s="5"/>
      <c r="L4406" s="6"/>
      <c r="M4406" s="5" t="str">
        <f aca="false">IF(AND(N(K4406)&gt;0,N(L4406)&gt;0),K4406/L4406,"")</f>
        <v/>
      </c>
      <c r="N4406" s="2" t="s">
        <v>1226</v>
      </c>
    </row>
    <row r="4407" customFormat="false" ht="15" hidden="false" customHeight="false" outlineLevel="0" collapsed="false">
      <c r="A4407" s="2" t="n">
        <v>4406</v>
      </c>
      <c r="B4407" s="2" t="s">
        <v>9007</v>
      </c>
      <c r="C4407" s="2" t="s">
        <v>9008</v>
      </c>
      <c r="D4407" s="2"/>
      <c r="E4407" s="2" t="s">
        <v>43</v>
      </c>
      <c r="F4407" s="3" t="n">
        <v>6E-006</v>
      </c>
      <c r="G4407" s="3" t="n">
        <f aca="false">SUM($F$2:F4407)</f>
        <v>0.99718</v>
      </c>
      <c r="H4407" s="4"/>
      <c r="I4407" s="5"/>
      <c r="J4407" s="4"/>
      <c r="K4407" s="5"/>
      <c r="L4407" s="6"/>
      <c r="M4407" s="5" t="str">
        <f aca="false">IF(AND(N(K4407)&gt;0,N(L4407)&gt;0),K4407/L4407,"")</f>
        <v/>
      </c>
      <c r="N4407" s="2" t="s">
        <v>1226</v>
      </c>
    </row>
    <row r="4408" customFormat="false" ht="15" hidden="false" customHeight="false" outlineLevel="0" collapsed="false">
      <c r="A4408" s="2" t="n">
        <v>4407</v>
      </c>
      <c r="B4408" s="2" t="s">
        <v>9009</v>
      </c>
      <c r="C4408" s="2" t="s">
        <v>9010</v>
      </c>
      <c r="D4408" s="2"/>
      <c r="E4408" s="2" t="s">
        <v>1284</v>
      </c>
      <c r="F4408" s="3" t="n">
        <v>6E-006</v>
      </c>
      <c r="G4408" s="3" t="n">
        <f aca="false">SUM($F$2:F4408)</f>
        <v>0.997186</v>
      </c>
      <c r="H4408" s="4"/>
      <c r="I4408" s="5"/>
      <c r="J4408" s="4"/>
      <c r="K4408" s="5"/>
      <c r="L4408" s="6"/>
      <c r="M4408" s="5" t="str">
        <f aca="false">IF(AND(N(K4408)&gt;0,N(L4408)&gt;0),K4408/L4408,"")</f>
        <v/>
      </c>
      <c r="N4408" s="2" t="s">
        <v>1226</v>
      </c>
    </row>
    <row r="4409" customFormat="false" ht="15" hidden="false" customHeight="false" outlineLevel="0" collapsed="false">
      <c r="A4409" s="2" t="n">
        <v>4408</v>
      </c>
      <c r="B4409" s="2" t="s">
        <v>9011</v>
      </c>
      <c r="C4409" s="2" t="s">
        <v>9012</v>
      </c>
      <c r="D4409" s="2"/>
      <c r="E4409" s="2" t="s">
        <v>539</v>
      </c>
      <c r="F4409" s="3" t="n">
        <v>6E-006</v>
      </c>
      <c r="G4409" s="3" t="n">
        <f aca="false">SUM($F$2:F4409)</f>
        <v>0.997192</v>
      </c>
      <c r="H4409" s="4"/>
      <c r="I4409" s="5"/>
      <c r="J4409" s="4"/>
      <c r="K4409" s="5"/>
      <c r="L4409" s="6"/>
      <c r="M4409" s="5" t="str">
        <f aca="false">IF(AND(N(K4409)&gt;0,N(L4409)&gt;0),K4409/L4409,"")</f>
        <v/>
      </c>
      <c r="N4409" s="2" t="s">
        <v>1226</v>
      </c>
    </row>
    <row r="4410" customFormat="false" ht="15" hidden="false" customHeight="false" outlineLevel="0" collapsed="false">
      <c r="A4410" s="2" t="n">
        <v>4409</v>
      </c>
      <c r="B4410" s="2" t="s">
        <v>150</v>
      </c>
      <c r="C4410" s="2" t="s">
        <v>9013</v>
      </c>
      <c r="D4410" s="2"/>
      <c r="E4410" s="2" t="s">
        <v>1334</v>
      </c>
      <c r="F4410" s="3" t="n">
        <v>6E-006</v>
      </c>
      <c r="G4410" s="3" t="n">
        <f aca="false">SUM($F$2:F4410)</f>
        <v>0.997198</v>
      </c>
      <c r="H4410" s="4"/>
      <c r="I4410" s="5"/>
      <c r="J4410" s="4"/>
      <c r="K4410" s="5"/>
      <c r="L4410" s="6"/>
      <c r="M4410" s="5" t="str">
        <f aca="false">IF(AND(N(K4410)&gt;0,N(L4410)&gt;0),K4410/L4410,"")</f>
        <v/>
      </c>
      <c r="N4410" s="2" t="s">
        <v>1226</v>
      </c>
    </row>
    <row r="4411" customFormat="false" ht="15" hidden="false" customHeight="false" outlineLevel="0" collapsed="false">
      <c r="A4411" s="2" t="n">
        <v>4410</v>
      </c>
      <c r="B4411" s="2" t="s">
        <v>9014</v>
      </c>
      <c r="C4411" s="2" t="s">
        <v>9015</v>
      </c>
      <c r="D4411" s="2"/>
      <c r="E4411" s="2" t="s">
        <v>52</v>
      </c>
      <c r="F4411" s="3" t="n">
        <v>6E-006</v>
      </c>
      <c r="G4411" s="3" t="n">
        <f aca="false">SUM($F$2:F4411)</f>
        <v>0.997204</v>
      </c>
      <c r="H4411" s="4"/>
      <c r="I4411" s="5"/>
      <c r="J4411" s="4"/>
      <c r="K4411" s="5"/>
      <c r="L4411" s="6"/>
      <c r="M4411" s="5" t="str">
        <f aca="false">IF(AND(N(K4411)&gt;0,N(L4411)&gt;0),K4411/L4411,"")</f>
        <v/>
      </c>
      <c r="N4411" s="2" t="s">
        <v>1226</v>
      </c>
    </row>
    <row r="4412" customFormat="false" ht="15" hidden="false" customHeight="false" outlineLevel="0" collapsed="false">
      <c r="A4412" s="2" t="n">
        <v>4411</v>
      </c>
      <c r="B4412" s="2" t="s">
        <v>8828</v>
      </c>
      <c r="C4412" s="2" t="s">
        <v>9016</v>
      </c>
      <c r="D4412" s="2"/>
      <c r="E4412" s="2" t="s">
        <v>17</v>
      </c>
      <c r="F4412" s="3" t="n">
        <v>6E-006</v>
      </c>
      <c r="G4412" s="3" t="n">
        <f aca="false">SUM($F$2:F4412)</f>
        <v>0.99721</v>
      </c>
      <c r="H4412" s="4"/>
      <c r="I4412" s="5"/>
      <c r="J4412" s="4"/>
      <c r="K4412" s="5"/>
      <c r="L4412" s="6"/>
      <c r="M4412" s="5" t="str">
        <f aca="false">IF(AND(N(K4412)&gt;0,N(L4412)&gt;0),K4412/L4412,"")</f>
        <v/>
      </c>
      <c r="N4412" s="2" t="s">
        <v>1226</v>
      </c>
    </row>
    <row r="4413" customFormat="false" ht="15" hidden="false" customHeight="false" outlineLevel="0" collapsed="false">
      <c r="A4413" s="2" t="n">
        <v>4412</v>
      </c>
      <c r="B4413" s="2" t="s">
        <v>9017</v>
      </c>
      <c r="C4413" s="2" t="s">
        <v>9018</v>
      </c>
      <c r="D4413" s="2"/>
      <c r="E4413" s="2" t="s">
        <v>2055</v>
      </c>
      <c r="F4413" s="3" t="n">
        <v>6E-006</v>
      </c>
      <c r="G4413" s="3" t="n">
        <f aca="false">SUM($F$2:F4413)</f>
        <v>0.997216</v>
      </c>
      <c r="H4413" s="4"/>
      <c r="I4413" s="5"/>
      <c r="J4413" s="4"/>
      <c r="K4413" s="5"/>
      <c r="L4413" s="6"/>
      <c r="M4413" s="5" t="str">
        <f aca="false">IF(AND(N(K4413)&gt;0,N(L4413)&gt;0),K4413/L4413,"")</f>
        <v/>
      </c>
      <c r="N4413" s="2" t="s">
        <v>1226</v>
      </c>
    </row>
    <row r="4414" customFormat="false" ht="15" hidden="false" customHeight="false" outlineLevel="0" collapsed="false">
      <c r="A4414" s="2" t="n">
        <v>4413</v>
      </c>
      <c r="B4414" s="2" t="s">
        <v>9019</v>
      </c>
      <c r="C4414" s="2" t="s">
        <v>9020</v>
      </c>
      <c r="D4414" s="2"/>
      <c r="E4414" s="2" t="s">
        <v>1245</v>
      </c>
      <c r="F4414" s="3" t="n">
        <v>6E-006</v>
      </c>
      <c r="G4414" s="3" t="n">
        <f aca="false">SUM($F$2:F4414)</f>
        <v>0.997222</v>
      </c>
      <c r="H4414" s="4"/>
      <c r="I4414" s="5"/>
      <c r="J4414" s="4"/>
      <c r="K4414" s="5"/>
      <c r="L4414" s="6"/>
      <c r="M4414" s="5" t="str">
        <f aca="false">IF(AND(N(K4414)&gt;0,N(L4414)&gt;0),K4414/L4414,"")</f>
        <v/>
      </c>
      <c r="N4414" s="2" t="s">
        <v>1226</v>
      </c>
    </row>
    <row r="4415" customFormat="false" ht="15" hidden="false" customHeight="false" outlineLevel="0" collapsed="false">
      <c r="A4415" s="2" t="n">
        <v>4414</v>
      </c>
      <c r="B4415" s="2" t="s">
        <v>9021</v>
      </c>
      <c r="C4415" s="2" t="s">
        <v>9022</v>
      </c>
      <c r="D4415" s="2"/>
      <c r="E4415" s="2" t="s">
        <v>1345</v>
      </c>
      <c r="F4415" s="3" t="n">
        <v>6E-006</v>
      </c>
      <c r="G4415" s="3" t="n">
        <f aca="false">SUM($F$2:F4415)</f>
        <v>0.997228</v>
      </c>
      <c r="H4415" s="4"/>
      <c r="I4415" s="5"/>
      <c r="J4415" s="4"/>
      <c r="K4415" s="5"/>
      <c r="L4415" s="6"/>
      <c r="M4415" s="5" t="str">
        <f aca="false">IF(AND(N(K4415)&gt;0,N(L4415)&gt;0),K4415/L4415,"")</f>
        <v/>
      </c>
      <c r="N4415" s="2" t="s">
        <v>1226</v>
      </c>
    </row>
    <row r="4416" customFormat="false" ht="15" hidden="false" customHeight="false" outlineLevel="0" collapsed="false">
      <c r="A4416" s="2" t="n">
        <v>4415</v>
      </c>
      <c r="B4416" s="2" t="s">
        <v>9023</v>
      </c>
      <c r="C4416" s="2" t="s">
        <v>9024</v>
      </c>
      <c r="D4416" s="2"/>
      <c r="E4416" s="2" t="s">
        <v>289</v>
      </c>
      <c r="F4416" s="3" t="n">
        <v>6E-006</v>
      </c>
      <c r="G4416" s="3" t="n">
        <f aca="false">SUM($F$2:F4416)</f>
        <v>0.997234</v>
      </c>
      <c r="H4416" s="4"/>
      <c r="I4416" s="5"/>
      <c r="J4416" s="4"/>
      <c r="K4416" s="5"/>
      <c r="L4416" s="6"/>
      <c r="M4416" s="5" t="str">
        <f aca="false">IF(AND(N(K4416)&gt;0,N(L4416)&gt;0),K4416/L4416,"")</f>
        <v/>
      </c>
      <c r="N4416" s="2" t="s">
        <v>1226</v>
      </c>
    </row>
    <row r="4417" customFormat="false" ht="15" hidden="false" customHeight="false" outlineLevel="0" collapsed="false">
      <c r="A4417" s="2" t="n">
        <v>4416</v>
      </c>
      <c r="B4417" s="2" t="s">
        <v>9025</v>
      </c>
      <c r="C4417" s="2" t="s">
        <v>9026</v>
      </c>
      <c r="D4417" s="2"/>
      <c r="E4417" s="2" t="s">
        <v>1345</v>
      </c>
      <c r="F4417" s="3" t="n">
        <v>6E-006</v>
      </c>
      <c r="G4417" s="3" t="n">
        <f aca="false">SUM($F$2:F4417)</f>
        <v>0.99724</v>
      </c>
      <c r="H4417" s="4"/>
      <c r="I4417" s="5"/>
      <c r="J4417" s="4"/>
      <c r="K4417" s="5"/>
      <c r="L4417" s="6"/>
      <c r="M4417" s="5" t="str">
        <f aca="false">IF(AND(N(K4417)&gt;0,N(L4417)&gt;0),K4417/L4417,"")</f>
        <v/>
      </c>
      <c r="N4417" s="2" t="s">
        <v>1226</v>
      </c>
    </row>
    <row r="4418" customFormat="false" ht="15" hidden="false" customHeight="false" outlineLevel="0" collapsed="false">
      <c r="A4418" s="2" t="n">
        <v>4417</v>
      </c>
      <c r="B4418" s="2" t="s">
        <v>9027</v>
      </c>
      <c r="C4418" s="2" t="s">
        <v>9028</v>
      </c>
      <c r="D4418" s="2"/>
      <c r="E4418" s="2" t="s">
        <v>289</v>
      </c>
      <c r="F4418" s="3" t="n">
        <v>6E-006</v>
      </c>
      <c r="G4418" s="3" t="n">
        <f aca="false">SUM($F$2:F4418)</f>
        <v>0.997246</v>
      </c>
      <c r="H4418" s="4"/>
      <c r="I4418" s="5"/>
      <c r="J4418" s="4"/>
      <c r="K4418" s="5"/>
      <c r="L4418" s="6"/>
      <c r="M4418" s="5" t="str">
        <f aca="false">IF(AND(N(K4418)&gt;0,N(L4418)&gt;0),K4418/L4418,"")</f>
        <v/>
      </c>
      <c r="N4418" s="2" t="s">
        <v>1226</v>
      </c>
    </row>
    <row r="4419" customFormat="false" ht="15" hidden="false" customHeight="false" outlineLevel="0" collapsed="false">
      <c r="A4419" s="2" t="n">
        <v>4418</v>
      </c>
      <c r="B4419" s="2" t="s">
        <v>9029</v>
      </c>
      <c r="C4419" s="2" t="s">
        <v>9030</v>
      </c>
      <c r="D4419" s="2"/>
      <c r="E4419" s="2" t="s">
        <v>289</v>
      </c>
      <c r="F4419" s="3" t="n">
        <v>6E-006</v>
      </c>
      <c r="G4419" s="3" t="n">
        <f aca="false">SUM($F$2:F4419)</f>
        <v>0.997252</v>
      </c>
      <c r="H4419" s="4"/>
      <c r="I4419" s="5"/>
      <c r="J4419" s="4"/>
      <c r="K4419" s="5"/>
      <c r="L4419" s="6"/>
      <c r="M4419" s="5" t="str">
        <f aca="false">IF(AND(N(K4419)&gt;0,N(L4419)&gt;0),K4419/L4419,"")</f>
        <v/>
      </c>
      <c r="N4419" s="2" t="s">
        <v>1226</v>
      </c>
    </row>
    <row r="4420" customFormat="false" ht="15" hidden="false" customHeight="false" outlineLevel="0" collapsed="false">
      <c r="A4420" s="2" t="n">
        <v>4419</v>
      </c>
      <c r="B4420" s="2" t="s">
        <v>9031</v>
      </c>
      <c r="C4420" s="2" t="s">
        <v>9032</v>
      </c>
      <c r="D4420" s="2"/>
      <c r="E4420" s="2" t="s">
        <v>1345</v>
      </c>
      <c r="F4420" s="3" t="n">
        <v>6E-006</v>
      </c>
      <c r="G4420" s="3" t="n">
        <f aca="false">SUM($F$2:F4420)</f>
        <v>0.997258</v>
      </c>
      <c r="H4420" s="4"/>
      <c r="I4420" s="5"/>
      <c r="J4420" s="4"/>
      <c r="K4420" s="5"/>
      <c r="L4420" s="6"/>
      <c r="M4420" s="5" t="str">
        <f aca="false">IF(AND(N(K4420)&gt;0,N(L4420)&gt;0),K4420/L4420,"")</f>
        <v/>
      </c>
      <c r="N4420" s="2" t="s">
        <v>1226</v>
      </c>
    </row>
    <row r="4421" customFormat="false" ht="15" hidden="false" customHeight="false" outlineLevel="0" collapsed="false">
      <c r="A4421" s="2" t="n">
        <v>4420</v>
      </c>
      <c r="B4421" s="2" t="s">
        <v>9033</v>
      </c>
      <c r="C4421" s="2" t="s">
        <v>9034</v>
      </c>
      <c r="D4421" s="2"/>
      <c r="E4421" s="2" t="s">
        <v>289</v>
      </c>
      <c r="F4421" s="3" t="n">
        <v>6E-006</v>
      </c>
      <c r="G4421" s="3" t="n">
        <f aca="false">SUM($F$2:F4421)</f>
        <v>0.997264</v>
      </c>
      <c r="H4421" s="4"/>
      <c r="I4421" s="5"/>
      <c r="J4421" s="4"/>
      <c r="K4421" s="5"/>
      <c r="L4421" s="6"/>
      <c r="M4421" s="5" t="str">
        <f aca="false">IF(AND(N(K4421)&gt;0,N(L4421)&gt;0),K4421/L4421,"")</f>
        <v/>
      </c>
      <c r="N4421" s="2" t="s">
        <v>1226</v>
      </c>
    </row>
    <row r="4422" customFormat="false" ht="15" hidden="false" customHeight="false" outlineLevel="0" collapsed="false">
      <c r="A4422" s="2" t="n">
        <v>4421</v>
      </c>
      <c r="B4422" s="2" t="s">
        <v>9035</v>
      </c>
      <c r="C4422" s="2" t="s">
        <v>9036</v>
      </c>
      <c r="D4422" s="2"/>
      <c r="E4422" s="2" t="s">
        <v>1345</v>
      </c>
      <c r="F4422" s="3" t="n">
        <v>6E-006</v>
      </c>
      <c r="G4422" s="3" t="n">
        <f aca="false">SUM($F$2:F4422)</f>
        <v>0.99727</v>
      </c>
      <c r="H4422" s="4"/>
      <c r="I4422" s="5"/>
      <c r="J4422" s="4"/>
      <c r="K4422" s="5"/>
      <c r="L4422" s="6"/>
      <c r="M4422" s="5" t="str">
        <f aca="false">IF(AND(N(K4422)&gt;0,N(L4422)&gt;0),K4422/L4422,"")</f>
        <v/>
      </c>
      <c r="N4422" s="2" t="s">
        <v>1226</v>
      </c>
    </row>
    <row r="4423" customFormat="false" ht="15" hidden="false" customHeight="false" outlineLevel="0" collapsed="false">
      <c r="A4423" s="2" t="n">
        <v>4422</v>
      </c>
      <c r="B4423" s="2" t="s">
        <v>9037</v>
      </c>
      <c r="C4423" s="2" t="s">
        <v>9038</v>
      </c>
      <c r="D4423" s="2"/>
      <c r="E4423" s="2" t="s">
        <v>25</v>
      </c>
      <c r="F4423" s="3" t="n">
        <v>6E-006</v>
      </c>
      <c r="G4423" s="3" t="n">
        <f aca="false">SUM($F$2:F4423)</f>
        <v>0.997276</v>
      </c>
      <c r="H4423" s="4"/>
      <c r="I4423" s="5"/>
      <c r="J4423" s="4"/>
      <c r="K4423" s="5"/>
      <c r="L4423" s="6"/>
      <c r="M4423" s="5" t="str">
        <f aca="false">IF(AND(N(K4423)&gt;0,N(L4423)&gt;0),K4423/L4423,"")</f>
        <v/>
      </c>
      <c r="N4423" s="2" t="s">
        <v>1226</v>
      </c>
    </row>
    <row r="4424" customFormat="false" ht="15" hidden="false" customHeight="false" outlineLevel="0" collapsed="false">
      <c r="A4424" s="2" t="n">
        <v>4423</v>
      </c>
      <c r="B4424" s="2" t="s">
        <v>9039</v>
      </c>
      <c r="C4424" s="2" t="s">
        <v>9040</v>
      </c>
      <c r="D4424" s="2"/>
      <c r="E4424" s="2" t="s">
        <v>1345</v>
      </c>
      <c r="F4424" s="3" t="n">
        <v>6E-006</v>
      </c>
      <c r="G4424" s="3" t="n">
        <f aca="false">SUM($F$2:F4424)</f>
        <v>0.997282</v>
      </c>
      <c r="H4424" s="4"/>
      <c r="I4424" s="5"/>
      <c r="J4424" s="4"/>
      <c r="K4424" s="5"/>
      <c r="L4424" s="6"/>
      <c r="M4424" s="5" t="str">
        <f aca="false">IF(AND(N(K4424)&gt;0,N(L4424)&gt;0),K4424/L4424,"")</f>
        <v/>
      </c>
      <c r="N4424" s="2" t="s">
        <v>1226</v>
      </c>
    </row>
    <row r="4425" customFormat="false" ht="15" hidden="false" customHeight="false" outlineLevel="0" collapsed="false">
      <c r="A4425" s="2" t="n">
        <v>4424</v>
      </c>
      <c r="B4425" s="2" t="s">
        <v>9041</v>
      </c>
      <c r="C4425" s="2" t="s">
        <v>9042</v>
      </c>
      <c r="D4425" s="2"/>
      <c r="E4425" s="2" t="s">
        <v>1345</v>
      </c>
      <c r="F4425" s="3" t="n">
        <v>6E-006</v>
      </c>
      <c r="G4425" s="3" t="n">
        <f aca="false">SUM($F$2:F4425)</f>
        <v>0.997288</v>
      </c>
      <c r="H4425" s="4"/>
      <c r="I4425" s="5"/>
      <c r="J4425" s="4"/>
      <c r="K4425" s="5"/>
      <c r="L4425" s="6"/>
      <c r="M4425" s="5" t="str">
        <f aca="false">IF(AND(N(K4425)&gt;0,N(L4425)&gt;0),K4425/L4425,"")</f>
        <v/>
      </c>
      <c r="N4425" s="2" t="s">
        <v>1226</v>
      </c>
    </row>
    <row r="4426" customFormat="false" ht="15" hidden="false" customHeight="false" outlineLevel="0" collapsed="false">
      <c r="A4426" s="2" t="n">
        <v>4425</v>
      </c>
      <c r="B4426" s="2" t="s">
        <v>9043</v>
      </c>
      <c r="C4426" s="2" t="s">
        <v>9044</v>
      </c>
      <c r="D4426" s="2"/>
      <c r="E4426" s="2" t="s">
        <v>1345</v>
      </c>
      <c r="F4426" s="3" t="n">
        <v>6E-006</v>
      </c>
      <c r="G4426" s="3" t="n">
        <f aca="false">SUM($F$2:F4426)</f>
        <v>0.997294</v>
      </c>
      <c r="H4426" s="4"/>
      <c r="I4426" s="5"/>
      <c r="J4426" s="4"/>
      <c r="K4426" s="5"/>
      <c r="L4426" s="6"/>
      <c r="M4426" s="5" t="str">
        <f aca="false">IF(AND(N(K4426)&gt;0,N(L4426)&gt;0),K4426/L4426,"")</f>
        <v/>
      </c>
      <c r="N4426" s="2" t="s">
        <v>1226</v>
      </c>
    </row>
    <row r="4427" customFormat="false" ht="15" hidden="false" customHeight="false" outlineLevel="0" collapsed="false">
      <c r="A4427" s="2" t="n">
        <v>4426</v>
      </c>
      <c r="B4427" s="2" t="s">
        <v>9045</v>
      </c>
      <c r="C4427" s="2" t="s">
        <v>9046</v>
      </c>
      <c r="D4427" s="2"/>
      <c r="E4427" s="2" t="s">
        <v>82</v>
      </c>
      <c r="F4427" s="3" t="n">
        <v>6E-006</v>
      </c>
      <c r="G4427" s="3" t="n">
        <f aca="false">SUM($F$2:F4427)</f>
        <v>0.9973</v>
      </c>
      <c r="H4427" s="4"/>
      <c r="I4427" s="5"/>
      <c r="J4427" s="4"/>
      <c r="K4427" s="5"/>
      <c r="L4427" s="6"/>
      <c r="M4427" s="5" t="str">
        <f aca="false">IF(AND(N(K4427)&gt;0,N(L4427)&gt;0),K4427/L4427,"")</f>
        <v/>
      </c>
      <c r="N4427" s="2" t="s">
        <v>1226</v>
      </c>
    </row>
    <row r="4428" customFormat="false" ht="15" hidden="false" customHeight="false" outlineLevel="0" collapsed="false">
      <c r="A4428" s="2" t="n">
        <v>4427</v>
      </c>
      <c r="B4428" s="2" t="s">
        <v>9047</v>
      </c>
      <c r="C4428" s="2" t="s">
        <v>9048</v>
      </c>
      <c r="D4428" s="2"/>
      <c r="E4428" s="2" t="s">
        <v>17</v>
      </c>
      <c r="F4428" s="3" t="n">
        <v>6E-006</v>
      </c>
      <c r="G4428" s="3" t="n">
        <f aca="false">SUM($F$2:F4428)</f>
        <v>0.997306</v>
      </c>
      <c r="H4428" s="4"/>
      <c r="I4428" s="5"/>
      <c r="J4428" s="4"/>
      <c r="K4428" s="5"/>
      <c r="L4428" s="6"/>
      <c r="M4428" s="5" t="str">
        <f aca="false">IF(AND(N(K4428)&gt;0,N(L4428)&gt;0),K4428/L4428,"")</f>
        <v/>
      </c>
      <c r="N4428" s="2" t="s">
        <v>1226</v>
      </c>
    </row>
    <row r="4429" customFormat="false" ht="15" hidden="false" customHeight="false" outlineLevel="0" collapsed="false">
      <c r="A4429" s="2" t="n">
        <v>4428</v>
      </c>
      <c r="B4429" s="2" t="s">
        <v>9049</v>
      </c>
      <c r="C4429" s="2" t="s">
        <v>9050</v>
      </c>
      <c r="D4429" s="2"/>
      <c r="E4429" s="2" t="s">
        <v>1345</v>
      </c>
      <c r="F4429" s="3" t="n">
        <v>6E-006</v>
      </c>
      <c r="G4429" s="3" t="n">
        <f aca="false">SUM($F$2:F4429)</f>
        <v>0.997312</v>
      </c>
      <c r="H4429" s="4"/>
      <c r="I4429" s="5"/>
      <c r="J4429" s="4"/>
      <c r="K4429" s="5"/>
      <c r="L4429" s="6"/>
      <c r="M4429" s="5" t="str">
        <f aca="false">IF(AND(N(K4429)&gt;0,N(L4429)&gt;0),K4429/L4429,"")</f>
        <v/>
      </c>
      <c r="N4429" s="2" t="s">
        <v>1226</v>
      </c>
    </row>
    <row r="4430" customFormat="false" ht="15" hidden="false" customHeight="false" outlineLevel="0" collapsed="false">
      <c r="A4430" s="2" t="n">
        <v>4429</v>
      </c>
      <c r="B4430" s="2" t="s">
        <v>9051</v>
      </c>
      <c r="C4430" s="2" t="s">
        <v>9052</v>
      </c>
      <c r="D4430" s="2"/>
      <c r="E4430" s="2" t="s">
        <v>1345</v>
      </c>
      <c r="F4430" s="3" t="n">
        <v>6E-006</v>
      </c>
      <c r="G4430" s="3" t="n">
        <f aca="false">SUM($F$2:F4430)</f>
        <v>0.997318</v>
      </c>
      <c r="H4430" s="4"/>
      <c r="I4430" s="5"/>
      <c r="J4430" s="4"/>
      <c r="K4430" s="5"/>
      <c r="L4430" s="6"/>
      <c r="M4430" s="5" t="str">
        <f aca="false">IF(AND(N(K4430)&gt;0,N(L4430)&gt;0),K4430/L4430,"")</f>
        <v/>
      </c>
      <c r="N4430" s="2" t="s">
        <v>1226</v>
      </c>
    </row>
    <row r="4431" customFormat="false" ht="15" hidden="false" customHeight="false" outlineLevel="0" collapsed="false">
      <c r="A4431" s="2" t="n">
        <v>4430</v>
      </c>
      <c r="B4431" s="2" t="s">
        <v>9053</v>
      </c>
      <c r="C4431" s="2" t="s">
        <v>9054</v>
      </c>
      <c r="D4431" s="2"/>
      <c r="E4431" s="2" t="s">
        <v>1345</v>
      </c>
      <c r="F4431" s="3" t="n">
        <v>6E-006</v>
      </c>
      <c r="G4431" s="3" t="n">
        <f aca="false">SUM($F$2:F4431)</f>
        <v>0.997324</v>
      </c>
      <c r="H4431" s="4"/>
      <c r="I4431" s="5"/>
      <c r="J4431" s="4"/>
      <c r="K4431" s="5"/>
      <c r="L4431" s="6"/>
      <c r="M4431" s="5" t="str">
        <f aca="false">IF(AND(N(K4431)&gt;0,N(L4431)&gt;0),K4431/L4431,"")</f>
        <v/>
      </c>
      <c r="N4431" s="2" t="s">
        <v>1226</v>
      </c>
    </row>
    <row r="4432" customFormat="false" ht="15" hidden="false" customHeight="false" outlineLevel="0" collapsed="false">
      <c r="A4432" s="2" t="n">
        <v>4431</v>
      </c>
      <c r="B4432" s="2" t="s">
        <v>9055</v>
      </c>
      <c r="C4432" s="2" t="s">
        <v>9056</v>
      </c>
      <c r="D4432" s="2"/>
      <c r="E4432" s="2" t="s">
        <v>2763</v>
      </c>
      <c r="F4432" s="3" t="n">
        <v>6E-006</v>
      </c>
      <c r="G4432" s="3" t="n">
        <f aca="false">SUM($F$2:F4432)</f>
        <v>0.99733</v>
      </c>
      <c r="H4432" s="4"/>
      <c r="I4432" s="5"/>
      <c r="J4432" s="4"/>
      <c r="K4432" s="5"/>
      <c r="L4432" s="6"/>
      <c r="M4432" s="5" t="str">
        <f aca="false">IF(AND(N(K4432)&gt;0,N(L4432)&gt;0),K4432/L4432,"")</f>
        <v/>
      </c>
      <c r="N4432" s="2" t="s">
        <v>1226</v>
      </c>
    </row>
    <row r="4433" customFormat="false" ht="15" hidden="false" customHeight="false" outlineLevel="0" collapsed="false">
      <c r="A4433" s="2" t="n">
        <v>4432</v>
      </c>
      <c r="B4433" s="2" t="s">
        <v>9057</v>
      </c>
      <c r="C4433" s="2" t="s">
        <v>9058</v>
      </c>
      <c r="D4433" s="2"/>
      <c r="E4433" s="2" t="s">
        <v>1345</v>
      </c>
      <c r="F4433" s="3" t="n">
        <v>6E-006</v>
      </c>
      <c r="G4433" s="3" t="n">
        <f aca="false">SUM($F$2:F4433)</f>
        <v>0.997336</v>
      </c>
      <c r="H4433" s="4"/>
      <c r="I4433" s="5"/>
      <c r="J4433" s="4"/>
      <c r="K4433" s="5"/>
      <c r="L4433" s="6"/>
      <c r="M4433" s="5" t="str">
        <f aca="false">IF(AND(N(K4433)&gt;0,N(L4433)&gt;0),K4433/L4433,"")</f>
        <v/>
      </c>
      <c r="N4433" s="2" t="s">
        <v>1226</v>
      </c>
    </row>
    <row r="4434" customFormat="false" ht="15" hidden="false" customHeight="false" outlineLevel="0" collapsed="false">
      <c r="A4434" s="2" t="n">
        <v>4433</v>
      </c>
      <c r="B4434" s="2" t="s">
        <v>8583</v>
      </c>
      <c r="C4434" s="2" t="s">
        <v>9059</v>
      </c>
      <c r="D4434" s="2"/>
      <c r="E4434" s="2" t="s">
        <v>17</v>
      </c>
      <c r="F4434" s="3" t="n">
        <v>6E-006</v>
      </c>
      <c r="G4434" s="3" t="n">
        <f aca="false">SUM($F$2:F4434)</f>
        <v>0.997342</v>
      </c>
      <c r="H4434" s="4"/>
      <c r="I4434" s="5"/>
      <c r="J4434" s="4"/>
      <c r="K4434" s="5"/>
      <c r="L4434" s="6"/>
      <c r="M4434" s="5" t="str">
        <f aca="false">IF(AND(N(K4434)&gt;0,N(L4434)&gt;0),K4434/L4434,"")</f>
        <v/>
      </c>
      <c r="N4434" s="2" t="s">
        <v>1226</v>
      </c>
    </row>
    <row r="4435" customFormat="false" ht="15" hidden="false" customHeight="false" outlineLevel="0" collapsed="false">
      <c r="A4435" s="2" t="n">
        <v>4434</v>
      </c>
      <c r="B4435" s="2" t="s">
        <v>9060</v>
      </c>
      <c r="C4435" s="2" t="s">
        <v>9061</v>
      </c>
      <c r="D4435" s="2"/>
      <c r="E4435" s="2" t="s">
        <v>289</v>
      </c>
      <c r="F4435" s="3" t="n">
        <v>6E-006</v>
      </c>
      <c r="G4435" s="3" t="n">
        <f aca="false">SUM($F$2:F4435)</f>
        <v>0.997348</v>
      </c>
      <c r="H4435" s="4"/>
      <c r="I4435" s="5"/>
      <c r="J4435" s="4"/>
      <c r="K4435" s="5"/>
      <c r="L4435" s="6"/>
      <c r="M4435" s="5" t="str">
        <f aca="false">IF(AND(N(K4435)&gt;0,N(L4435)&gt;0),K4435/L4435,"")</f>
        <v/>
      </c>
      <c r="N4435" s="2" t="s">
        <v>1226</v>
      </c>
    </row>
    <row r="4436" customFormat="false" ht="15" hidden="false" customHeight="false" outlineLevel="0" collapsed="false">
      <c r="A4436" s="2" t="n">
        <v>4435</v>
      </c>
      <c r="B4436" s="2" t="s">
        <v>9062</v>
      </c>
      <c r="C4436" s="2" t="s">
        <v>9063</v>
      </c>
      <c r="D4436" s="2"/>
      <c r="E4436" s="2" t="s">
        <v>1345</v>
      </c>
      <c r="F4436" s="3" t="n">
        <v>6E-006</v>
      </c>
      <c r="G4436" s="3" t="n">
        <f aca="false">SUM($F$2:F4436)</f>
        <v>0.997354</v>
      </c>
      <c r="H4436" s="4"/>
      <c r="I4436" s="5"/>
      <c r="J4436" s="4"/>
      <c r="K4436" s="5"/>
      <c r="L4436" s="6"/>
      <c r="M4436" s="5" t="str">
        <f aca="false">IF(AND(N(K4436)&gt;0,N(L4436)&gt;0),K4436/L4436,"")</f>
        <v/>
      </c>
      <c r="N4436" s="2" t="s">
        <v>1226</v>
      </c>
    </row>
    <row r="4437" customFormat="false" ht="15" hidden="false" customHeight="false" outlineLevel="0" collapsed="false">
      <c r="A4437" s="2" t="n">
        <v>4436</v>
      </c>
      <c r="B4437" s="2" t="s">
        <v>9064</v>
      </c>
      <c r="C4437" s="2" t="s">
        <v>9065</v>
      </c>
      <c r="D4437" s="2"/>
      <c r="E4437" s="2" t="s">
        <v>289</v>
      </c>
      <c r="F4437" s="3" t="n">
        <v>6E-006</v>
      </c>
      <c r="G4437" s="3" t="n">
        <f aca="false">SUM($F$2:F4437)</f>
        <v>0.99736</v>
      </c>
      <c r="H4437" s="4"/>
      <c r="I4437" s="5"/>
      <c r="J4437" s="4"/>
      <c r="K4437" s="5"/>
      <c r="L4437" s="6"/>
      <c r="M4437" s="5" t="str">
        <f aca="false">IF(AND(N(K4437)&gt;0,N(L4437)&gt;0),K4437/L4437,"")</f>
        <v/>
      </c>
      <c r="N4437" s="2" t="s">
        <v>1226</v>
      </c>
    </row>
    <row r="4438" customFormat="false" ht="15" hidden="false" customHeight="false" outlineLevel="0" collapsed="false">
      <c r="A4438" s="2" t="n">
        <v>4437</v>
      </c>
      <c r="B4438" s="2" t="s">
        <v>9066</v>
      </c>
      <c r="C4438" s="2" t="s">
        <v>9067</v>
      </c>
      <c r="D4438" s="2"/>
      <c r="E4438" s="2" t="s">
        <v>21</v>
      </c>
      <c r="F4438" s="3" t="n">
        <v>6E-006</v>
      </c>
      <c r="G4438" s="3" t="n">
        <f aca="false">SUM($F$2:F4438)</f>
        <v>0.997366</v>
      </c>
      <c r="H4438" s="4"/>
      <c r="I4438" s="5"/>
      <c r="J4438" s="4"/>
      <c r="K4438" s="5"/>
      <c r="L4438" s="6"/>
      <c r="M4438" s="5" t="str">
        <f aca="false">IF(AND(N(K4438)&gt;0,N(L4438)&gt;0),K4438/L4438,"")</f>
        <v/>
      </c>
      <c r="N4438" s="2" t="s">
        <v>1226</v>
      </c>
    </row>
    <row r="4439" customFormat="false" ht="15" hidden="false" customHeight="false" outlineLevel="0" collapsed="false">
      <c r="A4439" s="2" t="n">
        <v>4438</v>
      </c>
      <c r="B4439" s="2" t="s">
        <v>9068</v>
      </c>
      <c r="C4439" s="2" t="s">
        <v>9069</v>
      </c>
      <c r="D4439" s="2"/>
      <c r="E4439" s="2" t="s">
        <v>52</v>
      </c>
      <c r="F4439" s="3" t="n">
        <v>6E-006</v>
      </c>
      <c r="G4439" s="3" t="n">
        <f aca="false">SUM($F$2:F4439)</f>
        <v>0.997372</v>
      </c>
      <c r="H4439" s="4"/>
      <c r="I4439" s="5"/>
      <c r="J4439" s="4"/>
      <c r="K4439" s="5"/>
      <c r="L4439" s="6"/>
      <c r="M4439" s="5" t="str">
        <f aca="false">IF(AND(N(K4439)&gt;0,N(L4439)&gt;0),K4439/L4439,"")</f>
        <v/>
      </c>
      <c r="N4439" s="2" t="s">
        <v>1226</v>
      </c>
    </row>
    <row r="4440" customFormat="false" ht="15" hidden="false" customHeight="false" outlineLevel="0" collapsed="false">
      <c r="A4440" s="2" t="n">
        <v>4439</v>
      </c>
      <c r="B4440" s="2" t="s">
        <v>9070</v>
      </c>
      <c r="C4440" s="2" t="s">
        <v>9071</v>
      </c>
      <c r="D4440" s="2"/>
      <c r="E4440" s="2" t="s">
        <v>289</v>
      </c>
      <c r="F4440" s="3" t="n">
        <v>6E-006</v>
      </c>
      <c r="G4440" s="3" t="n">
        <f aca="false">SUM($F$2:F4440)</f>
        <v>0.997378</v>
      </c>
      <c r="H4440" s="4"/>
      <c r="I4440" s="5"/>
      <c r="J4440" s="4"/>
      <c r="K4440" s="5"/>
      <c r="L4440" s="6"/>
      <c r="M4440" s="5" t="str">
        <f aca="false">IF(AND(N(K4440)&gt;0,N(L4440)&gt;0),K4440/L4440,"")</f>
        <v/>
      </c>
      <c r="N4440" s="2" t="s">
        <v>1226</v>
      </c>
    </row>
    <row r="4441" customFormat="false" ht="15" hidden="false" customHeight="false" outlineLevel="0" collapsed="false">
      <c r="A4441" s="2" t="n">
        <v>4440</v>
      </c>
      <c r="B4441" s="2" t="s">
        <v>9072</v>
      </c>
      <c r="C4441" s="2" t="s">
        <v>9073</v>
      </c>
      <c r="D4441" s="2"/>
      <c r="E4441" s="2" t="s">
        <v>1345</v>
      </c>
      <c r="F4441" s="3" t="n">
        <v>6E-006</v>
      </c>
      <c r="G4441" s="3" t="n">
        <f aca="false">SUM($F$2:F4441)</f>
        <v>0.997384</v>
      </c>
      <c r="H4441" s="4"/>
      <c r="I4441" s="5"/>
      <c r="J4441" s="4"/>
      <c r="K4441" s="5"/>
      <c r="L4441" s="6"/>
      <c r="M4441" s="5" t="str">
        <f aca="false">IF(AND(N(K4441)&gt;0,N(L4441)&gt;0),K4441/L4441,"")</f>
        <v/>
      </c>
      <c r="N4441" s="2" t="s">
        <v>1226</v>
      </c>
    </row>
    <row r="4442" customFormat="false" ht="15" hidden="false" customHeight="false" outlineLevel="0" collapsed="false">
      <c r="A4442" s="2" t="n">
        <v>4441</v>
      </c>
      <c r="B4442" s="2" t="s">
        <v>9074</v>
      </c>
      <c r="C4442" s="2" t="s">
        <v>9075</v>
      </c>
      <c r="D4442" s="2"/>
      <c r="E4442" s="2" t="s">
        <v>289</v>
      </c>
      <c r="F4442" s="3" t="n">
        <v>6E-006</v>
      </c>
      <c r="G4442" s="3" t="n">
        <f aca="false">SUM($F$2:F4442)</f>
        <v>0.99739</v>
      </c>
      <c r="H4442" s="4"/>
      <c r="I4442" s="5"/>
      <c r="J4442" s="4"/>
      <c r="K4442" s="5"/>
      <c r="L4442" s="6"/>
      <c r="M4442" s="5" t="str">
        <f aca="false">IF(AND(N(K4442)&gt;0,N(L4442)&gt;0),K4442/L4442,"")</f>
        <v/>
      </c>
      <c r="N4442" s="2" t="s">
        <v>1226</v>
      </c>
    </row>
    <row r="4443" customFormat="false" ht="15" hidden="false" customHeight="false" outlineLevel="0" collapsed="false">
      <c r="A4443" s="2" t="n">
        <v>4442</v>
      </c>
      <c r="B4443" s="2" t="s">
        <v>9076</v>
      </c>
      <c r="C4443" s="2" t="s">
        <v>9077</v>
      </c>
      <c r="D4443" s="2"/>
      <c r="E4443" s="2" t="s">
        <v>289</v>
      </c>
      <c r="F4443" s="3" t="n">
        <v>6E-006</v>
      </c>
      <c r="G4443" s="3" t="n">
        <f aca="false">SUM($F$2:F4443)</f>
        <v>0.997396</v>
      </c>
      <c r="H4443" s="4"/>
      <c r="I4443" s="5"/>
      <c r="J4443" s="4"/>
      <c r="K4443" s="5"/>
      <c r="L4443" s="6"/>
      <c r="M4443" s="5" t="str">
        <f aca="false">IF(AND(N(K4443)&gt;0,N(L4443)&gt;0),K4443/L4443,"")</f>
        <v/>
      </c>
      <c r="N4443" s="2" t="s">
        <v>1226</v>
      </c>
    </row>
    <row r="4444" customFormat="false" ht="15" hidden="false" customHeight="false" outlineLevel="0" collapsed="false">
      <c r="A4444" s="2" t="n">
        <v>4443</v>
      </c>
      <c r="B4444" s="2" t="s">
        <v>9078</v>
      </c>
      <c r="C4444" s="2" t="s">
        <v>9079</v>
      </c>
      <c r="D4444" s="2"/>
      <c r="E4444" s="2" t="s">
        <v>25</v>
      </c>
      <c r="F4444" s="3" t="n">
        <v>6E-006</v>
      </c>
      <c r="G4444" s="3" t="n">
        <f aca="false">SUM($F$2:F4444)</f>
        <v>0.997402</v>
      </c>
      <c r="H4444" s="4"/>
      <c r="I4444" s="5"/>
      <c r="J4444" s="4"/>
      <c r="K4444" s="5"/>
      <c r="L4444" s="6"/>
      <c r="M4444" s="5" t="str">
        <f aca="false">IF(AND(N(K4444)&gt;0,N(L4444)&gt;0),K4444/L4444,"")</f>
        <v/>
      </c>
      <c r="N4444" s="2" t="s">
        <v>1226</v>
      </c>
    </row>
    <row r="4445" customFormat="false" ht="15" hidden="false" customHeight="false" outlineLevel="0" collapsed="false">
      <c r="A4445" s="2" t="n">
        <v>4444</v>
      </c>
      <c r="B4445" s="2" t="s">
        <v>9080</v>
      </c>
      <c r="C4445" s="2" t="s">
        <v>9081</v>
      </c>
      <c r="D4445" s="2"/>
      <c r="E4445" s="2" t="s">
        <v>1345</v>
      </c>
      <c r="F4445" s="3" t="n">
        <v>6E-006</v>
      </c>
      <c r="G4445" s="3" t="n">
        <f aca="false">SUM($F$2:F4445)</f>
        <v>0.997408</v>
      </c>
      <c r="H4445" s="4"/>
      <c r="I4445" s="5"/>
      <c r="J4445" s="4"/>
      <c r="K4445" s="5"/>
      <c r="L4445" s="6"/>
      <c r="M4445" s="5" t="str">
        <f aca="false">IF(AND(N(K4445)&gt;0,N(L4445)&gt;0),K4445/L4445,"")</f>
        <v/>
      </c>
      <c r="N4445" s="2" t="s">
        <v>1226</v>
      </c>
    </row>
    <row r="4446" customFormat="false" ht="15" hidden="false" customHeight="false" outlineLevel="0" collapsed="false">
      <c r="A4446" s="2" t="n">
        <v>4445</v>
      </c>
      <c r="B4446" s="2" t="s">
        <v>9082</v>
      </c>
      <c r="C4446" s="2" t="s">
        <v>9083</v>
      </c>
      <c r="D4446" s="2"/>
      <c r="E4446" s="2" t="s">
        <v>1345</v>
      </c>
      <c r="F4446" s="3" t="n">
        <v>6E-006</v>
      </c>
      <c r="G4446" s="3" t="n">
        <f aca="false">SUM($F$2:F4446)</f>
        <v>0.997414</v>
      </c>
      <c r="H4446" s="4"/>
      <c r="I4446" s="5"/>
      <c r="J4446" s="4"/>
      <c r="K4446" s="5"/>
      <c r="L4446" s="6"/>
      <c r="M4446" s="5" t="str">
        <f aca="false">IF(AND(N(K4446)&gt;0,N(L4446)&gt;0),K4446/L4446,"")</f>
        <v/>
      </c>
      <c r="N4446" s="2" t="s">
        <v>1226</v>
      </c>
    </row>
    <row r="4447" customFormat="false" ht="15" hidden="false" customHeight="false" outlineLevel="0" collapsed="false">
      <c r="A4447" s="2" t="n">
        <v>4446</v>
      </c>
      <c r="B4447" s="2" t="s">
        <v>6984</v>
      </c>
      <c r="C4447" s="2" t="s">
        <v>9084</v>
      </c>
      <c r="D4447" s="2"/>
      <c r="E4447" s="2" t="s">
        <v>52</v>
      </c>
      <c r="F4447" s="3" t="n">
        <v>6E-006</v>
      </c>
      <c r="G4447" s="3" t="n">
        <f aca="false">SUM($F$2:F4447)</f>
        <v>0.99742</v>
      </c>
      <c r="H4447" s="4"/>
      <c r="I4447" s="5"/>
      <c r="J4447" s="4"/>
      <c r="K4447" s="5"/>
      <c r="L4447" s="6"/>
      <c r="M4447" s="5" t="str">
        <f aca="false">IF(AND(N(K4447)&gt;0,N(L4447)&gt;0),K4447/L4447,"")</f>
        <v/>
      </c>
      <c r="N4447" s="2" t="s">
        <v>1226</v>
      </c>
    </row>
    <row r="4448" customFormat="false" ht="15" hidden="false" customHeight="false" outlineLevel="0" collapsed="false">
      <c r="A4448" s="2" t="n">
        <v>4447</v>
      </c>
      <c r="B4448" s="2" t="s">
        <v>9085</v>
      </c>
      <c r="C4448" s="2" t="s">
        <v>9086</v>
      </c>
      <c r="D4448" s="2"/>
      <c r="E4448" s="2" t="s">
        <v>826</v>
      </c>
      <c r="F4448" s="3" t="n">
        <v>6E-006</v>
      </c>
      <c r="G4448" s="3" t="n">
        <f aca="false">SUM($F$2:F4448)</f>
        <v>0.997426</v>
      </c>
      <c r="H4448" s="4"/>
      <c r="I4448" s="5"/>
      <c r="J4448" s="4"/>
      <c r="K4448" s="5"/>
      <c r="L4448" s="6"/>
      <c r="M4448" s="5" t="str">
        <f aca="false">IF(AND(N(K4448)&gt;0,N(L4448)&gt;0),K4448/L4448,"")</f>
        <v/>
      </c>
      <c r="N4448" s="2" t="s">
        <v>1226</v>
      </c>
    </row>
    <row r="4449" customFormat="false" ht="15" hidden="false" customHeight="false" outlineLevel="0" collapsed="false">
      <c r="A4449" s="2" t="n">
        <v>4448</v>
      </c>
      <c r="B4449" s="2" t="s">
        <v>9087</v>
      </c>
      <c r="C4449" s="2" t="s">
        <v>9088</v>
      </c>
      <c r="D4449" s="2"/>
      <c r="E4449" s="2" t="s">
        <v>43</v>
      </c>
      <c r="F4449" s="3" t="n">
        <v>6E-006</v>
      </c>
      <c r="G4449" s="3" t="n">
        <f aca="false">SUM($F$2:F4449)</f>
        <v>0.997432</v>
      </c>
      <c r="H4449" s="4"/>
      <c r="I4449" s="5"/>
      <c r="J4449" s="4"/>
      <c r="K4449" s="5"/>
      <c r="L4449" s="6"/>
      <c r="M4449" s="5" t="str">
        <f aca="false">IF(AND(N(K4449)&gt;0,N(L4449)&gt;0),K4449/L4449,"")</f>
        <v/>
      </c>
      <c r="N4449" s="2" t="s">
        <v>1226</v>
      </c>
    </row>
    <row r="4450" customFormat="false" ht="15" hidden="false" customHeight="false" outlineLevel="0" collapsed="false">
      <c r="A4450" s="2" t="n">
        <v>4449</v>
      </c>
      <c r="B4450" s="2" t="s">
        <v>9089</v>
      </c>
      <c r="C4450" s="2" t="s">
        <v>9090</v>
      </c>
      <c r="D4450" s="2"/>
      <c r="E4450" s="2" t="s">
        <v>43</v>
      </c>
      <c r="F4450" s="3" t="n">
        <v>6E-006</v>
      </c>
      <c r="G4450" s="3" t="n">
        <f aca="false">SUM($F$2:F4450)</f>
        <v>0.997438</v>
      </c>
      <c r="H4450" s="4"/>
      <c r="I4450" s="5"/>
      <c r="J4450" s="4"/>
      <c r="K4450" s="5"/>
      <c r="L4450" s="6"/>
      <c r="M4450" s="5" t="str">
        <f aca="false">IF(AND(N(K4450)&gt;0,N(L4450)&gt;0),K4450/L4450,"")</f>
        <v/>
      </c>
      <c r="N4450" s="2" t="s">
        <v>1226</v>
      </c>
    </row>
    <row r="4451" customFormat="false" ht="15" hidden="false" customHeight="false" outlineLevel="0" collapsed="false">
      <c r="A4451" s="2" t="n">
        <v>4450</v>
      </c>
      <c r="B4451" s="2" t="s">
        <v>9091</v>
      </c>
      <c r="C4451" s="2" t="s">
        <v>9092</v>
      </c>
      <c r="D4451" s="2"/>
      <c r="E4451" s="2" t="s">
        <v>2055</v>
      </c>
      <c r="F4451" s="3" t="n">
        <v>6E-006</v>
      </c>
      <c r="G4451" s="3" t="n">
        <f aca="false">SUM($F$2:F4451)</f>
        <v>0.997444</v>
      </c>
      <c r="H4451" s="4"/>
      <c r="I4451" s="5"/>
      <c r="J4451" s="4"/>
      <c r="K4451" s="5"/>
      <c r="L4451" s="6"/>
      <c r="M4451" s="5" t="str">
        <f aca="false">IF(AND(N(K4451)&gt;0,N(L4451)&gt;0),K4451/L4451,"")</f>
        <v/>
      </c>
      <c r="N4451" s="2" t="s">
        <v>1226</v>
      </c>
    </row>
    <row r="4452" customFormat="false" ht="15" hidden="false" customHeight="false" outlineLevel="0" collapsed="false">
      <c r="A4452" s="2" t="n">
        <v>4451</v>
      </c>
      <c r="B4452" s="2" t="s">
        <v>9093</v>
      </c>
      <c r="C4452" s="2" t="s">
        <v>9094</v>
      </c>
      <c r="D4452" s="2"/>
      <c r="E4452" s="2" t="s">
        <v>25</v>
      </c>
      <c r="F4452" s="3" t="n">
        <v>6E-006</v>
      </c>
      <c r="G4452" s="3" t="n">
        <f aca="false">SUM($F$2:F4452)</f>
        <v>0.99745</v>
      </c>
      <c r="H4452" s="4"/>
      <c r="I4452" s="5"/>
      <c r="J4452" s="4"/>
      <c r="K4452" s="5"/>
      <c r="L4452" s="6"/>
      <c r="M4452" s="5" t="str">
        <f aca="false">IF(AND(N(K4452)&gt;0,N(L4452)&gt;0),K4452/L4452,"")</f>
        <v/>
      </c>
      <c r="N4452" s="2" t="s">
        <v>1226</v>
      </c>
    </row>
    <row r="4453" customFormat="false" ht="15" hidden="false" customHeight="false" outlineLevel="0" collapsed="false">
      <c r="A4453" s="2" t="n">
        <v>4452</v>
      </c>
      <c r="B4453" s="2" t="s">
        <v>9095</v>
      </c>
      <c r="C4453" s="2" t="s">
        <v>9096</v>
      </c>
      <c r="D4453" s="2"/>
      <c r="E4453" s="2" t="s">
        <v>1345</v>
      </c>
      <c r="F4453" s="3" t="n">
        <v>6E-006</v>
      </c>
      <c r="G4453" s="3" t="n">
        <f aca="false">SUM($F$2:F4453)</f>
        <v>0.997456</v>
      </c>
      <c r="H4453" s="4"/>
      <c r="I4453" s="5"/>
      <c r="J4453" s="4"/>
      <c r="K4453" s="5"/>
      <c r="L4453" s="6"/>
      <c r="M4453" s="5" t="str">
        <f aca="false">IF(AND(N(K4453)&gt;0,N(L4453)&gt;0),K4453/L4453,"")</f>
        <v/>
      </c>
      <c r="N4453" s="2" t="s">
        <v>1226</v>
      </c>
    </row>
    <row r="4454" customFormat="false" ht="15" hidden="false" customHeight="false" outlineLevel="0" collapsed="false">
      <c r="A4454" s="2" t="n">
        <v>4453</v>
      </c>
      <c r="B4454" s="2" t="s">
        <v>9097</v>
      </c>
      <c r="C4454" s="2" t="s">
        <v>9098</v>
      </c>
      <c r="D4454" s="2"/>
      <c r="E4454" s="2" t="s">
        <v>52</v>
      </c>
      <c r="F4454" s="3" t="n">
        <v>6E-006</v>
      </c>
      <c r="G4454" s="3" t="n">
        <f aca="false">SUM($F$2:F4454)</f>
        <v>0.997462</v>
      </c>
      <c r="H4454" s="4"/>
      <c r="I4454" s="5"/>
      <c r="J4454" s="4"/>
      <c r="K4454" s="5"/>
      <c r="L4454" s="6"/>
      <c r="M4454" s="5" t="str">
        <f aca="false">IF(AND(N(K4454)&gt;0,N(L4454)&gt;0),K4454/L4454,"")</f>
        <v/>
      </c>
      <c r="N4454" s="2" t="s">
        <v>1226</v>
      </c>
    </row>
    <row r="4455" customFormat="false" ht="15" hidden="false" customHeight="false" outlineLevel="0" collapsed="false">
      <c r="A4455" s="2" t="n">
        <v>4454</v>
      </c>
      <c r="B4455" s="2" t="s">
        <v>9099</v>
      </c>
      <c r="C4455" s="2" t="s">
        <v>9100</v>
      </c>
      <c r="D4455" s="2"/>
      <c r="E4455" s="2" t="s">
        <v>1345</v>
      </c>
      <c r="F4455" s="3" t="n">
        <v>6E-006</v>
      </c>
      <c r="G4455" s="3" t="n">
        <f aca="false">SUM($F$2:F4455)</f>
        <v>0.997468</v>
      </c>
      <c r="H4455" s="4"/>
      <c r="I4455" s="5"/>
      <c r="J4455" s="4"/>
      <c r="K4455" s="5"/>
      <c r="L4455" s="6"/>
      <c r="M4455" s="5" t="str">
        <f aca="false">IF(AND(N(K4455)&gt;0,N(L4455)&gt;0),K4455/L4455,"")</f>
        <v/>
      </c>
      <c r="N4455" s="2" t="s">
        <v>1226</v>
      </c>
    </row>
    <row r="4456" customFormat="false" ht="15" hidden="false" customHeight="false" outlineLevel="0" collapsed="false">
      <c r="A4456" s="2" t="n">
        <v>4455</v>
      </c>
      <c r="B4456" s="2" t="s">
        <v>9101</v>
      </c>
      <c r="C4456" s="2" t="s">
        <v>9102</v>
      </c>
      <c r="D4456" s="2"/>
      <c r="E4456" s="2" t="s">
        <v>289</v>
      </c>
      <c r="F4456" s="3" t="n">
        <v>6E-006</v>
      </c>
      <c r="G4456" s="3" t="n">
        <f aca="false">SUM($F$2:F4456)</f>
        <v>0.997474</v>
      </c>
      <c r="H4456" s="4"/>
      <c r="I4456" s="5"/>
      <c r="J4456" s="4"/>
      <c r="K4456" s="5"/>
      <c r="L4456" s="6"/>
      <c r="M4456" s="5" t="str">
        <f aca="false">IF(AND(N(K4456)&gt;0,N(L4456)&gt;0),K4456/L4456,"")</f>
        <v/>
      </c>
      <c r="N4456" s="2" t="s">
        <v>1226</v>
      </c>
    </row>
    <row r="4457" customFormat="false" ht="15" hidden="false" customHeight="false" outlineLevel="0" collapsed="false">
      <c r="A4457" s="2" t="n">
        <v>4456</v>
      </c>
      <c r="B4457" s="2" t="s">
        <v>9103</v>
      </c>
      <c r="C4457" s="2" t="s">
        <v>9104</v>
      </c>
      <c r="D4457" s="2"/>
      <c r="E4457" s="2" t="s">
        <v>1345</v>
      </c>
      <c r="F4457" s="3" t="n">
        <v>6E-006</v>
      </c>
      <c r="G4457" s="3" t="n">
        <f aca="false">SUM($F$2:F4457)</f>
        <v>0.99748</v>
      </c>
      <c r="H4457" s="4"/>
      <c r="I4457" s="5"/>
      <c r="J4457" s="4"/>
      <c r="K4457" s="5"/>
      <c r="L4457" s="6"/>
      <c r="M4457" s="5" t="str">
        <f aca="false">IF(AND(N(K4457)&gt;0,N(L4457)&gt;0),K4457/L4457,"")</f>
        <v/>
      </c>
      <c r="N4457" s="2" t="s">
        <v>1226</v>
      </c>
    </row>
    <row r="4458" customFormat="false" ht="15" hidden="false" customHeight="false" outlineLevel="0" collapsed="false">
      <c r="A4458" s="2" t="n">
        <v>4457</v>
      </c>
      <c r="B4458" s="2" t="s">
        <v>9105</v>
      </c>
      <c r="C4458" s="2" t="s">
        <v>9106</v>
      </c>
      <c r="D4458" s="2"/>
      <c r="E4458" s="2" t="s">
        <v>52</v>
      </c>
      <c r="F4458" s="3" t="n">
        <v>6E-006</v>
      </c>
      <c r="G4458" s="3" t="n">
        <f aca="false">SUM($F$2:F4458)</f>
        <v>0.997486</v>
      </c>
      <c r="H4458" s="4"/>
      <c r="I4458" s="5"/>
      <c r="J4458" s="4"/>
      <c r="K4458" s="5"/>
      <c r="L4458" s="6"/>
      <c r="M4458" s="5" t="str">
        <f aca="false">IF(AND(N(K4458)&gt;0,N(L4458)&gt;0),K4458/L4458,"")</f>
        <v/>
      </c>
      <c r="N4458" s="2" t="s">
        <v>1226</v>
      </c>
    </row>
    <row r="4459" customFormat="false" ht="15" hidden="false" customHeight="false" outlineLevel="0" collapsed="false">
      <c r="A4459" s="2" t="n">
        <v>4458</v>
      </c>
      <c r="B4459" s="2" t="s">
        <v>9107</v>
      </c>
      <c r="C4459" s="2" t="s">
        <v>9108</v>
      </c>
      <c r="D4459" s="2"/>
      <c r="E4459" s="2" t="s">
        <v>25</v>
      </c>
      <c r="F4459" s="3" t="n">
        <v>6E-006</v>
      </c>
      <c r="G4459" s="3" t="n">
        <f aca="false">SUM($F$2:F4459)</f>
        <v>0.997492</v>
      </c>
      <c r="H4459" s="4"/>
      <c r="I4459" s="5"/>
      <c r="J4459" s="4"/>
      <c r="K4459" s="5"/>
      <c r="L4459" s="6"/>
      <c r="M4459" s="5" t="str">
        <f aca="false">IF(AND(N(K4459)&gt;0,N(L4459)&gt;0),K4459/L4459,"")</f>
        <v/>
      </c>
      <c r="N4459" s="2" t="s">
        <v>1226</v>
      </c>
    </row>
    <row r="4460" customFormat="false" ht="15" hidden="false" customHeight="false" outlineLevel="0" collapsed="false">
      <c r="A4460" s="2" t="n">
        <v>4459</v>
      </c>
      <c r="B4460" s="2" t="s">
        <v>9109</v>
      </c>
      <c r="C4460" s="2" t="s">
        <v>9110</v>
      </c>
      <c r="D4460" s="2"/>
      <c r="E4460" s="2" t="s">
        <v>1050</v>
      </c>
      <c r="F4460" s="3" t="n">
        <v>6E-006</v>
      </c>
      <c r="G4460" s="3" t="n">
        <f aca="false">SUM($F$2:F4460)</f>
        <v>0.997498</v>
      </c>
      <c r="H4460" s="4"/>
      <c r="I4460" s="5"/>
      <c r="J4460" s="4"/>
      <c r="K4460" s="5"/>
      <c r="L4460" s="6"/>
      <c r="M4460" s="5" t="str">
        <f aca="false">IF(AND(N(K4460)&gt;0,N(L4460)&gt;0),K4460/L4460,"")</f>
        <v/>
      </c>
      <c r="N4460" s="2" t="s">
        <v>1226</v>
      </c>
    </row>
    <row r="4461" customFormat="false" ht="15" hidden="false" customHeight="false" outlineLevel="0" collapsed="false">
      <c r="A4461" s="2" t="n">
        <v>4460</v>
      </c>
      <c r="B4461" s="2" t="s">
        <v>9111</v>
      </c>
      <c r="C4461" s="2" t="s">
        <v>9112</v>
      </c>
      <c r="D4461" s="2"/>
      <c r="E4461" s="2" t="s">
        <v>1345</v>
      </c>
      <c r="F4461" s="3" t="n">
        <v>6E-006</v>
      </c>
      <c r="G4461" s="3" t="n">
        <f aca="false">SUM($F$2:F4461)</f>
        <v>0.997504</v>
      </c>
      <c r="H4461" s="4"/>
      <c r="I4461" s="5"/>
      <c r="J4461" s="4"/>
      <c r="K4461" s="5"/>
      <c r="L4461" s="6"/>
      <c r="M4461" s="5" t="str">
        <f aca="false">IF(AND(N(K4461)&gt;0,N(L4461)&gt;0),K4461/L4461,"")</f>
        <v/>
      </c>
      <c r="N4461" s="2" t="s">
        <v>1226</v>
      </c>
    </row>
    <row r="4462" customFormat="false" ht="15" hidden="false" customHeight="false" outlineLevel="0" collapsed="false">
      <c r="A4462" s="2" t="n">
        <v>4461</v>
      </c>
      <c r="B4462" s="2" t="s">
        <v>9113</v>
      </c>
      <c r="C4462" s="2" t="s">
        <v>9114</v>
      </c>
      <c r="D4462" s="2"/>
      <c r="E4462" s="2" t="s">
        <v>289</v>
      </c>
      <c r="F4462" s="3" t="n">
        <v>6E-006</v>
      </c>
      <c r="G4462" s="3" t="n">
        <f aca="false">SUM($F$2:F4462)</f>
        <v>0.99751</v>
      </c>
      <c r="H4462" s="4"/>
      <c r="I4462" s="5"/>
      <c r="J4462" s="4"/>
      <c r="K4462" s="5"/>
      <c r="L4462" s="6"/>
      <c r="M4462" s="5" t="str">
        <f aca="false">IF(AND(N(K4462)&gt;0,N(L4462)&gt;0),K4462/L4462,"")</f>
        <v/>
      </c>
      <c r="N4462" s="2" t="s">
        <v>1226</v>
      </c>
    </row>
    <row r="4463" customFormat="false" ht="15" hidden="false" customHeight="false" outlineLevel="0" collapsed="false">
      <c r="A4463" s="2" t="n">
        <v>4462</v>
      </c>
      <c r="B4463" s="2" t="s">
        <v>9115</v>
      </c>
      <c r="C4463" s="2" t="s">
        <v>9116</v>
      </c>
      <c r="D4463" s="2"/>
      <c r="E4463" s="2" t="s">
        <v>1345</v>
      </c>
      <c r="F4463" s="3" t="n">
        <v>6E-006</v>
      </c>
      <c r="G4463" s="3" t="n">
        <f aca="false">SUM($F$2:F4463)</f>
        <v>0.997516</v>
      </c>
      <c r="H4463" s="4"/>
      <c r="I4463" s="5"/>
      <c r="J4463" s="4"/>
      <c r="K4463" s="5"/>
      <c r="L4463" s="6"/>
      <c r="M4463" s="5" t="str">
        <f aca="false">IF(AND(N(K4463)&gt;0,N(L4463)&gt;0),K4463/L4463,"")</f>
        <v/>
      </c>
      <c r="N4463" s="2" t="s">
        <v>1226</v>
      </c>
    </row>
    <row r="4464" customFormat="false" ht="15" hidden="false" customHeight="false" outlineLevel="0" collapsed="false">
      <c r="A4464" s="2" t="n">
        <v>4463</v>
      </c>
      <c r="B4464" s="2" t="s">
        <v>2663</v>
      </c>
      <c r="C4464" s="2" t="s">
        <v>9117</v>
      </c>
      <c r="D4464" s="2"/>
      <c r="E4464" s="2" t="s">
        <v>539</v>
      </c>
      <c r="F4464" s="3" t="n">
        <v>6E-006</v>
      </c>
      <c r="G4464" s="3" t="n">
        <f aca="false">SUM($F$2:F4464)</f>
        <v>0.997522</v>
      </c>
      <c r="H4464" s="4"/>
      <c r="I4464" s="5"/>
      <c r="J4464" s="4"/>
      <c r="K4464" s="5"/>
      <c r="L4464" s="6"/>
      <c r="M4464" s="5" t="str">
        <f aca="false">IF(AND(N(K4464)&gt;0,N(L4464)&gt;0),K4464/L4464,"")</f>
        <v/>
      </c>
      <c r="N4464" s="2" t="s">
        <v>1226</v>
      </c>
    </row>
    <row r="4465" customFormat="false" ht="15" hidden="false" customHeight="false" outlineLevel="0" collapsed="false">
      <c r="A4465" s="2" t="n">
        <v>4464</v>
      </c>
      <c r="B4465" s="2" t="s">
        <v>9118</v>
      </c>
      <c r="C4465" s="2" t="s">
        <v>9119</v>
      </c>
      <c r="D4465" s="2"/>
      <c r="E4465" s="2" t="s">
        <v>1345</v>
      </c>
      <c r="F4465" s="3" t="n">
        <v>6E-006</v>
      </c>
      <c r="G4465" s="3" t="n">
        <f aca="false">SUM($F$2:F4465)</f>
        <v>0.997528</v>
      </c>
      <c r="H4465" s="4"/>
      <c r="I4465" s="5"/>
      <c r="J4465" s="4"/>
      <c r="K4465" s="5"/>
      <c r="L4465" s="6"/>
      <c r="M4465" s="5" t="str">
        <f aca="false">IF(AND(N(K4465)&gt;0,N(L4465)&gt;0),K4465/L4465,"")</f>
        <v/>
      </c>
      <c r="N4465" s="2" t="s">
        <v>1226</v>
      </c>
    </row>
    <row r="4466" customFormat="false" ht="15" hidden="false" customHeight="false" outlineLevel="0" collapsed="false">
      <c r="A4466" s="2" t="n">
        <v>4465</v>
      </c>
      <c r="B4466" s="2" t="s">
        <v>9120</v>
      </c>
      <c r="C4466" s="2" t="s">
        <v>9121</v>
      </c>
      <c r="D4466" s="2"/>
      <c r="E4466" s="2" t="s">
        <v>1345</v>
      </c>
      <c r="F4466" s="3" t="n">
        <v>6E-006</v>
      </c>
      <c r="G4466" s="3" t="n">
        <f aca="false">SUM($F$2:F4466)</f>
        <v>0.997534</v>
      </c>
      <c r="H4466" s="4"/>
      <c r="I4466" s="5"/>
      <c r="J4466" s="4"/>
      <c r="K4466" s="5"/>
      <c r="L4466" s="6"/>
      <c r="M4466" s="5" t="str">
        <f aca="false">IF(AND(N(K4466)&gt;0,N(L4466)&gt;0),K4466/L4466,"")</f>
        <v/>
      </c>
      <c r="N4466" s="2" t="s">
        <v>1226</v>
      </c>
    </row>
    <row r="4467" customFormat="false" ht="15" hidden="false" customHeight="false" outlineLevel="0" collapsed="false">
      <c r="A4467" s="2" t="n">
        <v>4466</v>
      </c>
      <c r="B4467" s="2" t="s">
        <v>9122</v>
      </c>
      <c r="C4467" s="2" t="s">
        <v>9123</v>
      </c>
      <c r="D4467" s="2"/>
      <c r="E4467" s="2" t="s">
        <v>1345</v>
      </c>
      <c r="F4467" s="3" t="n">
        <v>6E-006</v>
      </c>
      <c r="G4467" s="3" t="n">
        <f aca="false">SUM($F$2:F4467)</f>
        <v>0.99754</v>
      </c>
      <c r="H4467" s="4"/>
      <c r="I4467" s="5"/>
      <c r="J4467" s="4"/>
      <c r="K4467" s="5"/>
      <c r="L4467" s="6"/>
      <c r="M4467" s="5" t="str">
        <f aca="false">IF(AND(N(K4467)&gt;0,N(L4467)&gt;0),K4467/L4467,"")</f>
        <v/>
      </c>
      <c r="N4467" s="2" t="s">
        <v>1226</v>
      </c>
    </row>
    <row r="4468" customFormat="false" ht="15" hidden="false" customHeight="false" outlineLevel="0" collapsed="false">
      <c r="A4468" s="2" t="n">
        <v>4467</v>
      </c>
      <c r="B4468" s="2" t="s">
        <v>9124</v>
      </c>
      <c r="C4468" s="2" t="s">
        <v>9125</v>
      </c>
      <c r="D4468" s="2"/>
      <c r="E4468" s="2" t="s">
        <v>52</v>
      </c>
      <c r="F4468" s="3" t="n">
        <v>6E-006</v>
      </c>
      <c r="G4468" s="3" t="n">
        <f aca="false">SUM($F$2:F4468)</f>
        <v>0.997546</v>
      </c>
      <c r="H4468" s="4"/>
      <c r="I4468" s="5"/>
      <c r="J4468" s="4"/>
      <c r="K4468" s="5"/>
      <c r="L4468" s="6"/>
      <c r="M4468" s="5" t="str">
        <f aca="false">IF(AND(N(K4468)&gt;0,N(L4468)&gt;0),K4468/L4468,"")</f>
        <v/>
      </c>
      <c r="N4468" s="2" t="s">
        <v>1226</v>
      </c>
    </row>
    <row r="4469" customFormat="false" ht="15" hidden="false" customHeight="false" outlineLevel="0" collapsed="false">
      <c r="A4469" s="2" t="n">
        <v>4468</v>
      </c>
      <c r="B4469" s="2" t="s">
        <v>9126</v>
      </c>
      <c r="C4469" s="2" t="s">
        <v>9127</v>
      </c>
      <c r="D4469" s="2"/>
      <c r="E4469" s="2" t="s">
        <v>33</v>
      </c>
      <c r="F4469" s="3" t="n">
        <v>6E-006</v>
      </c>
      <c r="G4469" s="3" t="n">
        <f aca="false">SUM($F$2:F4469)</f>
        <v>0.997552</v>
      </c>
      <c r="H4469" s="4"/>
      <c r="I4469" s="5"/>
      <c r="J4469" s="4"/>
      <c r="K4469" s="5"/>
      <c r="L4469" s="6"/>
      <c r="M4469" s="5" t="str">
        <f aca="false">IF(AND(N(K4469)&gt;0,N(L4469)&gt;0),K4469/L4469,"")</f>
        <v/>
      </c>
      <c r="N4469" s="2" t="s">
        <v>1226</v>
      </c>
    </row>
    <row r="4470" customFormat="false" ht="15" hidden="false" customHeight="false" outlineLevel="0" collapsed="false">
      <c r="A4470" s="2" t="n">
        <v>4469</v>
      </c>
      <c r="B4470" s="2" t="s">
        <v>9128</v>
      </c>
      <c r="C4470" s="2" t="s">
        <v>9129</v>
      </c>
      <c r="D4470" s="2"/>
      <c r="E4470" s="2" t="s">
        <v>1284</v>
      </c>
      <c r="F4470" s="3" t="n">
        <v>6E-006</v>
      </c>
      <c r="G4470" s="3" t="n">
        <f aca="false">SUM($F$2:F4470)</f>
        <v>0.997558</v>
      </c>
      <c r="H4470" s="4"/>
      <c r="I4470" s="5"/>
      <c r="J4470" s="4"/>
      <c r="K4470" s="5"/>
      <c r="L4470" s="6"/>
      <c r="M4470" s="5" t="str">
        <f aca="false">IF(AND(N(K4470)&gt;0,N(L4470)&gt;0),K4470/L4470,"")</f>
        <v/>
      </c>
      <c r="N4470" s="2" t="s">
        <v>1226</v>
      </c>
    </row>
    <row r="4471" customFormat="false" ht="15" hidden="false" customHeight="false" outlineLevel="0" collapsed="false">
      <c r="A4471" s="2" t="n">
        <v>4470</v>
      </c>
      <c r="B4471" s="2" t="s">
        <v>9130</v>
      </c>
      <c r="C4471" s="2" t="s">
        <v>9131</v>
      </c>
      <c r="D4471" s="2"/>
      <c r="E4471" s="2" t="s">
        <v>1345</v>
      </c>
      <c r="F4471" s="3" t="n">
        <v>6E-006</v>
      </c>
      <c r="G4471" s="3" t="n">
        <f aca="false">SUM($F$2:F4471)</f>
        <v>0.997564</v>
      </c>
      <c r="H4471" s="4"/>
      <c r="I4471" s="5"/>
      <c r="J4471" s="4"/>
      <c r="K4471" s="5"/>
      <c r="L4471" s="6"/>
      <c r="M4471" s="5" t="str">
        <f aca="false">IF(AND(N(K4471)&gt;0,N(L4471)&gt;0),K4471/L4471,"")</f>
        <v/>
      </c>
      <c r="N4471" s="2" t="s">
        <v>1226</v>
      </c>
    </row>
    <row r="4472" customFormat="false" ht="15" hidden="false" customHeight="false" outlineLevel="0" collapsed="false">
      <c r="A4472" s="2" t="n">
        <v>4471</v>
      </c>
      <c r="B4472" s="2" t="s">
        <v>9132</v>
      </c>
      <c r="C4472" s="2" t="s">
        <v>9133</v>
      </c>
      <c r="D4472" s="2"/>
      <c r="E4472" s="2" t="s">
        <v>1345</v>
      </c>
      <c r="F4472" s="3" t="n">
        <v>6E-006</v>
      </c>
      <c r="G4472" s="3" t="n">
        <f aca="false">SUM($F$2:F4472)</f>
        <v>0.99757</v>
      </c>
      <c r="H4472" s="4"/>
      <c r="I4472" s="5"/>
      <c r="J4472" s="4"/>
      <c r="K4472" s="5"/>
      <c r="L4472" s="6"/>
      <c r="M4472" s="5" t="str">
        <f aca="false">IF(AND(N(K4472)&gt;0,N(L4472)&gt;0),K4472/L4472,"")</f>
        <v/>
      </c>
      <c r="N4472" s="2" t="s">
        <v>1226</v>
      </c>
    </row>
    <row r="4473" customFormat="false" ht="15" hidden="false" customHeight="false" outlineLevel="0" collapsed="false">
      <c r="A4473" s="2" t="n">
        <v>4472</v>
      </c>
      <c r="B4473" s="2" t="s">
        <v>9134</v>
      </c>
      <c r="C4473" s="2" t="s">
        <v>9135</v>
      </c>
      <c r="D4473" s="2"/>
      <c r="E4473" s="2" t="s">
        <v>2055</v>
      </c>
      <c r="F4473" s="3" t="n">
        <v>6E-006</v>
      </c>
      <c r="G4473" s="3" t="n">
        <f aca="false">SUM($F$2:F4473)</f>
        <v>0.997576</v>
      </c>
      <c r="H4473" s="4"/>
      <c r="I4473" s="5"/>
      <c r="J4473" s="4"/>
      <c r="K4473" s="5"/>
      <c r="L4473" s="6"/>
      <c r="M4473" s="5" t="str">
        <f aca="false">IF(AND(N(K4473)&gt;0,N(L4473)&gt;0),K4473/L4473,"")</f>
        <v/>
      </c>
      <c r="N4473" s="2" t="s">
        <v>1226</v>
      </c>
    </row>
    <row r="4474" customFormat="false" ht="15" hidden="false" customHeight="false" outlineLevel="0" collapsed="false">
      <c r="A4474" s="2" t="n">
        <v>4473</v>
      </c>
      <c r="B4474" s="2" t="s">
        <v>9136</v>
      </c>
      <c r="C4474" s="2" t="s">
        <v>9137</v>
      </c>
      <c r="D4474" s="2"/>
      <c r="E4474" s="2" t="s">
        <v>289</v>
      </c>
      <c r="F4474" s="3" t="n">
        <v>6E-006</v>
      </c>
      <c r="G4474" s="3" t="n">
        <f aca="false">SUM($F$2:F4474)</f>
        <v>0.997582</v>
      </c>
      <c r="H4474" s="4"/>
      <c r="I4474" s="5"/>
      <c r="J4474" s="4"/>
      <c r="K4474" s="5"/>
      <c r="L4474" s="6"/>
      <c r="M4474" s="5" t="str">
        <f aca="false">IF(AND(N(K4474)&gt;0,N(L4474)&gt;0),K4474/L4474,"")</f>
        <v/>
      </c>
      <c r="N4474" s="2" t="s">
        <v>1226</v>
      </c>
    </row>
    <row r="4475" customFormat="false" ht="15" hidden="false" customHeight="false" outlineLevel="0" collapsed="false">
      <c r="A4475" s="2" t="n">
        <v>4474</v>
      </c>
      <c r="B4475" s="2" t="s">
        <v>9138</v>
      </c>
      <c r="C4475" s="2" t="s">
        <v>9139</v>
      </c>
      <c r="D4475" s="2"/>
      <c r="E4475" s="2" t="s">
        <v>1345</v>
      </c>
      <c r="F4475" s="3" t="n">
        <v>6E-006</v>
      </c>
      <c r="G4475" s="3" t="n">
        <f aca="false">SUM($F$2:F4475)</f>
        <v>0.997588</v>
      </c>
      <c r="H4475" s="4"/>
      <c r="I4475" s="5"/>
      <c r="J4475" s="4"/>
      <c r="K4475" s="5"/>
      <c r="L4475" s="6"/>
      <c r="M4475" s="5" t="str">
        <f aca="false">IF(AND(N(K4475)&gt;0,N(L4475)&gt;0),K4475/L4475,"")</f>
        <v/>
      </c>
      <c r="N4475" s="2" t="s">
        <v>1226</v>
      </c>
    </row>
    <row r="4476" customFormat="false" ht="15" hidden="false" customHeight="false" outlineLevel="0" collapsed="false">
      <c r="A4476" s="2" t="n">
        <v>4475</v>
      </c>
      <c r="B4476" s="2" t="s">
        <v>9140</v>
      </c>
      <c r="C4476" s="2" t="s">
        <v>9141</v>
      </c>
      <c r="D4476" s="2"/>
      <c r="E4476" s="2" t="s">
        <v>1345</v>
      </c>
      <c r="F4476" s="3" t="n">
        <v>6E-006</v>
      </c>
      <c r="G4476" s="3" t="n">
        <f aca="false">SUM($F$2:F4476)</f>
        <v>0.997594</v>
      </c>
      <c r="H4476" s="4"/>
      <c r="I4476" s="5"/>
      <c r="J4476" s="4"/>
      <c r="K4476" s="5"/>
      <c r="L4476" s="6"/>
      <c r="M4476" s="5" t="str">
        <f aca="false">IF(AND(N(K4476)&gt;0,N(L4476)&gt;0),K4476/L4476,"")</f>
        <v/>
      </c>
      <c r="N4476" s="2" t="s">
        <v>1226</v>
      </c>
    </row>
    <row r="4477" customFormat="false" ht="15" hidden="false" customHeight="false" outlineLevel="0" collapsed="false">
      <c r="A4477" s="2" t="n">
        <v>4476</v>
      </c>
      <c r="B4477" s="2" t="s">
        <v>9142</v>
      </c>
      <c r="C4477" s="2" t="s">
        <v>9143</v>
      </c>
      <c r="D4477" s="2"/>
      <c r="E4477" s="2" t="s">
        <v>43</v>
      </c>
      <c r="F4477" s="3" t="n">
        <v>6E-006</v>
      </c>
      <c r="G4477" s="3" t="n">
        <f aca="false">SUM($F$2:F4477)</f>
        <v>0.9976</v>
      </c>
      <c r="H4477" s="4"/>
      <c r="I4477" s="5"/>
      <c r="J4477" s="4"/>
      <c r="K4477" s="5"/>
      <c r="L4477" s="6"/>
      <c r="M4477" s="5" t="str">
        <f aca="false">IF(AND(N(K4477)&gt;0,N(L4477)&gt;0),K4477/L4477,"")</f>
        <v/>
      </c>
      <c r="N4477" s="2" t="s">
        <v>1226</v>
      </c>
    </row>
    <row r="4478" customFormat="false" ht="15" hidden="false" customHeight="false" outlineLevel="0" collapsed="false">
      <c r="A4478" s="2" t="n">
        <v>4477</v>
      </c>
      <c r="B4478" s="2" t="s">
        <v>9144</v>
      </c>
      <c r="C4478" s="2" t="s">
        <v>9145</v>
      </c>
      <c r="D4478" s="2"/>
      <c r="E4478" s="2" t="s">
        <v>289</v>
      </c>
      <c r="F4478" s="3" t="n">
        <v>6E-006</v>
      </c>
      <c r="G4478" s="3" t="n">
        <f aca="false">SUM($F$2:F4478)</f>
        <v>0.997606</v>
      </c>
      <c r="H4478" s="4"/>
      <c r="I4478" s="5"/>
      <c r="J4478" s="4"/>
      <c r="K4478" s="5"/>
      <c r="L4478" s="6"/>
      <c r="M4478" s="5" t="str">
        <f aca="false">IF(AND(N(K4478)&gt;0,N(L4478)&gt;0),K4478/L4478,"")</f>
        <v/>
      </c>
      <c r="N4478" s="2" t="s">
        <v>1226</v>
      </c>
    </row>
    <row r="4479" customFormat="false" ht="15" hidden="false" customHeight="false" outlineLevel="0" collapsed="false">
      <c r="A4479" s="2" t="n">
        <v>4478</v>
      </c>
      <c r="B4479" s="2" t="s">
        <v>9146</v>
      </c>
      <c r="C4479" s="2" t="s">
        <v>9147</v>
      </c>
      <c r="D4479" s="2"/>
      <c r="E4479" s="2" t="s">
        <v>1284</v>
      </c>
      <c r="F4479" s="3" t="n">
        <v>6E-006</v>
      </c>
      <c r="G4479" s="3" t="n">
        <f aca="false">SUM($F$2:F4479)</f>
        <v>0.997612</v>
      </c>
      <c r="H4479" s="4"/>
      <c r="I4479" s="5"/>
      <c r="J4479" s="4"/>
      <c r="K4479" s="5"/>
      <c r="L4479" s="6"/>
      <c r="M4479" s="5" t="str">
        <f aca="false">IF(AND(N(K4479)&gt;0,N(L4479)&gt;0),K4479/L4479,"")</f>
        <v/>
      </c>
      <c r="N4479" s="2" t="s">
        <v>1226</v>
      </c>
    </row>
    <row r="4480" customFormat="false" ht="15" hidden="false" customHeight="false" outlineLevel="0" collapsed="false">
      <c r="A4480" s="2" t="n">
        <v>4479</v>
      </c>
      <c r="B4480" s="2" t="s">
        <v>9148</v>
      </c>
      <c r="C4480" s="2" t="s">
        <v>9149</v>
      </c>
      <c r="D4480" s="2"/>
      <c r="E4480" s="2" t="s">
        <v>52</v>
      </c>
      <c r="F4480" s="3" t="n">
        <v>6E-006</v>
      </c>
      <c r="G4480" s="3" t="n">
        <f aca="false">SUM($F$2:F4480)</f>
        <v>0.997618</v>
      </c>
      <c r="H4480" s="4"/>
      <c r="I4480" s="5"/>
      <c r="J4480" s="4"/>
      <c r="K4480" s="5"/>
      <c r="L4480" s="6"/>
      <c r="M4480" s="5" t="str">
        <f aca="false">IF(AND(N(K4480)&gt;0,N(L4480)&gt;0),K4480/L4480,"")</f>
        <v/>
      </c>
      <c r="N4480" s="2" t="s">
        <v>1226</v>
      </c>
    </row>
    <row r="4481" customFormat="false" ht="15" hidden="false" customHeight="false" outlineLevel="0" collapsed="false">
      <c r="A4481" s="2" t="n">
        <v>4480</v>
      </c>
      <c r="B4481" s="2" t="s">
        <v>9150</v>
      </c>
      <c r="C4481" s="2" t="s">
        <v>9151</v>
      </c>
      <c r="D4481" s="2"/>
      <c r="E4481" s="2" t="s">
        <v>289</v>
      </c>
      <c r="F4481" s="3" t="n">
        <v>6E-006</v>
      </c>
      <c r="G4481" s="3" t="n">
        <f aca="false">SUM($F$2:F4481)</f>
        <v>0.997624</v>
      </c>
      <c r="H4481" s="4"/>
      <c r="I4481" s="5"/>
      <c r="J4481" s="4"/>
      <c r="K4481" s="5"/>
      <c r="L4481" s="6"/>
      <c r="M4481" s="5" t="str">
        <f aca="false">IF(AND(N(K4481)&gt;0,N(L4481)&gt;0),K4481/L4481,"")</f>
        <v/>
      </c>
      <c r="N4481" s="2" t="s">
        <v>1226</v>
      </c>
    </row>
    <row r="4482" customFormat="false" ht="15" hidden="false" customHeight="false" outlineLevel="0" collapsed="false">
      <c r="A4482" s="2" t="n">
        <v>4481</v>
      </c>
      <c r="B4482" s="2" t="s">
        <v>9152</v>
      </c>
      <c r="C4482" s="2" t="s">
        <v>9153</v>
      </c>
      <c r="D4482" s="2"/>
      <c r="E4482" s="2" t="s">
        <v>1345</v>
      </c>
      <c r="F4482" s="3" t="n">
        <v>6E-006</v>
      </c>
      <c r="G4482" s="3" t="n">
        <f aca="false">SUM($F$2:F4482)</f>
        <v>0.99763</v>
      </c>
      <c r="H4482" s="4"/>
      <c r="I4482" s="5"/>
      <c r="J4482" s="4"/>
      <c r="K4482" s="5"/>
      <c r="L4482" s="6"/>
      <c r="M4482" s="5" t="str">
        <f aca="false">IF(AND(N(K4482)&gt;0,N(L4482)&gt;0),K4482/L4482,"")</f>
        <v/>
      </c>
      <c r="N4482" s="2" t="s">
        <v>1226</v>
      </c>
    </row>
    <row r="4483" customFormat="false" ht="15" hidden="false" customHeight="false" outlineLevel="0" collapsed="false">
      <c r="A4483" s="2" t="n">
        <v>4482</v>
      </c>
      <c r="B4483" s="2" t="s">
        <v>301</v>
      </c>
      <c r="C4483" s="2" t="s">
        <v>9154</v>
      </c>
      <c r="D4483" s="2"/>
      <c r="E4483" s="2" t="s">
        <v>1245</v>
      </c>
      <c r="F4483" s="3" t="n">
        <v>6E-006</v>
      </c>
      <c r="G4483" s="3" t="n">
        <f aca="false">SUM($F$2:F4483)</f>
        <v>0.997636</v>
      </c>
      <c r="H4483" s="4"/>
      <c r="I4483" s="5"/>
      <c r="J4483" s="4"/>
      <c r="K4483" s="5"/>
      <c r="L4483" s="6"/>
      <c r="M4483" s="5" t="str">
        <f aca="false">IF(AND(N(K4483)&gt;0,N(L4483)&gt;0),K4483/L4483,"")</f>
        <v/>
      </c>
      <c r="N4483" s="2" t="s">
        <v>34</v>
      </c>
    </row>
    <row r="4484" customFormat="false" ht="15" hidden="false" customHeight="false" outlineLevel="0" collapsed="false">
      <c r="A4484" s="2" t="n">
        <v>4483</v>
      </c>
      <c r="B4484" s="2" t="s">
        <v>9155</v>
      </c>
      <c r="C4484" s="2" t="s">
        <v>9156</v>
      </c>
      <c r="D4484" s="2"/>
      <c r="E4484" s="2" t="s">
        <v>52</v>
      </c>
      <c r="F4484" s="3" t="n">
        <v>6E-006</v>
      </c>
      <c r="G4484" s="3" t="n">
        <f aca="false">SUM($F$2:F4484)</f>
        <v>0.997642</v>
      </c>
      <c r="H4484" s="4"/>
      <c r="I4484" s="5"/>
      <c r="J4484" s="4"/>
      <c r="K4484" s="5"/>
      <c r="L4484" s="6"/>
      <c r="M4484" s="5" t="str">
        <f aca="false">IF(AND(N(K4484)&gt;0,N(L4484)&gt;0),K4484/L4484,"")</f>
        <v/>
      </c>
      <c r="N4484" s="2" t="s">
        <v>1226</v>
      </c>
    </row>
    <row r="4485" customFormat="false" ht="15" hidden="false" customHeight="false" outlineLevel="0" collapsed="false">
      <c r="A4485" s="2" t="n">
        <v>4484</v>
      </c>
      <c r="B4485" s="2" t="s">
        <v>9157</v>
      </c>
      <c r="C4485" s="2" t="s">
        <v>9158</v>
      </c>
      <c r="D4485" s="2"/>
      <c r="E4485" s="2" t="s">
        <v>289</v>
      </c>
      <c r="F4485" s="3" t="n">
        <v>6E-006</v>
      </c>
      <c r="G4485" s="3" t="n">
        <f aca="false">SUM($F$2:F4485)</f>
        <v>0.997648</v>
      </c>
      <c r="H4485" s="4"/>
      <c r="I4485" s="5"/>
      <c r="J4485" s="4"/>
      <c r="K4485" s="5"/>
      <c r="L4485" s="6"/>
      <c r="M4485" s="5" t="str">
        <f aca="false">IF(AND(N(K4485)&gt;0,N(L4485)&gt;0),K4485/L4485,"")</f>
        <v/>
      </c>
      <c r="N4485" s="2" t="s">
        <v>1226</v>
      </c>
    </row>
    <row r="4486" customFormat="false" ht="15" hidden="false" customHeight="false" outlineLevel="0" collapsed="false">
      <c r="A4486" s="2" t="n">
        <v>4485</v>
      </c>
      <c r="B4486" s="2" t="s">
        <v>9159</v>
      </c>
      <c r="C4486" s="2" t="s">
        <v>9160</v>
      </c>
      <c r="D4486" s="2"/>
      <c r="E4486" s="2" t="s">
        <v>29</v>
      </c>
      <c r="F4486" s="3" t="n">
        <v>6E-006</v>
      </c>
      <c r="G4486" s="3" t="n">
        <f aca="false">SUM($F$2:F4486)</f>
        <v>0.997654</v>
      </c>
      <c r="H4486" s="4"/>
      <c r="I4486" s="5"/>
      <c r="J4486" s="4"/>
      <c r="K4486" s="5"/>
      <c r="L4486" s="6"/>
      <c r="M4486" s="5" t="str">
        <f aca="false">IF(AND(N(K4486)&gt;0,N(L4486)&gt;0),K4486/L4486,"")</f>
        <v/>
      </c>
      <c r="N4486" s="2" t="s">
        <v>1226</v>
      </c>
    </row>
    <row r="4487" customFormat="false" ht="15" hidden="false" customHeight="false" outlineLevel="0" collapsed="false">
      <c r="A4487" s="2" t="n">
        <v>4486</v>
      </c>
      <c r="B4487" s="2" t="s">
        <v>9161</v>
      </c>
      <c r="C4487" s="2" t="s">
        <v>9162</v>
      </c>
      <c r="D4487" s="2"/>
      <c r="E4487" s="2" t="s">
        <v>1345</v>
      </c>
      <c r="F4487" s="3" t="n">
        <v>6E-006</v>
      </c>
      <c r="G4487" s="3" t="n">
        <f aca="false">SUM($F$2:F4487)</f>
        <v>0.99766</v>
      </c>
      <c r="H4487" s="4"/>
      <c r="I4487" s="5"/>
      <c r="J4487" s="4"/>
      <c r="K4487" s="5"/>
      <c r="L4487" s="6"/>
      <c r="M4487" s="5" t="str">
        <f aca="false">IF(AND(N(K4487)&gt;0,N(L4487)&gt;0),K4487/L4487,"")</f>
        <v/>
      </c>
      <c r="N4487" s="2" t="s">
        <v>1226</v>
      </c>
    </row>
    <row r="4488" customFormat="false" ht="15" hidden="false" customHeight="false" outlineLevel="0" collapsed="false">
      <c r="A4488" s="2" t="n">
        <v>4487</v>
      </c>
      <c r="B4488" s="2" t="s">
        <v>9163</v>
      </c>
      <c r="C4488" s="2" t="s">
        <v>9164</v>
      </c>
      <c r="D4488" s="2"/>
      <c r="E4488" s="2" t="s">
        <v>1345</v>
      </c>
      <c r="F4488" s="3" t="n">
        <v>6E-006</v>
      </c>
      <c r="G4488" s="3" t="n">
        <f aca="false">SUM($F$2:F4488)</f>
        <v>0.997666</v>
      </c>
      <c r="H4488" s="4"/>
      <c r="I4488" s="5"/>
      <c r="J4488" s="4"/>
      <c r="K4488" s="5"/>
      <c r="L4488" s="6"/>
      <c r="M4488" s="5" t="str">
        <f aca="false">IF(AND(N(K4488)&gt;0,N(L4488)&gt;0),K4488/L4488,"")</f>
        <v/>
      </c>
      <c r="N4488" s="2" t="s">
        <v>1226</v>
      </c>
    </row>
    <row r="4489" customFormat="false" ht="15" hidden="false" customHeight="false" outlineLevel="0" collapsed="false">
      <c r="A4489" s="2" t="n">
        <v>4488</v>
      </c>
      <c r="B4489" s="2" t="s">
        <v>9165</v>
      </c>
      <c r="C4489" s="2" t="s">
        <v>9166</v>
      </c>
      <c r="D4489" s="2"/>
      <c r="E4489" s="2" t="s">
        <v>289</v>
      </c>
      <c r="F4489" s="3" t="n">
        <v>6E-006</v>
      </c>
      <c r="G4489" s="3" t="n">
        <f aca="false">SUM($F$2:F4489)</f>
        <v>0.997672</v>
      </c>
      <c r="H4489" s="4"/>
      <c r="I4489" s="5"/>
      <c r="J4489" s="4"/>
      <c r="K4489" s="5"/>
      <c r="L4489" s="6"/>
      <c r="M4489" s="5" t="str">
        <f aca="false">IF(AND(N(K4489)&gt;0,N(L4489)&gt;0),K4489/L4489,"")</f>
        <v/>
      </c>
      <c r="N4489" s="2" t="s">
        <v>1226</v>
      </c>
    </row>
    <row r="4490" customFormat="false" ht="15" hidden="false" customHeight="false" outlineLevel="0" collapsed="false">
      <c r="A4490" s="2" t="n">
        <v>4489</v>
      </c>
      <c r="B4490" s="2" t="s">
        <v>9167</v>
      </c>
      <c r="C4490" s="2" t="s">
        <v>9168</v>
      </c>
      <c r="D4490" s="2"/>
      <c r="E4490" s="2" t="s">
        <v>289</v>
      </c>
      <c r="F4490" s="3" t="n">
        <v>6E-006</v>
      </c>
      <c r="G4490" s="3" t="n">
        <f aca="false">SUM($F$2:F4490)</f>
        <v>0.997678</v>
      </c>
      <c r="H4490" s="4"/>
      <c r="I4490" s="5"/>
      <c r="J4490" s="4"/>
      <c r="K4490" s="5"/>
      <c r="L4490" s="6"/>
      <c r="M4490" s="5" t="str">
        <f aca="false">IF(AND(N(K4490)&gt;0,N(L4490)&gt;0),K4490/L4490,"")</f>
        <v/>
      </c>
      <c r="N4490" s="2" t="s">
        <v>1226</v>
      </c>
    </row>
    <row r="4491" customFormat="false" ht="15" hidden="false" customHeight="false" outlineLevel="0" collapsed="false">
      <c r="A4491" s="2" t="n">
        <v>4490</v>
      </c>
      <c r="B4491" s="2" t="s">
        <v>9169</v>
      </c>
      <c r="C4491" s="2" t="s">
        <v>9170</v>
      </c>
      <c r="D4491" s="2"/>
      <c r="E4491" s="2" t="s">
        <v>1345</v>
      </c>
      <c r="F4491" s="3" t="n">
        <v>6E-006</v>
      </c>
      <c r="G4491" s="3" t="n">
        <f aca="false">SUM($F$2:F4491)</f>
        <v>0.997684</v>
      </c>
      <c r="H4491" s="4"/>
      <c r="I4491" s="5"/>
      <c r="J4491" s="4"/>
      <c r="K4491" s="5"/>
      <c r="L4491" s="6"/>
      <c r="M4491" s="5" t="str">
        <f aca="false">IF(AND(N(K4491)&gt;0,N(L4491)&gt;0),K4491/L4491,"")</f>
        <v/>
      </c>
      <c r="N4491" s="2" t="s">
        <v>1226</v>
      </c>
    </row>
    <row r="4492" customFormat="false" ht="15" hidden="false" customHeight="false" outlineLevel="0" collapsed="false">
      <c r="A4492" s="2" t="n">
        <v>4491</v>
      </c>
      <c r="B4492" s="2" t="s">
        <v>9171</v>
      </c>
      <c r="C4492" s="2" t="s">
        <v>9172</v>
      </c>
      <c r="D4492" s="2"/>
      <c r="E4492" s="2" t="s">
        <v>2055</v>
      </c>
      <c r="F4492" s="3" t="n">
        <v>6E-006</v>
      </c>
      <c r="G4492" s="3" t="n">
        <f aca="false">SUM($F$2:F4492)</f>
        <v>0.99769</v>
      </c>
      <c r="H4492" s="4"/>
      <c r="I4492" s="5"/>
      <c r="J4492" s="4"/>
      <c r="K4492" s="5"/>
      <c r="L4492" s="6"/>
      <c r="M4492" s="5" t="str">
        <f aca="false">IF(AND(N(K4492)&gt;0,N(L4492)&gt;0),K4492/L4492,"")</f>
        <v/>
      </c>
      <c r="N4492" s="2" t="s">
        <v>1226</v>
      </c>
    </row>
    <row r="4493" customFormat="false" ht="15" hidden="false" customHeight="false" outlineLevel="0" collapsed="false">
      <c r="A4493" s="2" t="n">
        <v>4492</v>
      </c>
      <c r="B4493" s="2" t="s">
        <v>9173</v>
      </c>
      <c r="C4493" s="2" t="s">
        <v>9174</v>
      </c>
      <c r="D4493" s="2"/>
      <c r="E4493" s="2" t="s">
        <v>52</v>
      </c>
      <c r="F4493" s="3" t="n">
        <v>6E-006</v>
      </c>
      <c r="G4493" s="3" t="n">
        <f aca="false">SUM($F$2:F4493)</f>
        <v>0.997696</v>
      </c>
      <c r="H4493" s="4"/>
      <c r="I4493" s="5"/>
      <c r="J4493" s="4"/>
      <c r="K4493" s="5"/>
      <c r="L4493" s="6"/>
      <c r="M4493" s="5" t="str">
        <f aca="false">IF(AND(N(K4493)&gt;0,N(L4493)&gt;0),K4493/L4493,"")</f>
        <v/>
      </c>
      <c r="N4493" s="2" t="s">
        <v>1226</v>
      </c>
    </row>
    <row r="4494" customFormat="false" ht="15" hidden="false" customHeight="false" outlineLevel="0" collapsed="false">
      <c r="A4494" s="2" t="n">
        <v>4493</v>
      </c>
      <c r="B4494" s="2" t="s">
        <v>9175</v>
      </c>
      <c r="C4494" s="2" t="s">
        <v>9176</v>
      </c>
      <c r="D4494" s="2"/>
      <c r="E4494" s="2" t="s">
        <v>25</v>
      </c>
      <c r="F4494" s="3" t="n">
        <v>6E-006</v>
      </c>
      <c r="G4494" s="3" t="n">
        <f aca="false">SUM($F$2:F4494)</f>
        <v>0.997702</v>
      </c>
      <c r="H4494" s="4"/>
      <c r="I4494" s="5"/>
      <c r="J4494" s="4"/>
      <c r="K4494" s="5"/>
      <c r="L4494" s="6"/>
      <c r="M4494" s="5" t="str">
        <f aca="false">IF(AND(N(K4494)&gt;0,N(L4494)&gt;0),K4494/L4494,"")</f>
        <v/>
      </c>
      <c r="N4494" s="2" t="s">
        <v>1226</v>
      </c>
    </row>
    <row r="4495" customFormat="false" ht="15" hidden="false" customHeight="false" outlineLevel="0" collapsed="false">
      <c r="A4495" s="2" t="n">
        <v>4494</v>
      </c>
      <c r="B4495" s="2" t="s">
        <v>9177</v>
      </c>
      <c r="C4495" s="2" t="s">
        <v>9178</v>
      </c>
      <c r="D4495" s="2"/>
      <c r="E4495" s="2" t="s">
        <v>21</v>
      </c>
      <c r="F4495" s="3" t="n">
        <v>6E-006</v>
      </c>
      <c r="G4495" s="3" t="n">
        <f aca="false">SUM($F$2:F4495)</f>
        <v>0.997708</v>
      </c>
      <c r="H4495" s="4"/>
      <c r="I4495" s="5"/>
      <c r="J4495" s="4"/>
      <c r="K4495" s="5"/>
      <c r="L4495" s="6"/>
      <c r="M4495" s="5" t="str">
        <f aca="false">IF(AND(N(K4495)&gt;0,N(L4495)&gt;0),K4495/L4495,"")</f>
        <v/>
      </c>
      <c r="N4495" s="2" t="s">
        <v>1226</v>
      </c>
    </row>
    <row r="4496" customFormat="false" ht="15" hidden="false" customHeight="false" outlineLevel="0" collapsed="false">
      <c r="A4496" s="2" t="n">
        <v>4495</v>
      </c>
      <c r="B4496" s="2" t="s">
        <v>5239</v>
      </c>
      <c r="C4496" s="2" t="s">
        <v>9179</v>
      </c>
      <c r="D4496" s="2"/>
      <c r="E4496" s="2" t="s">
        <v>289</v>
      </c>
      <c r="F4496" s="3" t="n">
        <v>6E-006</v>
      </c>
      <c r="G4496" s="3" t="n">
        <f aca="false">SUM($F$2:F4496)</f>
        <v>0.997714</v>
      </c>
      <c r="H4496" s="4"/>
      <c r="I4496" s="5"/>
      <c r="J4496" s="4"/>
      <c r="K4496" s="5"/>
      <c r="L4496" s="6"/>
      <c r="M4496" s="5" t="str">
        <f aca="false">IF(AND(N(K4496)&gt;0,N(L4496)&gt;0),K4496/L4496,"")</f>
        <v/>
      </c>
      <c r="N4496" s="2" t="s">
        <v>1226</v>
      </c>
    </row>
    <row r="4497" customFormat="false" ht="15" hidden="false" customHeight="false" outlineLevel="0" collapsed="false">
      <c r="A4497" s="2" t="n">
        <v>4496</v>
      </c>
      <c r="B4497" s="2" t="s">
        <v>9180</v>
      </c>
      <c r="C4497" s="2" t="s">
        <v>9181</v>
      </c>
      <c r="D4497" s="2"/>
      <c r="E4497" s="2" t="s">
        <v>289</v>
      </c>
      <c r="F4497" s="3" t="n">
        <v>6E-006</v>
      </c>
      <c r="G4497" s="3" t="n">
        <f aca="false">SUM($F$2:F4497)</f>
        <v>0.99772</v>
      </c>
      <c r="H4497" s="4"/>
      <c r="I4497" s="5"/>
      <c r="J4497" s="4"/>
      <c r="K4497" s="5"/>
      <c r="L4497" s="6"/>
      <c r="M4497" s="5" t="str">
        <f aca="false">IF(AND(N(K4497)&gt;0,N(L4497)&gt;0),K4497/L4497,"")</f>
        <v/>
      </c>
      <c r="N4497" s="2" t="s">
        <v>1226</v>
      </c>
    </row>
    <row r="4498" customFormat="false" ht="15" hidden="false" customHeight="false" outlineLevel="0" collapsed="false">
      <c r="A4498" s="2" t="n">
        <v>4497</v>
      </c>
      <c r="B4498" s="2" t="s">
        <v>9182</v>
      </c>
      <c r="C4498" s="2" t="s">
        <v>9183</v>
      </c>
      <c r="D4498" s="2"/>
      <c r="E4498" s="2" t="s">
        <v>1345</v>
      </c>
      <c r="F4498" s="3" t="n">
        <v>6E-006</v>
      </c>
      <c r="G4498" s="3" t="n">
        <f aca="false">SUM($F$2:F4498)</f>
        <v>0.997726</v>
      </c>
      <c r="H4498" s="4"/>
      <c r="I4498" s="5"/>
      <c r="J4498" s="4"/>
      <c r="K4498" s="5"/>
      <c r="L4498" s="6"/>
      <c r="M4498" s="5" t="str">
        <f aca="false">IF(AND(N(K4498)&gt;0,N(L4498)&gt;0),K4498/L4498,"")</f>
        <v/>
      </c>
      <c r="N4498" s="2" t="s">
        <v>1226</v>
      </c>
    </row>
    <row r="4499" customFormat="false" ht="15" hidden="false" customHeight="false" outlineLevel="0" collapsed="false">
      <c r="A4499" s="2" t="n">
        <v>4498</v>
      </c>
      <c r="B4499" s="2" t="s">
        <v>9184</v>
      </c>
      <c r="C4499" s="2" t="s">
        <v>9185</v>
      </c>
      <c r="D4499" s="2"/>
      <c r="E4499" s="2" t="s">
        <v>17</v>
      </c>
      <c r="F4499" s="3" t="n">
        <v>6E-006</v>
      </c>
      <c r="G4499" s="3" t="n">
        <f aca="false">SUM($F$2:F4499)</f>
        <v>0.997732</v>
      </c>
      <c r="H4499" s="4"/>
      <c r="I4499" s="5"/>
      <c r="J4499" s="4"/>
      <c r="K4499" s="5"/>
      <c r="L4499" s="6"/>
      <c r="M4499" s="5" t="str">
        <f aca="false">IF(AND(N(K4499)&gt;0,N(L4499)&gt;0),K4499/L4499,"")</f>
        <v/>
      </c>
      <c r="N4499" s="2" t="s">
        <v>1226</v>
      </c>
    </row>
    <row r="4500" customFormat="false" ht="15" hidden="false" customHeight="false" outlineLevel="0" collapsed="false">
      <c r="A4500" s="2" t="n">
        <v>4499</v>
      </c>
      <c r="B4500" s="2" t="s">
        <v>9186</v>
      </c>
      <c r="C4500" s="2" t="s">
        <v>9187</v>
      </c>
      <c r="D4500" s="2"/>
      <c r="E4500" s="2" t="s">
        <v>2055</v>
      </c>
      <c r="F4500" s="3" t="n">
        <v>6E-006</v>
      </c>
      <c r="G4500" s="3" t="n">
        <f aca="false">SUM($F$2:F4500)</f>
        <v>0.997738</v>
      </c>
      <c r="H4500" s="4"/>
      <c r="I4500" s="5"/>
      <c r="J4500" s="4"/>
      <c r="K4500" s="5"/>
      <c r="L4500" s="6"/>
      <c r="M4500" s="5" t="str">
        <f aca="false">IF(AND(N(K4500)&gt;0,N(L4500)&gt;0),K4500/L4500,"")</f>
        <v/>
      </c>
      <c r="N4500" s="2" t="s">
        <v>1226</v>
      </c>
    </row>
    <row r="4501" customFormat="false" ht="15" hidden="false" customHeight="false" outlineLevel="0" collapsed="false">
      <c r="A4501" s="2" t="n">
        <v>4500</v>
      </c>
      <c r="B4501" s="2" t="s">
        <v>9188</v>
      </c>
      <c r="C4501" s="2" t="s">
        <v>9189</v>
      </c>
      <c r="D4501" s="2"/>
      <c r="E4501" s="2" t="s">
        <v>1345</v>
      </c>
      <c r="F4501" s="3" t="n">
        <v>6E-006</v>
      </c>
      <c r="G4501" s="3" t="n">
        <f aca="false">SUM($F$2:F4501)</f>
        <v>0.997744</v>
      </c>
      <c r="H4501" s="4"/>
      <c r="I4501" s="5"/>
      <c r="J4501" s="4"/>
      <c r="K4501" s="5"/>
      <c r="L4501" s="6"/>
      <c r="M4501" s="5" t="str">
        <f aca="false">IF(AND(N(K4501)&gt;0,N(L4501)&gt;0),K4501/L4501,"")</f>
        <v/>
      </c>
      <c r="N4501" s="2" t="s">
        <v>1226</v>
      </c>
    </row>
    <row r="4502" customFormat="false" ht="15" hidden="false" customHeight="false" outlineLevel="0" collapsed="false">
      <c r="A4502" s="2" t="n">
        <v>4501</v>
      </c>
      <c r="B4502" s="2" t="s">
        <v>9190</v>
      </c>
      <c r="C4502" s="2" t="s">
        <v>9191</v>
      </c>
      <c r="D4502" s="2"/>
      <c r="E4502" s="2" t="s">
        <v>1345</v>
      </c>
      <c r="F4502" s="3" t="n">
        <v>6E-006</v>
      </c>
      <c r="G4502" s="3" t="n">
        <f aca="false">SUM($F$2:F4502)</f>
        <v>0.99775</v>
      </c>
      <c r="H4502" s="4"/>
      <c r="I4502" s="5"/>
      <c r="J4502" s="4"/>
      <c r="K4502" s="5"/>
      <c r="L4502" s="6"/>
      <c r="M4502" s="5" t="str">
        <f aca="false">IF(AND(N(K4502)&gt;0,N(L4502)&gt;0),K4502/L4502,"")</f>
        <v/>
      </c>
      <c r="N4502" s="2" t="s">
        <v>1226</v>
      </c>
    </row>
    <row r="4503" customFormat="false" ht="15" hidden="false" customHeight="false" outlineLevel="0" collapsed="false">
      <c r="A4503" s="2" t="n">
        <v>4502</v>
      </c>
      <c r="B4503" s="2" t="s">
        <v>9192</v>
      </c>
      <c r="C4503" s="2" t="s">
        <v>9193</v>
      </c>
      <c r="D4503" s="2"/>
      <c r="E4503" s="2" t="s">
        <v>1345</v>
      </c>
      <c r="F4503" s="3" t="n">
        <v>6E-006</v>
      </c>
      <c r="G4503" s="3" t="n">
        <f aca="false">SUM($F$2:F4503)</f>
        <v>0.997756</v>
      </c>
      <c r="H4503" s="4"/>
      <c r="I4503" s="5"/>
      <c r="J4503" s="4"/>
      <c r="K4503" s="5"/>
      <c r="L4503" s="6"/>
      <c r="M4503" s="5" t="str">
        <f aca="false">IF(AND(N(K4503)&gt;0,N(L4503)&gt;0),K4503/L4503,"")</f>
        <v/>
      </c>
      <c r="N4503" s="2" t="s">
        <v>1226</v>
      </c>
    </row>
    <row r="4504" customFormat="false" ht="15" hidden="false" customHeight="false" outlineLevel="0" collapsed="false">
      <c r="A4504" s="2" t="n">
        <v>4503</v>
      </c>
      <c r="B4504" s="2" t="s">
        <v>9194</v>
      </c>
      <c r="C4504" s="2" t="s">
        <v>9195</v>
      </c>
      <c r="D4504" s="2"/>
      <c r="E4504" s="2" t="s">
        <v>1345</v>
      </c>
      <c r="F4504" s="3" t="n">
        <v>6E-006</v>
      </c>
      <c r="G4504" s="3" t="n">
        <f aca="false">SUM($F$2:F4504)</f>
        <v>0.997762</v>
      </c>
      <c r="H4504" s="4"/>
      <c r="I4504" s="5"/>
      <c r="J4504" s="4"/>
      <c r="K4504" s="5"/>
      <c r="L4504" s="6"/>
      <c r="M4504" s="5" t="str">
        <f aca="false">IF(AND(N(K4504)&gt;0,N(L4504)&gt;0),K4504/L4504,"")</f>
        <v/>
      </c>
      <c r="N4504" s="2" t="s">
        <v>1226</v>
      </c>
    </row>
    <row r="4505" customFormat="false" ht="15" hidden="false" customHeight="false" outlineLevel="0" collapsed="false">
      <c r="A4505" s="2" t="n">
        <v>4504</v>
      </c>
      <c r="B4505" s="2" t="s">
        <v>9196</v>
      </c>
      <c r="C4505" s="2" t="s">
        <v>9197</v>
      </c>
      <c r="D4505" s="2"/>
      <c r="E4505" s="2" t="s">
        <v>43</v>
      </c>
      <c r="F4505" s="3" t="n">
        <v>6E-006</v>
      </c>
      <c r="G4505" s="3" t="n">
        <f aca="false">SUM($F$2:F4505)</f>
        <v>0.997768</v>
      </c>
      <c r="H4505" s="4"/>
      <c r="I4505" s="5"/>
      <c r="J4505" s="4"/>
      <c r="K4505" s="5"/>
      <c r="L4505" s="6"/>
      <c r="M4505" s="5" t="str">
        <f aca="false">IF(AND(N(K4505)&gt;0,N(L4505)&gt;0),K4505/L4505,"")</f>
        <v/>
      </c>
      <c r="N4505" s="2" t="s">
        <v>1226</v>
      </c>
    </row>
    <row r="4506" customFormat="false" ht="15" hidden="false" customHeight="false" outlineLevel="0" collapsed="false">
      <c r="A4506" s="2" t="n">
        <v>4505</v>
      </c>
      <c r="B4506" s="2" t="s">
        <v>9198</v>
      </c>
      <c r="C4506" s="2" t="s">
        <v>9199</v>
      </c>
      <c r="D4506" s="2"/>
      <c r="E4506" s="2" t="s">
        <v>29</v>
      </c>
      <c r="F4506" s="3" t="n">
        <v>6E-006</v>
      </c>
      <c r="G4506" s="3" t="n">
        <f aca="false">SUM($F$2:F4506)</f>
        <v>0.997774</v>
      </c>
      <c r="H4506" s="4"/>
      <c r="I4506" s="5"/>
      <c r="J4506" s="4"/>
      <c r="K4506" s="5"/>
      <c r="L4506" s="6"/>
      <c r="M4506" s="5" t="str">
        <f aca="false">IF(AND(N(K4506)&gt;0,N(L4506)&gt;0),K4506/L4506,"")</f>
        <v/>
      </c>
      <c r="N4506" s="2" t="s">
        <v>1226</v>
      </c>
    </row>
    <row r="4507" customFormat="false" ht="15" hidden="false" customHeight="false" outlineLevel="0" collapsed="false">
      <c r="A4507" s="2" t="n">
        <v>4506</v>
      </c>
      <c r="B4507" s="2" t="s">
        <v>9200</v>
      </c>
      <c r="C4507" s="2" t="s">
        <v>9201</v>
      </c>
      <c r="D4507" s="2"/>
      <c r="E4507" s="2" t="s">
        <v>82</v>
      </c>
      <c r="F4507" s="3" t="n">
        <v>6E-006</v>
      </c>
      <c r="G4507" s="3" t="n">
        <f aca="false">SUM($F$2:F4507)</f>
        <v>0.99778</v>
      </c>
      <c r="H4507" s="4"/>
      <c r="I4507" s="5"/>
      <c r="J4507" s="4"/>
      <c r="K4507" s="5"/>
      <c r="L4507" s="6"/>
      <c r="M4507" s="5" t="str">
        <f aca="false">IF(AND(N(K4507)&gt;0,N(L4507)&gt;0),K4507/L4507,"")</f>
        <v/>
      </c>
      <c r="N4507" s="2" t="s">
        <v>1226</v>
      </c>
    </row>
    <row r="4508" customFormat="false" ht="15" hidden="false" customHeight="false" outlineLevel="0" collapsed="false">
      <c r="A4508" s="2" t="n">
        <v>4507</v>
      </c>
      <c r="B4508" s="2" t="s">
        <v>9202</v>
      </c>
      <c r="C4508" s="2" t="s">
        <v>9203</v>
      </c>
      <c r="D4508" s="2"/>
      <c r="E4508" s="2" t="s">
        <v>1345</v>
      </c>
      <c r="F4508" s="3" t="n">
        <v>6E-006</v>
      </c>
      <c r="G4508" s="3" t="n">
        <f aca="false">SUM($F$2:F4508)</f>
        <v>0.997786</v>
      </c>
      <c r="H4508" s="4"/>
      <c r="I4508" s="5"/>
      <c r="J4508" s="4"/>
      <c r="K4508" s="5"/>
      <c r="L4508" s="6"/>
      <c r="M4508" s="5" t="str">
        <f aca="false">IF(AND(N(K4508)&gt;0,N(L4508)&gt;0),K4508/L4508,"")</f>
        <v/>
      </c>
      <c r="N4508" s="2" t="s">
        <v>1226</v>
      </c>
    </row>
    <row r="4509" customFormat="false" ht="15" hidden="false" customHeight="false" outlineLevel="0" collapsed="false">
      <c r="A4509" s="2" t="n">
        <v>4508</v>
      </c>
      <c r="B4509" s="2" t="s">
        <v>9204</v>
      </c>
      <c r="C4509" s="2" t="s">
        <v>9205</v>
      </c>
      <c r="D4509" s="2"/>
      <c r="E4509" s="2" t="s">
        <v>1050</v>
      </c>
      <c r="F4509" s="3" t="n">
        <v>6E-006</v>
      </c>
      <c r="G4509" s="3" t="n">
        <f aca="false">SUM($F$2:F4509)</f>
        <v>0.997792</v>
      </c>
      <c r="H4509" s="4"/>
      <c r="I4509" s="5"/>
      <c r="J4509" s="4"/>
      <c r="K4509" s="5"/>
      <c r="L4509" s="6"/>
      <c r="M4509" s="5" t="str">
        <f aca="false">IF(AND(N(K4509)&gt;0,N(L4509)&gt;0),K4509/L4509,"")</f>
        <v/>
      </c>
      <c r="N4509" s="2" t="s">
        <v>1226</v>
      </c>
    </row>
    <row r="4510" customFormat="false" ht="15" hidden="false" customHeight="false" outlineLevel="0" collapsed="false">
      <c r="A4510" s="2" t="n">
        <v>4509</v>
      </c>
      <c r="B4510" s="2" t="s">
        <v>9206</v>
      </c>
      <c r="C4510" s="2" t="s">
        <v>9207</v>
      </c>
      <c r="D4510" s="2"/>
      <c r="E4510" s="2" t="s">
        <v>289</v>
      </c>
      <c r="F4510" s="3" t="n">
        <v>6E-006</v>
      </c>
      <c r="G4510" s="3" t="n">
        <f aca="false">SUM($F$2:F4510)</f>
        <v>0.997798</v>
      </c>
      <c r="H4510" s="4"/>
      <c r="I4510" s="5"/>
      <c r="J4510" s="4"/>
      <c r="K4510" s="5"/>
      <c r="L4510" s="6"/>
      <c r="M4510" s="5" t="str">
        <f aca="false">IF(AND(N(K4510)&gt;0,N(L4510)&gt;0),K4510/L4510,"")</f>
        <v/>
      </c>
      <c r="N4510" s="2" t="s">
        <v>1226</v>
      </c>
    </row>
    <row r="4511" customFormat="false" ht="15" hidden="false" customHeight="false" outlineLevel="0" collapsed="false">
      <c r="A4511" s="2" t="n">
        <v>4510</v>
      </c>
      <c r="B4511" s="2" t="s">
        <v>9208</v>
      </c>
      <c r="C4511" s="2" t="s">
        <v>9209</v>
      </c>
      <c r="D4511" s="2"/>
      <c r="E4511" s="2" t="s">
        <v>1345</v>
      </c>
      <c r="F4511" s="3" t="n">
        <v>6E-006</v>
      </c>
      <c r="G4511" s="3" t="n">
        <f aca="false">SUM($F$2:F4511)</f>
        <v>0.997804</v>
      </c>
      <c r="H4511" s="4"/>
      <c r="I4511" s="5"/>
      <c r="J4511" s="4"/>
      <c r="K4511" s="5"/>
      <c r="L4511" s="6"/>
      <c r="M4511" s="5" t="str">
        <f aca="false">IF(AND(N(K4511)&gt;0,N(L4511)&gt;0),K4511/L4511,"")</f>
        <v/>
      </c>
      <c r="N4511" s="2" t="s">
        <v>1226</v>
      </c>
    </row>
    <row r="4512" customFormat="false" ht="15" hidden="false" customHeight="false" outlineLevel="0" collapsed="false">
      <c r="A4512" s="2" t="n">
        <v>4511</v>
      </c>
      <c r="B4512" s="2" t="s">
        <v>9210</v>
      </c>
      <c r="C4512" s="2" t="s">
        <v>9211</v>
      </c>
      <c r="D4512" s="2"/>
      <c r="E4512" s="2" t="s">
        <v>43</v>
      </c>
      <c r="F4512" s="3" t="n">
        <v>6E-006</v>
      </c>
      <c r="G4512" s="3" t="n">
        <f aca="false">SUM($F$2:F4512)</f>
        <v>0.99781</v>
      </c>
      <c r="H4512" s="4"/>
      <c r="I4512" s="5"/>
      <c r="J4512" s="4"/>
      <c r="K4512" s="5"/>
      <c r="L4512" s="6"/>
      <c r="M4512" s="5" t="str">
        <f aca="false">IF(AND(N(K4512)&gt;0,N(L4512)&gt;0),K4512/L4512,"")</f>
        <v/>
      </c>
      <c r="N4512" s="2" t="s">
        <v>1226</v>
      </c>
    </row>
    <row r="4513" customFormat="false" ht="15" hidden="false" customHeight="false" outlineLevel="0" collapsed="false">
      <c r="A4513" s="2" t="n">
        <v>4512</v>
      </c>
      <c r="B4513" s="2" t="s">
        <v>9212</v>
      </c>
      <c r="C4513" s="2" t="s">
        <v>9213</v>
      </c>
      <c r="D4513" s="2"/>
      <c r="E4513" s="2" t="s">
        <v>1345</v>
      </c>
      <c r="F4513" s="3" t="n">
        <v>6E-006</v>
      </c>
      <c r="G4513" s="3" t="n">
        <f aca="false">SUM($F$2:F4513)</f>
        <v>0.997816</v>
      </c>
      <c r="H4513" s="4"/>
      <c r="I4513" s="5"/>
      <c r="J4513" s="4"/>
      <c r="K4513" s="5"/>
      <c r="L4513" s="6"/>
      <c r="M4513" s="5" t="str">
        <f aca="false">IF(AND(N(K4513)&gt;0,N(L4513)&gt;0),K4513/L4513,"")</f>
        <v/>
      </c>
      <c r="N4513" s="2" t="s">
        <v>1226</v>
      </c>
    </row>
    <row r="4514" customFormat="false" ht="15" hidden="false" customHeight="false" outlineLevel="0" collapsed="false">
      <c r="A4514" s="2" t="n">
        <v>4513</v>
      </c>
      <c r="B4514" s="2" t="s">
        <v>9214</v>
      </c>
      <c r="C4514" s="2" t="s">
        <v>9215</v>
      </c>
      <c r="D4514" s="2"/>
      <c r="E4514" s="2" t="s">
        <v>2055</v>
      </c>
      <c r="F4514" s="3" t="n">
        <v>6E-006</v>
      </c>
      <c r="G4514" s="3" t="n">
        <f aca="false">SUM($F$2:F4514)</f>
        <v>0.997822</v>
      </c>
      <c r="H4514" s="4"/>
      <c r="I4514" s="5"/>
      <c r="J4514" s="4"/>
      <c r="K4514" s="5"/>
      <c r="L4514" s="6"/>
      <c r="M4514" s="5" t="str">
        <f aca="false">IF(AND(N(K4514)&gt;0,N(L4514)&gt;0),K4514/L4514,"")</f>
        <v/>
      </c>
      <c r="N4514" s="2" t="s">
        <v>1226</v>
      </c>
    </row>
    <row r="4515" customFormat="false" ht="15" hidden="false" customHeight="false" outlineLevel="0" collapsed="false">
      <c r="A4515" s="2" t="n">
        <v>4514</v>
      </c>
      <c r="B4515" s="2" t="s">
        <v>9216</v>
      </c>
      <c r="C4515" s="2" t="s">
        <v>9217</v>
      </c>
      <c r="D4515" s="2"/>
      <c r="E4515" s="2" t="s">
        <v>289</v>
      </c>
      <c r="F4515" s="3" t="n">
        <v>6E-006</v>
      </c>
      <c r="G4515" s="3" t="n">
        <f aca="false">SUM($F$2:F4515)</f>
        <v>0.997828</v>
      </c>
      <c r="H4515" s="4"/>
      <c r="I4515" s="5"/>
      <c r="J4515" s="4"/>
      <c r="K4515" s="5"/>
      <c r="L4515" s="6"/>
      <c r="M4515" s="5" t="str">
        <f aca="false">IF(AND(N(K4515)&gt;0,N(L4515)&gt;0),K4515/L4515,"")</f>
        <v/>
      </c>
      <c r="N4515" s="2" t="s">
        <v>1226</v>
      </c>
    </row>
    <row r="4516" customFormat="false" ht="15" hidden="false" customHeight="false" outlineLevel="0" collapsed="false">
      <c r="A4516" s="2" t="n">
        <v>4515</v>
      </c>
      <c r="B4516" s="2" t="s">
        <v>9218</v>
      </c>
      <c r="C4516" s="2" t="s">
        <v>9219</v>
      </c>
      <c r="D4516" s="2"/>
      <c r="E4516" s="2" t="s">
        <v>1345</v>
      </c>
      <c r="F4516" s="3" t="n">
        <v>6E-006</v>
      </c>
      <c r="G4516" s="3" t="n">
        <f aca="false">SUM($F$2:F4516)</f>
        <v>0.997834</v>
      </c>
      <c r="H4516" s="4"/>
      <c r="I4516" s="5"/>
      <c r="J4516" s="4"/>
      <c r="K4516" s="5"/>
      <c r="L4516" s="6"/>
      <c r="M4516" s="5" t="str">
        <f aca="false">IF(AND(N(K4516)&gt;0,N(L4516)&gt;0),K4516/L4516,"")</f>
        <v/>
      </c>
      <c r="N4516" s="2" t="s">
        <v>1226</v>
      </c>
    </row>
    <row r="4517" customFormat="false" ht="15" hidden="false" customHeight="false" outlineLevel="0" collapsed="false">
      <c r="A4517" s="2" t="n">
        <v>4516</v>
      </c>
      <c r="B4517" s="2" t="s">
        <v>9220</v>
      </c>
      <c r="C4517" s="2" t="s">
        <v>9221</v>
      </c>
      <c r="D4517" s="2"/>
      <c r="E4517" s="2" t="s">
        <v>289</v>
      </c>
      <c r="F4517" s="3" t="n">
        <v>6E-006</v>
      </c>
      <c r="G4517" s="3" t="n">
        <f aca="false">SUM($F$2:F4517)</f>
        <v>0.99784</v>
      </c>
      <c r="H4517" s="4"/>
      <c r="I4517" s="5"/>
      <c r="J4517" s="4"/>
      <c r="K4517" s="5"/>
      <c r="L4517" s="6"/>
      <c r="M4517" s="5" t="str">
        <f aca="false">IF(AND(N(K4517)&gt;0,N(L4517)&gt;0),K4517/L4517,"")</f>
        <v/>
      </c>
      <c r="N4517" s="2" t="s">
        <v>1226</v>
      </c>
    </row>
    <row r="4518" customFormat="false" ht="15" hidden="false" customHeight="false" outlineLevel="0" collapsed="false">
      <c r="A4518" s="2" t="n">
        <v>4517</v>
      </c>
      <c r="B4518" s="2" t="s">
        <v>9222</v>
      </c>
      <c r="C4518" s="2" t="s">
        <v>9223</v>
      </c>
      <c r="D4518" s="2"/>
      <c r="E4518" s="2" t="s">
        <v>1345</v>
      </c>
      <c r="F4518" s="3" t="n">
        <v>6E-006</v>
      </c>
      <c r="G4518" s="3" t="n">
        <f aca="false">SUM($F$2:F4518)</f>
        <v>0.997846</v>
      </c>
      <c r="H4518" s="4"/>
      <c r="I4518" s="5"/>
      <c r="J4518" s="4"/>
      <c r="K4518" s="5"/>
      <c r="L4518" s="6"/>
      <c r="M4518" s="5" t="str">
        <f aca="false">IF(AND(N(K4518)&gt;0,N(L4518)&gt;0),K4518/L4518,"")</f>
        <v/>
      </c>
      <c r="N4518" s="2" t="s">
        <v>1226</v>
      </c>
    </row>
    <row r="4519" customFormat="false" ht="15" hidden="false" customHeight="false" outlineLevel="0" collapsed="false">
      <c r="A4519" s="2" t="n">
        <v>4518</v>
      </c>
      <c r="B4519" s="2" t="s">
        <v>3898</v>
      </c>
      <c r="C4519" s="2" t="s">
        <v>9224</v>
      </c>
      <c r="D4519" s="2"/>
      <c r="E4519" s="2" t="s">
        <v>43</v>
      </c>
      <c r="F4519" s="3" t="n">
        <v>5E-006</v>
      </c>
      <c r="G4519" s="3" t="n">
        <f aca="false">SUM($F$2:F4519)</f>
        <v>0.997851</v>
      </c>
      <c r="H4519" s="4"/>
      <c r="I4519" s="5"/>
      <c r="J4519" s="4"/>
      <c r="K4519" s="5"/>
      <c r="L4519" s="6"/>
      <c r="M4519" s="5" t="str">
        <f aca="false">IF(AND(N(K4519)&gt;0,N(L4519)&gt;0),K4519/L4519,"")</f>
        <v/>
      </c>
      <c r="N4519" s="2" t="s">
        <v>1226</v>
      </c>
    </row>
    <row r="4520" customFormat="false" ht="15" hidden="false" customHeight="false" outlineLevel="0" collapsed="false">
      <c r="A4520" s="2" t="n">
        <v>4519</v>
      </c>
      <c r="B4520" s="2" t="s">
        <v>9225</v>
      </c>
      <c r="C4520" s="2" t="s">
        <v>9226</v>
      </c>
      <c r="D4520" s="2"/>
      <c r="E4520" s="2" t="s">
        <v>1345</v>
      </c>
      <c r="F4520" s="3" t="n">
        <v>5E-006</v>
      </c>
      <c r="G4520" s="3" t="n">
        <f aca="false">SUM($F$2:F4520)</f>
        <v>0.997856</v>
      </c>
      <c r="H4520" s="4"/>
      <c r="I4520" s="5"/>
      <c r="J4520" s="4"/>
      <c r="K4520" s="5"/>
      <c r="L4520" s="6"/>
      <c r="M4520" s="5" t="str">
        <f aca="false">IF(AND(N(K4520)&gt;0,N(L4520)&gt;0),K4520/L4520,"")</f>
        <v/>
      </c>
      <c r="N4520" s="2" t="s">
        <v>1226</v>
      </c>
    </row>
    <row r="4521" customFormat="false" ht="15" hidden="false" customHeight="false" outlineLevel="0" collapsed="false">
      <c r="A4521" s="2" t="n">
        <v>4520</v>
      </c>
      <c r="B4521" s="2" t="s">
        <v>9227</v>
      </c>
      <c r="C4521" s="2" t="s">
        <v>9228</v>
      </c>
      <c r="D4521" s="2"/>
      <c r="E4521" s="2" t="s">
        <v>1345</v>
      </c>
      <c r="F4521" s="3" t="n">
        <v>5E-006</v>
      </c>
      <c r="G4521" s="3" t="n">
        <f aca="false">SUM($F$2:F4521)</f>
        <v>0.997861</v>
      </c>
      <c r="H4521" s="4"/>
      <c r="I4521" s="5"/>
      <c r="J4521" s="4"/>
      <c r="K4521" s="5"/>
      <c r="L4521" s="6"/>
      <c r="M4521" s="5" t="str">
        <f aca="false">IF(AND(N(K4521)&gt;0,N(L4521)&gt;0),K4521/L4521,"")</f>
        <v/>
      </c>
      <c r="N4521" s="2" t="s">
        <v>1226</v>
      </c>
    </row>
    <row r="4522" customFormat="false" ht="15" hidden="false" customHeight="false" outlineLevel="0" collapsed="false">
      <c r="A4522" s="2" t="n">
        <v>4521</v>
      </c>
      <c r="B4522" s="2" t="s">
        <v>9229</v>
      </c>
      <c r="C4522" s="2" t="s">
        <v>9230</v>
      </c>
      <c r="D4522" s="2"/>
      <c r="E4522" s="2" t="s">
        <v>1019</v>
      </c>
      <c r="F4522" s="3" t="n">
        <v>5E-006</v>
      </c>
      <c r="G4522" s="3" t="n">
        <f aca="false">SUM($F$2:F4522)</f>
        <v>0.997866</v>
      </c>
      <c r="H4522" s="4"/>
      <c r="I4522" s="5"/>
      <c r="J4522" s="4"/>
      <c r="K4522" s="5"/>
      <c r="L4522" s="6"/>
      <c r="M4522" s="5" t="str">
        <f aca="false">IF(AND(N(K4522)&gt;0,N(L4522)&gt;0),K4522/L4522,"")</f>
        <v/>
      </c>
      <c r="N4522" s="2" t="s">
        <v>1226</v>
      </c>
    </row>
    <row r="4523" customFormat="false" ht="15" hidden="false" customHeight="false" outlineLevel="0" collapsed="false">
      <c r="A4523" s="2" t="n">
        <v>4522</v>
      </c>
      <c r="B4523" s="2" t="s">
        <v>9231</v>
      </c>
      <c r="C4523" s="2" t="s">
        <v>9232</v>
      </c>
      <c r="D4523" s="2"/>
      <c r="E4523" s="2" t="s">
        <v>52</v>
      </c>
      <c r="F4523" s="3" t="n">
        <v>5E-006</v>
      </c>
      <c r="G4523" s="3" t="n">
        <f aca="false">SUM($F$2:F4523)</f>
        <v>0.997871</v>
      </c>
      <c r="H4523" s="4"/>
      <c r="I4523" s="5"/>
      <c r="J4523" s="4"/>
      <c r="K4523" s="5"/>
      <c r="L4523" s="6"/>
      <c r="M4523" s="5" t="str">
        <f aca="false">IF(AND(N(K4523)&gt;0,N(L4523)&gt;0),K4523/L4523,"")</f>
        <v/>
      </c>
      <c r="N4523" s="2" t="s">
        <v>1226</v>
      </c>
    </row>
    <row r="4524" customFormat="false" ht="15" hidden="false" customHeight="false" outlineLevel="0" collapsed="false">
      <c r="A4524" s="2" t="n">
        <v>4523</v>
      </c>
      <c r="B4524" s="2" t="s">
        <v>9233</v>
      </c>
      <c r="C4524" s="2" t="s">
        <v>9234</v>
      </c>
      <c r="D4524" s="2"/>
      <c r="E4524" s="2" t="s">
        <v>1019</v>
      </c>
      <c r="F4524" s="3" t="n">
        <v>5E-006</v>
      </c>
      <c r="G4524" s="3" t="n">
        <f aca="false">SUM($F$2:F4524)</f>
        <v>0.997876</v>
      </c>
      <c r="H4524" s="4"/>
      <c r="I4524" s="5"/>
      <c r="J4524" s="4"/>
      <c r="K4524" s="5"/>
      <c r="L4524" s="6"/>
      <c r="M4524" s="5" t="str">
        <f aca="false">IF(AND(N(K4524)&gt;0,N(L4524)&gt;0),K4524/L4524,"")</f>
        <v/>
      </c>
      <c r="N4524" s="2" t="s">
        <v>1226</v>
      </c>
    </row>
    <row r="4525" customFormat="false" ht="15" hidden="false" customHeight="false" outlineLevel="0" collapsed="false">
      <c r="A4525" s="2" t="n">
        <v>4524</v>
      </c>
      <c r="B4525" s="2" t="s">
        <v>9235</v>
      </c>
      <c r="C4525" s="2" t="s">
        <v>9236</v>
      </c>
      <c r="D4525" s="2"/>
      <c r="E4525" s="2" t="s">
        <v>199</v>
      </c>
      <c r="F4525" s="3" t="n">
        <v>5E-006</v>
      </c>
      <c r="G4525" s="3" t="n">
        <f aca="false">SUM($F$2:F4525)</f>
        <v>0.997881</v>
      </c>
      <c r="H4525" s="4"/>
      <c r="I4525" s="5"/>
      <c r="J4525" s="4"/>
      <c r="K4525" s="5"/>
      <c r="L4525" s="6"/>
      <c r="M4525" s="5" t="str">
        <f aca="false">IF(AND(N(K4525)&gt;0,N(L4525)&gt;0),K4525/L4525,"")</f>
        <v/>
      </c>
      <c r="N4525" s="2" t="s">
        <v>1226</v>
      </c>
    </row>
    <row r="4526" customFormat="false" ht="15" hidden="false" customHeight="false" outlineLevel="0" collapsed="false">
      <c r="A4526" s="2" t="n">
        <v>4525</v>
      </c>
      <c r="B4526" s="2" t="s">
        <v>9237</v>
      </c>
      <c r="C4526" s="2" t="s">
        <v>9238</v>
      </c>
      <c r="D4526" s="2"/>
      <c r="E4526" s="2" t="s">
        <v>52</v>
      </c>
      <c r="F4526" s="3" t="n">
        <v>5E-006</v>
      </c>
      <c r="G4526" s="3" t="n">
        <f aca="false">SUM($F$2:F4526)</f>
        <v>0.997886</v>
      </c>
      <c r="H4526" s="4"/>
      <c r="I4526" s="5"/>
      <c r="J4526" s="4"/>
      <c r="K4526" s="5"/>
      <c r="L4526" s="6"/>
      <c r="M4526" s="5" t="str">
        <f aca="false">IF(AND(N(K4526)&gt;0,N(L4526)&gt;0),K4526/L4526,"")</f>
        <v/>
      </c>
      <c r="N4526" s="2" t="s">
        <v>1226</v>
      </c>
    </row>
    <row r="4527" customFormat="false" ht="15" hidden="false" customHeight="false" outlineLevel="0" collapsed="false">
      <c r="A4527" s="2" t="n">
        <v>4526</v>
      </c>
      <c r="B4527" s="2" t="s">
        <v>9239</v>
      </c>
      <c r="C4527" s="2" t="s">
        <v>9240</v>
      </c>
      <c r="D4527" s="2"/>
      <c r="E4527" s="2" t="s">
        <v>43</v>
      </c>
      <c r="F4527" s="3" t="n">
        <v>5E-006</v>
      </c>
      <c r="G4527" s="3" t="n">
        <f aca="false">SUM($F$2:F4527)</f>
        <v>0.997891</v>
      </c>
      <c r="H4527" s="4"/>
      <c r="I4527" s="5"/>
      <c r="J4527" s="4"/>
      <c r="K4527" s="5"/>
      <c r="L4527" s="6"/>
      <c r="M4527" s="5" t="str">
        <f aca="false">IF(AND(N(K4527)&gt;0,N(L4527)&gt;0),K4527/L4527,"")</f>
        <v/>
      </c>
      <c r="N4527" s="2" t="s">
        <v>1226</v>
      </c>
    </row>
    <row r="4528" customFormat="false" ht="15" hidden="false" customHeight="false" outlineLevel="0" collapsed="false">
      <c r="A4528" s="2" t="n">
        <v>4527</v>
      </c>
      <c r="B4528" s="2" t="s">
        <v>9241</v>
      </c>
      <c r="C4528" s="2" t="s">
        <v>9242</v>
      </c>
      <c r="D4528" s="2"/>
      <c r="E4528" s="2" t="s">
        <v>1345</v>
      </c>
      <c r="F4528" s="3" t="n">
        <v>5E-006</v>
      </c>
      <c r="G4528" s="3" t="n">
        <f aca="false">SUM($F$2:F4528)</f>
        <v>0.997896</v>
      </c>
      <c r="H4528" s="4"/>
      <c r="I4528" s="5"/>
      <c r="J4528" s="4"/>
      <c r="K4528" s="5"/>
      <c r="L4528" s="6"/>
      <c r="M4528" s="5" t="str">
        <f aca="false">IF(AND(N(K4528)&gt;0,N(L4528)&gt;0),K4528/L4528,"")</f>
        <v/>
      </c>
      <c r="N4528" s="2" t="s">
        <v>1226</v>
      </c>
    </row>
    <row r="4529" customFormat="false" ht="15" hidden="false" customHeight="false" outlineLevel="0" collapsed="false">
      <c r="A4529" s="2" t="n">
        <v>4528</v>
      </c>
      <c r="B4529" s="2" t="s">
        <v>9243</v>
      </c>
      <c r="C4529" s="2" t="s">
        <v>9244</v>
      </c>
      <c r="D4529" s="2"/>
      <c r="E4529" s="2" t="s">
        <v>296</v>
      </c>
      <c r="F4529" s="3" t="n">
        <v>5E-006</v>
      </c>
      <c r="G4529" s="3" t="n">
        <f aca="false">SUM($F$2:F4529)</f>
        <v>0.997901</v>
      </c>
      <c r="H4529" s="4"/>
      <c r="I4529" s="5"/>
      <c r="J4529" s="4"/>
      <c r="K4529" s="5"/>
      <c r="L4529" s="6"/>
      <c r="M4529" s="5" t="str">
        <f aca="false">IF(AND(N(K4529)&gt;0,N(L4529)&gt;0),K4529/L4529,"")</f>
        <v/>
      </c>
      <c r="N4529" s="2" t="s">
        <v>1226</v>
      </c>
    </row>
    <row r="4530" customFormat="false" ht="15" hidden="false" customHeight="false" outlineLevel="0" collapsed="false">
      <c r="A4530" s="2" t="n">
        <v>4529</v>
      </c>
      <c r="B4530" s="2" t="s">
        <v>9245</v>
      </c>
      <c r="C4530" s="2" t="s">
        <v>9246</v>
      </c>
      <c r="D4530" s="2"/>
      <c r="E4530" s="2" t="s">
        <v>17</v>
      </c>
      <c r="F4530" s="3" t="n">
        <v>5E-006</v>
      </c>
      <c r="G4530" s="3" t="n">
        <f aca="false">SUM($F$2:F4530)</f>
        <v>0.997906</v>
      </c>
      <c r="H4530" s="4"/>
      <c r="I4530" s="5"/>
      <c r="J4530" s="4"/>
      <c r="K4530" s="5"/>
      <c r="L4530" s="6"/>
      <c r="M4530" s="5" t="str">
        <f aca="false">IF(AND(N(K4530)&gt;0,N(L4530)&gt;0),K4530/L4530,"")</f>
        <v/>
      </c>
      <c r="N4530" s="2" t="s">
        <v>1226</v>
      </c>
    </row>
    <row r="4531" customFormat="false" ht="15" hidden="false" customHeight="false" outlineLevel="0" collapsed="false">
      <c r="A4531" s="2" t="n">
        <v>4530</v>
      </c>
      <c r="B4531" s="2" t="s">
        <v>4058</v>
      </c>
      <c r="C4531" s="2" t="s">
        <v>9247</v>
      </c>
      <c r="D4531" s="2"/>
      <c r="E4531" s="2" t="s">
        <v>52</v>
      </c>
      <c r="F4531" s="3" t="n">
        <v>5E-006</v>
      </c>
      <c r="G4531" s="3" t="n">
        <f aca="false">SUM($F$2:F4531)</f>
        <v>0.997911</v>
      </c>
      <c r="H4531" s="4"/>
      <c r="I4531" s="5"/>
      <c r="J4531" s="4"/>
      <c r="K4531" s="5"/>
      <c r="L4531" s="6"/>
      <c r="M4531" s="5" t="str">
        <f aca="false">IF(AND(N(K4531)&gt;0,N(L4531)&gt;0),K4531/L4531,"")</f>
        <v/>
      </c>
      <c r="N4531" s="2" t="s">
        <v>1226</v>
      </c>
    </row>
    <row r="4532" customFormat="false" ht="15" hidden="false" customHeight="false" outlineLevel="0" collapsed="false">
      <c r="A4532" s="2" t="n">
        <v>4531</v>
      </c>
      <c r="B4532" s="2" t="s">
        <v>9248</v>
      </c>
      <c r="C4532" s="2" t="s">
        <v>9249</v>
      </c>
      <c r="D4532" s="2"/>
      <c r="E4532" s="2" t="s">
        <v>1345</v>
      </c>
      <c r="F4532" s="3" t="n">
        <v>5E-006</v>
      </c>
      <c r="G4532" s="3" t="n">
        <f aca="false">SUM($F$2:F4532)</f>
        <v>0.997916</v>
      </c>
      <c r="H4532" s="4"/>
      <c r="I4532" s="5"/>
      <c r="J4532" s="4"/>
      <c r="K4532" s="5"/>
      <c r="L4532" s="6"/>
      <c r="M4532" s="5" t="str">
        <f aca="false">IF(AND(N(K4532)&gt;0,N(L4532)&gt;0),K4532/L4532,"")</f>
        <v/>
      </c>
      <c r="N4532" s="2" t="s">
        <v>1226</v>
      </c>
    </row>
    <row r="4533" customFormat="false" ht="15" hidden="false" customHeight="false" outlineLevel="0" collapsed="false">
      <c r="A4533" s="2" t="n">
        <v>4532</v>
      </c>
      <c r="B4533" s="2" t="s">
        <v>9250</v>
      </c>
      <c r="C4533" s="2" t="s">
        <v>9251</v>
      </c>
      <c r="D4533" s="2"/>
      <c r="E4533" s="2" t="s">
        <v>1345</v>
      </c>
      <c r="F4533" s="3" t="n">
        <v>5E-006</v>
      </c>
      <c r="G4533" s="3" t="n">
        <f aca="false">SUM($F$2:F4533)</f>
        <v>0.997921</v>
      </c>
      <c r="H4533" s="4"/>
      <c r="I4533" s="5"/>
      <c r="J4533" s="4"/>
      <c r="K4533" s="5"/>
      <c r="L4533" s="6"/>
      <c r="M4533" s="5" t="str">
        <f aca="false">IF(AND(N(K4533)&gt;0,N(L4533)&gt;0),K4533/L4533,"")</f>
        <v/>
      </c>
      <c r="N4533" s="2" t="s">
        <v>1226</v>
      </c>
    </row>
    <row r="4534" customFormat="false" ht="15" hidden="false" customHeight="false" outlineLevel="0" collapsed="false">
      <c r="A4534" s="2" t="n">
        <v>4533</v>
      </c>
      <c r="B4534" s="2" t="s">
        <v>1894</v>
      </c>
      <c r="C4534" s="2" t="s">
        <v>9252</v>
      </c>
      <c r="D4534" s="2"/>
      <c r="E4534" s="2" t="s">
        <v>52</v>
      </c>
      <c r="F4534" s="3" t="n">
        <v>5E-006</v>
      </c>
      <c r="G4534" s="3" t="n">
        <f aca="false">SUM($F$2:F4534)</f>
        <v>0.997926</v>
      </c>
      <c r="H4534" s="4"/>
      <c r="I4534" s="5"/>
      <c r="J4534" s="4"/>
      <c r="K4534" s="5"/>
      <c r="L4534" s="6"/>
      <c r="M4534" s="5" t="str">
        <f aca="false">IF(AND(N(K4534)&gt;0,N(L4534)&gt;0),K4534/L4534,"")</f>
        <v/>
      </c>
      <c r="N4534" s="2" t="s">
        <v>1226</v>
      </c>
    </row>
    <row r="4535" customFormat="false" ht="15" hidden="false" customHeight="false" outlineLevel="0" collapsed="false">
      <c r="A4535" s="2" t="n">
        <v>4534</v>
      </c>
      <c r="B4535" s="2" t="s">
        <v>9253</v>
      </c>
      <c r="C4535" s="2" t="s">
        <v>9254</v>
      </c>
      <c r="D4535" s="2"/>
      <c r="E4535" s="2" t="s">
        <v>1345</v>
      </c>
      <c r="F4535" s="3" t="n">
        <v>5E-006</v>
      </c>
      <c r="G4535" s="3" t="n">
        <f aca="false">SUM($F$2:F4535)</f>
        <v>0.997931</v>
      </c>
      <c r="H4535" s="4"/>
      <c r="I4535" s="5"/>
      <c r="J4535" s="4"/>
      <c r="K4535" s="5"/>
      <c r="L4535" s="6"/>
      <c r="M4535" s="5" t="str">
        <f aca="false">IF(AND(N(K4535)&gt;0,N(L4535)&gt;0),K4535/L4535,"")</f>
        <v/>
      </c>
      <c r="N4535" s="2" t="s">
        <v>1226</v>
      </c>
    </row>
    <row r="4536" customFormat="false" ht="15" hidden="false" customHeight="false" outlineLevel="0" collapsed="false">
      <c r="A4536" s="2" t="n">
        <v>4535</v>
      </c>
      <c r="B4536" s="2" t="s">
        <v>9255</v>
      </c>
      <c r="C4536" s="2" t="s">
        <v>9256</v>
      </c>
      <c r="D4536" s="2"/>
      <c r="E4536" s="2" t="s">
        <v>289</v>
      </c>
      <c r="F4536" s="3" t="n">
        <v>5E-006</v>
      </c>
      <c r="G4536" s="3" t="n">
        <f aca="false">SUM($F$2:F4536)</f>
        <v>0.997936</v>
      </c>
      <c r="H4536" s="4"/>
      <c r="I4536" s="5"/>
      <c r="J4536" s="4"/>
      <c r="K4536" s="5"/>
      <c r="L4536" s="6"/>
      <c r="M4536" s="5" t="str">
        <f aca="false">IF(AND(N(K4536)&gt;0,N(L4536)&gt;0),K4536/L4536,"")</f>
        <v/>
      </c>
      <c r="N4536" s="2" t="s">
        <v>1226</v>
      </c>
    </row>
    <row r="4537" customFormat="false" ht="15" hidden="false" customHeight="false" outlineLevel="0" collapsed="false">
      <c r="A4537" s="2" t="n">
        <v>4536</v>
      </c>
      <c r="B4537" s="2" t="s">
        <v>9257</v>
      </c>
      <c r="C4537" s="2" t="s">
        <v>9258</v>
      </c>
      <c r="D4537" s="2"/>
      <c r="E4537" s="2" t="s">
        <v>2055</v>
      </c>
      <c r="F4537" s="3" t="n">
        <v>5E-006</v>
      </c>
      <c r="G4537" s="3" t="n">
        <f aca="false">SUM($F$2:F4537)</f>
        <v>0.997941</v>
      </c>
      <c r="H4537" s="4"/>
      <c r="I4537" s="5"/>
      <c r="J4537" s="4"/>
      <c r="K4537" s="5"/>
      <c r="L4537" s="6"/>
      <c r="M4537" s="5" t="str">
        <f aca="false">IF(AND(N(K4537)&gt;0,N(L4537)&gt;0),K4537/L4537,"")</f>
        <v/>
      </c>
      <c r="N4537" s="2" t="s">
        <v>1226</v>
      </c>
    </row>
    <row r="4538" customFormat="false" ht="15" hidden="false" customHeight="false" outlineLevel="0" collapsed="false">
      <c r="A4538" s="2" t="n">
        <v>4537</v>
      </c>
      <c r="B4538" s="2" t="s">
        <v>301</v>
      </c>
      <c r="C4538" s="2" t="s">
        <v>3318</v>
      </c>
      <c r="D4538" s="2"/>
      <c r="E4538" s="2" t="s">
        <v>9259</v>
      </c>
      <c r="F4538" s="3" t="n">
        <v>5E-006</v>
      </c>
      <c r="G4538" s="3" t="n">
        <f aca="false">SUM($F$2:F4538)</f>
        <v>0.997946</v>
      </c>
      <c r="H4538" s="4"/>
      <c r="I4538" s="5"/>
      <c r="J4538" s="4"/>
      <c r="K4538" s="5"/>
      <c r="L4538" s="6"/>
      <c r="M4538" s="5" t="str">
        <f aca="false">IF(AND(N(K4538)&gt;0,N(L4538)&gt;0),K4538/L4538,"")</f>
        <v/>
      </c>
      <c r="N4538" s="2" t="s">
        <v>34</v>
      </c>
    </row>
    <row r="4539" customFormat="false" ht="15" hidden="false" customHeight="false" outlineLevel="0" collapsed="false">
      <c r="A4539" s="2" t="n">
        <v>4538</v>
      </c>
      <c r="B4539" s="2" t="s">
        <v>9260</v>
      </c>
      <c r="C4539" s="2" t="s">
        <v>9261</v>
      </c>
      <c r="D4539" s="2"/>
      <c r="E4539" s="2" t="s">
        <v>1345</v>
      </c>
      <c r="F4539" s="3" t="n">
        <v>5E-006</v>
      </c>
      <c r="G4539" s="3" t="n">
        <f aca="false">SUM($F$2:F4539)</f>
        <v>0.997951</v>
      </c>
      <c r="H4539" s="4"/>
      <c r="I4539" s="5"/>
      <c r="J4539" s="4"/>
      <c r="K4539" s="5"/>
      <c r="L4539" s="6"/>
      <c r="M4539" s="5" t="str">
        <f aca="false">IF(AND(N(K4539)&gt;0,N(L4539)&gt;0),K4539/L4539,"")</f>
        <v/>
      </c>
      <c r="N4539" s="2" t="s">
        <v>1226</v>
      </c>
    </row>
    <row r="4540" customFormat="false" ht="15" hidden="false" customHeight="false" outlineLevel="0" collapsed="false">
      <c r="A4540" s="2" t="n">
        <v>4539</v>
      </c>
      <c r="B4540" s="2" t="s">
        <v>9262</v>
      </c>
      <c r="C4540" s="2" t="s">
        <v>9263</v>
      </c>
      <c r="D4540" s="2"/>
      <c r="E4540" s="2" t="s">
        <v>1345</v>
      </c>
      <c r="F4540" s="3" t="n">
        <v>5E-006</v>
      </c>
      <c r="G4540" s="3" t="n">
        <f aca="false">SUM($F$2:F4540)</f>
        <v>0.997956</v>
      </c>
      <c r="H4540" s="4"/>
      <c r="I4540" s="5"/>
      <c r="J4540" s="4"/>
      <c r="K4540" s="5"/>
      <c r="L4540" s="6"/>
      <c r="M4540" s="5" t="str">
        <f aca="false">IF(AND(N(K4540)&gt;0,N(L4540)&gt;0),K4540/L4540,"")</f>
        <v/>
      </c>
      <c r="N4540" s="2" t="s">
        <v>1226</v>
      </c>
    </row>
    <row r="4541" customFormat="false" ht="15" hidden="false" customHeight="false" outlineLevel="0" collapsed="false">
      <c r="A4541" s="2" t="n">
        <v>4540</v>
      </c>
      <c r="B4541" s="2" t="s">
        <v>9264</v>
      </c>
      <c r="C4541" s="2" t="s">
        <v>9265</v>
      </c>
      <c r="D4541" s="2"/>
      <c r="E4541" s="2" t="s">
        <v>1345</v>
      </c>
      <c r="F4541" s="3" t="n">
        <v>5E-006</v>
      </c>
      <c r="G4541" s="3" t="n">
        <f aca="false">SUM($F$2:F4541)</f>
        <v>0.997961</v>
      </c>
      <c r="H4541" s="4"/>
      <c r="I4541" s="5"/>
      <c r="J4541" s="4"/>
      <c r="K4541" s="5"/>
      <c r="L4541" s="6"/>
      <c r="M4541" s="5" t="str">
        <f aca="false">IF(AND(N(K4541)&gt;0,N(L4541)&gt;0),K4541/L4541,"")</f>
        <v/>
      </c>
      <c r="N4541" s="2" t="s">
        <v>1226</v>
      </c>
    </row>
    <row r="4542" customFormat="false" ht="15" hidden="false" customHeight="false" outlineLevel="0" collapsed="false">
      <c r="A4542" s="2" t="n">
        <v>4541</v>
      </c>
      <c r="B4542" s="2" t="s">
        <v>9266</v>
      </c>
      <c r="C4542" s="2" t="s">
        <v>9267</v>
      </c>
      <c r="D4542" s="2"/>
      <c r="E4542" s="2" t="s">
        <v>1345</v>
      </c>
      <c r="F4542" s="3" t="n">
        <v>5E-006</v>
      </c>
      <c r="G4542" s="3" t="n">
        <f aca="false">SUM($F$2:F4542)</f>
        <v>0.997966</v>
      </c>
      <c r="H4542" s="4"/>
      <c r="I4542" s="5"/>
      <c r="J4542" s="4"/>
      <c r="K4542" s="5"/>
      <c r="L4542" s="6"/>
      <c r="M4542" s="5" t="str">
        <f aca="false">IF(AND(N(K4542)&gt;0,N(L4542)&gt;0),K4542/L4542,"")</f>
        <v/>
      </c>
      <c r="N4542" s="2" t="s">
        <v>1226</v>
      </c>
    </row>
    <row r="4543" customFormat="false" ht="15" hidden="false" customHeight="false" outlineLevel="0" collapsed="false">
      <c r="A4543" s="2" t="n">
        <v>4542</v>
      </c>
      <c r="B4543" s="2" t="s">
        <v>9268</v>
      </c>
      <c r="C4543" s="2" t="s">
        <v>9269</v>
      </c>
      <c r="D4543" s="2"/>
      <c r="E4543" s="2" t="s">
        <v>1284</v>
      </c>
      <c r="F4543" s="3" t="n">
        <v>5E-006</v>
      </c>
      <c r="G4543" s="3" t="n">
        <f aca="false">SUM($F$2:F4543)</f>
        <v>0.997971</v>
      </c>
      <c r="H4543" s="4"/>
      <c r="I4543" s="5"/>
      <c r="J4543" s="4"/>
      <c r="K4543" s="5"/>
      <c r="L4543" s="6"/>
      <c r="M4543" s="5" t="str">
        <f aca="false">IF(AND(N(K4543)&gt;0,N(L4543)&gt;0),K4543/L4543,"")</f>
        <v/>
      </c>
      <c r="N4543" s="2" t="s">
        <v>1226</v>
      </c>
    </row>
    <row r="4544" customFormat="false" ht="15" hidden="false" customHeight="false" outlineLevel="0" collapsed="false">
      <c r="A4544" s="2" t="n">
        <v>4543</v>
      </c>
      <c r="B4544" s="2" t="s">
        <v>9270</v>
      </c>
      <c r="C4544" s="2" t="s">
        <v>9271</v>
      </c>
      <c r="D4544" s="2"/>
      <c r="E4544" s="2" t="s">
        <v>1345</v>
      </c>
      <c r="F4544" s="3" t="n">
        <v>5E-006</v>
      </c>
      <c r="G4544" s="3" t="n">
        <f aca="false">SUM($F$2:F4544)</f>
        <v>0.997976</v>
      </c>
      <c r="H4544" s="4"/>
      <c r="I4544" s="5"/>
      <c r="J4544" s="4"/>
      <c r="K4544" s="5"/>
      <c r="L4544" s="6"/>
      <c r="M4544" s="5" t="str">
        <f aca="false">IF(AND(N(K4544)&gt;0,N(L4544)&gt;0),K4544/L4544,"")</f>
        <v/>
      </c>
      <c r="N4544" s="2" t="s">
        <v>1226</v>
      </c>
    </row>
    <row r="4545" customFormat="false" ht="15" hidden="false" customHeight="false" outlineLevel="0" collapsed="false">
      <c r="A4545" s="2" t="n">
        <v>4544</v>
      </c>
      <c r="B4545" s="2" t="s">
        <v>9272</v>
      </c>
      <c r="C4545" s="2" t="s">
        <v>9273</v>
      </c>
      <c r="D4545" s="2"/>
      <c r="E4545" s="2" t="s">
        <v>17</v>
      </c>
      <c r="F4545" s="3" t="n">
        <v>5E-006</v>
      </c>
      <c r="G4545" s="3" t="n">
        <f aca="false">SUM($F$2:F4545)</f>
        <v>0.997981</v>
      </c>
      <c r="H4545" s="4"/>
      <c r="I4545" s="5"/>
      <c r="J4545" s="4"/>
      <c r="K4545" s="5"/>
      <c r="L4545" s="6"/>
      <c r="M4545" s="5" t="str">
        <f aca="false">IF(AND(N(K4545)&gt;0,N(L4545)&gt;0),K4545/L4545,"")</f>
        <v/>
      </c>
      <c r="N4545" s="2" t="s">
        <v>1226</v>
      </c>
    </row>
    <row r="4546" customFormat="false" ht="15" hidden="false" customHeight="false" outlineLevel="0" collapsed="false">
      <c r="A4546" s="2" t="n">
        <v>4545</v>
      </c>
      <c r="B4546" s="2" t="s">
        <v>9274</v>
      </c>
      <c r="C4546" s="2" t="s">
        <v>9275</v>
      </c>
      <c r="D4546" s="2"/>
      <c r="E4546" s="2" t="s">
        <v>334</v>
      </c>
      <c r="F4546" s="3" t="n">
        <v>5E-006</v>
      </c>
      <c r="G4546" s="3" t="n">
        <f aca="false">SUM($F$2:F4546)</f>
        <v>0.997986</v>
      </c>
      <c r="H4546" s="4"/>
      <c r="I4546" s="5"/>
      <c r="J4546" s="4"/>
      <c r="K4546" s="5"/>
      <c r="L4546" s="6"/>
      <c r="M4546" s="5" t="str">
        <f aca="false">IF(AND(N(K4546)&gt;0,N(L4546)&gt;0),K4546/L4546,"")</f>
        <v/>
      </c>
      <c r="N4546" s="2" t="s">
        <v>1226</v>
      </c>
    </row>
    <row r="4547" customFormat="false" ht="15" hidden="false" customHeight="false" outlineLevel="0" collapsed="false">
      <c r="A4547" s="2" t="n">
        <v>4546</v>
      </c>
      <c r="B4547" s="2" t="s">
        <v>9276</v>
      </c>
      <c r="C4547" s="2" t="s">
        <v>9277</v>
      </c>
      <c r="D4547" s="2"/>
      <c r="E4547" s="2" t="s">
        <v>334</v>
      </c>
      <c r="F4547" s="3" t="n">
        <v>5E-006</v>
      </c>
      <c r="G4547" s="3" t="n">
        <f aca="false">SUM($F$2:F4547)</f>
        <v>0.997991</v>
      </c>
      <c r="H4547" s="4"/>
      <c r="I4547" s="5"/>
      <c r="J4547" s="4"/>
      <c r="K4547" s="5"/>
      <c r="L4547" s="6"/>
      <c r="M4547" s="5" t="str">
        <f aca="false">IF(AND(N(K4547)&gt;0,N(L4547)&gt;0),K4547/L4547,"")</f>
        <v/>
      </c>
      <c r="N4547" s="2" t="s">
        <v>1226</v>
      </c>
    </row>
    <row r="4548" customFormat="false" ht="15" hidden="false" customHeight="false" outlineLevel="0" collapsed="false">
      <c r="A4548" s="2" t="n">
        <v>4547</v>
      </c>
      <c r="B4548" s="2" t="s">
        <v>9278</v>
      </c>
      <c r="C4548" s="2" t="s">
        <v>9279</v>
      </c>
      <c r="D4548" s="2"/>
      <c r="E4548" s="2" t="s">
        <v>1295</v>
      </c>
      <c r="F4548" s="3" t="n">
        <v>5E-006</v>
      </c>
      <c r="G4548" s="3" t="n">
        <f aca="false">SUM($F$2:F4548)</f>
        <v>0.997996</v>
      </c>
      <c r="H4548" s="4"/>
      <c r="I4548" s="5"/>
      <c r="J4548" s="4"/>
      <c r="K4548" s="5"/>
      <c r="L4548" s="6"/>
      <c r="M4548" s="5" t="str">
        <f aca="false">IF(AND(N(K4548)&gt;0,N(L4548)&gt;0),K4548/L4548,"")</f>
        <v/>
      </c>
      <c r="N4548" s="2" t="s">
        <v>1226</v>
      </c>
    </row>
    <row r="4549" customFormat="false" ht="15" hidden="false" customHeight="false" outlineLevel="0" collapsed="false">
      <c r="A4549" s="2" t="n">
        <v>4548</v>
      </c>
      <c r="B4549" s="2" t="s">
        <v>9280</v>
      </c>
      <c r="C4549" s="2" t="s">
        <v>9281</v>
      </c>
      <c r="D4549" s="2"/>
      <c r="E4549" s="2" t="s">
        <v>289</v>
      </c>
      <c r="F4549" s="3" t="n">
        <v>5E-006</v>
      </c>
      <c r="G4549" s="3" t="n">
        <f aca="false">SUM($F$2:F4549)</f>
        <v>0.998001</v>
      </c>
      <c r="H4549" s="4"/>
      <c r="I4549" s="5"/>
      <c r="J4549" s="4"/>
      <c r="K4549" s="5"/>
      <c r="L4549" s="6"/>
      <c r="M4549" s="5" t="str">
        <f aca="false">IF(AND(N(K4549)&gt;0,N(L4549)&gt;0),K4549/L4549,"")</f>
        <v/>
      </c>
      <c r="N4549" s="2" t="s">
        <v>1226</v>
      </c>
    </row>
    <row r="4550" customFormat="false" ht="15" hidden="false" customHeight="false" outlineLevel="0" collapsed="false">
      <c r="A4550" s="2" t="n">
        <v>4549</v>
      </c>
      <c r="B4550" s="2" t="s">
        <v>9282</v>
      </c>
      <c r="C4550" s="2" t="s">
        <v>9283</v>
      </c>
      <c r="D4550" s="2"/>
      <c r="E4550" s="2" t="s">
        <v>1345</v>
      </c>
      <c r="F4550" s="3" t="n">
        <v>5E-006</v>
      </c>
      <c r="G4550" s="3" t="n">
        <f aca="false">SUM($F$2:F4550)</f>
        <v>0.998006</v>
      </c>
      <c r="H4550" s="4"/>
      <c r="I4550" s="5"/>
      <c r="J4550" s="4"/>
      <c r="K4550" s="5"/>
      <c r="L4550" s="6"/>
      <c r="M4550" s="5" t="str">
        <f aca="false">IF(AND(N(K4550)&gt;0,N(L4550)&gt;0),K4550/L4550,"")</f>
        <v/>
      </c>
      <c r="N4550" s="2" t="s">
        <v>1226</v>
      </c>
    </row>
    <row r="4551" customFormat="false" ht="15" hidden="false" customHeight="false" outlineLevel="0" collapsed="false">
      <c r="A4551" s="2" t="n">
        <v>4550</v>
      </c>
      <c r="B4551" s="2" t="s">
        <v>9284</v>
      </c>
      <c r="C4551" s="2" t="s">
        <v>9285</v>
      </c>
      <c r="D4551" s="2"/>
      <c r="E4551" s="2" t="s">
        <v>82</v>
      </c>
      <c r="F4551" s="3" t="n">
        <v>5E-006</v>
      </c>
      <c r="G4551" s="3" t="n">
        <f aca="false">SUM($F$2:F4551)</f>
        <v>0.998011</v>
      </c>
      <c r="H4551" s="4"/>
      <c r="I4551" s="5"/>
      <c r="J4551" s="4"/>
      <c r="K4551" s="5"/>
      <c r="L4551" s="6"/>
      <c r="M4551" s="5" t="str">
        <f aca="false">IF(AND(N(K4551)&gt;0,N(L4551)&gt;0),K4551/L4551,"")</f>
        <v/>
      </c>
      <c r="N4551" s="2" t="s">
        <v>1226</v>
      </c>
    </row>
    <row r="4552" customFormat="false" ht="15" hidden="false" customHeight="false" outlineLevel="0" collapsed="false">
      <c r="A4552" s="2" t="n">
        <v>4551</v>
      </c>
      <c r="B4552" s="2" t="s">
        <v>9286</v>
      </c>
      <c r="C4552" s="2" t="s">
        <v>9287</v>
      </c>
      <c r="D4552" s="2"/>
      <c r="E4552" s="2" t="s">
        <v>52</v>
      </c>
      <c r="F4552" s="3" t="n">
        <v>5E-006</v>
      </c>
      <c r="G4552" s="3" t="n">
        <f aca="false">SUM($F$2:F4552)</f>
        <v>0.998016</v>
      </c>
      <c r="H4552" s="4"/>
      <c r="I4552" s="5"/>
      <c r="J4552" s="4"/>
      <c r="K4552" s="5"/>
      <c r="L4552" s="6"/>
      <c r="M4552" s="5" t="str">
        <f aca="false">IF(AND(N(K4552)&gt;0,N(L4552)&gt;0),K4552/L4552,"")</f>
        <v/>
      </c>
      <c r="N4552" s="2" t="s">
        <v>1226</v>
      </c>
    </row>
    <row r="4553" customFormat="false" ht="15" hidden="false" customHeight="false" outlineLevel="0" collapsed="false">
      <c r="A4553" s="2" t="n">
        <v>4552</v>
      </c>
      <c r="B4553" s="2" t="s">
        <v>9288</v>
      </c>
      <c r="C4553" s="2" t="s">
        <v>9289</v>
      </c>
      <c r="D4553" s="2"/>
      <c r="E4553" s="2" t="s">
        <v>1345</v>
      </c>
      <c r="F4553" s="3" t="n">
        <v>5E-006</v>
      </c>
      <c r="G4553" s="3" t="n">
        <f aca="false">SUM($F$2:F4553)</f>
        <v>0.998021</v>
      </c>
      <c r="H4553" s="4"/>
      <c r="I4553" s="5"/>
      <c r="J4553" s="4"/>
      <c r="K4553" s="5"/>
      <c r="L4553" s="6"/>
      <c r="M4553" s="5" t="str">
        <f aca="false">IF(AND(N(K4553)&gt;0,N(L4553)&gt;0),K4553/L4553,"")</f>
        <v/>
      </c>
      <c r="N4553" s="2" t="s">
        <v>1226</v>
      </c>
    </row>
    <row r="4554" customFormat="false" ht="15" hidden="false" customHeight="false" outlineLevel="0" collapsed="false">
      <c r="A4554" s="2" t="n">
        <v>4553</v>
      </c>
      <c r="B4554" s="2" t="s">
        <v>9290</v>
      </c>
      <c r="C4554" s="2" t="s">
        <v>9291</v>
      </c>
      <c r="D4554" s="2"/>
      <c r="E4554" s="2" t="s">
        <v>1345</v>
      </c>
      <c r="F4554" s="3" t="n">
        <v>5E-006</v>
      </c>
      <c r="G4554" s="3" t="n">
        <f aca="false">SUM($F$2:F4554)</f>
        <v>0.998026</v>
      </c>
      <c r="H4554" s="4"/>
      <c r="I4554" s="5"/>
      <c r="J4554" s="4"/>
      <c r="K4554" s="5"/>
      <c r="L4554" s="6"/>
      <c r="M4554" s="5" t="str">
        <f aca="false">IF(AND(N(K4554)&gt;0,N(L4554)&gt;0),K4554/L4554,"")</f>
        <v/>
      </c>
      <c r="N4554" s="2" t="s">
        <v>1226</v>
      </c>
    </row>
    <row r="4555" customFormat="false" ht="15" hidden="false" customHeight="false" outlineLevel="0" collapsed="false">
      <c r="A4555" s="2" t="n">
        <v>4554</v>
      </c>
      <c r="B4555" s="2" t="s">
        <v>9292</v>
      </c>
      <c r="C4555" s="2" t="s">
        <v>9293</v>
      </c>
      <c r="D4555" s="2"/>
      <c r="E4555" s="2" t="s">
        <v>1345</v>
      </c>
      <c r="F4555" s="3" t="n">
        <v>5E-006</v>
      </c>
      <c r="G4555" s="3" t="n">
        <f aca="false">SUM($F$2:F4555)</f>
        <v>0.998031</v>
      </c>
      <c r="H4555" s="4"/>
      <c r="I4555" s="5"/>
      <c r="J4555" s="4"/>
      <c r="K4555" s="5"/>
      <c r="L4555" s="6"/>
      <c r="M4555" s="5" t="str">
        <f aca="false">IF(AND(N(K4555)&gt;0,N(L4555)&gt;0),K4555/L4555,"")</f>
        <v/>
      </c>
      <c r="N4555" s="2" t="s">
        <v>1226</v>
      </c>
    </row>
    <row r="4556" customFormat="false" ht="15" hidden="false" customHeight="false" outlineLevel="0" collapsed="false">
      <c r="A4556" s="2" t="n">
        <v>4555</v>
      </c>
      <c r="B4556" s="2" t="s">
        <v>9294</v>
      </c>
      <c r="C4556" s="2" t="s">
        <v>9295</v>
      </c>
      <c r="D4556" s="2"/>
      <c r="E4556" s="2" t="s">
        <v>17</v>
      </c>
      <c r="F4556" s="3" t="n">
        <v>5E-006</v>
      </c>
      <c r="G4556" s="3" t="n">
        <f aca="false">SUM($F$2:F4556)</f>
        <v>0.998036</v>
      </c>
      <c r="H4556" s="4"/>
      <c r="I4556" s="5"/>
      <c r="J4556" s="4"/>
      <c r="K4556" s="5"/>
      <c r="L4556" s="6"/>
      <c r="M4556" s="5" t="str">
        <f aca="false">IF(AND(N(K4556)&gt;0,N(L4556)&gt;0),K4556/L4556,"")</f>
        <v/>
      </c>
      <c r="N4556" s="2" t="s">
        <v>1226</v>
      </c>
    </row>
    <row r="4557" customFormat="false" ht="15" hidden="false" customHeight="false" outlineLevel="0" collapsed="false">
      <c r="A4557" s="2" t="n">
        <v>4556</v>
      </c>
      <c r="B4557" s="2" t="s">
        <v>9296</v>
      </c>
      <c r="C4557" s="2" t="s">
        <v>9297</v>
      </c>
      <c r="D4557" s="2"/>
      <c r="E4557" s="2" t="s">
        <v>1345</v>
      </c>
      <c r="F4557" s="3" t="n">
        <v>5E-006</v>
      </c>
      <c r="G4557" s="3" t="n">
        <f aca="false">SUM($F$2:F4557)</f>
        <v>0.998041</v>
      </c>
      <c r="H4557" s="4"/>
      <c r="I4557" s="5"/>
      <c r="J4557" s="4"/>
      <c r="K4557" s="5"/>
      <c r="L4557" s="6"/>
      <c r="M4557" s="5" t="str">
        <f aca="false">IF(AND(N(K4557)&gt;0,N(L4557)&gt;0),K4557/L4557,"")</f>
        <v/>
      </c>
      <c r="N4557" s="2" t="s">
        <v>1226</v>
      </c>
    </row>
    <row r="4558" customFormat="false" ht="15" hidden="false" customHeight="false" outlineLevel="0" collapsed="false">
      <c r="A4558" s="2" t="n">
        <v>4557</v>
      </c>
      <c r="B4558" s="2" t="s">
        <v>9298</v>
      </c>
      <c r="C4558" s="2" t="s">
        <v>9299</v>
      </c>
      <c r="D4558" s="2"/>
      <c r="E4558" s="2" t="s">
        <v>289</v>
      </c>
      <c r="F4558" s="3" t="n">
        <v>5E-006</v>
      </c>
      <c r="G4558" s="3" t="n">
        <f aca="false">SUM($F$2:F4558)</f>
        <v>0.998046</v>
      </c>
      <c r="H4558" s="4"/>
      <c r="I4558" s="5"/>
      <c r="J4558" s="4"/>
      <c r="K4558" s="5"/>
      <c r="L4558" s="6"/>
      <c r="M4558" s="5" t="str">
        <f aca="false">IF(AND(N(K4558)&gt;0,N(L4558)&gt;0),K4558/L4558,"")</f>
        <v/>
      </c>
      <c r="N4558" s="2" t="s">
        <v>1226</v>
      </c>
    </row>
    <row r="4559" customFormat="false" ht="15" hidden="false" customHeight="false" outlineLevel="0" collapsed="false">
      <c r="A4559" s="2" t="n">
        <v>4558</v>
      </c>
      <c r="B4559" s="2" t="s">
        <v>9300</v>
      </c>
      <c r="C4559" s="2" t="s">
        <v>9301</v>
      </c>
      <c r="D4559" s="2"/>
      <c r="E4559" s="2" t="s">
        <v>1345</v>
      </c>
      <c r="F4559" s="3" t="n">
        <v>5E-006</v>
      </c>
      <c r="G4559" s="3" t="n">
        <f aca="false">SUM($F$2:F4559)</f>
        <v>0.998051</v>
      </c>
      <c r="H4559" s="4"/>
      <c r="I4559" s="5"/>
      <c r="J4559" s="4"/>
      <c r="K4559" s="5"/>
      <c r="L4559" s="6"/>
      <c r="M4559" s="5" t="str">
        <f aca="false">IF(AND(N(K4559)&gt;0,N(L4559)&gt;0),K4559/L4559,"")</f>
        <v/>
      </c>
      <c r="N4559" s="2" t="s">
        <v>1226</v>
      </c>
    </row>
    <row r="4560" customFormat="false" ht="15" hidden="false" customHeight="false" outlineLevel="0" collapsed="false">
      <c r="A4560" s="2" t="n">
        <v>4559</v>
      </c>
      <c r="B4560" s="2" t="s">
        <v>9302</v>
      </c>
      <c r="C4560" s="2" t="s">
        <v>9303</v>
      </c>
      <c r="D4560" s="2"/>
      <c r="E4560" s="2" t="s">
        <v>1345</v>
      </c>
      <c r="F4560" s="3" t="n">
        <v>5E-006</v>
      </c>
      <c r="G4560" s="3" t="n">
        <f aca="false">SUM($F$2:F4560)</f>
        <v>0.998056</v>
      </c>
      <c r="H4560" s="4"/>
      <c r="I4560" s="5"/>
      <c r="J4560" s="4"/>
      <c r="K4560" s="5"/>
      <c r="L4560" s="6"/>
      <c r="M4560" s="5" t="str">
        <f aca="false">IF(AND(N(K4560)&gt;0,N(L4560)&gt;0),K4560/L4560,"")</f>
        <v/>
      </c>
      <c r="N4560" s="2" t="s">
        <v>1226</v>
      </c>
    </row>
    <row r="4561" customFormat="false" ht="15" hidden="false" customHeight="false" outlineLevel="0" collapsed="false">
      <c r="A4561" s="2" t="n">
        <v>4560</v>
      </c>
      <c r="B4561" s="2" t="s">
        <v>9304</v>
      </c>
      <c r="C4561" s="2" t="s">
        <v>9305</v>
      </c>
      <c r="D4561" s="2"/>
      <c r="E4561" s="2" t="s">
        <v>1345</v>
      </c>
      <c r="F4561" s="3" t="n">
        <v>5E-006</v>
      </c>
      <c r="G4561" s="3" t="n">
        <f aca="false">SUM($F$2:F4561)</f>
        <v>0.998061</v>
      </c>
      <c r="H4561" s="4"/>
      <c r="I4561" s="5"/>
      <c r="J4561" s="4"/>
      <c r="K4561" s="5"/>
      <c r="L4561" s="6"/>
      <c r="M4561" s="5" t="str">
        <f aca="false">IF(AND(N(K4561)&gt;0,N(L4561)&gt;0),K4561/L4561,"")</f>
        <v/>
      </c>
      <c r="N4561" s="2" t="s">
        <v>1226</v>
      </c>
    </row>
    <row r="4562" customFormat="false" ht="15" hidden="false" customHeight="false" outlineLevel="0" collapsed="false">
      <c r="A4562" s="2" t="n">
        <v>4561</v>
      </c>
      <c r="B4562" s="2" t="s">
        <v>9306</v>
      </c>
      <c r="C4562" s="2" t="s">
        <v>9307</v>
      </c>
      <c r="D4562" s="2"/>
      <c r="E4562" s="2" t="s">
        <v>1019</v>
      </c>
      <c r="F4562" s="3" t="n">
        <v>5E-006</v>
      </c>
      <c r="G4562" s="3" t="n">
        <f aca="false">SUM($F$2:F4562)</f>
        <v>0.998066</v>
      </c>
      <c r="H4562" s="4"/>
      <c r="I4562" s="5"/>
      <c r="J4562" s="4"/>
      <c r="K4562" s="5"/>
      <c r="L4562" s="6"/>
      <c r="M4562" s="5" t="str">
        <f aca="false">IF(AND(N(K4562)&gt;0,N(L4562)&gt;0),K4562/L4562,"")</f>
        <v/>
      </c>
      <c r="N4562" s="2" t="s">
        <v>1226</v>
      </c>
    </row>
    <row r="4563" customFormat="false" ht="15" hidden="false" customHeight="false" outlineLevel="0" collapsed="false">
      <c r="A4563" s="2" t="n">
        <v>4562</v>
      </c>
      <c r="B4563" s="2" t="s">
        <v>9308</v>
      </c>
      <c r="C4563" s="2" t="s">
        <v>9309</v>
      </c>
      <c r="D4563" s="2"/>
      <c r="E4563" s="2" t="s">
        <v>25</v>
      </c>
      <c r="F4563" s="3" t="n">
        <v>5E-006</v>
      </c>
      <c r="G4563" s="3" t="n">
        <f aca="false">SUM($F$2:F4563)</f>
        <v>0.998071</v>
      </c>
      <c r="H4563" s="4"/>
      <c r="I4563" s="5"/>
      <c r="J4563" s="4"/>
      <c r="K4563" s="5"/>
      <c r="L4563" s="6"/>
      <c r="M4563" s="5" t="str">
        <f aca="false">IF(AND(N(K4563)&gt;0,N(L4563)&gt;0),K4563/L4563,"")</f>
        <v/>
      </c>
      <c r="N4563" s="2" t="s">
        <v>1226</v>
      </c>
    </row>
    <row r="4564" customFormat="false" ht="15" hidden="false" customHeight="false" outlineLevel="0" collapsed="false">
      <c r="A4564" s="2" t="n">
        <v>4563</v>
      </c>
      <c r="B4564" s="2" t="s">
        <v>9310</v>
      </c>
      <c r="C4564" s="2" t="s">
        <v>9311</v>
      </c>
      <c r="D4564" s="2"/>
      <c r="E4564" s="2" t="s">
        <v>17</v>
      </c>
      <c r="F4564" s="3" t="n">
        <v>5E-006</v>
      </c>
      <c r="G4564" s="3" t="n">
        <f aca="false">SUM($F$2:F4564)</f>
        <v>0.998076</v>
      </c>
      <c r="H4564" s="4"/>
      <c r="I4564" s="5"/>
      <c r="J4564" s="4"/>
      <c r="K4564" s="5"/>
      <c r="L4564" s="6"/>
      <c r="M4564" s="5" t="str">
        <f aca="false">IF(AND(N(K4564)&gt;0,N(L4564)&gt;0),K4564/L4564,"")</f>
        <v/>
      </c>
      <c r="N4564" s="2" t="s">
        <v>1226</v>
      </c>
    </row>
    <row r="4565" customFormat="false" ht="15" hidden="false" customHeight="false" outlineLevel="0" collapsed="false">
      <c r="A4565" s="2" t="n">
        <v>4564</v>
      </c>
      <c r="B4565" s="2" t="s">
        <v>9312</v>
      </c>
      <c r="C4565" s="2" t="s">
        <v>9313</v>
      </c>
      <c r="D4565" s="2"/>
      <c r="E4565" s="2" t="s">
        <v>43</v>
      </c>
      <c r="F4565" s="3" t="n">
        <v>5E-006</v>
      </c>
      <c r="G4565" s="3" t="n">
        <f aca="false">SUM($F$2:F4565)</f>
        <v>0.998081</v>
      </c>
      <c r="H4565" s="4"/>
      <c r="I4565" s="5"/>
      <c r="J4565" s="4"/>
      <c r="K4565" s="5"/>
      <c r="L4565" s="6"/>
      <c r="M4565" s="5" t="str">
        <f aca="false">IF(AND(N(K4565)&gt;0,N(L4565)&gt;0),K4565/L4565,"")</f>
        <v/>
      </c>
      <c r="N4565" s="2" t="s">
        <v>1226</v>
      </c>
    </row>
    <row r="4566" customFormat="false" ht="15" hidden="false" customHeight="false" outlineLevel="0" collapsed="false">
      <c r="A4566" s="2" t="n">
        <v>4565</v>
      </c>
      <c r="B4566" s="2" t="s">
        <v>9314</v>
      </c>
      <c r="C4566" s="2" t="s">
        <v>9315</v>
      </c>
      <c r="D4566" s="2"/>
      <c r="E4566" s="2" t="s">
        <v>17</v>
      </c>
      <c r="F4566" s="3" t="n">
        <v>5E-006</v>
      </c>
      <c r="G4566" s="3" t="n">
        <f aca="false">SUM($F$2:F4566)</f>
        <v>0.998086</v>
      </c>
      <c r="H4566" s="4"/>
      <c r="I4566" s="5"/>
      <c r="J4566" s="4"/>
      <c r="K4566" s="5"/>
      <c r="L4566" s="6"/>
      <c r="M4566" s="5" t="str">
        <f aca="false">IF(AND(N(K4566)&gt;0,N(L4566)&gt;0),K4566/L4566,"")</f>
        <v/>
      </c>
      <c r="N4566" s="2" t="s">
        <v>1226</v>
      </c>
    </row>
    <row r="4567" customFormat="false" ht="15" hidden="false" customHeight="false" outlineLevel="0" collapsed="false">
      <c r="A4567" s="2" t="n">
        <v>4566</v>
      </c>
      <c r="B4567" s="2" t="s">
        <v>9316</v>
      </c>
      <c r="C4567" s="2" t="s">
        <v>9317</v>
      </c>
      <c r="D4567" s="2"/>
      <c r="E4567" s="2" t="s">
        <v>289</v>
      </c>
      <c r="F4567" s="3" t="n">
        <v>5E-006</v>
      </c>
      <c r="G4567" s="3" t="n">
        <f aca="false">SUM($F$2:F4567)</f>
        <v>0.998091</v>
      </c>
      <c r="H4567" s="4"/>
      <c r="I4567" s="5"/>
      <c r="J4567" s="4"/>
      <c r="K4567" s="5"/>
      <c r="L4567" s="6"/>
      <c r="M4567" s="5" t="str">
        <f aca="false">IF(AND(N(K4567)&gt;0,N(L4567)&gt;0),K4567/L4567,"")</f>
        <v/>
      </c>
      <c r="N4567" s="2" t="s">
        <v>1226</v>
      </c>
    </row>
    <row r="4568" customFormat="false" ht="15" hidden="false" customHeight="false" outlineLevel="0" collapsed="false">
      <c r="A4568" s="2" t="n">
        <v>4567</v>
      </c>
      <c r="B4568" s="2" t="s">
        <v>9318</v>
      </c>
      <c r="C4568" s="2" t="s">
        <v>9319</v>
      </c>
      <c r="D4568" s="2"/>
      <c r="E4568" s="2" t="s">
        <v>1345</v>
      </c>
      <c r="F4568" s="3" t="n">
        <v>5E-006</v>
      </c>
      <c r="G4568" s="3" t="n">
        <f aca="false">SUM($F$2:F4568)</f>
        <v>0.998096</v>
      </c>
      <c r="H4568" s="4"/>
      <c r="I4568" s="5"/>
      <c r="J4568" s="4"/>
      <c r="K4568" s="5"/>
      <c r="L4568" s="6"/>
      <c r="M4568" s="5" t="str">
        <f aca="false">IF(AND(N(K4568)&gt;0,N(L4568)&gt;0),K4568/L4568,"")</f>
        <v/>
      </c>
      <c r="N4568" s="2" t="s">
        <v>1226</v>
      </c>
    </row>
    <row r="4569" customFormat="false" ht="15" hidden="false" customHeight="false" outlineLevel="0" collapsed="false">
      <c r="A4569" s="2" t="n">
        <v>4568</v>
      </c>
      <c r="B4569" s="2" t="s">
        <v>1075</v>
      </c>
      <c r="C4569" s="2" t="s">
        <v>9320</v>
      </c>
      <c r="D4569" s="2"/>
      <c r="E4569" s="2" t="s">
        <v>17</v>
      </c>
      <c r="F4569" s="3" t="n">
        <v>5E-006</v>
      </c>
      <c r="G4569" s="3" t="n">
        <f aca="false">SUM($F$2:F4569)</f>
        <v>0.998101</v>
      </c>
      <c r="H4569" s="4"/>
      <c r="I4569" s="5"/>
      <c r="J4569" s="4"/>
      <c r="K4569" s="5"/>
      <c r="L4569" s="6"/>
      <c r="M4569" s="5" t="str">
        <f aca="false">IF(AND(N(K4569)&gt;0,N(L4569)&gt;0),K4569/L4569,"")</f>
        <v/>
      </c>
      <c r="N4569" s="2" t="s">
        <v>1226</v>
      </c>
    </row>
    <row r="4570" customFormat="false" ht="15" hidden="false" customHeight="false" outlineLevel="0" collapsed="false">
      <c r="A4570" s="2" t="n">
        <v>4569</v>
      </c>
      <c r="B4570" s="2" t="s">
        <v>9321</v>
      </c>
      <c r="C4570" s="2" t="s">
        <v>9322</v>
      </c>
      <c r="D4570" s="2"/>
      <c r="E4570" s="2" t="s">
        <v>17</v>
      </c>
      <c r="F4570" s="3" t="n">
        <v>5E-006</v>
      </c>
      <c r="G4570" s="3" t="n">
        <f aca="false">SUM($F$2:F4570)</f>
        <v>0.998106</v>
      </c>
      <c r="H4570" s="4"/>
      <c r="I4570" s="5"/>
      <c r="J4570" s="4"/>
      <c r="K4570" s="5"/>
      <c r="L4570" s="6"/>
      <c r="M4570" s="5" t="str">
        <f aca="false">IF(AND(N(K4570)&gt;0,N(L4570)&gt;0),K4570/L4570,"")</f>
        <v/>
      </c>
      <c r="N4570" s="2" t="s">
        <v>1226</v>
      </c>
    </row>
    <row r="4571" customFormat="false" ht="15" hidden="false" customHeight="false" outlineLevel="0" collapsed="false">
      <c r="A4571" s="2" t="n">
        <v>4570</v>
      </c>
      <c r="B4571" s="2" t="s">
        <v>9323</v>
      </c>
      <c r="C4571" s="2" t="s">
        <v>9324</v>
      </c>
      <c r="D4571" s="2"/>
      <c r="E4571" s="2" t="s">
        <v>17</v>
      </c>
      <c r="F4571" s="3" t="n">
        <v>5E-006</v>
      </c>
      <c r="G4571" s="3" t="n">
        <f aca="false">SUM($F$2:F4571)</f>
        <v>0.998111</v>
      </c>
      <c r="H4571" s="4"/>
      <c r="I4571" s="5"/>
      <c r="J4571" s="4"/>
      <c r="K4571" s="5"/>
      <c r="L4571" s="6"/>
      <c r="M4571" s="5" t="str">
        <f aca="false">IF(AND(N(K4571)&gt;0,N(L4571)&gt;0),K4571/L4571,"")</f>
        <v/>
      </c>
      <c r="N4571" s="2" t="s">
        <v>1226</v>
      </c>
    </row>
    <row r="4572" customFormat="false" ht="15" hidden="false" customHeight="false" outlineLevel="0" collapsed="false">
      <c r="A4572" s="2" t="n">
        <v>4571</v>
      </c>
      <c r="B4572" s="2" t="s">
        <v>9325</v>
      </c>
      <c r="C4572" s="2" t="s">
        <v>9326</v>
      </c>
      <c r="D4572" s="2"/>
      <c r="E4572" s="2" t="s">
        <v>1345</v>
      </c>
      <c r="F4572" s="3" t="n">
        <v>5E-006</v>
      </c>
      <c r="G4572" s="3" t="n">
        <f aca="false">SUM($F$2:F4572)</f>
        <v>0.998116</v>
      </c>
      <c r="H4572" s="4"/>
      <c r="I4572" s="5"/>
      <c r="J4572" s="4"/>
      <c r="K4572" s="5"/>
      <c r="L4572" s="6"/>
      <c r="M4572" s="5" t="str">
        <f aca="false">IF(AND(N(K4572)&gt;0,N(L4572)&gt;0),K4572/L4572,"")</f>
        <v/>
      </c>
      <c r="N4572" s="2" t="s">
        <v>1226</v>
      </c>
    </row>
    <row r="4573" customFormat="false" ht="15" hidden="false" customHeight="false" outlineLevel="0" collapsed="false">
      <c r="A4573" s="2" t="n">
        <v>4572</v>
      </c>
      <c r="B4573" s="2" t="s">
        <v>9327</v>
      </c>
      <c r="C4573" s="2" t="s">
        <v>9328</v>
      </c>
      <c r="D4573" s="2"/>
      <c r="E4573" s="2" t="s">
        <v>1295</v>
      </c>
      <c r="F4573" s="3" t="n">
        <v>5E-006</v>
      </c>
      <c r="G4573" s="3" t="n">
        <f aca="false">SUM($F$2:F4573)</f>
        <v>0.998121</v>
      </c>
      <c r="H4573" s="4"/>
      <c r="I4573" s="5"/>
      <c r="J4573" s="4"/>
      <c r="K4573" s="5"/>
      <c r="L4573" s="6"/>
      <c r="M4573" s="5" t="str">
        <f aca="false">IF(AND(N(K4573)&gt;0,N(L4573)&gt;0),K4573/L4573,"")</f>
        <v/>
      </c>
      <c r="N4573" s="2" t="s">
        <v>1226</v>
      </c>
    </row>
    <row r="4574" customFormat="false" ht="15" hidden="false" customHeight="false" outlineLevel="0" collapsed="false">
      <c r="A4574" s="2" t="n">
        <v>4573</v>
      </c>
      <c r="B4574" s="2" t="s">
        <v>9329</v>
      </c>
      <c r="C4574" s="2" t="s">
        <v>9330</v>
      </c>
      <c r="D4574" s="2"/>
      <c r="E4574" s="2" t="s">
        <v>1345</v>
      </c>
      <c r="F4574" s="3" t="n">
        <v>5E-006</v>
      </c>
      <c r="G4574" s="3" t="n">
        <f aca="false">SUM($F$2:F4574)</f>
        <v>0.998126</v>
      </c>
      <c r="H4574" s="4"/>
      <c r="I4574" s="5"/>
      <c r="J4574" s="4"/>
      <c r="K4574" s="5"/>
      <c r="L4574" s="6"/>
      <c r="M4574" s="5" t="str">
        <f aca="false">IF(AND(N(K4574)&gt;0,N(L4574)&gt;0),K4574/L4574,"")</f>
        <v/>
      </c>
      <c r="N4574" s="2" t="s">
        <v>1226</v>
      </c>
    </row>
    <row r="4575" customFormat="false" ht="15" hidden="false" customHeight="false" outlineLevel="0" collapsed="false">
      <c r="A4575" s="2" t="n">
        <v>4574</v>
      </c>
      <c r="B4575" s="2" t="s">
        <v>9331</v>
      </c>
      <c r="C4575" s="2" t="s">
        <v>9332</v>
      </c>
      <c r="D4575" s="2"/>
      <c r="E4575" s="2" t="s">
        <v>296</v>
      </c>
      <c r="F4575" s="3" t="n">
        <v>5E-006</v>
      </c>
      <c r="G4575" s="3" t="n">
        <f aca="false">SUM($F$2:F4575)</f>
        <v>0.998131</v>
      </c>
      <c r="H4575" s="4"/>
      <c r="I4575" s="5"/>
      <c r="J4575" s="4"/>
      <c r="K4575" s="5"/>
      <c r="L4575" s="6"/>
      <c r="M4575" s="5" t="str">
        <f aca="false">IF(AND(N(K4575)&gt;0,N(L4575)&gt;0),K4575/L4575,"")</f>
        <v/>
      </c>
      <c r="N4575" s="2" t="s">
        <v>1226</v>
      </c>
    </row>
    <row r="4576" customFormat="false" ht="15" hidden="false" customHeight="false" outlineLevel="0" collapsed="false">
      <c r="A4576" s="2" t="n">
        <v>4575</v>
      </c>
      <c r="B4576" s="2" t="s">
        <v>9333</v>
      </c>
      <c r="C4576" s="2" t="s">
        <v>9334</v>
      </c>
      <c r="D4576" s="2"/>
      <c r="E4576" s="2" t="s">
        <v>1345</v>
      </c>
      <c r="F4576" s="3" t="n">
        <v>5E-006</v>
      </c>
      <c r="G4576" s="3" t="n">
        <f aca="false">SUM($F$2:F4576)</f>
        <v>0.998136</v>
      </c>
      <c r="H4576" s="4"/>
      <c r="I4576" s="5"/>
      <c r="J4576" s="4"/>
      <c r="K4576" s="5"/>
      <c r="L4576" s="6"/>
      <c r="M4576" s="5" t="str">
        <f aca="false">IF(AND(N(K4576)&gt;0,N(L4576)&gt;0),K4576/L4576,"")</f>
        <v/>
      </c>
      <c r="N4576" s="2" t="s">
        <v>1226</v>
      </c>
    </row>
    <row r="4577" customFormat="false" ht="15" hidden="false" customHeight="false" outlineLevel="0" collapsed="false">
      <c r="A4577" s="2" t="n">
        <v>4576</v>
      </c>
      <c r="B4577" s="2" t="s">
        <v>9335</v>
      </c>
      <c r="C4577" s="2" t="s">
        <v>9336</v>
      </c>
      <c r="D4577" s="2"/>
      <c r="E4577" s="2" t="s">
        <v>1345</v>
      </c>
      <c r="F4577" s="3" t="n">
        <v>5E-006</v>
      </c>
      <c r="G4577" s="3" t="n">
        <f aca="false">SUM($F$2:F4577)</f>
        <v>0.998141</v>
      </c>
      <c r="H4577" s="4"/>
      <c r="I4577" s="5"/>
      <c r="J4577" s="4"/>
      <c r="K4577" s="5"/>
      <c r="L4577" s="6"/>
      <c r="M4577" s="5" t="str">
        <f aca="false">IF(AND(N(K4577)&gt;0,N(L4577)&gt;0),K4577/L4577,"")</f>
        <v/>
      </c>
      <c r="N4577" s="2" t="s">
        <v>1226</v>
      </c>
    </row>
    <row r="4578" customFormat="false" ht="15" hidden="false" customHeight="false" outlineLevel="0" collapsed="false">
      <c r="A4578" s="2" t="n">
        <v>4577</v>
      </c>
      <c r="B4578" s="2" t="s">
        <v>9337</v>
      </c>
      <c r="C4578" s="2" t="s">
        <v>9338</v>
      </c>
      <c r="D4578" s="2"/>
      <c r="E4578" s="2" t="s">
        <v>17</v>
      </c>
      <c r="F4578" s="3" t="n">
        <v>5E-006</v>
      </c>
      <c r="G4578" s="3" t="n">
        <f aca="false">SUM($F$2:F4578)</f>
        <v>0.998146</v>
      </c>
      <c r="H4578" s="4"/>
      <c r="I4578" s="5"/>
      <c r="J4578" s="4"/>
      <c r="K4578" s="5"/>
      <c r="L4578" s="6"/>
      <c r="M4578" s="5" t="str">
        <f aca="false">IF(AND(N(K4578)&gt;0,N(L4578)&gt;0),K4578/L4578,"")</f>
        <v/>
      </c>
      <c r="N4578" s="2" t="s">
        <v>1226</v>
      </c>
    </row>
    <row r="4579" customFormat="false" ht="15" hidden="false" customHeight="false" outlineLevel="0" collapsed="false">
      <c r="A4579" s="2" t="n">
        <v>4578</v>
      </c>
      <c r="B4579" s="2" t="s">
        <v>9339</v>
      </c>
      <c r="C4579" s="2" t="s">
        <v>9340</v>
      </c>
      <c r="D4579" s="2"/>
      <c r="E4579" s="2" t="s">
        <v>43</v>
      </c>
      <c r="F4579" s="3" t="n">
        <v>5E-006</v>
      </c>
      <c r="G4579" s="3" t="n">
        <f aca="false">SUM($F$2:F4579)</f>
        <v>0.998151</v>
      </c>
      <c r="H4579" s="4"/>
      <c r="I4579" s="5"/>
      <c r="J4579" s="4"/>
      <c r="K4579" s="5"/>
      <c r="L4579" s="6"/>
      <c r="M4579" s="5" t="str">
        <f aca="false">IF(AND(N(K4579)&gt;0,N(L4579)&gt;0),K4579/L4579,"")</f>
        <v/>
      </c>
      <c r="N4579" s="2" t="s">
        <v>1226</v>
      </c>
    </row>
    <row r="4580" customFormat="false" ht="15" hidden="false" customHeight="false" outlineLevel="0" collapsed="false">
      <c r="A4580" s="2" t="n">
        <v>4579</v>
      </c>
      <c r="B4580" s="2" t="s">
        <v>9341</v>
      </c>
      <c r="C4580" s="2" t="s">
        <v>9342</v>
      </c>
      <c r="D4580" s="2"/>
      <c r="E4580" s="2" t="s">
        <v>1345</v>
      </c>
      <c r="F4580" s="3" t="n">
        <v>5E-006</v>
      </c>
      <c r="G4580" s="3" t="n">
        <f aca="false">SUM($F$2:F4580)</f>
        <v>0.998156</v>
      </c>
      <c r="H4580" s="4"/>
      <c r="I4580" s="5"/>
      <c r="J4580" s="4"/>
      <c r="K4580" s="5"/>
      <c r="L4580" s="6"/>
      <c r="M4580" s="5" t="str">
        <f aca="false">IF(AND(N(K4580)&gt;0,N(L4580)&gt;0),K4580/L4580,"")</f>
        <v/>
      </c>
      <c r="N4580" s="2" t="s">
        <v>1226</v>
      </c>
    </row>
    <row r="4581" customFormat="false" ht="15" hidden="false" customHeight="false" outlineLevel="0" collapsed="false">
      <c r="A4581" s="2" t="n">
        <v>4580</v>
      </c>
      <c r="B4581" s="2" t="s">
        <v>9343</v>
      </c>
      <c r="C4581" s="2" t="s">
        <v>9344</v>
      </c>
      <c r="D4581" s="2"/>
      <c r="E4581" s="2" t="s">
        <v>43</v>
      </c>
      <c r="F4581" s="3" t="n">
        <v>5E-006</v>
      </c>
      <c r="G4581" s="3" t="n">
        <f aca="false">SUM($F$2:F4581)</f>
        <v>0.998161</v>
      </c>
      <c r="H4581" s="4"/>
      <c r="I4581" s="5"/>
      <c r="J4581" s="4"/>
      <c r="K4581" s="5"/>
      <c r="L4581" s="6"/>
      <c r="M4581" s="5" t="str">
        <f aca="false">IF(AND(N(K4581)&gt;0,N(L4581)&gt;0),K4581/L4581,"")</f>
        <v/>
      </c>
      <c r="N4581" s="2" t="s">
        <v>1226</v>
      </c>
    </row>
    <row r="4582" customFormat="false" ht="15" hidden="false" customHeight="false" outlineLevel="0" collapsed="false">
      <c r="A4582" s="2" t="n">
        <v>4581</v>
      </c>
      <c r="B4582" s="2" t="s">
        <v>9345</v>
      </c>
      <c r="C4582" s="2" t="s">
        <v>9346</v>
      </c>
      <c r="D4582" s="2"/>
      <c r="E4582" s="2" t="s">
        <v>296</v>
      </c>
      <c r="F4582" s="3" t="n">
        <v>5E-006</v>
      </c>
      <c r="G4582" s="3" t="n">
        <f aca="false">SUM($F$2:F4582)</f>
        <v>0.998166</v>
      </c>
      <c r="H4582" s="4"/>
      <c r="I4582" s="5"/>
      <c r="J4582" s="4"/>
      <c r="K4582" s="5"/>
      <c r="L4582" s="6"/>
      <c r="M4582" s="5" t="str">
        <f aca="false">IF(AND(N(K4582)&gt;0,N(L4582)&gt;0),K4582/L4582,"")</f>
        <v/>
      </c>
      <c r="N4582" s="2" t="s">
        <v>1226</v>
      </c>
    </row>
    <row r="4583" customFormat="false" ht="15" hidden="false" customHeight="false" outlineLevel="0" collapsed="false">
      <c r="A4583" s="2" t="n">
        <v>4582</v>
      </c>
      <c r="B4583" s="2" t="s">
        <v>9347</v>
      </c>
      <c r="C4583" s="2" t="s">
        <v>9348</v>
      </c>
      <c r="D4583" s="2"/>
      <c r="E4583" s="2" t="s">
        <v>289</v>
      </c>
      <c r="F4583" s="3" t="n">
        <v>5E-006</v>
      </c>
      <c r="G4583" s="3" t="n">
        <f aca="false">SUM($F$2:F4583)</f>
        <v>0.998171</v>
      </c>
      <c r="H4583" s="4"/>
      <c r="I4583" s="5"/>
      <c r="J4583" s="4"/>
      <c r="K4583" s="5"/>
      <c r="L4583" s="6"/>
      <c r="M4583" s="5" t="str">
        <f aca="false">IF(AND(N(K4583)&gt;0,N(L4583)&gt;0),K4583/L4583,"")</f>
        <v/>
      </c>
      <c r="N4583" s="2" t="s">
        <v>1226</v>
      </c>
    </row>
    <row r="4584" customFormat="false" ht="15" hidden="false" customHeight="false" outlineLevel="0" collapsed="false">
      <c r="A4584" s="2" t="n">
        <v>4583</v>
      </c>
      <c r="B4584" s="2" t="s">
        <v>9349</v>
      </c>
      <c r="C4584" s="2" t="s">
        <v>9350</v>
      </c>
      <c r="D4584" s="2"/>
      <c r="E4584" s="2" t="s">
        <v>1345</v>
      </c>
      <c r="F4584" s="3" t="n">
        <v>5E-006</v>
      </c>
      <c r="G4584" s="3" t="n">
        <f aca="false">SUM($F$2:F4584)</f>
        <v>0.998176</v>
      </c>
      <c r="H4584" s="4"/>
      <c r="I4584" s="5"/>
      <c r="J4584" s="4"/>
      <c r="K4584" s="5"/>
      <c r="L4584" s="6"/>
      <c r="M4584" s="5" t="str">
        <f aca="false">IF(AND(N(K4584)&gt;0,N(L4584)&gt;0),K4584/L4584,"")</f>
        <v/>
      </c>
      <c r="N4584" s="2" t="s">
        <v>1226</v>
      </c>
    </row>
    <row r="4585" customFormat="false" ht="15" hidden="false" customHeight="false" outlineLevel="0" collapsed="false">
      <c r="A4585" s="2" t="n">
        <v>4584</v>
      </c>
      <c r="B4585" s="2" t="s">
        <v>9351</v>
      </c>
      <c r="C4585" s="2" t="s">
        <v>9352</v>
      </c>
      <c r="D4585" s="2"/>
      <c r="E4585" s="2" t="s">
        <v>1345</v>
      </c>
      <c r="F4585" s="3" t="n">
        <v>5E-006</v>
      </c>
      <c r="G4585" s="3" t="n">
        <f aca="false">SUM($F$2:F4585)</f>
        <v>0.998181</v>
      </c>
      <c r="H4585" s="4"/>
      <c r="I4585" s="5"/>
      <c r="J4585" s="4"/>
      <c r="K4585" s="5"/>
      <c r="L4585" s="6"/>
      <c r="M4585" s="5" t="str">
        <f aca="false">IF(AND(N(K4585)&gt;0,N(L4585)&gt;0),K4585/L4585,"")</f>
        <v/>
      </c>
      <c r="N4585" s="2" t="s">
        <v>1226</v>
      </c>
    </row>
    <row r="4586" customFormat="false" ht="15" hidden="false" customHeight="false" outlineLevel="0" collapsed="false">
      <c r="A4586" s="2" t="n">
        <v>4585</v>
      </c>
      <c r="B4586" s="2" t="s">
        <v>9353</v>
      </c>
      <c r="C4586" s="2" t="s">
        <v>9354</v>
      </c>
      <c r="D4586" s="2"/>
      <c r="E4586" s="2" t="s">
        <v>1345</v>
      </c>
      <c r="F4586" s="3" t="n">
        <v>5E-006</v>
      </c>
      <c r="G4586" s="3" t="n">
        <f aca="false">SUM($F$2:F4586)</f>
        <v>0.998186</v>
      </c>
      <c r="H4586" s="4"/>
      <c r="I4586" s="5"/>
      <c r="J4586" s="4"/>
      <c r="K4586" s="5"/>
      <c r="L4586" s="6"/>
      <c r="M4586" s="5" t="str">
        <f aca="false">IF(AND(N(K4586)&gt;0,N(L4586)&gt;0),K4586/L4586,"")</f>
        <v/>
      </c>
      <c r="N4586" s="2" t="s">
        <v>1226</v>
      </c>
    </row>
    <row r="4587" customFormat="false" ht="15" hidden="false" customHeight="false" outlineLevel="0" collapsed="false">
      <c r="A4587" s="2" t="n">
        <v>4586</v>
      </c>
      <c r="B4587" s="2" t="s">
        <v>9355</v>
      </c>
      <c r="C4587" s="2" t="s">
        <v>9356</v>
      </c>
      <c r="D4587" s="2"/>
      <c r="E4587" s="2" t="s">
        <v>1345</v>
      </c>
      <c r="F4587" s="3" t="n">
        <v>5E-006</v>
      </c>
      <c r="G4587" s="3" t="n">
        <f aca="false">SUM($F$2:F4587)</f>
        <v>0.998191</v>
      </c>
      <c r="H4587" s="4"/>
      <c r="I4587" s="5"/>
      <c r="J4587" s="4"/>
      <c r="K4587" s="5"/>
      <c r="L4587" s="6"/>
      <c r="M4587" s="5" t="str">
        <f aca="false">IF(AND(N(K4587)&gt;0,N(L4587)&gt;0),K4587/L4587,"")</f>
        <v/>
      </c>
      <c r="N4587" s="2" t="s">
        <v>1226</v>
      </c>
    </row>
    <row r="4588" customFormat="false" ht="15" hidden="false" customHeight="false" outlineLevel="0" collapsed="false">
      <c r="A4588" s="2" t="n">
        <v>4587</v>
      </c>
      <c r="B4588" s="2" t="s">
        <v>9357</v>
      </c>
      <c r="C4588" s="2" t="s">
        <v>9358</v>
      </c>
      <c r="D4588" s="2"/>
      <c r="E4588" s="2" t="s">
        <v>1345</v>
      </c>
      <c r="F4588" s="3" t="n">
        <v>5E-006</v>
      </c>
      <c r="G4588" s="3" t="n">
        <f aca="false">SUM($F$2:F4588)</f>
        <v>0.998196</v>
      </c>
      <c r="H4588" s="4"/>
      <c r="I4588" s="5"/>
      <c r="J4588" s="4"/>
      <c r="K4588" s="5"/>
      <c r="L4588" s="6"/>
      <c r="M4588" s="5" t="str">
        <f aca="false">IF(AND(N(K4588)&gt;0,N(L4588)&gt;0),K4588/L4588,"")</f>
        <v/>
      </c>
      <c r="N4588" s="2" t="s">
        <v>1226</v>
      </c>
    </row>
    <row r="4589" customFormat="false" ht="15" hidden="false" customHeight="false" outlineLevel="0" collapsed="false">
      <c r="A4589" s="2" t="n">
        <v>4588</v>
      </c>
      <c r="B4589" s="2" t="s">
        <v>9359</v>
      </c>
      <c r="C4589" s="2" t="s">
        <v>9360</v>
      </c>
      <c r="D4589" s="2"/>
      <c r="E4589" s="2" t="s">
        <v>826</v>
      </c>
      <c r="F4589" s="3" t="n">
        <v>5E-006</v>
      </c>
      <c r="G4589" s="3" t="n">
        <f aca="false">SUM($F$2:F4589)</f>
        <v>0.998201</v>
      </c>
      <c r="H4589" s="4"/>
      <c r="I4589" s="5"/>
      <c r="J4589" s="4"/>
      <c r="K4589" s="5"/>
      <c r="L4589" s="6"/>
      <c r="M4589" s="5" t="str">
        <f aca="false">IF(AND(N(K4589)&gt;0,N(L4589)&gt;0),K4589/L4589,"")</f>
        <v/>
      </c>
      <c r="N4589" s="2" t="s">
        <v>1226</v>
      </c>
    </row>
    <row r="4590" customFormat="false" ht="15" hidden="false" customHeight="false" outlineLevel="0" collapsed="false">
      <c r="A4590" s="2" t="n">
        <v>4589</v>
      </c>
      <c r="B4590" s="2" t="s">
        <v>9361</v>
      </c>
      <c r="C4590" s="2" t="s">
        <v>9362</v>
      </c>
      <c r="D4590" s="2"/>
      <c r="E4590" s="2" t="s">
        <v>199</v>
      </c>
      <c r="F4590" s="3" t="n">
        <v>5E-006</v>
      </c>
      <c r="G4590" s="3" t="n">
        <f aca="false">SUM($F$2:F4590)</f>
        <v>0.998206</v>
      </c>
      <c r="H4590" s="4"/>
      <c r="I4590" s="5"/>
      <c r="J4590" s="4"/>
      <c r="K4590" s="5"/>
      <c r="L4590" s="6"/>
      <c r="M4590" s="5" t="str">
        <f aca="false">IF(AND(N(K4590)&gt;0,N(L4590)&gt;0),K4590/L4590,"")</f>
        <v/>
      </c>
      <c r="N4590" s="2" t="s">
        <v>1226</v>
      </c>
    </row>
    <row r="4591" customFormat="false" ht="15" hidden="false" customHeight="false" outlineLevel="0" collapsed="false">
      <c r="A4591" s="2" t="n">
        <v>4590</v>
      </c>
      <c r="B4591" s="2" t="s">
        <v>9363</v>
      </c>
      <c r="C4591" s="2" t="s">
        <v>9364</v>
      </c>
      <c r="D4591" s="2"/>
      <c r="E4591" s="2" t="s">
        <v>289</v>
      </c>
      <c r="F4591" s="3" t="n">
        <v>5E-006</v>
      </c>
      <c r="G4591" s="3" t="n">
        <f aca="false">SUM($F$2:F4591)</f>
        <v>0.998211</v>
      </c>
      <c r="H4591" s="4"/>
      <c r="I4591" s="5"/>
      <c r="J4591" s="4"/>
      <c r="K4591" s="5"/>
      <c r="L4591" s="6"/>
      <c r="M4591" s="5" t="str">
        <f aca="false">IF(AND(N(K4591)&gt;0,N(L4591)&gt;0),K4591/L4591,"")</f>
        <v/>
      </c>
      <c r="N4591" s="2" t="s">
        <v>1226</v>
      </c>
    </row>
    <row r="4592" customFormat="false" ht="15" hidden="false" customHeight="false" outlineLevel="0" collapsed="false">
      <c r="A4592" s="2" t="n">
        <v>4591</v>
      </c>
      <c r="B4592" s="2" t="s">
        <v>9365</v>
      </c>
      <c r="C4592" s="2" t="s">
        <v>9366</v>
      </c>
      <c r="D4592" s="2"/>
      <c r="E4592" s="2" t="s">
        <v>289</v>
      </c>
      <c r="F4592" s="3" t="n">
        <v>5E-006</v>
      </c>
      <c r="G4592" s="3" t="n">
        <f aca="false">SUM($F$2:F4592)</f>
        <v>0.998216</v>
      </c>
      <c r="H4592" s="4"/>
      <c r="I4592" s="5"/>
      <c r="J4592" s="4"/>
      <c r="K4592" s="5"/>
      <c r="L4592" s="6"/>
      <c r="M4592" s="5" t="str">
        <f aca="false">IF(AND(N(K4592)&gt;0,N(L4592)&gt;0),K4592/L4592,"")</f>
        <v/>
      </c>
      <c r="N4592" s="2" t="s">
        <v>1226</v>
      </c>
    </row>
    <row r="4593" customFormat="false" ht="15" hidden="false" customHeight="false" outlineLevel="0" collapsed="false">
      <c r="A4593" s="2" t="n">
        <v>4592</v>
      </c>
      <c r="B4593" s="2" t="s">
        <v>9367</v>
      </c>
      <c r="C4593" s="2" t="s">
        <v>9368</v>
      </c>
      <c r="D4593" s="2"/>
      <c r="E4593" s="2" t="s">
        <v>25</v>
      </c>
      <c r="F4593" s="3" t="n">
        <v>5E-006</v>
      </c>
      <c r="G4593" s="3" t="n">
        <f aca="false">SUM($F$2:F4593)</f>
        <v>0.998221</v>
      </c>
      <c r="H4593" s="4"/>
      <c r="I4593" s="5"/>
      <c r="J4593" s="4"/>
      <c r="K4593" s="5"/>
      <c r="L4593" s="6"/>
      <c r="M4593" s="5" t="str">
        <f aca="false">IF(AND(N(K4593)&gt;0,N(L4593)&gt;0),K4593/L4593,"")</f>
        <v/>
      </c>
      <c r="N4593" s="2" t="s">
        <v>1226</v>
      </c>
    </row>
    <row r="4594" customFormat="false" ht="15" hidden="false" customHeight="false" outlineLevel="0" collapsed="false">
      <c r="A4594" s="2" t="n">
        <v>4593</v>
      </c>
      <c r="B4594" s="2" t="s">
        <v>9369</v>
      </c>
      <c r="C4594" s="2" t="s">
        <v>9370</v>
      </c>
      <c r="D4594" s="2"/>
      <c r="E4594" s="2" t="s">
        <v>1345</v>
      </c>
      <c r="F4594" s="3" t="n">
        <v>5E-006</v>
      </c>
      <c r="G4594" s="3" t="n">
        <f aca="false">SUM($F$2:F4594)</f>
        <v>0.998226</v>
      </c>
      <c r="H4594" s="4"/>
      <c r="I4594" s="5"/>
      <c r="J4594" s="4"/>
      <c r="K4594" s="5"/>
      <c r="L4594" s="6"/>
      <c r="M4594" s="5" t="str">
        <f aca="false">IF(AND(N(K4594)&gt;0,N(L4594)&gt;0),K4594/L4594,"")</f>
        <v/>
      </c>
      <c r="N4594" s="2" t="s">
        <v>1226</v>
      </c>
    </row>
    <row r="4595" customFormat="false" ht="15" hidden="false" customHeight="false" outlineLevel="0" collapsed="false">
      <c r="A4595" s="2" t="n">
        <v>4594</v>
      </c>
      <c r="B4595" s="2" t="s">
        <v>9371</v>
      </c>
      <c r="C4595" s="2" t="s">
        <v>9372</v>
      </c>
      <c r="D4595" s="2"/>
      <c r="E4595" s="2" t="s">
        <v>52</v>
      </c>
      <c r="F4595" s="3" t="n">
        <v>5E-006</v>
      </c>
      <c r="G4595" s="3" t="n">
        <f aca="false">SUM($F$2:F4595)</f>
        <v>0.998231</v>
      </c>
      <c r="H4595" s="4"/>
      <c r="I4595" s="5"/>
      <c r="J4595" s="4"/>
      <c r="K4595" s="5"/>
      <c r="L4595" s="6"/>
      <c r="M4595" s="5" t="str">
        <f aca="false">IF(AND(N(K4595)&gt;0,N(L4595)&gt;0),K4595/L4595,"")</f>
        <v/>
      </c>
      <c r="N4595" s="2" t="s">
        <v>1226</v>
      </c>
    </row>
    <row r="4596" customFormat="false" ht="15" hidden="false" customHeight="false" outlineLevel="0" collapsed="false">
      <c r="A4596" s="2" t="n">
        <v>4595</v>
      </c>
      <c r="B4596" s="2" t="s">
        <v>9373</v>
      </c>
      <c r="C4596" s="2" t="s">
        <v>9374</v>
      </c>
      <c r="D4596" s="2"/>
      <c r="E4596" s="2" t="s">
        <v>1345</v>
      </c>
      <c r="F4596" s="3" t="n">
        <v>5E-006</v>
      </c>
      <c r="G4596" s="3" t="n">
        <f aca="false">SUM($F$2:F4596)</f>
        <v>0.998236</v>
      </c>
      <c r="H4596" s="4"/>
      <c r="I4596" s="5"/>
      <c r="J4596" s="4"/>
      <c r="K4596" s="5"/>
      <c r="L4596" s="6"/>
      <c r="M4596" s="5" t="str">
        <f aca="false">IF(AND(N(K4596)&gt;0,N(L4596)&gt;0),K4596/L4596,"")</f>
        <v/>
      </c>
      <c r="N4596" s="2" t="s">
        <v>1226</v>
      </c>
    </row>
    <row r="4597" customFormat="false" ht="15" hidden="false" customHeight="false" outlineLevel="0" collapsed="false">
      <c r="A4597" s="2" t="n">
        <v>4596</v>
      </c>
      <c r="B4597" s="2" t="s">
        <v>9375</v>
      </c>
      <c r="C4597" s="2" t="s">
        <v>9376</v>
      </c>
      <c r="D4597" s="2"/>
      <c r="E4597" s="2" t="s">
        <v>289</v>
      </c>
      <c r="F4597" s="3" t="n">
        <v>5E-006</v>
      </c>
      <c r="G4597" s="3" t="n">
        <f aca="false">SUM($F$2:F4597)</f>
        <v>0.998241</v>
      </c>
      <c r="H4597" s="4"/>
      <c r="I4597" s="5"/>
      <c r="J4597" s="4"/>
      <c r="K4597" s="5"/>
      <c r="L4597" s="6"/>
      <c r="M4597" s="5" t="str">
        <f aca="false">IF(AND(N(K4597)&gt;0,N(L4597)&gt;0),K4597/L4597,"")</f>
        <v/>
      </c>
      <c r="N4597" s="2" t="s">
        <v>1226</v>
      </c>
    </row>
    <row r="4598" customFormat="false" ht="15" hidden="false" customHeight="false" outlineLevel="0" collapsed="false">
      <c r="A4598" s="2" t="n">
        <v>4597</v>
      </c>
      <c r="B4598" s="2" t="s">
        <v>9377</v>
      </c>
      <c r="C4598" s="2" t="s">
        <v>9378</v>
      </c>
      <c r="D4598" s="2"/>
      <c r="E4598" s="2" t="s">
        <v>1345</v>
      </c>
      <c r="F4598" s="3" t="n">
        <v>5E-006</v>
      </c>
      <c r="G4598" s="3" t="n">
        <f aca="false">SUM($F$2:F4598)</f>
        <v>0.998246</v>
      </c>
      <c r="H4598" s="4"/>
      <c r="I4598" s="5"/>
      <c r="J4598" s="4"/>
      <c r="K4598" s="5"/>
      <c r="L4598" s="6"/>
      <c r="M4598" s="5" t="str">
        <f aca="false">IF(AND(N(K4598)&gt;0,N(L4598)&gt;0),K4598/L4598,"")</f>
        <v/>
      </c>
      <c r="N4598" s="2" t="s">
        <v>1226</v>
      </c>
    </row>
    <row r="4599" customFormat="false" ht="15" hidden="false" customHeight="false" outlineLevel="0" collapsed="false">
      <c r="A4599" s="2" t="n">
        <v>4598</v>
      </c>
      <c r="B4599" s="2" t="s">
        <v>2335</v>
      </c>
      <c r="C4599" s="2" t="s">
        <v>9379</v>
      </c>
      <c r="D4599" s="2"/>
      <c r="E4599" s="2" t="s">
        <v>17</v>
      </c>
      <c r="F4599" s="3" t="n">
        <v>5E-006</v>
      </c>
      <c r="G4599" s="3" t="n">
        <f aca="false">SUM($F$2:F4599)</f>
        <v>0.998251</v>
      </c>
      <c r="H4599" s="4"/>
      <c r="I4599" s="5"/>
      <c r="J4599" s="4"/>
      <c r="K4599" s="5"/>
      <c r="L4599" s="6"/>
      <c r="M4599" s="5" t="str">
        <f aca="false">IF(AND(N(K4599)&gt;0,N(L4599)&gt;0),K4599/L4599,"")</f>
        <v/>
      </c>
      <c r="N4599" s="2" t="s">
        <v>1226</v>
      </c>
    </row>
    <row r="4600" customFormat="false" ht="15" hidden="false" customHeight="false" outlineLevel="0" collapsed="false">
      <c r="A4600" s="2" t="n">
        <v>4599</v>
      </c>
      <c r="B4600" s="2" t="s">
        <v>3232</v>
      </c>
      <c r="C4600" s="2" t="s">
        <v>9380</v>
      </c>
      <c r="D4600" s="2"/>
      <c r="E4600" s="2" t="s">
        <v>2763</v>
      </c>
      <c r="F4600" s="3" t="n">
        <v>5E-006</v>
      </c>
      <c r="G4600" s="3" t="n">
        <f aca="false">SUM($F$2:F4600)</f>
        <v>0.998256</v>
      </c>
      <c r="H4600" s="4"/>
      <c r="I4600" s="5"/>
      <c r="J4600" s="4"/>
      <c r="K4600" s="5"/>
      <c r="L4600" s="6"/>
      <c r="M4600" s="5" t="str">
        <f aca="false">IF(AND(N(K4600)&gt;0,N(L4600)&gt;0),K4600/L4600,"")</f>
        <v/>
      </c>
      <c r="N4600" s="2" t="s">
        <v>1226</v>
      </c>
    </row>
    <row r="4601" customFormat="false" ht="15" hidden="false" customHeight="false" outlineLevel="0" collapsed="false">
      <c r="A4601" s="2" t="n">
        <v>4600</v>
      </c>
      <c r="B4601" s="2" t="s">
        <v>9381</v>
      </c>
      <c r="C4601" s="2" t="s">
        <v>9382</v>
      </c>
      <c r="D4601" s="2"/>
      <c r="E4601" s="2" t="s">
        <v>289</v>
      </c>
      <c r="F4601" s="3" t="n">
        <v>5E-006</v>
      </c>
      <c r="G4601" s="3" t="n">
        <f aca="false">SUM($F$2:F4601)</f>
        <v>0.998261</v>
      </c>
      <c r="H4601" s="4"/>
      <c r="I4601" s="5"/>
      <c r="J4601" s="4"/>
      <c r="K4601" s="5"/>
      <c r="L4601" s="6"/>
      <c r="M4601" s="5" t="str">
        <f aca="false">IF(AND(N(K4601)&gt;0,N(L4601)&gt;0),K4601/L4601,"")</f>
        <v/>
      </c>
      <c r="N4601" s="2" t="s">
        <v>1226</v>
      </c>
    </row>
    <row r="4602" customFormat="false" ht="15" hidden="false" customHeight="false" outlineLevel="0" collapsed="false">
      <c r="A4602" s="2" t="n">
        <v>4601</v>
      </c>
      <c r="B4602" s="2" t="s">
        <v>9383</v>
      </c>
      <c r="C4602" s="2" t="s">
        <v>9384</v>
      </c>
      <c r="D4602" s="2"/>
      <c r="E4602" s="2" t="s">
        <v>1345</v>
      </c>
      <c r="F4602" s="3" t="n">
        <v>5E-006</v>
      </c>
      <c r="G4602" s="3" t="n">
        <f aca="false">SUM($F$2:F4602)</f>
        <v>0.998266</v>
      </c>
      <c r="H4602" s="4"/>
      <c r="I4602" s="5"/>
      <c r="J4602" s="4"/>
      <c r="K4602" s="5"/>
      <c r="L4602" s="6"/>
      <c r="M4602" s="5" t="str">
        <f aca="false">IF(AND(N(K4602)&gt;0,N(L4602)&gt;0),K4602/L4602,"")</f>
        <v/>
      </c>
      <c r="N4602" s="2" t="s">
        <v>1226</v>
      </c>
    </row>
    <row r="4603" customFormat="false" ht="15" hidden="false" customHeight="false" outlineLevel="0" collapsed="false">
      <c r="A4603" s="2" t="n">
        <v>4602</v>
      </c>
      <c r="B4603" s="2" t="s">
        <v>9385</v>
      </c>
      <c r="C4603" s="2" t="s">
        <v>9386</v>
      </c>
      <c r="D4603" s="2"/>
      <c r="E4603" s="2" t="s">
        <v>1345</v>
      </c>
      <c r="F4603" s="3" t="n">
        <v>5E-006</v>
      </c>
      <c r="G4603" s="3" t="n">
        <f aca="false">SUM($F$2:F4603)</f>
        <v>0.998271</v>
      </c>
      <c r="H4603" s="4"/>
      <c r="I4603" s="5"/>
      <c r="J4603" s="4"/>
      <c r="K4603" s="5"/>
      <c r="L4603" s="6"/>
      <c r="M4603" s="5" t="str">
        <f aca="false">IF(AND(N(K4603)&gt;0,N(L4603)&gt;0),K4603/L4603,"")</f>
        <v/>
      </c>
      <c r="N4603" s="2" t="s">
        <v>1226</v>
      </c>
    </row>
    <row r="4604" customFormat="false" ht="15" hidden="false" customHeight="false" outlineLevel="0" collapsed="false">
      <c r="A4604" s="2" t="n">
        <v>4603</v>
      </c>
      <c r="B4604" s="2" t="s">
        <v>9387</v>
      </c>
      <c r="C4604" s="2" t="s">
        <v>9388</v>
      </c>
      <c r="D4604" s="2"/>
      <c r="E4604" s="2" t="s">
        <v>1345</v>
      </c>
      <c r="F4604" s="3" t="n">
        <v>5E-006</v>
      </c>
      <c r="G4604" s="3" t="n">
        <f aca="false">SUM($F$2:F4604)</f>
        <v>0.998276</v>
      </c>
      <c r="H4604" s="4"/>
      <c r="I4604" s="5"/>
      <c r="J4604" s="4"/>
      <c r="K4604" s="5"/>
      <c r="L4604" s="6"/>
      <c r="M4604" s="5" t="str">
        <f aca="false">IF(AND(N(K4604)&gt;0,N(L4604)&gt;0),K4604/L4604,"")</f>
        <v/>
      </c>
      <c r="N4604" s="2" t="s">
        <v>1226</v>
      </c>
    </row>
    <row r="4605" customFormat="false" ht="15" hidden="false" customHeight="false" outlineLevel="0" collapsed="false">
      <c r="A4605" s="2" t="n">
        <v>4604</v>
      </c>
      <c r="B4605" s="2" t="s">
        <v>9389</v>
      </c>
      <c r="C4605" s="2" t="s">
        <v>9390</v>
      </c>
      <c r="D4605" s="2"/>
      <c r="E4605" s="2" t="s">
        <v>2055</v>
      </c>
      <c r="F4605" s="3" t="n">
        <v>5E-006</v>
      </c>
      <c r="G4605" s="3" t="n">
        <f aca="false">SUM($F$2:F4605)</f>
        <v>0.998281</v>
      </c>
      <c r="H4605" s="4"/>
      <c r="I4605" s="5"/>
      <c r="J4605" s="4"/>
      <c r="K4605" s="5"/>
      <c r="L4605" s="6"/>
      <c r="M4605" s="5" t="str">
        <f aca="false">IF(AND(N(K4605)&gt;0,N(L4605)&gt;0),K4605/L4605,"")</f>
        <v/>
      </c>
      <c r="N4605" s="2" t="s">
        <v>1226</v>
      </c>
    </row>
    <row r="4606" customFormat="false" ht="15" hidden="false" customHeight="false" outlineLevel="0" collapsed="false">
      <c r="A4606" s="2" t="n">
        <v>4605</v>
      </c>
      <c r="B4606" s="2" t="s">
        <v>301</v>
      </c>
      <c r="C4606" s="2" t="s">
        <v>9391</v>
      </c>
      <c r="D4606" s="2"/>
      <c r="E4606" s="2" t="s">
        <v>1050</v>
      </c>
      <c r="F4606" s="3" t="n">
        <v>5E-006</v>
      </c>
      <c r="G4606" s="3" t="n">
        <f aca="false">SUM($F$2:F4606)</f>
        <v>0.998286</v>
      </c>
      <c r="H4606" s="4"/>
      <c r="I4606" s="5"/>
      <c r="J4606" s="4"/>
      <c r="K4606" s="5"/>
      <c r="L4606" s="6"/>
      <c r="M4606" s="5" t="str">
        <f aca="false">IF(AND(N(K4606)&gt;0,N(L4606)&gt;0),K4606/L4606,"")</f>
        <v/>
      </c>
      <c r="N4606" s="2" t="s">
        <v>34</v>
      </c>
    </row>
    <row r="4607" customFormat="false" ht="15" hidden="false" customHeight="false" outlineLevel="0" collapsed="false">
      <c r="A4607" s="2" t="n">
        <v>4606</v>
      </c>
      <c r="B4607" s="2" t="s">
        <v>9392</v>
      </c>
      <c r="C4607" s="2" t="s">
        <v>9393</v>
      </c>
      <c r="D4607" s="2"/>
      <c r="E4607" s="2" t="s">
        <v>2055</v>
      </c>
      <c r="F4607" s="3" t="n">
        <v>5E-006</v>
      </c>
      <c r="G4607" s="3" t="n">
        <f aca="false">SUM($F$2:F4607)</f>
        <v>0.998291</v>
      </c>
      <c r="H4607" s="4"/>
      <c r="I4607" s="5"/>
      <c r="J4607" s="4"/>
      <c r="K4607" s="5"/>
      <c r="L4607" s="6"/>
      <c r="M4607" s="5" t="str">
        <f aca="false">IF(AND(N(K4607)&gt;0,N(L4607)&gt;0),K4607/L4607,"")</f>
        <v/>
      </c>
      <c r="N4607" s="2" t="s">
        <v>1226</v>
      </c>
    </row>
    <row r="4608" customFormat="false" ht="15" hidden="false" customHeight="false" outlineLevel="0" collapsed="false">
      <c r="A4608" s="2" t="n">
        <v>4607</v>
      </c>
      <c r="B4608" s="2" t="s">
        <v>9394</v>
      </c>
      <c r="C4608" s="2" t="s">
        <v>9395</v>
      </c>
      <c r="D4608" s="2"/>
      <c r="E4608" s="2" t="s">
        <v>1345</v>
      </c>
      <c r="F4608" s="3" t="n">
        <v>5E-006</v>
      </c>
      <c r="G4608" s="3" t="n">
        <f aca="false">SUM($F$2:F4608)</f>
        <v>0.998296</v>
      </c>
      <c r="H4608" s="4"/>
      <c r="I4608" s="5"/>
      <c r="J4608" s="4"/>
      <c r="K4608" s="5"/>
      <c r="L4608" s="6"/>
      <c r="M4608" s="5" t="str">
        <f aca="false">IF(AND(N(K4608)&gt;0,N(L4608)&gt;0),K4608/L4608,"")</f>
        <v/>
      </c>
      <c r="N4608" s="2" t="s">
        <v>1226</v>
      </c>
    </row>
    <row r="4609" customFormat="false" ht="15" hidden="false" customHeight="false" outlineLevel="0" collapsed="false">
      <c r="A4609" s="2" t="n">
        <v>4608</v>
      </c>
      <c r="B4609" s="2" t="s">
        <v>9396</v>
      </c>
      <c r="C4609" s="2" t="s">
        <v>9397</v>
      </c>
      <c r="D4609" s="2"/>
      <c r="E4609" s="2" t="s">
        <v>1345</v>
      </c>
      <c r="F4609" s="3" t="n">
        <v>5E-006</v>
      </c>
      <c r="G4609" s="3" t="n">
        <f aca="false">SUM($F$2:F4609)</f>
        <v>0.998301</v>
      </c>
      <c r="H4609" s="4"/>
      <c r="I4609" s="5"/>
      <c r="J4609" s="4"/>
      <c r="K4609" s="5"/>
      <c r="L4609" s="6"/>
      <c r="M4609" s="5" t="str">
        <f aca="false">IF(AND(N(K4609)&gt;0,N(L4609)&gt;0),K4609/L4609,"")</f>
        <v/>
      </c>
      <c r="N4609" s="2" t="s">
        <v>1226</v>
      </c>
    </row>
    <row r="4610" customFormat="false" ht="15" hidden="false" customHeight="false" outlineLevel="0" collapsed="false">
      <c r="A4610" s="2" t="n">
        <v>4609</v>
      </c>
      <c r="B4610" s="2" t="s">
        <v>3656</v>
      </c>
      <c r="C4610" s="2" t="s">
        <v>9398</v>
      </c>
      <c r="D4610" s="2"/>
      <c r="E4610" s="2" t="s">
        <v>17</v>
      </c>
      <c r="F4610" s="3" t="n">
        <v>5E-006</v>
      </c>
      <c r="G4610" s="3" t="n">
        <f aca="false">SUM($F$2:F4610)</f>
        <v>0.998306</v>
      </c>
      <c r="H4610" s="4"/>
      <c r="I4610" s="5"/>
      <c r="J4610" s="4"/>
      <c r="K4610" s="5"/>
      <c r="L4610" s="6"/>
      <c r="M4610" s="5" t="str">
        <f aca="false">IF(AND(N(K4610)&gt;0,N(L4610)&gt;0),K4610/L4610,"")</f>
        <v/>
      </c>
      <c r="N4610" s="2" t="s">
        <v>1226</v>
      </c>
    </row>
    <row r="4611" customFormat="false" ht="15" hidden="false" customHeight="false" outlineLevel="0" collapsed="false">
      <c r="A4611" s="2" t="n">
        <v>4610</v>
      </c>
      <c r="B4611" s="2" t="s">
        <v>9399</v>
      </c>
      <c r="C4611" s="2" t="s">
        <v>9400</v>
      </c>
      <c r="D4611" s="2"/>
      <c r="E4611" s="2" t="s">
        <v>52</v>
      </c>
      <c r="F4611" s="3" t="n">
        <v>5E-006</v>
      </c>
      <c r="G4611" s="3" t="n">
        <f aca="false">SUM($F$2:F4611)</f>
        <v>0.998311</v>
      </c>
      <c r="H4611" s="4"/>
      <c r="I4611" s="5"/>
      <c r="J4611" s="4"/>
      <c r="K4611" s="5"/>
      <c r="L4611" s="6"/>
      <c r="M4611" s="5" t="str">
        <f aca="false">IF(AND(N(K4611)&gt;0,N(L4611)&gt;0),K4611/L4611,"")</f>
        <v/>
      </c>
      <c r="N4611" s="2" t="s">
        <v>1226</v>
      </c>
    </row>
    <row r="4612" customFormat="false" ht="15" hidden="false" customHeight="false" outlineLevel="0" collapsed="false">
      <c r="A4612" s="2" t="n">
        <v>4611</v>
      </c>
      <c r="B4612" s="2" t="s">
        <v>5583</v>
      </c>
      <c r="C4612" s="2" t="s">
        <v>9401</v>
      </c>
      <c r="D4612" s="2"/>
      <c r="E4612" s="2" t="s">
        <v>539</v>
      </c>
      <c r="F4612" s="3" t="n">
        <v>5E-006</v>
      </c>
      <c r="G4612" s="3" t="n">
        <f aca="false">SUM($F$2:F4612)</f>
        <v>0.998316</v>
      </c>
      <c r="H4612" s="4"/>
      <c r="I4612" s="5"/>
      <c r="J4612" s="4"/>
      <c r="K4612" s="5"/>
      <c r="L4612" s="6"/>
      <c r="M4612" s="5" t="str">
        <f aca="false">IF(AND(N(K4612)&gt;0,N(L4612)&gt;0),K4612/L4612,"")</f>
        <v/>
      </c>
      <c r="N4612" s="2" t="s">
        <v>1226</v>
      </c>
    </row>
    <row r="4613" customFormat="false" ht="15" hidden="false" customHeight="false" outlineLevel="0" collapsed="false">
      <c r="A4613" s="2" t="n">
        <v>4612</v>
      </c>
      <c r="B4613" s="2" t="s">
        <v>301</v>
      </c>
      <c r="C4613" s="2" t="s">
        <v>9402</v>
      </c>
      <c r="D4613" s="2"/>
      <c r="E4613" s="2" t="s">
        <v>860</v>
      </c>
      <c r="F4613" s="3" t="n">
        <v>5E-006</v>
      </c>
      <c r="G4613" s="3" t="n">
        <f aca="false">SUM($F$2:F4613)</f>
        <v>0.998321</v>
      </c>
      <c r="H4613" s="4"/>
      <c r="I4613" s="5"/>
      <c r="J4613" s="4"/>
      <c r="K4613" s="5"/>
      <c r="L4613" s="6"/>
      <c r="M4613" s="5" t="str">
        <f aca="false">IF(AND(N(K4613)&gt;0,N(L4613)&gt;0),K4613/L4613,"")</f>
        <v/>
      </c>
      <c r="N4613" s="2" t="s">
        <v>34</v>
      </c>
    </row>
    <row r="4614" customFormat="false" ht="15" hidden="false" customHeight="false" outlineLevel="0" collapsed="false">
      <c r="A4614" s="2" t="n">
        <v>4613</v>
      </c>
      <c r="B4614" s="2" t="s">
        <v>9403</v>
      </c>
      <c r="C4614" s="2" t="s">
        <v>9404</v>
      </c>
      <c r="D4614" s="2"/>
      <c r="E4614" s="2" t="s">
        <v>1345</v>
      </c>
      <c r="F4614" s="3" t="n">
        <v>5E-006</v>
      </c>
      <c r="G4614" s="3" t="n">
        <f aca="false">SUM($F$2:F4614)</f>
        <v>0.998326</v>
      </c>
      <c r="H4614" s="4"/>
      <c r="I4614" s="5"/>
      <c r="J4614" s="4"/>
      <c r="K4614" s="5"/>
      <c r="L4614" s="6"/>
      <c r="M4614" s="5" t="str">
        <f aca="false">IF(AND(N(K4614)&gt;0,N(L4614)&gt;0),K4614/L4614,"")</f>
        <v/>
      </c>
      <c r="N4614" s="2" t="s">
        <v>1226</v>
      </c>
    </row>
    <row r="4615" customFormat="false" ht="15" hidden="false" customHeight="false" outlineLevel="0" collapsed="false">
      <c r="A4615" s="2" t="n">
        <v>4614</v>
      </c>
      <c r="B4615" s="2" t="s">
        <v>9405</v>
      </c>
      <c r="C4615" s="2" t="s">
        <v>9406</v>
      </c>
      <c r="D4615" s="2"/>
      <c r="E4615" s="2" t="s">
        <v>21</v>
      </c>
      <c r="F4615" s="3" t="n">
        <v>5E-006</v>
      </c>
      <c r="G4615" s="3" t="n">
        <f aca="false">SUM($F$2:F4615)</f>
        <v>0.998331</v>
      </c>
      <c r="H4615" s="4"/>
      <c r="I4615" s="5"/>
      <c r="J4615" s="4"/>
      <c r="K4615" s="5"/>
      <c r="L4615" s="6"/>
      <c r="M4615" s="5" t="str">
        <f aca="false">IF(AND(N(K4615)&gt;0,N(L4615)&gt;0),K4615/L4615,"")</f>
        <v/>
      </c>
      <c r="N4615" s="2" t="s">
        <v>1226</v>
      </c>
    </row>
    <row r="4616" customFormat="false" ht="15" hidden="false" customHeight="false" outlineLevel="0" collapsed="false">
      <c r="A4616" s="2" t="n">
        <v>4615</v>
      </c>
      <c r="B4616" s="2" t="s">
        <v>9407</v>
      </c>
      <c r="C4616" s="2" t="s">
        <v>9408</v>
      </c>
      <c r="D4616" s="2"/>
      <c r="E4616" s="2" t="s">
        <v>1345</v>
      </c>
      <c r="F4616" s="3" t="n">
        <v>5E-006</v>
      </c>
      <c r="G4616" s="3" t="n">
        <f aca="false">SUM($F$2:F4616)</f>
        <v>0.998336</v>
      </c>
      <c r="H4616" s="4"/>
      <c r="I4616" s="5"/>
      <c r="J4616" s="4"/>
      <c r="K4616" s="5"/>
      <c r="L4616" s="6"/>
      <c r="M4616" s="5" t="str">
        <f aca="false">IF(AND(N(K4616)&gt;0,N(L4616)&gt;0),K4616/L4616,"")</f>
        <v/>
      </c>
      <c r="N4616" s="2" t="s">
        <v>1226</v>
      </c>
    </row>
    <row r="4617" customFormat="false" ht="15" hidden="false" customHeight="false" outlineLevel="0" collapsed="false">
      <c r="A4617" s="2" t="n">
        <v>4616</v>
      </c>
      <c r="B4617" s="2" t="s">
        <v>9409</v>
      </c>
      <c r="C4617" s="2" t="s">
        <v>9410</v>
      </c>
      <c r="D4617" s="2"/>
      <c r="E4617" s="2" t="s">
        <v>289</v>
      </c>
      <c r="F4617" s="3" t="n">
        <v>5E-006</v>
      </c>
      <c r="G4617" s="3" t="n">
        <f aca="false">SUM($F$2:F4617)</f>
        <v>0.998341</v>
      </c>
      <c r="H4617" s="4"/>
      <c r="I4617" s="5"/>
      <c r="J4617" s="4"/>
      <c r="K4617" s="5"/>
      <c r="L4617" s="6"/>
      <c r="M4617" s="5" t="str">
        <f aca="false">IF(AND(N(K4617)&gt;0,N(L4617)&gt;0),K4617/L4617,"")</f>
        <v/>
      </c>
      <c r="N4617" s="2" t="s">
        <v>1226</v>
      </c>
    </row>
    <row r="4618" customFormat="false" ht="15" hidden="false" customHeight="false" outlineLevel="0" collapsed="false">
      <c r="A4618" s="2" t="n">
        <v>4617</v>
      </c>
      <c r="B4618" s="2" t="s">
        <v>9411</v>
      </c>
      <c r="C4618" s="2" t="s">
        <v>9412</v>
      </c>
      <c r="D4618" s="2"/>
      <c r="E4618" s="2" t="s">
        <v>2055</v>
      </c>
      <c r="F4618" s="3" t="n">
        <v>5E-006</v>
      </c>
      <c r="G4618" s="3" t="n">
        <f aca="false">SUM($F$2:F4618)</f>
        <v>0.998346</v>
      </c>
      <c r="H4618" s="4"/>
      <c r="I4618" s="5"/>
      <c r="J4618" s="4"/>
      <c r="K4618" s="5"/>
      <c r="L4618" s="6"/>
      <c r="M4618" s="5" t="str">
        <f aca="false">IF(AND(N(K4618)&gt;0,N(L4618)&gt;0),K4618/L4618,"")</f>
        <v/>
      </c>
      <c r="N4618" s="2" t="s">
        <v>1226</v>
      </c>
    </row>
    <row r="4619" customFormat="false" ht="15" hidden="false" customHeight="false" outlineLevel="0" collapsed="false">
      <c r="A4619" s="2" t="n">
        <v>4618</v>
      </c>
      <c r="B4619" s="2" t="s">
        <v>9413</v>
      </c>
      <c r="C4619" s="2" t="s">
        <v>9414</v>
      </c>
      <c r="D4619" s="2"/>
      <c r="E4619" s="2" t="s">
        <v>1345</v>
      </c>
      <c r="F4619" s="3" t="n">
        <v>5E-006</v>
      </c>
      <c r="G4619" s="3" t="n">
        <f aca="false">SUM($F$2:F4619)</f>
        <v>0.998351</v>
      </c>
      <c r="H4619" s="4"/>
      <c r="I4619" s="5"/>
      <c r="J4619" s="4"/>
      <c r="K4619" s="5"/>
      <c r="L4619" s="6"/>
      <c r="M4619" s="5" t="str">
        <f aca="false">IF(AND(N(K4619)&gt;0,N(L4619)&gt;0),K4619/L4619,"")</f>
        <v/>
      </c>
      <c r="N4619" s="2" t="s">
        <v>1226</v>
      </c>
    </row>
    <row r="4620" customFormat="false" ht="15" hidden="false" customHeight="false" outlineLevel="0" collapsed="false">
      <c r="A4620" s="2" t="n">
        <v>4619</v>
      </c>
      <c r="B4620" s="2" t="s">
        <v>9415</v>
      </c>
      <c r="C4620" s="2" t="s">
        <v>9416</v>
      </c>
      <c r="D4620" s="2"/>
      <c r="E4620" s="2" t="s">
        <v>1345</v>
      </c>
      <c r="F4620" s="3" t="n">
        <v>5E-006</v>
      </c>
      <c r="G4620" s="3" t="n">
        <f aca="false">SUM($F$2:F4620)</f>
        <v>0.998356</v>
      </c>
      <c r="H4620" s="4"/>
      <c r="I4620" s="5"/>
      <c r="J4620" s="4"/>
      <c r="K4620" s="5"/>
      <c r="L4620" s="6"/>
      <c r="M4620" s="5" t="str">
        <f aca="false">IF(AND(N(K4620)&gt;0,N(L4620)&gt;0),K4620/L4620,"")</f>
        <v/>
      </c>
      <c r="N4620" s="2" t="s">
        <v>1226</v>
      </c>
    </row>
    <row r="4621" customFormat="false" ht="15" hidden="false" customHeight="false" outlineLevel="0" collapsed="false">
      <c r="A4621" s="2" t="n">
        <v>4620</v>
      </c>
      <c r="B4621" s="2" t="s">
        <v>1099</v>
      </c>
      <c r="C4621" s="2" t="s">
        <v>9417</v>
      </c>
      <c r="D4621" s="2"/>
      <c r="E4621" s="2" t="s">
        <v>52</v>
      </c>
      <c r="F4621" s="3" t="n">
        <v>5E-006</v>
      </c>
      <c r="G4621" s="3" t="n">
        <f aca="false">SUM($F$2:F4621)</f>
        <v>0.998361</v>
      </c>
      <c r="H4621" s="4"/>
      <c r="I4621" s="5"/>
      <c r="J4621" s="4"/>
      <c r="K4621" s="5"/>
      <c r="L4621" s="6"/>
      <c r="M4621" s="5" t="str">
        <f aca="false">IF(AND(N(K4621)&gt;0,N(L4621)&gt;0),K4621/L4621,"")</f>
        <v/>
      </c>
      <c r="N4621" s="2" t="s">
        <v>1226</v>
      </c>
    </row>
    <row r="4622" customFormat="false" ht="15" hidden="false" customHeight="false" outlineLevel="0" collapsed="false">
      <c r="A4622" s="2" t="n">
        <v>4621</v>
      </c>
      <c r="B4622" s="2" t="s">
        <v>9418</v>
      </c>
      <c r="C4622" s="2" t="s">
        <v>9419</v>
      </c>
      <c r="D4622" s="2"/>
      <c r="E4622" s="2" t="s">
        <v>1345</v>
      </c>
      <c r="F4622" s="3" t="n">
        <v>5E-006</v>
      </c>
      <c r="G4622" s="3" t="n">
        <f aca="false">SUM($F$2:F4622)</f>
        <v>0.998366</v>
      </c>
      <c r="H4622" s="4"/>
      <c r="I4622" s="5"/>
      <c r="J4622" s="4"/>
      <c r="K4622" s="5"/>
      <c r="L4622" s="6"/>
      <c r="M4622" s="5" t="str">
        <f aca="false">IF(AND(N(K4622)&gt;0,N(L4622)&gt;0),K4622/L4622,"")</f>
        <v/>
      </c>
      <c r="N4622" s="2" t="s">
        <v>1226</v>
      </c>
    </row>
    <row r="4623" customFormat="false" ht="15" hidden="false" customHeight="false" outlineLevel="0" collapsed="false">
      <c r="A4623" s="2" t="n">
        <v>4622</v>
      </c>
      <c r="B4623" s="2" t="s">
        <v>9420</v>
      </c>
      <c r="C4623" s="2" t="s">
        <v>9421</v>
      </c>
      <c r="D4623" s="2"/>
      <c r="E4623" s="2" t="s">
        <v>38</v>
      </c>
      <c r="F4623" s="3" t="n">
        <v>5E-006</v>
      </c>
      <c r="G4623" s="3" t="n">
        <f aca="false">SUM($F$2:F4623)</f>
        <v>0.998371</v>
      </c>
      <c r="H4623" s="4"/>
      <c r="I4623" s="5"/>
      <c r="J4623" s="4"/>
      <c r="K4623" s="5"/>
      <c r="L4623" s="6"/>
      <c r="M4623" s="5" t="str">
        <f aca="false">IF(AND(N(K4623)&gt;0,N(L4623)&gt;0),K4623/L4623,"")</f>
        <v/>
      </c>
      <c r="N4623" s="2" t="s">
        <v>1226</v>
      </c>
    </row>
    <row r="4624" customFormat="false" ht="15" hidden="false" customHeight="false" outlineLevel="0" collapsed="false">
      <c r="A4624" s="2" t="n">
        <v>4623</v>
      </c>
      <c r="B4624" s="2" t="s">
        <v>9422</v>
      </c>
      <c r="C4624" s="2" t="s">
        <v>9423</v>
      </c>
      <c r="D4624" s="2"/>
      <c r="E4624" s="2" t="s">
        <v>25</v>
      </c>
      <c r="F4624" s="3" t="n">
        <v>5E-006</v>
      </c>
      <c r="G4624" s="3" t="n">
        <f aca="false">SUM($F$2:F4624)</f>
        <v>0.998376</v>
      </c>
      <c r="H4624" s="4"/>
      <c r="I4624" s="5"/>
      <c r="J4624" s="4"/>
      <c r="K4624" s="5"/>
      <c r="L4624" s="6"/>
      <c r="M4624" s="5" t="str">
        <f aca="false">IF(AND(N(K4624)&gt;0,N(L4624)&gt;0),K4624/L4624,"")</f>
        <v/>
      </c>
      <c r="N4624" s="2" t="s">
        <v>1226</v>
      </c>
    </row>
    <row r="4625" customFormat="false" ht="15" hidden="false" customHeight="false" outlineLevel="0" collapsed="false">
      <c r="A4625" s="2" t="n">
        <v>4624</v>
      </c>
      <c r="B4625" s="2" t="s">
        <v>9424</v>
      </c>
      <c r="C4625" s="2" t="s">
        <v>9425</v>
      </c>
      <c r="D4625" s="2"/>
      <c r="E4625" s="2" t="s">
        <v>1345</v>
      </c>
      <c r="F4625" s="3" t="n">
        <v>5E-006</v>
      </c>
      <c r="G4625" s="3" t="n">
        <f aca="false">SUM($F$2:F4625)</f>
        <v>0.998381</v>
      </c>
      <c r="H4625" s="4"/>
      <c r="I4625" s="5"/>
      <c r="J4625" s="4"/>
      <c r="K4625" s="5"/>
      <c r="L4625" s="6"/>
      <c r="M4625" s="5" t="str">
        <f aca="false">IF(AND(N(K4625)&gt;0,N(L4625)&gt;0),K4625/L4625,"")</f>
        <v/>
      </c>
      <c r="N4625" s="2" t="s">
        <v>1226</v>
      </c>
    </row>
    <row r="4626" customFormat="false" ht="15" hidden="false" customHeight="false" outlineLevel="0" collapsed="false">
      <c r="A4626" s="2" t="n">
        <v>4625</v>
      </c>
      <c r="B4626" s="2" t="s">
        <v>9426</v>
      </c>
      <c r="C4626" s="2" t="s">
        <v>9427</v>
      </c>
      <c r="D4626" s="2"/>
      <c r="E4626" s="2" t="s">
        <v>539</v>
      </c>
      <c r="F4626" s="3" t="n">
        <v>5E-006</v>
      </c>
      <c r="G4626" s="3" t="n">
        <f aca="false">SUM($F$2:F4626)</f>
        <v>0.998386</v>
      </c>
      <c r="H4626" s="4"/>
      <c r="I4626" s="5"/>
      <c r="J4626" s="4"/>
      <c r="K4626" s="5"/>
      <c r="L4626" s="6"/>
      <c r="M4626" s="5" t="str">
        <f aca="false">IF(AND(N(K4626)&gt;0,N(L4626)&gt;0),K4626/L4626,"")</f>
        <v/>
      </c>
      <c r="N4626" s="2" t="s">
        <v>1226</v>
      </c>
    </row>
    <row r="4627" customFormat="false" ht="15" hidden="false" customHeight="false" outlineLevel="0" collapsed="false">
      <c r="A4627" s="2" t="n">
        <v>4626</v>
      </c>
      <c r="B4627" s="2" t="s">
        <v>9428</v>
      </c>
      <c r="C4627" s="2" t="s">
        <v>9429</v>
      </c>
      <c r="D4627" s="2"/>
      <c r="E4627" s="2" t="s">
        <v>199</v>
      </c>
      <c r="F4627" s="3" t="n">
        <v>5E-006</v>
      </c>
      <c r="G4627" s="3" t="n">
        <f aca="false">SUM($F$2:F4627)</f>
        <v>0.998391</v>
      </c>
      <c r="H4627" s="4"/>
      <c r="I4627" s="5"/>
      <c r="J4627" s="4"/>
      <c r="K4627" s="5"/>
      <c r="L4627" s="6"/>
      <c r="M4627" s="5" t="str">
        <f aca="false">IF(AND(N(K4627)&gt;0,N(L4627)&gt;0),K4627/L4627,"")</f>
        <v/>
      </c>
      <c r="N4627" s="2" t="s">
        <v>1226</v>
      </c>
    </row>
    <row r="4628" customFormat="false" ht="15" hidden="false" customHeight="false" outlineLevel="0" collapsed="false">
      <c r="A4628" s="2" t="n">
        <v>4627</v>
      </c>
      <c r="B4628" s="2" t="s">
        <v>9430</v>
      </c>
      <c r="C4628" s="2" t="s">
        <v>9431</v>
      </c>
      <c r="D4628" s="2"/>
      <c r="E4628" s="2" t="s">
        <v>52</v>
      </c>
      <c r="F4628" s="3" t="n">
        <v>5E-006</v>
      </c>
      <c r="G4628" s="3" t="n">
        <f aca="false">SUM($F$2:F4628)</f>
        <v>0.998396</v>
      </c>
      <c r="H4628" s="4"/>
      <c r="I4628" s="5"/>
      <c r="J4628" s="4"/>
      <c r="K4628" s="5"/>
      <c r="L4628" s="6"/>
      <c r="M4628" s="5" t="str">
        <f aca="false">IF(AND(N(K4628)&gt;0,N(L4628)&gt;0),K4628/L4628,"")</f>
        <v/>
      </c>
      <c r="N4628" s="2" t="s">
        <v>1226</v>
      </c>
    </row>
    <row r="4629" customFormat="false" ht="15" hidden="false" customHeight="false" outlineLevel="0" collapsed="false">
      <c r="A4629" s="2" t="n">
        <v>4628</v>
      </c>
      <c r="B4629" s="2" t="s">
        <v>9432</v>
      </c>
      <c r="C4629" s="2" t="s">
        <v>9433</v>
      </c>
      <c r="D4629" s="2"/>
      <c r="E4629" s="2" t="s">
        <v>289</v>
      </c>
      <c r="F4629" s="3" t="n">
        <v>5E-006</v>
      </c>
      <c r="G4629" s="3" t="n">
        <f aca="false">SUM($F$2:F4629)</f>
        <v>0.998401</v>
      </c>
      <c r="H4629" s="4"/>
      <c r="I4629" s="5"/>
      <c r="J4629" s="4"/>
      <c r="K4629" s="5"/>
      <c r="L4629" s="6"/>
      <c r="M4629" s="5" t="str">
        <f aca="false">IF(AND(N(K4629)&gt;0,N(L4629)&gt;0),K4629/L4629,"")</f>
        <v/>
      </c>
      <c r="N4629" s="2" t="s">
        <v>1226</v>
      </c>
    </row>
    <row r="4630" customFormat="false" ht="15" hidden="false" customHeight="false" outlineLevel="0" collapsed="false">
      <c r="A4630" s="2" t="n">
        <v>4629</v>
      </c>
      <c r="B4630" s="2" t="s">
        <v>9434</v>
      </c>
      <c r="C4630" s="2" t="s">
        <v>9435</v>
      </c>
      <c r="D4630" s="2"/>
      <c r="E4630" s="2" t="s">
        <v>17</v>
      </c>
      <c r="F4630" s="3" t="n">
        <v>5E-006</v>
      </c>
      <c r="G4630" s="3" t="n">
        <f aca="false">SUM($F$2:F4630)</f>
        <v>0.998406</v>
      </c>
      <c r="H4630" s="4"/>
      <c r="I4630" s="5"/>
      <c r="J4630" s="4"/>
      <c r="K4630" s="5"/>
      <c r="L4630" s="6"/>
      <c r="M4630" s="5" t="str">
        <f aca="false">IF(AND(N(K4630)&gt;0,N(L4630)&gt;0),K4630/L4630,"")</f>
        <v/>
      </c>
      <c r="N4630" s="2" t="s">
        <v>1226</v>
      </c>
    </row>
    <row r="4631" customFormat="false" ht="15" hidden="false" customHeight="false" outlineLevel="0" collapsed="false">
      <c r="A4631" s="2" t="n">
        <v>4630</v>
      </c>
      <c r="B4631" s="2" t="s">
        <v>9436</v>
      </c>
      <c r="C4631" s="2" t="s">
        <v>9437</v>
      </c>
      <c r="D4631" s="2"/>
      <c r="E4631" s="2" t="s">
        <v>199</v>
      </c>
      <c r="F4631" s="3" t="n">
        <v>5E-006</v>
      </c>
      <c r="G4631" s="3" t="n">
        <f aca="false">SUM($F$2:F4631)</f>
        <v>0.998411</v>
      </c>
      <c r="H4631" s="4"/>
      <c r="I4631" s="5"/>
      <c r="J4631" s="4"/>
      <c r="K4631" s="5"/>
      <c r="L4631" s="6"/>
      <c r="M4631" s="5" t="str">
        <f aca="false">IF(AND(N(K4631)&gt;0,N(L4631)&gt;0),K4631/L4631,"")</f>
        <v/>
      </c>
      <c r="N4631" s="2" t="s">
        <v>1226</v>
      </c>
    </row>
    <row r="4632" customFormat="false" ht="15" hidden="false" customHeight="false" outlineLevel="0" collapsed="false">
      <c r="A4632" s="2" t="n">
        <v>4631</v>
      </c>
      <c r="B4632" s="2" t="s">
        <v>9438</v>
      </c>
      <c r="C4632" s="2" t="s">
        <v>9439</v>
      </c>
      <c r="D4632" s="2"/>
      <c r="E4632" s="2" t="s">
        <v>25</v>
      </c>
      <c r="F4632" s="3" t="n">
        <v>5E-006</v>
      </c>
      <c r="G4632" s="3" t="n">
        <f aca="false">SUM($F$2:F4632)</f>
        <v>0.998416</v>
      </c>
      <c r="H4632" s="4"/>
      <c r="I4632" s="5"/>
      <c r="J4632" s="4"/>
      <c r="K4632" s="5"/>
      <c r="L4632" s="6"/>
      <c r="M4632" s="5" t="str">
        <f aca="false">IF(AND(N(K4632)&gt;0,N(L4632)&gt;0),K4632/L4632,"")</f>
        <v/>
      </c>
      <c r="N4632" s="2" t="s">
        <v>1226</v>
      </c>
    </row>
    <row r="4633" customFormat="false" ht="15" hidden="false" customHeight="false" outlineLevel="0" collapsed="false">
      <c r="A4633" s="2" t="n">
        <v>4632</v>
      </c>
      <c r="B4633" s="2" t="s">
        <v>9440</v>
      </c>
      <c r="C4633" s="2" t="s">
        <v>9441</v>
      </c>
      <c r="D4633" s="2"/>
      <c r="E4633" s="2" t="s">
        <v>17</v>
      </c>
      <c r="F4633" s="3" t="n">
        <v>5E-006</v>
      </c>
      <c r="G4633" s="3" t="n">
        <f aca="false">SUM($F$2:F4633)</f>
        <v>0.998421</v>
      </c>
      <c r="H4633" s="4"/>
      <c r="I4633" s="5"/>
      <c r="J4633" s="4"/>
      <c r="K4633" s="5"/>
      <c r="L4633" s="6"/>
      <c r="M4633" s="5" t="str">
        <f aca="false">IF(AND(N(K4633)&gt;0,N(L4633)&gt;0),K4633/L4633,"")</f>
        <v/>
      </c>
      <c r="N4633" s="2" t="s">
        <v>1226</v>
      </c>
    </row>
    <row r="4634" customFormat="false" ht="15" hidden="false" customHeight="false" outlineLevel="0" collapsed="false">
      <c r="A4634" s="2" t="n">
        <v>4633</v>
      </c>
      <c r="B4634" s="2" t="s">
        <v>9442</v>
      </c>
      <c r="C4634" s="2" t="s">
        <v>9443</v>
      </c>
      <c r="D4634" s="2"/>
      <c r="E4634" s="2" t="s">
        <v>1345</v>
      </c>
      <c r="F4634" s="3" t="n">
        <v>5E-006</v>
      </c>
      <c r="G4634" s="3" t="n">
        <f aca="false">SUM($F$2:F4634)</f>
        <v>0.998426</v>
      </c>
      <c r="H4634" s="4"/>
      <c r="I4634" s="5"/>
      <c r="J4634" s="4"/>
      <c r="K4634" s="5"/>
      <c r="L4634" s="6"/>
      <c r="M4634" s="5" t="str">
        <f aca="false">IF(AND(N(K4634)&gt;0,N(L4634)&gt;0),K4634/L4634,"")</f>
        <v/>
      </c>
      <c r="N4634" s="2" t="s">
        <v>1226</v>
      </c>
    </row>
    <row r="4635" customFormat="false" ht="15" hidden="false" customHeight="false" outlineLevel="0" collapsed="false">
      <c r="A4635" s="2" t="n">
        <v>4634</v>
      </c>
      <c r="B4635" s="2" t="s">
        <v>9444</v>
      </c>
      <c r="C4635" s="2" t="s">
        <v>9445</v>
      </c>
      <c r="D4635" s="2"/>
      <c r="E4635" s="2" t="s">
        <v>52</v>
      </c>
      <c r="F4635" s="3" t="n">
        <v>5E-006</v>
      </c>
      <c r="G4635" s="3" t="n">
        <f aca="false">SUM($F$2:F4635)</f>
        <v>0.998431</v>
      </c>
      <c r="H4635" s="4"/>
      <c r="I4635" s="5"/>
      <c r="J4635" s="4"/>
      <c r="K4635" s="5"/>
      <c r="L4635" s="6"/>
      <c r="M4635" s="5" t="str">
        <f aca="false">IF(AND(N(K4635)&gt;0,N(L4635)&gt;0),K4635/L4635,"")</f>
        <v/>
      </c>
      <c r="N4635" s="2" t="s">
        <v>1226</v>
      </c>
    </row>
    <row r="4636" customFormat="false" ht="15" hidden="false" customHeight="false" outlineLevel="0" collapsed="false">
      <c r="A4636" s="2" t="n">
        <v>4635</v>
      </c>
      <c r="B4636" s="2" t="s">
        <v>9446</v>
      </c>
      <c r="C4636" s="2" t="s">
        <v>9447</v>
      </c>
      <c r="D4636" s="2"/>
      <c r="E4636" s="2" t="s">
        <v>17</v>
      </c>
      <c r="F4636" s="3" t="n">
        <v>5E-006</v>
      </c>
      <c r="G4636" s="3" t="n">
        <f aca="false">SUM($F$2:F4636)</f>
        <v>0.998436</v>
      </c>
      <c r="H4636" s="4"/>
      <c r="I4636" s="5"/>
      <c r="J4636" s="4"/>
      <c r="K4636" s="5"/>
      <c r="L4636" s="6"/>
      <c r="M4636" s="5" t="str">
        <f aca="false">IF(AND(N(K4636)&gt;0,N(L4636)&gt;0),K4636/L4636,"")</f>
        <v/>
      </c>
      <c r="N4636" s="2" t="s">
        <v>1226</v>
      </c>
    </row>
    <row r="4637" customFormat="false" ht="15" hidden="false" customHeight="false" outlineLevel="0" collapsed="false">
      <c r="A4637" s="2" t="n">
        <v>4636</v>
      </c>
      <c r="B4637" s="2" t="s">
        <v>9448</v>
      </c>
      <c r="C4637" s="2" t="s">
        <v>9449</v>
      </c>
      <c r="D4637" s="2"/>
      <c r="E4637" s="2" t="s">
        <v>289</v>
      </c>
      <c r="F4637" s="3" t="n">
        <v>5E-006</v>
      </c>
      <c r="G4637" s="3" t="n">
        <f aca="false">SUM($F$2:F4637)</f>
        <v>0.998441</v>
      </c>
      <c r="H4637" s="4"/>
      <c r="I4637" s="5"/>
      <c r="J4637" s="4"/>
      <c r="K4637" s="5"/>
      <c r="L4637" s="6"/>
      <c r="M4637" s="5" t="str">
        <f aca="false">IF(AND(N(K4637)&gt;0,N(L4637)&gt;0),K4637/L4637,"")</f>
        <v/>
      </c>
      <c r="N4637" s="2" t="s">
        <v>1226</v>
      </c>
    </row>
    <row r="4638" customFormat="false" ht="15" hidden="false" customHeight="false" outlineLevel="0" collapsed="false">
      <c r="A4638" s="2" t="n">
        <v>4637</v>
      </c>
      <c r="B4638" s="2" t="s">
        <v>9450</v>
      </c>
      <c r="C4638" s="2" t="s">
        <v>9451</v>
      </c>
      <c r="D4638" s="2"/>
      <c r="E4638" s="2" t="s">
        <v>2055</v>
      </c>
      <c r="F4638" s="3" t="n">
        <v>5E-006</v>
      </c>
      <c r="G4638" s="3" t="n">
        <f aca="false">SUM($F$2:F4638)</f>
        <v>0.998446</v>
      </c>
      <c r="H4638" s="4"/>
      <c r="I4638" s="5"/>
      <c r="J4638" s="4"/>
      <c r="K4638" s="5"/>
      <c r="L4638" s="6"/>
      <c r="M4638" s="5" t="str">
        <f aca="false">IF(AND(N(K4638)&gt;0,N(L4638)&gt;0),K4638/L4638,"")</f>
        <v/>
      </c>
      <c r="N4638" s="2" t="s">
        <v>1226</v>
      </c>
    </row>
    <row r="4639" customFormat="false" ht="15" hidden="false" customHeight="false" outlineLevel="0" collapsed="false">
      <c r="A4639" s="2" t="n">
        <v>4638</v>
      </c>
      <c r="B4639" s="2" t="s">
        <v>9452</v>
      </c>
      <c r="C4639" s="2" t="s">
        <v>9453</v>
      </c>
      <c r="D4639" s="2"/>
      <c r="E4639" s="2" t="s">
        <v>43</v>
      </c>
      <c r="F4639" s="3" t="n">
        <v>5E-006</v>
      </c>
      <c r="G4639" s="3" t="n">
        <f aca="false">SUM($F$2:F4639)</f>
        <v>0.998451</v>
      </c>
      <c r="H4639" s="4"/>
      <c r="I4639" s="5"/>
      <c r="J4639" s="4"/>
      <c r="K4639" s="5"/>
      <c r="L4639" s="6"/>
      <c r="M4639" s="5" t="str">
        <f aca="false">IF(AND(N(K4639)&gt;0,N(L4639)&gt;0),K4639/L4639,"")</f>
        <v/>
      </c>
      <c r="N4639" s="2" t="s">
        <v>1226</v>
      </c>
    </row>
    <row r="4640" customFormat="false" ht="15" hidden="false" customHeight="false" outlineLevel="0" collapsed="false">
      <c r="A4640" s="2" t="n">
        <v>4639</v>
      </c>
      <c r="B4640" s="2" t="s">
        <v>9454</v>
      </c>
      <c r="C4640" s="2" t="s">
        <v>9455</v>
      </c>
      <c r="D4640" s="2"/>
      <c r="E4640" s="2" t="s">
        <v>1345</v>
      </c>
      <c r="F4640" s="3" t="n">
        <v>5E-006</v>
      </c>
      <c r="G4640" s="3" t="n">
        <f aca="false">SUM($F$2:F4640)</f>
        <v>0.998456</v>
      </c>
      <c r="H4640" s="4"/>
      <c r="I4640" s="5"/>
      <c r="J4640" s="4"/>
      <c r="K4640" s="5"/>
      <c r="L4640" s="6"/>
      <c r="M4640" s="5" t="str">
        <f aca="false">IF(AND(N(K4640)&gt;0,N(L4640)&gt;0),K4640/L4640,"")</f>
        <v/>
      </c>
      <c r="N4640" s="2" t="s">
        <v>1226</v>
      </c>
    </row>
    <row r="4641" customFormat="false" ht="15" hidden="false" customHeight="false" outlineLevel="0" collapsed="false">
      <c r="A4641" s="2" t="n">
        <v>4640</v>
      </c>
      <c r="B4641" s="2" t="s">
        <v>9456</v>
      </c>
      <c r="C4641" s="2" t="s">
        <v>9457</v>
      </c>
      <c r="D4641" s="2"/>
      <c r="E4641" s="2" t="s">
        <v>17</v>
      </c>
      <c r="F4641" s="3" t="n">
        <v>5E-006</v>
      </c>
      <c r="G4641" s="3" t="n">
        <f aca="false">SUM($F$2:F4641)</f>
        <v>0.998461</v>
      </c>
      <c r="H4641" s="4"/>
      <c r="I4641" s="5"/>
      <c r="J4641" s="4"/>
      <c r="K4641" s="5"/>
      <c r="L4641" s="6"/>
      <c r="M4641" s="5" t="str">
        <f aca="false">IF(AND(N(K4641)&gt;0,N(L4641)&gt;0),K4641/L4641,"")</f>
        <v/>
      </c>
      <c r="N4641" s="2" t="s">
        <v>1226</v>
      </c>
    </row>
    <row r="4642" customFormat="false" ht="15" hidden="false" customHeight="false" outlineLevel="0" collapsed="false">
      <c r="A4642" s="2" t="n">
        <v>4641</v>
      </c>
      <c r="B4642" s="2" t="s">
        <v>9458</v>
      </c>
      <c r="C4642" s="2" t="s">
        <v>9459</v>
      </c>
      <c r="D4642" s="2"/>
      <c r="E4642" s="2" t="s">
        <v>1345</v>
      </c>
      <c r="F4642" s="3" t="n">
        <v>5E-006</v>
      </c>
      <c r="G4642" s="3" t="n">
        <f aca="false">SUM($F$2:F4642)</f>
        <v>0.998466</v>
      </c>
      <c r="H4642" s="4"/>
      <c r="I4642" s="5"/>
      <c r="J4642" s="4"/>
      <c r="K4642" s="5"/>
      <c r="L4642" s="6"/>
      <c r="M4642" s="5" t="str">
        <f aca="false">IF(AND(N(K4642)&gt;0,N(L4642)&gt;0),K4642/L4642,"")</f>
        <v/>
      </c>
      <c r="N4642" s="2" t="s">
        <v>1226</v>
      </c>
    </row>
    <row r="4643" customFormat="false" ht="15" hidden="false" customHeight="false" outlineLevel="0" collapsed="false">
      <c r="A4643" s="2" t="n">
        <v>4642</v>
      </c>
      <c r="B4643" s="2" t="s">
        <v>6703</v>
      </c>
      <c r="C4643" s="2" t="s">
        <v>9460</v>
      </c>
      <c r="D4643" s="2"/>
      <c r="E4643" s="2" t="s">
        <v>289</v>
      </c>
      <c r="F4643" s="3" t="n">
        <v>5E-006</v>
      </c>
      <c r="G4643" s="3" t="n">
        <f aca="false">SUM($F$2:F4643)</f>
        <v>0.998471</v>
      </c>
      <c r="H4643" s="4"/>
      <c r="I4643" s="5"/>
      <c r="J4643" s="4"/>
      <c r="K4643" s="5"/>
      <c r="L4643" s="6"/>
      <c r="M4643" s="5" t="str">
        <f aca="false">IF(AND(N(K4643)&gt;0,N(L4643)&gt;0),K4643/L4643,"")</f>
        <v/>
      </c>
      <c r="N4643" s="2" t="s">
        <v>1226</v>
      </c>
    </row>
    <row r="4644" customFormat="false" ht="15" hidden="false" customHeight="false" outlineLevel="0" collapsed="false">
      <c r="A4644" s="2" t="n">
        <v>4643</v>
      </c>
      <c r="B4644" s="2" t="s">
        <v>9461</v>
      </c>
      <c r="C4644" s="2" t="s">
        <v>9462</v>
      </c>
      <c r="D4644" s="2"/>
      <c r="E4644" s="2" t="s">
        <v>289</v>
      </c>
      <c r="F4644" s="3" t="n">
        <v>5E-006</v>
      </c>
      <c r="G4644" s="3" t="n">
        <f aca="false">SUM($F$2:F4644)</f>
        <v>0.998476</v>
      </c>
      <c r="H4644" s="4"/>
      <c r="I4644" s="5"/>
      <c r="J4644" s="4"/>
      <c r="K4644" s="5"/>
      <c r="L4644" s="6"/>
      <c r="M4644" s="5" t="str">
        <f aca="false">IF(AND(N(K4644)&gt;0,N(L4644)&gt;0),K4644/L4644,"")</f>
        <v/>
      </c>
      <c r="N4644" s="2" t="s">
        <v>1226</v>
      </c>
    </row>
    <row r="4645" customFormat="false" ht="15" hidden="false" customHeight="false" outlineLevel="0" collapsed="false">
      <c r="A4645" s="2" t="n">
        <v>4644</v>
      </c>
      <c r="B4645" s="2" t="s">
        <v>9463</v>
      </c>
      <c r="C4645" s="2" t="s">
        <v>9464</v>
      </c>
      <c r="D4645" s="2"/>
      <c r="E4645" s="2" t="s">
        <v>289</v>
      </c>
      <c r="F4645" s="3" t="n">
        <v>5E-006</v>
      </c>
      <c r="G4645" s="3" t="n">
        <f aca="false">SUM($F$2:F4645)</f>
        <v>0.998481</v>
      </c>
      <c r="H4645" s="4"/>
      <c r="I4645" s="5"/>
      <c r="J4645" s="4"/>
      <c r="K4645" s="5"/>
      <c r="L4645" s="6"/>
      <c r="M4645" s="5" t="str">
        <f aca="false">IF(AND(N(K4645)&gt;0,N(L4645)&gt;0),K4645/L4645,"")</f>
        <v/>
      </c>
      <c r="N4645" s="2" t="s">
        <v>1226</v>
      </c>
    </row>
    <row r="4646" customFormat="false" ht="15" hidden="false" customHeight="false" outlineLevel="0" collapsed="false">
      <c r="A4646" s="2" t="n">
        <v>4645</v>
      </c>
      <c r="B4646" s="2" t="s">
        <v>9465</v>
      </c>
      <c r="C4646" s="2" t="s">
        <v>9466</v>
      </c>
      <c r="D4646" s="2"/>
      <c r="E4646" s="2" t="s">
        <v>1345</v>
      </c>
      <c r="F4646" s="3" t="n">
        <v>5E-006</v>
      </c>
      <c r="G4646" s="3" t="n">
        <f aca="false">SUM($F$2:F4646)</f>
        <v>0.998486</v>
      </c>
      <c r="H4646" s="4"/>
      <c r="I4646" s="5"/>
      <c r="J4646" s="4"/>
      <c r="K4646" s="5"/>
      <c r="L4646" s="6"/>
      <c r="M4646" s="5" t="str">
        <f aca="false">IF(AND(N(K4646)&gt;0,N(L4646)&gt;0),K4646/L4646,"")</f>
        <v/>
      </c>
      <c r="N4646" s="2" t="s">
        <v>1226</v>
      </c>
    </row>
    <row r="4647" customFormat="false" ht="15" hidden="false" customHeight="false" outlineLevel="0" collapsed="false">
      <c r="A4647" s="2" t="n">
        <v>4646</v>
      </c>
      <c r="B4647" s="2" t="s">
        <v>9467</v>
      </c>
      <c r="C4647" s="2" t="s">
        <v>9468</v>
      </c>
      <c r="D4647" s="2"/>
      <c r="E4647" s="2" t="s">
        <v>43</v>
      </c>
      <c r="F4647" s="3" t="n">
        <v>5E-006</v>
      </c>
      <c r="G4647" s="3" t="n">
        <f aca="false">SUM($F$2:F4647)</f>
        <v>0.998491</v>
      </c>
      <c r="H4647" s="4"/>
      <c r="I4647" s="5"/>
      <c r="J4647" s="4"/>
      <c r="K4647" s="5"/>
      <c r="L4647" s="6"/>
      <c r="M4647" s="5" t="str">
        <f aca="false">IF(AND(N(K4647)&gt;0,N(L4647)&gt;0),K4647/L4647,"")</f>
        <v/>
      </c>
      <c r="N4647" s="2" t="s">
        <v>1226</v>
      </c>
    </row>
    <row r="4648" customFormat="false" ht="15" hidden="false" customHeight="false" outlineLevel="0" collapsed="false">
      <c r="A4648" s="2" t="n">
        <v>4647</v>
      </c>
      <c r="B4648" s="2" t="s">
        <v>9469</v>
      </c>
      <c r="C4648" s="2" t="s">
        <v>9470</v>
      </c>
      <c r="D4648" s="2"/>
      <c r="E4648" s="2" t="s">
        <v>334</v>
      </c>
      <c r="F4648" s="3" t="n">
        <v>5E-006</v>
      </c>
      <c r="G4648" s="3" t="n">
        <f aca="false">SUM($F$2:F4648)</f>
        <v>0.998496</v>
      </c>
      <c r="H4648" s="4"/>
      <c r="I4648" s="5"/>
      <c r="J4648" s="4"/>
      <c r="K4648" s="5"/>
      <c r="L4648" s="6"/>
      <c r="M4648" s="5" t="str">
        <f aca="false">IF(AND(N(K4648)&gt;0,N(L4648)&gt;0),K4648/L4648,"")</f>
        <v/>
      </c>
      <c r="N4648" s="2" t="s">
        <v>1226</v>
      </c>
    </row>
    <row r="4649" customFormat="false" ht="15" hidden="false" customHeight="false" outlineLevel="0" collapsed="false">
      <c r="A4649" s="2" t="n">
        <v>4648</v>
      </c>
      <c r="B4649" s="2" t="s">
        <v>9471</v>
      </c>
      <c r="C4649" s="2" t="s">
        <v>9472</v>
      </c>
      <c r="D4649" s="2"/>
      <c r="E4649" s="2" t="s">
        <v>1345</v>
      </c>
      <c r="F4649" s="3" t="n">
        <v>5E-006</v>
      </c>
      <c r="G4649" s="3" t="n">
        <f aca="false">SUM($F$2:F4649)</f>
        <v>0.998501</v>
      </c>
      <c r="H4649" s="4"/>
      <c r="I4649" s="5"/>
      <c r="J4649" s="4"/>
      <c r="K4649" s="5"/>
      <c r="L4649" s="6"/>
      <c r="M4649" s="5" t="str">
        <f aca="false">IF(AND(N(K4649)&gt;0,N(L4649)&gt;0),K4649/L4649,"")</f>
        <v/>
      </c>
      <c r="N4649" s="2" t="s">
        <v>1226</v>
      </c>
    </row>
    <row r="4650" customFormat="false" ht="15" hidden="false" customHeight="false" outlineLevel="0" collapsed="false">
      <c r="A4650" s="2" t="n">
        <v>4649</v>
      </c>
      <c r="B4650" s="2" t="s">
        <v>9473</v>
      </c>
      <c r="C4650" s="2" t="s">
        <v>9474</v>
      </c>
      <c r="D4650" s="2"/>
      <c r="E4650" s="2" t="s">
        <v>1345</v>
      </c>
      <c r="F4650" s="3" t="n">
        <v>5E-006</v>
      </c>
      <c r="G4650" s="3" t="n">
        <f aca="false">SUM($F$2:F4650)</f>
        <v>0.998506</v>
      </c>
      <c r="H4650" s="4"/>
      <c r="I4650" s="5"/>
      <c r="J4650" s="4"/>
      <c r="K4650" s="5"/>
      <c r="L4650" s="6"/>
      <c r="M4650" s="5" t="str">
        <f aca="false">IF(AND(N(K4650)&gt;0,N(L4650)&gt;0),K4650/L4650,"")</f>
        <v/>
      </c>
      <c r="N4650" s="2" t="s">
        <v>1226</v>
      </c>
    </row>
    <row r="4651" customFormat="false" ht="15" hidden="false" customHeight="false" outlineLevel="0" collapsed="false">
      <c r="A4651" s="2" t="n">
        <v>4650</v>
      </c>
      <c r="B4651" s="2" t="s">
        <v>7146</v>
      </c>
      <c r="C4651" s="2" t="s">
        <v>9475</v>
      </c>
      <c r="D4651" s="2"/>
      <c r="E4651" s="2" t="s">
        <v>1284</v>
      </c>
      <c r="F4651" s="3" t="n">
        <v>5E-006</v>
      </c>
      <c r="G4651" s="3" t="n">
        <f aca="false">SUM($F$2:F4651)</f>
        <v>0.998511</v>
      </c>
      <c r="H4651" s="4"/>
      <c r="I4651" s="5"/>
      <c r="J4651" s="4"/>
      <c r="K4651" s="5"/>
      <c r="L4651" s="6"/>
      <c r="M4651" s="5" t="str">
        <f aca="false">IF(AND(N(K4651)&gt;0,N(L4651)&gt;0),K4651/L4651,"")</f>
        <v/>
      </c>
      <c r="N4651" s="2" t="s">
        <v>1226</v>
      </c>
    </row>
    <row r="4652" customFormat="false" ht="15" hidden="false" customHeight="false" outlineLevel="0" collapsed="false">
      <c r="A4652" s="2" t="n">
        <v>4651</v>
      </c>
      <c r="B4652" s="2" t="s">
        <v>9476</v>
      </c>
      <c r="C4652" s="2" t="s">
        <v>9477</v>
      </c>
      <c r="D4652" s="2"/>
      <c r="E4652" s="2" t="s">
        <v>1345</v>
      </c>
      <c r="F4652" s="3" t="n">
        <v>5E-006</v>
      </c>
      <c r="G4652" s="3" t="n">
        <f aca="false">SUM($F$2:F4652)</f>
        <v>0.998516</v>
      </c>
      <c r="H4652" s="4"/>
      <c r="I4652" s="5"/>
      <c r="J4652" s="4"/>
      <c r="K4652" s="5"/>
      <c r="L4652" s="6"/>
      <c r="M4652" s="5" t="str">
        <f aca="false">IF(AND(N(K4652)&gt;0,N(L4652)&gt;0),K4652/L4652,"")</f>
        <v/>
      </c>
      <c r="N4652" s="2" t="s">
        <v>1226</v>
      </c>
    </row>
    <row r="4653" customFormat="false" ht="15" hidden="false" customHeight="false" outlineLevel="0" collapsed="false">
      <c r="A4653" s="2" t="n">
        <v>4652</v>
      </c>
      <c r="B4653" s="2" t="s">
        <v>9478</v>
      </c>
      <c r="C4653" s="2" t="s">
        <v>9479</v>
      </c>
      <c r="D4653" s="2"/>
      <c r="E4653" s="2" t="s">
        <v>17</v>
      </c>
      <c r="F4653" s="3" t="n">
        <v>5E-006</v>
      </c>
      <c r="G4653" s="3" t="n">
        <f aca="false">SUM($F$2:F4653)</f>
        <v>0.998521</v>
      </c>
      <c r="H4653" s="4"/>
      <c r="I4653" s="5"/>
      <c r="J4653" s="4"/>
      <c r="K4653" s="5"/>
      <c r="L4653" s="6"/>
      <c r="M4653" s="5" t="str">
        <f aca="false">IF(AND(N(K4653)&gt;0,N(L4653)&gt;0),K4653/L4653,"")</f>
        <v/>
      </c>
      <c r="N4653" s="2" t="s">
        <v>1226</v>
      </c>
    </row>
    <row r="4654" customFormat="false" ht="15" hidden="false" customHeight="false" outlineLevel="0" collapsed="false">
      <c r="A4654" s="2" t="n">
        <v>4653</v>
      </c>
      <c r="B4654" s="2" t="s">
        <v>9480</v>
      </c>
      <c r="C4654" s="2" t="s">
        <v>9481</v>
      </c>
      <c r="D4654" s="2"/>
      <c r="E4654" s="2" t="s">
        <v>289</v>
      </c>
      <c r="F4654" s="3" t="n">
        <v>5E-006</v>
      </c>
      <c r="G4654" s="3" t="n">
        <f aca="false">SUM($F$2:F4654)</f>
        <v>0.998526</v>
      </c>
      <c r="H4654" s="4"/>
      <c r="I4654" s="5"/>
      <c r="J4654" s="4"/>
      <c r="K4654" s="5"/>
      <c r="L4654" s="6"/>
      <c r="M4654" s="5" t="str">
        <f aca="false">IF(AND(N(K4654)&gt;0,N(L4654)&gt;0),K4654/L4654,"")</f>
        <v/>
      </c>
      <c r="N4654" s="2" t="s">
        <v>1226</v>
      </c>
    </row>
    <row r="4655" customFormat="false" ht="15" hidden="false" customHeight="false" outlineLevel="0" collapsed="false">
      <c r="A4655" s="2" t="n">
        <v>4654</v>
      </c>
      <c r="B4655" s="2" t="s">
        <v>9482</v>
      </c>
      <c r="C4655" s="2" t="s">
        <v>9483</v>
      </c>
      <c r="D4655" s="2"/>
      <c r="E4655" s="2" t="s">
        <v>1345</v>
      </c>
      <c r="F4655" s="3" t="n">
        <v>5E-006</v>
      </c>
      <c r="G4655" s="3" t="n">
        <f aca="false">SUM($F$2:F4655)</f>
        <v>0.998531</v>
      </c>
      <c r="H4655" s="4"/>
      <c r="I4655" s="5"/>
      <c r="J4655" s="4"/>
      <c r="K4655" s="5"/>
      <c r="L4655" s="6"/>
      <c r="M4655" s="5" t="str">
        <f aca="false">IF(AND(N(K4655)&gt;0,N(L4655)&gt;0),K4655/L4655,"")</f>
        <v/>
      </c>
      <c r="N4655" s="2" t="s">
        <v>1226</v>
      </c>
    </row>
    <row r="4656" customFormat="false" ht="15" hidden="false" customHeight="false" outlineLevel="0" collapsed="false">
      <c r="A4656" s="2" t="n">
        <v>4655</v>
      </c>
      <c r="B4656" s="2" t="s">
        <v>9484</v>
      </c>
      <c r="C4656" s="2" t="s">
        <v>9485</v>
      </c>
      <c r="D4656" s="2"/>
      <c r="E4656" s="2" t="s">
        <v>289</v>
      </c>
      <c r="F4656" s="3" t="n">
        <v>5E-006</v>
      </c>
      <c r="G4656" s="3" t="n">
        <f aca="false">SUM($F$2:F4656)</f>
        <v>0.998536</v>
      </c>
      <c r="H4656" s="4"/>
      <c r="I4656" s="5"/>
      <c r="J4656" s="4"/>
      <c r="K4656" s="5"/>
      <c r="L4656" s="6"/>
      <c r="M4656" s="5" t="str">
        <f aca="false">IF(AND(N(K4656)&gt;0,N(L4656)&gt;0),K4656/L4656,"")</f>
        <v/>
      </c>
      <c r="N4656" s="2" t="s">
        <v>1226</v>
      </c>
    </row>
    <row r="4657" customFormat="false" ht="15" hidden="false" customHeight="false" outlineLevel="0" collapsed="false">
      <c r="A4657" s="2" t="n">
        <v>4656</v>
      </c>
      <c r="B4657" s="2" t="s">
        <v>9486</v>
      </c>
      <c r="C4657" s="2" t="s">
        <v>9487</v>
      </c>
      <c r="D4657" s="2"/>
      <c r="E4657" s="2" t="s">
        <v>1345</v>
      </c>
      <c r="F4657" s="3" t="n">
        <v>5E-006</v>
      </c>
      <c r="G4657" s="3" t="n">
        <f aca="false">SUM($F$2:F4657)</f>
        <v>0.998541</v>
      </c>
      <c r="H4657" s="4"/>
      <c r="I4657" s="5"/>
      <c r="J4657" s="4"/>
      <c r="K4657" s="5"/>
      <c r="L4657" s="6"/>
      <c r="M4657" s="5" t="str">
        <f aca="false">IF(AND(N(K4657)&gt;0,N(L4657)&gt;0),K4657/L4657,"")</f>
        <v/>
      </c>
      <c r="N4657" s="2" t="s">
        <v>1226</v>
      </c>
    </row>
    <row r="4658" customFormat="false" ht="15" hidden="false" customHeight="false" outlineLevel="0" collapsed="false">
      <c r="A4658" s="2" t="n">
        <v>4657</v>
      </c>
      <c r="B4658" s="2" t="s">
        <v>9488</v>
      </c>
      <c r="C4658" s="2" t="s">
        <v>9489</v>
      </c>
      <c r="D4658" s="2"/>
      <c r="E4658" s="2" t="s">
        <v>2055</v>
      </c>
      <c r="F4658" s="3" t="n">
        <v>5E-006</v>
      </c>
      <c r="G4658" s="3" t="n">
        <f aca="false">SUM($F$2:F4658)</f>
        <v>0.998546</v>
      </c>
      <c r="H4658" s="4"/>
      <c r="I4658" s="5"/>
      <c r="J4658" s="4"/>
      <c r="K4658" s="5"/>
      <c r="L4658" s="6"/>
      <c r="M4658" s="5" t="str">
        <f aca="false">IF(AND(N(K4658)&gt;0,N(L4658)&gt;0),K4658/L4658,"")</f>
        <v/>
      </c>
      <c r="N4658" s="2" t="s">
        <v>1226</v>
      </c>
    </row>
    <row r="4659" customFormat="false" ht="15" hidden="false" customHeight="false" outlineLevel="0" collapsed="false">
      <c r="A4659" s="2" t="n">
        <v>4658</v>
      </c>
      <c r="B4659" s="2" t="s">
        <v>9490</v>
      </c>
      <c r="C4659" s="2" t="s">
        <v>9491</v>
      </c>
      <c r="D4659" s="2"/>
      <c r="E4659" s="2" t="s">
        <v>1345</v>
      </c>
      <c r="F4659" s="3" t="n">
        <v>5E-006</v>
      </c>
      <c r="G4659" s="3" t="n">
        <f aca="false">SUM($F$2:F4659)</f>
        <v>0.998551</v>
      </c>
      <c r="H4659" s="4"/>
      <c r="I4659" s="5"/>
      <c r="J4659" s="4"/>
      <c r="K4659" s="5"/>
      <c r="L4659" s="6"/>
      <c r="M4659" s="5" t="str">
        <f aca="false">IF(AND(N(K4659)&gt;0,N(L4659)&gt;0),K4659/L4659,"")</f>
        <v/>
      </c>
      <c r="N4659" s="2" t="s">
        <v>1226</v>
      </c>
    </row>
    <row r="4660" customFormat="false" ht="15" hidden="false" customHeight="false" outlineLevel="0" collapsed="false">
      <c r="A4660" s="2" t="n">
        <v>4659</v>
      </c>
      <c r="B4660" s="2" t="s">
        <v>9492</v>
      </c>
      <c r="C4660" s="2" t="s">
        <v>9493</v>
      </c>
      <c r="D4660" s="2"/>
      <c r="E4660" s="2" t="s">
        <v>1345</v>
      </c>
      <c r="F4660" s="3" t="n">
        <v>5E-006</v>
      </c>
      <c r="G4660" s="3" t="n">
        <f aca="false">SUM($F$2:F4660)</f>
        <v>0.998556</v>
      </c>
      <c r="H4660" s="4"/>
      <c r="I4660" s="5"/>
      <c r="J4660" s="4"/>
      <c r="K4660" s="5"/>
      <c r="L4660" s="6"/>
      <c r="M4660" s="5" t="str">
        <f aca="false">IF(AND(N(K4660)&gt;0,N(L4660)&gt;0),K4660/L4660,"")</f>
        <v/>
      </c>
      <c r="N4660" s="2" t="s">
        <v>1226</v>
      </c>
    </row>
    <row r="4661" customFormat="false" ht="15" hidden="false" customHeight="false" outlineLevel="0" collapsed="false">
      <c r="A4661" s="2" t="n">
        <v>4660</v>
      </c>
      <c r="B4661" s="2" t="s">
        <v>1995</v>
      </c>
      <c r="C4661" s="2" t="s">
        <v>9494</v>
      </c>
      <c r="D4661" s="2"/>
      <c r="E4661" s="2" t="s">
        <v>82</v>
      </c>
      <c r="F4661" s="3" t="n">
        <v>5E-006</v>
      </c>
      <c r="G4661" s="3" t="n">
        <f aca="false">SUM($F$2:F4661)</f>
        <v>0.998561</v>
      </c>
      <c r="H4661" s="4"/>
      <c r="I4661" s="5"/>
      <c r="J4661" s="4"/>
      <c r="K4661" s="5"/>
      <c r="L4661" s="6"/>
      <c r="M4661" s="5" t="str">
        <f aca="false">IF(AND(N(K4661)&gt;0,N(L4661)&gt;0),K4661/L4661,"")</f>
        <v/>
      </c>
      <c r="N4661" s="2" t="s">
        <v>1226</v>
      </c>
    </row>
    <row r="4662" customFormat="false" ht="15" hidden="false" customHeight="false" outlineLevel="0" collapsed="false">
      <c r="A4662" s="2" t="n">
        <v>4661</v>
      </c>
      <c r="B4662" s="2" t="s">
        <v>9495</v>
      </c>
      <c r="C4662" s="2" t="s">
        <v>9496</v>
      </c>
      <c r="D4662" s="2"/>
      <c r="E4662" s="2" t="s">
        <v>296</v>
      </c>
      <c r="F4662" s="3" t="n">
        <v>5E-006</v>
      </c>
      <c r="G4662" s="3" t="n">
        <f aca="false">SUM($F$2:F4662)</f>
        <v>0.998566</v>
      </c>
      <c r="H4662" s="4"/>
      <c r="I4662" s="5"/>
      <c r="J4662" s="4"/>
      <c r="K4662" s="5"/>
      <c r="L4662" s="6"/>
      <c r="M4662" s="5" t="str">
        <f aca="false">IF(AND(N(K4662)&gt;0,N(L4662)&gt;0),K4662/L4662,"")</f>
        <v/>
      </c>
      <c r="N4662" s="2" t="s">
        <v>1226</v>
      </c>
    </row>
    <row r="4663" customFormat="false" ht="15" hidden="false" customHeight="false" outlineLevel="0" collapsed="false">
      <c r="A4663" s="2" t="n">
        <v>4662</v>
      </c>
      <c r="B4663" s="2" t="s">
        <v>9497</v>
      </c>
      <c r="C4663" s="2" t="s">
        <v>9498</v>
      </c>
      <c r="D4663" s="2"/>
      <c r="E4663" s="2" t="s">
        <v>1345</v>
      </c>
      <c r="F4663" s="3" t="n">
        <v>5E-006</v>
      </c>
      <c r="G4663" s="3" t="n">
        <f aca="false">SUM($F$2:F4663)</f>
        <v>0.998571</v>
      </c>
      <c r="H4663" s="4"/>
      <c r="I4663" s="5"/>
      <c r="J4663" s="4"/>
      <c r="K4663" s="5"/>
      <c r="L4663" s="6"/>
      <c r="M4663" s="5" t="str">
        <f aca="false">IF(AND(N(K4663)&gt;0,N(L4663)&gt;0),K4663/L4663,"")</f>
        <v/>
      </c>
      <c r="N4663" s="2" t="s">
        <v>1226</v>
      </c>
    </row>
    <row r="4664" customFormat="false" ht="15" hidden="false" customHeight="false" outlineLevel="0" collapsed="false">
      <c r="A4664" s="2" t="n">
        <v>4663</v>
      </c>
      <c r="B4664" s="2" t="s">
        <v>9499</v>
      </c>
      <c r="C4664" s="2" t="s">
        <v>9500</v>
      </c>
      <c r="D4664" s="2"/>
      <c r="E4664" s="2" t="s">
        <v>289</v>
      </c>
      <c r="F4664" s="3" t="n">
        <v>5E-006</v>
      </c>
      <c r="G4664" s="3" t="n">
        <f aca="false">SUM($F$2:F4664)</f>
        <v>0.998576</v>
      </c>
      <c r="H4664" s="4"/>
      <c r="I4664" s="5"/>
      <c r="J4664" s="4"/>
      <c r="K4664" s="5"/>
      <c r="L4664" s="6"/>
      <c r="M4664" s="5" t="str">
        <f aca="false">IF(AND(N(K4664)&gt;0,N(L4664)&gt;0),K4664/L4664,"")</f>
        <v/>
      </c>
      <c r="N4664" s="2" t="s">
        <v>1226</v>
      </c>
    </row>
    <row r="4665" customFormat="false" ht="15" hidden="false" customHeight="false" outlineLevel="0" collapsed="false">
      <c r="A4665" s="2" t="n">
        <v>4664</v>
      </c>
      <c r="B4665" s="2" t="s">
        <v>9501</v>
      </c>
      <c r="C4665" s="2" t="s">
        <v>9502</v>
      </c>
      <c r="D4665" s="2"/>
      <c r="E4665" s="2" t="s">
        <v>1295</v>
      </c>
      <c r="F4665" s="3" t="n">
        <v>5E-006</v>
      </c>
      <c r="G4665" s="3" t="n">
        <f aca="false">SUM($F$2:F4665)</f>
        <v>0.998581</v>
      </c>
      <c r="H4665" s="4"/>
      <c r="I4665" s="5"/>
      <c r="J4665" s="4"/>
      <c r="K4665" s="5"/>
      <c r="L4665" s="6"/>
      <c r="M4665" s="5" t="str">
        <f aca="false">IF(AND(N(K4665)&gt;0,N(L4665)&gt;0),K4665/L4665,"")</f>
        <v/>
      </c>
      <c r="N4665" s="2" t="s">
        <v>1226</v>
      </c>
    </row>
    <row r="4666" customFormat="false" ht="15" hidden="false" customHeight="false" outlineLevel="0" collapsed="false">
      <c r="A4666" s="2" t="n">
        <v>4665</v>
      </c>
      <c r="B4666" s="2" t="s">
        <v>9503</v>
      </c>
      <c r="C4666" s="2" t="s">
        <v>9504</v>
      </c>
      <c r="D4666" s="2"/>
      <c r="E4666" s="2" t="s">
        <v>1345</v>
      </c>
      <c r="F4666" s="3" t="n">
        <v>5E-006</v>
      </c>
      <c r="G4666" s="3" t="n">
        <f aca="false">SUM($F$2:F4666)</f>
        <v>0.998586</v>
      </c>
      <c r="H4666" s="4"/>
      <c r="I4666" s="5"/>
      <c r="J4666" s="4"/>
      <c r="K4666" s="5"/>
      <c r="L4666" s="6"/>
      <c r="M4666" s="5" t="str">
        <f aca="false">IF(AND(N(K4666)&gt;0,N(L4666)&gt;0),K4666/L4666,"")</f>
        <v/>
      </c>
      <c r="N4666" s="2" t="s">
        <v>1226</v>
      </c>
    </row>
    <row r="4667" customFormat="false" ht="15" hidden="false" customHeight="false" outlineLevel="0" collapsed="false">
      <c r="A4667" s="2" t="n">
        <v>4666</v>
      </c>
      <c r="B4667" s="2" t="s">
        <v>9505</v>
      </c>
      <c r="C4667" s="2" t="s">
        <v>9506</v>
      </c>
      <c r="D4667" s="2"/>
      <c r="E4667" s="2" t="s">
        <v>52</v>
      </c>
      <c r="F4667" s="3" t="n">
        <v>5E-006</v>
      </c>
      <c r="G4667" s="3" t="n">
        <f aca="false">SUM($F$2:F4667)</f>
        <v>0.998591</v>
      </c>
      <c r="H4667" s="4"/>
      <c r="I4667" s="5"/>
      <c r="J4667" s="4"/>
      <c r="K4667" s="5"/>
      <c r="L4667" s="6"/>
      <c r="M4667" s="5" t="str">
        <f aca="false">IF(AND(N(K4667)&gt;0,N(L4667)&gt;0),K4667/L4667,"")</f>
        <v/>
      </c>
      <c r="N4667" s="2" t="s">
        <v>1226</v>
      </c>
    </row>
    <row r="4668" customFormat="false" ht="15" hidden="false" customHeight="false" outlineLevel="0" collapsed="false">
      <c r="A4668" s="2" t="n">
        <v>4667</v>
      </c>
      <c r="B4668" s="2" t="s">
        <v>9507</v>
      </c>
      <c r="C4668" s="2" t="s">
        <v>9508</v>
      </c>
      <c r="D4668" s="2"/>
      <c r="E4668" s="2" t="s">
        <v>17</v>
      </c>
      <c r="F4668" s="3" t="n">
        <v>5E-006</v>
      </c>
      <c r="G4668" s="3" t="n">
        <f aca="false">SUM($F$2:F4668)</f>
        <v>0.998596</v>
      </c>
      <c r="H4668" s="4"/>
      <c r="I4668" s="5"/>
      <c r="J4668" s="4"/>
      <c r="K4668" s="5"/>
      <c r="L4668" s="6"/>
      <c r="M4668" s="5" t="str">
        <f aca="false">IF(AND(N(K4668)&gt;0,N(L4668)&gt;0),K4668/L4668,"")</f>
        <v/>
      </c>
      <c r="N4668" s="2" t="s">
        <v>1226</v>
      </c>
    </row>
    <row r="4669" customFormat="false" ht="15" hidden="false" customHeight="false" outlineLevel="0" collapsed="false">
      <c r="A4669" s="2" t="n">
        <v>4668</v>
      </c>
      <c r="B4669" s="2" t="s">
        <v>9509</v>
      </c>
      <c r="C4669" s="2" t="s">
        <v>9510</v>
      </c>
      <c r="D4669" s="2"/>
      <c r="E4669" s="2" t="s">
        <v>52</v>
      </c>
      <c r="F4669" s="3" t="n">
        <v>5E-006</v>
      </c>
      <c r="G4669" s="3" t="n">
        <f aca="false">SUM($F$2:F4669)</f>
        <v>0.998601</v>
      </c>
      <c r="H4669" s="4"/>
      <c r="I4669" s="5"/>
      <c r="J4669" s="4"/>
      <c r="K4669" s="5"/>
      <c r="L4669" s="6"/>
      <c r="M4669" s="5" t="str">
        <f aca="false">IF(AND(N(K4669)&gt;0,N(L4669)&gt;0),K4669/L4669,"")</f>
        <v/>
      </c>
      <c r="N4669" s="2" t="s">
        <v>1226</v>
      </c>
    </row>
    <row r="4670" customFormat="false" ht="15" hidden="false" customHeight="false" outlineLevel="0" collapsed="false">
      <c r="A4670" s="2" t="n">
        <v>4669</v>
      </c>
      <c r="B4670" s="2" t="s">
        <v>9511</v>
      </c>
      <c r="C4670" s="2" t="s">
        <v>9512</v>
      </c>
      <c r="D4670" s="2"/>
      <c r="E4670" s="2" t="s">
        <v>1345</v>
      </c>
      <c r="F4670" s="3" t="n">
        <v>5E-006</v>
      </c>
      <c r="G4670" s="3" t="n">
        <f aca="false">SUM($F$2:F4670)</f>
        <v>0.998606</v>
      </c>
      <c r="H4670" s="4"/>
      <c r="I4670" s="5"/>
      <c r="J4670" s="4"/>
      <c r="K4670" s="5"/>
      <c r="L4670" s="6"/>
      <c r="M4670" s="5" t="str">
        <f aca="false">IF(AND(N(K4670)&gt;0,N(L4670)&gt;0),K4670/L4670,"")</f>
        <v/>
      </c>
      <c r="N4670" s="2" t="s">
        <v>1226</v>
      </c>
    </row>
    <row r="4671" customFormat="false" ht="15" hidden="false" customHeight="false" outlineLevel="0" collapsed="false">
      <c r="A4671" s="2" t="n">
        <v>4670</v>
      </c>
      <c r="B4671" s="2" t="s">
        <v>9513</v>
      </c>
      <c r="C4671" s="2" t="s">
        <v>9514</v>
      </c>
      <c r="D4671" s="2"/>
      <c r="E4671" s="2" t="s">
        <v>826</v>
      </c>
      <c r="F4671" s="3" t="n">
        <v>5E-006</v>
      </c>
      <c r="G4671" s="3" t="n">
        <f aca="false">SUM($F$2:F4671)</f>
        <v>0.998611</v>
      </c>
      <c r="H4671" s="4"/>
      <c r="I4671" s="5"/>
      <c r="J4671" s="4"/>
      <c r="K4671" s="5"/>
      <c r="L4671" s="6"/>
      <c r="M4671" s="5" t="str">
        <f aca="false">IF(AND(N(K4671)&gt;0,N(L4671)&gt;0),K4671/L4671,"")</f>
        <v/>
      </c>
      <c r="N4671" s="2" t="s">
        <v>1226</v>
      </c>
    </row>
    <row r="4672" customFormat="false" ht="15" hidden="false" customHeight="false" outlineLevel="0" collapsed="false">
      <c r="A4672" s="2" t="n">
        <v>4671</v>
      </c>
      <c r="B4672" s="2" t="s">
        <v>9515</v>
      </c>
      <c r="C4672" s="2" t="s">
        <v>9516</v>
      </c>
      <c r="D4672" s="2"/>
      <c r="E4672" s="2" t="s">
        <v>1050</v>
      </c>
      <c r="F4672" s="3" t="n">
        <v>5E-006</v>
      </c>
      <c r="G4672" s="3" t="n">
        <f aca="false">SUM($F$2:F4672)</f>
        <v>0.998616</v>
      </c>
      <c r="H4672" s="4"/>
      <c r="I4672" s="5"/>
      <c r="J4672" s="4"/>
      <c r="K4672" s="5"/>
      <c r="L4672" s="6"/>
      <c r="M4672" s="5" t="str">
        <f aca="false">IF(AND(N(K4672)&gt;0,N(L4672)&gt;0),K4672/L4672,"")</f>
        <v/>
      </c>
      <c r="N4672" s="2" t="s">
        <v>1226</v>
      </c>
    </row>
    <row r="4673" customFormat="false" ht="15" hidden="false" customHeight="false" outlineLevel="0" collapsed="false">
      <c r="A4673" s="2" t="n">
        <v>4672</v>
      </c>
      <c r="B4673" s="2" t="s">
        <v>9517</v>
      </c>
      <c r="C4673" s="2" t="s">
        <v>9518</v>
      </c>
      <c r="D4673" s="2"/>
      <c r="E4673" s="2" t="s">
        <v>289</v>
      </c>
      <c r="F4673" s="3" t="n">
        <v>5E-006</v>
      </c>
      <c r="G4673" s="3" t="n">
        <f aca="false">SUM($F$2:F4673)</f>
        <v>0.998621</v>
      </c>
      <c r="H4673" s="4"/>
      <c r="I4673" s="5"/>
      <c r="J4673" s="4"/>
      <c r="K4673" s="5"/>
      <c r="L4673" s="6"/>
      <c r="M4673" s="5" t="str">
        <f aca="false">IF(AND(N(K4673)&gt;0,N(L4673)&gt;0),K4673/L4673,"")</f>
        <v/>
      </c>
      <c r="N4673" s="2" t="s">
        <v>1226</v>
      </c>
    </row>
    <row r="4674" customFormat="false" ht="15" hidden="false" customHeight="false" outlineLevel="0" collapsed="false">
      <c r="A4674" s="2" t="n">
        <v>4673</v>
      </c>
      <c r="B4674" s="2" t="s">
        <v>9519</v>
      </c>
      <c r="C4674" s="2" t="s">
        <v>9520</v>
      </c>
      <c r="D4674" s="2"/>
      <c r="E4674" s="2" t="s">
        <v>1345</v>
      </c>
      <c r="F4674" s="3" t="n">
        <v>4E-006</v>
      </c>
      <c r="G4674" s="3" t="n">
        <f aca="false">SUM($F$2:F4674)</f>
        <v>0.998625</v>
      </c>
      <c r="H4674" s="4"/>
      <c r="I4674" s="5"/>
      <c r="J4674" s="4"/>
      <c r="K4674" s="5"/>
      <c r="L4674" s="6"/>
      <c r="M4674" s="5" t="str">
        <f aca="false">IF(AND(N(K4674)&gt;0,N(L4674)&gt;0),K4674/L4674,"")</f>
        <v/>
      </c>
      <c r="N4674" s="2" t="s">
        <v>1226</v>
      </c>
    </row>
    <row r="4675" customFormat="false" ht="15" hidden="false" customHeight="false" outlineLevel="0" collapsed="false">
      <c r="A4675" s="2" t="n">
        <v>4674</v>
      </c>
      <c r="B4675" s="2" t="s">
        <v>9521</v>
      </c>
      <c r="C4675" s="2" t="s">
        <v>9522</v>
      </c>
      <c r="D4675" s="2"/>
      <c r="E4675" s="2" t="s">
        <v>25</v>
      </c>
      <c r="F4675" s="3" t="n">
        <v>4E-006</v>
      </c>
      <c r="G4675" s="3" t="n">
        <f aca="false">SUM($F$2:F4675)</f>
        <v>0.998629</v>
      </c>
      <c r="H4675" s="4"/>
      <c r="I4675" s="5"/>
      <c r="J4675" s="4"/>
      <c r="K4675" s="5"/>
      <c r="L4675" s="6"/>
      <c r="M4675" s="5" t="str">
        <f aca="false">IF(AND(N(K4675)&gt;0,N(L4675)&gt;0),K4675/L4675,"")</f>
        <v/>
      </c>
      <c r="N4675" s="2" t="s">
        <v>1226</v>
      </c>
    </row>
    <row r="4676" customFormat="false" ht="15" hidden="false" customHeight="false" outlineLevel="0" collapsed="false">
      <c r="A4676" s="2" t="n">
        <v>4675</v>
      </c>
      <c r="B4676" s="2" t="s">
        <v>9523</v>
      </c>
      <c r="C4676" s="2" t="s">
        <v>9524</v>
      </c>
      <c r="D4676" s="2"/>
      <c r="E4676" s="2" t="s">
        <v>1345</v>
      </c>
      <c r="F4676" s="3" t="n">
        <v>4E-006</v>
      </c>
      <c r="G4676" s="3" t="n">
        <f aca="false">SUM($F$2:F4676)</f>
        <v>0.998633</v>
      </c>
      <c r="H4676" s="4"/>
      <c r="I4676" s="5"/>
      <c r="J4676" s="4"/>
      <c r="K4676" s="5"/>
      <c r="L4676" s="6"/>
      <c r="M4676" s="5" t="str">
        <f aca="false">IF(AND(N(K4676)&gt;0,N(L4676)&gt;0),K4676/L4676,"")</f>
        <v/>
      </c>
      <c r="N4676" s="2" t="s">
        <v>1226</v>
      </c>
    </row>
    <row r="4677" customFormat="false" ht="15" hidden="false" customHeight="false" outlineLevel="0" collapsed="false">
      <c r="A4677" s="2" t="n">
        <v>4676</v>
      </c>
      <c r="B4677" s="2" t="s">
        <v>9525</v>
      </c>
      <c r="C4677" s="2" t="s">
        <v>9526</v>
      </c>
      <c r="D4677" s="2"/>
      <c r="E4677" s="2" t="s">
        <v>1345</v>
      </c>
      <c r="F4677" s="3" t="n">
        <v>4E-006</v>
      </c>
      <c r="G4677" s="3" t="n">
        <f aca="false">SUM($F$2:F4677)</f>
        <v>0.998637</v>
      </c>
      <c r="H4677" s="4"/>
      <c r="I4677" s="5"/>
      <c r="J4677" s="4"/>
      <c r="K4677" s="5"/>
      <c r="L4677" s="6"/>
      <c r="M4677" s="5" t="str">
        <f aca="false">IF(AND(N(K4677)&gt;0,N(L4677)&gt;0),K4677/L4677,"")</f>
        <v/>
      </c>
      <c r="N4677" s="2" t="s">
        <v>1226</v>
      </c>
    </row>
    <row r="4678" customFormat="false" ht="15" hidden="false" customHeight="false" outlineLevel="0" collapsed="false">
      <c r="A4678" s="2" t="n">
        <v>4677</v>
      </c>
      <c r="B4678" s="2" t="s">
        <v>9527</v>
      </c>
      <c r="C4678" s="2" t="s">
        <v>9528</v>
      </c>
      <c r="D4678" s="2"/>
      <c r="E4678" s="2" t="s">
        <v>539</v>
      </c>
      <c r="F4678" s="3" t="n">
        <v>4E-006</v>
      </c>
      <c r="G4678" s="3" t="n">
        <f aca="false">SUM($F$2:F4678)</f>
        <v>0.998641</v>
      </c>
      <c r="H4678" s="4"/>
      <c r="I4678" s="5"/>
      <c r="J4678" s="4"/>
      <c r="K4678" s="5"/>
      <c r="L4678" s="6"/>
      <c r="M4678" s="5" t="str">
        <f aca="false">IF(AND(N(K4678)&gt;0,N(L4678)&gt;0),K4678/L4678,"")</f>
        <v/>
      </c>
      <c r="N4678" s="2" t="s">
        <v>1226</v>
      </c>
    </row>
    <row r="4679" customFormat="false" ht="15" hidden="false" customHeight="false" outlineLevel="0" collapsed="false">
      <c r="A4679" s="2" t="n">
        <v>4678</v>
      </c>
      <c r="B4679" s="2" t="s">
        <v>9529</v>
      </c>
      <c r="C4679" s="2" t="s">
        <v>9530</v>
      </c>
      <c r="D4679" s="2"/>
      <c r="E4679" s="2" t="s">
        <v>539</v>
      </c>
      <c r="F4679" s="3" t="n">
        <v>4E-006</v>
      </c>
      <c r="G4679" s="3" t="n">
        <f aca="false">SUM($F$2:F4679)</f>
        <v>0.998645</v>
      </c>
      <c r="H4679" s="4"/>
      <c r="I4679" s="5"/>
      <c r="J4679" s="4"/>
      <c r="K4679" s="5"/>
      <c r="L4679" s="6"/>
      <c r="M4679" s="5" t="str">
        <f aca="false">IF(AND(N(K4679)&gt;0,N(L4679)&gt;0),K4679/L4679,"")</f>
        <v/>
      </c>
      <c r="N4679" s="2" t="s">
        <v>1226</v>
      </c>
    </row>
    <row r="4680" customFormat="false" ht="15" hidden="false" customHeight="false" outlineLevel="0" collapsed="false">
      <c r="A4680" s="2" t="n">
        <v>4679</v>
      </c>
      <c r="B4680" s="2" t="s">
        <v>9531</v>
      </c>
      <c r="C4680" s="2" t="s">
        <v>9532</v>
      </c>
      <c r="D4680" s="2"/>
      <c r="E4680" s="2" t="s">
        <v>289</v>
      </c>
      <c r="F4680" s="3" t="n">
        <v>4E-006</v>
      </c>
      <c r="G4680" s="3" t="n">
        <f aca="false">SUM($F$2:F4680)</f>
        <v>0.998649</v>
      </c>
      <c r="H4680" s="4"/>
      <c r="I4680" s="5"/>
      <c r="J4680" s="4"/>
      <c r="K4680" s="5"/>
      <c r="L4680" s="6"/>
      <c r="M4680" s="5" t="str">
        <f aca="false">IF(AND(N(K4680)&gt;0,N(L4680)&gt;0),K4680/L4680,"")</f>
        <v/>
      </c>
      <c r="N4680" s="2" t="s">
        <v>1226</v>
      </c>
    </row>
    <row r="4681" customFormat="false" ht="15" hidden="false" customHeight="false" outlineLevel="0" collapsed="false">
      <c r="A4681" s="2" t="n">
        <v>4680</v>
      </c>
      <c r="B4681" s="2" t="s">
        <v>9533</v>
      </c>
      <c r="C4681" s="2" t="s">
        <v>9534</v>
      </c>
      <c r="D4681" s="2"/>
      <c r="E4681" s="2" t="s">
        <v>43</v>
      </c>
      <c r="F4681" s="3" t="n">
        <v>4E-006</v>
      </c>
      <c r="G4681" s="3" t="n">
        <f aca="false">SUM($F$2:F4681)</f>
        <v>0.998653</v>
      </c>
      <c r="H4681" s="4"/>
      <c r="I4681" s="5"/>
      <c r="J4681" s="4"/>
      <c r="K4681" s="5"/>
      <c r="L4681" s="6"/>
      <c r="M4681" s="5" t="str">
        <f aca="false">IF(AND(N(K4681)&gt;0,N(L4681)&gt;0),K4681/L4681,"")</f>
        <v/>
      </c>
      <c r="N4681" s="2" t="s">
        <v>1226</v>
      </c>
    </row>
    <row r="4682" customFormat="false" ht="15" hidden="false" customHeight="false" outlineLevel="0" collapsed="false">
      <c r="A4682" s="2" t="n">
        <v>4681</v>
      </c>
      <c r="B4682" s="2" t="s">
        <v>9535</v>
      </c>
      <c r="C4682" s="2" t="s">
        <v>9536</v>
      </c>
      <c r="D4682" s="2"/>
      <c r="E4682" s="2" t="s">
        <v>289</v>
      </c>
      <c r="F4682" s="3" t="n">
        <v>4E-006</v>
      </c>
      <c r="G4682" s="3" t="n">
        <f aca="false">SUM($F$2:F4682)</f>
        <v>0.998657</v>
      </c>
      <c r="H4682" s="4"/>
      <c r="I4682" s="5"/>
      <c r="J4682" s="4"/>
      <c r="K4682" s="5"/>
      <c r="L4682" s="6"/>
      <c r="M4682" s="5" t="str">
        <f aca="false">IF(AND(N(K4682)&gt;0,N(L4682)&gt;0),K4682/L4682,"")</f>
        <v/>
      </c>
      <c r="N4682" s="2" t="s">
        <v>1226</v>
      </c>
    </row>
    <row r="4683" customFormat="false" ht="15" hidden="false" customHeight="false" outlineLevel="0" collapsed="false">
      <c r="A4683" s="2" t="n">
        <v>4682</v>
      </c>
      <c r="B4683" s="2" t="s">
        <v>9537</v>
      </c>
      <c r="C4683" s="2" t="s">
        <v>9538</v>
      </c>
      <c r="D4683" s="2"/>
      <c r="E4683" s="2" t="s">
        <v>289</v>
      </c>
      <c r="F4683" s="3" t="n">
        <v>4E-006</v>
      </c>
      <c r="G4683" s="3" t="n">
        <f aca="false">SUM($F$2:F4683)</f>
        <v>0.998661</v>
      </c>
      <c r="H4683" s="4"/>
      <c r="I4683" s="5"/>
      <c r="J4683" s="4"/>
      <c r="K4683" s="5"/>
      <c r="L4683" s="6"/>
      <c r="M4683" s="5" t="str">
        <f aca="false">IF(AND(N(K4683)&gt;0,N(L4683)&gt;0),K4683/L4683,"")</f>
        <v/>
      </c>
      <c r="N4683" s="2" t="s">
        <v>1226</v>
      </c>
    </row>
    <row r="4684" customFormat="false" ht="15" hidden="false" customHeight="false" outlineLevel="0" collapsed="false">
      <c r="A4684" s="2" t="n">
        <v>4683</v>
      </c>
      <c r="B4684" s="2" t="s">
        <v>9539</v>
      </c>
      <c r="C4684" s="2" t="s">
        <v>9540</v>
      </c>
      <c r="D4684" s="2"/>
      <c r="E4684" s="2" t="s">
        <v>1345</v>
      </c>
      <c r="F4684" s="3" t="n">
        <v>4E-006</v>
      </c>
      <c r="G4684" s="3" t="n">
        <f aca="false">SUM($F$2:F4684)</f>
        <v>0.998665</v>
      </c>
      <c r="H4684" s="4"/>
      <c r="I4684" s="5"/>
      <c r="J4684" s="4"/>
      <c r="K4684" s="5"/>
      <c r="L4684" s="6"/>
      <c r="M4684" s="5" t="str">
        <f aca="false">IF(AND(N(K4684)&gt;0,N(L4684)&gt;0),K4684/L4684,"")</f>
        <v/>
      </c>
      <c r="N4684" s="2" t="s">
        <v>1226</v>
      </c>
    </row>
    <row r="4685" customFormat="false" ht="15" hidden="false" customHeight="false" outlineLevel="0" collapsed="false">
      <c r="A4685" s="2" t="n">
        <v>4684</v>
      </c>
      <c r="B4685" s="2" t="s">
        <v>9541</v>
      </c>
      <c r="C4685" s="2" t="s">
        <v>9542</v>
      </c>
      <c r="D4685" s="2"/>
      <c r="E4685" s="2" t="s">
        <v>826</v>
      </c>
      <c r="F4685" s="3" t="n">
        <v>4E-006</v>
      </c>
      <c r="G4685" s="3" t="n">
        <f aca="false">SUM($F$2:F4685)</f>
        <v>0.998669</v>
      </c>
      <c r="H4685" s="4"/>
      <c r="I4685" s="5"/>
      <c r="J4685" s="4"/>
      <c r="K4685" s="5"/>
      <c r="L4685" s="6"/>
      <c r="M4685" s="5" t="str">
        <f aca="false">IF(AND(N(K4685)&gt;0,N(L4685)&gt;0),K4685/L4685,"")</f>
        <v/>
      </c>
      <c r="N4685" s="2" t="s">
        <v>1226</v>
      </c>
    </row>
    <row r="4686" customFormat="false" ht="15" hidden="false" customHeight="false" outlineLevel="0" collapsed="false">
      <c r="A4686" s="2" t="n">
        <v>4685</v>
      </c>
      <c r="B4686" s="2" t="s">
        <v>9543</v>
      </c>
      <c r="C4686" s="2" t="s">
        <v>9544</v>
      </c>
      <c r="D4686" s="2"/>
      <c r="E4686" s="2" t="s">
        <v>1345</v>
      </c>
      <c r="F4686" s="3" t="n">
        <v>4E-006</v>
      </c>
      <c r="G4686" s="3" t="n">
        <f aca="false">SUM($F$2:F4686)</f>
        <v>0.998673</v>
      </c>
      <c r="H4686" s="4"/>
      <c r="I4686" s="5"/>
      <c r="J4686" s="4"/>
      <c r="K4686" s="5"/>
      <c r="L4686" s="6"/>
      <c r="M4686" s="5" t="str">
        <f aca="false">IF(AND(N(K4686)&gt;0,N(L4686)&gt;0),K4686/L4686,"")</f>
        <v/>
      </c>
      <c r="N4686" s="2" t="s">
        <v>1226</v>
      </c>
    </row>
    <row r="4687" customFormat="false" ht="15" hidden="false" customHeight="false" outlineLevel="0" collapsed="false">
      <c r="A4687" s="2" t="n">
        <v>4686</v>
      </c>
      <c r="B4687" s="2" t="s">
        <v>9545</v>
      </c>
      <c r="C4687" s="2" t="s">
        <v>9546</v>
      </c>
      <c r="D4687" s="2"/>
      <c r="E4687" s="2" t="s">
        <v>334</v>
      </c>
      <c r="F4687" s="3" t="n">
        <v>4E-006</v>
      </c>
      <c r="G4687" s="3" t="n">
        <f aca="false">SUM($F$2:F4687)</f>
        <v>0.998677</v>
      </c>
      <c r="H4687" s="4"/>
      <c r="I4687" s="5"/>
      <c r="J4687" s="4"/>
      <c r="K4687" s="5"/>
      <c r="L4687" s="6"/>
      <c r="M4687" s="5" t="str">
        <f aca="false">IF(AND(N(K4687)&gt;0,N(L4687)&gt;0),K4687/L4687,"")</f>
        <v/>
      </c>
      <c r="N4687" s="2" t="s">
        <v>1226</v>
      </c>
    </row>
    <row r="4688" customFormat="false" ht="15" hidden="false" customHeight="false" outlineLevel="0" collapsed="false">
      <c r="A4688" s="2" t="n">
        <v>4687</v>
      </c>
      <c r="B4688" s="2" t="s">
        <v>9547</v>
      </c>
      <c r="C4688" s="2" t="s">
        <v>9548</v>
      </c>
      <c r="D4688" s="2"/>
      <c r="E4688" s="2" t="s">
        <v>33</v>
      </c>
      <c r="F4688" s="3" t="n">
        <v>4E-006</v>
      </c>
      <c r="G4688" s="3" t="n">
        <f aca="false">SUM($F$2:F4688)</f>
        <v>0.998681</v>
      </c>
      <c r="H4688" s="4"/>
      <c r="I4688" s="5"/>
      <c r="J4688" s="4"/>
      <c r="K4688" s="5"/>
      <c r="L4688" s="6"/>
      <c r="M4688" s="5" t="str">
        <f aca="false">IF(AND(N(K4688)&gt;0,N(L4688)&gt;0),K4688/L4688,"")</f>
        <v/>
      </c>
      <c r="N4688" s="2" t="s">
        <v>1226</v>
      </c>
    </row>
    <row r="4689" customFormat="false" ht="15" hidden="false" customHeight="false" outlineLevel="0" collapsed="false">
      <c r="A4689" s="2" t="n">
        <v>4688</v>
      </c>
      <c r="B4689" s="2" t="s">
        <v>9549</v>
      </c>
      <c r="C4689" s="2" t="s">
        <v>9550</v>
      </c>
      <c r="D4689" s="2"/>
      <c r="E4689" s="2" t="s">
        <v>1345</v>
      </c>
      <c r="F4689" s="3" t="n">
        <v>4E-006</v>
      </c>
      <c r="G4689" s="3" t="n">
        <f aca="false">SUM($F$2:F4689)</f>
        <v>0.998685</v>
      </c>
      <c r="H4689" s="4"/>
      <c r="I4689" s="5"/>
      <c r="J4689" s="4"/>
      <c r="K4689" s="5"/>
      <c r="L4689" s="6"/>
      <c r="M4689" s="5" t="str">
        <f aca="false">IF(AND(N(K4689)&gt;0,N(L4689)&gt;0),K4689/L4689,"")</f>
        <v/>
      </c>
      <c r="N4689" s="2" t="s">
        <v>1226</v>
      </c>
    </row>
    <row r="4690" customFormat="false" ht="15" hidden="false" customHeight="false" outlineLevel="0" collapsed="false">
      <c r="A4690" s="2" t="n">
        <v>4689</v>
      </c>
      <c r="B4690" s="2" t="s">
        <v>9551</v>
      </c>
      <c r="C4690" s="2" t="s">
        <v>9552</v>
      </c>
      <c r="D4690" s="2"/>
      <c r="E4690" s="2" t="s">
        <v>43</v>
      </c>
      <c r="F4690" s="3" t="n">
        <v>4E-006</v>
      </c>
      <c r="G4690" s="3" t="n">
        <f aca="false">SUM($F$2:F4690)</f>
        <v>0.998689</v>
      </c>
      <c r="H4690" s="4"/>
      <c r="I4690" s="5"/>
      <c r="J4690" s="4"/>
      <c r="K4690" s="5"/>
      <c r="L4690" s="6"/>
      <c r="M4690" s="5" t="str">
        <f aca="false">IF(AND(N(K4690)&gt;0,N(L4690)&gt;0),K4690/L4690,"")</f>
        <v/>
      </c>
      <c r="N4690" s="2" t="s">
        <v>1226</v>
      </c>
    </row>
    <row r="4691" customFormat="false" ht="15" hidden="false" customHeight="false" outlineLevel="0" collapsed="false">
      <c r="A4691" s="2" t="n">
        <v>4690</v>
      </c>
      <c r="B4691" s="2" t="s">
        <v>9553</v>
      </c>
      <c r="C4691" s="2" t="s">
        <v>9554</v>
      </c>
      <c r="D4691" s="2"/>
      <c r="E4691" s="2" t="s">
        <v>1345</v>
      </c>
      <c r="F4691" s="3" t="n">
        <v>4E-006</v>
      </c>
      <c r="G4691" s="3" t="n">
        <f aca="false">SUM($F$2:F4691)</f>
        <v>0.998693</v>
      </c>
      <c r="H4691" s="4"/>
      <c r="I4691" s="5"/>
      <c r="J4691" s="4"/>
      <c r="K4691" s="5"/>
      <c r="L4691" s="6"/>
      <c r="M4691" s="5" t="str">
        <f aca="false">IF(AND(N(K4691)&gt;0,N(L4691)&gt;0),K4691/L4691,"")</f>
        <v/>
      </c>
      <c r="N4691" s="2" t="s">
        <v>1226</v>
      </c>
    </row>
    <row r="4692" customFormat="false" ht="15" hidden="false" customHeight="false" outlineLevel="0" collapsed="false">
      <c r="A4692" s="2" t="n">
        <v>4691</v>
      </c>
      <c r="B4692" s="2" t="s">
        <v>7904</v>
      </c>
      <c r="C4692" s="2" t="s">
        <v>9555</v>
      </c>
      <c r="D4692" s="2"/>
      <c r="E4692" s="2" t="s">
        <v>17</v>
      </c>
      <c r="F4692" s="3" t="n">
        <v>4E-006</v>
      </c>
      <c r="G4692" s="3" t="n">
        <f aca="false">SUM($F$2:F4692)</f>
        <v>0.998697</v>
      </c>
      <c r="H4692" s="4"/>
      <c r="I4692" s="5"/>
      <c r="J4692" s="4"/>
      <c r="K4692" s="5"/>
      <c r="L4692" s="6"/>
      <c r="M4692" s="5" t="str">
        <f aca="false">IF(AND(N(K4692)&gt;0,N(L4692)&gt;0),K4692/L4692,"")</f>
        <v/>
      </c>
      <c r="N4692" s="2" t="s">
        <v>1226</v>
      </c>
    </row>
    <row r="4693" customFormat="false" ht="15" hidden="false" customHeight="false" outlineLevel="0" collapsed="false">
      <c r="A4693" s="2" t="n">
        <v>4692</v>
      </c>
      <c r="B4693" s="2" t="s">
        <v>9556</v>
      </c>
      <c r="C4693" s="2" t="s">
        <v>9557</v>
      </c>
      <c r="D4693" s="2"/>
      <c r="E4693" s="2" t="s">
        <v>2055</v>
      </c>
      <c r="F4693" s="3" t="n">
        <v>4E-006</v>
      </c>
      <c r="G4693" s="3" t="n">
        <f aca="false">SUM($F$2:F4693)</f>
        <v>0.998701</v>
      </c>
      <c r="H4693" s="4"/>
      <c r="I4693" s="5"/>
      <c r="J4693" s="4"/>
      <c r="K4693" s="5"/>
      <c r="L4693" s="6"/>
      <c r="M4693" s="5" t="str">
        <f aca="false">IF(AND(N(K4693)&gt;0,N(L4693)&gt;0),K4693/L4693,"")</f>
        <v/>
      </c>
      <c r="N4693" s="2" t="s">
        <v>1226</v>
      </c>
    </row>
    <row r="4694" customFormat="false" ht="15" hidden="false" customHeight="false" outlineLevel="0" collapsed="false">
      <c r="A4694" s="2" t="n">
        <v>4693</v>
      </c>
      <c r="B4694" s="2" t="s">
        <v>9558</v>
      </c>
      <c r="C4694" s="2" t="s">
        <v>9559</v>
      </c>
      <c r="D4694" s="2"/>
      <c r="E4694" s="2" t="s">
        <v>289</v>
      </c>
      <c r="F4694" s="3" t="n">
        <v>4E-006</v>
      </c>
      <c r="G4694" s="3" t="n">
        <f aca="false">SUM($F$2:F4694)</f>
        <v>0.998705</v>
      </c>
      <c r="H4694" s="4"/>
      <c r="I4694" s="5"/>
      <c r="J4694" s="4"/>
      <c r="K4694" s="5"/>
      <c r="L4694" s="6"/>
      <c r="M4694" s="5" t="str">
        <f aca="false">IF(AND(N(K4694)&gt;0,N(L4694)&gt;0),K4694/L4694,"")</f>
        <v/>
      </c>
      <c r="N4694" s="2" t="s">
        <v>1226</v>
      </c>
    </row>
    <row r="4695" customFormat="false" ht="15" hidden="false" customHeight="false" outlineLevel="0" collapsed="false">
      <c r="A4695" s="2" t="n">
        <v>4694</v>
      </c>
      <c r="B4695" s="2" t="s">
        <v>9560</v>
      </c>
      <c r="C4695" s="2" t="s">
        <v>9561</v>
      </c>
      <c r="D4695" s="2"/>
      <c r="E4695" s="2" t="s">
        <v>43</v>
      </c>
      <c r="F4695" s="3" t="n">
        <v>4E-006</v>
      </c>
      <c r="G4695" s="3" t="n">
        <f aca="false">SUM($F$2:F4695)</f>
        <v>0.998709</v>
      </c>
      <c r="H4695" s="4"/>
      <c r="I4695" s="5"/>
      <c r="J4695" s="4"/>
      <c r="K4695" s="5"/>
      <c r="L4695" s="6"/>
      <c r="M4695" s="5" t="str">
        <f aca="false">IF(AND(N(K4695)&gt;0,N(L4695)&gt;0),K4695/L4695,"")</f>
        <v/>
      </c>
      <c r="N4695" s="2" t="s">
        <v>1226</v>
      </c>
    </row>
    <row r="4696" customFormat="false" ht="15" hidden="false" customHeight="false" outlineLevel="0" collapsed="false">
      <c r="A4696" s="2" t="n">
        <v>4695</v>
      </c>
      <c r="B4696" s="2" t="s">
        <v>9562</v>
      </c>
      <c r="C4696" s="2" t="s">
        <v>9563</v>
      </c>
      <c r="D4696" s="2"/>
      <c r="E4696" s="2" t="s">
        <v>289</v>
      </c>
      <c r="F4696" s="3" t="n">
        <v>4E-006</v>
      </c>
      <c r="G4696" s="3" t="n">
        <f aca="false">SUM($F$2:F4696)</f>
        <v>0.998713</v>
      </c>
      <c r="H4696" s="4"/>
      <c r="I4696" s="5"/>
      <c r="J4696" s="4"/>
      <c r="K4696" s="5"/>
      <c r="L4696" s="6"/>
      <c r="M4696" s="5" t="str">
        <f aca="false">IF(AND(N(K4696)&gt;0,N(L4696)&gt;0),K4696/L4696,"")</f>
        <v/>
      </c>
      <c r="N4696" s="2" t="s">
        <v>1226</v>
      </c>
    </row>
    <row r="4697" customFormat="false" ht="15" hidden="false" customHeight="false" outlineLevel="0" collapsed="false">
      <c r="A4697" s="2" t="n">
        <v>4696</v>
      </c>
      <c r="B4697" s="2" t="s">
        <v>9564</v>
      </c>
      <c r="C4697" s="2" t="s">
        <v>9565</v>
      </c>
      <c r="D4697" s="2"/>
      <c r="E4697" s="2" t="s">
        <v>826</v>
      </c>
      <c r="F4697" s="3" t="n">
        <v>4E-006</v>
      </c>
      <c r="G4697" s="3" t="n">
        <f aca="false">SUM($F$2:F4697)</f>
        <v>0.998717</v>
      </c>
      <c r="H4697" s="4"/>
      <c r="I4697" s="5"/>
      <c r="J4697" s="4"/>
      <c r="K4697" s="5"/>
      <c r="L4697" s="6"/>
      <c r="M4697" s="5" t="str">
        <f aca="false">IF(AND(N(K4697)&gt;0,N(L4697)&gt;0),K4697/L4697,"")</f>
        <v/>
      </c>
      <c r="N4697" s="2" t="s">
        <v>1226</v>
      </c>
    </row>
    <row r="4698" customFormat="false" ht="15" hidden="false" customHeight="false" outlineLevel="0" collapsed="false">
      <c r="A4698" s="2" t="n">
        <v>4697</v>
      </c>
      <c r="B4698" s="2" t="s">
        <v>9566</v>
      </c>
      <c r="C4698" s="2" t="s">
        <v>9567</v>
      </c>
      <c r="D4698" s="2"/>
      <c r="E4698" s="2" t="s">
        <v>334</v>
      </c>
      <c r="F4698" s="3" t="n">
        <v>4E-006</v>
      </c>
      <c r="G4698" s="3" t="n">
        <f aca="false">SUM($F$2:F4698)</f>
        <v>0.998721</v>
      </c>
      <c r="H4698" s="4"/>
      <c r="I4698" s="5"/>
      <c r="J4698" s="4"/>
      <c r="K4698" s="5"/>
      <c r="L4698" s="6"/>
      <c r="M4698" s="5" t="str">
        <f aca="false">IF(AND(N(K4698)&gt;0,N(L4698)&gt;0),K4698/L4698,"")</f>
        <v/>
      </c>
      <c r="N4698" s="2" t="s">
        <v>1226</v>
      </c>
    </row>
    <row r="4699" customFormat="false" ht="15" hidden="false" customHeight="false" outlineLevel="0" collapsed="false">
      <c r="A4699" s="2" t="n">
        <v>4698</v>
      </c>
      <c r="B4699" s="2" t="s">
        <v>9568</v>
      </c>
      <c r="C4699" s="2" t="s">
        <v>9569</v>
      </c>
      <c r="D4699" s="2"/>
      <c r="E4699" s="2" t="s">
        <v>1345</v>
      </c>
      <c r="F4699" s="3" t="n">
        <v>4E-006</v>
      </c>
      <c r="G4699" s="3" t="n">
        <f aca="false">SUM($F$2:F4699)</f>
        <v>0.998725</v>
      </c>
      <c r="H4699" s="4"/>
      <c r="I4699" s="5"/>
      <c r="J4699" s="4"/>
      <c r="K4699" s="5"/>
      <c r="L4699" s="6"/>
      <c r="M4699" s="5" t="str">
        <f aca="false">IF(AND(N(K4699)&gt;0,N(L4699)&gt;0),K4699/L4699,"")</f>
        <v/>
      </c>
      <c r="N4699" s="2" t="s">
        <v>1226</v>
      </c>
    </row>
    <row r="4700" customFormat="false" ht="15" hidden="false" customHeight="false" outlineLevel="0" collapsed="false">
      <c r="A4700" s="2" t="n">
        <v>4699</v>
      </c>
      <c r="B4700" s="2" t="s">
        <v>9570</v>
      </c>
      <c r="C4700" s="2" t="s">
        <v>9571</v>
      </c>
      <c r="D4700" s="2"/>
      <c r="E4700" s="2" t="s">
        <v>1345</v>
      </c>
      <c r="F4700" s="3" t="n">
        <v>4E-006</v>
      </c>
      <c r="G4700" s="3" t="n">
        <f aca="false">SUM($F$2:F4700)</f>
        <v>0.998729</v>
      </c>
      <c r="H4700" s="4"/>
      <c r="I4700" s="5"/>
      <c r="J4700" s="4"/>
      <c r="K4700" s="5"/>
      <c r="L4700" s="6"/>
      <c r="M4700" s="5" t="str">
        <f aca="false">IF(AND(N(K4700)&gt;0,N(L4700)&gt;0),K4700/L4700,"")</f>
        <v/>
      </c>
      <c r="N4700" s="2" t="s">
        <v>1226</v>
      </c>
    </row>
    <row r="4701" customFormat="false" ht="15" hidden="false" customHeight="false" outlineLevel="0" collapsed="false">
      <c r="A4701" s="2" t="n">
        <v>4700</v>
      </c>
      <c r="B4701" s="2" t="s">
        <v>9572</v>
      </c>
      <c r="C4701" s="2" t="s">
        <v>9573</v>
      </c>
      <c r="D4701" s="2"/>
      <c r="E4701" s="2" t="s">
        <v>1345</v>
      </c>
      <c r="F4701" s="3" t="n">
        <v>4E-006</v>
      </c>
      <c r="G4701" s="3" t="n">
        <f aca="false">SUM($F$2:F4701)</f>
        <v>0.998733</v>
      </c>
      <c r="H4701" s="4"/>
      <c r="I4701" s="5"/>
      <c r="J4701" s="4"/>
      <c r="K4701" s="5"/>
      <c r="L4701" s="6"/>
      <c r="M4701" s="5" t="str">
        <f aca="false">IF(AND(N(K4701)&gt;0,N(L4701)&gt;0),K4701/L4701,"")</f>
        <v/>
      </c>
      <c r="N4701" s="2" t="s">
        <v>1226</v>
      </c>
    </row>
    <row r="4702" customFormat="false" ht="15" hidden="false" customHeight="false" outlineLevel="0" collapsed="false">
      <c r="A4702" s="2" t="n">
        <v>4701</v>
      </c>
      <c r="B4702" s="2" t="s">
        <v>9574</v>
      </c>
      <c r="C4702" s="2" t="s">
        <v>9575</v>
      </c>
      <c r="D4702" s="2"/>
      <c r="E4702" s="2" t="s">
        <v>52</v>
      </c>
      <c r="F4702" s="3" t="n">
        <v>4E-006</v>
      </c>
      <c r="G4702" s="3" t="n">
        <f aca="false">SUM($F$2:F4702)</f>
        <v>0.998737</v>
      </c>
      <c r="H4702" s="4"/>
      <c r="I4702" s="5"/>
      <c r="J4702" s="4"/>
      <c r="K4702" s="5"/>
      <c r="L4702" s="6"/>
      <c r="M4702" s="5" t="str">
        <f aca="false">IF(AND(N(K4702)&gt;0,N(L4702)&gt;0),K4702/L4702,"")</f>
        <v/>
      </c>
      <c r="N4702" s="2" t="s">
        <v>1226</v>
      </c>
    </row>
    <row r="4703" customFormat="false" ht="15" hidden="false" customHeight="false" outlineLevel="0" collapsed="false">
      <c r="A4703" s="2" t="n">
        <v>4702</v>
      </c>
      <c r="B4703" s="2" t="s">
        <v>9576</v>
      </c>
      <c r="C4703" s="2" t="s">
        <v>9577</v>
      </c>
      <c r="D4703" s="2"/>
      <c r="E4703" s="2" t="s">
        <v>1345</v>
      </c>
      <c r="F4703" s="3" t="n">
        <v>4E-006</v>
      </c>
      <c r="G4703" s="3" t="n">
        <f aca="false">SUM($F$2:F4703)</f>
        <v>0.998741</v>
      </c>
      <c r="H4703" s="4"/>
      <c r="I4703" s="5"/>
      <c r="J4703" s="4"/>
      <c r="K4703" s="5"/>
      <c r="L4703" s="6"/>
      <c r="M4703" s="5" t="str">
        <f aca="false">IF(AND(N(K4703)&gt;0,N(L4703)&gt;0),K4703/L4703,"")</f>
        <v/>
      </c>
      <c r="N4703" s="2" t="s">
        <v>1226</v>
      </c>
    </row>
    <row r="4704" customFormat="false" ht="15" hidden="false" customHeight="false" outlineLevel="0" collapsed="false">
      <c r="A4704" s="2" t="n">
        <v>4703</v>
      </c>
      <c r="B4704" s="2" t="s">
        <v>9578</v>
      </c>
      <c r="C4704" s="2" t="s">
        <v>9579</v>
      </c>
      <c r="D4704" s="2"/>
      <c r="E4704" s="2" t="s">
        <v>1345</v>
      </c>
      <c r="F4704" s="3" t="n">
        <v>4E-006</v>
      </c>
      <c r="G4704" s="3" t="n">
        <f aca="false">SUM($F$2:F4704)</f>
        <v>0.998745</v>
      </c>
      <c r="H4704" s="4"/>
      <c r="I4704" s="5"/>
      <c r="J4704" s="4"/>
      <c r="K4704" s="5"/>
      <c r="L4704" s="6"/>
      <c r="M4704" s="5" t="str">
        <f aca="false">IF(AND(N(K4704)&gt;0,N(L4704)&gt;0),K4704/L4704,"")</f>
        <v/>
      </c>
      <c r="N4704" s="2" t="s">
        <v>1226</v>
      </c>
    </row>
    <row r="4705" customFormat="false" ht="15" hidden="false" customHeight="false" outlineLevel="0" collapsed="false">
      <c r="A4705" s="2" t="n">
        <v>4704</v>
      </c>
      <c r="B4705" s="2" t="s">
        <v>9580</v>
      </c>
      <c r="C4705" s="2" t="s">
        <v>9581</v>
      </c>
      <c r="D4705" s="2"/>
      <c r="E4705" s="2" t="s">
        <v>1050</v>
      </c>
      <c r="F4705" s="3" t="n">
        <v>4E-006</v>
      </c>
      <c r="G4705" s="3" t="n">
        <f aca="false">SUM($F$2:F4705)</f>
        <v>0.998749</v>
      </c>
      <c r="H4705" s="4"/>
      <c r="I4705" s="5"/>
      <c r="J4705" s="4"/>
      <c r="K4705" s="5"/>
      <c r="L4705" s="6"/>
      <c r="M4705" s="5" t="str">
        <f aca="false">IF(AND(N(K4705)&gt;0,N(L4705)&gt;0),K4705/L4705,"")</f>
        <v/>
      </c>
      <c r="N4705" s="2" t="s">
        <v>1226</v>
      </c>
    </row>
    <row r="4706" customFormat="false" ht="15" hidden="false" customHeight="false" outlineLevel="0" collapsed="false">
      <c r="A4706" s="2" t="n">
        <v>4705</v>
      </c>
      <c r="B4706" s="2" t="s">
        <v>9582</v>
      </c>
      <c r="C4706" s="2" t="s">
        <v>9583</v>
      </c>
      <c r="D4706" s="2"/>
      <c r="E4706" s="2" t="s">
        <v>539</v>
      </c>
      <c r="F4706" s="3" t="n">
        <v>4E-006</v>
      </c>
      <c r="G4706" s="3" t="n">
        <f aca="false">SUM($F$2:F4706)</f>
        <v>0.998753</v>
      </c>
      <c r="H4706" s="4"/>
      <c r="I4706" s="5"/>
      <c r="J4706" s="4"/>
      <c r="K4706" s="5"/>
      <c r="L4706" s="6"/>
      <c r="M4706" s="5" t="str">
        <f aca="false">IF(AND(N(K4706)&gt;0,N(L4706)&gt;0),K4706/L4706,"")</f>
        <v/>
      </c>
      <c r="N4706" s="2" t="s">
        <v>1226</v>
      </c>
    </row>
    <row r="4707" customFormat="false" ht="15" hidden="false" customHeight="false" outlineLevel="0" collapsed="false">
      <c r="A4707" s="2" t="n">
        <v>4706</v>
      </c>
      <c r="B4707" s="2" t="s">
        <v>9584</v>
      </c>
      <c r="C4707" s="2" t="s">
        <v>9585</v>
      </c>
      <c r="D4707" s="2"/>
      <c r="E4707" s="2" t="s">
        <v>17</v>
      </c>
      <c r="F4707" s="3" t="n">
        <v>4E-006</v>
      </c>
      <c r="G4707" s="3" t="n">
        <f aca="false">SUM($F$2:F4707)</f>
        <v>0.998757</v>
      </c>
      <c r="H4707" s="4"/>
      <c r="I4707" s="5"/>
      <c r="J4707" s="4"/>
      <c r="K4707" s="5"/>
      <c r="L4707" s="6"/>
      <c r="M4707" s="5" t="str">
        <f aca="false">IF(AND(N(K4707)&gt;0,N(L4707)&gt;0),K4707/L4707,"")</f>
        <v/>
      </c>
      <c r="N4707" s="2" t="s">
        <v>1226</v>
      </c>
    </row>
    <row r="4708" customFormat="false" ht="15" hidden="false" customHeight="false" outlineLevel="0" collapsed="false">
      <c r="A4708" s="2" t="n">
        <v>4707</v>
      </c>
      <c r="B4708" s="2" t="s">
        <v>9586</v>
      </c>
      <c r="C4708" s="2" t="s">
        <v>9587</v>
      </c>
      <c r="D4708" s="2"/>
      <c r="E4708" s="2" t="s">
        <v>1345</v>
      </c>
      <c r="F4708" s="3" t="n">
        <v>4E-006</v>
      </c>
      <c r="G4708" s="3" t="n">
        <f aca="false">SUM($F$2:F4708)</f>
        <v>0.998761</v>
      </c>
      <c r="H4708" s="4"/>
      <c r="I4708" s="5"/>
      <c r="J4708" s="4"/>
      <c r="K4708" s="5"/>
      <c r="L4708" s="6"/>
      <c r="M4708" s="5" t="str">
        <f aca="false">IF(AND(N(K4708)&gt;0,N(L4708)&gt;0),K4708/L4708,"")</f>
        <v/>
      </c>
      <c r="N4708" s="2" t="s">
        <v>1226</v>
      </c>
    </row>
    <row r="4709" customFormat="false" ht="15" hidden="false" customHeight="false" outlineLevel="0" collapsed="false">
      <c r="A4709" s="2" t="n">
        <v>4708</v>
      </c>
      <c r="B4709" s="2" t="s">
        <v>9588</v>
      </c>
      <c r="C4709" s="2" t="s">
        <v>9589</v>
      </c>
      <c r="D4709" s="2"/>
      <c r="E4709" s="2" t="s">
        <v>1345</v>
      </c>
      <c r="F4709" s="3" t="n">
        <v>4E-006</v>
      </c>
      <c r="G4709" s="3" t="n">
        <f aca="false">SUM($F$2:F4709)</f>
        <v>0.998765</v>
      </c>
      <c r="H4709" s="4"/>
      <c r="I4709" s="5"/>
      <c r="J4709" s="4"/>
      <c r="K4709" s="5"/>
      <c r="L4709" s="6"/>
      <c r="M4709" s="5" t="str">
        <f aca="false">IF(AND(N(K4709)&gt;0,N(L4709)&gt;0),K4709/L4709,"")</f>
        <v/>
      </c>
      <c r="N4709" s="2" t="s">
        <v>1226</v>
      </c>
    </row>
    <row r="4710" customFormat="false" ht="15" hidden="false" customHeight="false" outlineLevel="0" collapsed="false">
      <c r="A4710" s="2" t="n">
        <v>4709</v>
      </c>
      <c r="B4710" s="2" t="s">
        <v>9590</v>
      </c>
      <c r="C4710" s="2" t="s">
        <v>9591</v>
      </c>
      <c r="D4710" s="2"/>
      <c r="E4710" s="2" t="s">
        <v>52</v>
      </c>
      <c r="F4710" s="3" t="n">
        <v>4E-006</v>
      </c>
      <c r="G4710" s="3" t="n">
        <f aca="false">SUM($F$2:F4710)</f>
        <v>0.998769</v>
      </c>
      <c r="H4710" s="4"/>
      <c r="I4710" s="5"/>
      <c r="J4710" s="4"/>
      <c r="K4710" s="5"/>
      <c r="L4710" s="6"/>
      <c r="M4710" s="5" t="str">
        <f aca="false">IF(AND(N(K4710)&gt;0,N(L4710)&gt;0),K4710/L4710,"")</f>
        <v/>
      </c>
      <c r="N4710" s="2" t="s">
        <v>1226</v>
      </c>
    </row>
    <row r="4711" customFormat="false" ht="15" hidden="false" customHeight="false" outlineLevel="0" collapsed="false">
      <c r="A4711" s="2" t="n">
        <v>4710</v>
      </c>
      <c r="B4711" s="2" t="s">
        <v>9592</v>
      </c>
      <c r="C4711" s="2" t="s">
        <v>9593</v>
      </c>
      <c r="D4711" s="2"/>
      <c r="E4711" s="2" t="s">
        <v>765</v>
      </c>
      <c r="F4711" s="3" t="n">
        <v>4E-006</v>
      </c>
      <c r="G4711" s="3" t="n">
        <f aca="false">SUM($F$2:F4711)</f>
        <v>0.998773</v>
      </c>
      <c r="H4711" s="4"/>
      <c r="I4711" s="5"/>
      <c r="J4711" s="4"/>
      <c r="K4711" s="5"/>
      <c r="L4711" s="6"/>
      <c r="M4711" s="5" t="str">
        <f aca="false">IF(AND(N(K4711)&gt;0,N(L4711)&gt;0),K4711/L4711,"")</f>
        <v/>
      </c>
      <c r="N4711" s="2" t="s">
        <v>1226</v>
      </c>
    </row>
    <row r="4712" customFormat="false" ht="15" hidden="false" customHeight="false" outlineLevel="0" collapsed="false">
      <c r="A4712" s="2" t="n">
        <v>4711</v>
      </c>
      <c r="B4712" s="2" t="s">
        <v>9594</v>
      </c>
      <c r="C4712" s="2" t="s">
        <v>9595</v>
      </c>
      <c r="D4712" s="2"/>
      <c r="E4712" s="2" t="s">
        <v>1345</v>
      </c>
      <c r="F4712" s="3" t="n">
        <v>4E-006</v>
      </c>
      <c r="G4712" s="3" t="n">
        <f aca="false">SUM($F$2:F4712)</f>
        <v>0.998777</v>
      </c>
      <c r="H4712" s="4"/>
      <c r="I4712" s="5"/>
      <c r="J4712" s="4"/>
      <c r="K4712" s="5"/>
      <c r="L4712" s="6"/>
      <c r="M4712" s="5" t="str">
        <f aca="false">IF(AND(N(K4712)&gt;0,N(L4712)&gt;0),K4712/L4712,"")</f>
        <v/>
      </c>
      <c r="N4712" s="2" t="s">
        <v>1226</v>
      </c>
    </row>
    <row r="4713" customFormat="false" ht="15" hidden="false" customHeight="false" outlineLevel="0" collapsed="false">
      <c r="A4713" s="2" t="n">
        <v>4712</v>
      </c>
      <c r="B4713" s="2" t="s">
        <v>9596</v>
      </c>
      <c r="C4713" s="2" t="s">
        <v>9597</v>
      </c>
      <c r="D4713" s="2"/>
      <c r="E4713" s="2" t="s">
        <v>17</v>
      </c>
      <c r="F4713" s="3" t="n">
        <v>4E-006</v>
      </c>
      <c r="G4713" s="3" t="n">
        <f aca="false">SUM($F$2:F4713)</f>
        <v>0.998781</v>
      </c>
      <c r="H4713" s="4"/>
      <c r="I4713" s="5"/>
      <c r="J4713" s="4"/>
      <c r="K4713" s="5"/>
      <c r="L4713" s="6"/>
      <c r="M4713" s="5" t="str">
        <f aca="false">IF(AND(N(K4713)&gt;0,N(L4713)&gt;0),K4713/L4713,"")</f>
        <v/>
      </c>
      <c r="N4713" s="2" t="s">
        <v>1226</v>
      </c>
    </row>
    <row r="4714" customFormat="false" ht="15" hidden="false" customHeight="false" outlineLevel="0" collapsed="false">
      <c r="A4714" s="2" t="n">
        <v>4713</v>
      </c>
      <c r="B4714" s="2" t="s">
        <v>9598</v>
      </c>
      <c r="C4714" s="2" t="s">
        <v>9599</v>
      </c>
      <c r="D4714" s="2"/>
      <c r="E4714" s="2" t="s">
        <v>1345</v>
      </c>
      <c r="F4714" s="3" t="n">
        <v>4E-006</v>
      </c>
      <c r="G4714" s="3" t="n">
        <f aca="false">SUM($F$2:F4714)</f>
        <v>0.998785</v>
      </c>
      <c r="H4714" s="4"/>
      <c r="I4714" s="5"/>
      <c r="J4714" s="4"/>
      <c r="K4714" s="5"/>
      <c r="L4714" s="6"/>
      <c r="M4714" s="5" t="str">
        <f aca="false">IF(AND(N(K4714)&gt;0,N(L4714)&gt;0),K4714/L4714,"")</f>
        <v/>
      </c>
      <c r="N4714" s="2" t="s">
        <v>1226</v>
      </c>
    </row>
    <row r="4715" customFormat="false" ht="15" hidden="false" customHeight="false" outlineLevel="0" collapsed="false">
      <c r="A4715" s="2" t="n">
        <v>4714</v>
      </c>
      <c r="B4715" s="2" t="s">
        <v>9600</v>
      </c>
      <c r="C4715" s="2" t="s">
        <v>9601</v>
      </c>
      <c r="D4715" s="2"/>
      <c r="E4715" s="2" t="s">
        <v>289</v>
      </c>
      <c r="F4715" s="3" t="n">
        <v>4E-006</v>
      </c>
      <c r="G4715" s="3" t="n">
        <f aca="false">SUM($F$2:F4715)</f>
        <v>0.998789</v>
      </c>
      <c r="H4715" s="4"/>
      <c r="I4715" s="5"/>
      <c r="J4715" s="4"/>
      <c r="K4715" s="5"/>
      <c r="L4715" s="6"/>
      <c r="M4715" s="5" t="str">
        <f aca="false">IF(AND(N(K4715)&gt;0,N(L4715)&gt;0),K4715/L4715,"")</f>
        <v/>
      </c>
      <c r="N4715" s="2" t="s">
        <v>1226</v>
      </c>
    </row>
    <row r="4716" customFormat="false" ht="15" hidden="false" customHeight="false" outlineLevel="0" collapsed="false">
      <c r="A4716" s="2" t="n">
        <v>4715</v>
      </c>
      <c r="B4716" s="2" t="s">
        <v>9602</v>
      </c>
      <c r="C4716" s="2" t="s">
        <v>9603</v>
      </c>
      <c r="D4716" s="2"/>
      <c r="E4716" s="2" t="s">
        <v>334</v>
      </c>
      <c r="F4716" s="3" t="n">
        <v>4E-006</v>
      </c>
      <c r="G4716" s="3" t="n">
        <f aca="false">SUM($F$2:F4716)</f>
        <v>0.998793</v>
      </c>
      <c r="H4716" s="4"/>
      <c r="I4716" s="5"/>
      <c r="J4716" s="4"/>
      <c r="K4716" s="5"/>
      <c r="L4716" s="6"/>
      <c r="M4716" s="5" t="str">
        <f aca="false">IF(AND(N(K4716)&gt;0,N(L4716)&gt;0),K4716/L4716,"")</f>
        <v/>
      </c>
      <c r="N4716" s="2" t="s">
        <v>1226</v>
      </c>
    </row>
    <row r="4717" customFormat="false" ht="15" hidden="false" customHeight="false" outlineLevel="0" collapsed="false">
      <c r="A4717" s="2" t="n">
        <v>4716</v>
      </c>
      <c r="B4717" s="2" t="s">
        <v>9604</v>
      </c>
      <c r="C4717" s="2" t="s">
        <v>9605</v>
      </c>
      <c r="D4717" s="2"/>
      <c r="E4717" s="2" t="s">
        <v>679</v>
      </c>
      <c r="F4717" s="3" t="n">
        <v>4E-006</v>
      </c>
      <c r="G4717" s="3" t="n">
        <f aca="false">SUM($F$2:F4717)</f>
        <v>0.998797</v>
      </c>
      <c r="H4717" s="4"/>
      <c r="I4717" s="5"/>
      <c r="J4717" s="4"/>
      <c r="K4717" s="5"/>
      <c r="L4717" s="6"/>
      <c r="M4717" s="5" t="str">
        <f aca="false">IF(AND(N(K4717)&gt;0,N(L4717)&gt;0),K4717/L4717,"")</f>
        <v/>
      </c>
      <c r="N4717" s="2" t="s">
        <v>1226</v>
      </c>
    </row>
    <row r="4718" customFormat="false" ht="15" hidden="false" customHeight="false" outlineLevel="0" collapsed="false">
      <c r="A4718" s="2" t="n">
        <v>4717</v>
      </c>
      <c r="B4718" s="2" t="s">
        <v>9606</v>
      </c>
      <c r="C4718" s="2" t="s">
        <v>9607</v>
      </c>
      <c r="D4718" s="2"/>
      <c r="E4718" s="2" t="s">
        <v>17</v>
      </c>
      <c r="F4718" s="3" t="n">
        <v>4E-006</v>
      </c>
      <c r="G4718" s="3" t="n">
        <f aca="false">SUM($F$2:F4718)</f>
        <v>0.998801</v>
      </c>
      <c r="H4718" s="4"/>
      <c r="I4718" s="5"/>
      <c r="J4718" s="4"/>
      <c r="K4718" s="5"/>
      <c r="L4718" s="6"/>
      <c r="M4718" s="5" t="str">
        <f aca="false">IF(AND(N(K4718)&gt;0,N(L4718)&gt;0),K4718/L4718,"")</f>
        <v/>
      </c>
      <c r="N4718" s="2" t="s">
        <v>1226</v>
      </c>
    </row>
    <row r="4719" customFormat="false" ht="15" hidden="false" customHeight="false" outlineLevel="0" collapsed="false">
      <c r="A4719" s="2" t="n">
        <v>4718</v>
      </c>
      <c r="B4719" s="2" t="s">
        <v>9608</v>
      </c>
      <c r="C4719" s="2" t="s">
        <v>9609</v>
      </c>
      <c r="D4719" s="2"/>
      <c r="E4719" s="2" t="s">
        <v>1345</v>
      </c>
      <c r="F4719" s="3" t="n">
        <v>4E-006</v>
      </c>
      <c r="G4719" s="3" t="n">
        <f aca="false">SUM($F$2:F4719)</f>
        <v>0.998805</v>
      </c>
      <c r="H4719" s="4"/>
      <c r="I4719" s="5"/>
      <c r="J4719" s="4"/>
      <c r="K4719" s="5"/>
      <c r="L4719" s="6"/>
      <c r="M4719" s="5" t="str">
        <f aca="false">IF(AND(N(K4719)&gt;0,N(L4719)&gt;0),K4719/L4719,"")</f>
        <v/>
      </c>
      <c r="N4719" s="2" t="s">
        <v>1226</v>
      </c>
    </row>
    <row r="4720" customFormat="false" ht="15" hidden="false" customHeight="false" outlineLevel="0" collapsed="false">
      <c r="A4720" s="2" t="n">
        <v>4719</v>
      </c>
      <c r="B4720" s="2" t="s">
        <v>9610</v>
      </c>
      <c r="C4720" s="2" t="s">
        <v>9611</v>
      </c>
      <c r="D4720" s="2"/>
      <c r="E4720" s="2" t="s">
        <v>1345</v>
      </c>
      <c r="F4720" s="3" t="n">
        <v>4E-006</v>
      </c>
      <c r="G4720" s="3" t="n">
        <f aca="false">SUM($F$2:F4720)</f>
        <v>0.998809</v>
      </c>
      <c r="H4720" s="4"/>
      <c r="I4720" s="5"/>
      <c r="J4720" s="4"/>
      <c r="K4720" s="5"/>
      <c r="L4720" s="6"/>
      <c r="M4720" s="5" t="str">
        <f aca="false">IF(AND(N(K4720)&gt;0,N(L4720)&gt;0),K4720/L4720,"")</f>
        <v/>
      </c>
      <c r="N4720" s="2" t="s">
        <v>1226</v>
      </c>
    </row>
    <row r="4721" customFormat="false" ht="15" hidden="false" customHeight="false" outlineLevel="0" collapsed="false">
      <c r="A4721" s="2" t="n">
        <v>4720</v>
      </c>
      <c r="B4721" s="2" t="s">
        <v>9612</v>
      </c>
      <c r="C4721" s="2" t="s">
        <v>9613</v>
      </c>
      <c r="D4721" s="2"/>
      <c r="E4721" s="2" t="s">
        <v>1345</v>
      </c>
      <c r="F4721" s="3" t="n">
        <v>4E-006</v>
      </c>
      <c r="G4721" s="3" t="n">
        <f aca="false">SUM($F$2:F4721)</f>
        <v>0.998813</v>
      </c>
      <c r="H4721" s="4"/>
      <c r="I4721" s="5"/>
      <c r="J4721" s="4"/>
      <c r="K4721" s="5"/>
      <c r="L4721" s="6"/>
      <c r="M4721" s="5" t="str">
        <f aca="false">IF(AND(N(K4721)&gt;0,N(L4721)&gt;0),K4721/L4721,"")</f>
        <v/>
      </c>
      <c r="N4721" s="2" t="s">
        <v>1226</v>
      </c>
    </row>
    <row r="4722" customFormat="false" ht="15" hidden="false" customHeight="false" outlineLevel="0" collapsed="false">
      <c r="A4722" s="2" t="n">
        <v>4721</v>
      </c>
      <c r="B4722" s="2" t="s">
        <v>9614</v>
      </c>
      <c r="C4722" s="2" t="s">
        <v>9615</v>
      </c>
      <c r="D4722" s="2"/>
      <c r="E4722" s="2" t="s">
        <v>52</v>
      </c>
      <c r="F4722" s="3" t="n">
        <v>4E-006</v>
      </c>
      <c r="G4722" s="3" t="n">
        <f aca="false">SUM($F$2:F4722)</f>
        <v>0.998817</v>
      </c>
      <c r="H4722" s="4"/>
      <c r="I4722" s="5"/>
      <c r="J4722" s="4"/>
      <c r="K4722" s="5"/>
      <c r="L4722" s="6"/>
      <c r="M4722" s="5" t="str">
        <f aca="false">IF(AND(N(K4722)&gt;0,N(L4722)&gt;0),K4722/L4722,"")</f>
        <v/>
      </c>
      <c r="N4722" s="2" t="s">
        <v>1226</v>
      </c>
    </row>
    <row r="4723" customFormat="false" ht="15" hidden="false" customHeight="false" outlineLevel="0" collapsed="false">
      <c r="A4723" s="2" t="n">
        <v>4722</v>
      </c>
      <c r="B4723" s="2" t="s">
        <v>9616</v>
      </c>
      <c r="C4723" s="2" t="s">
        <v>9617</v>
      </c>
      <c r="D4723" s="2"/>
      <c r="E4723" s="2" t="s">
        <v>21</v>
      </c>
      <c r="F4723" s="3" t="n">
        <v>4E-006</v>
      </c>
      <c r="G4723" s="3" t="n">
        <f aca="false">SUM($F$2:F4723)</f>
        <v>0.998821</v>
      </c>
      <c r="H4723" s="4"/>
      <c r="I4723" s="5"/>
      <c r="J4723" s="4"/>
      <c r="K4723" s="5"/>
      <c r="L4723" s="6"/>
      <c r="M4723" s="5" t="str">
        <f aca="false">IF(AND(N(K4723)&gt;0,N(L4723)&gt;0),K4723/L4723,"")</f>
        <v/>
      </c>
      <c r="N4723" s="2" t="s">
        <v>1226</v>
      </c>
    </row>
    <row r="4724" customFormat="false" ht="15" hidden="false" customHeight="false" outlineLevel="0" collapsed="false">
      <c r="A4724" s="2" t="n">
        <v>4723</v>
      </c>
      <c r="B4724" s="2" t="s">
        <v>9618</v>
      </c>
      <c r="C4724" s="2" t="s">
        <v>9619</v>
      </c>
      <c r="D4724" s="2"/>
      <c r="E4724" s="2" t="s">
        <v>43</v>
      </c>
      <c r="F4724" s="3" t="n">
        <v>4E-006</v>
      </c>
      <c r="G4724" s="3" t="n">
        <f aca="false">SUM($F$2:F4724)</f>
        <v>0.998825</v>
      </c>
      <c r="H4724" s="4"/>
      <c r="I4724" s="5"/>
      <c r="J4724" s="4"/>
      <c r="K4724" s="5"/>
      <c r="L4724" s="6"/>
      <c r="M4724" s="5" t="str">
        <f aca="false">IF(AND(N(K4724)&gt;0,N(L4724)&gt;0),K4724/L4724,"")</f>
        <v/>
      </c>
      <c r="N4724" s="2" t="s">
        <v>1226</v>
      </c>
    </row>
    <row r="4725" customFormat="false" ht="15" hidden="false" customHeight="false" outlineLevel="0" collapsed="false">
      <c r="A4725" s="2" t="n">
        <v>4724</v>
      </c>
      <c r="B4725" s="2" t="s">
        <v>9620</v>
      </c>
      <c r="C4725" s="2" t="s">
        <v>9621</v>
      </c>
      <c r="D4725" s="2"/>
      <c r="E4725" s="2" t="s">
        <v>17</v>
      </c>
      <c r="F4725" s="3" t="n">
        <v>4E-006</v>
      </c>
      <c r="G4725" s="3" t="n">
        <f aca="false">SUM($F$2:F4725)</f>
        <v>0.998829</v>
      </c>
      <c r="H4725" s="4"/>
      <c r="I4725" s="5"/>
      <c r="J4725" s="4"/>
      <c r="K4725" s="5"/>
      <c r="L4725" s="6"/>
      <c r="M4725" s="5" t="str">
        <f aca="false">IF(AND(N(K4725)&gt;0,N(L4725)&gt;0),K4725/L4725,"")</f>
        <v/>
      </c>
      <c r="N4725" s="2" t="s">
        <v>1226</v>
      </c>
    </row>
    <row r="4726" customFormat="false" ht="15" hidden="false" customHeight="false" outlineLevel="0" collapsed="false">
      <c r="A4726" s="2" t="n">
        <v>4725</v>
      </c>
      <c r="B4726" s="2" t="s">
        <v>9622</v>
      </c>
      <c r="C4726" s="2" t="s">
        <v>9623</v>
      </c>
      <c r="D4726" s="2"/>
      <c r="E4726" s="2" t="s">
        <v>21</v>
      </c>
      <c r="F4726" s="3" t="n">
        <v>4E-006</v>
      </c>
      <c r="G4726" s="3" t="n">
        <f aca="false">SUM($F$2:F4726)</f>
        <v>0.998833</v>
      </c>
      <c r="H4726" s="4"/>
      <c r="I4726" s="5"/>
      <c r="J4726" s="4"/>
      <c r="K4726" s="5"/>
      <c r="L4726" s="6"/>
      <c r="M4726" s="5" t="str">
        <f aca="false">IF(AND(N(K4726)&gt;0,N(L4726)&gt;0),K4726/L4726,"")</f>
        <v/>
      </c>
      <c r="N4726" s="2" t="s">
        <v>1226</v>
      </c>
    </row>
    <row r="4727" customFormat="false" ht="15" hidden="false" customHeight="false" outlineLevel="0" collapsed="false">
      <c r="A4727" s="2" t="n">
        <v>4726</v>
      </c>
      <c r="B4727" s="2" t="s">
        <v>9624</v>
      </c>
      <c r="C4727" s="2" t="s">
        <v>9625</v>
      </c>
      <c r="D4727" s="2"/>
      <c r="E4727" s="2" t="s">
        <v>25</v>
      </c>
      <c r="F4727" s="3" t="n">
        <v>4E-006</v>
      </c>
      <c r="G4727" s="3" t="n">
        <f aca="false">SUM($F$2:F4727)</f>
        <v>0.998837</v>
      </c>
      <c r="H4727" s="4"/>
      <c r="I4727" s="5"/>
      <c r="J4727" s="4"/>
      <c r="K4727" s="5"/>
      <c r="L4727" s="6"/>
      <c r="M4727" s="5" t="str">
        <f aca="false">IF(AND(N(K4727)&gt;0,N(L4727)&gt;0),K4727/L4727,"")</f>
        <v/>
      </c>
      <c r="N4727" s="2" t="s">
        <v>1226</v>
      </c>
    </row>
    <row r="4728" customFormat="false" ht="15" hidden="false" customHeight="false" outlineLevel="0" collapsed="false">
      <c r="A4728" s="2" t="n">
        <v>4727</v>
      </c>
      <c r="B4728" s="2" t="s">
        <v>9626</v>
      </c>
      <c r="C4728" s="2" t="s">
        <v>9627</v>
      </c>
      <c r="D4728" s="2"/>
      <c r="E4728" s="2" t="s">
        <v>289</v>
      </c>
      <c r="F4728" s="3" t="n">
        <v>4E-006</v>
      </c>
      <c r="G4728" s="3" t="n">
        <f aca="false">SUM($F$2:F4728)</f>
        <v>0.998841</v>
      </c>
      <c r="H4728" s="4"/>
      <c r="I4728" s="5"/>
      <c r="J4728" s="4"/>
      <c r="K4728" s="5"/>
      <c r="L4728" s="6"/>
      <c r="M4728" s="5" t="str">
        <f aca="false">IF(AND(N(K4728)&gt;0,N(L4728)&gt;0),K4728/L4728,"")</f>
        <v/>
      </c>
      <c r="N4728" s="2" t="s">
        <v>1226</v>
      </c>
    </row>
    <row r="4729" customFormat="false" ht="15" hidden="false" customHeight="false" outlineLevel="0" collapsed="false">
      <c r="A4729" s="2" t="n">
        <v>4728</v>
      </c>
      <c r="B4729" s="2" t="s">
        <v>9628</v>
      </c>
      <c r="C4729" s="2" t="s">
        <v>9629</v>
      </c>
      <c r="D4729" s="2"/>
      <c r="E4729" s="2" t="s">
        <v>43</v>
      </c>
      <c r="F4729" s="3" t="n">
        <v>4E-006</v>
      </c>
      <c r="G4729" s="3" t="n">
        <f aca="false">SUM($F$2:F4729)</f>
        <v>0.998845</v>
      </c>
      <c r="H4729" s="4"/>
      <c r="I4729" s="5"/>
      <c r="J4729" s="4"/>
      <c r="K4729" s="5"/>
      <c r="L4729" s="6"/>
      <c r="M4729" s="5" t="str">
        <f aca="false">IF(AND(N(K4729)&gt;0,N(L4729)&gt;0),K4729/L4729,"")</f>
        <v/>
      </c>
      <c r="N4729" s="2" t="s">
        <v>1226</v>
      </c>
    </row>
    <row r="4730" customFormat="false" ht="15" hidden="false" customHeight="false" outlineLevel="0" collapsed="false">
      <c r="A4730" s="2" t="n">
        <v>4729</v>
      </c>
      <c r="B4730" s="2" t="s">
        <v>9630</v>
      </c>
      <c r="C4730" s="2" t="s">
        <v>9631</v>
      </c>
      <c r="D4730" s="2"/>
      <c r="E4730" s="2" t="s">
        <v>52</v>
      </c>
      <c r="F4730" s="3" t="n">
        <v>4E-006</v>
      </c>
      <c r="G4730" s="3" t="n">
        <f aca="false">SUM($F$2:F4730)</f>
        <v>0.998849</v>
      </c>
      <c r="H4730" s="4"/>
      <c r="I4730" s="5"/>
      <c r="J4730" s="4"/>
      <c r="K4730" s="5"/>
      <c r="L4730" s="6"/>
      <c r="M4730" s="5" t="str">
        <f aca="false">IF(AND(N(K4730)&gt;0,N(L4730)&gt;0),K4730/L4730,"")</f>
        <v/>
      </c>
      <c r="N4730" s="2" t="s">
        <v>1226</v>
      </c>
    </row>
    <row r="4731" customFormat="false" ht="15" hidden="false" customHeight="false" outlineLevel="0" collapsed="false">
      <c r="A4731" s="2" t="n">
        <v>4730</v>
      </c>
      <c r="B4731" s="2" t="s">
        <v>9632</v>
      </c>
      <c r="C4731" s="2" t="s">
        <v>9633</v>
      </c>
      <c r="D4731" s="2"/>
      <c r="E4731" s="2" t="s">
        <v>1345</v>
      </c>
      <c r="F4731" s="3" t="n">
        <v>4E-006</v>
      </c>
      <c r="G4731" s="3" t="n">
        <f aca="false">SUM($F$2:F4731)</f>
        <v>0.998853</v>
      </c>
      <c r="H4731" s="4"/>
      <c r="I4731" s="5"/>
      <c r="J4731" s="4"/>
      <c r="K4731" s="5"/>
      <c r="L4731" s="6"/>
      <c r="M4731" s="5" t="str">
        <f aca="false">IF(AND(N(K4731)&gt;0,N(L4731)&gt;0),K4731/L4731,"")</f>
        <v/>
      </c>
      <c r="N4731" s="2" t="s">
        <v>1226</v>
      </c>
    </row>
    <row r="4732" customFormat="false" ht="15" hidden="false" customHeight="false" outlineLevel="0" collapsed="false">
      <c r="A4732" s="2" t="n">
        <v>4731</v>
      </c>
      <c r="B4732" s="2" t="s">
        <v>9634</v>
      </c>
      <c r="C4732" s="2" t="s">
        <v>9635</v>
      </c>
      <c r="D4732" s="2"/>
      <c r="E4732" s="2" t="s">
        <v>17</v>
      </c>
      <c r="F4732" s="3" t="n">
        <v>4E-006</v>
      </c>
      <c r="G4732" s="3" t="n">
        <f aca="false">SUM($F$2:F4732)</f>
        <v>0.998857</v>
      </c>
      <c r="H4732" s="4"/>
      <c r="I4732" s="5"/>
      <c r="J4732" s="4"/>
      <c r="K4732" s="5"/>
      <c r="L4732" s="6"/>
      <c r="M4732" s="5" t="str">
        <f aca="false">IF(AND(N(K4732)&gt;0,N(L4732)&gt;0),K4732/L4732,"")</f>
        <v/>
      </c>
      <c r="N4732" s="2" t="s">
        <v>1226</v>
      </c>
    </row>
    <row r="4733" customFormat="false" ht="15" hidden="false" customHeight="false" outlineLevel="0" collapsed="false">
      <c r="A4733" s="2" t="n">
        <v>4732</v>
      </c>
      <c r="B4733" s="2" t="s">
        <v>9636</v>
      </c>
      <c r="C4733" s="2" t="s">
        <v>9637</v>
      </c>
      <c r="D4733" s="2"/>
      <c r="E4733" s="2" t="s">
        <v>25</v>
      </c>
      <c r="F4733" s="3" t="n">
        <v>4E-006</v>
      </c>
      <c r="G4733" s="3" t="n">
        <f aca="false">SUM($F$2:F4733)</f>
        <v>0.998861</v>
      </c>
      <c r="H4733" s="4"/>
      <c r="I4733" s="5"/>
      <c r="J4733" s="4"/>
      <c r="K4733" s="5"/>
      <c r="L4733" s="6"/>
      <c r="M4733" s="5" t="str">
        <f aca="false">IF(AND(N(K4733)&gt;0,N(L4733)&gt;0),K4733/L4733,"")</f>
        <v/>
      </c>
      <c r="N4733" s="2" t="s">
        <v>1226</v>
      </c>
    </row>
    <row r="4734" customFormat="false" ht="15" hidden="false" customHeight="false" outlineLevel="0" collapsed="false">
      <c r="A4734" s="2" t="n">
        <v>4733</v>
      </c>
      <c r="B4734" s="2" t="s">
        <v>9638</v>
      </c>
      <c r="C4734" s="2" t="s">
        <v>9639</v>
      </c>
      <c r="D4734" s="2"/>
      <c r="E4734" s="2" t="s">
        <v>17</v>
      </c>
      <c r="F4734" s="3" t="n">
        <v>4E-006</v>
      </c>
      <c r="G4734" s="3" t="n">
        <f aca="false">SUM($F$2:F4734)</f>
        <v>0.998865</v>
      </c>
      <c r="H4734" s="4"/>
      <c r="I4734" s="5"/>
      <c r="J4734" s="4"/>
      <c r="K4734" s="5"/>
      <c r="L4734" s="6"/>
      <c r="M4734" s="5" t="str">
        <f aca="false">IF(AND(N(K4734)&gt;0,N(L4734)&gt;0),K4734/L4734,"")</f>
        <v/>
      </c>
      <c r="N4734" s="2" t="s">
        <v>1226</v>
      </c>
    </row>
    <row r="4735" customFormat="false" ht="15" hidden="false" customHeight="false" outlineLevel="0" collapsed="false">
      <c r="A4735" s="2" t="n">
        <v>4734</v>
      </c>
      <c r="B4735" s="2" t="s">
        <v>9640</v>
      </c>
      <c r="C4735" s="2" t="s">
        <v>9641</v>
      </c>
      <c r="D4735" s="2"/>
      <c r="E4735" s="2" t="s">
        <v>1345</v>
      </c>
      <c r="F4735" s="3" t="n">
        <v>4E-006</v>
      </c>
      <c r="G4735" s="3" t="n">
        <f aca="false">SUM($F$2:F4735)</f>
        <v>0.998869</v>
      </c>
      <c r="H4735" s="4"/>
      <c r="I4735" s="5"/>
      <c r="J4735" s="4"/>
      <c r="K4735" s="5"/>
      <c r="L4735" s="6"/>
      <c r="M4735" s="5" t="str">
        <f aca="false">IF(AND(N(K4735)&gt;0,N(L4735)&gt;0),K4735/L4735,"")</f>
        <v/>
      </c>
      <c r="N4735" s="2" t="s">
        <v>1226</v>
      </c>
    </row>
    <row r="4736" customFormat="false" ht="15" hidden="false" customHeight="false" outlineLevel="0" collapsed="false">
      <c r="A4736" s="2" t="n">
        <v>4735</v>
      </c>
      <c r="B4736" s="2" t="s">
        <v>9642</v>
      </c>
      <c r="C4736" s="2" t="s">
        <v>9643</v>
      </c>
      <c r="D4736" s="2"/>
      <c r="E4736" s="2" t="s">
        <v>334</v>
      </c>
      <c r="F4736" s="3" t="n">
        <v>4E-006</v>
      </c>
      <c r="G4736" s="3" t="n">
        <f aca="false">SUM($F$2:F4736)</f>
        <v>0.998873</v>
      </c>
      <c r="H4736" s="4"/>
      <c r="I4736" s="5"/>
      <c r="J4736" s="4"/>
      <c r="K4736" s="5"/>
      <c r="L4736" s="6"/>
      <c r="M4736" s="5" t="str">
        <f aca="false">IF(AND(N(K4736)&gt;0,N(L4736)&gt;0),K4736/L4736,"")</f>
        <v/>
      </c>
      <c r="N4736" s="2" t="s">
        <v>1226</v>
      </c>
    </row>
    <row r="4737" customFormat="false" ht="15" hidden="false" customHeight="false" outlineLevel="0" collapsed="false">
      <c r="A4737" s="2" t="n">
        <v>4736</v>
      </c>
      <c r="B4737" s="2" t="s">
        <v>9644</v>
      </c>
      <c r="C4737" s="2" t="s">
        <v>9645</v>
      </c>
      <c r="D4737" s="2"/>
      <c r="E4737" s="2" t="s">
        <v>17</v>
      </c>
      <c r="F4737" s="3" t="n">
        <v>4E-006</v>
      </c>
      <c r="G4737" s="3" t="n">
        <f aca="false">SUM($F$2:F4737)</f>
        <v>0.998877</v>
      </c>
      <c r="H4737" s="4"/>
      <c r="I4737" s="5"/>
      <c r="J4737" s="4"/>
      <c r="K4737" s="5"/>
      <c r="L4737" s="6"/>
      <c r="M4737" s="5" t="str">
        <f aca="false">IF(AND(N(K4737)&gt;0,N(L4737)&gt;0),K4737/L4737,"")</f>
        <v/>
      </c>
      <c r="N4737" s="2" t="s">
        <v>1226</v>
      </c>
    </row>
    <row r="4738" customFormat="false" ht="15" hidden="false" customHeight="false" outlineLevel="0" collapsed="false">
      <c r="A4738" s="2" t="n">
        <v>4737</v>
      </c>
      <c r="B4738" s="2" t="s">
        <v>9646</v>
      </c>
      <c r="C4738" s="2" t="s">
        <v>9647</v>
      </c>
      <c r="D4738" s="2"/>
      <c r="E4738" s="2" t="s">
        <v>1345</v>
      </c>
      <c r="F4738" s="3" t="n">
        <v>4E-006</v>
      </c>
      <c r="G4738" s="3" t="n">
        <f aca="false">SUM($F$2:F4738)</f>
        <v>0.998881</v>
      </c>
      <c r="H4738" s="4"/>
      <c r="I4738" s="5"/>
      <c r="J4738" s="4"/>
      <c r="K4738" s="5"/>
      <c r="L4738" s="6"/>
      <c r="M4738" s="5" t="str">
        <f aca="false">IF(AND(N(K4738)&gt;0,N(L4738)&gt;0),K4738/L4738,"")</f>
        <v/>
      </c>
      <c r="N4738" s="2" t="s">
        <v>1226</v>
      </c>
    </row>
    <row r="4739" customFormat="false" ht="15" hidden="false" customHeight="false" outlineLevel="0" collapsed="false">
      <c r="A4739" s="2" t="n">
        <v>4738</v>
      </c>
      <c r="B4739" s="2" t="s">
        <v>9648</v>
      </c>
      <c r="C4739" s="2" t="s">
        <v>9649</v>
      </c>
      <c r="D4739" s="2"/>
      <c r="E4739" s="2" t="s">
        <v>1345</v>
      </c>
      <c r="F4739" s="3" t="n">
        <v>4E-006</v>
      </c>
      <c r="G4739" s="3" t="n">
        <f aca="false">SUM($F$2:F4739)</f>
        <v>0.998885</v>
      </c>
      <c r="H4739" s="4"/>
      <c r="I4739" s="5"/>
      <c r="J4739" s="4"/>
      <c r="K4739" s="5"/>
      <c r="L4739" s="6"/>
      <c r="M4739" s="5" t="str">
        <f aca="false">IF(AND(N(K4739)&gt;0,N(L4739)&gt;0),K4739/L4739,"")</f>
        <v/>
      </c>
      <c r="N4739" s="2" t="s">
        <v>1226</v>
      </c>
    </row>
    <row r="4740" customFormat="false" ht="15" hidden="false" customHeight="false" outlineLevel="0" collapsed="false">
      <c r="A4740" s="2" t="n">
        <v>4739</v>
      </c>
      <c r="B4740" s="2" t="s">
        <v>9650</v>
      </c>
      <c r="C4740" s="2" t="s">
        <v>9651</v>
      </c>
      <c r="D4740" s="2"/>
      <c r="E4740" s="2" t="s">
        <v>1345</v>
      </c>
      <c r="F4740" s="3" t="n">
        <v>4E-006</v>
      </c>
      <c r="G4740" s="3" t="n">
        <f aca="false">SUM($F$2:F4740)</f>
        <v>0.998889</v>
      </c>
      <c r="H4740" s="4"/>
      <c r="I4740" s="5"/>
      <c r="J4740" s="4"/>
      <c r="K4740" s="5"/>
      <c r="L4740" s="6"/>
      <c r="M4740" s="5" t="str">
        <f aca="false">IF(AND(N(K4740)&gt;0,N(L4740)&gt;0),K4740/L4740,"")</f>
        <v/>
      </c>
      <c r="N4740" s="2" t="s">
        <v>1226</v>
      </c>
    </row>
    <row r="4741" customFormat="false" ht="15" hidden="false" customHeight="false" outlineLevel="0" collapsed="false">
      <c r="A4741" s="2" t="n">
        <v>4740</v>
      </c>
      <c r="B4741" s="2" t="s">
        <v>9652</v>
      </c>
      <c r="C4741" s="2" t="s">
        <v>6173</v>
      </c>
      <c r="D4741" s="2"/>
      <c r="E4741" s="2" t="s">
        <v>29</v>
      </c>
      <c r="F4741" s="3" t="n">
        <v>4E-006</v>
      </c>
      <c r="G4741" s="3" t="n">
        <f aca="false">SUM($F$2:F4741)</f>
        <v>0.998893</v>
      </c>
      <c r="H4741" s="4"/>
      <c r="I4741" s="5"/>
      <c r="J4741" s="4"/>
      <c r="K4741" s="5"/>
      <c r="L4741" s="6"/>
      <c r="M4741" s="5" t="str">
        <f aca="false">IF(AND(N(K4741)&gt;0,N(L4741)&gt;0),K4741/L4741,"")</f>
        <v/>
      </c>
      <c r="N4741" s="2" t="s">
        <v>1226</v>
      </c>
    </row>
    <row r="4742" customFormat="false" ht="15" hidden="false" customHeight="false" outlineLevel="0" collapsed="false">
      <c r="A4742" s="2" t="n">
        <v>4741</v>
      </c>
      <c r="B4742" s="2" t="s">
        <v>9653</v>
      </c>
      <c r="C4742" s="2" t="s">
        <v>9654</v>
      </c>
      <c r="D4742" s="2"/>
      <c r="E4742" s="2" t="s">
        <v>43</v>
      </c>
      <c r="F4742" s="3" t="n">
        <v>4E-006</v>
      </c>
      <c r="G4742" s="3" t="n">
        <f aca="false">SUM($F$2:F4742)</f>
        <v>0.998897</v>
      </c>
      <c r="H4742" s="4"/>
      <c r="I4742" s="5"/>
      <c r="J4742" s="4"/>
      <c r="K4742" s="5"/>
      <c r="L4742" s="6"/>
      <c r="M4742" s="5" t="str">
        <f aca="false">IF(AND(N(K4742)&gt;0,N(L4742)&gt;0),K4742/L4742,"")</f>
        <v/>
      </c>
      <c r="N4742" s="2" t="s">
        <v>1226</v>
      </c>
    </row>
    <row r="4743" customFormat="false" ht="15" hidden="false" customHeight="false" outlineLevel="0" collapsed="false">
      <c r="A4743" s="2" t="n">
        <v>4742</v>
      </c>
      <c r="B4743" s="2" t="s">
        <v>9655</v>
      </c>
      <c r="C4743" s="2" t="s">
        <v>9656</v>
      </c>
      <c r="D4743" s="2"/>
      <c r="E4743" s="2" t="s">
        <v>1345</v>
      </c>
      <c r="F4743" s="3" t="n">
        <v>4E-006</v>
      </c>
      <c r="G4743" s="3" t="n">
        <f aca="false">SUM($F$2:F4743)</f>
        <v>0.998901</v>
      </c>
      <c r="H4743" s="4"/>
      <c r="I4743" s="5"/>
      <c r="J4743" s="4"/>
      <c r="K4743" s="5"/>
      <c r="L4743" s="6"/>
      <c r="M4743" s="5" t="str">
        <f aca="false">IF(AND(N(K4743)&gt;0,N(L4743)&gt;0),K4743/L4743,"")</f>
        <v/>
      </c>
      <c r="N4743" s="2" t="s">
        <v>1226</v>
      </c>
    </row>
    <row r="4744" customFormat="false" ht="15" hidden="false" customHeight="false" outlineLevel="0" collapsed="false">
      <c r="A4744" s="2" t="n">
        <v>4743</v>
      </c>
      <c r="B4744" s="2" t="s">
        <v>9657</v>
      </c>
      <c r="C4744" s="2" t="s">
        <v>9658</v>
      </c>
      <c r="D4744" s="2"/>
      <c r="E4744" s="2" t="s">
        <v>1284</v>
      </c>
      <c r="F4744" s="3" t="n">
        <v>4E-006</v>
      </c>
      <c r="G4744" s="3" t="n">
        <f aca="false">SUM($F$2:F4744)</f>
        <v>0.998905</v>
      </c>
      <c r="H4744" s="4"/>
      <c r="I4744" s="5"/>
      <c r="J4744" s="4"/>
      <c r="K4744" s="5"/>
      <c r="L4744" s="6"/>
      <c r="M4744" s="5" t="str">
        <f aca="false">IF(AND(N(K4744)&gt;0,N(L4744)&gt;0),K4744/L4744,"")</f>
        <v/>
      </c>
      <c r="N4744" s="2" t="s">
        <v>1226</v>
      </c>
    </row>
    <row r="4745" customFormat="false" ht="15" hidden="false" customHeight="false" outlineLevel="0" collapsed="false">
      <c r="A4745" s="2" t="n">
        <v>4744</v>
      </c>
      <c r="B4745" s="2" t="s">
        <v>9659</v>
      </c>
      <c r="C4745" s="2" t="s">
        <v>9660</v>
      </c>
      <c r="D4745" s="2"/>
      <c r="E4745" s="2" t="s">
        <v>1345</v>
      </c>
      <c r="F4745" s="3" t="n">
        <v>4E-006</v>
      </c>
      <c r="G4745" s="3" t="n">
        <f aca="false">SUM($F$2:F4745)</f>
        <v>0.998909</v>
      </c>
      <c r="H4745" s="4"/>
      <c r="I4745" s="5"/>
      <c r="J4745" s="4"/>
      <c r="K4745" s="5"/>
      <c r="L4745" s="6"/>
      <c r="M4745" s="5" t="str">
        <f aca="false">IF(AND(N(K4745)&gt;0,N(L4745)&gt;0),K4745/L4745,"")</f>
        <v/>
      </c>
      <c r="N4745" s="2" t="s">
        <v>1226</v>
      </c>
    </row>
    <row r="4746" customFormat="false" ht="15" hidden="false" customHeight="false" outlineLevel="0" collapsed="false">
      <c r="A4746" s="2" t="n">
        <v>4745</v>
      </c>
      <c r="B4746" s="2" t="s">
        <v>9661</v>
      </c>
      <c r="C4746" s="2" t="s">
        <v>9662</v>
      </c>
      <c r="D4746" s="2"/>
      <c r="E4746" s="2" t="s">
        <v>25</v>
      </c>
      <c r="F4746" s="3" t="n">
        <v>4E-006</v>
      </c>
      <c r="G4746" s="3" t="n">
        <f aca="false">SUM($F$2:F4746)</f>
        <v>0.998913</v>
      </c>
      <c r="H4746" s="4"/>
      <c r="I4746" s="5"/>
      <c r="J4746" s="4"/>
      <c r="K4746" s="5"/>
      <c r="L4746" s="6"/>
      <c r="M4746" s="5" t="str">
        <f aca="false">IF(AND(N(K4746)&gt;0,N(L4746)&gt;0),K4746/L4746,"")</f>
        <v/>
      </c>
      <c r="N4746" s="2" t="s">
        <v>1226</v>
      </c>
    </row>
    <row r="4747" customFormat="false" ht="15" hidden="false" customHeight="false" outlineLevel="0" collapsed="false">
      <c r="A4747" s="2" t="n">
        <v>4746</v>
      </c>
      <c r="B4747" s="2" t="s">
        <v>9663</v>
      </c>
      <c r="C4747" s="2" t="s">
        <v>9664</v>
      </c>
      <c r="D4747" s="2"/>
      <c r="E4747" s="2" t="s">
        <v>1345</v>
      </c>
      <c r="F4747" s="3" t="n">
        <v>4E-006</v>
      </c>
      <c r="G4747" s="3" t="n">
        <f aca="false">SUM($F$2:F4747)</f>
        <v>0.998917</v>
      </c>
      <c r="H4747" s="4"/>
      <c r="I4747" s="5"/>
      <c r="J4747" s="4"/>
      <c r="K4747" s="5"/>
      <c r="L4747" s="6"/>
      <c r="M4747" s="5" t="str">
        <f aca="false">IF(AND(N(K4747)&gt;0,N(L4747)&gt;0),K4747/L4747,"")</f>
        <v/>
      </c>
      <c r="N4747" s="2" t="s">
        <v>1226</v>
      </c>
    </row>
    <row r="4748" customFormat="false" ht="15" hidden="false" customHeight="false" outlineLevel="0" collapsed="false">
      <c r="A4748" s="2" t="n">
        <v>4747</v>
      </c>
      <c r="B4748" s="2" t="s">
        <v>9665</v>
      </c>
      <c r="C4748" s="2" t="s">
        <v>9666</v>
      </c>
      <c r="D4748" s="2"/>
      <c r="E4748" s="2" t="s">
        <v>1345</v>
      </c>
      <c r="F4748" s="3" t="n">
        <v>4E-006</v>
      </c>
      <c r="G4748" s="3" t="n">
        <f aca="false">SUM($F$2:F4748)</f>
        <v>0.998921</v>
      </c>
      <c r="H4748" s="4"/>
      <c r="I4748" s="5"/>
      <c r="J4748" s="4"/>
      <c r="K4748" s="5"/>
      <c r="L4748" s="6"/>
      <c r="M4748" s="5" t="str">
        <f aca="false">IF(AND(N(K4748)&gt;0,N(L4748)&gt;0),K4748/L4748,"")</f>
        <v/>
      </c>
      <c r="N4748" s="2" t="s">
        <v>1226</v>
      </c>
    </row>
    <row r="4749" customFormat="false" ht="15" hidden="false" customHeight="false" outlineLevel="0" collapsed="false">
      <c r="A4749" s="2" t="n">
        <v>4748</v>
      </c>
      <c r="B4749" s="2" t="s">
        <v>9667</v>
      </c>
      <c r="C4749" s="2" t="s">
        <v>9668</v>
      </c>
      <c r="D4749" s="2"/>
      <c r="E4749" s="2" t="s">
        <v>25</v>
      </c>
      <c r="F4749" s="3" t="n">
        <v>4E-006</v>
      </c>
      <c r="G4749" s="3" t="n">
        <f aca="false">SUM($F$2:F4749)</f>
        <v>0.998925</v>
      </c>
      <c r="H4749" s="4"/>
      <c r="I4749" s="5"/>
      <c r="J4749" s="4"/>
      <c r="K4749" s="5"/>
      <c r="L4749" s="6"/>
      <c r="M4749" s="5" t="str">
        <f aca="false">IF(AND(N(K4749)&gt;0,N(L4749)&gt;0),K4749/L4749,"")</f>
        <v/>
      </c>
      <c r="N4749" s="2" t="s">
        <v>1226</v>
      </c>
    </row>
    <row r="4750" customFormat="false" ht="15" hidden="false" customHeight="false" outlineLevel="0" collapsed="false">
      <c r="A4750" s="2" t="n">
        <v>4749</v>
      </c>
      <c r="B4750" s="2" t="s">
        <v>9669</v>
      </c>
      <c r="C4750" s="2" t="s">
        <v>9670</v>
      </c>
      <c r="D4750" s="2"/>
      <c r="E4750" s="2" t="s">
        <v>17</v>
      </c>
      <c r="F4750" s="3" t="n">
        <v>4E-006</v>
      </c>
      <c r="G4750" s="3" t="n">
        <f aca="false">SUM($F$2:F4750)</f>
        <v>0.998929</v>
      </c>
      <c r="H4750" s="4"/>
      <c r="I4750" s="5"/>
      <c r="J4750" s="4"/>
      <c r="K4750" s="5"/>
      <c r="L4750" s="6"/>
      <c r="M4750" s="5" t="str">
        <f aca="false">IF(AND(N(K4750)&gt;0,N(L4750)&gt;0),K4750/L4750,"")</f>
        <v/>
      </c>
      <c r="N4750" s="2" t="s">
        <v>1226</v>
      </c>
    </row>
    <row r="4751" customFormat="false" ht="15" hidden="false" customHeight="false" outlineLevel="0" collapsed="false">
      <c r="A4751" s="2" t="n">
        <v>4750</v>
      </c>
      <c r="B4751" s="2" t="s">
        <v>9671</v>
      </c>
      <c r="C4751" s="2" t="s">
        <v>9672</v>
      </c>
      <c r="D4751" s="2"/>
      <c r="E4751" s="2" t="s">
        <v>1345</v>
      </c>
      <c r="F4751" s="3" t="n">
        <v>4E-006</v>
      </c>
      <c r="G4751" s="3" t="n">
        <f aca="false">SUM($F$2:F4751)</f>
        <v>0.998933</v>
      </c>
      <c r="H4751" s="4"/>
      <c r="I4751" s="5"/>
      <c r="J4751" s="4"/>
      <c r="K4751" s="5"/>
      <c r="L4751" s="6"/>
      <c r="M4751" s="5" t="str">
        <f aca="false">IF(AND(N(K4751)&gt;0,N(L4751)&gt;0),K4751/L4751,"")</f>
        <v/>
      </c>
      <c r="N4751" s="2" t="s">
        <v>1226</v>
      </c>
    </row>
    <row r="4752" customFormat="false" ht="15" hidden="false" customHeight="false" outlineLevel="0" collapsed="false">
      <c r="A4752" s="2" t="n">
        <v>4751</v>
      </c>
      <c r="B4752" s="2" t="s">
        <v>9673</v>
      </c>
      <c r="C4752" s="2" t="s">
        <v>9674</v>
      </c>
      <c r="D4752" s="2"/>
      <c r="E4752" s="2" t="s">
        <v>289</v>
      </c>
      <c r="F4752" s="3" t="n">
        <v>4E-006</v>
      </c>
      <c r="G4752" s="3" t="n">
        <f aca="false">SUM($F$2:F4752)</f>
        <v>0.998937</v>
      </c>
      <c r="H4752" s="4"/>
      <c r="I4752" s="5"/>
      <c r="J4752" s="4"/>
      <c r="K4752" s="5"/>
      <c r="L4752" s="6"/>
      <c r="M4752" s="5" t="str">
        <f aca="false">IF(AND(N(K4752)&gt;0,N(L4752)&gt;0),K4752/L4752,"")</f>
        <v/>
      </c>
      <c r="N4752" s="2" t="s">
        <v>1226</v>
      </c>
    </row>
    <row r="4753" customFormat="false" ht="15" hidden="false" customHeight="false" outlineLevel="0" collapsed="false">
      <c r="A4753" s="2" t="n">
        <v>4752</v>
      </c>
      <c r="B4753" s="2" t="s">
        <v>9675</v>
      </c>
      <c r="C4753" s="2" t="s">
        <v>9676</v>
      </c>
      <c r="D4753" s="2"/>
      <c r="E4753" s="2" t="s">
        <v>1345</v>
      </c>
      <c r="F4753" s="3" t="n">
        <v>4E-006</v>
      </c>
      <c r="G4753" s="3" t="n">
        <f aca="false">SUM($F$2:F4753)</f>
        <v>0.998941</v>
      </c>
      <c r="H4753" s="4"/>
      <c r="I4753" s="5"/>
      <c r="J4753" s="4"/>
      <c r="K4753" s="5"/>
      <c r="L4753" s="6"/>
      <c r="M4753" s="5" t="str">
        <f aca="false">IF(AND(N(K4753)&gt;0,N(L4753)&gt;0),K4753/L4753,"")</f>
        <v/>
      </c>
      <c r="N4753" s="2" t="s">
        <v>1226</v>
      </c>
    </row>
    <row r="4754" customFormat="false" ht="15" hidden="false" customHeight="false" outlineLevel="0" collapsed="false">
      <c r="A4754" s="2" t="n">
        <v>4753</v>
      </c>
      <c r="B4754" s="2" t="s">
        <v>9677</v>
      </c>
      <c r="C4754" s="2" t="s">
        <v>9678</v>
      </c>
      <c r="D4754" s="2"/>
      <c r="E4754" s="2" t="s">
        <v>1345</v>
      </c>
      <c r="F4754" s="3" t="n">
        <v>4E-006</v>
      </c>
      <c r="G4754" s="3" t="n">
        <f aca="false">SUM($F$2:F4754)</f>
        <v>0.998945</v>
      </c>
      <c r="H4754" s="4"/>
      <c r="I4754" s="5"/>
      <c r="J4754" s="4"/>
      <c r="K4754" s="5"/>
      <c r="L4754" s="6"/>
      <c r="M4754" s="5" t="str">
        <f aca="false">IF(AND(N(K4754)&gt;0,N(L4754)&gt;0),K4754/L4754,"")</f>
        <v/>
      </c>
      <c r="N4754" s="2" t="s">
        <v>1226</v>
      </c>
    </row>
    <row r="4755" customFormat="false" ht="15" hidden="false" customHeight="false" outlineLevel="0" collapsed="false">
      <c r="A4755" s="2" t="n">
        <v>4754</v>
      </c>
      <c r="B4755" s="2" t="s">
        <v>9679</v>
      </c>
      <c r="C4755" s="2" t="s">
        <v>9680</v>
      </c>
      <c r="D4755" s="2"/>
      <c r="E4755" s="2" t="s">
        <v>1345</v>
      </c>
      <c r="F4755" s="3" t="n">
        <v>4E-006</v>
      </c>
      <c r="G4755" s="3" t="n">
        <f aca="false">SUM($F$2:F4755)</f>
        <v>0.998949</v>
      </c>
      <c r="H4755" s="4"/>
      <c r="I4755" s="5"/>
      <c r="J4755" s="4"/>
      <c r="K4755" s="5"/>
      <c r="L4755" s="6"/>
      <c r="M4755" s="5" t="str">
        <f aca="false">IF(AND(N(K4755)&gt;0,N(L4755)&gt;0),K4755/L4755,"")</f>
        <v/>
      </c>
      <c r="N4755" s="2" t="s">
        <v>1226</v>
      </c>
    </row>
    <row r="4756" customFormat="false" ht="15" hidden="false" customHeight="false" outlineLevel="0" collapsed="false">
      <c r="A4756" s="2" t="n">
        <v>4755</v>
      </c>
      <c r="B4756" s="2" t="s">
        <v>9681</v>
      </c>
      <c r="C4756" s="2" t="s">
        <v>9682</v>
      </c>
      <c r="D4756" s="2"/>
      <c r="E4756" s="2" t="s">
        <v>289</v>
      </c>
      <c r="F4756" s="3" t="n">
        <v>4E-006</v>
      </c>
      <c r="G4756" s="3" t="n">
        <f aca="false">SUM($F$2:F4756)</f>
        <v>0.998953</v>
      </c>
      <c r="H4756" s="4"/>
      <c r="I4756" s="5"/>
      <c r="J4756" s="4"/>
      <c r="K4756" s="5"/>
      <c r="L4756" s="6"/>
      <c r="M4756" s="5" t="str">
        <f aca="false">IF(AND(N(K4756)&gt;0,N(L4756)&gt;0),K4756/L4756,"")</f>
        <v/>
      </c>
      <c r="N4756" s="2" t="s">
        <v>1226</v>
      </c>
    </row>
    <row r="4757" customFormat="false" ht="15" hidden="false" customHeight="false" outlineLevel="0" collapsed="false">
      <c r="A4757" s="2" t="n">
        <v>4756</v>
      </c>
      <c r="B4757" s="2" t="s">
        <v>9683</v>
      </c>
      <c r="C4757" s="2" t="s">
        <v>9684</v>
      </c>
      <c r="D4757" s="2"/>
      <c r="E4757" s="2" t="s">
        <v>1345</v>
      </c>
      <c r="F4757" s="3" t="n">
        <v>4E-006</v>
      </c>
      <c r="G4757" s="3" t="n">
        <f aca="false">SUM($F$2:F4757)</f>
        <v>0.998957</v>
      </c>
      <c r="H4757" s="4"/>
      <c r="I4757" s="5"/>
      <c r="J4757" s="4"/>
      <c r="K4757" s="5"/>
      <c r="L4757" s="6"/>
      <c r="M4757" s="5" t="str">
        <f aca="false">IF(AND(N(K4757)&gt;0,N(L4757)&gt;0),K4757/L4757,"")</f>
        <v/>
      </c>
      <c r="N4757" s="2" t="s">
        <v>1226</v>
      </c>
    </row>
    <row r="4758" customFormat="false" ht="15" hidden="false" customHeight="false" outlineLevel="0" collapsed="false">
      <c r="A4758" s="2" t="n">
        <v>4757</v>
      </c>
      <c r="B4758" s="2" t="s">
        <v>9685</v>
      </c>
      <c r="C4758" s="2" t="s">
        <v>9686</v>
      </c>
      <c r="D4758" s="2"/>
      <c r="E4758" s="2" t="s">
        <v>1345</v>
      </c>
      <c r="F4758" s="3" t="n">
        <v>4E-006</v>
      </c>
      <c r="G4758" s="3" t="n">
        <f aca="false">SUM($F$2:F4758)</f>
        <v>0.998961</v>
      </c>
      <c r="H4758" s="4"/>
      <c r="I4758" s="5"/>
      <c r="J4758" s="4"/>
      <c r="K4758" s="5"/>
      <c r="L4758" s="6"/>
      <c r="M4758" s="5" t="str">
        <f aca="false">IF(AND(N(K4758)&gt;0,N(L4758)&gt;0),K4758/L4758,"")</f>
        <v/>
      </c>
      <c r="N4758" s="2" t="s">
        <v>1226</v>
      </c>
    </row>
    <row r="4759" customFormat="false" ht="15" hidden="false" customHeight="false" outlineLevel="0" collapsed="false">
      <c r="A4759" s="2" t="n">
        <v>4758</v>
      </c>
      <c r="B4759" s="2" t="s">
        <v>9687</v>
      </c>
      <c r="C4759" s="2" t="s">
        <v>9688</v>
      </c>
      <c r="D4759" s="2"/>
      <c r="E4759" s="2" t="s">
        <v>296</v>
      </c>
      <c r="F4759" s="3" t="n">
        <v>4E-006</v>
      </c>
      <c r="G4759" s="3" t="n">
        <f aca="false">SUM($F$2:F4759)</f>
        <v>0.998965</v>
      </c>
      <c r="H4759" s="4"/>
      <c r="I4759" s="5"/>
      <c r="J4759" s="4"/>
      <c r="K4759" s="5"/>
      <c r="L4759" s="6"/>
      <c r="M4759" s="5" t="str">
        <f aca="false">IF(AND(N(K4759)&gt;0,N(L4759)&gt;0),K4759/L4759,"")</f>
        <v/>
      </c>
      <c r="N4759" s="2" t="s">
        <v>1226</v>
      </c>
    </row>
    <row r="4760" customFormat="false" ht="15" hidden="false" customHeight="false" outlineLevel="0" collapsed="false">
      <c r="A4760" s="2" t="n">
        <v>4759</v>
      </c>
      <c r="B4760" s="2" t="s">
        <v>9689</v>
      </c>
      <c r="C4760" s="2" t="s">
        <v>9690</v>
      </c>
      <c r="D4760" s="2"/>
      <c r="E4760" s="2" t="s">
        <v>1295</v>
      </c>
      <c r="F4760" s="3" t="n">
        <v>4E-006</v>
      </c>
      <c r="G4760" s="3" t="n">
        <f aca="false">SUM($F$2:F4760)</f>
        <v>0.998969</v>
      </c>
      <c r="H4760" s="4"/>
      <c r="I4760" s="5"/>
      <c r="J4760" s="4"/>
      <c r="K4760" s="5"/>
      <c r="L4760" s="6"/>
      <c r="M4760" s="5" t="str">
        <f aca="false">IF(AND(N(K4760)&gt;0,N(L4760)&gt;0),K4760/L4760,"")</f>
        <v/>
      </c>
      <c r="N4760" s="2" t="s">
        <v>1226</v>
      </c>
    </row>
    <row r="4761" customFormat="false" ht="15" hidden="false" customHeight="false" outlineLevel="0" collapsed="false">
      <c r="A4761" s="2" t="n">
        <v>4760</v>
      </c>
      <c r="B4761" s="2" t="s">
        <v>9691</v>
      </c>
      <c r="C4761" s="2" t="s">
        <v>9692</v>
      </c>
      <c r="D4761" s="2"/>
      <c r="E4761" s="2" t="s">
        <v>52</v>
      </c>
      <c r="F4761" s="3" t="n">
        <v>4E-006</v>
      </c>
      <c r="G4761" s="3" t="n">
        <f aca="false">SUM($F$2:F4761)</f>
        <v>0.998973</v>
      </c>
      <c r="H4761" s="4"/>
      <c r="I4761" s="5"/>
      <c r="J4761" s="4"/>
      <c r="K4761" s="5"/>
      <c r="L4761" s="6"/>
      <c r="M4761" s="5" t="str">
        <f aca="false">IF(AND(N(K4761)&gt;0,N(L4761)&gt;0),K4761/L4761,"")</f>
        <v/>
      </c>
      <c r="N4761" s="2" t="s">
        <v>1226</v>
      </c>
    </row>
    <row r="4762" customFormat="false" ht="15" hidden="false" customHeight="false" outlineLevel="0" collapsed="false">
      <c r="A4762" s="2" t="n">
        <v>4761</v>
      </c>
      <c r="B4762" s="2" t="s">
        <v>9693</v>
      </c>
      <c r="C4762" s="2" t="s">
        <v>9694</v>
      </c>
      <c r="D4762" s="2"/>
      <c r="E4762" s="2" t="s">
        <v>25</v>
      </c>
      <c r="F4762" s="3" t="n">
        <v>4E-006</v>
      </c>
      <c r="G4762" s="3" t="n">
        <f aca="false">SUM($F$2:F4762)</f>
        <v>0.998977</v>
      </c>
      <c r="H4762" s="4"/>
      <c r="I4762" s="5"/>
      <c r="J4762" s="4"/>
      <c r="K4762" s="5"/>
      <c r="L4762" s="6"/>
      <c r="M4762" s="5" t="str">
        <f aca="false">IF(AND(N(K4762)&gt;0,N(L4762)&gt;0),K4762/L4762,"")</f>
        <v/>
      </c>
      <c r="N4762" s="2" t="s">
        <v>1226</v>
      </c>
    </row>
    <row r="4763" customFormat="false" ht="15" hidden="false" customHeight="false" outlineLevel="0" collapsed="false">
      <c r="A4763" s="2" t="n">
        <v>4762</v>
      </c>
      <c r="B4763" s="2" t="s">
        <v>9695</v>
      </c>
      <c r="C4763" s="2" t="s">
        <v>9696</v>
      </c>
      <c r="D4763" s="2"/>
      <c r="E4763" s="2" t="s">
        <v>1345</v>
      </c>
      <c r="F4763" s="3" t="n">
        <v>4E-006</v>
      </c>
      <c r="G4763" s="3" t="n">
        <f aca="false">SUM($F$2:F4763)</f>
        <v>0.998981</v>
      </c>
      <c r="H4763" s="4"/>
      <c r="I4763" s="5"/>
      <c r="J4763" s="4"/>
      <c r="K4763" s="5"/>
      <c r="L4763" s="6"/>
      <c r="M4763" s="5" t="str">
        <f aca="false">IF(AND(N(K4763)&gt;0,N(L4763)&gt;0),K4763/L4763,"")</f>
        <v/>
      </c>
      <c r="N4763" s="2" t="s">
        <v>1226</v>
      </c>
    </row>
    <row r="4764" customFormat="false" ht="15" hidden="false" customHeight="false" outlineLevel="0" collapsed="false">
      <c r="A4764" s="2" t="n">
        <v>4763</v>
      </c>
      <c r="B4764" s="2" t="s">
        <v>9697</v>
      </c>
      <c r="C4764" s="2" t="s">
        <v>9698</v>
      </c>
      <c r="D4764" s="2"/>
      <c r="E4764" s="2" t="s">
        <v>17</v>
      </c>
      <c r="F4764" s="3" t="n">
        <v>4E-006</v>
      </c>
      <c r="G4764" s="3" t="n">
        <f aca="false">SUM($F$2:F4764)</f>
        <v>0.998985</v>
      </c>
      <c r="H4764" s="4"/>
      <c r="I4764" s="5"/>
      <c r="J4764" s="4"/>
      <c r="K4764" s="5"/>
      <c r="L4764" s="6"/>
      <c r="M4764" s="5" t="str">
        <f aca="false">IF(AND(N(K4764)&gt;0,N(L4764)&gt;0),K4764/L4764,"")</f>
        <v/>
      </c>
      <c r="N4764" s="2" t="s">
        <v>1226</v>
      </c>
    </row>
    <row r="4765" customFormat="false" ht="15" hidden="false" customHeight="false" outlineLevel="0" collapsed="false">
      <c r="A4765" s="2" t="n">
        <v>4764</v>
      </c>
      <c r="B4765" s="2" t="s">
        <v>9699</v>
      </c>
      <c r="C4765" s="2" t="s">
        <v>9700</v>
      </c>
      <c r="D4765" s="2"/>
      <c r="E4765" s="2" t="s">
        <v>1345</v>
      </c>
      <c r="F4765" s="3" t="n">
        <v>4E-006</v>
      </c>
      <c r="G4765" s="3" t="n">
        <f aca="false">SUM($F$2:F4765)</f>
        <v>0.998989</v>
      </c>
      <c r="H4765" s="4"/>
      <c r="I4765" s="5"/>
      <c r="J4765" s="4"/>
      <c r="K4765" s="5"/>
      <c r="L4765" s="6"/>
      <c r="M4765" s="5" t="str">
        <f aca="false">IF(AND(N(K4765)&gt;0,N(L4765)&gt;0),K4765/L4765,"")</f>
        <v/>
      </c>
      <c r="N4765" s="2" t="s">
        <v>1226</v>
      </c>
    </row>
    <row r="4766" customFormat="false" ht="15" hidden="false" customHeight="false" outlineLevel="0" collapsed="false">
      <c r="A4766" s="2" t="n">
        <v>4765</v>
      </c>
      <c r="B4766" s="2" t="s">
        <v>9701</v>
      </c>
      <c r="C4766" s="2" t="s">
        <v>9702</v>
      </c>
      <c r="D4766" s="2"/>
      <c r="E4766" s="2" t="s">
        <v>1345</v>
      </c>
      <c r="F4766" s="3" t="n">
        <v>4E-006</v>
      </c>
      <c r="G4766" s="3" t="n">
        <f aca="false">SUM($F$2:F4766)</f>
        <v>0.998993</v>
      </c>
      <c r="H4766" s="4"/>
      <c r="I4766" s="5"/>
      <c r="J4766" s="4"/>
      <c r="K4766" s="5"/>
      <c r="L4766" s="6"/>
      <c r="M4766" s="5" t="str">
        <f aca="false">IF(AND(N(K4766)&gt;0,N(L4766)&gt;0),K4766/L4766,"")</f>
        <v/>
      </c>
      <c r="N4766" s="2" t="s">
        <v>1226</v>
      </c>
    </row>
    <row r="4767" customFormat="false" ht="15" hidden="false" customHeight="false" outlineLevel="0" collapsed="false">
      <c r="A4767" s="2" t="n">
        <v>4766</v>
      </c>
      <c r="B4767" s="2" t="s">
        <v>9703</v>
      </c>
      <c r="C4767" s="2" t="s">
        <v>9704</v>
      </c>
      <c r="D4767" s="2"/>
      <c r="E4767" s="2" t="s">
        <v>289</v>
      </c>
      <c r="F4767" s="3" t="n">
        <v>4E-006</v>
      </c>
      <c r="G4767" s="3" t="n">
        <f aca="false">SUM($F$2:F4767)</f>
        <v>0.998997</v>
      </c>
      <c r="H4767" s="4"/>
      <c r="I4767" s="5"/>
      <c r="J4767" s="4"/>
      <c r="K4767" s="5"/>
      <c r="L4767" s="6"/>
      <c r="M4767" s="5" t="str">
        <f aca="false">IF(AND(N(K4767)&gt;0,N(L4767)&gt;0),K4767/L4767,"")</f>
        <v/>
      </c>
      <c r="N4767" s="2" t="s">
        <v>1226</v>
      </c>
    </row>
    <row r="4768" customFormat="false" ht="15" hidden="false" customHeight="false" outlineLevel="0" collapsed="false">
      <c r="A4768" s="2" t="n">
        <v>4767</v>
      </c>
      <c r="B4768" s="2" t="s">
        <v>9705</v>
      </c>
      <c r="C4768" s="2" t="s">
        <v>9706</v>
      </c>
      <c r="D4768" s="2"/>
      <c r="E4768" s="2" t="s">
        <v>289</v>
      </c>
      <c r="F4768" s="3" t="n">
        <v>4E-006</v>
      </c>
      <c r="G4768" s="3" t="n">
        <f aca="false">SUM($F$2:F4768)</f>
        <v>0.999001</v>
      </c>
      <c r="H4768" s="4"/>
      <c r="I4768" s="5"/>
      <c r="J4768" s="4"/>
      <c r="K4768" s="5"/>
      <c r="L4768" s="6"/>
      <c r="M4768" s="5" t="str">
        <f aca="false">IF(AND(N(K4768)&gt;0,N(L4768)&gt;0),K4768/L4768,"")</f>
        <v/>
      </c>
      <c r="N4768" s="2" t="s">
        <v>1226</v>
      </c>
    </row>
    <row r="4769" customFormat="false" ht="15" hidden="false" customHeight="false" outlineLevel="0" collapsed="false">
      <c r="A4769" s="2" t="n">
        <v>4768</v>
      </c>
      <c r="B4769" s="2" t="s">
        <v>9707</v>
      </c>
      <c r="C4769" s="2" t="s">
        <v>9708</v>
      </c>
      <c r="D4769" s="2"/>
      <c r="E4769" s="2" t="s">
        <v>1345</v>
      </c>
      <c r="F4769" s="3" t="n">
        <v>4E-006</v>
      </c>
      <c r="G4769" s="3" t="n">
        <f aca="false">SUM($F$2:F4769)</f>
        <v>0.999005</v>
      </c>
      <c r="H4769" s="4"/>
      <c r="I4769" s="5"/>
      <c r="J4769" s="4"/>
      <c r="K4769" s="5"/>
      <c r="L4769" s="6"/>
      <c r="M4769" s="5" t="str">
        <f aca="false">IF(AND(N(K4769)&gt;0,N(L4769)&gt;0),K4769/L4769,"")</f>
        <v/>
      </c>
      <c r="N4769" s="2" t="s">
        <v>1226</v>
      </c>
    </row>
    <row r="4770" customFormat="false" ht="15" hidden="false" customHeight="false" outlineLevel="0" collapsed="false">
      <c r="A4770" s="2" t="n">
        <v>4769</v>
      </c>
      <c r="B4770" s="2" t="s">
        <v>9709</v>
      </c>
      <c r="C4770" s="2" t="s">
        <v>9710</v>
      </c>
      <c r="D4770" s="2"/>
      <c r="E4770" s="2" t="s">
        <v>289</v>
      </c>
      <c r="F4770" s="3" t="n">
        <v>4E-006</v>
      </c>
      <c r="G4770" s="3" t="n">
        <f aca="false">SUM($F$2:F4770)</f>
        <v>0.999009</v>
      </c>
      <c r="H4770" s="4"/>
      <c r="I4770" s="5"/>
      <c r="J4770" s="4"/>
      <c r="K4770" s="5"/>
      <c r="L4770" s="6"/>
      <c r="M4770" s="5" t="str">
        <f aca="false">IF(AND(N(K4770)&gt;0,N(L4770)&gt;0),K4770/L4770,"")</f>
        <v/>
      </c>
      <c r="N4770" s="2" t="s">
        <v>1226</v>
      </c>
    </row>
    <row r="4771" customFormat="false" ht="15" hidden="false" customHeight="false" outlineLevel="0" collapsed="false">
      <c r="A4771" s="2" t="n">
        <v>4770</v>
      </c>
      <c r="B4771" s="2" t="s">
        <v>9711</v>
      </c>
      <c r="C4771" s="2" t="s">
        <v>9712</v>
      </c>
      <c r="D4771" s="2"/>
      <c r="E4771" s="2" t="s">
        <v>52</v>
      </c>
      <c r="F4771" s="3" t="n">
        <v>4E-006</v>
      </c>
      <c r="G4771" s="3" t="n">
        <f aca="false">SUM($F$2:F4771)</f>
        <v>0.999013</v>
      </c>
      <c r="H4771" s="4"/>
      <c r="I4771" s="5"/>
      <c r="J4771" s="4"/>
      <c r="K4771" s="5"/>
      <c r="L4771" s="6"/>
      <c r="M4771" s="5" t="str">
        <f aca="false">IF(AND(N(K4771)&gt;0,N(L4771)&gt;0),K4771/L4771,"")</f>
        <v/>
      </c>
      <c r="N4771" s="2" t="s">
        <v>1226</v>
      </c>
    </row>
    <row r="4772" customFormat="false" ht="15" hidden="false" customHeight="false" outlineLevel="0" collapsed="false">
      <c r="A4772" s="2" t="n">
        <v>4771</v>
      </c>
      <c r="B4772" s="2" t="s">
        <v>9713</v>
      </c>
      <c r="C4772" s="2" t="s">
        <v>9714</v>
      </c>
      <c r="D4772" s="2"/>
      <c r="E4772" s="2" t="s">
        <v>43</v>
      </c>
      <c r="F4772" s="3" t="n">
        <v>4E-006</v>
      </c>
      <c r="G4772" s="3" t="n">
        <f aca="false">SUM($F$2:F4772)</f>
        <v>0.999017</v>
      </c>
      <c r="H4772" s="4"/>
      <c r="I4772" s="5"/>
      <c r="J4772" s="4"/>
      <c r="K4772" s="5"/>
      <c r="L4772" s="6"/>
      <c r="M4772" s="5" t="str">
        <f aca="false">IF(AND(N(K4772)&gt;0,N(L4772)&gt;0),K4772/L4772,"")</f>
        <v/>
      </c>
      <c r="N4772" s="2" t="s">
        <v>1226</v>
      </c>
    </row>
    <row r="4773" customFormat="false" ht="15" hidden="false" customHeight="false" outlineLevel="0" collapsed="false">
      <c r="A4773" s="2" t="n">
        <v>4772</v>
      </c>
      <c r="B4773" s="2" t="s">
        <v>9715</v>
      </c>
      <c r="C4773" s="2" t="s">
        <v>9716</v>
      </c>
      <c r="D4773" s="2"/>
      <c r="E4773" s="2" t="s">
        <v>826</v>
      </c>
      <c r="F4773" s="3" t="n">
        <v>4E-006</v>
      </c>
      <c r="G4773" s="3" t="n">
        <f aca="false">SUM($F$2:F4773)</f>
        <v>0.999021</v>
      </c>
      <c r="H4773" s="4"/>
      <c r="I4773" s="5"/>
      <c r="J4773" s="4"/>
      <c r="K4773" s="5"/>
      <c r="L4773" s="6"/>
      <c r="M4773" s="5" t="str">
        <f aca="false">IF(AND(N(K4773)&gt;0,N(L4773)&gt;0),K4773/L4773,"")</f>
        <v/>
      </c>
      <c r="N4773" s="2" t="s">
        <v>1226</v>
      </c>
    </row>
    <row r="4774" customFormat="false" ht="15" hidden="false" customHeight="false" outlineLevel="0" collapsed="false">
      <c r="A4774" s="2" t="n">
        <v>4773</v>
      </c>
      <c r="B4774" s="2" t="s">
        <v>9717</v>
      </c>
      <c r="C4774" s="2" t="s">
        <v>9718</v>
      </c>
      <c r="D4774" s="2"/>
      <c r="E4774" s="2" t="s">
        <v>289</v>
      </c>
      <c r="F4774" s="3" t="n">
        <v>4E-006</v>
      </c>
      <c r="G4774" s="3" t="n">
        <f aca="false">SUM($F$2:F4774)</f>
        <v>0.999025</v>
      </c>
      <c r="H4774" s="4"/>
      <c r="I4774" s="5"/>
      <c r="J4774" s="4"/>
      <c r="K4774" s="5"/>
      <c r="L4774" s="6"/>
      <c r="M4774" s="5" t="str">
        <f aca="false">IF(AND(N(K4774)&gt;0,N(L4774)&gt;0),K4774/L4774,"")</f>
        <v/>
      </c>
      <c r="N4774" s="2" t="s">
        <v>1226</v>
      </c>
    </row>
    <row r="4775" customFormat="false" ht="15" hidden="false" customHeight="false" outlineLevel="0" collapsed="false">
      <c r="A4775" s="2" t="n">
        <v>4774</v>
      </c>
      <c r="B4775" s="2" t="s">
        <v>9719</v>
      </c>
      <c r="C4775" s="2" t="s">
        <v>9720</v>
      </c>
      <c r="D4775" s="2"/>
      <c r="E4775" s="2" t="s">
        <v>1345</v>
      </c>
      <c r="F4775" s="3" t="n">
        <v>4E-006</v>
      </c>
      <c r="G4775" s="3" t="n">
        <f aca="false">SUM($F$2:F4775)</f>
        <v>0.999029</v>
      </c>
      <c r="H4775" s="4"/>
      <c r="I4775" s="5"/>
      <c r="J4775" s="4"/>
      <c r="K4775" s="5"/>
      <c r="L4775" s="6"/>
      <c r="M4775" s="5" t="str">
        <f aca="false">IF(AND(N(K4775)&gt;0,N(L4775)&gt;0),K4775/L4775,"")</f>
        <v/>
      </c>
      <c r="N4775" s="2" t="s">
        <v>1226</v>
      </c>
    </row>
    <row r="4776" customFormat="false" ht="15" hidden="false" customHeight="false" outlineLevel="0" collapsed="false">
      <c r="A4776" s="2" t="n">
        <v>4775</v>
      </c>
      <c r="B4776" s="2" t="s">
        <v>9721</v>
      </c>
      <c r="C4776" s="2" t="s">
        <v>9722</v>
      </c>
      <c r="D4776" s="2"/>
      <c r="E4776" s="2" t="s">
        <v>289</v>
      </c>
      <c r="F4776" s="3" t="n">
        <v>4E-006</v>
      </c>
      <c r="G4776" s="3" t="n">
        <f aca="false">SUM($F$2:F4776)</f>
        <v>0.999033</v>
      </c>
      <c r="H4776" s="4"/>
      <c r="I4776" s="5"/>
      <c r="J4776" s="4"/>
      <c r="K4776" s="5"/>
      <c r="L4776" s="6"/>
      <c r="M4776" s="5" t="str">
        <f aca="false">IF(AND(N(K4776)&gt;0,N(L4776)&gt;0),K4776/L4776,"")</f>
        <v/>
      </c>
      <c r="N4776" s="2" t="s">
        <v>1226</v>
      </c>
    </row>
    <row r="4777" customFormat="false" ht="15" hidden="false" customHeight="false" outlineLevel="0" collapsed="false">
      <c r="A4777" s="2" t="n">
        <v>4776</v>
      </c>
      <c r="B4777" s="2" t="s">
        <v>9723</v>
      </c>
      <c r="C4777" s="2" t="s">
        <v>9724</v>
      </c>
      <c r="D4777" s="2"/>
      <c r="E4777" s="2" t="s">
        <v>1345</v>
      </c>
      <c r="F4777" s="3" t="n">
        <v>4E-006</v>
      </c>
      <c r="G4777" s="3" t="n">
        <f aca="false">SUM($F$2:F4777)</f>
        <v>0.999037</v>
      </c>
      <c r="H4777" s="4"/>
      <c r="I4777" s="5"/>
      <c r="J4777" s="4"/>
      <c r="K4777" s="5"/>
      <c r="L4777" s="6"/>
      <c r="M4777" s="5" t="str">
        <f aca="false">IF(AND(N(K4777)&gt;0,N(L4777)&gt;0),K4777/L4777,"")</f>
        <v/>
      </c>
      <c r="N4777" s="2" t="s">
        <v>1226</v>
      </c>
    </row>
    <row r="4778" customFormat="false" ht="15" hidden="false" customHeight="false" outlineLevel="0" collapsed="false">
      <c r="A4778" s="2" t="n">
        <v>4777</v>
      </c>
      <c r="B4778" s="2" t="s">
        <v>9725</v>
      </c>
      <c r="C4778" s="2" t="s">
        <v>9726</v>
      </c>
      <c r="D4778" s="2"/>
      <c r="E4778" s="2" t="s">
        <v>52</v>
      </c>
      <c r="F4778" s="3" t="n">
        <v>4E-006</v>
      </c>
      <c r="G4778" s="3" t="n">
        <f aca="false">SUM($F$2:F4778)</f>
        <v>0.999041</v>
      </c>
      <c r="H4778" s="4"/>
      <c r="I4778" s="5"/>
      <c r="J4778" s="4"/>
      <c r="K4778" s="5"/>
      <c r="L4778" s="6"/>
      <c r="M4778" s="5" t="str">
        <f aca="false">IF(AND(N(K4778)&gt;0,N(L4778)&gt;0),K4778/L4778,"")</f>
        <v/>
      </c>
      <c r="N4778" s="2" t="s">
        <v>1226</v>
      </c>
    </row>
    <row r="4779" customFormat="false" ht="15" hidden="false" customHeight="false" outlineLevel="0" collapsed="false">
      <c r="A4779" s="2" t="n">
        <v>4778</v>
      </c>
      <c r="B4779" s="2" t="s">
        <v>9727</v>
      </c>
      <c r="C4779" s="2" t="s">
        <v>9728</v>
      </c>
      <c r="D4779" s="2"/>
      <c r="E4779" s="2" t="s">
        <v>1245</v>
      </c>
      <c r="F4779" s="3" t="n">
        <v>4E-006</v>
      </c>
      <c r="G4779" s="3" t="n">
        <f aca="false">SUM($F$2:F4779)</f>
        <v>0.999045</v>
      </c>
      <c r="H4779" s="4"/>
      <c r="I4779" s="5"/>
      <c r="J4779" s="4"/>
      <c r="K4779" s="5"/>
      <c r="L4779" s="6"/>
      <c r="M4779" s="5" t="str">
        <f aca="false">IF(AND(N(K4779)&gt;0,N(L4779)&gt;0),K4779/L4779,"")</f>
        <v/>
      </c>
      <c r="N4779" s="2" t="s">
        <v>1226</v>
      </c>
    </row>
    <row r="4780" customFormat="false" ht="15" hidden="false" customHeight="false" outlineLevel="0" collapsed="false">
      <c r="A4780" s="2" t="n">
        <v>4779</v>
      </c>
      <c r="B4780" s="2" t="s">
        <v>9729</v>
      </c>
      <c r="C4780" s="2" t="s">
        <v>9730</v>
      </c>
      <c r="D4780" s="2"/>
      <c r="E4780" s="2" t="s">
        <v>1345</v>
      </c>
      <c r="F4780" s="3" t="n">
        <v>4E-006</v>
      </c>
      <c r="G4780" s="3" t="n">
        <f aca="false">SUM($F$2:F4780)</f>
        <v>0.999049</v>
      </c>
      <c r="H4780" s="4"/>
      <c r="I4780" s="5"/>
      <c r="J4780" s="4"/>
      <c r="K4780" s="5"/>
      <c r="L4780" s="6"/>
      <c r="M4780" s="5" t="str">
        <f aca="false">IF(AND(N(K4780)&gt;0,N(L4780)&gt;0),K4780/L4780,"")</f>
        <v/>
      </c>
      <c r="N4780" s="2" t="s">
        <v>1226</v>
      </c>
    </row>
    <row r="4781" customFormat="false" ht="15" hidden="false" customHeight="false" outlineLevel="0" collapsed="false">
      <c r="A4781" s="2" t="n">
        <v>4780</v>
      </c>
      <c r="B4781" s="2" t="s">
        <v>9731</v>
      </c>
      <c r="C4781" s="2" t="s">
        <v>9732</v>
      </c>
      <c r="D4781" s="2"/>
      <c r="E4781" s="2" t="s">
        <v>1345</v>
      </c>
      <c r="F4781" s="3" t="n">
        <v>4E-006</v>
      </c>
      <c r="G4781" s="3" t="n">
        <f aca="false">SUM($F$2:F4781)</f>
        <v>0.999053</v>
      </c>
      <c r="H4781" s="4"/>
      <c r="I4781" s="5"/>
      <c r="J4781" s="4"/>
      <c r="K4781" s="5"/>
      <c r="L4781" s="6"/>
      <c r="M4781" s="5" t="str">
        <f aca="false">IF(AND(N(K4781)&gt;0,N(L4781)&gt;0),K4781/L4781,"")</f>
        <v/>
      </c>
      <c r="N4781" s="2" t="s">
        <v>1226</v>
      </c>
    </row>
    <row r="4782" customFormat="false" ht="15" hidden="false" customHeight="false" outlineLevel="0" collapsed="false">
      <c r="A4782" s="2" t="n">
        <v>4781</v>
      </c>
      <c r="B4782" s="2" t="s">
        <v>9733</v>
      </c>
      <c r="C4782" s="2" t="s">
        <v>9734</v>
      </c>
      <c r="D4782" s="2"/>
      <c r="E4782" s="2" t="s">
        <v>1345</v>
      </c>
      <c r="F4782" s="3" t="n">
        <v>4E-006</v>
      </c>
      <c r="G4782" s="3" t="n">
        <f aca="false">SUM($F$2:F4782)</f>
        <v>0.999057</v>
      </c>
      <c r="H4782" s="4"/>
      <c r="I4782" s="5"/>
      <c r="J4782" s="4"/>
      <c r="K4782" s="5"/>
      <c r="L4782" s="6"/>
      <c r="M4782" s="5" t="str">
        <f aca="false">IF(AND(N(K4782)&gt;0,N(L4782)&gt;0),K4782/L4782,"")</f>
        <v/>
      </c>
      <c r="N4782" s="2" t="s">
        <v>1226</v>
      </c>
    </row>
    <row r="4783" customFormat="false" ht="15" hidden="false" customHeight="false" outlineLevel="0" collapsed="false">
      <c r="A4783" s="2" t="n">
        <v>4782</v>
      </c>
      <c r="B4783" s="2" t="s">
        <v>9735</v>
      </c>
      <c r="C4783" s="2" t="s">
        <v>9736</v>
      </c>
      <c r="D4783" s="2"/>
      <c r="E4783" s="2" t="s">
        <v>1345</v>
      </c>
      <c r="F4783" s="3" t="n">
        <v>4E-006</v>
      </c>
      <c r="G4783" s="3" t="n">
        <f aca="false">SUM($F$2:F4783)</f>
        <v>0.999061</v>
      </c>
      <c r="H4783" s="4"/>
      <c r="I4783" s="5"/>
      <c r="J4783" s="4"/>
      <c r="K4783" s="5"/>
      <c r="L4783" s="6"/>
      <c r="M4783" s="5" t="str">
        <f aca="false">IF(AND(N(K4783)&gt;0,N(L4783)&gt;0),K4783/L4783,"")</f>
        <v/>
      </c>
      <c r="N4783" s="2" t="s">
        <v>1226</v>
      </c>
    </row>
    <row r="4784" customFormat="false" ht="15" hidden="false" customHeight="false" outlineLevel="0" collapsed="false">
      <c r="A4784" s="2" t="n">
        <v>4783</v>
      </c>
      <c r="B4784" s="2" t="s">
        <v>9737</v>
      </c>
      <c r="C4784" s="2" t="s">
        <v>9738</v>
      </c>
      <c r="D4784" s="2"/>
      <c r="E4784" s="2" t="s">
        <v>43</v>
      </c>
      <c r="F4784" s="3" t="n">
        <v>4E-006</v>
      </c>
      <c r="G4784" s="3" t="n">
        <f aca="false">SUM($F$2:F4784)</f>
        <v>0.999065</v>
      </c>
      <c r="H4784" s="4"/>
      <c r="I4784" s="5"/>
      <c r="J4784" s="4"/>
      <c r="K4784" s="5"/>
      <c r="L4784" s="6"/>
      <c r="M4784" s="5" t="str">
        <f aca="false">IF(AND(N(K4784)&gt;0,N(L4784)&gt;0),K4784/L4784,"")</f>
        <v/>
      </c>
      <c r="N4784" s="2" t="s">
        <v>1226</v>
      </c>
    </row>
    <row r="4785" customFormat="false" ht="15" hidden="false" customHeight="false" outlineLevel="0" collapsed="false">
      <c r="A4785" s="2" t="n">
        <v>4784</v>
      </c>
      <c r="B4785" s="2" t="s">
        <v>9739</v>
      </c>
      <c r="C4785" s="2" t="s">
        <v>9740</v>
      </c>
      <c r="D4785" s="2"/>
      <c r="E4785" s="2" t="s">
        <v>1345</v>
      </c>
      <c r="F4785" s="3" t="n">
        <v>4E-006</v>
      </c>
      <c r="G4785" s="3" t="n">
        <f aca="false">SUM($F$2:F4785)</f>
        <v>0.999069</v>
      </c>
      <c r="H4785" s="4"/>
      <c r="I4785" s="5"/>
      <c r="J4785" s="4"/>
      <c r="K4785" s="5"/>
      <c r="L4785" s="6"/>
      <c r="M4785" s="5" t="str">
        <f aca="false">IF(AND(N(K4785)&gt;0,N(L4785)&gt;0),K4785/L4785,"")</f>
        <v/>
      </c>
      <c r="N4785" s="2" t="s">
        <v>1226</v>
      </c>
    </row>
    <row r="4786" customFormat="false" ht="15" hidden="false" customHeight="false" outlineLevel="0" collapsed="false">
      <c r="A4786" s="2" t="n">
        <v>4785</v>
      </c>
      <c r="B4786" s="2" t="s">
        <v>9741</v>
      </c>
      <c r="C4786" s="2" t="s">
        <v>9742</v>
      </c>
      <c r="D4786" s="2"/>
      <c r="E4786" s="2" t="s">
        <v>17</v>
      </c>
      <c r="F4786" s="3" t="n">
        <v>4E-006</v>
      </c>
      <c r="G4786" s="3" t="n">
        <f aca="false">SUM($F$2:F4786)</f>
        <v>0.999073</v>
      </c>
      <c r="H4786" s="4"/>
      <c r="I4786" s="5"/>
      <c r="J4786" s="4"/>
      <c r="K4786" s="5"/>
      <c r="L4786" s="6"/>
      <c r="M4786" s="5" t="str">
        <f aca="false">IF(AND(N(K4786)&gt;0,N(L4786)&gt;0),K4786/L4786,"")</f>
        <v/>
      </c>
      <c r="N4786" s="2" t="s">
        <v>1226</v>
      </c>
    </row>
    <row r="4787" customFormat="false" ht="15" hidden="false" customHeight="false" outlineLevel="0" collapsed="false">
      <c r="A4787" s="2" t="n">
        <v>4786</v>
      </c>
      <c r="B4787" s="2" t="s">
        <v>9743</v>
      </c>
      <c r="C4787" s="2" t="s">
        <v>9744</v>
      </c>
      <c r="D4787" s="2"/>
      <c r="E4787" s="2" t="s">
        <v>289</v>
      </c>
      <c r="F4787" s="3" t="n">
        <v>4E-006</v>
      </c>
      <c r="G4787" s="3" t="n">
        <f aca="false">SUM($F$2:F4787)</f>
        <v>0.999077</v>
      </c>
      <c r="H4787" s="4"/>
      <c r="I4787" s="5"/>
      <c r="J4787" s="4"/>
      <c r="K4787" s="5"/>
      <c r="L4787" s="6"/>
      <c r="M4787" s="5" t="str">
        <f aca="false">IF(AND(N(K4787)&gt;0,N(L4787)&gt;0),K4787/L4787,"")</f>
        <v/>
      </c>
      <c r="N4787" s="2" t="s">
        <v>1226</v>
      </c>
    </row>
    <row r="4788" customFormat="false" ht="15" hidden="false" customHeight="false" outlineLevel="0" collapsed="false">
      <c r="A4788" s="2" t="n">
        <v>4787</v>
      </c>
      <c r="B4788" s="2" t="s">
        <v>9745</v>
      </c>
      <c r="C4788" s="2" t="s">
        <v>9746</v>
      </c>
      <c r="D4788" s="2"/>
      <c r="E4788" s="2" t="s">
        <v>1345</v>
      </c>
      <c r="F4788" s="3" t="n">
        <v>4E-006</v>
      </c>
      <c r="G4788" s="3" t="n">
        <f aca="false">SUM($F$2:F4788)</f>
        <v>0.999081</v>
      </c>
      <c r="H4788" s="4"/>
      <c r="I4788" s="5"/>
      <c r="J4788" s="4"/>
      <c r="K4788" s="5"/>
      <c r="L4788" s="6"/>
      <c r="M4788" s="5" t="str">
        <f aca="false">IF(AND(N(K4788)&gt;0,N(L4788)&gt;0),K4788/L4788,"")</f>
        <v/>
      </c>
      <c r="N4788" s="2" t="s">
        <v>1226</v>
      </c>
    </row>
    <row r="4789" customFormat="false" ht="15" hidden="false" customHeight="false" outlineLevel="0" collapsed="false">
      <c r="A4789" s="2" t="n">
        <v>4788</v>
      </c>
      <c r="B4789" s="2" t="s">
        <v>9747</v>
      </c>
      <c r="C4789" s="2" t="s">
        <v>9748</v>
      </c>
      <c r="D4789" s="2"/>
      <c r="E4789" s="2" t="s">
        <v>1345</v>
      </c>
      <c r="F4789" s="3" t="n">
        <v>4E-006</v>
      </c>
      <c r="G4789" s="3" t="n">
        <f aca="false">SUM($F$2:F4789)</f>
        <v>0.999085</v>
      </c>
      <c r="H4789" s="4"/>
      <c r="I4789" s="5"/>
      <c r="J4789" s="4"/>
      <c r="K4789" s="5"/>
      <c r="L4789" s="6"/>
      <c r="M4789" s="5" t="str">
        <f aca="false">IF(AND(N(K4789)&gt;0,N(L4789)&gt;0),K4789/L4789,"")</f>
        <v/>
      </c>
      <c r="N4789" s="2" t="s">
        <v>1226</v>
      </c>
    </row>
    <row r="4790" customFormat="false" ht="15" hidden="false" customHeight="false" outlineLevel="0" collapsed="false">
      <c r="A4790" s="2" t="n">
        <v>4789</v>
      </c>
      <c r="B4790" s="2" t="s">
        <v>9749</v>
      </c>
      <c r="C4790" s="2" t="s">
        <v>9750</v>
      </c>
      <c r="D4790" s="2"/>
      <c r="E4790" s="2" t="s">
        <v>1345</v>
      </c>
      <c r="F4790" s="3" t="n">
        <v>4E-006</v>
      </c>
      <c r="G4790" s="3" t="n">
        <f aca="false">SUM($F$2:F4790)</f>
        <v>0.999089</v>
      </c>
      <c r="H4790" s="4"/>
      <c r="I4790" s="5"/>
      <c r="J4790" s="4"/>
      <c r="K4790" s="5"/>
      <c r="L4790" s="6"/>
      <c r="M4790" s="5" t="str">
        <f aca="false">IF(AND(N(K4790)&gt;0,N(L4790)&gt;0),K4790/L4790,"")</f>
        <v/>
      </c>
      <c r="N4790" s="2" t="s">
        <v>1226</v>
      </c>
    </row>
    <row r="4791" customFormat="false" ht="15" hidden="false" customHeight="false" outlineLevel="0" collapsed="false">
      <c r="A4791" s="2" t="n">
        <v>4790</v>
      </c>
      <c r="B4791" s="2" t="s">
        <v>9751</v>
      </c>
      <c r="C4791" s="2" t="s">
        <v>9752</v>
      </c>
      <c r="D4791" s="2"/>
      <c r="E4791" s="2" t="s">
        <v>1345</v>
      </c>
      <c r="F4791" s="3" t="n">
        <v>4E-006</v>
      </c>
      <c r="G4791" s="3" t="n">
        <f aca="false">SUM($F$2:F4791)</f>
        <v>0.999093</v>
      </c>
      <c r="H4791" s="4"/>
      <c r="I4791" s="5"/>
      <c r="J4791" s="4"/>
      <c r="K4791" s="5"/>
      <c r="L4791" s="6"/>
      <c r="M4791" s="5" t="str">
        <f aca="false">IF(AND(N(K4791)&gt;0,N(L4791)&gt;0),K4791/L4791,"")</f>
        <v/>
      </c>
      <c r="N4791" s="2" t="s">
        <v>1226</v>
      </c>
    </row>
    <row r="4792" customFormat="false" ht="15" hidden="false" customHeight="false" outlineLevel="0" collapsed="false">
      <c r="A4792" s="2" t="n">
        <v>4791</v>
      </c>
      <c r="B4792" s="2" t="s">
        <v>9753</v>
      </c>
      <c r="C4792" s="2" t="s">
        <v>9754</v>
      </c>
      <c r="D4792" s="2"/>
      <c r="E4792" s="2" t="s">
        <v>1345</v>
      </c>
      <c r="F4792" s="3" t="n">
        <v>4E-006</v>
      </c>
      <c r="G4792" s="3" t="n">
        <f aca="false">SUM($F$2:F4792)</f>
        <v>0.999097</v>
      </c>
      <c r="H4792" s="4"/>
      <c r="I4792" s="5"/>
      <c r="J4792" s="4"/>
      <c r="K4792" s="5"/>
      <c r="L4792" s="6"/>
      <c r="M4792" s="5" t="str">
        <f aca="false">IF(AND(N(K4792)&gt;0,N(L4792)&gt;0),K4792/L4792,"")</f>
        <v/>
      </c>
      <c r="N4792" s="2" t="s">
        <v>1226</v>
      </c>
    </row>
    <row r="4793" customFormat="false" ht="15" hidden="false" customHeight="false" outlineLevel="0" collapsed="false">
      <c r="A4793" s="2" t="n">
        <v>4792</v>
      </c>
      <c r="B4793" s="2" t="s">
        <v>9755</v>
      </c>
      <c r="C4793" s="2" t="s">
        <v>9756</v>
      </c>
      <c r="D4793" s="2"/>
      <c r="E4793" s="2" t="s">
        <v>1345</v>
      </c>
      <c r="F4793" s="3" t="n">
        <v>4E-006</v>
      </c>
      <c r="G4793" s="3" t="n">
        <f aca="false">SUM($F$2:F4793)</f>
        <v>0.999101</v>
      </c>
      <c r="H4793" s="4"/>
      <c r="I4793" s="5"/>
      <c r="J4793" s="4"/>
      <c r="K4793" s="5"/>
      <c r="L4793" s="6"/>
      <c r="M4793" s="5" t="str">
        <f aca="false">IF(AND(N(K4793)&gt;0,N(L4793)&gt;0),K4793/L4793,"")</f>
        <v/>
      </c>
      <c r="N4793" s="2" t="s">
        <v>1226</v>
      </c>
    </row>
    <row r="4794" customFormat="false" ht="15" hidden="false" customHeight="false" outlineLevel="0" collapsed="false">
      <c r="A4794" s="2" t="n">
        <v>4793</v>
      </c>
      <c r="B4794" s="2" t="s">
        <v>9757</v>
      </c>
      <c r="C4794" s="2" t="s">
        <v>9758</v>
      </c>
      <c r="D4794" s="2"/>
      <c r="E4794" s="2" t="s">
        <v>17</v>
      </c>
      <c r="F4794" s="3" t="n">
        <v>4E-006</v>
      </c>
      <c r="G4794" s="3" t="n">
        <f aca="false">SUM($F$2:F4794)</f>
        <v>0.999105</v>
      </c>
      <c r="H4794" s="4"/>
      <c r="I4794" s="5"/>
      <c r="J4794" s="4"/>
      <c r="K4794" s="5"/>
      <c r="L4794" s="6"/>
      <c r="M4794" s="5" t="str">
        <f aca="false">IF(AND(N(K4794)&gt;0,N(L4794)&gt;0),K4794/L4794,"")</f>
        <v/>
      </c>
      <c r="N4794" s="2" t="s">
        <v>1226</v>
      </c>
    </row>
    <row r="4795" customFormat="false" ht="15" hidden="false" customHeight="false" outlineLevel="0" collapsed="false">
      <c r="A4795" s="2" t="n">
        <v>4794</v>
      </c>
      <c r="B4795" s="2" t="s">
        <v>9759</v>
      </c>
      <c r="C4795" s="2" t="s">
        <v>9760</v>
      </c>
      <c r="D4795" s="2"/>
      <c r="E4795" s="2" t="s">
        <v>1345</v>
      </c>
      <c r="F4795" s="3" t="n">
        <v>4E-006</v>
      </c>
      <c r="G4795" s="3" t="n">
        <f aca="false">SUM($F$2:F4795)</f>
        <v>0.999109</v>
      </c>
      <c r="H4795" s="4"/>
      <c r="I4795" s="5"/>
      <c r="J4795" s="4"/>
      <c r="K4795" s="5"/>
      <c r="L4795" s="6"/>
      <c r="M4795" s="5" t="str">
        <f aca="false">IF(AND(N(K4795)&gt;0,N(L4795)&gt;0),K4795/L4795,"")</f>
        <v/>
      </c>
      <c r="N4795" s="2" t="s">
        <v>1226</v>
      </c>
    </row>
    <row r="4796" customFormat="false" ht="15" hidden="false" customHeight="false" outlineLevel="0" collapsed="false">
      <c r="A4796" s="2" t="n">
        <v>4795</v>
      </c>
      <c r="B4796" s="2" t="s">
        <v>9761</v>
      </c>
      <c r="C4796" s="2" t="s">
        <v>9762</v>
      </c>
      <c r="D4796" s="2"/>
      <c r="E4796" s="2" t="s">
        <v>539</v>
      </c>
      <c r="F4796" s="3" t="n">
        <v>4E-006</v>
      </c>
      <c r="G4796" s="3" t="n">
        <f aca="false">SUM($F$2:F4796)</f>
        <v>0.999113</v>
      </c>
      <c r="H4796" s="4"/>
      <c r="I4796" s="5"/>
      <c r="J4796" s="4"/>
      <c r="K4796" s="5"/>
      <c r="L4796" s="6"/>
      <c r="M4796" s="5" t="str">
        <f aca="false">IF(AND(N(K4796)&gt;0,N(L4796)&gt;0),K4796/L4796,"")</f>
        <v/>
      </c>
      <c r="N4796" s="2" t="s">
        <v>1226</v>
      </c>
    </row>
    <row r="4797" customFormat="false" ht="15" hidden="false" customHeight="false" outlineLevel="0" collapsed="false">
      <c r="A4797" s="2" t="n">
        <v>4796</v>
      </c>
      <c r="B4797" s="2" t="s">
        <v>9763</v>
      </c>
      <c r="C4797" s="2" t="s">
        <v>9764</v>
      </c>
      <c r="D4797" s="2"/>
      <c r="E4797" s="2" t="s">
        <v>52</v>
      </c>
      <c r="F4797" s="3" t="n">
        <v>4E-006</v>
      </c>
      <c r="G4797" s="3" t="n">
        <f aca="false">SUM($F$2:F4797)</f>
        <v>0.999117</v>
      </c>
      <c r="H4797" s="4"/>
      <c r="I4797" s="5"/>
      <c r="J4797" s="4"/>
      <c r="K4797" s="5"/>
      <c r="L4797" s="6"/>
      <c r="M4797" s="5" t="str">
        <f aca="false">IF(AND(N(K4797)&gt;0,N(L4797)&gt;0),K4797/L4797,"")</f>
        <v/>
      </c>
      <c r="N4797" s="2" t="s">
        <v>1226</v>
      </c>
    </row>
    <row r="4798" customFormat="false" ht="15" hidden="false" customHeight="false" outlineLevel="0" collapsed="false">
      <c r="A4798" s="2" t="n">
        <v>4797</v>
      </c>
      <c r="B4798" s="2" t="s">
        <v>9765</v>
      </c>
      <c r="C4798" s="2" t="s">
        <v>9766</v>
      </c>
      <c r="D4798" s="2"/>
      <c r="E4798" s="2" t="s">
        <v>1345</v>
      </c>
      <c r="F4798" s="3" t="n">
        <v>4E-006</v>
      </c>
      <c r="G4798" s="3" t="n">
        <f aca="false">SUM($F$2:F4798)</f>
        <v>0.999121</v>
      </c>
      <c r="H4798" s="4"/>
      <c r="I4798" s="5"/>
      <c r="J4798" s="4"/>
      <c r="K4798" s="5"/>
      <c r="L4798" s="6"/>
      <c r="M4798" s="5" t="str">
        <f aca="false">IF(AND(N(K4798)&gt;0,N(L4798)&gt;0),K4798/L4798,"")</f>
        <v/>
      </c>
      <c r="N4798" s="2" t="s">
        <v>1226</v>
      </c>
    </row>
    <row r="4799" customFormat="false" ht="15" hidden="false" customHeight="false" outlineLevel="0" collapsed="false">
      <c r="A4799" s="2" t="n">
        <v>4798</v>
      </c>
      <c r="B4799" s="2" t="s">
        <v>9767</v>
      </c>
      <c r="C4799" s="2" t="s">
        <v>9768</v>
      </c>
      <c r="D4799" s="2"/>
      <c r="E4799" s="2" t="s">
        <v>1215</v>
      </c>
      <c r="F4799" s="3" t="n">
        <v>4E-006</v>
      </c>
      <c r="G4799" s="3" t="n">
        <f aca="false">SUM($F$2:F4799)</f>
        <v>0.999125</v>
      </c>
      <c r="H4799" s="4"/>
      <c r="I4799" s="5"/>
      <c r="J4799" s="4"/>
      <c r="K4799" s="5"/>
      <c r="L4799" s="6"/>
      <c r="M4799" s="5" t="str">
        <f aca="false">IF(AND(N(K4799)&gt;0,N(L4799)&gt;0),K4799/L4799,"")</f>
        <v/>
      </c>
      <c r="N4799" s="2" t="s">
        <v>1226</v>
      </c>
    </row>
    <row r="4800" customFormat="false" ht="15" hidden="false" customHeight="false" outlineLevel="0" collapsed="false">
      <c r="A4800" s="2" t="n">
        <v>4799</v>
      </c>
      <c r="B4800" s="2" t="s">
        <v>9769</v>
      </c>
      <c r="C4800" s="2" t="s">
        <v>9770</v>
      </c>
      <c r="D4800" s="2"/>
      <c r="E4800" s="2" t="s">
        <v>1345</v>
      </c>
      <c r="F4800" s="3" t="n">
        <v>4E-006</v>
      </c>
      <c r="G4800" s="3" t="n">
        <f aca="false">SUM($F$2:F4800)</f>
        <v>0.999129</v>
      </c>
      <c r="H4800" s="4"/>
      <c r="I4800" s="5"/>
      <c r="J4800" s="4"/>
      <c r="K4800" s="5"/>
      <c r="L4800" s="6"/>
      <c r="M4800" s="5" t="str">
        <f aca="false">IF(AND(N(K4800)&gt;0,N(L4800)&gt;0),K4800/L4800,"")</f>
        <v/>
      </c>
      <c r="N4800" s="2" t="s">
        <v>1226</v>
      </c>
    </row>
    <row r="4801" customFormat="false" ht="15" hidden="false" customHeight="false" outlineLevel="0" collapsed="false">
      <c r="A4801" s="2" t="n">
        <v>4800</v>
      </c>
      <c r="B4801" s="2" t="s">
        <v>9771</v>
      </c>
      <c r="C4801" s="2" t="s">
        <v>9772</v>
      </c>
      <c r="D4801" s="2"/>
      <c r="E4801" s="2" t="s">
        <v>289</v>
      </c>
      <c r="F4801" s="3" t="n">
        <v>4E-006</v>
      </c>
      <c r="G4801" s="3" t="n">
        <f aca="false">SUM($F$2:F4801)</f>
        <v>0.999133</v>
      </c>
      <c r="H4801" s="4"/>
      <c r="I4801" s="5"/>
      <c r="J4801" s="4"/>
      <c r="K4801" s="5"/>
      <c r="L4801" s="6"/>
      <c r="M4801" s="5" t="str">
        <f aca="false">IF(AND(N(K4801)&gt;0,N(L4801)&gt;0),K4801/L4801,"")</f>
        <v/>
      </c>
      <c r="N4801" s="2" t="s">
        <v>1226</v>
      </c>
    </row>
    <row r="4802" customFormat="false" ht="15" hidden="false" customHeight="false" outlineLevel="0" collapsed="false">
      <c r="A4802" s="2" t="n">
        <v>4801</v>
      </c>
      <c r="B4802" s="2" t="s">
        <v>9773</v>
      </c>
      <c r="C4802" s="2" t="s">
        <v>9774</v>
      </c>
      <c r="D4802" s="2"/>
      <c r="E4802" s="2" t="s">
        <v>43</v>
      </c>
      <c r="F4802" s="3" t="n">
        <v>4E-006</v>
      </c>
      <c r="G4802" s="3" t="n">
        <f aca="false">SUM($F$2:F4802)</f>
        <v>0.999137</v>
      </c>
      <c r="H4802" s="4"/>
      <c r="I4802" s="5"/>
      <c r="J4802" s="4"/>
      <c r="K4802" s="5"/>
      <c r="L4802" s="6"/>
      <c r="M4802" s="5" t="str">
        <f aca="false">IF(AND(N(K4802)&gt;0,N(L4802)&gt;0),K4802/L4802,"")</f>
        <v/>
      </c>
      <c r="N4802" s="2" t="s">
        <v>1226</v>
      </c>
    </row>
    <row r="4803" customFormat="false" ht="15" hidden="false" customHeight="false" outlineLevel="0" collapsed="false">
      <c r="A4803" s="2" t="n">
        <v>4802</v>
      </c>
      <c r="B4803" s="2" t="s">
        <v>9775</v>
      </c>
      <c r="C4803" s="2" t="s">
        <v>9776</v>
      </c>
      <c r="D4803" s="2"/>
      <c r="E4803" s="2" t="s">
        <v>17</v>
      </c>
      <c r="F4803" s="3" t="n">
        <v>4E-006</v>
      </c>
      <c r="G4803" s="3" t="n">
        <f aca="false">SUM($F$2:F4803)</f>
        <v>0.999141</v>
      </c>
      <c r="H4803" s="4"/>
      <c r="I4803" s="5"/>
      <c r="J4803" s="4"/>
      <c r="K4803" s="5"/>
      <c r="L4803" s="6"/>
      <c r="M4803" s="5" t="str">
        <f aca="false">IF(AND(N(K4803)&gt;0,N(L4803)&gt;0),K4803/L4803,"")</f>
        <v/>
      </c>
      <c r="N4803" s="2" t="s">
        <v>1226</v>
      </c>
    </row>
    <row r="4804" customFormat="false" ht="15" hidden="false" customHeight="false" outlineLevel="0" collapsed="false">
      <c r="A4804" s="2" t="n">
        <v>4803</v>
      </c>
      <c r="B4804" s="2" t="s">
        <v>9777</v>
      </c>
      <c r="C4804" s="2" t="s">
        <v>9778</v>
      </c>
      <c r="D4804" s="2"/>
      <c r="E4804" s="2" t="s">
        <v>1345</v>
      </c>
      <c r="F4804" s="3" t="n">
        <v>4E-006</v>
      </c>
      <c r="G4804" s="3" t="n">
        <f aca="false">SUM($F$2:F4804)</f>
        <v>0.999145</v>
      </c>
      <c r="H4804" s="4"/>
      <c r="I4804" s="5"/>
      <c r="J4804" s="4"/>
      <c r="K4804" s="5"/>
      <c r="L4804" s="6"/>
      <c r="M4804" s="5" t="str">
        <f aca="false">IF(AND(N(K4804)&gt;0,N(L4804)&gt;0),K4804/L4804,"")</f>
        <v/>
      </c>
      <c r="N4804" s="2" t="s">
        <v>1226</v>
      </c>
    </row>
    <row r="4805" customFormat="false" ht="15" hidden="false" customHeight="false" outlineLevel="0" collapsed="false">
      <c r="A4805" s="2" t="n">
        <v>4804</v>
      </c>
      <c r="B4805" s="2" t="s">
        <v>9779</v>
      </c>
      <c r="C4805" s="2" t="s">
        <v>9780</v>
      </c>
      <c r="D4805" s="2"/>
      <c r="E4805" s="2" t="s">
        <v>1345</v>
      </c>
      <c r="F4805" s="3" t="n">
        <v>4E-006</v>
      </c>
      <c r="G4805" s="3" t="n">
        <f aca="false">SUM($F$2:F4805)</f>
        <v>0.999149</v>
      </c>
      <c r="H4805" s="4"/>
      <c r="I4805" s="5"/>
      <c r="J4805" s="4"/>
      <c r="K4805" s="5"/>
      <c r="L4805" s="6"/>
      <c r="M4805" s="5" t="str">
        <f aca="false">IF(AND(N(K4805)&gt;0,N(L4805)&gt;0),K4805/L4805,"")</f>
        <v/>
      </c>
      <c r="N4805" s="2" t="s">
        <v>1226</v>
      </c>
    </row>
    <row r="4806" customFormat="false" ht="15" hidden="false" customHeight="false" outlineLevel="0" collapsed="false">
      <c r="A4806" s="2" t="n">
        <v>4805</v>
      </c>
      <c r="B4806" s="2" t="s">
        <v>9781</v>
      </c>
      <c r="C4806" s="2" t="s">
        <v>9782</v>
      </c>
      <c r="D4806" s="2"/>
      <c r="E4806" s="2" t="s">
        <v>1284</v>
      </c>
      <c r="F4806" s="3" t="n">
        <v>4E-006</v>
      </c>
      <c r="G4806" s="3" t="n">
        <f aca="false">SUM($F$2:F4806)</f>
        <v>0.999153</v>
      </c>
      <c r="H4806" s="4"/>
      <c r="I4806" s="5"/>
      <c r="J4806" s="4"/>
      <c r="K4806" s="5"/>
      <c r="L4806" s="6"/>
      <c r="M4806" s="5" t="str">
        <f aca="false">IF(AND(N(K4806)&gt;0,N(L4806)&gt;0),K4806/L4806,"")</f>
        <v/>
      </c>
      <c r="N4806" s="2" t="s">
        <v>1226</v>
      </c>
    </row>
    <row r="4807" customFormat="false" ht="15" hidden="false" customHeight="false" outlineLevel="0" collapsed="false">
      <c r="A4807" s="2" t="n">
        <v>4806</v>
      </c>
      <c r="B4807" s="2" t="s">
        <v>9783</v>
      </c>
      <c r="C4807" s="2" t="s">
        <v>9784</v>
      </c>
      <c r="D4807" s="2"/>
      <c r="E4807" s="2" t="s">
        <v>826</v>
      </c>
      <c r="F4807" s="3" t="n">
        <v>4E-006</v>
      </c>
      <c r="G4807" s="3" t="n">
        <f aca="false">SUM($F$2:F4807)</f>
        <v>0.999157</v>
      </c>
      <c r="H4807" s="4"/>
      <c r="I4807" s="5"/>
      <c r="J4807" s="4"/>
      <c r="K4807" s="5"/>
      <c r="L4807" s="6"/>
      <c r="M4807" s="5" t="str">
        <f aca="false">IF(AND(N(K4807)&gt;0,N(L4807)&gt;0),K4807/L4807,"")</f>
        <v/>
      </c>
      <c r="N4807" s="2" t="s">
        <v>1226</v>
      </c>
    </row>
    <row r="4808" customFormat="false" ht="15" hidden="false" customHeight="false" outlineLevel="0" collapsed="false">
      <c r="A4808" s="2" t="n">
        <v>4807</v>
      </c>
      <c r="B4808" s="2" t="s">
        <v>9785</v>
      </c>
      <c r="C4808" s="2" t="s">
        <v>9786</v>
      </c>
      <c r="D4808" s="2"/>
      <c r="E4808" s="2" t="s">
        <v>1345</v>
      </c>
      <c r="F4808" s="3" t="n">
        <v>4E-006</v>
      </c>
      <c r="G4808" s="3" t="n">
        <f aca="false">SUM($F$2:F4808)</f>
        <v>0.999161</v>
      </c>
      <c r="H4808" s="4"/>
      <c r="I4808" s="5"/>
      <c r="J4808" s="4"/>
      <c r="K4808" s="5"/>
      <c r="L4808" s="6"/>
      <c r="M4808" s="5" t="str">
        <f aca="false">IF(AND(N(K4808)&gt;0,N(L4808)&gt;0),K4808/L4808,"")</f>
        <v/>
      </c>
      <c r="N4808" s="2" t="s">
        <v>1226</v>
      </c>
    </row>
    <row r="4809" customFormat="false" ht="15" hidden="false" customHeight="false" outlineLevel="0" collapsed="false">
      <c r="A4809" s="2" t="n">
        <v>4808</v>
      </c>
      <c r="B4809" s="2" t="s">
        <v>9787</v>
      </c>
      <c r="C4809" s="2" t="s">
        <v>9788</v>
      </c>
      <c r="D4809" s="2"/>
      <c r="E4809" s="2" t="s">
        <v>1345</v>
      </c>
      <c r="F4809" s="3" t="n">
        <v>4E-006</v>
      </c>
      <c r="G4809" s="3" t="n">
        <f aca="false">SUM($F$2:F4809)</f>
        <v>0.999165</v>
      </c>
      <c r="H4809" s="4"/>
      <c r="I4809" s="5"/>
      <c r="J4809" s="4"/>
      <c r="K4809" s="5"/>
      <c r="L4809" s="6"/>
      <c r="M4809" s="5" t="str">
        <f aca="false">IF(AND(N(K4809)&gt;0,N(L4809)&gt;0),K4809/L4809,"")</f>
        <v/>
      </c>
      <c r="N4809" s="2" t="s">
        <v>1226</v>
      </c>
    </row>
    <row r="4810" customFormat="false" ht="15" hidden="false" customHeight="false" outlineLevel="0" collapsed="false">
      <c r="A4810" s="2" t="n">
        <v>4809</v>
      </c>
      <c r="B4810" s="2" t="s">
        <v>9789</v>
      </c>
      <c r="C4810" s="2" t="s">
        <v>9790</v>
      </c>
      <c r="D4810" s="2"/>
      <c r="E4810" s="2" t="s">
        <v>1345</v>
      </c>
      <c r="F4810" s="3" t="n">
        <v>4E-006</v>
      </c>
      <c r="G4810" s="3" t="n">
        <f aca="false">SUM($F$2:F4810)</f>
        <v>0.999169</v>
      </c>
      <c r="H4810" s="4"/>
      <c r="I4810" s="5"/>
      <c r="J4810" s="4"/>
      <c r="K4810" s="5"/>
      <c r="L4810" s="6"/>
      <c r="M4810" s="5" t="str">
        <f aca="false">IF(AND(N(K4810)&gt;0,N(L4810)&gt;0),K4810/L4810,"")</f>
        <v/>
      </c>
      <c r="N4810" s="2" t="s">
        <v>1226</v>
      </c>
    </row>
    <row r="4811" customFormat="false" ht="15" hidden="false" customHeight="false" outlineLevel="0" collapsed="false">
      <c r="A4811" s="2" t="n">
        <v>4810</v>
      </c>
      <c r="B4811" s="2" t="s">
        <v>9791</v>
      </c>
      <c r="C4811" s="2" t="s">
        <v>9792</v>
      </c>
      <c r="D4811" s="2"/>
      <c r="E4811" s="2" t="s">
        <v>2055</v>
      </c>
      <c r="F4811" s="3" t="n">
        <v>4E-006</v>
      </c>
      <c r="G4811" s="3" t="n">
        <f aca="false">SUM($F$2:F4811)</f>
        <v>0.999173</v>
      </c>
      <c r="H4811" s="4"/>
      <c r="I4811" s="5"/>
      <c r="J4811" s="4"/>
      <c r="K4811" s="5"/>
      <c r="L4811" s="6"/>
      <c r="M4811" s="5" t="str">
        <f aca="false">IF(AND(N(K4811)&gt;0,N(L4811)&gt;0),K4811/L4811,"")</f>
        <v/>
      </c>
      <c r="N4811" s="2" t="s">
        <v>1226</v>
      </c>
    </row>
    <row r="4812" customFormat="false" ht="15" hidden="false" customHeight="false" outlineLevel="0" collapsed="false">
      <c r="A4812" s="2" t="n">
        <v>4811</v>
      </c>
      <c r="B4812" s="2" t="s">
        <v>9793</v>
      </c>
      <c r="C4812" s="2" t="s">
        <v>9794</v>
      </c>
      <c r="D4812" s="2"/>
      <c r="E4812" s="2" t="s">
        <v>52</v>
      </c>
      <c r="F4812" s="3" t="n">
        <v>4E-006</v>
      </c>
      <c r="G4812" s="3" t="n">
        <f aca="false">SUM($F$2:F4812)</f>
        <v>0.999177</v>
      </c>
      <c r="H4812" s="4"/>
      <c r="I4812" s="5"/>
      <c r="J4812" s="4"/>
      <c r="K4812" s="5"/>
      <c r="L4812" s="6"/>
      <c r="M4812" s="5" t="str">
        <f aca="false">IF(AND(N(K4812)&gt;0,N(L4812)&gt;0),K4812/L4812,"")</f>
        <v/>
      </c>
      <c r="N4812" s="2" t="s">
        <v>1226</v>
      </c>
    </row>
    <row r="4813" customFormat="false" ht="15" hidden="false" customHeight="false" outlineLevel="0" collapsed="false">
      <c r="A4813" s="2" t="n">
        <v>4812</v>
      </c>
      <c r="B4813" s="2" t="s">
        <v>9795</v>
      </c>
      <c r="C4813" s="2" t="s">
        <v>9796</v>
      </c>
      <c r="D4813" s="2"/>
      <c r="E4813" s="2" t="s">
        <v>17</v>
      </c>
      <c r="F4813" s="3" t="n">
        <v>4E-006</v>
      </c>
      <c r="G4813" s="3" t="n">
        <f aca="false">SUM($F$2:F4813)</f>
        <v>0.999181</v>
      </c>
      <c r="H4813" s="4"/>
      <c r="I4813" s="5"/>
      <c r="J4813" s="4"/>
      <c r="K4813" s="5"/>
      <c r="L4813" s="6"/>
      <c r="M4813" s="5" t="str">
        <f aca="false">IF(AND(N(K4813)&gt;0,N(L4813)&gt;0),K4813/L4813,"")</f>
        <v/>
      </c>
      <c r="N4813" s="2" t="s">
        <v>1226</v>
      </c>
    </row>
    <row r="4814" customFormat="false" ht="15" hidden="false" customHeight="false" outlineLevel="0" collapsed="false">
      <c r="A4814" s="2" t="n">
        <v>4813</v>
      </c>
      <c r="B4814" s="2" t="s">
        <v>9797</v>
      </c>
      <c r="C4814" s="2" t="s">
        <v>9798</v>
      </c>
      <c r="D4814" s="2"/>
      <c r="E4814" s="2" t="s">
        <v>1050</v>
      </c>
      <c r="F4814" s="3" t="n">
        <v>4E-006</v>
      </c>
      <c r="G4814" s="3" t="n">
        <f aca="false">SUM($F$2:F4814)</f>
        <v>0.999185</v>
      </c>
      <c r="H4814" s="4"/>
      <c r="I4814" s="5"/>
      <c r="J4814" s="4"/>
      <c r="K4814" s="5"/>
      <c r="L4814" s="6"/>
      <c r="M4814" s="5" t="str">
        <f aca="false">IF(AND(N(K4814)&gt;0,N(L4814)&gt;0),K4814/L4814,"")</f>
        <v/>
      </c>
      <c r="N4814" s="2" t="s">
        <v>1226</v>
      </c>
    </row>
    <row r="4815" customFormat="false" ht="15" hidden="false" customHeight="false" outlineLevel="0" collapsed="false">
      <c r="A4815" s="2" t="n">
        <v>4814</v>
      </c>
      <c r="B4815" s="2" t="s">
        <v>9799</v>
      </c>
      <c r="C4815" s="2" t="s">
        <v>9800</v>
      </c>
      <c r="D4815" s="2"/>
      <c r="E4815" s="2" t="s">
        <v>2055</v>
      </c>
      <c r="F4815" s="3" t="n">
        <v>4E-006</v>
      </c>
      <c r="G4815" s="3" t="n">
        <f aca="false">SUM($F$2:F4815)</f>
        <v>0.999189</v>
      </c>
      <c r="H4815" s="4"/>
      <c r="I4815" s="5"/>
      <c r="J4815" s="4"/>
      <c r="K4815" s="5"/>
      <c r="L4815" s="6"/>
      <c r="M4815" s="5" t="str">
        <f aca="false">IF(AND(N(K4815)&gt;0,N(L4815)&gt;0),K4815/L4815,"")</f>
        <v/>
      </c>
      <c r="N4815" s="2" t="s">
        <v>1226</v>
      </c>
    </row>
    <row r="4816" customFormat="false" ht="15" hidden="false" customHeight="false" outlineLevel="0" collapsed="false">
      <c r="A4816" s="2" t="n">
        <v>4815</v>
      </c>
      <c r="B4816" s="2" t="s">
        <v>9801</v>
      </c>
      <c r="C4816" s="2" t="s">
        <v>9802</v>
      </c>
      <c r="D4816" s="2"/>
      <c r="E4816" s="2" t="s">
        <v>52</v>
      </c>
      <c r="F4816" s="3" t="n">
        <v>4E-006</v>
      </c>
      <c r="G4816" s="3" t="n">
        <f aca="false">SUM($F$2:F4816)</f>
        <v>0.999193</v>
      </c>
      <c r="H4816" s="4"/>
      <c r="I4816" s="5"/>
      <c r="J4816" s="4"/>
      <c r="K4816" s="5"/>
      <c r="L4816" s="6"/>
      <c r="M4816" s="5" t="str">
        <f aca="false">IF(AND(N(K4816)&gt;0,N(L4816)&gt;0),K4816/L4816,"")</f>
        <v/>
      </c>
      <c r="N4816" s="2" t="s">
        <v>1226</v>
      </c>
    </row>
    <row r="4817" customFormat="false" ht="15" hidden="false" customHeight="false" outlineLevel="0" collapsed="false">
      <c r="A4817" s="2" t="n">
        <v>4816</v>
      </c>
      <c r="B4817" s="2" t="s">
        <v>9803</v>
      </c>
      <c r="C4817" s="2" t="s">
        <v>9804</v>
      </c>
      <c r="D4817" s="2"/>
      <c r="E4817" s="2" t="s">
        <v>1345</v>
      </c>
      <c r="F4817" s="3" t="n">
        <v>4E-006</v>
      </c>
      <c r="G4817" s="3" t="n">
        <f aca="false">SUM($F$2:F4817)</f>
        <v>0.999197</v>
      </c>
      <c r="H4817" s="4"/>
      <c r="I4817" s="5"/>
      <c r="J4817" s="4"/>
      <c r="K4817" s="5"/>
      <c r="L4817" s="6"/>
      <c r="M4817" s="5" t="str">
        <f aca="false">IF(AND(N(K4817)&gt;0,N(L4817)&gt;0),K4817/L4817,"")</f>
        <v/>
      </c>
      <c r="N4817" s="2" t="s">
        <v>1226</v>
      </c>
    </row>
    <row r="4818" customFormat="false" ht="15" hidden="false" customHeight="false" outlineLevel="0" collapsed="false">
      <c r="A4818" s="2" t="n">
        <v>4817</v>
      </c>
      <c r="B4818" s="2" t="s">
        <v>9805</v>
      </c>
      <c r="C4818" s="2" t="s">
        <v>9806</v>
      </c>
      <c r="D4818" s="2"/>
      <c r="E4818" s="2" t="s">
        <v>17</v>
      </c>
      <c r="F4818" s="3" t="n">
        <v>4E-006</v>
      </c>
      <c r="G4818" s="3" t="n">
        <f aca="false">SUM($F$2:F4818)</f>
        <v>0.999201</v>
      </c>
      <c r="H4818" s="4"/>
      <c r="I4818" s="5"/>
      <c r="J4818" s="4"/>
      <c r="K4818" s="5"/>
      <c r="L4818" s="6"/>
      <c r="M4818" s="5" t="str">
        <f aca="false">IF(AND(N(K4818)&gt;0,N(L4818)&gt;0),K4818/L4818,"")</f>
        <v/>
      </c>
      <c r="N4818" s="2" t="s">
        <v>1226</v>
      </c>
    </row>
    <row r="4819" customFormat="false" ht="15" hidden="false" customHeight="false" outlineLevel="0" collapsed="false">
      <c r="A4819" s="2" t="n">
        <v>4818</v>
      </c>
      <c r="B4819" s="2" t="s">
        <v>9807</v>
      </c>
      <c r="C4819" s="2" t="s">
        <v>9808</v>
      </c>
      <c r="D4819" s="2"/>
      <c r="E4819" s="2" t="s">
        <v>43</v>
      </c>
      <c r="F4819" s="3" t="n">
        <v>4E-006</v>
      </c>
      <c r="G4819" s="3" t="n">
        <f aca="false">SUM($F$2:F4819)</f>
        <v>0.999205</v>
      </c>
      <c r="H4819" s="4"/>
      <c r="I4819" s="5"/>
      <c r="J4819" s="4"/>
      <c r="K4819" s="5"/>
      <c r="L4819" s="6"/>
      <c r="M4819" s="5" t="str">
        <f aca="false">IF(AND(N(K4819)&gt;0,N(L4819)&gt;0),K4819/L4819,"")</f>
        <v/>
      </c>
      <c r="N4819" s="2" t="s">
        <v>1226</v>
      </c>
    </row>
    <row r="4820" customFormat="false" ht="15" hidden="false" customHeight="false" outlineLevel="0" collapsed="false">
      <c r="A4820" s="2" t="n">
        <v>4819</v>
      </c>
      <c r="B4820" s="2" t="s">
        <v>2714</v>
      </c>
      <c r="C4820" s="2" t="s">
        <v>9809</v>
      </c>
      <c r="D4820" s="2"/>
      <c r="E4820" s="2" t="s">
        <v>17</v>
      </c>
      <c r="F4820" s="3" t="n">
        <v>4E-006</v>
      </c>
      <c r="G4820" s="3" t="n">
        <f aca="false">SUM($F$2:F4820)</f>
        <v>0.999209</v>
      </c>
      <c r="H4820" s="4"/>
      <c r="I4820" s="5"/>
      <c r="J4820" s="4"/>
      <c r="K4820" s="5"/>
      <c r="L4820" s="6"/>
      <c r="M4820" s="5" t="str">
        <f aca="false">IF(AND(N(K4820)&gt;0,N(L4820)&gt;0),K4820/L4820,"")</f>
        <v/>
      </c>
      <c r="N4820" s="2" t="s">
        <v>1226</v>
      </c>
    </row>
    <row r="4821" customFormat="false" ht="15" hidden="false" customHeight="false" outlineLevel="0" collapsed="false">
      <c r="A4821" s="2" t="n">
        <v>4820</v>
      </c>
      <c r="B4821" s="2" t="s">
        <v>9810</v>
      </c>
      <c r="C4821" s="2" t="s">
        <v>9811</v>
      </c>
      <c r="D4821" s="2"/>
      <c r="E4821" s="2" t="s">
        <v>199</v>
      </c>
      <c r="F4821" s="3" t="n">
        <v>4E-006</v>
      </c>
      <c r="G4821" s="3" t="n">
        <f aca="false">SUM($F$2:F4821)</f>
        <v>0.999213</v>
      </c>
      <c r="H4821" s="4"/>
      <c r="I4821" s="5"/>
      <c r="J4821" s="4"/>
      <c r="K4821" s="5"/>
      <c r="L4821" s="6"/>
      <c r="M4821" s="5" t="str">
        <f aca="false">IF(AND(N(K4821)&gt;0,N(L4821)&gt;0),K4821/L4821,"")</f>
        <v/>
      </c>
      <c r="N4821" s="2" t="s">
        <v>1226</v>
      </c>
    </row>
    <row r="4822" customFormat="false" ht="15" hidden="false" customHeight="false" outlineLevel="0" collapsed="false">
      <c r="A4822" s="2" t="n">
        <v>4821</v>
      </c>
      <c r="B4822" s="2" t="s">
        <v>9812</v>
      </c>
      <c r="C4822" s="2" t="s">
        <v>9813</v>
      </c>
      <c r="D4822" s="2"/>
      <c r="E4822" s="2" t="s">
        <v>334</v>
      </c>
      <c r="F4822" s="3" t="n">
        <v>4E-006</v>
      </c>
      <c r="G4822" s="3" t="n">
        <f aca="false">SUM($F$2:F4822)</f>
        <v>0.999217</v>
      </c>
      <c r="H4822" s="4"/>
      <c r="I4822" s="5"/>
      <c r="J4822" s="4"/>
      <c r="K4822" s="5"/>
      <c r="L4822" s="6"/>
      <c r="M4822" s="5" t="str">
        <f aca="false">IF(AND(N(K4822)&gt;0,N(L4822)&gt;0),K4822/L4822,"")</f>
        <v/>
      </c>
      <c r="N4822" s="2" t="s">
        <v>1226</v>
      </c>
    </row>
    <row r="4823" customFormat="false" ht="15" hidden="false" customHeight="false" outlineLevel="0" collapsed="false">
      <c r="A4823" s="2" t="n">
        <v>4822</v>
      </c>
      <c r="B4823" s="2" t="s">
        <v>9814</v>
      </c>
      <c r="C4823" s="2" t="s">
        <v>9815</v>
      </c>
      <c r="D4823" s="2"/>
      <c r="E4823" s="2" t="s">
        <v>289</v>
      </c>
      <c r="F4823" s="3" t="n">
        <v>4E-006</v>
      </c>
      <c r="G4823" s="3" t="n">
        <f aca="false">SUM($F$2:F4823)</f>
        <v>0.999221</v>
      </c>
      <c r="H4823" s="4"/>
      <c r="I4823" s="5"/>
      <c r="J4823" s="4"/>
      <c r="K4823" s="5"/>
      <c r="L4823" s="6"/>
      <c r="M4823" s="5" t="str">
        <f aca="false">IF(AND(N(K4823)&gt;0,N(L4823)&gt;0),K4823/L4823,"")</f>
        <v/>
      </c>
      <c r="N4823" s="2" t="s">
        <v>1226</v>
      </c>
    </row>
    <row r="4824" customFormat="false" ht="15" hidden="false" customHeight="false" outlineLevel="0" collapsed="false">
      <c r="A4824" s="2" t="n">
        <v>4823</v>
      </c>
      <c r="B4824" s="2" t="s">
        <v>9816</v>
      </c>
      <c r="C4824" s="2" t="s">
        <v>9817</v>
      </c>
      <c r="D4824" s="2"/>
      <c r="E4824" s="2" t="s">
        <v>289</v>
      </c>
      <c r="F4824" s="3" t="n">
        <v>4E-006</v>
      </c>
      <c r="G4824" s="3" t="n">
        <f aca="false">SUM($F$2:F4824)</f>
        <v>0.999225</v>
      </c>
      <c r="H4824" s="4"/>
      <c r="I4824" s="5"/>
      <c r="J4824" s="4"/>
      <c r="K4824" s="5"/>
      <c r="L4824" s="6"/>
      <c r="M4824" s="5" t="str">
        <f aca="false">IF(AND(N(K4824)&gt;0,N(L4824)&gt;0),K4824/L4824,"")</f>
        <v/>
      </c>
      <c r="N4824" s="2" t="s">
        <v>1226</v>
      </c>
    </row>
    <row r="4825" customFormat="false" ht="15" hidden="false" customHeight="false" outlineLevel="0" collapsed="false">
      <c r="A4825" s="2" t="n">
        <v>4824</v>
      </c>
      <c r="B4825" s="2" t="s">
        <v>9818</v>
      </c>
      <c r="C4825" s="2" t="s">
        <v>9819</v>
      </c>
      <c r="D4825" s="2"/>
      <c r="E4825" s="2" t="s">
        <v>1345</v>
      </c>
      <c r="F4825" s="3" t="n">
        <v>4E-006</v>
      </c>
      <c r="G4825" s="3" t="n">
        <f aca="false">SUM($F$2:F4825)</f>
        <v>0.999229</v>
      </c>
      <c r="H4825" s="4"/>
      <c r="I4825" s="5"/>
      <c r="J4825" s="4"/>
      <c r="K4825" s="5"/>
      <c r="L4825" s="6"/>
      <c r="M4825" s="5" t="str">
        <f aca="false">IF(AND(N(K4825)&gt;0,N(L4825)&gt;0),K4825/L4825,"")</f>
        <v/>
      </c>
      <c r="N4825" s="2" t="s">
        <v>1226</v>
      </c>
    </row>
    <row r="4826" customFormat="false" ht="15" hidden="false" customHeight="false" outlineLevel="0" collapsed="false">
      <c r="A4826" s="2" t="n">
        <v>4825</v>
      </c>
      <c r="B4826" s="2" t="s">
        <v>9820</v>
      </c>
      <c r="C4826" s="2" t="s">
        <v>9821</v>
      </c>
      <c r="D4826" s="2"/>
      <c r="E4826" s="2" t="s">
        <v>43</v>
      </c>
      <c r="F4826" s="3" t="n">
        <v>4E-006</v>
      </c>
      <c r="G4826" s="3" t="n">
        <f aca="false">SUM($F$2:F4826)</f>
        <v>0.999233</v>
      </c>
      <c r="H4826" s="4"/>
      <c r="I4826" s="5"/>
      <c r="J4826" s="4"/>
      <c r="K4826" s="5"/>
      <c r="L4826" s="6"/>
      <c r="M4826" s="5" t="str">
        <f aca="false">IF(AND(N(K4826)&gt;0,N(L4826)&gt;0),K4826/L4826,"")</f>
        <v/>
      </c>
      <c r="N4826" s="2" t="s">
        <v>1226</v>
      </c>
    </row>
    <row r="4827" customFormat="false" ht="15" hidden="false" customHeight="false" outlineLevel="0" collapsed="false">
      <c r="A4827" s="2" t="n">
        <v>4826</v>
      </c>
      <c r="B4827" s="2" t="s">
        <v>9822</v>
      </c>
      <c r="C4827" s="2" t="s">
        <v>9823</v>
      </c>
      <c r="D4827" s="2"/>
      <c r="E4827" s="2" t="s">
        <v>1345</v>
      </c>
      <c r="F4827" s="3" t="n">
        <v>3E-006</v>
      </c>
      <c r="G4827" s="3" t="n">
        <f aca="false">SUM($F$2:F4827)</f>
        <v>0.999236</v>
      </c>
      <c r="H4827" s="4"/>
      <c r="I4827" s="5"/>
      <c r="J4827" s="4"/>
      <c r="K4827" s="5"/>
      <c r="L4827" s="6"/>
      <c r="M4827" s="5" t="str">
        <f aca="false">IF(AND(N(K4827)&gt;0,N(L4827)&gt;0),K4827/L4827,"")</f>
        <v/>
      </c>
      <c r="N4827" s="2" t="s">
        <v>1226</v>
      </c>
    </row>
    <row r="4828" customFormat="false" ht="15" hidden="false" customHeight="false" outlineLevel="0" collapsed="false">
      <c r="A4828" s="2" t="n">
        <v>4827</v>
      </c>
      <c r="B4828" s="2" t="s">
        <v>9824</v>
      </c>
      <c r="C4828" s="2" t="s">
        <v>9825</v>
      </c>
      <c r="D4828" s="2"/>
      <c r="E4828" s="2" t="s">
        <v>1284</v>
      </c>
      <c r="F4828" s="3" t="n">
        <v>3E-006</v>
      </c>
      <c r="G4828" s="3" t="n">
        <f aca="false">SUM($F$2:F4828)</f>
        <v>0.999239</v>
      </c>
      <c r="H4828" s="4"/>
      <c r="I4828" s="5"/>
      <c r="J4828" s="4"/>
      <c r="K4828" s="5"/>
      <c r="L4828" s="6"/>
      <c r="M4828" s="5" t="str">
        <f aca="false">IF(AND(N(K4828)&gt;0,N(L4828)&gt;0),K4828/L4828,"")</f>
        <v/>
      </c>
      <c r="N4828" s="2" t="s">
        <v>1226</v>
      </c>
    </row>
    <row r="4829" customFormat="false" ht="15" hidden="false" customHeight="false" outlineLevel="0" collapsed="false">
      <c r="A4829" s="2" t="n">
        <v>4828</v>
      </c>
      <c r="B4829" s="2" t="s">
        <v>9826</v>
      </c>
      <c r="C4829" s="2" t="s">
        <v>9827</v>
      </c>
      <c r="D4829" s="2"/>
      <c r="E4829" s="2" t="s">
        <v>289</v>
      </c>
      <c r="F4829" s="3" t="n">
        <v>3E-006</v>
      </c>
      <c r="G4829" s="3" t="n">
        <f aca="false">SUM($F$2:F4829)</f>
        <v>0.999242</v>
      </c>
      <c r="H4829" s="4"/>
      <c r="I4829" s="5"/>
      <c r="J4829" s="4"/>
      <c r="K4829" s="5"/>
      <c r="L4829" s="6"/>
      <c r="M4829" s="5" t="str">
        <f aca="false">IF(AND(N(K4829)&gt;0,N(L4829)&gt;0),K4829/L4829,"")</f>
        <v/>
      </c>
      <c r="N4829" s="2" t="s">
        <v>1226</v>
      </c>
    </row>
    <row r="4830" customFormat="false" ht="15" hidden="false" customHeight="false" outlineLevel="0" collapsed="false">
      <c r="A4830" s="2" t="n">
        <v>4829</v>
      </c>
      <c r="B4830" s="2" t="s">
        <v>9828</v>
      </c>
      <c r="C4830" s="2" t="s">
        <v>9829</v>
      </c>
      <c r="D4830" s="2"/>
      <c r="E4830" s="2" t="s">
        <v>1345</v>
      </c>
      <c r="F4830" s="3" t="n">
        <v>3E-006</v>
      </c>
      <c r="G4830" s="3" t="n">
        <f aca="false">SUM($F$2:F4830)</f>
        <v>0.999245</v>
      </c>
      <c r="H4830" s="4"/>
      <c r="I4830" s="5"/>
      <c r="J4830" s="4"/>
      <c r="K4830" s="5"/>
      <c r="L4830" s="6"/>
      <c r="M4830" s="5" t="str">
        <f aca="false">IF(AND(N(K4830)&gt;0,N(L4830)&gt;0),K4830/L4830,"")</f>
        <v/>
      </c>
      <c r="N4830" s="2" t="s">
        <v>1226</v>
      </c>
    </row>
    <row r="4831" customFormat="false" ht="15" hidden="false" customHeight="false" outlineLevel="0" collapsed="false">
      <c r="A4831" s="2" t="n">
        <v>4830</v>
      </c>
      <c r="B4831" s="2" t="s">
        <v>9830</v>
      </c>
      <c r="C4831" s="2" t="s">
        <v>9831</v>
      </c>
      <c r="D4831" s="2"/>
      <c r="E4831" s="2" t="s">
        <v>48</v>
      </c>
      <c r="F4831" s="3" t="n">
        <v>3E-006</v>
      </c>
      <c r="G4831" s="3" t="n">
        <f aca="false">SUM($F$2:F4831)</f>
        <v>0.999248</v>
      </c>
      <c r="H4831" s="4"/>
      <c r="I4831" s="5"/>
      <c r="J4831" s="4"/>
      <c r="K4831" s="5"/>
      <c r="L4831" s="6"/>
      <c r="M4831" s="5" t="str">
        <f aca="false">IF(AND(N(K4831)&gt;0,N(L4831)&gt;0),K4831/L4831,"")</f>
        <v/>
      </c>
      <c r="N4831" s="2" t="s">
        <v>1226</v>
      </c>
    </row>
    <row r="4832" customFormat="false" ht="15" hidden="false" customHeight="false" outlineLevel="0" collapsed="false">
      <c r="A4832" s="2" t="n">
        <v>4831</v>
      </c>
      <c r="B4832" s="2" t="s">
        <v>9832</v>
      </c>
      <c r="C4832" s="2" t="s">
        <v>9833</v>
      </c>
      <c r="D4832" s="2"/>
      <c r="E4832" s="2" t="s">
        <v>1345</v>
      </c>
      <c r="F4832" s="3" t="n">
        <v>3E-006</v>
      </c>
      <c r="G4832" s="3" t="n">
        <f aca="false">SUM($F$2:F4832)</f>
        <v>0.999251</v>
      </c>
      <c r="H4832" s="4"/>
      <c r="I4832" s="5"/>
      <c r="J4832" s="4"/>
      <c r="K4832" s="5"/>
      <c r="L4832" s="6"/>
      <c r="M4832" s="5" t="str">
        <f aca="false">IF(AND(N(K4832)&gt;0,N(L4832)&gt;0),K4832/L4832,"")</f>
        <v/>
      </c>
      <c r="N4832" s="2" t="s">
        <v>1226</v>
      </c>
    </row>
    <row r="4833" customFormat="false" ht="15" hidden="false" customHeight="false" outlineLevel="0" collapsed="false">
      <c r="A4833" s="2" t="n">
        <v>4832</v>
      </c>
      <c r="B4833" s="2" t="s">
        <v>9834</v>
      </c>
      <c r="C4833" s="2" t="s">
        <v>9835</v>
      </c>
      <c r="D4833" s="2"/>
      <c r="E4833" s="2" t="s">
        <v>48</v>
      </c>
      <c r="F4833" s="3" t="n">
        <v>3E-006</v>
      </c>
      <c r="G4833" s="3" t="n">
        <f aca="false">SUM($F$2:F4833)</f>
        <v>0.999254</v>
      </c>
      <c r="H4833" s="4"/>
      <c r="I4833" s="5"/>
      <c r="J4833" s="4"/>
      <c r="K4833" s="5"/>
      <c r="L4833" s="6"/>
      <c r="M4833" s="5" t="str">
        <f aca="false">IF(AND(N(K4833)&gt;0,N(L4833)&gt;0),K4833/L4833,"")</f>
        <v/>
      </c>
      <c r="N4833" s="2" t="s">
        <v>1226</v>
      </c>
    </row>
    <row r="4834" customFormat="false" ht="15" hidden="false" customHeight="false" outlineLevel="0" collapsed="false">
      <c r="A4834" s="2" t="n">
        <v>4833</v>
      </c>
      <c r="B4834" s="2" t="s">
        <v>9836</v>
      </c>
      <c r="C4834" s="2" t="s">
        <v>9837</v>
      </c>
      <c r="D4834" s="2"/>
      <c r="E4834" s="2" t="s">
        <v>199</v>
      </c>
      <c r="F4834" s="3" t="n">
        <v>3E-006</v>
      </c>
      <c r="G4834" s="3" t="n">
        <f aca="false">SUM($F$2:F4834)</f>
        <v>0.999257</v>
      </c>
      <c r="H4834" s="4"/>
      <c r="I4834" s="5"/>
      <c r="J4834" s="4"/>
      <c r="K4834" s="5"/>
      <c r="L4834" s="6"/>
      <c r="M4834" s="5" t="str">
        <f aca="false">IF(AND(N(K4834)&gt;0,N(L4834)&gt;0),K4834/L4834,"")</f>
        <v/>
      </c>
      <c r="N4834" s="2" t="s">
        <v>1226</v>
      </c>
    </row>
    <row r="4835" customFormat="false" ht="15" hidden="false" customHeight="false" outlineLevel="0" collapsed="false">
      <c r="A4835" s="2" t="n">
        <v>4834</v>
      </c>
      <c r="B4835" s="2" t="s">
        <v>9838</v>
      </c>
      <c r="C4835" s="2" t="s">
        <v>9839</v>
      </c>
      <c r="D4835" s="2"/>
      <c r="E4835" s="2" t="s">
        <v>1345</v>
      </c>
      <c r="F4835" s="3" t="n">
        <v>3E-006</v>
      </c>
      <c r="G4835" s="3" t="n">
        <f aca="false">SUM($F$2:F4835)</f>
        <v>0.99926</v>
      </c>
      <c r="H4835" s="4"/>
      <c r="I4835" s="5"/>
      <c r="J4835" s="4"/>
      <c r="K4835" s="5"/>
      <c r="L4835" s="6"/>
      <c r="M4835" s="5" t="str">
        <f aca="false">IF(AND(N(K4835)&gt;0,N(L4835)&gt;0),K4835/L4835,"")</f>
        <v/>
      </c>
      <c r="N4835" s="2" t="s">
        <v>1226</v>
      </c>
    </row>
    <row r="4836" customFormat="false" ht="15" hidden="false" customHeight="false" outlineLevel="0" collapsed="false">
      <c r="A4836" s="2" t="n">
        <v>4835</v>
      </c>
      <c r="B4836" s="2" t="s">
        <v>9840</v>
      </c>
      <c r="C4836" s="2" t="s">
        <v>9841</v>
      </c>
      <c r="D4836" s="2"/>
      <c r="E4836" s="2" t="s">
        <v>289</v>
      </c>
      <c r="F4836" s="3" t="n">
        <v>3E-006</v>
      </c>
      <c r="G4836" s="3" t="n">
        <f aca="false">SUM($F$2:F4836)</f>
        <v>0.999263</v>
      </c>
      <c r="H4836" s="4"/>
      <c r="I4836" s="5"/>
      <c r="J4836" s="4"/>
      <c r="K4836" s="5"/>
      <c r="L4836" s="6"/>
      <c r="M4836" s="5" t="str">
        <f aca="false">IF(AND(N(K4836)&gt;0,N(L4836)&gt;0),K4836/L4836,"")</f>
        <v/>
      </c>
      <c r="N4836" s="2" t="s">
        <v>1226</v>
      </c>
    </row>
    <row r="4837" customFormat="false" ht="15" hidden="false" customHeight="false" outlineLevel="0" collapsed="false">
      <c r="A4837" s="2" t="n">
        <v>4836</v>
      </c>
      <c r="B4837" s="2" t="s">
        <v>9842</v>
      </c>
      <c r="C4837" s="2" t="s">
        <v>9843</v>
      </c>
      <c r="D4837" s="2"/>
      <c r="E4837" s="2" t="s">
        <v>52</v>
      </c>
      <c r="F4837" s="3" t="n">
        <v>3E-006</v>
      </c>
      <c r="G4837" s="3" t="n">
        <f aca="false">SUM($F$2:F4837)</f>
        <v>0.999266</v>
      </c>
      <c r="H4837" s="4"/>
      <c r="I4837" s="5"/>
      <c r="J4837" s="4"/>
      <c r="K4837" s="5"/>
      <c r="L4837" s="6"/>
      <c r="M4837" s="5" t="str">
        <f aca="false">IF(AND(N(K4837)&gt;0,N(L4837)&gt;0),K4837/L4837,"")</f>
        <v/>
      </c>
      <c r="N4837" s="2" t="s">
        <v>1226</v>
      </c>
    </row>
    <row r="4838" customFormat="false" ht="15" hidden="false" customHeight="false" outlineLevel="0" collapsed="false">
      <c r="A4838" s="2" t="n">
        <v>4837</v>
      </c>
      <c r="B4838" s="2" t="s">
        <v>9844</v>
      </c>
      <c r="C4838" s="2" t="s">
        <v>9845</v>
      </c>
      <c r="D4838" s="2"/>
      <c r="E4838" s="2" t="s">
        <v>52</v>
      </c>
      <c r="F4838" s="3" t="n">
        <v>3E-006</v>
      </c>
      <c r="G4838" s="3" t="n">
        <f aca="false">SUM($F$2:F4838)</f>
        <v>0.999269</v>
      </c>
      <c r="H4838" s="4"/>
      <c r="I4838" s="5"/>
      <c r="J4838" s="4"/>
      <c r="K4838" s="5"/>
      <c r="L4838" s="6"/>
      <c r="M4838" s="5" t="str">
        <f aca="false">IF(AND(N(K4838)&gt;0,N(L4838)&gt;0),K4838/L4838,"")</f>
        <v/>
      </c>
      <c r="N4838" s="2" t="s">
        <v>1226</v>
      </c>
    </row>
    <row r="4839" customFormat="false" ht="15" hidden="false" customHeight="false" outlineLevel="0" collapsed="false">
      <c r="A4839" s="2" t="n">
        <v>4838</v>
      </c>
      <c r="B4839" s="2" t="s">
        <v>9846</v>
      </c>
      <c r="C4839" s="2" t="s">
        <v>9847</v>
      </c>
      <c r="D4839" s="2"/>
      <c r="E4839" s="2" t="s">
        <v>289</v>
      </c>
      <c r="F4839" s="3" t="n">
        <v>3E-006</v>
      </c>
      <c r="G4839" s="3" t="n">
        <f aca="false">SUM($F$2:F4839)</f>
        <v>0.999272</v>
      </c>
      <c r="H4839" s="4"/>
      <c r="I4839" s="5"/>
      <c r="J4839" s="4"/>
      <c r="K4839" s="5"/>
      <c r="L4839" s="6"/>
      <c r="M4839" s="5" t="str">
        <f aca="false">IF(AND(N(K4839)&gt;0,N(L4839)&gt;0),K4839/L4839,"")</f>
        <v/>
      </c>
      <c r="N4839" s="2" t="s">
        <v>1226</v>
      </c>
    </row>
    <row r="4840" customFormat="false" ht="15" hidden="false" customHeight="false" outlineLevel="0" collapsed="false">
      <c r="A4840" s="2" t="n">
        <v>4839</v>
      </c>
      <c r="B4840" s="2" t="s">
        <v>9848</v>
      </c>
      <c r="C4840" s="2" t="s">
        <v>9849</v>
      </c>
      <c r="D4840" s="2"/>
      <c r="E4840" s="2" t="s">
        <v>17</v>
      </c>
      <c r="F4840" s="3" t="n">
        <v>3E-006</v>
      </c>
      <c r="G4840" s="3" t="n">
        <f aca="false">SUM($F$2:F4840)</f>
        <v>0.999275</v>
      </c>
      <c r="H4840" s="4"/>
      <c r="I4840" s="5"/>
      <c r="J4840" s="4"/>
      <c r="K4840" s="5"/>
      <c r="L4840" s="6"/>
      <c r="M4840" s="5" t="str">
        <f aca="false">IF(AND(N(K4840)&gt;0,N(L4840)&gt;0),K4840/L4840,"")</f>
        <v/>
      </c>
      <c r="N4840" s="2" t="s">
        <v>1226</v>
      </c>
    </row>
    <row r="4841" customFormat="false" ht="15" hidden="false" customHeight="false" outlineLevel="0" collapsed="false">
      <c r="A4841" s="2" t="n">
        <v>4840</v>
      </c>
      <c r="B4841" s="2" t="s">
        <v>9850</v>
      </c>
      <c r="C4841" s="2" t="s">
        <v>9851</v>
      </c>
      <c r="D4841" s="2"/>
      <c r="E4841" s="2" t="s">
        <v>1345</v>
      </c>
      <c r="F4841" s="3" t="n">
        <v>3E-006</v>
      </c>
      <c r="G4841" s="3" t="n">
        <f aca="false">SUM($F$2:F4841)</f>
        <v>0.999278</v>
      </c>
      <c r="H4841" s="4"/>
      <c r="I4841" s="5"/>
      <c r="J4841" s="4"/>
      <c r="K4841" s="5"/>
      <c r="L4841" s="6"/>
      <c r="M4841" s="5" t="str">
        <f aca="false">IF(AND(N(K4841)&gt;0,N(L4841)&gt;0),K4841/L4841,"")</f>
        <v/>
      </c>
      <c r="N4841" s="2" t="s">
        <v>1226</v>
      </c>
    </row>
    <row r="4842" customFormat="false" ht="15" hidden="false" customHeight="false" outlineLevel="0" collapsed="false">
      <c r="A4842" s="2" t="n">
        <v>4841</v>
      </c>
      <c r="B4842" s="2" t="s">
        <v>9852</v>
      </c>
      <c r="C4842" s="2" t="s">
        <v>9853</v>
      </c>
      <c r="D4842" s="2"/>
      <c r="E4842" s="2" t="s">
        <v>17</v>
      </c>
      <c r="F4842" s="3" t="n">
        <v>3E-006</v>
      </c>
      <c r="G4842" s="3" t="n">
        <f aca="false">SUM($F$2:F4842)</f>
        <v>0.999281</v>
      </c>
      <c r="H4842" s="4"/>
      <c r="I4842" s="5"/>
      <c r="J4842" s="4"/>
      <c r="K4842" s="5"/>
      <c r="L4842" s="6"/>
      <c r="M4842" s="5" t="str">
        <f aca="false">IF(AND(N(K4842)&gt;0,N(L4842)&gt;0),K4842/L4842,"")</f>
        <v/>
      </c>
      <c r="N4842" s="2" t="s">
        <v>1226</v>
      </c>
    </row>
    <row r="4843" customFormat="false" ht="15" hidden="false" customHeight="false" outlineLevel="0" collapsed="false">
      <c r="A4843" s="2" t="n">
        <v>4842</v>
      </c>
      <c r="B4843" s="2" t="s">
        <v>9854</v>
      </c>
      <c r="C4843" s="2" t="s">
        <v>9855</v>
      </c>
      <c r="D4843" s="2"/>
      <c r="E4843" s="2" t="s">
        <v>289</v>
      </c>
      <c r="F4843" s="3" t="n">
        <v>3E-006</v>
      </c>
      <c r="G4843" s="3" t="n">
        <f aca="false">SUM($F$2:F4843)</f>
        <v>0.999284</v>
      </c>
      <c r="H4843" s="4"/>
      <c r="I4843" s="5"/>
      <c r="J4843" s="4"/>
      <c r="K4843" s="5"/>
      <c r="L4843" s="6"/>
      <c r="M4843" s="5" t="str">
        <f aca="false">IF(AND(N(K4843)&gt;0,N(L4843)&gt;0),K4843/L4843,"")</f>
        <v/>
      </c>
      <c r="N4843" s="2" t="s">
        <v>1226</v>
      </c>
    </row>
    <row r="4844" customFormat="false" ht="15" hidden="false" customHeight="false" outlineLevel="0" collapsed="false">
      <c r="A4844" s="2" t="n">
        <v>4843</v>
      </c>
      <c r="B4844" s="2" t="s">
        <v>9856</v>
      </c>
      <c r="C4844" s="2" t="s">
        <v>9857</v>
      </c>
      <c r="D4844" s="2"/>
      <c r="E4844" s="2" t="s">
        <v>296</v>
      </c>
      <c r="F4844" s="3" t="n">
        <v>3E-006</v>
      </c>
      <c r="G4844" s="3" t="n">
        <f aca="false">SUM($F$2:F4844)</f>
        <v>0.999287</v>
      </c>
      <c r="H4844" s="4"/>
      <c r="I4844" s="5"/>
      <c r="J4844" s="4"/>
      <c r="K4844" s="5"/>
      <c r="L4844" s="6"/>
      <c r="M4844" s="5" t="str">
        <f aca="false">IF(AND(N(K4844)&gt;0,N(L4844)&gt;0),K4844/L4844,"")</f>
        <v/>
      </c>
      <c r="N4844" s="2" t="s">
        <v>1226</v>
      </c>
    </row>
    <row r="4845" customFormat="false" ht="15" hidden="false" customHeight="false" outlineLevel="0" collapsed="false">
      <c r="A4845" s="2" t="n">
        <v>4844</v>
      </c>
      <c r="B4845" s="2" t="s">
        <v>9858</v>
      </c>
      <c r="C4845" s="2" t="s">
        <v>9859</v>
      </c>
      <c r="D4845" s="2"/>
      <c r="E4845" s="2" t="s">
        <v>1345</v>
      </c>
      <c r="F4845" s="3" t="n">
        <v>3E-006</v>
      </c>
      <c r="G4845" s="3" t="n">
        <f aca="false">SUM($F$2:F4845)</f>
        <v>0.99929</v>
      </c>
      <c r="H4845" s="4"/>
      <c r="I4845" s="5"/>
      <c r="J4845" s="4"/>
      <c r="K4845" s="5"/>
      <c r="L4845" s="6"/>
      <c r="M4845" s="5" t="str">
        <f aca="false">IF(AND(N(K4845)&gt;0,N(L4845)&gt;0),K4845/L4845,"")</f>
        <v/>
      </c>
      <c r="N4845" s="2" t="s">
        <v>1226</v>
      </c>
    </row>
    <row r="4846" customFormat="false" ht="15" hidden="false" customHeight="false" outlineLevel="0" collapsed="false">
      <c r="A4846" s="2" t="n">
        <v>4845</v>
      </c>
      <c r="B4846" s="2" t="s">
        <v>9860</v>
      </c>
      <c r="C4846" s="2" t="s">
        <v>9861</v>
      </c>
      <c r="D4846" s="2"/>
      <c r="E4846" s="2" t="s">
        <v>1345</v>
      </c>
      <c r="F4846" s="3" t="n">
        <v>3E-006</v>
      </c>
      <c r="G4846" s="3" t="n">
        <f aca="false">SUM($F$2:F4846)</f>
        <v>0.999293</v>
      </c>
      <c r="H4846" s="4"/>
      <c r="I4846" s="5"/>
      <c r="J4846" s="4"/>
      <c r="K4846" s="5"/>
      <c r="L4846" s="6"/>
      <c r="M4846" s="5" t="str">
        <f aca="false">IF(AND(N(K4846)&gt;0,N(L4846)&gt;0),K4846/L4846,"")</f>
        <v/>
      </c>
      <c r="N4846" s="2" t="s">
        <v>1226</v>
      </c>
    </row>
    <row r="4847" customFormat="false" ht="15" hidden="false" customHeight="false" outlineLevel="0" collapsed="false">
      <c r="A4847" s="2" t="n">
        <v>4846</v>
      </c>
      <c r="B4847" s="2" t="s">
        <v>9862</v>
      </c>
      <c r="C4847" s="2" t="s">
        <v>9863</v>
      </c>
      <c r="D4847" s="2"/>
      <c r="E4847" s="2" t="s">
        <v>52</v>
      </c>
      <c r="F4847" s="3" t="n">
        <v>3E-006</v>
      </c>
      <c r="G4847" s="3" t="n">
        <f aca="false">SUM($F$2:F4847)</f>
        <v>0.999296</v>
      </c>
      <c r="H4847" s="4"/>
      <c r="I4847" s="5"/>
      <c r="J4847" s="4"/>
      <c r="K4847" s="5"/>
      <c r="L4847" s="6"/>
      <c r="M4847" s="5" t="str">
        <f aca="false">IF(AND(N(K4847)&gt;0,N(L4847)&gt;0),K4847/L4847,"")</f>
        <v/>
      </c>
      <c r="N4847" s="2" t="s">
        <v>1226</v>
      </c>
    </row>
    <row r="4848" customFormat="false" ht="15" hidden="false" customHeight="false" outlineLevel="0" collapsed="false">
      <c r="A4848" s="2" t="n">
        <v>4847</v>
      </c>
      <c r="B4848" s="2" t="s">
        <v>9864</v>
      </c>
      <c r="C4848" s="2" t="s">
        <v>9865</v>
      </c>
      <c r="D4848" s="2"/>
      <c r="E4848" s="2" t="s">
        <v>1295</v>
      </c>
      <c r="F4848" s="3" t="n">
        <v>3E-006</v>
      </c>
      <c r="G4848" s="3" t="n">
        <f aca="false">SUM($F$2:F4848)</f>
        <v>0.999299</v>
      </c>
      <c r="H4848" s="4"/>
      <c r="I4848" s="5"/>
      <c r="J4848" s="4"/>
      <c r="K4848" s="5"/>
      <c r="L4848" s="6"/>
      <c r="M4848" s="5" t="str">
        <f aca="false">IF(AND(N(K4848)&gt;0,N(L4848)&gt;0),K4848/L4848,"")</f>
        <v/>
      </c>
      <c r="N4848" s="2" t="s">
        <v>1226</v>
      </c>
    </row>
    <row r="4849" customFormat="false" ht="15" hidden="false" customHeight="false" outlineLevel="0" collapsed="false">
      <c r="A4849" s="2" t="n">
        <v>4848</v>
      </c>
      <c r="B4849" s="2" t="s">
        <v>301</v>
      </c>
      <c r="C4849" s="2" t="s">
        <v>9866</v>
      </c>
      <c r="D4849" s="2"/>
      <c r="E4849" s="2" t="s">
        <v>289</v>
      </c>
      <c r="F4849" s="3" t="n">
        <v>3E-006</v>
      </c>
      <c r="G4849" s="3" t="n">
        <f aca="false">SUM($F$2:F4849)</f>
        <v>0.999302</v>
      </c>
      <c r="H4849" s="4"/>
      <c r="I4849" s="5"/>
      <c r="J4849" s="4"/>
      <c r="K4849" s="5"/>
      <c r="L4849" s="6"/>
      <c r="M4849" s="5" t="str">
        <f aca="false">IF(AND(N(K4849)&gt;0,N(L4849)&gt;0),K4849/L4849,"")</f>
        <v/>
      </c>
      <c r="N4849" s="2" t="s">
        <v>1226</v>
      </c>
    </row>
    <row r="4850" customFormat="false" ht="15" hidden="false" customHeight="false" outlineLevel="0" collapsed="false">
      <c r="A4850" s="2" t="n">
        <v>4849</v>
      </c>
      <c r="B4850" s="2" t="s">
        <v>9867</v>
      </c>
      <c r="C4850" s="2" t="s">
        <v>9868</v>
      </c>
      <c r="D4850" s="2"/>
      <c r="E4850" s="2" t="s">
        <v>296</v>
      </c>
      <c r="F4850" s="3" t="n">
        <v>3E-006</v>
      </c>
      <c r="G4850" s="3" t="n">
        <f aca="false">SUM($F$2:F4850)</f>
        <v>0.999305</v>
      </c>
      <c r="H4850" s="4"/>
      <c r="I4850" s="5"/>
      <c r="J4850" s="4"/>
      <c r="K4850" s="5"/>
      <c r="L4850" s="6"/>
      <c r="M4850" s="5" t="str">
        <f aca="false">IF(AND(N(K4850)&gt;0,N(L4850)&gt;0),K4850/L4850,"")</f>
        <v/>
      </c>
      <c r="N4850" s="2" t="s">
        <v>1226</v>
      </c>
    </row>
    <row r="4851" customFormat="false" ht="15" hidden="false" customHeight="false" outlineLevel="0" collapsed="false">
      <c r="A4851" s="2" t="n">
        <v>4850</v>
      </c>
      <c r="B4851" s="2" t="s">
        <v>9869</v>
      </c>
      <c r="C4851" s="2" t="s">
        <v>9870</v>
      </c>
      <c r="D4851" s="2"/>
      <c r="E4851" s="2" t="s">
        <v>52</v>
      </c>
      <c r="F4851" s="3" t="n">
        <v>3E-006</v>
      </c>
      <c r="G4851" s="3" t="n">
        <f aca="false">SUM($F$2:F4851)</f>
        <v>0.999308</v>
      </c>
      <c r="H4851" s="4"/>
      <c r="I4851" s="5"/>
      <c r="J4851" s="4"/>
      <c r="K4851" s="5"/>
      <c r="L4851" s="6"/>
      <c r="M4851" s="5" t="str">
        <f aca="false">IF(AND(N(K4851)&gt;0,N(L4851)&gt;0),K4851/L4851,"")</f>
        <v/>
      </c>
      <c r="N4851" s="2" t="s">
        <v>1226</v>
      </c>
    </row>
    <row r="4852" customFormat="false" ht="15" hidden="false" customHeight="false" outlineLevel="0" collapsed="false">
      <c r="A4852" s="2" t="n">
        <v>4851</v>
      </c>
      <c r="B4852" s="2" t="s">
        <v>9871</v>
      </c>
      <c r="C4852" s="2" t="s">
        <v>9872</v>
      </c>
      <c r="D4852" s="2"/>
      <c r="E4852" s="2" t="s">
        <v>25</v>
      </c>
      <c r="F4852" s="3" t="n">
        <v>3E-006</v>
      </c>
      <c r="G4852" s="3" t="n">
        <f aca="false">SUM($F$2:F4852)</f>
        <v>0.999311</v>
      </c>
      <c r="H4852" s="4"/>
      <c r="I4852" s="5"/>
      <c r="J4852" s="4"/>
      <c r="K4852" s="5"/>
      <c r="L4852" s="6"/>
      <c r="M4852" s="5" t="str">
        <f aca="false">IF(AND(N(K4852)&gt;0,N(L4852)&gt;0),K4852/L4852,"")</f>
        <v/>
      </c>
      <c r="N4852" s="2" t="s">
        <v>1226</v>
      </c>
    </row>
    <row r="4853" customFormat="false" ht="15" hidden="false" customHeight="false" outlineLevel="0" collapsed="false">
      <c r="A4853" s="2" t="n">
        <v>4852</v>
      </c>
      <c r="B4853" s="2" t="s">
        <v>9873</v>
      </c>
      <c r="C4853" s="2" t="s">
        <v>9874</v>
      </c>
      <c r="D4853" s="2"/>
      <c r="E4853" s="2" t="s">
        <v>17</v>
      </c>
      <c r="F4853" s="3" t="n">
        <v>3E-006</v>
      </c>
      <c r="G4853" s="3" t="n">
        <f aca="false">SUM($F$2:F4853)</f>
        <v>0.999314</v>
      </c>
      <c r="H4853" s="4"/>
      <c r="I4853" s="5"/>
      <c r="J4853" s="4"/>
      <c r="K4853" s="5"/>
      <c r="L4853" s="6"/>
      <c r="M4853" s="5" t="str">
        <f aca="false">IF(AND(N(K4853)&gt;0,N(L4853)&gt;0),K4853/L4853,"")</f>
        <v/>
      </c>
      <c r="N4853" s="2" t="s">
        <v>1226</v>
      </c>
    </row>
    <row r="4854" customFormat="false" ht="15" hidden="false" customHeight="false" outlineLevel="0" collapsed="false">
      <c r="A4854" s="2" t="n">
        <v>4853</v>
      </c>
      <c r="B4854" s="2" t="s">
        <v>9875</v>
      </c>
      <c r="C4854" s="2" t="s">
        <v>9876</v>
      </c>
      <c r="D4854" s="2"/>
      <c r="E4854" s="2" t="s">
        <v>1345</v>
      </c>
      <c r="F4854" s="3" t="n">
        <v>3E-006</v>
      </c>
      <c r="G4854" s="3" t="n">
        <f aca="false">SUM($F$2:F4854)</f>
        <v>0.999317</v>
      </c>
      <c r="H4854" s="4"/>
      <c r="I4854" s="5"/>
      <c r="J4854" s="4"/>
      <c r="K4854" s="5"/>
      <c r="L4854" s="6"/>
      <c r="M4854" s="5" t="str">
        <f aca="false">IF(AND(N(K4854)&gt;0,N(L4854)&gt;0),K4854/L4854,"")</f>
        <v/>
      </c>
      <c r="N4854" s="2" t="s">
        <v>1226</v>
      </c>
    </row>
    <row r="4855" customFormat="false" ht="15" hidden="false" customHeight="false" outlineLevel="0" collapsed="false">
      <c r="A4855" s="2" t="n">
        <v>4854</v>
      </c>
      <c r="B4855" s="2" t="s">
        <v>9877</v>
      </c>
      <c r="C4855" s="2" t="s">
        <v>9878</v>
      </c>
      <c r="D4855" s="2"/>
      <c r="E4855" s="2" t="s">
        <v>48</v>
      </c>
      <c r="F4855" s="3" t="n">
        <v>3E-006</v>
      </c>
      <c r="G4855" s="3" t="n">
        <f aca="false">SUM($F$2:F4855)</f>
        <v>0.99932</v>
      </c>
      <c r="H4855" s="4"/>
      <c r="I4855" s="5"/>
      <c r="J4855" s="4"/>
      <c r="K4855" s="5"/>
      <c r="L4855" s="6"/>
      <c r="M4855" s="5" t="str">
        <f aca="false">IF(AND(N(K4855)&gt;0,N(L4855)&gt;0),K4855/L4855,"")</f>
        <v/>
      </c>
      <c r="N4855" s="2" t="s">
        <v>1226</v>
      </c>
    </row>
    <row r="4856" customFormat="false" ht="15" hidden="false" customHeight="false" outlineLevel="0" collapsed="false">
      <c r="A4856" s="2" t="n">
        <v>4855</v>
      </c>
      <c r="B4856" s="2" t="s">
        <v>9879</v>
      </c>
      <c r="C4856" s="2" t="s">
        <v>9880</v>
      </c>
      <c r="D4856" s="2"/>
      <c r="E4856" s="2" t="s">
        <v>25</v>
      </c>
      <c r="F4856" s="3" t="n">
        <v>3E-006</v>
      </c>
      <c r="G4856" s="3" t="n">
        <f aca="false">SUM($F$2:F4856)</f>
        <v>0.999323</v>
      </c>
      <c r="H4856" s="4"/>
      <c r="I4856" s="5"/>
      <c r="J4856" s="4"/>
      <c r="K4856" s="5"/>
      <c r="L4856" s="6"/>
      <c r="M4856" s="5" t="str">
        <f aca="false">IF(AND(N(K4856)&gt;0,N(L4856)&gt;0),K4856/L4856,"")</f>
        <v/>
      </c>
      <c r="N4856" s="2" t="s">
        <v>1226</v>
      </c>
    </row>
    <row r="4857" customFormat="false" ht="15" hidden="false" customHeight="false" outlineLevel="0" collapsed="false">
      <c r="A4857" s="2" t="n">
        <v>4856</v>
      </c>
      <c r="B4857" s="2" t="s">
        <v>9881</v>
      </c>
      <c r="C4857" s="2" t="s">
        <v>9882</v>
      </c>
      <c r="D4857" s="2"/>
      <c r="E4857" s="2" t="s">
        <v>289</v>
      </c>
      <c r="F4857" s="3" t="n">
        <v>3E-006</v>
      </c>
      <c r="G4857" s="3" t="n">
        <f aca="false">SUM($F$2:F4857)</f>
        <v>0.999326</v>
      </c>
      <c r="H4857" s="4"/>
      <c r="I4857" s="5"/>
      <c r="J4857" s="4"/>
      <c r="K4857" s="5"/>
      <c r="L4857" s="6"/>
      <c r="M4857" s="5" t="str">
        <f aca="false">IF(AND(N(K4857)&gt;0,N(L4857)&gt;0),K4857/L4857,"")</f>
        <v/>
      </c>
      <c r="N4857" s="2" t="s">
        <v>1226</v>
      </c>
    </row>
    <row r="4858" customFormat="false" ht="15" hidden="false" customHeight="false" outlineLevel="0" collapsed="false">
      <c r="A4858" s="2" t="n">
        <v>4857</v>
      </c>
      <c r="B4858" s="2" t="s">
        <v>9883</v>
      </c>
      <c r="C4858" s="2" t="s">
        <v>9884</v>
      </c>
      <c r="D4858" s="2"/>
      <c r="E4858" s="2" t="s">
        <v>1345</v>
      </c>
      <c r="F4858" s="3" t="n">
        <v>3E-006</v>
      </c>
      <c r="G4858" s="3" t="n">
        <f aca="false">SUM($F$2:F4858)</f>
        <v>0.999329</v>
      </c>
      <c r="H4858" s="4"/>
      <c r="I4858" s="5"/>
      <c r="J4858" s="4"/>
      <c r="K4858" s="5"/>
      <c r="L4858" s="6"/>
      <c r="M4858" s="5" t="str">
        <f aca="false">IF(AND(N(K4858)&gt;0,N(L4858)&gt;0),K4858/L4858,"")</f>
        <v/>
      </c>
      <c r="N4858" s="2" t="s">
        <v>1226</v>
      </c>
    </row>
    <row r="4859" customFormat="false" ht="15" hidden="false" customHeight="false" outlineLevel="0" collapsed="false">
      <c r="A4859" s="2" t="n">
        <v>4858</v>
      </c>
      <c r="B4859" s="2" t="s">
        <v>9885</v>
      </c>
      <c r="C4859" s="2" t="s">
        <v>9886</v>
      </c>
      <c r="D4859" s="2"/>
      <c r="E4859" s="2" t="s">
        <v>1345</v>
      </c>
      <c r="F4859" s="3" t="n">
        <v>3E-006</v>
      </c>
      <c r="G4859" s="3" t="n">
        <f aca="false">SUM($F$2:F4859)</f>
        <v>0.999332</v>
      </c>
      <c r="H4859" s="4"/>
      <c r="I4859" s="5"/>
      <c r="J4859" s="4"/>
      <c r="K4859" s="5"/>
      <c r="L4859" s="6"/>
      <c r="M4859" s="5" t="str">
        <f aca="false">IF(AND(N(K4859)&gt;0,N(L4859)&gt;0),K4859/L4859,"")</f>
        <v/>
      </c>
      <c r="N4859" s="2" t="s">
        <v>1226</v>
      </c>
    </row>
    <row r="4860" customFormat="false" ht="15" hidden="false" customHeight="false" outlineLevel="0" collapsed="false">
      <c r="A4860" s="2" t="n">
        <v>4859</v>
      </c>
      <c r="B4860" s="2" t="s">
        <v>9887</v>
      </c>
      <c r="C4860" s="2" t="s">
        <v>9888</v>
      </c>
      <c r="D4860" s="2"/>
      <c r="E4860" s="2" t="s">
        <v>1345</v>
      </c>
      <c r="F4860" s="3" t="n">
        <v>3E-006</v>
      </c>
      <c r="G4860" s="3" t="n">
        <f aca="false">SUM($F$2:F4860)</f>
        <v>0.999335</v>
      </c>
      <c r="H4860" s="4"/>
      <c r="I4860" s="5"/>
      <c r="J4860" s="4"/>
      <c r="K4860" s="5"/>
      <c r="L4860" s="6"/>
      <c r="M4860" s="5" t="str">
        <f aca="false">IF(AND(N(K4860)&gt;0,N(L4860)&gt;0),K4860/L4860,"")</f>
        <v/>
      </c>
      <c r="N4860" s="2" t="s">
        <v>1226</v>
      </c>
    </row>
    <row r="4861" customFormat="false" ht="15" hidden="false" customHeight="false" outlineLevel="0" collapsed="false">
      <c r="A4861" s="2" t="n">
        <v>4860</v>
      </c>
      <c r="B4861" s="2" t="s">
        <v>9889</v>
      </c>
      <c r="C4861" s="2" t="s">
        <v>9890</v>
      </c>
      <c r="D4861" s="2"/>
      <c r="E4861" s="2" t="s">
        <v>199</v>
      </c>
      <c r="F4861" s="3" t="n">
        <v>3E-006</v>
      </c>
      <c r="G4861" s="3" t="n">
        <f aca="false">SUM($F$2:F4861)</f>
        <v>0.999338</v>
      </c>
      <c r="H4861" s="4"/>
      <c r="I4861" s="5"/>
      <c r="J4861" s="4"/>
      <c r="K4861" s="5"/>
      <c r="L4861" s="6"/>
      <c r="M4861" s="5" t="str">
        <f aca="false">IF(AND(N(K4861)&gt;0,N(L4861)&gt;0),K4861/L4861,"")</f>
        <v/>
      </c>
      <c r="N4861" s="2" t="s">
        <v>1226</v>
      </c>
    </row>
    <row r="4862" customFormat="false" ht="15" hidden="false" customHeight="false" outlineLevel="0" collapsed="false">
      <c r="A4862" s="2" t="n">
        <v>4861</v>
      </c>
      <c r="B4862" s="2" t="s">
        <v>9891</v>
      </c>
      <c r="C4862" s="2" t="s">
        <v>9892</v>
      </c>
      <c r="D4862" s="2"/>
      <c r="E4862" s="2" t="s">
        <v>1345</v>
      </c>
      <c r="F4862" s="3" t="n">
        <v>3E-006</v>
      </c>
      <c r="G4862" s="3" t="n">
        <f aca="false">SUM($F$2:F4862)</f>
        <v>0.999341</v>
      </c>
      <c r="H4862" s="4"/>
      <c r="I4862" s="5"/>
      <c r="J4862" s="4"/>
      <c r="K4862" s="5"/>
      <c r="L4862" s="6"/>
      <c r="M4862" s="5" t="str">
        <f aca="false">IF(AND(N(K4862)&gt;0,N(L4862)&gt;0),K4862/L4862,"")</f>
        <v/>
      </c>
      <c r="N4862" s="2" t="s">
        <v>1226</v>
      </c>
    </row>
    <row r="4863" customFormat="false" ht="15" hidden="false" customHeight="false" outlineLevel="0" collapsed="false">
      <c r="A4863" s="2" t="n">
        <v>4862</v>
      </c>
      <c r="B4863" s="2" t="s">
        <v>9893</v>
      </c>
      <c r="C4863" s="2" t="s">
        <v>9894</v>
      </c>
      <c r="D4863" s="2"/>
      <c r="E4863" s="2" t="s">
        <v>17</v>
      </c>
      <c r="F4863" s="3" t="n">
        <v>3E-006</v>
      </c>
      <c r="G4863" s="3" t="n">
        <f aca="false">SUM($F$2:F4863)</f>
        <v>0.999344</v>
      </c>
      <c r="H4863" s="4"/>
      <c r="I4863" s="5"/>
      <c r="J4863" s="4"/>
      <c r="K4863" s="5"/>
      <c r="L4863" s="6"/>
      <c r="M4863" s="5" t="str">
        <f aca="false">IF(AND(N(K4863)&gt;0,N(L4863)&gt;0),K4863/L4863,"")</f>
        <v/>
      </c>
      <c r="N4863" s="2" t="s">
        <v>1226</v>
      </c>
    </row>
    <row r="4864" customFormat="false" ht="15" hidden="false" customHeight="false" outlineLevel="0" collapsed="false">
      <c r="A4864" s="2" t="n">
        <v>4863</v>
      </c>
      <c r="B4864" s="2" t="s">
        <v>301</v>
      </c>
      <c r="C4864" s="2" t="s">
        <v>9895</v>
      </c>
      <c r="D4864" s="2"/>
      <c r="E4864" s="2" t="s">
        <v>1295</v>
      </c>
      <c r="F4864" s="3" t="n">
        <v>3E-006</v>
      </c>
      <c r="G4864" s="3" t="n">
        <f aca="false">SUM($F$2:F4864)</f>
        <v>0.999347</v>
      </c>
      <c r="H4864" s="4"/>
      <c r="I4864" s="5"/>
      <c r="J4864" s="4"/>
      <c r="K4864" s="5"/>
      <c r="L4864" s="6"/>
      <c r="M4864" s="5" t="str">
        <f aca="false">IF(AND(N(K4864)&gt;0,N(L4864)&gt;0),K4864/L4864,"")</f>
        <v/>
      </c>
      <c r="N4864" s="2" t="s">
        <v>34</v>
      </c>
    </row>
    <row r="4865" customFormat="false" ht="15" hidden="false" customHeight="false" outlineLevel="0" collapsed="false">
      <c r="A4865" s="2" t="n">
        <v>4864</v>
      </c>
      <c r="B4865" s="2" t="s">
        <v>9896</v>
      </c>
      <c r="C4865" s="2" t="s">
        <v>9897</v>
      </c>
      <c r="D4865" s="2"/>
      <c r="E4865" s="2" t="s">
        <v>25</v>
      </c>
      <c r="F4865" s="3" t="n">
        <v>3E-006</v>
      </c>
      <c r="G4865" s="3" t="n">
        <f aca="false">SUM($F$2:F4865)</f>
        <v>0.99935</v>
      </c>
      <c r="H4865" s="4"/>
      <c r="I4865" s="5"/>
      <c r="J4865" s="4"/>
      <c r="K4865" s="5"/>
      <c r="L4865" s="6"/>
      <c r="M4865" s="5" t="str">
        <f aca="false">IF(AND(N(K4865)&gt;0,N(L4865)&gt;0),K4865/L4865,"")</f>
        <v/>
      </c>
      <c r="N4865" s="2" t="s">
        <v>1226</v>
      </c>
    </row>
    <row r="4866" customFormat="false" ht="15" hidden="false" customHeight="false" outlineLevel="0" collapsed="false">
      <c r="A4866" s="2" t="n">
        <v>4865</v>
      </c>
      <c r="B4866" s="2" t="s">
        <v>9898</v>
      </c>
      <c r="C4866" s="2" t="s">
        <v>9899</v>
      </c>
      <c r="D4866" s="2"/>
      <c r="E4866" s="2" t="s">
        <v>17</v>
      </c>
      <c r="F4866" s="3" t="n">
        <v>3E-006</v>
      </c>
      <c r="G4866" s="3" t="n">
        <f aca="false">SUM($F$2:F4866)</f>
        <v>0.999353</v>
      </c>
      <c r="H4866" s="4"/>
      <c r="I4866" s="5"/>
      <c r="J4866" s="4"/>
      <c r="K4866" s="5"/>
      <c r="L4866" s="6"/>
      <c r="M4866" s="5" t="str">
        <f aca="false">IF(AND(N(K4866)&gt;0,N(L4866)&gt;0),K4866/L4866,"")</f>
        <v/>
      </c>
      <c r="N4866" s="2" t="s">
        <v>1226</v>
      </c>
    </row>
    <row r="4867" customFormat="false" ht="15" hidden="false" customHeight="false" outlineLevel="0" collapsed="false">
      <c r="A4867" s="2" t="n">
        <v>4866</v>
      </c>
      <c r="B4867" s="2" t="s">
        <v>9900</v>
      </c>
      <c r="C4867" s="2" t="s">
        <v>9901</v>
      </c>
      <c r="D4867" s="2"/>
      <c r="E4867" s="2" t="s">
        <v>289</v>
      </c>
      <c r="F4867" s="3" t="n">
        <v>3E-006</v>
      </c>
      <c r="G4867" s="3" t="n">
        <f aca="false">SUM($F$2:F4867)</f>
        <v>0.999356</v>
      </c>
      <c r="H4867" s="4"/>
      <c r="I4867" s="5"/>
      <c r="J4867" s="4"/>
      <c r="K4867" s="5"/>
      <c r="L4867" s="6"/>
      <c r="M4867" s="5" t="str">
        <f aca="false">IF(AND(N(K4867)&gt;0,N(L4867)&gt;0),K4867/L4867,"")</f>
        <v/>
      </c>
      <c r="N4867" s="2" t="s">
        <v>1226</v>
      </c>
    </row>
    <row r="4868" customFormat="false" ht="15" hidden="false" customHeight="false" outlineLevel="0" collapsed="false">
      <c r="A4868" s="2" t="n">
        <v>4867</v>
      </c>
      <c r="B4868" s="2" t="s">
        <v>9902</v>
      </c>
      <c r="C4868" s="2" t="s">
        <v>9903</v>
      </c>
      <c r="D4868" s="2"/>
      <c r="E4868" s="2" t="s">
        <v>289</v>
      </c>
      <c r="F4868" s="3" t="n">
        <v>3E-006</v>
      </c>
      <c r="G4868" s="3" t="n">
        <f aca="false">SUM($F$2:F4868)</f>
        <v>0.999359</v>
      </c>
      <c r="H4868" s="4"/>
      <c r="I4868" s="5"/>
      <c r="J4868" s="4"/>
      <c r="K4868" s="5"/>
      <c r="L4868" s="6"/>
      <c r="M4868" s="5" t="str">
        <f aca="false">IF(AND(N(K4868)&gt;0,N(L4868)&gt;0),K4868/L4868,"")</f>
        <v/>
      </c>
      <c r="N4868" s="2" t="s">
        <v>1226</v>
      </c>
    </row>
    <row r="4869" customFormat="false" ht="15" hidden="false" customHeight="false" outlineLevel="0" collapsed="false">
      <c r="A4869" s="2" t="n">
        <v>4868</v>
      </c>
      <c r="B4869" s="2" t="s">
        <v>9904</v>
      </c>
      <c r="C4869" s="2" t="s">
        <v>9905</v>
      </c>
      <c r="D4869" s="2"/>
      <c r="E4869" s="2" t="s">
        <v>1345</v>
      </c>
      <c r="F4869" s="3" t="n">
        <v>3E-006</v>
      </c>
      <c r="G4869" s="3" t="n">
        <f aca="false">SUM($F$2:F4869)</f>
        <v>0.999362</v>
      </c>
      <c r="H4869" s="4"/>
      <c r="I4869" s="5"/>
      <c r="J4869" s="4"/>
      <c r="K4869" s="5"/>
      <c r="L4869" s="6"/>
      <c r="M4869" s="5" t="str">
        <f aca="false">IF(AND(N(K4869)&gt;0,N(L4869)&gt;0),K4869/L4869,"")</f>
        <v/>
      </c>
      <c r="N4869" s="2" t="s">
        <v>1226</v>
      </c>
    </row>
    <row r="4870" customFormat="false" ht="15" hidden="false" customHeight="false" outlineLevel="0" collapsed="false">
      <c r="A4870" s="2" t="n">
        <v>4869</v>
      </c>
      <c r="B4870" s="2" t="s">
        <v>9906</v>
      </c>
      <c r="C4870" s="2" t="s">
        <v>9907</v>
      </c>
      <c r="D4870" s="2"/>
      <c r="E4870" s="2" t="s">
        <v>334</v>
      </c>
      <c r="F4870" s="3" t="n">
        <v>3E-006</v>
      </c>
      <c r="G4870" s="3" t="n">
        <f aca="false">SUM($F$2:F4870)</f>
        <v>0.999365</v>
      </c>
      <c r="H4870" s="4"/>
      <c r="I4870" s="5"/>
      <c r="J4870" s="4"/>
      <c r="K4870" s="5"/>
      <c r="L4870" s="6"/>
      <c r="M4870" s="5" t="str">
        <f aca="false">IF(AND(N(K4870)&gt;0,N(L4870)&gt;0),K4870/L4870,"")</f>
        <v/>
      </c>
      <c r="N4870" s="2" t="s">
        <v>1226</v>
      </c>
    </row>
    <row r="4871" customFormat="false" ht="15" hidden="false" customHeight="false" outlineLevel="0" collapsed="false">
      <c r="A4871" s="2" t="n">
        <v>4870</v>
      </c>
      <c r="B4871" s="2" t="s">
        <v>9908</v>
      </c>
      <c r="C4871" s="2" t="s">
        <v>9909</v>
      </c>
      <c r="D4871" s="2"/>
      <c r="E4871" s="2" t="s">
        <v>289</v>
      </c>
      <c r="F4871" s="3" t="n">
        <v>3E-006</v>
      </c>
      <c r="G4871" s="3" t="n">
        <f aca="false">SUM($F$2:F4871)</f>
        <v>0.999368</v>
      </c>
      <c r="H4871" s="4"/>
      <c r="I4871" s="5"/>
      <c r="J4871" s="4"/>
      <c r="K4871" s="5"/>
      <c r="L4871" s="6"/>
      <c r="M4871" s="5" t="str">
        <f aca="false">IF(AND(N(K4871)&gt;0,N(L4871)&gt;0),K4871/L4871,"")</f>
        <v/>
      </c>
      <c r="N4871" s="2" t="s">
        <v>1226</v>
      </c>
    </row>
    <row r="4872" customFormat="false" ht="15" hidden="false" customHeight="false" outlineLevel="0" collapsed="false">
      <c r="A4872" s="2" t="n">
        <v>4871</v>
      </c>
      <c r="B4872" s="2" t="s">
        <v>9910</v>
      </c>
      <c r="C4872" s="2" t="s">
        <v>9911</v>
      </c>
      <c r="D4872" s="2"/>
      <c r="E4872" s="2" t="s">
        <v>1345</v>
      </c>
      <c r="F4872" s="3" t="n">
        <v>3E-006</v>
      </c>
      <c r="G4872" s="3" t="n">
        <f aca="false">SUM($F$2:F4872)</f>
        <v>0.999371</v>
      </c>
      <c r="H4872" s="4"/>
      <c r="I4872" s="5"/>
      <c r="J4872" s="4"/>
      <c r="K4872" s="5"/>
      <c r="L4872" s="6"/>
      <c r="M4872" s="5" t="str">
        <f aca="false">IF(AND(N(K4872)&gt;0,N(L4872)&gt;0),K4872/L4872,"")</f>
        <v/>
      </c>
      <c r="N4872" s="2" t="s">
        <v>1226</v>
      </c>
    </row>
    <row r="4873" customFormat="false" ht="15" hidden="false" customHeight="false" outlineLevel="0" collapsed="false">
      <c r="A4873" s="2" t="n">
        <v>4872</v>
      </c>
      <c r="B4873" s="2" t="s">
        <v>9912</v>
      </c>
      <c r="C4873" s="2" t="s">
        <v>9913</v>
      </c>
      <c r="D4873" s="2"/>
      <c r="E4873" s="2" t="s">
        <v>1284</v>
      </c>
      <c r="F4873" s="3" t="n">
        <v>3E-006</v>
      </c>
      <c r="G4873" s="3" t="n">
        <f aca="false">SUM($F$2:F4873)</f>
        <v>0.999374</v>
      </c>
      <c r="H4873" s="4"/>
      <c r="I4873" s="5"/>
      <c r="J4873" s="4"/>
      <c r="K4873" s="5"/>
      <c r="L4873" s="6"/>
      <c r="M4873" s="5" t="str">
        <f aca="false">IF(AND(N(K4873)&gt;0,N(L4873)&gt;0),K4873/L4873,"")</f>
        <v/>
      </c>
      <c r="N4873" s="2" t="s">
        <v>1226</v>
      </c>
    </row>
    <row r="4874" customFormat="false" ht="15" hidden="false" customHeight="false" outlineLevel="0" collapsed="false">
      <c r="A4874" s="2" t="n">
        <v>4873</v>
      </c>
      <c r="B4874" s="2" t="s">
        <v>9914</v>
      </c>
      <c r="C4874" s="2" t="s">
        <v>9915</v>
      </c>
      <c r="D4874" s="2"/>
      <c r="E4874" s="2" t="s">
        <v>43</v>
      </c>
      <c r="F4874" s="3" t="n">
        <v>3E-006</v>
      </c>
      <c r="G4874" s="3" t="n">
        <f aca="false">SUM($F$2:F4874)</f>
        <v>0.999377</v>
      </c>
      <c r="H4874" s="4"/>
      <c r="I4874" s="5"/>
      <c r="J4874" s="4"/>
      <c r="K4874" s="5"/>
      <c r="L4874" s="6"/>
      <c r="M4874" s="5" t="str">
        <f aca="false">IF(AND(N(K4874)&gt;0,N(L4874)&gt;0),K4874/L4874,"")</f>
        <v/>
      </c>
      <c r="N4874" s="2" t="s">
        <v>1226</v>
      </c>
    </row>
    <row r="4875" customFormat="false" ht="15" hidden="false" customHeight="false" outlineLevel="0" collapsed="false">
      <c r="A4875" s="2" t="n">
        <v>4874</v>
      </c>
      <c r="B4875" s="2" t="s">
        <v>9916</v>
      </c>
      <c r="C4875" s="2" t="s">
        <v>9917</v>
      </c>
      <c r="D4875" s="2"/>
      <c r="E4875" s="2" t="s">
        <v>289</v>
      </c>
      <c r="F4875" s="3" t="n">
        <v>3E-006</v>
      </c>
      <c r="G4875" s="3" t="n">
        <f aca="false">SUM($F$2:F4875)</f>
        <v>0.99938</v>
      </c>
      <c r="H4875" s="4"/>
      <c r="I4875" s="5"/>
      <c r="J4875" s="4"/>
      <c r="K4875" s="5"/>
      <c r="L4875" s="6"/>
      <c r="M4875" s="5" t="str">
        <f aca="false">IF(AND(N(K4875)&gt;0,N(L4875)&gt;0),K4875/L4875,"")</f>
        <v/>
      </c>
      <c r="N4875" s="2" t="s">
        <v>1226</v>
      </c>
    </row>
    <row r="4876" customFormat="false" ht="15" hidden="false" customHeight="false" outlineLevel="0" collapsed="false">
      <c r="A4876" s="2" t="n">
        <v>4875</v>
      </c>
      <c r="B4876" s="2" t="s">
        <v>9918</v>
      </c>
      <c r="C4876" s="2" t="s">
        <v>9919</v>
      </c>
      <c r="D4876" s="2"/>
      <c r="E4876" s="2" t="s">
        <v>1345</v>
      </c>
      <c r="F4876" s="3" t="n">
        <v>3E-006</v>
      </c>
      <c r="G4876" s="3" t="n">
        <f aca="false">SUM($F$2:F4876)</f>
        <v>0.999383</v>
      </c>
      <c r="H4876" s="4"/>
      <c r="I4876" s="5"/>
      <c r="J4876" s="4"/>
      <c r="K4876" s="5"/>
      <c r="L4876" s="6"/>
      <c r="M4876" s="5" t="str">
        <f aca="false">IF(AND(N(K4876)&gt;0,N(L4876)&gt;0),K4876/L4876,"")</f>
        <v/>
      </c>
      <c r="N4876" s="2" t="s">
        <v>1226</v>
      </c>
    </row>
    <row r="4877" customFormat="false" ht="15" hidden="false" customHeight="false" outlineLevel="0" collapsed="false">
      <c r="A4877" s="2" t="n">
        <v>4876</v>
      </c>
      <c r="B4877" s="2" t="s">
        <v>9920</v>
      </c>
      <c r="C4877" s="2" t="s">
        <v>9921</v>
      </c>
      <c r="D4877" s="2"/>
      <c r="E4877" s="2" t="s">
        <v>52</v>
      </c>
      <c r="F4877" s="3" t="n">
        <v>3E-006</v>
      </c>
      <c r="G4877" s="3" t="n">
        <f aca="false">SUM($F$2:F4877)</f>
        <v>0.999386</v>
      </c>
      <c r="H4877" s="4"/>
      <c r="I4877" s="5"/>
      <c r="J4877" s="4"/>
      <c r="K4877" s="5"/>
      <c r="L4877" s="6"/>
      <c r="M4877" s="5" t="str">
        <f aca="false">IF(AND(N(K4877)&gt;0,N(L4877)&gt;0),K4877/L4877,"")</f>
        <v/>
      </c>
      <c r="N4877" s="2" t="s">
        <v>1226</v>
      </c>
    </row>
    <row r="4878" customFormat="false" ht="15" hidden="false" customHeight="false" outlineLevel="0" collapsed="false">
      <c r="A4878" s="2" t="n">
        <v>4877</v>
      </c>
      <c r="B4878" s="2" t="s">
        <v>9922</v>
      </c>
      <c r="C4878" s="2" t="s">
        <v>9923</v>
      </c>
      <c r="D4878" s="2"/>
      <c r="E4878" s="2" t="s">
        <v>17</v>
      </c>
      <c r="F4878" s="3" t="n">
        <v>3E-006</v>
      </c>
      <c r="G4878" s="3" t="n">
        <f aca="false">SUM($F$2:F4878)</f>
        <v>0.999389</v>
      </c>
      <c r="H4878" s="4"/>
      <c r="I4878" s="5"/>
      <c r="J4878" s="4"/>
      <c r="K4878" s="5"/>
      <c r="L4878" s="6"/>
      <c r="M4878" s="5" t="str">
        <f aca="false">IF(AND(N(K4878)&gt;0,N(L4878)&gt;0),K4878/L4878,"")</f>
        <v/>
      </c>
      <c r="N4878" s="2" t="s">
        <v>1226</v>
      </c>
    </row>
    <row r="4879" customFormat="false" ht="15" hidden="false" customHeight="false" outlineLevel="0" collapsed="false">
      <c r="A4879" s="2" t="n">
        <v>4878</v>
      </c>
      <c r="B4879" s="2" t="s">
        <v>9924</v>
      </c>
      <c r="C4879" s="2" t="s">
        <v>9925</v>
      </c>
      <c r="D4879" s="2"/>
      <c r="E4879" s="2" t="s">
        <v>2763</v>
      </c>
      <c r="F4879" s="3" t="n">
        <v>3E-006</v>
      </c>
      <c r="G4879" s="3" t="n">
        <f aca="false">SUM($F$2:F4879)</f>
        <v>0.999392</v>
      </c>
      <c r="H4879" s="4"/>
      <c r="I4879" s="5"/>
      <c r="J4879" s="4"/>
      <c r="K4879" s="5"/>
      <c r="L4879" s="6"/>
      <c r="M4879" s="5" t="str">
        <f aca="false">IF(AND(N(K4879)&gt;0,N(L4879)&gt;0),K4879/L4879,"")</f>
        <v/>
      </c>
      <c r="N4879" s="2" t="s">
        <v>1226</v>
      </c>
    </row>
    <row r="4880" customFormat="false" ht="15" hidden="false" customHeight="false" outlineLevel="0" collapsed="false">
      <c r="A4880" s="2" t="n">
        <v>4879</v>
      </c>
      <c r="B4880" s="2" t="s">
        <v>9926</v>
      </c>
      <c r="C4880" s="2" t="s">
        <v>9927</v>
      </c>
      <c r="D4880" s="2"/>
      <c r="E4880" s="2" t="s">
        <v>17</v>
      </c>
      <c r="F4880" s="3" t="n">
        <v>3E-006</v>
      </c>
      <c r="G4880" s="3" t="n">
        <f aca="false">SUM($F$2:F4880)</f>
        <v>0.999395</v>
      </c>
      <c r="H4880" s="4"/>
      <c r="I4880" s="5"/>
      <c r="J4880" s="4"/>
      <c r="K4880" s="5"/>
      <c r="L4880" s="6"/>
      <c r="M4880" s="5" t="str">
        <f aca="false">IF(AND(N(K4880)&gt;0,N(L4880)&gt;0),K4880/L4880,"")</f>
        <v/>
      </c>
      <c r="N4880" s="2" t="s">
        <v>1226</v>
      </c>
    </row>
    <row r="4881" customFormat="false" ht="15" hidden="false" customHeight="false" outlineLevel="0" collapsed="false">
      <c r="A4881" s="2" t="n">
        <v>4880</v>
      </c>
      <c r="B4881" s="2" t="s">
        <v>9928</v>
      </c>
      <c r="C4881" s="2" t="s">
        <v>9929</v>
      </c>
      <c r="D4881" s="2"/>
      <c r="E4881" s="2" t="s">
        <v>1345</v>
      </c>
      <c r="F4881" s="3" t="n">
        <v>3E-006</v>
      </c>
      <c r="G4881" s="3" t="n">
        <f aca="false">SUM($F$2:F4881)</f>
        <v>0.999398</v>
      </c>
      <c r="H4881" s="4"/>
      <c r="I4881" s="5"/>
      <c r="J4881" s="4"/>
      <c r="K4881" s="5"/>
      <c r="L4881" s="6"/>
      <c r="M4881" s="5" t="str">
        <f aca="false">IF(AND(N(K4881)&gt;0,N(L4881)&gt;0),K4881/L4881,"")</f>
        <v/>
      </c>
      <c r="N4881" s="2" t="s">
        <v>1226</v>
      </c>
    </row>
    <row r="4882" customFormat="false" ht="15" hidden="false" customHeight="false" outlineLevel="0" collapsed="false">
      <c r="A4882" s="2" t="n">
        <v>4881</v>
      </c>
      <c r="B4882" s="2" t="s">
        <v>9930</v>
      </c>
      <c r="C4882" s="2" t="s">
        <v>9931</v>
      </c>
      <c r="D4882" s="2"/>
      <c r="E4882" s="2" t="s">
        <v>17</v>
      </c>
      <c r="F4882" s="3" t="n">
        <v>3E-006</v>
      </c>
      <c r="G4882" s="3" t="n">
        <f aca="false">SUM($F$2:F4882)</f>
        <v>0.999401</v>
      </c>
      <c r="H4882" s="4"/>
      <c r="I4882" s="5"/>
      <c r="J4882" s="4"/>
      <c r="K4882" s="5"/>
      <c r="L4882" s="6"/>
      <c r="M4882" s="5" t="str">
        <f aca="false">IF(AND(N(K4882)&gt;0,N(L4882)&gt;0),K4882/L4882,"")</f>
        <v/>
      </c>
      <c r="N4882" s="2" t="s">
        <v>1226</v>
      </c>
    </row>
    <row r="4883" customFormat="false" ht="15" hidden="false" customHeight="false" outlineLevel="0" collapsed="false">
      <c r="A4883" s="2" t="n">
        <v>4882</v>
      </c>
      <c r="B4883" s="2" t="s">
        <v>9932</v>
      </c>
      <c r="C4883" s="2" t="s">
        <v>9933</v>
      </c>
      <c r="D4883" s="2"/>
      <c r="E4883" s="2" t="s">
        <v>1345</v>
      </c>
      <c r="F4883" s="3" t="n">
        <v>3E-006</v>
      </c>
      <c r="G4883" s="3" t="n">
        <f aca="false">SUM($F$2:F4883)</f>
        <v>0.999404</v>
      </c>
      <c r="H4883" s="4"/>
      <c r="I4883" s="5"/>
      <c r="J4883" s="4"/>
      <c r="K4883" s="5"/>
      <c r="L4883" s="6"/>
      <c r="M4883" s="5" t="str">
        <f aca="false">IF(AND(N(K4883)&gt;0,N(L4883)&gt;0),K4883/L4883,"")</f>
        <v/>
      </c>
      <c r="N4883" s="2" t="s">
        <v>1226</v>
      </c>
    </row>
    <row r="4884" customFormat="false" ht="15" hidden="false" customHeight="false" outlineLevel="0" collapsed="false">
      <c r="A4884" s="2" t="n">
        <v>4883</v>
      </c>
      <c r="B4884" s="2" t="s">
        <v>9934</v>
      </c>
      <c r="C4884" s="2" t="s">
        <v>9935</v>
      </c>
      <c r="D4884" s="2"/>
      <c r="E4884" s="2" t="s">
        <v>199</v>
      </c>
      <c r="F4884" s="3" t="n">
        <v>3E-006</v>
      </c>
      <c r="G4884" s="3" t="n">
        <f aca="false">SUM($F$2:F4884)</f>
        <v>0.999407</v>
      </c>
      <c r="H4884" s="4"/>
      <c r="I4884" s="5"/>
      <c r="J4884" s="4"/>
      <c r="K4884" s="5"/>
      <c r="L4884" s="6"/>
      <c r="M4884" s="5" t="str">
        <f aca="false">IF(AND(N(K4884)&gt;0,N(L4884)&gt;0),K4884/L4884,"")</f>
        <v/>
      </c>
      <c r="N4884" s="2" t="s">
        <v>1226</v>
      </c>
    </row>
    <row r="4885" customFormat="false" ht="15" hidden="false" customHeight="false" outlineLevel="0" collapsed="false">
      <c r="A4885" s="2" t="n">
        <v>4884</v>
      </c>
      <c r="B4885" s="2" t="s">
        <v>9936</v>
      </c>
      <c r="C4885" s="2" t="s">
        <v>9937</v>
      </c>
      <c r="D4885" s="2"/>
      <c r="E4885" s="2" t="s">
        <v>1345</v>
      </c>
      <c r="F4885" s="3" t="n">
        <v>3E-006</v>
      </c>
      <c r="G4885" s="3" t="n">
        <f aca="false">SUM($F$2:F4885)</f>
        <v>0.99941</v>
      </c>
      <c r="H4885" s="4"/>
      <c r="I4885" s="5"/>
      <c r="J4885" s="4"/>
      <c r="K4885" s="5"/>
      <c r="L4885" s="6"/>
      <c r="M4885" s="5" t="str">
        <f aca="false">IF(AND(N(K4885)&gt;0,N(L4885)&gt;0),K4885/L4885,"")</f>
        <v/>
      </c>
      <c r="N4885" s="2" t="s">
        <v>1226</v>
      </c>
    </row>
    <row r="4886" customFormat="false" ht="15" hidden="false" customHeight="false" outlineLevel="0" collapsed="false">
      <c r="A4886" s="2" t="n">
        <v>4885</v>
      </c>
      <c r="B4886" s="2" t="s">
        <v>9938</v>
      </c>
      <c r="C4886" s="2" t="s">
        <v>9939</v>
      </c>
      <c r="D4886" s="2"/>
      <c r="E4886" s="2" t="s">
        <v>296</v>
      </c>
      <c r="F4886" s="3" t="n">
        <v>3E-006</v>
      </c>
      <c r="G4886" s="3" t="n">
        <f aca="false">SUM($F$2:F4886)</f>
        <v>0.999413</v>
      </c>
      <c r="H4886" s="4"/>
      <c r="I4886" s="5"/>
      <c r="J4886" s="4"/>
      <c r="K4886" s="5"/>
      <c r="L4886" s="6"/>
      <c r="M4886" s="5" t="str">
        <f aca="false">IF(AND(N(K4886)&gt;0,N(L4886)&gt;0),K4886/L4886,"")</f>
        <v/>
      </c>
      <c r="N4886" s="2" t="s">
        <v>34</v>
      </c>
    </row>
    <row r="4887" customFormat="false" ht="15" hidden="false" customHeight="false" outlineLevel="0" collapsed="false">
      <c r="A4887" s="2" t="n">
        <v>4886</v>
      </c>
      <c r="B4887" s="2" t="s">
        <v>9940</v>
      </c>
      <c r="C4887" s="2" t="s">
        <v>9941</v>
      </c>
      <c r="D4887" s="2"/>
      <c r="E4887" s="2" t="s">
        <v>1345</v>
      </c>
      <c r="F4887" s="3" t="n">
        <v>3E-006</v>
      </c>
      <c r="G4887" s="3" t="n">
        <f aca="false">SUM($F$2:F4887)</f>
        <v>0.999416</v>
      </c>
      <c r="H4887" s="4"/>
      <c r="I4887" s="5"/>
      <c r="J4887" s="4"/>
      <c r="K4887" s="5"/>
      <c r="L4887" s="6"/>
      <c r="M4887" s="5" t="str">
        <f aca="false">IF(AND(N(K4887)&gt;0,N(L4887)&gt;0),K4887/L4887,"")</f>
        <v/>
      </c>
      <c r="N4887" s="2" t="s">
        <v>1226</v>
      </c>
    </row>
    <row r="4888" customFormat="false" ht="15" hidden="false" customHeight="false" outlineLevel="0" collapsed="false">
      <c r="A4888" s="2" t="n">
        <v>4887</v>
      </c>
      <c r="B4888" s="2" t="s">
        <v>9942</v>
      </c>
      <c r="C4888" s="2" t="s">
        <v>9943</v>
      </c>
      <c r="D4888" s="2"/>
      <c r="E4888" s="2" t="s">
        <v>1345</v>
      </c>
      <c r="F4888" s="3" t="n">
        <v>3E-006</v>
      </c>
      <c r="G4888" s="3" t="n">
        <f aca="false">SUM($F$2:F4888)</f>
        <v>0.999419</v>
      </c>
      <c r="H4888" s="4"/>
      <c r="I4888" s="5"/>
      <c r="J4888" s="4"/>
      <c r="K4888" s="5"/>
      <c r="L4888" s="6"/>
      <c r="M4888" s="5" t="str">
        <f aca="false">IF(AND(N(K4888)&gt;0,N(L4888)&gt;0),K4888/L4888,"")</f>
        <v/>
      </c>
      <c r="N4888" s="2" t="s">
        <v>1226</v>
      </c>
    </row>
    <row r="4889" customFormat="false" ht="15" hidden="false" customHeight="false" outlineLevel="0" collapsed="false">
      <c r="A4889" s="2" t="n">
        <v>4888</v>
      </c>
      <c r="B4889" s="2" t="s">
        <v>9944</v>
      </c>
      <c r="C4889" s="2" t="s">
        <v>9945</v>
      </c>
      <c r="D4889" s="2"/>
      <c r="E4889" s="2" t="s">
        <v>1345</v>
      </c>
      <c r="F4889" s="3" t="n">
        <v>3E-006</v>
      </c>
      <c r="G4889" s="3" t="n">
        <f aca="false">SUM($F$2:F4889)</f>
        <v>0.999422</v>
      </c>
      <c r="H4889" s="4"/>
      <c r="I4889" s="5"/>
      <c r="J4889" s="4"/>
      <c r="K4889" s="5"/>
      <c r="L4889" s="6"/>
      <c r="M4889" s="5" t="str">
        <f aca="false">IF(AND(N(K4889)&gt;0,N(L4889)&gt;0),K4889/L4889,"")</f>
        <v/>
      </c>
      <c r="N4889" s="2" t="s">
        <v>1226</v>
      </c>
    </row>
    <row r="4890" customFormat="false" ht="15" hidden="false" customHeight="false" outlineLevel="0" collapsed="false">
      <c r="A4890" s="2" t="n">
        <v>4889</v>
      </c>
      <c r="B4890" s="2" t="s">
        <v>9946</v>
      </c>
      <c r="C4890" s="2" t="s">
        <v>9947</v>
      </c>
      <c r="D4890" s="2"/>
      <c r="E4890" s="2" t="s">
        <v>1345</v>
      </c>
      <c r="F4890" s="3" t="n">
        <v>3E-006</v>
      </c>
      <c r="G4890" s="3" t="n">
        <f aca="false">SUM($F$2:F4890)</f>
        <v>0.999425</v>
      </c>
      <c r="H4890" s="4"/>
      <c r="I4890" s="5"/>
      <c r="J4890" s="4"/>
      <c r="K4890" s="5"/>
      <c r="L4890" s="6"/>
      <c r="M4890" s="5" t="str">
        <f aca="false">IF(AND(N(K4890)&gt;0,N(L4890)&gt;0),K4890/L4890,"")</f>
        <v/>
      </c>
      <c r="N4890" s="2" t="s">
        <v>1226</v>
      </c>
    </row>
    <row r="4891" customFormat="false" ht="15" hidden="false" customHeight="false" outlineLevel="0" collapsed="false">
      <c r="A4891" s="2" t="n">
        <v>4890</v>
      </c>
      <c r="B4891" s="2" t="s">
        <v>9948</v>
      </c>
      <c r="C4891" s="2" t="s">
        <v>9949</v>
      </c>
      <c r="D4891" s="2"/>
      <c r="E4891" s="2" t="s">
        <v>17</v>
      </c>
      <c r="F4891" s="3" t="n">
        <v>3E-006</v>
      </c>
      <c r="G4891" s="3" t="n">
        <f aca="false">SUM($F$2:F4891)</f>
        <v>0.999428</v>
      </c>
      <c r="H4891" s="4"/>
      <c r="I4891" s="5"/>
      <c r="J4891" s="4"/>
      <c r="K4891" s="5"/>
      <c r="L4891" s="6"/>
      <c r="M4891" s="5" t="str">
        <f aca="false">IF(AND(N(K4891)&gt;0,N(L4891)&gt;0),K4891/L4891,"")</f>
        <v/>
      </c>
      <c r="N4891" s="2" t="s">
        <v>1226</v>
      </c>
    </row>
    <row r="4892" customFormat="false" ht="15" hidden="false" customHeight="false" outlineLevel="0" collapsed="false">
      <c r="A4892" s="2" t="n">
        <v>4891</v>
      </c>
      <c r="B4892" s="2" t="s">
        <v>9950</v>
      </c>
      <c r="C4892" s="2" t="s">
        <v>9951</v>
      </c>
      <c r="D4892" s="2"/>
      <c r="E4892" s="2" t="s">
        <v>1345</v>
      </c>
      <c r="F4892" s="3" t="n">
        <v>3E-006</v>
      </c>
      <c r="G4892" s="3" t="n">
        <f aca="false">SUM($F$2:F4892)</f>
        <v>0.999431</v>
      </c>
      <c r="H4892" s="4"/>
      <c r="I4892" s="5"/>
      <c r="J4892" s="4"/>
      <c r="K4892" s="5"/>
      <c r="L4892" s="6"/>
      <c r="M4892" s="5" t="str">
        <f aca="false">IF(AND(N(K4892)&gt;0,N(L4892)&gt;0),K4892/L4892,"")</f>
        <v/>
      </c>
      <c r="N4892" s="2" t="s">
        <v>1226</v>
      </c>
    </row>
    <row r="4893" customFormat="false" ht="15" hidden="false" customHeight="false" outlineLevel="0" collapsed="false">
      <c r="A4893" s="2" t="n">
        <v>4892</v>
      </c>
      <c r="B4893" s="2" t="s">
        <v>9952</v>
      </c>
      <c r="C4893" s="2" t="s">
        <v>9953</v>
      </c>
      <c r="D4893" s="2"/>
      <c r="E4893" s="2" t="s">
        <v>17</v>
      </c>
      <c r="F4893" s="3" t="n">
        <v>3E-006</v>
      </c>
      <c r="G4893" s="3" t="n">
        <f aca="false">SUM($F$2:F4893)</f>
        <v>0.999434</v>
      </c>
      <c r="H4893" s="4"/>
      <c r="I4893" s="5"/>
      <c r="J4893" s="4"/>
      <c r="K4893" s="5"/>
      <c r="L4893" s="6"/>
      <c r="M4893" s="5" t="str">
        <f aca="false">IF(AND(N(K4893)&gt;0,N(L4893)&gt;0),K4893/L4893,"")</f>
        <v/>
      </c>
      <c r="N4893" s="2" t="s">
        <v>1226</v>
      </c>
    </row>
    <row r="4894" customFormat="false" ht="15" hidden="false" customHeight="false" outlineLevel="0" collapsed="false">
      <c r="A4894" s="2" t="n">
        <v>4893</v>
      </c>
      <c r="B4894" s="2" t="s">
        <v>9954</v>
      </c>
      <c r="C4894" s="2" t="s">
        <v>9955</v>
      </c>
      <c r="D4894" s="2"/>
      <c r="E4894" s="2" t="s">
        <v>1345</v>
      </c>
      <c r="F4894" s="3" t="n">
        <v>3E-006</v>
      </c>
      <c r="G4894" s="3" t="n">
        <f aca="false">SUM($F$2:F4894)</f>
        <v>0.999437</v>
      </c>
      <c r="H4894" s="4"/>
      <c r="I4894" s="5"/>
      <c r="J4894" s="4"/>
      <c r="K4894" s="5"/>
      <c r="L4894" s="6"/>
      <c r="M4894" s="5" t="str">
        <f aca="false">IF(AND(N(K4894)&gt;0,N(L4894)&gt;0),K4894/L4894,"")</f>
        <v/>
      </c>
      <c r="N4894" s="2" t="s">
        <v>1226</v>
      </c>
    </row>
    <row r="4895" customFormat="false" ht="15" hidden="false" customHeight="false" outlineLevel="0" collapsed="false">
      <c r="A4895" s="2" t="n">
        <v>4894</v>
      </c>
      <c r="B4895" s="2" t="s">
        <v>9956</v>
      </c>
      <c r="C4895" s="2" t="s">
        <v>9957</v>
      </c>
      <c r="D4895" s="2"/>
      <c r="E4895" s="2" t="s">
        <v>826</v>
      </c>
      <c r="F4895" s="3" t="n">
        <v>3E-006</v>
      </c>
      <c r="G4895" s="3" t="n">
        <f aca="false">SUM($F$2:F4895)</f>
        <v>0.99944</v>
      </c>
      <c r="H4895" s="4"/>
      <c r="I4895" s="5"/>
      <c r="J4895" s="4"/>
      <c r="K4895" s="5"/>
      <c r="L4895" s="6"/>
      <c r="M4895" s="5" t="str">
        <f aca="false">IF(AND(N(K4895)&gt;0,N(L4895)&gt;0),K4895/L4895,"")</f>
        <v/>
      </c>
      <c r="N4895" s="2" t="s">
        <v>1226</v>
      </c>
    </row>
    <row r="4896" customFormat="false" ht="15" hidden="false" customHeight="false" outlineLevel="0" collapsed="false">
      <c r="A4896" s="2" t="n">
        <v>4895</v>
      </c>
      <c r="B4896" s="2" t="s">
        <v>9958</v>
      </c>
      <c r="C4896" s="2" t="s">
        <v>9959</v>
      </c>
      <c r="D4896" s="2"/>
      <c r="E4896" s="2" t="s">
        <v>1345</v>
      </c>
      <c r="F4896" s="3" t="n">
        <v>3E-006</v>
      </c>
      <c r="G4896" s="3" t="n">
        <f aca="false">SUM($F$2:F4896)</f>
        <v>0.999443</v>
      </c>
      <c r="H4896" s="4"/>
      <c r="I4896" s="5"/>
      <c r="J4896" s="4"/>
      <c r="K4896" s="5"/>
      <c r="L4896" s="6"/>
      <c r="M4896" s="5" t="str">
        <f aca="false">IF(AND(N(K4896)&gt;0,N(L4896)&gt;0),K4896/L4896,"")</f>
        <v/>
      </c>
      <c r="N4896" s="2" t="s">
        <v>1226</v>
      </c>
    </row>
    <row r="4897" customFormat="false" ht="15" hidden="false" customHeight="false" outlineLevel="0" collapsed="false">
      <c r="A4897" s="2" t="n">
        <v>4896</v>
      </c>
      <c r="B4897" s="2" t="s">
        <v>9960</v>
      </c>
      <c r="C4897" s="2" t="s">
        <v>9961</v>
      </c>
      <c r="D4897" s="2"/>
      <c r="E4897" s="2" t="s">
        <v>43</v>
      </c>
      <c r="F4897" s="3" t="n">
        <v>3E-006</v>
      </c>
      <c r="G4897" s="3" t="n">
        <f aca="false">SUM($F$2:F4897)</f>
        <v>0.999446</v>
      </c>
      <c r="H4897" s="4"/>
      <c r="I4897" s="5"/>
      <c r="J4897" s="4"/>
      <c r="K4897" s="5"/>
      <c r="L4897" s="6"/>
      <c r="M4897" s="5" t="str">
        <f aca="false">IF(AND(N(K4897)&gt;0,N(L4897)&gt;0),K4897/L4897,"")</f>
        <v/>
      </c>
      <c r="N4897" s="2" t="s">
        <v>1226</v>
      </c>
    </row>
    <row r="4898" customFormat="false" ht="15" hidden="false" customHeight="false" outlineLevel="0" collapsed="false">
      <c r="A4898" s="2" t="n">
        <v>4897</v>
      </c>
      <c r="B4898" s="2" t="s">
        <v>9962</v>
      </c>
      <c r="C4898" s="2" t="s">
        <v>9963</v>
      </c>
      <c r="D4898" s="2"/>
      <c r="E4898" s="2" t="s">
        <v>1345</v>
      </c>
      <c r="F4898" s="3" t="n">
        <v>3E-006</v>
      </c>
      <c r="G4898" s="3" t="n">
        <f aca="false">SUM($F$2:F4898)</f>
        <v>0.999449</v>
      </c>
      <c r="H4898" s="4"/>
      <c r="I4898" s="5"/>
      <c r="J4898" s="4"/>
      <c r="K4898" s="5"/>
      <c r="L4898" s="6"/>
      <c r="M4898" s="5" t="str">
        <f aca="false">IF(AND(N(K4898)&gt;0,N(L4898)&gt;0),K4898/L4898,"")</f>
        <v/>
      </c>
      <c r="N4898" s="2" t="s">
        <v>1226</v>
      </c>
    </row>
    <row r="4899" customFormat="false" ht="15" hidden="false" customHeight="false" outlineLevel="0" collapsed="false">
      <c r="A4899" s="2" t="n">
        <v>4898</v>
      </c>
      <c r="B4899" s="2" t="s">
        <v>9964</v>
      </c>
      <c r="C4899" s="2" t="s">
        <v>9965</v>
      </c>
      <c r="D4899" s="2"/>
      <c r="E4899" s="2" t="s">
        <v>1345</v>
      </c>
      <c r="F4899" s="3" t="n">
        <v>3E-006</v>
      </c>
      <c r="G4899" s="3" t="n">
        <f aca="false">SUM($F$2:F4899)</f>
        <v>0.999452</v>
      </c>
      <c r="H4899" s="4"/>
      <c r="I4899" s="5"/>
      <c r="J4899" s="4"/>
      <c r="K4899" s="5"/>
      <c r="L4899" s="6"/>
      <c r="M4899" s="5" t="str">
        <f aca="false">IF(AND(N(K4899)&gt;0,N(L4899)&gt;0),K4899/L4899,"")</f>
        <v/>
      </c>
      <c r="N4899" s="2" t="s">
        <v>1226</v>
      </c>
    </row>
    <row r="4900" customFormat="false" ht="15" hidden="false" customHeight="false" outlineLevel="0" collapsed="false">
      <c r="A4900" s="2" t="n">
        <v>4899</v>
      </c>
      <c r="B4900" s="2" t="s">
        <v>9966</v>
      </c>
      <c r="C4900" s="2" t="s">
        <v>9967</v>
      </c>
      <c r="D4900" s="2"/>
      <c r="E4900" s="2" t="s">
        <v>17</v>
      </c>
      <c r="F4900" s="3" t="n">
        <v>3E-006</v>
      </c>
      <c r="G4900" s="3" t="n">
        <f aca="false">SUM($F$2:F4900)</f>
        <v>0.999455</v>
      </c>
      <c r="H4900" s="4"/>
      <c r="I4900" s="5"/>
      <c r="J4900" s="4"/>
      <c r="K4900" s="5"/>
      <c r="L4900" s="6"/>
      <c r="M4900" s="5" t="str">
        <f aca="false">IF(AND(N(K4900)&gt;0,N(L4900)&gt;0),K4900/L4900,"")</f>
        <v/>
      </c>
      <c r="N4900" s="2" t="s">
        <v>1226</v>
      </c>
    </row>
    <row r="4901" customFormat="false" ht="15" hidden="false" customHeight="false" outlineLevel="0" collapsed="false">
      <c r="A4901" s="2" t="n">
        <v>4900</v>
      </c>
      <c r="B4901" s="2" t="s">
        <v>9968</v>
      </c>
      <c r="C4901" s="2" t="s">
        <v>9969</v>
      </c>
      <c r="D4901" s="2"/>
      <c r="E4901" s="2" t="s">
        <v>1215</v>
      </c>
      <c r="F4901" s="3" t="n">
        <v>3E-006</v>
      </c>
      <c r="G4901" s="3" t="n">
        <f aca="false">SUM($F$2:F4901)</f>
        <v>0.999458</v>
      </c>
      <c r="H4901" s="4"/>
      <c r="I4901" s="5"/>
      <c r="J4901" s="4"/>
      <c r="K4901" s="5"/>
      <c r="L4901" s="6"/>
      <c r="M4901" s="5" t="str">
        <f aca="false">IF(AND(N(K4901)&gt;0,N(L4901)&gt;0),K4901/L4901,"")</f>
        <v/>
      </c>
      <c r="N4901" s="2" t="s">
        <v>1226</v>
      </c>
    </row>
    <row r="4902" customFormat="false" ht="15" hidden="false" customHeight="false" outlineLevel="0" collapsed="false">
      <c r="A4902" s="2" t="n">
        <v>4901</v>
      </c>
      <c r="B4902" s="2" t="s">
        <v>9970</v>
      </c>
      <c r="C4902" s="2" t="s">
        <v>9971</v>
      </c>
      <c r="D4902" s="2"/>
      <c r="E4902" s="2" t="s">
        <v>1345</v>
      </c>
      <c r="F4902" s="3" t="n">
        <v>3E-006</v>
      </c>
      <c r="G4902" s="3" t="n">
        <f aca="false">SUM($F$2:F4902)</f>
        <v>0.999461</v>
      </c>
      <c r="H4902" s="4"/>
      <c r="I4902" s="5"/>
      <c r="J4902" s="4"/>
      <c r="K4902" s="5"/>
      <c r="L4902" s="6"/>
      <c r="M4902" s="5" t="str">
        <f aca="false">IF(AND(N(K4902)&gt;0,N(L4902)&gt;0),K4902/L4902,"")</f>
        <v/>
      </c>
      <c r="N4902" s="2" t="s">
        <v>1226</v>
      </c>
    </row>
    <row r="4903" customFormat="false" ht="15" hidden="false" customHeight="false" outlineLevel="0" collapsed="false">
      <c r="A4903" s="2" t="n">
        <v>4902</v>
      </c>
      <c r="B4903" s="2" t="s">
        <v>9972</v>
      </c>
      <c r="C4903" s="2" t="s">
        <v>9973</v>
      </c>
      <c r="D4903" s="2"/>
      <c r="E4903" s="2" t="s">
        <v>296</v>
      </c>
      <c r="F4903" s="3" t="n">
        <v>3E-006</v>
      </c>
      <c r="G4903" s="3" t="n">
        <f aca="false">SUM($F$2:F4903)</f>
        <v>0.999464</v>
      </c>
      <c r="H4903" s="4"/>
      <c r="I4903" s="5"/>
      <c r="J4903" s="4"/>
      <c r="K4903" s="5"/>
      <c r="L4903" s="6"/>
      <c r="M4903" s="5" t="str">
        <f aca="false">IF(AND(N(K4903)&gt;0,N(L4903)&gt;0),K4903/L4903,"")</f>
        <v/>
      </c>
      <c r="N4903" s="2" t="s">
        <v>1226</v>
      </c>
    </row>
    <row r="4904" customFormat="false" ht="15" hidden="false" customHeight="false" outlineLevel="0" collapsed="false">
      <c r="A4904" s="2" t="n">
        <v>4903</v>
      </c>
      <c r="B4904" s="2" t="s">
        <v>9974</v>
      </c>
      <c r="C4904" s="2" t="s">
        <v>9975</v>
      </c>
      <c r="D4904" s="2"/>
      <c r="E4904" s="2" t="s">
        <v>1345</v>
      </c>
      <c r="F4904" s="3" t="n">
        <v>3E-006</v>
      </c>
      <c r="G4904" s="3" t="n">
        <f aca="false">SUM($F$2:F4904)</f>
        <v>0.999467</v>
      </c>
      <c r="H4904" s="4"/>
      <c r="I4904" s="5"/>
      <c r="J4904" s="4"/>
      <c r="K4904" s="5"/>
      <c r="L4904" s="6"/>
      <c r="M4904" s="5" t="str">
        <f aca="false">IF(AND(N(K4904)&gt;0,N(L4904)&gt;0),K4904/L4904,"")</f>
        <v/>
      </c>
      <c r="N4904" s="2" t="s">
        <v>1226</v>
      </c>
    </row>
    <row r="4905" customFormat="false" ht="15" hidden="false" customHeight="false" outlineLevel="0" collapsed="false">
      <c r="A4905" s="2" t="n">
        <v>4904</v>
      </c>
      <c r="B4905" s="2" t="s">
        <v>9976</v>
      </c>
      <c r="C4905" s="2" t="s">
        <v>9977</v>
      </c>
      <c r="D4905" s="2"/>
      <c r="E4905" s="2" t="s">
        <v>17</v>
      </c>
      <c r="F4905" s="3" t="n">
        <v>3E-006</v>
      </c>
      <c r="G4905" s="3" t="n">
        <f aca="false">SUM($F$2:F4905)</f>
        <v>0.99947</v>
      </c>
      <c r="H4905" s="4"/>
      <c r="I4905" s="5"/>
      <c r="J4905" s="4"/>
      <c r="K4905" s="5"/>
      <c r="L4905" s="6"/>
      <c r="M4905" s="5" t="str">
        <f aca="false">IF(AND(N(K4905)&gt;0,N(L4905)&gt;0),K4905/L4905,"")</f>
        <v/>
      </c>
      <c r="N4905" s="2" t="s">
        <v>1226</v>
      </c>
    </row>
    <row r="4906" customFormat="false" ht="15" hidden="false" customHeight="false" outlineLevel="0" collapsed="false">
      <c r="A4906" s="2" t="n">
        <v>4905</v>
      </c>
      <c r="B4906" s="2" t="s">
        <v>9978</v>
      </c>
      <c r="C4906" s="2" t="s">
        <v>9979</v>
      </c>
      <c r="D4906" s="2"/>
      <c r="E4906" s="2" t="s">
        <v>1345</v>
      </c>
      <c r="F4906" s="3" t="n">
        <v>3E-006</v>
      </c>
      <c r="G4906" s="3" t="n">
        <f aca="false">SUM($F$2:F4906)</f>
        <v>0.999473</v>
      </c>
      <c r="H4906" s="4"/>
      <c r="I4906" s="5"/>
      <c r="J4906" s="4"/>
      <c r="K4906" s="5"/>
      <c r="L4906" s="6"/>
      <c r="M4906" s="5" t="str">
        <f aca="false">IF(AND(N(K4906)&gt;0,N(L4906)&gt;0),K4906/L4906,"")</f>
        <v/>
      </c>
      <c r="N4906" s="2" t="s">
        <v>1226</v>
      </c>
    </row>
    <row r="4907" customFormat="false" ht="15" hidden="false" customHeight="false" outlineLevel="0" collapsed="false">
      <c r="A4907" s="2" t="n">
        <v>4906</v>
      </c>
      <c r="B4907" s="2" t="s">
        <v>9980</v>
      </c>
      <c r="C4907" s="2" t="s">
        <v>9981</v>
      </c>
      <c r="D4907" s="2"/>
      <c r="E4907" s="2" t="s">
        <v>700</v>
      </c>
      <c r="F4907" s="3" t="n">
        <v>3E-006</v>
      </c>
      <c r="G4907" s="3" t="n">
        <f aca="false">SUM($F$2:F4907)</f>
        <v>0.999476</v>
      </c>
      <c r="H4907" s="4"/>
      <c r="I4907" s="5"/>
      <c r="J4907" s="4"/>
      <c r="K4907" s="5"/>
      <c r="L4907" s="6"/>
      <c r="M4907" s="5" t="str">
        <f aca="false">IF(AND(N(K4907)&gt;0,N(L4907)&gt;0),K4907/L4907,"")</f>
        <v/>
      </c>
      <c r="N4907" s="2" t="s">
        <v>1226</v>
      </c>
    </row>
    <row r="4908" customFormat="false" ht="15" hidden="false" customHeight="false" outlineLevel="0" collapsed="false">
      <c r="A4908" s="2" t="n">
        <v>4907</v>
      </c>
      <c r="B4908" s="2" t="s">
        <v>9982</v>
      </c>
      <c r="C4908" s="2" t="s">
        <v>9983</v>
      </c>
      <c r="D4908" s="2"/>
      <c r="E4908" s="2" t="s">
        <v>1345</v>
      </c>
      <c r="F4908" s="3" t="n">
        <v>3E-006</v>
      </c>
      <c r="G4908" s="3" t="n">
        <f aca="false">SUM($F$2:F4908)</f>
        <v>0.999479</v>
      </c>
      <c r="H4908" s="4"/>
      <c r="I4908" s="5"/>
      <c r="J4908" s="4"/>
      <c r="K4908" s="5"/>
      <c r="L4908" s="6"/>
      <c r="M4908" s="5" t="str">
        <f aca="false">IF(AND(N(K4908)&gt;0,N(L4908)&gt;0),K4908/L4908,"")</f>
        <v/>
      </c>
      <c r="N4908" s="2" t="s">
        <v>1226</v>
      </c>
    </row>
    <row r="4909" customFormat="false" ht="15" hidden="false" customHeight="false" outlineLevel="0" collapsed="false">
      <c r="A4909" s="2" t="n">
        <v>4908</v>
      </c>
      <c r="B4909" s="2" t="s">
        <v>9984</v>
      </c>
      <c r="C4909" s="2" t="s">
        <v>9985</v>
      </c>
      <c r="D4909" s="2"/>
      <c r="E4909" s="2" t="s">
        <v>1345</v>
      </c>
      <c r="F4909" s="3" t="n">
        <v>3E-006</v>
      </c>
      <c r="G4909" s="3" t="n">
        <f aca="false">SUM($F$2:F4909)</f>
        <v>0.999482</v>
      </c>
      <c r="H4909" s="4"/>
      <c r="I4909" s="5"/>
      <c r="J4909" s="4"/>
      <c r="K4909" s="5"/>
      <c r="L4909" s="6"/>
      <c r="M4909" s="5" t="str">
        <f aca="false">IF(AND(N(K4909)&gt;0,N(L4909)&gt;0),K4909/L4909,"")</f>
        <v/>
      </c>
      <c r="N4909" s="2" t="s">
        <v>1226</v>
      </c>
    </row>
    <row r="4910" customFormat="false" ht="15" hidden="false" customHeight="false" outlineLevel="0" collapsed="false">
      <c r="A4910" s="2" t="n">
        <v>4909</v>
      </c>
      <c r="B4910" s="2" t="s">
        <v>9986</v>
      </c>
      <c r="C4910" s="2" t="s">
        <v>9987</v>
      </c>
      <c r="D4910" s="2"/>
      <c r="E4910" s="2" t="s">
        <v>17</v>
      </c>
      <c r="F4910" s="3" t="n">
        <v>3E-006</v>
      </c>
      <c r="G4910" s="3" t="n">
        <f aca="false">SUM($F$2:F4910)</f>
        <v>0.999485</v>
      </c>
      <c r="H4910" s="4"/>
      <c r="I4910" s="5"/>
      <c r="J4910" s="4"/>
      <c r="K4910" s="5"/>
      <c r="L4910" s="6"/>
      <c r="M4910" s="5" t="str">
        <f aca="false">IF(AND(N(K4910)&gt;0,N(L4910)&gt;0),K4910/L4910,"")</f>
        <v/>
      </c>
      <c r="N4910" s="2" t="s">
        <v>1226</v>
      </c>
    </row>
    <row r="4911" customFormat="false" ht="15" hidden="false" customHeight="false" outlineLevel="0" collapsed="false">
      <c r="A4911" s="2" t="n">
        <v>4910</v>
      </c>
      <c r="B4911" s="2" t="s">
        <v>9988</v>
      </c>
      <c r="C4911" s="2" t="s">
        <v>9989</v>
      </c>
      <c r="D4911" s="2"/>
      <c r="E4911" s="2" t="s">
        <v>17</v>
      </c>
      <c r="F4911" s="3" t="n">
        <v>3E-006</v>
      </c>
      <c r="G4911" s="3" t="n">
        <f aca="false">SUM($F$2:F4911)</f>
        <v>0.999488</v>
      </c>
      <c r="H4911" s="4"/>
      <c r="I4911" s="5"/>
      <c r="J4911" s="4"/>
      <c r="K4911" s="5"/>
      <c r="L4911" s="6"/>
      <c r="M4911" s="5" t="str">
        <f aca="false">IF(AND(N(K4911)&gt;0,N(L4911)&gt;0),K4911/L4911,"")</f>
        <v/>
      </c>
      <c r="N4911" s="2" t="s">
        <v>1226</v>
      </c>
    </row>
    <row r="4912" customFormat="false" ht="15" hidden="false" customHeight="false" outlineLevel="0" collapsed="false">
      <c r="A4912" s="2" t="n">
        <v>4911</v>
      </c>
      <c r="B4912" s="2" t="s">
        <v>9990</v>
      </c>
      <c r="C4912" s="2" t="s">
        <v>9991</v>
      </c>
      <c r="D4912" s="2"/>
      <c r="E4912" s="2" t="s">
        <v>21</v>
      </c>
      <c r="F4912" s="3" t="n">
        <v>3E-006</v>
      </c>
      <c r="G4912" s="3" t="n">
        <f aca="false">SUM($F$2:F4912)</f>
        <v>0.999491</v>
      </c>
      <c r="H4912" s="4"/>
      <c r="I4912" s="5"/>
      <c r="J4912" s="4"/>
      <c r="K4912" s="5"/>
      <c r="L4912" s="6"/>
      <c r="M4912" s="5" t="str">
        <f aca="false">IF(AND(N(K4912)&gt;0,N(L4912)&gt;0),K4912/L4912,"")</f>
        <v/>
      </c>
      <c r="N4912" s="2" t="s">
        <v>1226</v>
      </c>
    </row>
    <row r="4913" customFormat="false" ht="15" hidden="false" customHeight="false" outlineLevel="0" collapsed="false">
      <c r="A4913" s="2" t="n">
        <v>4912</v>
      </c>
      <c r="B4913" s="2" t="s">
        <v>9992</v>
      </c>
      <c r="C4913" s="2" t="s">
        <v>9993</v>
      </c>
      <c r="D4913" s="2"/>
      <c r="E4913" s="2" t="s">
        <v>1345</v>
      </c>
      <c r="F4913" s="3" t="n">
        <v>3E-006</v>
      </c>
      <c r="G4913" s="3" t="n">
        <f aca="false">SUM($F$2:F4913)</f>
        <v>0.999494</v>
      </c>
      <c r="H4913" s="4"/>
      <c r="I4913" s="5"/>
      <c r="J4913" s="4"/>
      <c r="K4913" s="5"/>
      <c r="L4913" s="6"/>
      <c r="M4913" s="5" t="str">
        <f aca="false">IF(AND(N(K4913)&gt;0,N(L4913)&gt;0),K4913/L4913,"")</f>
        <v/>
      </c>
      <c r="N4913" s="2" t="s">
        <v>1226</v>
      </c>
    </row>
    <row r="4914" customFormat="false" ht="15" hidden="false" customHeight="false" outlineLevel="0" collapsed="false">
      <c r="A4914" s="2" t="n">
        <v>4913</v>
      </c>
      <c r="B4914" s="2" t="s">
        <v>9994</v>
      </c>
      <c r="C4914" s="2" t="s">
        <v>9995</v>
      </c>
      <c r="D4914" s="2"/>
      <c r="E4914" s="2" t="s">
        <v>25</v>
      </c>
      <c r="F4914" s="3" t="n">
        <v>3E-006</v>
      </c>
      <c r="G4914" s="3" t="n">
        <f aca="false">SUM($F$2:F4914)</f>
        <v>0.999497</v>
      </c>
      <c r="H4914" s="4"/>
      <c r="I4914" s="5"/>
      <c r="J4914" s="4"/>
      <c r="K4914" s="5"/>
      <c r="L4914" s="6"/>
      <c r="M4914" s="5" t="str">
        <f aca="false">IF(AND(N(K4914)&gt;0,N(L4914)&gt;0),K4914/L4914,"")</f>
        <v/>
      </c>
      <c r="N4914" s="2" t="s">
        <v>1226</v>
      </c>
    </row>
    <row r="4915" customFormat="false" ht="15" hidden="false" customHeight="false" outlineLevel="0" collapsed="false">
      <c r="A4915" s="2" t="n">
        <v>4914</v>
      </c>
      <c r="B4915" s="2" t="s">
        <v>9996</v>
      </c>
      <c r="C4915" s="2" t="s">
        <v>9997</v>
      </c>
      <c r="D4915" s="2"/>
      <c r="E4915" s="2" t="s">
        <v>1345</v>
      </c>
      <c r="F4915" s="3" t="n">
        <v>3E-006</v>
      </c>
      <c r="G4915" s="3" t="n">
        <f aca="false">SUM($F$2:F4915)</f>
        <v>0.9995</v>
      </c>
      <c r="H4915" s="4"/>
      <c r="I4915" s="5"/>
      <c r="J4915" s="4"/>
      <c r="K4915" s="5"/>
      <c r="L4915" s="6"/>
      <c r="M4915" s="5" t="str">
        <f aca="false">IF(AND(N(K4915)&gt;0,N(L4915)&gt;0),K4915/L4915,"")</f>
        <v/>
      </c>
      <c r="N4915" s="2" t="s">
        <v>1226</v>
      </c>
    </row>
    <row r="4916" customFormat="false" ht="15" hidden="false" customHeight="false" outlineLevel="0" collapsed="false">
      <c r="A4916" s="2" t="n">
        <v>4915</v>
      </c>
      <c r="B4916" s="2" t="s">
        <v>9998</v>
      </c>
      <c r="C4916" s="2" t="s">
        <v>9999</v>
      </c>
      <c r="D4916" s="2"/>
      <c r="E4916" s="2" t="s">
        <v>52</v>
      </c>
      <c r="F4916" s="3" t="n">
        <v>3E-006</v>
      </c>
      <c r="G4916" s="3" t="n">
        <f aca="false">SUM($F$2:F4916)</f>
        <v>0.999503</v>
      </c>
      <c r="H4916" s="4"/>
      <c r="I4916" s="5"/>
      <c r="J4916" s="4"/>
      <c r="K4916" s="5"/>
      <c r="L4916" s="6"/>
      <c r="M4916" s="5" t="str">
        <f aca="false">IF(AND(N(K4916)&gt;0,N(L4916)&gt;0),K4916/L4916,"")</f>
        <v/>
      </c>
      <c r="N4916" s="2" t="s">
        <v>1226</v>
      </c>
    </row>
    <row r="4917" customFormat="false" ht="15" hidden="false" customHeight="false" outlineLevel="0" collapsed="false">
      <c r="A4917" s="2" t="n">
        <v>4916</v>
      </c>
      <c r="B4917" s="2" t="s">
        <v>10000</v>
      </c>
      <c r="C4917" s="2" t="s">
        <v>10001</v>
      </c>
      <c r="D4917" s="2"/>
      <c r="E4917" s="2" t="s">
        <v>1345</v>
      </c>
      <c r="F4917" s="3" t="n">
        <v>3E-006</v>
      </c>
      <c r="G4917" s="3" t="n">
        <f aca="false">SUM($F$2:F4917)</f>
        <v>0.999506</v>
      </c>
      <c r="H4917" s="4"/>
      <c r="I4917" s="5"/>
      <c r="J4917" s="4"/>
      <c r="K4917" s="5"/>
      <c r="L4917" s="6"/>
      <c r="M4917" s="5" t="str">
        <f aca="false">IF(AND(N(K4917)&gt;0,N(L4917)&gt;0),K4917/L4917,"")</f>
        <v/>
      </c>
      <c r="N4917" s="2" t="s">
        <v>1226</v>
      </c>
    </row>
    <row r="4918" customFormat="false" ht="15" hidden="false" customHeight="false" outlineLevel="0" collapsed="false">
      <c r="A4918" s="2" t="n">
        <v>4917</v>
      </c>
      <c r="B4918" s="2" t="s">
        <v>10002</v>
      </c>
      <c r="C4918" s="2" t="s">
        <v>10003</v>
      </c>
      <c r="D4918" s="2"/>
      <c r="E4918" s="2" t="s">
        <v>17</v>
      </c>
      <c r="F4918" s="3" t="n">
        <v>3E-006</v>
      </c>
      <c r="G4918" s="3" t="n">
        <f aca="false">SUM($F$2:F4918)</f>
        <v>0.999509</v>
      </c>
      <c r="H4918" s="4"/>
      <c r="I4918" s="5"/>
      <c r="J4918" s="4"/>
      <c r="K4918" s="5"/>
      <c r="L4918" s="6"/>
      <c r="M4918" s="5" t="str">
        <f aca="false">IF(AND(N(K4918)&gt;0,N(L4918)&gt;0),K4918/L4918,"")</f>
        <v/>
      </c>
      <c r="N4918" s="2" t="s">
        <v>1226</v>
      </c>
    </row>
    <row r="4919" customFormat="false" ht="15" hidden="false" customHeight="false" outlineLevel="0" collapsed="false">
      <c r="A4919" s="2" t="n">
        <v>4918</v>
      </c>
      <c r="B4919" s="2" t="s">
        <v>10004</v>
      </c>
      <c r="C4919" s="2" t="s">
        <v>10005</v>
      </c>
      <c r="D4919" s="2"/>
      <c r="E4919" s="2" t="s">
        <v>289</v>
      </c>
      <c r="F4919" s="3" t="n">
        <v>3E-006</v>
      </c>
      <c r="G4919" s="3" t="n">
        <f aca="false">SUM($F$2:F4919)</f>
        <v>0.999512</v>
      </c>
      <c r="H4919" s="4"/>
      <c r="I4919" s="5"/>
      <c r="J4919" s="4"/>
      <c r="K4919" s="5"/>
      <c r="L4919" s="6"/>
      <c r="M4919" s="5" t="str">
        <f aca="false">IF(AND(N(K4919)&gt;0,N(L4919)&gt;0),K4919/L4919,"")</f>
        <v/>
      </c>
      <c r="N4919" s="2" t="s">
        <v>1226</v>
      </c>
    </row>
    <row r="4920" customFormat="false" ht="15" hidden="false" customHeight="false" outlineLevel="0" collapsed="false">
      <c r="A4920" s="2" t="n">
        <v>4919</v>
      </c>
      <c r="B4920" s="2" t="s">
        <v>10006</v>
      </c>
      <c r="C4920" s="2" t="s">
        <v>10007</v>
      </c>
      <c r="D4920" s="2"/>
      <c r="E4920" s="2" t="s">
        <v>1295</v>
      </c>
      <c r="F4920" s="3" t="n">
        <v>3E-006</v>
      </c>
      <c r="G4920" s="3" t="n">
        <f aca="false">SUM($F$2:F4920)</f>
        <v>0.999515</v>
      </c>
      <c r="H4920" s="4"/>
      <c r="I4920" s="5"/>
      <c r="J4920" s="4"/>
      <c r="K4920" s="5"/>
      <c r="L4920" s="6"/>
      <c r="M4920" s="5" t="str">
        <f aca="false">IF(AND(N(K4920)&gt;0,N(L4920)&gt;0),K4920/L4920,"")</f>
        <v/>
      </c>
      <c r="N4920" s="2" t="s">
        <v>1226</v>
      </c>
    </row>
    <row r="4921" customFormat="false" ht="15" hidden="false" customHeight="false" outlineLevel="0" collapsed="false">
      <c r="A4921" s="2" t="n">
        <v>4920</v>
      </c>
      <c r="B4921" s="2" t="s">
        <v>10008</v>
      </c>
      <c r="C4921" s="2" t="s">
        <v>10009</v>
      </c>
      <c r="D4921" s="2"/>
      <c r="E4921" s="2" t="s">
        <v>1345</v>
      </c>
      <c r="F4921" s="3" t="n">
        <v>3E-006</v>
      </c>
      <c r="G4921" s="3" t="n">
        <f aca="false">SUM($F$2:F4921)</f>
        <v>0.999518</v>
      </c>
      <c r="H4921" s="4"/>
      <c r="I4921" s="5"/>
      <c r="J4921" s="4"/>
      <c r="K4921" s="5"/>
      <c r="L4921" s="6"/>
      <c r="M4921" s="5" t="str">
        <f aca="false">IF(AND(N(K4921)&gt;0,N(L4921)&gt;0),K4921/L4921,"")</f>
        <v/>
      </c>
      <c r="N4921" s="2" t="s">
        <v>1226</v>
      </c>
    </row>
    <row r="4922" customFormat="false" ht="15" hidden="false" customHeight="false" outlineLevel="0" collapsed="false">
      <c r="A4922" s="2" t="n">
        <v>4921</v>
      </c>
      <c r="B4922" s="2" t="s">
        <v>10010</v>
      </c>
      <c r="C4922" s="2" t="s">
        <v>10011</v>
      </c>
      <c r="D4922" s="2"/>
      <c r="E4922" s="2" t="s">
        <v>1345</v>
      </c>
      <c r="F4922" s="3" t="n">
        <v>3E-006</v>
      </c>
      <c r="G4922" s="3" t="n">
        <f aca="false">SUM($F$2:F4922)</f>
        <v>0.999521</v>
      </c>
      <c r="H4922" s="4"/>
      <c r="I4922" s="5"/>
      <c r="J4922" s="4"/>
      <c r="K4922" s="5"/>
      <c r="L4922" s="6"/>
      <c r="M4922" s="5" t="str">
        <f aca="false">IF(AND(N(K4922)&gt;0,N(L4922)&gt;0),K4922/L4922,"")</f>
        <v/>
      </c>
      <c r="N4922" s="2" t="s">
        <v>1226</v>
      </c>
    </row>
    <row r="4923" customFormat="false" ht="15" hidden="false" customHeight="false" outlineLevel="0" collapsed="false">
      <c r="A4923" s="2" t="n">
        <v>4922</v>
      </c>
      <c r="B4923" s="2" t="s">
        <v>10012</v>
      </c>
      <c r="C4923" s="2" t="s">
        <v>10013</v>
      </c>
      <c r="D4923" s="2"/>
      <c r="E4923" s="2" t="s">
        <v>1345</v>
      </c>
      <c r="F4923" s="3" t="n">
        <v>3E-006</v>
      </c>
      <c r="G4923" s="3" t="n">
        <f aca="false">SUM($F$2:F4923)</f>
        <v>0.999524</v>
      </c>
      <c r="H4923" s="4"/>
      <c r="I4923" s="5"/>
      <c r="J4923" s="4"/>
      <c r="K4923" s="5"/>
      <c r="L4923" s="6"/>
      <c r="M4923" s="5" t="str">
        <f aca="false">IF(AND(N(K4923)&gt;0,N(L4923)&gt;0),K4923/L4923,"")</f>
        <v/>
      </c>
      <c r="N4923" s="2" t="s">
        <v>1226</v>
      </c>
    </row>
    <row r="4924" customFormat="false" ht="15" hidden="false" customHeight="false" outlineLevel="0" collapsed="false">
      <c r="A4924" s="2" t="n">
        <v>4923</v>
      </c>
      <c r="B4924" s="2" t="s">
        <v>10014</v>
      </c>
      <c r="C4924" s="2" t="s">
        <v>10015</v>
      </c>
      <c r="D4924" s="2"/>
      <c r="E4924" s="2" t="s">
        <v>700</v>
      </c>
      <c r="F4924" s="3" t="n">
        <v>3E-006</v>
      </c>
      <c r="G4924" s="3" t="n">
        <f aca="false">SUM($F$2:F4924)</f>
        <v>0.999527</v>
      </c>
      <c r="H4924" s="4"/>
      <c r="I4924" s="5"/>
      <c r="J4924" s="4"/>
      <c r="K4924" s="5"/>
      <c r="L4924" s="6"/>
      <c r="M4924" s="5" t="str">
        <f aca="false">IF(AND(N(K4924)&gt;0,N(L4924)&gt;0),K4924/L4924,"")</f>
        <v/>
      </c>
      <c r="N4924" s="2" t="s">
        <v>1226</v>
      </c>
    </row>
    <row r="4925" customFormat="false" ht="15" hidden="false" customHeight="false" outlineLevel="0" collapsed="false">
      <c r="A4925" s="2" t="n">
        <v>4924</v>
      </c>
      <c r="B4925" s="2" t="s">
        <v>10016</v>
      </c>
      <c r="C4925" s="2" t="s">
        <v>10017</v>
      </c>
      <c r="D4925" s="2"/>
      <c r="E4925" s="2" t="s">
        <v>1345</v>
      </c>
      <c r="F4925" s="3" t="n">
        <v>3E-006</v>
      </c>
      <c r="G4925" s="3" t="n">
        <f aca="false">SUM($F$2:F4925)</f>
        <v>0.99953</v>
      </c>
      <c r="H4925" s="4"/>
      <c r="I4925" s="5"/>
      <c r="J4925" s="4"/>
      <c r="K4925" s="5"/>
      <c r="L4925" s="6"/>
      <c r="M4925" s="5" t="str">
        <f aca="false">IF(AND(N(K4925)&gt;0,N(L4925)&gt;0),K4925/L4925,"")</f>
        <v/>
      </c>
      <c r="N4925" s="2" t="s">
        <v>1226</v>
      </c>
    </row>
    <row r="4926" customFormat="false" ht="15" hidden="false" customHeight="false" outlineLevel="0" collapsed="false">
      <c r="A4926" s="2" t="n">
        <v>4925</v>
      </c>
      <c r="B4926" s="2" t="s">
        <v>10018</v>
      </c>
      <c r="C4926" s="2" t="s">
        <v>10019</v>
      </c>
      <c r="D4926" s="2"/>
      <c r="E4926" s="2" t="s">
        <v>296</v>
      </c>
      <c r="F4926" s="3" t="n">
        <v>3E-006</v>
      </c>
      <c r="G4926" s="3" t="n">
        <f aca="false">SUM($F$2:F4926)</f>
        <v>0.999533</v>
      </c>
      <c r="H4926" s="4"/>
      <c r="I4926" s="5"/>
      <c r="J4926" s="4"/>
      <c r="K4926" s="5"/>
      <c r="L4926" s="6"/>
      <c r="M4926" s="5" t="str">
        <f aca="false">IF(AND(N(K4926)&gt;0,N(L4926)&gt;0),K4926/L4926,"")</f>
        <v/>
      </c>
      <c r="N4926" s="2" t="s">
        <v>1226</v>
      </c>
    </row>
    <row r="4927" customFormat="false" ht="15" hidden="false" customHeight="false" outlineLevel="0" collapsed="false">
      <c r="A4927" s="2" t="n">
        <v>4926</v>
      </c>
      <c r="B4927" s="2" t="s">
        <v>10020</v>
      </c>
      <c r="C4927" s="2" t="s">
        <v>10021</v>
      </c>
      <c r="D4927" s="2"/>
      <c r="E4927" s="2" t="s">
        <v>289</v>
      </c>
      <c r="F4927" s="3" t="n">
        <v>3E-006</v>
      </c>
      <c r="G4927" s="3" t="n">
        <f aca="false">SUM($F$2:F4927)</f>
        <v>0.999536</v>
      </c>
      <c r="H4927" s="4"/>
      <c r="I4927" s="5"/>
      <c r="J4927" s="4"/>
      <c r="K4927" s="5"/>
      <c r="L4927" s="6"/>
      <c r="M4927" s="5" t="str">
        <f aca="false">IF(AND(N(K4927)&gt;0,N(L4927)&gt;0),K4927/L4927,"")</f>
        <v/>
      </c>
      <c r="N4927" s="2" t="s">
        <v>1226</v>
      </c>
    </row>
    <row r="4928" customFormat="false" ht="15" hidden="false" customHeight="false" outlineLevel="0" collapsed="false">
      <c r="A4928" s="2" t="n">
        <v>4927</v>
      </c>
      <c r="B4928" s="2" t="s">
        <v>10022</v>
      </c>
      <c r="C4928" s="2" t="s">
        <v>10023</v>
      </c>
      <c r="D4928" s="2"/>
      <c r="E4928" s="2" t="s">
        <v>860</v>
      </c>
      <c r="F4928" s="3" t="n">
        <v>3E-006</v>
      </c>
      <c r="G4928" s="3" t="n">
        <f aca="false">SUM($F$2:F4928)</f>
        <v>0.999539</v>
      </c>
      <c r="H4928" s="4"/>
      <c r="I4928" s="5"/>
      <c r="J4928" s="4"/>
      <c r="K4928" s="5"/>
      <c r="L4928" s="6"/>
      <c r="M4928" s="5" t="str">
        <f aca="false">IF(AND(N(K4928)&gt;0,N(L4928)&gt;0),K4928/L4928,"")</f>
        <v/>
      </c>
      <c r="N4928" s="2" t="s">
        <v>1226</v>
      </c>
    </row>
    <row r="4929" customFormat="false" ht="15" hidden="false" customHeight="false" outlineLevel="0" collapsed="false">
      <c r="A4929" s="2" t="n">
        <v>4928</v>
      </c>
      <c r="B4929" s="2" t="s">
        <v>10024</v>
      </c>
      <c r="C4929" s="2" t="s">
        <v>10025</v>
      </c>
      <c r="D4929" s="2"/>
      <c r="E4929" s="2" t="s">
        <v>289</v>
      </c>
      <c r="F4929" s="3" t="n">
        <v>3E-006</v>
      </c>
      <c r="G4929" s="3" t="n">
        <f aca="false">SUM($F$2:F4929)</f>
        <v>0.999542</v>
      </c>
      <c r="H4929" s="4"/>
      <c r="I4929" s="5"/>
      <c r="J4929" s="4"/>
      <c r="K4929" s="5"/>
      <c r="L4929" s="6"/>
      <c r="M4929" s="5" t="str">
        <f aca="false">IF(AND(N(K4929)&gt;0,N(L4929)&gt;0),K4929/L4929,"")</f>
        <v/>
      </c>
      <c r="N4929" s="2" t="s">
        <v>1226</v>
      </c>
    </row>
    <row r="4930" customFormat="false" ht="15" hidden="false" customHeight="false" outlineLevel="0" collapsed="false">
      <c r="A4930" s="2" t="n">
        <v>4929</v>
      </c>
      <c r="B4930" s="2" t="s">
        <v>10026</v>
      </c>
      <c r="C4930" s="2" t="s">
        <v>10027</v>
      </c>
      <c r="D4930" s="2"/>
      <c r="E4930" s="2" t="s">
        <v>2055</v>
      </c>
      <c r="F4930" s="3" t="n">
        <v>3E-006</v>
      </c>
      <c r="G4930" s="3" t="n">
        <f aca="false">SUM($F$2:F4930)</f>
        <v>0.999545</v>
      </c>
      <c r="H4930" s="4"/>
      <c r="I4930" s="5"/>
      <c r="J4930" s="4"/>
      <c r="K4930" s="5"/>
      <c r="L4930" s="6"/>
      <c r="M4930" s="5" t="str">
        <f aca="false">IF(AND(N(K4930)&gt;0,N(L4930)&gt;0),K4930/L4930,"")</f>
        <v/>
      </c>
      <c r="N4930" s="2" t="s">
        <v>1226</v>
      </c>
    </row>
    <row r="4931" customFormat="false" ht="15" hidden="false" customHeight="false" outlineLevel="0" collapsed="false">
      <c r="A4931" s="2" t="n">
        <v>4930</v>
      </c>
      <c r="B4931" s="2" t="s">
        <v>10028</v>
      </c>
      <c r="C4931" s="2" t="s">
        <v>10029</v>
      </c>
      <c r="D4931" s="2"/>
      <c r="E4931" s="2" t="s">
        <v>1345</v>
      </c>
      <c r="F4931" s="3" t="n">
        <v>3E-006</v>
      </c>
      <c r="G4931" s="3" t="n">
        <f aca="false">SUM($F$2:F4931)</f>
        <v>0.999548</v>
      </c>
      <c r="H4931" s="4"/>
      <c r="I4931" s="5"/>
      <c r="J4931" s="4"/>
      <c r="K4931" s="5"/>
      <c r="L4931" s="6"/>
      <c r="M4931" s="5" t="str">
        <f aca="false">IF(AND(N(K4931)&gt;0,N(L4931)&gt;0),K4931/L4931,"")</f>
        <v/>
      </c>
      <c r="N4931" s="2" t="s">
        <v>1226</v>
      </c>
    </row>
    <row r="4932" customFormat="false" ht="15" hidden="false" customHeight="false" outlineLevel="0" collapsed="false">
      <c r="A4932" s="2" t="n">
        <v>4931</v>
      </c>
      <c r="B4932" s="2" t="s">
        <v>10030</v>
      </c>
      <c r="C4932" s="2" t="s">
        <v>10031</v>
      </c>
      <c r="D4932" s="2"/>
      <c r="E4932" s="2" t="s">
        <v>1345</v>
      </c>
      <c r="F4932" s="3" t="n">
        <v>3E-006</v>
      </c>
      <c r="G4932" s="3" t="n">
        <f aca="false">SUM($F$2:F4932)</f>
        <v>0.999551</v>
      </c>
      <c r="H4932" s="4"/>
      <c r="I4932" s="5"/>
      <c r="J4932" s="4"/>
      <c r="K4932" s="5"/>
      <c r="L4932" s="6"/>
      <c r="M4932" s="5" t="str">
        <f aca="false">IF(AND(N(K4932)&gt;0,N(L4932)&gt;0),K4932/L4932,"")</f>
        <v/>
      </c>
      <c r="N4932" s="2" t="s">
        <v>1226</v>
      </c>
    </row>
    <row r="4933" customFormat="false" ht="15" hidden="false" customHeight="false" outlineLevel="0" collapsed="false">
      <c r="A4933" s="2" t="n">
        <v>4932</v>
      </c>
      <c r="B4933" s="2" t="s">
        <v>10032</v>
      </c>
      <c r="C4933" s="2" t="s">
        <v>10033</v>
      </c>
      <c r="D4933" s="2"/>
      <c r="E4933" s="2" t="s">
        <v>1345</v>
      </c>
      <c r="F4933" s="3" t="n">
        <v>3E-006</v>
      </c>
      <c r="G4933" s="3" t="n">
        <f aca="false">SUM($F$2:F4933)</f>
        <v>0.999554</v>
      </c>
      <c r="H4933" s="4"/>
      <c r="I4933" s="5"/>
      <c r="J4933" s="4"/>
      <c r="K4933" s="5"/>
      <c r="L4933" s="6"/>
      <c r="M4933" s="5" t="str">
        <f aca="false">IF(AND(N(K4933)&gt;0,N(L4933)&gt;0),K4933/L4933,"")</f>
        <v/>
      </c>
      <c r="N4933" s="2" t="s">
        <v>1226</v>
      </c>
    </row>
    <row r="4934" customFormat="false" ht="15" hidden="false" customHeight="false" outlineLevel="0" collapsed="false">
      <c r="A4934" s="2" t="n">
        <v>4933</v>
      </c>
      <c r="B4934" s="2" t="s">
        <v>10034</v>
      </c>
      <c r="C4934" s="2" t="s">
        <v>10035</v>
      </c>
      <c r="D4934" s="2"/>
      <c r="E4934" s="2" t="s">
        <v>25</v>
      </c>
      <c r="F4934" s="3" t="n">
        <v>3E-006</v>
      </c>
      <c r="G4934" s="3" t="n">
        <f aca="false">SUM($F$2:F4934)</f>
        <v>0.999557</v>
      </c>
      <c r="H4934" s="4"/>
      <c r="I4934" s="5"/>
      <c r="J4934" s="4"/>
      <c r="K4934" s="5"/>
      <c r="L4934" s="6"/>
      <c r="M4934" s="5" t="str">
        <f aca="false">IF(AND(N(K4934)&gt;0,N(L4934)&gt;0),K4934/L4934,"")</f>
        <v/>
      </c>
      <c r="N4934" s="2" t="s">
        <v>1226</v>
      </c>
    </row>
    <row r="4935" customFormat="false" ht="15" hidden="false" customHeight="false" outlineLevel="0" collapsed="false">
      <c r="A4935" s="2" t="n">
        <v>4934</v>
      </c>
      <c r="B4935" s="2" t="s">
        <v>10036</v>
      </c>
      <c r="C4935" s="2" t="s">
        <v>10037</v>
      </c>
      <c r="D4935" s="2"/>
      <c r="E4935" s="2" t="s">
        <v>289</v>
      </c>
      <c r="F4935" s="3" t="n">
        <v>3E-006</v>
      </c>
      <c r="G4935" s="3" t="n">
        <f aca="false">SUM($F$2:F4935)</f>
        <v>0.99956</v>
      </c>
      <c r="H4935" s="4"/>
      <c r="I4935" s="5"/>
      <c r="J4935" s="4"/>
      <c r="K4935" s="5"/>
      <c r="L4935" s="6"/>
      <c r="M4935" s="5" t="str">
        <f aca="false">IF(AND(N(K4935)&gt;0,N(L4935)&gt;0),K4935/L4935,"")</f>
        <v/>
      </c>
      <c r="N4935" s="2" t="s">
        <v>1226</v>
      </c>
    </row>
    <row r="4936" customFormat="false" ht="15" hidden="false" customHeight="false" outlineLevel="0" collapsed="false">
      <c r="A4936" s="2" t="n">
        <v>4935</v>
      </c>
      <c r="B4936" s="2" t="s">
        <v>10038</v>
      </c>
      <c r="C4936" s="2" t="s">
        <v>10039</v>
      </c>
      <c r="D4936" s="2"/>
      <c r="E4936" s="2" t="s">
        <v>1345</v>
      </c>
      <c r="F4936" s="3" t="n">
        <v>3E-006</v>
      </c>
      <c r="G4936" s="3" t="n">
        <f aca="false">SUM($F$2:F4936)</f>
        <v>0.999563</v>
      </c>
      <c r="H4936" s="4"/>
      <c r="I4936" s="5"/>
      <c r="J4936" s="4"/>
      <c r="K4936" s="5"/>
      <c r="L4936" s="6"/>
      <c r="M4936" s="5" t="str">
        <f aca="false">IF(AND(N(K4936)&gt;0,N(L4936)&gt;0),K4936/L4936,"")</f>
        <v/>
      </c>
      <c r="N4936" s="2" t="s">
        <v>1226</v>
      </c>
    </row>
    <row r="4937" customFormat="false" ht="15" hidden="false" customHeight="false" outlineLevel="0" collapsed="false">
      <c r="A4937" s="2" t="n">
        <v>4936</v>
      </c>
      <c r="B4937" s="2" t="s">
        <v>10040</v>
      </c>
      <c r="C4937" s="2" t="s">
        <v>10041</v>
      </c>
      <c r="D4937" s="2"/>
      <c r="E4937" s="2" t="s">
        <v>1284</v>
      </c>
      <c r="F4937" s="3" t="n">
        <v>3E-006</v>
      </c>
      <c r="G4937" s="3" t="n">
        <f aca="false">SUM($F$2:F4937)</f>
        <v>0.999566</v>
      </c>
      <c r="H4937" s="4"/>
      <c r="I4937" s="5"/>
      <c r="J4937" s="4"/>
      <c r="K4937" s="5"/>
      <c r="L4937" s="6"/>
      <c r="M4937" s="5" t="str">
        <f aca="false">IF(AND(N(K4937)&gt;0,N(L4937)&gt;0),K4937/L4937,"")</f>
        <v/>
      </c>
      <c r="N4937" s="2" t="s">
        <v>1226</v>
      </c>
    </row>
    <row r="4938" customFormat="false" ht="15" hidden="false" customHeight="false" outlineLevel="0" collapsed="false">
      <c r="A4938" s="2" t="n">
        <v>4937</v>
      </c>
      <c r="B4938" s="2" t="s">
        <v>368</v>
      </c>
      <c r="C4938" s="2" t="s">
        <v>10042</v>
      </c>
      <c r="D4938" s="2"/>
      <c r="E4938" s="2" t="s">
        <v>17</v>
      </c>
      <c r="F4938" s="3" t="n">
        <v>3E-006</v>
      </c>
      <c r="G4938" s="3" t="n">
        <f aca="false">SUM($F$2:F4938)</f>
        <v>0.999569</v>
      </c>
      <c r="H4938" s="4"/>
      <c r="I4938" s="5"/>
      <c r="J4938" s="4"/>
      <c r="K4938" s="5"/>
      <c r="L4938" s="6"/>
      <c r="M4938" s="5" t="str">
        <f aca="false">IF(AND(N(K4938)&gt;0,N(L4938)&gt;0),K4938/L4938,"")</f>
        <v/>
      </c>
      <c r="N4938" s="2" t="s">
        <v>1226</v>
      </c>
    </row>
    <row r="4939" customFormat="false" ht="15" hidden="false" customHeight="false" outlineLevel="0" collapsed="false">
      <c r="A4939" s="2" t="n">
        <v>4938</v>
      </c>
      <c r="B4939" s="2" t="s">
        <v>10043</v>
      </c>
      <c r="C4939" s="2" t="s">
        <v>10044</v>
      </c>
      <c r="D4939" s="2"/>
      <c r="E4939" s="2" t="s">
        <v>1345</v>
      </c>
      <c r="F4939" s="3" t="n">
        <v>3E-006</v>
      </c>
      <c r="G4939" s="3" t="n">
        <f aca="false">SUM($F$2:F4939)</f>
        <v>0.999572</v>
      </c>
      <c r="H4939" s="4"/>
      <c r="I4939" s="5"/>
      <c r="J4939" s="4"/>
      <c r="K4939" s="5"/>
      <c r="L4939" s="6"/>
      <c r="M4939" s="5" t="str">
        <f aca="false">IF(AND(N(K4939)&gt;0,N(L4939)&gt;0),K4939/L4939,"")</f>
        <v/>
      </c>
      <c r="N4939" s="2" t="s">
        <v>1226</v>
      </c>
    </row>
    <row r="4940" customFormat="false" ht="15" hidden="false" customHeight="false" outlineLevel="0" collapsed="false">
      <c r="A4940" s="2" t="n">
        <v>4939</v>
      </c>
      <c r="B4940" s="2" t="s">
        <v>10045</v>
      </c>
      <c r="C4940" s="2" t="s">
        <v>10046</v>
      </c>
      <c r="D4940" s="2"/>
      <c r="E4940" s="2" t="s">
        <v>1345</v>
      </c>
      <c r="F4940" s="3" t="n">
        <v>3E-006</v>
      </c>
      <c r="G4940" s="3" t="n">
        <f aca="false">SUM($F$2:F4940)</f>
        <v>0.999575</v>
      </c>
      <c r="H4940" s="4"/>
      <c r="I4940" s="5"/>
      <c r="J4940" s="4"/>
      <c r="K4940" s="5"/>
      <c r="L4940" s="6"/>
      <c r="M4940" s="5" t="str">
        <f aca="false">IF(AND(N(K4940)&gt;0,N(L4940)&gt;0),K4940/L4940,"")</f>
        <v/>
      </c>
      <c r="N4940" s="2" t="s">
        <v>1226</v>
      </c>
    </row>
    <row r="4941" customFormat="false" ht="15" hidden="false" customHeight="false" outlineLevel="0" collapsed="false">
      <c r="A4941" s="2" t="n">
        <v>4940</v>
      </c>
      <c r="B4941" s="2" t="s">
        <v>10047</v>
      </c>
      <c r="C4941" s="2" t="s">
        <v>10048</v>
      </c>
      <c r="D4941" s="2"/>
      <c r="E4941" s="2" t="s">
        <v>52</v>
      </c>
      <c r="F4941" s="3" t="n">
        <v>3E-006</v>
      </c>
      <c r="G4941" s="3" t="n">
        <f aca="false">SUM($F$2:F4941)</f>
        <v>0.999578</v>
      </c>
      <c r="H4941" s="4"/>
      <c r="I4941" s="5"/>
      <c r="J4941" s="4"/>
      <c r="K4941" s="5"/>
      <c r="L4941" s="6"/>
      <c r="M4941" s="5" t="str">
        <f aca="false">IF(AND(N(K4941)&gt;0,N(L4941)&gt;0),K4941/L4941,"")</f>
        <v/>
      </c>
      <c r="N4941" s="2" t="s">
        <v>1226</v>
      </c>
    </row>
    <row r="4942" customFormat="false" ht="15" hidden="false" customHeight="false" outlineLevel="0" collapsed="false">
      <c r="A4942" s="2" t="n">
        <v>4941</v>
      </c>
      <c r="B4942" s="2" t="s">
        <v>10049</v>
      </c>
      <c r="C4942" s="2" t="s">
        <v>10050</v>
      </c>
      <c r="D4942" s="2"/>
      <c r="E4942" s="2" t="s">
        <v>17</v>
      </c>
      <c r="F4942" s="3" t="n">
        <v>3E-006</v>
      </c>
      <c r="G4942" s="3" t="n">
        <f aca="false">SUM($F$2:F4942)</f>
        <v>0.999581</v>
      </c>
      <c r="H4942" s="4"/>
      <c r="I4942" s="5"/>
      <c r="J4942" s="4"/>
      <c r="K4942" s="5"/>
      <c r="L4942" s="6"/>
      <c r="M4942" s="5" t="str">
        <f aca="false">IF(AND(N(K4942)&gt;0,N(L4942)&gt;0),K4942/L4942,"")</f>
        <v/>
      </c>
      <c r="N4942" s="2" t="s">
        <v>1226</v>
      </c>
    </row>
    <row r="4943" customFormat="false" ht="15" hidden="false" customHeight="false" outlineLevel="0" collapsed="false">
      <c r="A4943" s="2" t="n">
        <v>4942</v>
      </c>
      <c r="B4943" s="2" t="s">
        <v>10051</v>
      </c>
      <c r="C4943" s="2" t="s">
        <v>10052</v>
      </c>
      <c r="D4943" s="2"/>
      <c r="E4943" s="2" t="s">
        <v>1050</v>
      </c>
      <c r="F4943" s="3" t="n">
        <v>3E-006</v>
      </c>
      <c r="G4943" s="3" t="n">
        <f aca="false">SUM($F$2:F4943)</f>
        <v>0.999584</v>
      </c>
      <c r="H4943" s="4"/>
      <c r="I4943" s="5"/>
      <c r="J4943" s="4"/>
      <c r="K4943" s="5"/>
      <c r="L4943" s="6"/>
      <c r="M4943" s="5" t="str">
        <f aca="false">IF(AND(N(K4943)&gt;0,N(L4943)&gt;0),K4943/L4943,"")</f>
        <v/>
      </c>
      <c r="N4943" s="2" t="s">
        <v>1226</v>
      </c>
    </row>
    <row r="4944" customFormat="false" ht="15" hidden="false" customHeight="false" outlineLevel="0" collapsed="false">
      <c r="A4944" s="2" t="n">
        <v>4943</v>
      </c>
      <c r="B4944" s="2" t="s">
        <v>10053</v>
      </c>
      <c r="C4944" s="2" t="s">
        <v>10054</v>
      </c>
      <c r="D4944" s="2"/>
      <c r="E4944" s="2" t="s">
        <v>1215</v>
      </c>
      <c r="F4944" s="3" t="n">
        <v>3E-006</v>
      </c>
      <c r="G4944" s="3" t="n">
        <f aca="false">SUM($F$2:F4944)</f>
        <v>0.999587</v>
      </c>
      <c r="H4944" s="4"/>
      <c r="I4944" s="5"/>
      <c r="J4944" s="4"/>
      <c r="K4944" s="5"/>
      <c r="L4944" s="6"/>
      <c r="M4944" s="5" t="str">
        <f aca="false">IF(AND(N(K4944)&gt;0,N(L4944)&gt;0),K4944/L4944,"")</f>
        <v/>
      </c>
      <c r="N4944" s="2" t="s">
        <v>1226</v>
      </c>
    </row>
    <row r="4945" customFormat="false" ht="15" hidden="false" customHeight="false" outlineLevel="0" collapsed="false">
      <c r="A4945" s="2" t="n">
        <v>4944</v>
      </c>
      <c r="B4945" s="2" t="s">
        <v>10055</v>
      </c>
      <c r="C4945" s="2" t="s">
        <v>10056</v>
      </c>
      <c r="D4945" s="2"/>
      <c r="E4945" s="2" t="s">
        <v>2741</v>
      </c>
      <c r="F4945" s="3" t="n">
        <v>3E-006</v>
      </c>
      <c r="G4945" s="3" t="n">
        <f aca="false">SUM($F$2:F4945)</f>
        <v>0.99959</v>
      </c>
      <c r="H4945" s="4"/>
      <c r="I4945" s="5"/>
      <c r="J4945" s="4"/>
      <c r="K4945" s="5"/>
      <c r="L4945" s="6"/>
      <c r="M4945" s="5" t="str">
        <f aca="false">IF(AND(N(K4945)&gt;0,N(L4945)&gt;0),K4945/L4945,"")</f>
        <v/>
      </c>
      <c r="N4945" s="2" t="s">
        <v>1226</v>
      </c>
    </row>
    <row r="4946" customFormat="false" ht="15" hidden="false" customHeight="false" outlineLevel="0" collapsed="false">
      <c r="A4946" s="2" t="n">
        <v>4945</v>
      </c>
      <c r="B4946" s="2" t="s">
        <v>10057</v>
      </c>
      <c r="C4946" s="2" t="s">
        <v>10058</v>
      </c>
      <c r="D4946" s="2"/>
      <c r="E4946" s="2" t="s">
        <v>43</v>
      </c>
      <c r="F4946" s="3" t="n">
        <v>3E-006</v>
      </c>
      <c r="G4946" s="3" t="n">
        <f aca="false">SUM($F$2:F4946)</f>
        <v>0.999593</v>
      </c>
      <c r="H4946" s="4"/>
      <c r="I4946" s="5"/>
      <c r="J4946" s="4"/>
      <c r="K4946" s="5"/>
      <c r="L4946" s="6"/>
      <c r="M4946" s="5" t="str">
        <f aca="false">IF(AND(N(K4946)&gt;0,N(L4946)&gt;0),K4946/L4946,"")</f>
        <v/>
      </c>
      <c r="N4946" s="2" t="s">
        <v>1226</v>
      </c>
    </row>
    <row r="4947" customFormat="false" ht="15" hidden="false" customHeight="false" outlineLevel="0" collapsed="false">
      <c r="A4947" s="2" t="n">
        <v>4946</v>
      </c>
      <c r="B4947" s="2" t="s">
        <v>10059</v>
      </c>
      <c r="C4947" s="2" t="s">
        <v>10060</v>
      </c>
      <c r="D4947" s="2"/>
      <c r="E4947" s="2" t="s">
        <v>1345</v>
      </c>
      <c r="F4947" s="3" t="n">
        <v>3E-006</v>
      </c>
      <c r="G4947" s="3" t="n">
        <f aca="false">SUM($F$2:F4947)</f>
        <v>0.999596</v>
      </c>
      <c r="H4947" s="4"/>
      <c r="I4947" s="5"/>
      <c r="J4947" s="4"/>
      <c r="K4947" s="5"/>
      <c r="L4947" s="6"/>
      <c r="M4947" s="5" t="str">
        <f aca="false">IF(AND(N(K4947)&gt;0,N(L4947)&gt;0),K4947/L4947,"")</f>
        <v/>
      </c>
      <c r="N4947" s="2" t="s">
        <v>1226</v>
      </c>
    </row>
    <row r="4948" customFormat="false" ht="15" hidden="false" customHeight="false" outlineLevel="0" collapsed="false">
      <c r="A4948" s="2" t="n">
        <v>4947</v>
      </c>
      <c r="B4948" s="2" t="s">
        <v>10061</v>
      </c>
      <c r="C4948" s="2" t="s">
        <v>10062</v>
      </c>
      <c r="D4948" s="2"/>
      <c r="E4948" s="2" t="s">
        <v>1345</v>
      </c>
      <c r="F4948" s="3" t="n">
        <v>3E-006</v>
      </c>
      <c r="G4948" s="3" t="n">
        <f aca="false">SUM($F$2:F4948)</f>
        <v>0.999599</v>
      </c>
      <c r="H4948" s="4"/>
      <c r="I4948" s="5"/>
      <c r="J4948" s="4"/>
      <c r="K4948" s="5"/>
      <c r="L4948" s="6"/>
      <c r="M4948" s="5" t="str">
        <f aca="false">IF(AND(N(K4948)&gt;0,N(L4948)&gt;0),K4948/L4948,"")</f>
        <v/>
      </c>
      <c r="N4948" s="2" t="s">
        <v>1226</v>
      </c>
    </row>
    <row r="4949" customFormat="false" ht="15" hidden="false" customHeight="false" outlineLevel="0" collapsed="false">
      <c r="A4949" s="2" t="n">
        <v>4948</v>
      </c>
      <c r="B4949" s="2" t="s">
        <v>10063</v>
      </c>
      <c r="C4949" s="2" t="s">
        <v>10064</v>
      </c>
      <c r="D4949" s="2"/>
      <c r="E4949" s="2" t="s">
        <v>48</v>
      </c>
      <c r="F4949" s="3" t="n">
        <v>3E-006</v>
      </c>
      <c r="G4949" s="3" t="n">
        <f aca="false">SUM($F$2:F4949)</f>
        <v>0.999602</v>
      </c>
      <c r="H4949" s="4"/>
      <c r="I4949" s="5"/>
      <c r="J4949" s="4"/>
      <c r="K4949" s="5"/>
      <c r="L4949" s="6"/>
      <c r="M4949" s="5" t="str">
        <f aca="false">IF(AND(N(K4949)&gt;0,N(L4949)&gt;0),K4949/L4949,"")</f>
        <v/>
      </c>
      <c r="N4949" s="2" t="s">
        <v>1226</v>
      </c>
    </row>
    <row r="4950" customFormat="false" ht="15" hidden="false" customHeight="false" outlineLevel="0" collapsed="false">
      <c r="A4950" s="2" t="n">
        <v>4949</v>
      </c>
      <c r="B4950" s="2" t="s">
        <v>10065</v>
      </c>
      <c r="C4950" s="2" t="s">
        <v>10066</v>
      </c>
      <c r="D4950" s="2"/>
      <c r="E4950" s="2" t="s">
        <v>1019</v>
      </c>
      <c r="F4950" s="3" t="n">
        <v>3E-006</v>
      </c>
      <c r="G4950" s="3" t="n">
        <f aca="false">SUM($F$2:F4950)</f>
        <v>0.999605</v>
      </c>
      <c r="H4950" s="4"/>
      <c r="I4950" s="5"/>
      <c r="J4950" s="4"/>
      <c r="K4950" s="5"/>
      <c r="L4950" s="6"/>
      <c r="M4950" s="5" t="str">
        <f aca="false">IF(AND(N(K4950)&gt;0,N(L4950)&gt;0),K4950/L4950,"")</f>
        <v/>
      </c>
      <c r="N4950" s="2" t="s">
        <v>1226</v>
      </c>
    </row>
    <row r="4951" customFormat="false" ht="15" hidden="false" customHeight="false" outlineLevel="0" collapsed="false">
      <c r="A4951" s="2" t="n">
        <v>4950</v>
      </c>
      <c r="B4951" s="2" t="s">
        <v>10067</v>
      </c>
      <c r="C4951" s="2" t="s">
        <v>10068</v>
      </c>
      <c r="D4951" s="2"/>
      <c r="E4951" s="2" t="s">
        <v>43</v>
      </c>
      <c r="F4951" s="3" t="n">
        <v>3E-006</v>
      </c>
      <c r="G4951" s="3" t="n">
        <f aca="false">SUM($F$2:F4951)</f>
        <v>0.999608</v>
      </c>
      <c r="H4951" s="4"/>
      <c r="I4951" s="5"/>
      <c r="J4951" s="4"/>
      <c r="K4951" s="5"/>
      <c r="L4951" s="6"/>
      <c r="M4951" s="5" t="str">
        <f aca="false">IF(AND(N(K4951)&gt;0,N(L4951)&gt;0),K4951/L4951,"")</f>
        <v/>
      </c>
      <c r="N4951" s="2" t="s">
        <v>1226</v>
      </c>
    </row>
    <row r="4952" customFormat="false" ht="15" hidden="false" customHeight="false" outlineLevel="0" collapsed="false">
      <c r="A4952" s="2" t="n">
        <v>4951</v>
      </c>
      <c r="B4952" s="2" t="s">
        <v>10069</v>
      </c>
      <c r="C4952" s="2" t="s">
        <v>10070</v>
      </c>
      <c r="D4952" s="2"/>
      <c r="E4952" s="2" t="s">
        <v>17</v>
      </c>
      <c r="F4952" s="3" t="n">
        <v>3E-006</v>
      </c>
      <c r="G4952" s="3" t="n">
        <f aca="false">SUM($F$2:F4952)</f>
        <v>0.999611</v>
      </c>
      <c r="H4952" s="4"/>
      <c r="I4952" s="5"/>
      <c r="J4952" s="4"/>
      <c r="K4952" s="5"/>
      <c r="L4952" s="6"/>
      <c r="M4952" s="5" t="str">
        <f aca="false">IF(AND(N(K4952)&gt;0,N(L4952)&gt;0),K4952/L4952,"")</f>
        <v/>
      </c>
      <c r="N4952" s="2" t="s">
        <v>1226</v>
      </c>
    </row>
    <row r="4953" customFormat="false" ht="15" hidden="false" customHeight="false" outlineLevel="0" collapsed="false">
      <c r="A4953" s="2" t="n">
        <v>4952</v>
      </c>
      <c r="B4953" s="2" t="s">
        <v>10071</v>
      </c>
      <c r="C4953" s="2" t="s">
        <v>10072</v>
      </c>
      <c r="D4953" s="2"/>
      <c r="E4953" s="2" t="s">
        <v>289</v>
      </c>
      <c r="F4953" s="3" t="n">
        <v>3E-006</v>
      </c>
      <c r="G4953" s="3" t="n">
        <f aca="false">SUM($F$2:F4953)</f>
        <v>0.999614</v>
      </c>
      <c r="H4953" s="4"/>
      <c r="I4953" s="5"/>
      <c r="J4953" s="4"/>
      <c r="K4953" s="5"/>
      <c r="L4953" s="6"/>
      <c r="M4953" s="5" t="str">
        <f aca="false">IF(AND(N(K4953)&gt;0,N(L4953)&gt;0),K4953/L4953,"")</f>
        <v/>
      </c>
      <c r="N4953" s="2" t="s">
        <v>1226</v>
      </c>
    </row>
    <row r="4954" customFormat="false" ht="15" hidden="false" customHeight="false" outlineLevel="0" collapsed="false">
      <c r="A4954" s="2" t="n">
        <v>4953</v>
      </c>
      <c r="B4954" s="2" t="s">
        <v>10073</v>
      </c>
      <c r="C4954" s="2" t="s">
        <v>10074</v>
      </c>
      <c r="D4954" s="2"/>
      <c r="E4954" s="2" t="s">
        <v>1345</v>
      </c>
      <c r="F4954" s="3" t="n">
        <v>3E-006</v>
      </c>
      <c r="G4954" s="3" t="n">
        <f aca="false">SUM($F$2:F4954)</f>
        <v>0.999617</v>
      </c>
      <c r="H4954" s="4"/>
      <c r="I4954" s="5"/>
      <c r="J4954" s="4"/>
      <c r="K4954" s="5"/>
      <c r="L4954" s="6"/>
      <c r="M4954" s="5" t="str">
        <f aca="false">IF(AND(N(K4954)&gt;0,N(L4954)&gt;0),K4954/L4954,"")</f>
        <v/>
      </c>
      <c r="N4954" s="2" t="s">
        <v>1226</v>
      </c>
    </row>
    <row r="4955" customFormat="false" ht="15" hidden="false" customHeight="false" outlineLevel="0" collapsed="false">
      <c r="A4955" s="2" t="n">
        <v>4954</v>
      </c>
      <c r="B4955" s="2" t="s">
        <v>10075</v>
      </c>
      <c r="C4955" s="2" t="s">
        <v>10076</v>
      </c>
      <c r="D4955" s="2"/>
      <c r="E4955" s="2" t="s">
        <v>1345</v>
      </c>
      <c r="F4955" s="3" t="n">
        <v>3E-006</v>
      </c>
      <c r="G4955" s="3" t="n">
        <f aca="false">SUM($F$2:F4955)</f>
        <v>0.99962</v>
      </c>
      <c r="H4955" s="4"/>
      <c r="I4955" s="5"/>
      <c r="J4955" s="4"/>
      <c r="K4955" s="5"/>
      <c r="L4955" s="6"/>
      <c r="M4955" s="5" t="str">
        <f aca="false">IF(AND(N(K4955)&gt;0,N(L4955)&gt;0),K4955/L4955,"")</f>
        <v/>
      </c>
      <c r="N4955" s="2" t="s">
        <v>1226</v>
      </c>
    </row>
    <row r="4956" customFormat="false" ht="15" hidden="false" customHeight="false" outlineLevel="0" collapsed="false">
      <c r="A4956" s="2" t="n">
        <v>4955</v>
      </c>
      <c r="B4956" s="2" t="s">
        <v>10077</v>
      </c>
      <c r="C4956" s="2" t="s">
        <v>10078</v>
      </c>
      <c r="D4956" s="2"/>
      <c r="E4956" s="2" t="s">
        <v>1345</v>
      </c>
      <c r="F4956" s="3" t="n">
        <v>3E-006</v>
      </c>
      <c r="G4956" s="3" t="n">
        <f aca="false">SUM($F$2:F4956)</f>
        <v>0.999623</v>
      </c>
      <c r="H4956" s="4"/>
      <c r="I4956" s="5"/>
      <c r="J4956" s="4"/>
      <c r="K4956" s="5"/>
      <c r="L4956" s="6"/>
      <c r="M4956" s="5" t="str">
        <f aca="false">IF(AND(N(K4956)&gt;0,N(L4956)&gt;0),K4956/L4956,"")</f>
        <v/>
      </c>
      <c r="N4956" s="2" t="s">
        <v>1226</v>
      </c>
    </row>
    <row r="4957" customFormat="false" ht="15" hidden="false" customHeight="false" outlineLevel="0" collapsed="false">
      <c r="A4957" s="2" t="n">
        <v>4956</v>
      </c>
      <c r="B4957" s="2" t="s">
        <v>10079</v>
      </c>
      <c r="C4957" s="2" t="s">
        <v>10080</v>
      </c>
      <c r="D4957" s="2"/>
      <c r="E4957" s="2" t="s">
        <v>1345</v>
      </c>
      <c r="F4957" s="3" t="n">
        <v>3E-006</v>
      </c>
      <c r="G4957" s="3" t="n">
        <f aca="false">SUM($F$2:F4957)</f>
        <v>0.999626</v>
      </c>
      <c r="H4957" s="4"/>
      <c r="I4957" s="5"/>
      <c r="J4957" s="4"/>
      <c r="K4957" s="5"/>
      <c r="L4957" s="6"/>
      <c r="M4957" s="5" t="str">
        <f aca="false">IF(AND(N(K4957)&gt;0,N(L4957)&gt;0),K4957/L4957,"")</f>
        <v/>
      </c>
      <c r="N4957" s="2" t="s">
        <v>1226</v>
      </c>
    </row>
    <row r="4958" customFormat="false" ht="15" hidden="false" customHeight="false" outlineLevel="0" collapsed="false">
      <c r="A4958" s="2" t="n">
        <v>4957</v>
      </c>
      <c r="B4958" s="2" t="s">
        <v>10081</v>
      </c>
      <c r="C4958" s="2" t="s">
        <v>10082</v>
      </c>
      <c r="D4958" s="2"/>
      <c r="E4958" s="2" t="s">
        <v>1345</v>
      </c>
      <c r="F4958" s="3" t="n">
        <v>3E-006</v>
      </c>
      <c r="G4958" s="3" t="n">
        <f aca="false">SUM($F$2:F4958)</f>
        <v>0.999629</v>
      </c>
      <c r="H4958" s="4"/>
      <c r="I4958" s="5"/>
      <c r="J4958" s="4"/>
      <c r="K4958" s="5"/>
      <c r="L4958" s="6"/>
      <c r="M4958" s="5" t="str">
        <f aca="false">IF(AND(N(K4958)&gt;0,N(L4958)&gt;0),K4958/L4958,"")</f>
        <v/>
      </c>
      <c r="N4958" s="2" t="s">
        <v>1226</v>
      </c>
    </row>
    <row r="4959" customFormat="false" ht="15" hidden="false" customHeight="false" outlineLevel="0" collapsed="false">
      <c r="A4959" s="2" t="n">
        <v>4958</v>
      </c>
      <c r="B4959" s="2" t="s">
        <v>10083</v>
      </c>
      <c r="C4959" s="2" t="s">
        <v>10084</v>
      </c>
      <c r="D4959" s="2"/>
      <c r="E4959" s="2" t="s">
        <v>289</v>
      </c>
      <c r="F4959" s="3" t="n">
        <v>3E-006</v>
      </c>
      <c r="G4959" s="3" t="n">
        <f aca="false">SUM($F$2:F4959)</f>
        <v>0.999632</v>
      </c>
      <c r="H4959" s="4"/>
      <c r="I4959" s="5"/>
      <c r="J4959" s="4"/>
      <c r="K4959" s="5"/>
      <c r="L4959" s="6"/>
      <c r="M4959" s="5" t="str">
        <f aca="false">IF(AND(N(K4959)&gt;0,N(L4959)&gt;0),K4959/L4959,"")</f>
        <v/>
      </c>
      <c r="N4959" s="2" t="s">
        <v>1226</v>
      </c>
    </row>
    <row r="4960" customFormat="false" ht="15" hidden="false" customHeight="false" outlineLevel="0" collapsed="false">
      <c r="A4960" s="2" t="n">
        <v>4959</v>
      </c>
      <c r="B4960" s="2" t="s">
        <v>10085</v>
      </c>
      <c r="C4960" s="2" t="s">
        <v>10086</v>
      </c>
      <c r="D4960" s="2"/>
      <c r="E4960" s="2" t="s">
        <v>296</v>
      </c>
      <c r="F4960" s="3" t="n">
        <v>3E-006</v>
      </c>
      <c r="G4960" s="3" t="n">
        <f aca="false">SUM($F$2:F4960)</f>
        <v>0.999635</v>
      </c>
      <c r="H4960" s="4"/>
      <c r="I4960" s="5"/>
      <c r="J4960" s="4"/>
      <c r="K4960" s="5"/>
      <c r="L4960" s="6"/>
      <c r="M4960" s="5" t="str">
        <f aca="false">IF(AND(N(K4960)&gt;0,N(L4960)&gt;0),K4960/L4960,"")</f>
        <v/>
      </c>
      <c r="N4960" s="2" t="s">
        <v>1226</v>
      </c>
    </row>
    <row r="4961" customFormat="false" ht="15" hidden="false" customHeight="false" outlineLevel="0" collapsed="false">
      <c r="A4961" s="2" t="n">
        <v>4960</v>
      </c>
      <c r="B4961" s="2" t="s">
        <v>10087</v>
      </c>
      <c r="C4961" s="2" t="s">
        <v>10088</v>
      </c>
      <c r="D4961" s="2"/>
      <c r="E4961" s="2" t="s">
        <v>289</v>
      </c>
      <c r="F4961" s="3" t="n">
        <v>3E-006</v>
      </c>
      <c r="G4961" s="3" t="n">
        <f aca="false">SUM($F$2:F4961)</f>
        <v>0.999638</v>
      </c>
      <c r="H4961" s="4"/>
      <c r="I4961" s="5"/>
      <c r="J4961" s="4"/>
      <c r="K4961" s="5"/>
      <c r="L4961" s="6"/>
      <c r="M4961" s="5" t="str">
        <f aca="false">IF(AND(N(K4961)&gt;0,N(L4961)&gt;0),K4961/L4961,"")</f>
        <v/>
      </c>
      <c r="N4961" s="2" t="s">
        <v>1226</v>
      </c>
    </row>
    <row r="4962" customFormat="false" ht="15" hidden="false" customHeight="false" outlineLevel="0" collapsed="false">
      <c r="A4962" s="2" t="n">
        <v>4961</v>
      </c>
      <c r="B4962" s="2" t="s">
        <v>10089</v>
      </c>
      <c r="C4962" s="2" t="s">
        <v>10090</v>
      </c>
      <c r="D4962" s="2"/>
      <c r="E4962" s="2" t="s">
        <v>1345</v>
      </c>
      <c r="F4962" s="3" t="n">
        <v>3E-006</v>
      </c>
      <c r="G4962" s="3" t="n">
        <f aca="false">SUM($F$2:F4962)</f>
        <v>0.999641</v>
      </c>
      <c r="H4962" s="4"/>
      <c r="I4962" s="5"/>
      <c r="J4962" s="4"/>
      <c r="K4962" s="5"/>
      <c r="L4962" s="6"/>
      <c r="M4962" s="5" t="str">
        <f aca="false">IF(AND(N(K4962)&gt;0,N(L4962)&gt;0),K4962/L4962,"")</f>
        <v/>
      </c>
      <c r="N4962" s="2" t="s">
        <v>1226</v>
      </c>
    </row>
    <row r="4963" customFormat="false" ht="15" hidden="false" customHeight="false" outlineLevel="0" collapsed="false">
      <c r="A4963" s="2" t="n">
        <v>4962</v>
      </c>
      <c r="B4963" s="2" t="s">
        <v>10091</v>
      </c>
      <c r="C4963" s="2" t="s">
        <v>10092</v>
      </c>
      <c r="D4963" s="2"/>
      <c r="E4963" s="2" t="s">
        <v>2055</v>
      </c>
      <c r="F4963" s="3" t="n">
        <v>3E-006</v>
      </c>
      <c r="G4963" s="3" t="n">
        <f aca="false">SUM($F$2:F4963)</f>
        <v>0.999644</v>
      </c>
      <c r="H4963" s="4"/>
      <c r="I4963" s="5"/>
      <c r="J4963" s="4"/>
      <c r="K4963" s="5"/>
      <c r="L4963" s="6"/>
      <c r="M4963" s="5" t="str">
        <f aca="false">IF(AND(N(K4963)&gt;0,N(L4963)&gt;0),K4963/L4963,"")</f>
        <v/>
      </c>
      <c r="N4963" s="2" t="s">
        <v>1226</v>
      </c>
    </row>
    <row r="4964" customFormat="false" ht="15" hidden="false" customHeight="false" outlineLevel="0" collapsed="false">
      <c r="A4964" s="2" t="n">
        <v>4963</v>
      </c>
      <c r="B4964" s="2" t="s">
        <v>10093</v>
      </c>
      <c r="C4964" s="2" t="s">
        <v>10094</v>
      </c>
      <c r="D4964" s="2"/>
      <c r="E4964" s="2" t="s">
        <v>17</v>
      </c>
      <c r="F4964" s="3" t="n">
        <v>3E-006</v>
      </c>
      <c r="G4964" s="3" t="n">
        <f aca="false">SUM($F$2:F4964)</f>
        <v>0.999647</v>
      </c>
      <c r="H4964" s="4"/>
      <c r="I4964" s="5"/>
      <c r="J4964" s="4"/>
      <c r="K4964" s="5"/>
      <c r="L4964" s="6"/>
      <c r="M4964" s="5" t="str">
        <f aca="false">IF(AND(N(K4964)&gt;0,N(L4964)&gt;0),K4964/L4964,"")</f>
        <v/>
      </c>
      <c r="N4964" s="2" t="s">
        <v>1226</v>
      </c>
    </row>
    <row r="4965" customFormat="false" ht="15" hidden="false" customHeight="false" outlineLevel="0" collapsed="false">
      <c r="A4965" s="2" t="n">
        <v>4964</v>
      </c>
      <c r="B4965" s="2" t="s">
        <v>10095</v>
      </c>
      <c r="C4965" s="2" t="s">
        <v>10096</v>
      </c>
      <c r="D4965" s="2"/>
      <c r="E4965" s="2" t="s">
        <v>1345</v>
      </c>
      <c r="F4965" s="3" t="n">
        <v>3E-006</v>
      </c>
      <c r="G4965" s="3" t="n">
        <f aca="false">SUM($F$2:F4965)</f>
        <v>0.99965</v>
      </c>
      <c r="H4965" s="4"/>
      <c r="I4965" s="5"/>
      <c r="J4965" s="4"/>
      <c r="K4965" s="5"/>
      <c r="L4965" s="6"/>
      <c r="M4965" s="5" t="str">
        <f aca="false">IF(AND(N(K4965)&gt;0,N(L4965)&gt;0),K4965/L4965,"")</f>
        <v/>
      </c>
      <c r="N4965" s="2" t="s">
        <v>1226</v>
      </c>
    </row>
    <row r="4966" customFormat="false" ht="15" hidden="false" customHeight="false" outlineLevel="0" collapsed="false">
      <c r="A4966" s="2" t="n">
        <v>4965</v>
      </c>
      <c r="B4966" s="2" t="s">
        <v>10097</v>
      </c>
      <c r="C4966" s="2" t="s">
        <v>10098</v>
      </c>
      <c r="D4966" s="2"/>
      <c r="E4966" s="2" t="s">
        <v>2055</v>
      </c>
      <c r="F4966" s="3" t="n">
        <v>3E-006</v>
      </c>
      <c r="G4966" s="3" t="n">
        <f aca="false">SUM($F$2:F4966)</f>
        <v>0.999653</v>
      </c>
      <c r="H4966" s="4"/>
      <c r="I4966" s="5"/>
      <c r="J4966" s="4"/>
      <c r="K4966" s="5"/>
      <c r="L4966" s="6"/>
      <c r="M4966" s="5" t="str">
        <f aca="false">IF(AND(N(K4966)&gt;0,N(L4966)&gt;0),K4966/L4966,"")</f>
        <v/>
      </c>
      <c r="N4966" s="2" t="s">
        <v>1226</v>
      </c>
    </row>
    <row r="4967" customFormat="false" ht="15" hidden="false" customHeight="false" outlineLevel="0" collapsed="false">
      <c r="A4967" s="2" t="n">
        <v>4966</v>
      </c>
      <c r="B4967" s="2" t="s">
        <v>10099</v>
      </c>
      <c r="C4967" s="2" t="s">
        <v>10100</v>
      </c>
      <c r="D4967" s="2"/>
      <c r="E4967" s="2" t="s">
        <v>1345</v>
      </c>
      <c r="F4967" s="3" t="n">
        <v>3E-006</v>
      </c>
      <c r="G4967" s="3" t="n">
        <f aca="false">SUM($F$2:F4967)</f>
        <v>0.999656</v>
      </c>
      <c r="H4967" s="4"/>
      <c r="I4967" s="5"/>
      <c r="J4967" s="4"/>
      <c r="K4967" s="5"/>
      <c r="L4967" s="6"/>
      <c r="M4967" s="5" t="str">
        <f aca="false">IF(AND(N(K4967)&gt;0,N(L4967)&gt;0),K4967/L4967,"")</f>
        <v/>
      </c>
      <c r="N4967" s="2" t="s">
        <v>1226</v>
      </c>
    </row>
    <row r="4968" customFormat="false" ht="15" hidden="false" customHeight="false" outlineLevel="0" collapsed="false">
      <c r="A4968" s="2" t="n">
        <v>4967</v>
      </c>
      <c r="B4968" s="2" t="s">
        <v>10101</v>
      </c>
      <c r="C4968" s="2" t="s">
        <v>10102</v>
      </c>
      <c r="D4968" s="2"/>
      <c r="E4968" s="2" t="s">
        <v>17</v>
      </c>
      <c r="F4968" s="3" t="n">
        <v>3E-006</v>
      </c>
      <c r="G4968" s="3" t="n">
        <f aca="false">SUM($F$2:F4968)</f>
        <v>0.999659</v>
      </c>
      <c r="H4968" s="4"/>
      <c r="I4968" s="5"/>
      <c r="J4968" s="4"/>
      <c r="K4968" s="5"/>
      <c r="L4968" s="6"/>
      <c r="M4968" s="5" t="str">
        <f aca="false">IF(AND(N(K4968)&gt;0,N(L4968)&gt;0),K4968/L4968,"")</f>
        <v/>
      </c>
      <c r="N4968" s="2" t="s">
        <v>1226</v>
      </c>
    </row>
    <row r="4969" customFormat="false" ht="15" hidden="false" customHeight="false" outlineLevel="0" collapsed="false">
      <c r="A4969" s="2" t="n">
        <v>4968</v>
      </c>
      <c r="B4969" s="2" t="s">
        <v>10103</v>
      </c>
      <c r="C4969" s="2" t="s">
        <v>10104</v>
      </c>
      <c r="D4969" s="2"/>
      <c r="E4969" s="2" t="s">
        <v>1345</v>
      </c>
      <c r="F4969" s="3" t="n">
        <v>3E-006</v>
      </c>
      <c r="G4969" s="3" t="n">
        <f aca="false">SUM($F$2:F4969)</f>
        <v>0.999662</v>
      </c>
      <c r="H4969" s="4"/>
      <c r="I4969" s="5"/>
      <c r="J4969" s="4"/>
      <c r="K4969" s="5"/>
      <c r="L4969" s="6"/>
      <c r="M4969" s="5" t="str">
        <f aca="false">IF(AND(N(K4969)&gt;0,N(L4969)&gt;0),K4969/L4969,"")</f>
        <v/>
      </c>
      <c r="N4969" s="2" t="s">
        <v>1226</v>
      </c>
    </row>
    <row r="4970" customFormat="false" ht="15" hidden="false" customHeight="false" outlineLevel="0" collapsed="false">
      <c r="A4970" s="2" t="n">
        <v>4969</v>
      </c>
      <c r="B4970" s="2" t="s">
        <v>301</v>
      </c>
      <c r="C4970" s="2" t="s">
        <v>10105</v>
      </c>
      <c r="D4970" s="2"/>
      <c r="E4970" s="2" t="s">
        <v>2763</v>
      </c>
      <c r="F4970" s="3" t="n">
        <v>3E-006</v>
      </c>
      <c r="G4970" s="3" t="n">
        <f aca="false">SUM($F$2:F4970)</f>
        <v>0.999665</v>
      </c>
      <c r="H4970" s="4"/>
      <c r="I4970" s="5"/>
      <c r="J4970" s="4"/>
      <c r="K4970" s="5"/>
      <c r="L4970" s="6"/>
      <c r="M4970" s="5" t="str">
        <f aca="false">IF(AND(N(K4970)&gt;0,N(L4970)&gt;0),K4970/L4970,"")</f>
        <v/>
      </c>
      <c r="N4970" s="2" t="s">
        <v>34</v>
      </c>
    </row>
    <row r="4971" customFormat="false" ht="15" hidden="false" customHeight="false" outlineLevel="0" collapsed="false">
      <c r="A4971" s="2" t="n">
        <v>4970</v>
      </c>
      <c r="B4971" s="2" t="s">
        <v>10106</v>
      </c>
      <c r="C4971" s="2" t="s">
        <v>10107</v>
      </c>
      <c r="D4971" s="2"/>
      <c r="E4971" s="2" t="s">
        <v>1345</v>
      </c>
      <c r="F4971" s="3" t="n">
        <v>3E-006</v>
      </c>
      <c r="G4971" s="3" t="n">
        <f aca="false">SUM($F$2:F4971)</f>
        <v>0.999668</v>
      </c>
      <c r="H4971" s="4"/>
      <c r="I4971" s="5"/>
      <c r="J4971" s="4"/>
      <c r="K4971" s="5"/>
      <c r="L4971" s="6"/>
      <c r="M4971" s="5" t="str">
        <f aca="false">IF(AND(N(K4971)&gt;0,N(L4971)&gt;0),K4971/L4971,"")</f>
        <v/>
      </c>
      <c r="N4971" s="2" t="s">
        <v>1226</v>
      </c>
    </row>
    <row r="4972" customFormat="false" ht="15" hidden="false" customHeight="false" outlineLevel="0" collapsed="false">
      <c r="A4972" s="2" t="n">
        <v>4971</v>
      </c>
      <c r="B4972" s="2" t="s">
        <v>10108</v>
      </c>
      <c r="C4972" s="2" t="s">
        <v>10109</v>
      </c>
      <c r="D4972" s="2"/>
      <c r="E4972" s="2" t="s">
        <v>43</v>
      </c>
      <c r="F4972" s="3" t="n">
        <v>3E-006</v>
      </c>
      <c r="G4972" s="3" t="n">
        <f aca="false">SUM($F$2:F4972)</f>
        <v>0.999671</v>
      </c>
      <c r="H4972" s="4"/>
      <c r="I4972" s="5"/>
      <c r="J4972" s="4"/>
      <c r="K4972" s="5"/>
      <c r="L4972" s="6"/>
      <c r="M4972" s="5" t="str">
        <f aca="false">IF(AND(N(K4972)&gt;0,N(L4972)&gt;0),K4972/L4972,"")</f>
        <v/>
      </c>
      <c r="N4972" s="2" t="s">
        <v>1226</v>
      </c>
    </row>
    <row r="4973" customFormat="false" ht="15" hidden="false" customHeight="false" outlineLevel="0" collapsed="false">
      <c r="A4973" s="2" t="n">
        <v>4972</v>
      </c>
      <c r="B4973" s="2" t="s">
        <v>10110</v>
      </c>
      <c r="C4973" s="2" t="s">
        <v>10111</v>
      </c>
      <c r="D4973" s="2"/>
      <c r="E4973" s="2" t="s">
        <v>1345</v>
      </c>
      <c r="F4973" s="3" t="n">
        <v>3E-006</v>
      </c>
      <c r="G4973" s="3" t="n">
        <f aca="false">SUM($F$2:F4973)</f>
        <v>0.999674</v>
      </c>
      <c r="H4973" s="4"/>
      <c r="I4973" s="5"/>
      <c r="J4973" s="4"/>
      <c r="K4973" s="5"/>
      <c r="L4973" s="6"/>
      <c r="M4973" s="5" t="str">
        <f aca="false">IF(AND(N(K4973)&gt;0,N(L4973)&gt;0),K4973/L4973,"")</f>
        <v/>
      </c>
      <c r="N4973" s="2" t="s">
        <v>1226</v>
      </c>
    </row>
    <row r="4974" customFormat="false" ht="15" hidden="false" customHeight="false" outlineLevel="0" collapsed="false">
      <c r="A4974" s="2" t="n">
        <v>4973</v>
      </c>
      <c r="B4974" s="2" t="s">
        <v>10112</v>
      </c>
      <c r="C4974" s="2" t="s">
        <v>10113</v>
      </c>
      <c r="D4974" s="2"/>
      <c r="E4974" s="2" t="s">
        <v>2055</v>
      </c>
      <c r="F4974" s="3" t="n">
        <v>3E-006</v>
      </c>
      <c r="G4974" s="3" t="n">
        <f aca="false">SUM($F$2:F4974)</f>
        <v>0.999677</v>
      </c>
      <c r="H4974" s="4"/>
      <c r="I4974" s="5"/>
      <c r="J4974" s="4"/>
      <c r="K4974" s="5"/>
      <c r="L4974" s="6"/>
      <c r="M4974" s="5" t="str">
        <f aca="false">IF(AND(N(K4974)&gt;0,N(L4974)&gt;0),K4974/L4974,"")</f>
        <v/>
      </c>
      <c r="N4974" s="2" t="s">
        <v>1226</v>
      </c>
    </row>
    <row r="4975" customFormat="false" ht="15" hidden="false" customHeight="false" outlineLevel="0" collapsed="false">
      <c r="A4975" s="2" t="n">
        <v>4974</v>
      </c>
      <c r="B4975" s="2" t="s">
        <v>10114</v>
      </c>
      <c r="C4975" s="2" t="s">
        <v>10115</v>
      </c>
      <c r="D4975" s="2"/>
      <c r="E4975" s="2" t="s">
        <v>1284</v>
      </c>
      <c r="F4975" s="3" t="n">
        <v>3E-006</v>
      </c>
      <c r="G4975" s="3" t="n">
        <f aca="false">SUM($F$2:F4975)</f>
        <v>0.99968</v>
      </c>
      <c r="H4975" s="4"/>
      <c r="I4975" s="5"/>
      <c r="J4975" s="4"/>
      <c r="K4975" s="5"/>
      <c r="L4975" s="6"/>
      <c r="M4975" s="5" t="str">
        <f aca="false">IF(AND(N(K4975)&gt;0,N(L4975)&gt;0),K4975/L4975,"")</f>
        <v/>
      </c>
      <c r="N4975" s="2" t="s">
        <v>1226</v>
      </c>
    </row>
    <row r="4976" customFormat="false" ht="15" hidden="false" customHeight="false" outlineLevel="0" collapsed="false">
      <c r="A4976" s="2" t="n">
        <v>4975</v>
      </c>
      <c r="B4976" s="2" t="s">
        <v>10116</v>
      </c>
      <c r="C4976" s="2" t="s">
        <v>10117</v>
      </c>
      <c r="D4976" s="2"/>
      <c r="E4976" s="2" t="s">
        <v>1345</v>
      </c>
      <c r="F4976" s="3" t="n">
        <v>3E-006</v>
      </c>
      <c r="G4976" s="3" t="n">
        <f aca="false">SUM($F$2:F4976)</f>
        <v>0.999683</v>
      </c>
      <c r="H4976" s="4"/>
      <c r="I4976" s="5"/>
      <c r="J4976" s="4"/>
      <c r="K4976" s="5"/>
      <c r="L4976" s="6"/>
      <c r="M4976" s="5" t="str">
        <f aca="false">IF(AND(N(K4976)&gt;0,N(L4976)&gt;0),K4976/L4976,"")</f>
        <v/>
      </c>
      <c r="N4976" s="2" t="s">
        <v>1226</v>
      </c>
    </row>
    <row r="4977" customFormat="false" ht="15" hidden="false" customHeight="false" outlineLevel="0" collapsed="false">
      <c r="A4977" s="2" t="n">
        <v>4976</v>
      </c>
      <c r="B4977" s="2" t="s">
        <v>10118</v>
      </c>
      <c r="C4977" s="2" t="s">
        <v>10119</v>
      </c>
      <c r="D4977" s="2"/>
      <c r="E4977" s="2" t="s">
        <v>1345</v>
      </c>
      <c r="F4977" s="3" t="n">
        <v>3E-006</v>
      </c>
      <c r="G4977" s="3" t="n">
        <f aca="false">SUM($F$2:F4977)</f>
        <v>0.999686</v>
      </c>
      <c r="H4977" s="4"/>
      <c r="I4977" s="5"/>
      <c r="J4977" s="4"/>
      <c r="K4977" s="5"/>
      <c r="L4977" s="6"/>
      <c r="M4977" s="5" t="str">
        <f aca="false">IF(AND(N(K4977)&gt;0,N(L4977)&gt;0),K4977/L4977,"")</f>
        <v/>
      </c>
      <c r="N4977" s="2" t="s">
        <v>1226</v>
      </c>
    </row>
    <row r="4978" customFormat="false" ht="15" hidden="false" customHeight="false" outlineLevel="0" collapsed="false">
      <c r="A4978" s="2" t="n">
        <v>4977</v>
      </c>
      <c r="B4978" s="2" t="s">
        <v>10120</v>
      </c>
      <c r="C4978" s="2" t="s">
        <v>10121</v>
      </c>
      <c r="D4978" s="2"/>
      <c r="E4978" s="2" t="s">
        <v>17</v>
      </c>
      <c r="F4978" s="3" t="n">
        <v>3E-006</v>
      </c>
      <c r="G4978" s="3" t="n">
        <f aca="false">SUM($F$2:F4978)</f>
        <v>0.999689</v>
      </c>
      <c r="H4978" s="4"/>
      <c r="I4978" s="5"/>
      <c r="J4978" s="4"/>
      <c r="K4978" s="5"/>
      <c r="L4978" s="6"/>
      <c r="M4978" s="5" t="str">
        <f aca="false">IF(AND(N(K4978)&gt;0,N(L4978)&gt;0),K4978/L4978,"")</f>
        <v/>
      </c>
      <c r="N4978" s="2" t="s">
        <v>1226</v>
      </c>
    </row>
    <row r="4979" customFormat="false" ht="15" hidden="false" customHeight="false" outlineLevel="0" collapsed="false">
      <c r="A4979" s="2" t="n">
        <v>4978</v>
      </c>
      <c r="B4979" s="2" t="s">
        <v>10122</v>
      </c>
      <c r="C4979" s="2" t="s">
        <v>10123</v>
      </c>
      <c r="D4979" s="2"/>
      <c r="E4979" s="2" t="s">
        <v>289</v>
      </c>
      <c r="F4979" s="3" t="n">
        <v>3E-006</v>
      </c>
      <c r="G4979" s="3" t="n">
        <f aca="false">SUM($F$2:F4979)</f>
        <v>0.999692</v>
      </c>
      <c r="H4979" s="4"/>
      <c r="I4979" s="5"/>
      <c r="J4979" s="4"/>
      <c r="K4979" s="5"/>
      <c r="L4979" s="6"/>
      <c r="M4979" s="5" t="str">
        <f aca="false">IF(AND(N(K4979)&gt;0,N(L4979)&gt;0),K4979/L4979,"")</f>
        <v/>
      </c>
      <c r="N4979" s="2" t="s">
        <v>1226</v>
      </c>
    </row>
    <row r="4980" customFormat="false" ht="15" hidden="false" customHeight="false" outlineLevel="0" collapsed="false">
      <c r="A4980" s="2" t="n">
        <v>4979</v>
      </c>
      <c r="B4980" s="2" t="s">
        <v>10124</v>
      </c>
      <c r="C4980" s="2" t="s">
        <v>10125</v>
      </c>
      <c r="D4980" s="2"/>
      <c r="E4980" s="2" t="s">
        <v>52</v>
      </c>
      <c r="F4980" s="3" t="n">
        <v>3E-006</v>
      </c>
      <c r="G4980" s="3" t="n">
        <f aca="false">SUM($F$2:F4980)</f>
        <v>0.999695</v>
      </c>
      <c r="H4980" s="4"/>
      <c r="I4980" s="5"/>
      <c r="J4980" s="4"/>
      <c r="K4980" s="5"/>
      <c r="L4980" s="6"/>
      <c r="M4980" s="5" t="str">
        <f aca="false">IF(AND(N(K4980)&gt;0,N(L4980)&gt;0),K4980/L4980,"")</f>
        <v/>
      </c>
      <c r="N4980" s="2" t="s">
        <v>1226</v>
      </c>
    </row>
    <row r="4981" customFormat="false" ht="15" hidden="false" customHeight="false" outlineLevel="0" collapsed="false">
      <c r="A4981" s="2" t="n">
        <v>4980</v>
      </c>
      <c r="B4981" s="2" t="s">
        <v>10126</v>
      </c>
      <c r="C4981" s="2" t="s">
        <v>10127</v>
      </c>
      <c r="D4981" s="2"/>
      <c r="E4981" s="2" t="s">
        <v>289</v>
      </c>
      <c r="F4981" s="3" t="n">
        <v>3E-006</v>
      </c>
      <c r="G4981" s="3" t="n">
        <f aca="false">SUM($F$2:F4981)</f>
        <v>0.999698</v>
      </c>
      <c r="H4981" s="4"/>
      <c r="I4981" s="5"/>
      <c r="J4981" s="4"/>
      <c r="K4981" s="5"/>
      <c r="L4981" s="6"/>
      <c r="M4981" s="5" t="str">
        <f aca="false">IF(AND(N(K4981)&gt;0,N(L4981)&gt;0),K4981/L4981,"")</f>
        <v/>
      </c>
      <c r="N4981" s="2" t="s">
        <v>1226</v>
      </c>
    </row>
    <row r="4982" customFormat="false" ht="15" hidden="false" customHeight="false" outlineLevel="0" collapsed="false">
      <c r="A4982" s="2" t="n">
        <v>4981</v>
      </c>
      <c r="B4982" s="2" t="s">
        <v>10128</v>
      </c>
      <c r="C4982" s="2" t="s">
        <v>10129</v>
      </c>
      <c r="D4982" s="2"/>
      <c r="E4982" s="2" t="s">
        <v>1050</v>
      </c>
      <c r="F4982" s="3" t="n">
        <v>3E-006</v>
      </c>
      <c r="G4982" s="3" t="n">
        <f aca="false">SUM($F$2:F4982)</f>
        <v>0.999701</v>
      </c>
      <c r="H4982" s="4"/>
      <c r="I4982" s="5"/>
      <c r="J4982" s="4"/>
      <c r="K4982" s="5"/>
      <c r="L4982" s="6"/>
      <c r="M4982" s="5" t="str">
        <f aca="false">IF(AND(N(K4982)&gt;0,N(L4982)&gt;0),K4982/L4982,"")</f>
        <v/>
      </c>
      <c r="N4982" s="2" t="s">
        <v>1226</v>
      </c>
    </row>
    <row r="4983" customFormat="false" ht="15" hidden="false" customHeight="false" outlineLevel="0" collapsed="false">
      <c r="A4983" s="2" t="n">
        <v>4982</v>
      </c>
      <c r="B4983" s="2" t="s">
        <v>10130</v>
      </c>
      <c r="C4983" s="2" t="s">
        <v>10131</v>
      </c>
      <c r="D4983" s="2"/>
      <c r="E4983" s="2" t="s">
        <v>1345</v>
      </c>
      <c r="F4983" s="3" t="n">
        <v>3E-006</v>
      </c>
      <c r="G4983" s="3" t="n">
        <f aca="false">SUM($F$2:F4983)</f>
        <v>0.999704</v>
      </c>
      <c r="H4983" s="4"/>
      <c r="I4983" s="5"/>
      <c r="J4983" s="4"/>
      <c r="K4983" s="5"/>
      <c r="L4983" s="6"/>
      <c r="M4983" s="5" t="str">
        <f aca="false">IF(AND(N(K4983)&gt;0,N(L4983)&gt;0),K4983/L4983,"")</f>
        <v/>
      </c>
      <c r="N4983" s="2" t="s">
        <v>1226</v>
      </c>
    </row>
    <row r="4984" customFormat="false" ht="15" hidden="false" customHeight="false" outlineLevel="0" collapsed="false">
      <c r="A4984" s="2" t="n">
        <v>4983</v>
      </c>
      <c r="B4984" s="2" t="s">
        <v>10132</v>
      </c>
      <c r="C4984" s="2" t="s">
        <v>10133</v>
      </c>
      <c r="D4984" s="2"/>
      <c r="E4984" s="2" t="s">
        <v>289</v>
      </c>
      <c r="F4984" s="3" t="n">
        <v>3E-006</v>
      </c>
      <c r="G4984" s="3" t="n">
        <f aca="false">SUM($F$2:F4984)</f>
        <v>0.999707</v>
      </c>
      <c r="H4984" s="4"/>
      <c r="I4984" s="5"/>
      <c r="J4984" s="4"/>
      <c r="K4984" s="5"/>
      <c r="L4984" s="6"/>
      <c r="M4984" s="5" t="str">
        <f aca="false">IF(AND(N(K4984)&gt;0,N(L4984)&gt;0),K4984/L4984,"")</f>
        <v/>
      </c>
      <c r="N4984" s="2" t="s">
        <v>1226</v>
      </c>
    </row>
    <row r="4985" customFormat="false" ht="15" hidden="false" customHeight="false" outlineLevel="0" collapsed="false">
      <c r="A4985" s="2" t="n">
        <v>4984</v>
      </c>
      <c r="B4985" s="2" t="s">
        <v>10134</v>
      </c>
      <c r="C4985" s="2" t="s">
        <v>10135</v>
      </c>
      <c r="D4985" s="2"/>
      <c r="E4985" s="2" t="s">
        <v>2055</v>
      </c>
      <c r="F4985" s="3" t="n">
        <v>3E-006</v>
      </c>
      <c r="G4985" s="3" t="n">
        <f aca="false">SUM($F$2:F4985)</f>
        <v>0.99971</v>
      </c>
      <c r="H4985" s="4"/>
      <c r="I4985" s="5"/>
      <c r="J4985" s="4"/>
      <c r="K4985" s="5"/>
      <c r="L4985" s="6"/>
      <c r="M4985" s="5" t="str">
        <f aca="false">IF(AND(N(K4985)&gt;0,N(L4985)&gt;0),K4985/L4985,"")</f>
        <v/>
      </c>
      <c r="N4985" s="2" t="s">
        <v>1226</v>
      </c>
    </row>
    <row r="4986" customFormat="false" ht="15" hidden="false" customHeight="false" outlineLevel="0" collapsed="false">
      <c r="A4986" s="2" t="n">
        <v>4985</v>
      </c>
      <c r="B4986" s="2" t="s">
        <v>10136</v>
      </c>
      <c r="C4986" s="2" t="s">
        <v>10137</v>
      </c>
      <c r="D4986" s="2"/>
      <c r="E4986" s="2" t="s">
        <v>43</v>
      </c>
      <c r="F4986" s="3" t="n">
        <v>3E-006</v>
      </c>
      <c r="G4986" s="3" t="n">
        <f aca="false">SUM($F$2:F4986)</f>
        <v>0.999713</v>
      </c>
      <c r="H4986" s="4"/>
      <c r="I4986" s="5"/>
      <c r="J4986" s="4"/>
      <c r="K4986" s="5"/>
      <c r="L4986" s="6"/>
      <c r="M4986" s="5" t="str">
        <f aca="false">IF(AND(N(K4986)&gt;0,N(L4986)&gt;0),K4986/L4986,"")</f>
        <v/>
      </c>
      <c r="N4986" s="2" t="s">
        <v>1226</v>
      </c>
    </row>
    <row r="4987" customFormat="false" ht="15" hidden="false" customHeight="false" outlineLevel="0" collapsed="false">
      <c r="A4987" s="2" t="n">
        <v>4986</v>
      </c>
      <c r="B4987" s="2" t="s">
        <v>10138</v>
      </c>
      <c r="C4987" s="2" t="s">
        <v>10139</v>
      </c>
      <c r="D4987" s="2"/>
      <c r="E4987" s="2" t="s">
        <v>43</v>
      </c>
      <c r="F4987" s="3" t="n">
        <v>3E-006</v>
      </c>
      <c r="G4987" s="3" t="n">
        <f aca="false">SUM($F$2:F4987)</f>
        <v>0.999716</v>
      </c>
      <c r="H4987" s="4"/>
      <c r="I4987" s="5"/>
      <c r="J4987" s="4"/>
      <c r="K4987" s="5"/>
      <c r="L4987" s="6"/>
      <c r="M4987" s="5" t="str">
        <f aca="false">IF(AND(N(K4987)&gt;0,N(L4987)&gt;0),K4987/L4987,"")</f>
        <v/>
      </c>
      <c r="N4987" s="2" t="s">
        <v>1226</v>
      </c>
    </row>
    <row r="4988" customFormat="false" ht="15" hidden="false" customHeight="false" outlineLevel="0" collapsed="false">
      <c r="A4988" s="2" t="n">
        <v>4987</v>
      </c>
      <c r="B4988" s="2" t="s">
        <v>10140</v>
      </c>
      <c r="C4988" s="2" t="s">
        <v>10141</v>
      </c>
      <c r="D4988" s="2"/>
      <c r="E4988" s="2" t="s">
        <v>17</v>
      </c>
      <c r="F4988" s="3" t="n">
        <v>3E-006</v>
      </c>
      <c r="G4988" s="3" t="n">
        <f aca="false">SUM($F$2:F4988)</f>
        <v>0.999719</v>
      </c>
      <c r="H4988" s="4"/>
      <c r="I4988" s="5"/>
      <c r="J4988" s="4"/>
      <c r="K4988" s="5"/>
      <c r="L4988" s="6"/>
      <c r="M4988" s="5" t="str">
        <f aca="false">IF(AND(N(K4988)&gt;0,N(L4988)&gt;0),K4988/L4988,"")</f>
        <v/>
      </c>
      <c r="N4988" s="2" t="s">
        <v>1226</v>
      </c>
    </row>
    <row r="4989" customFormat="false" ht="15" hidden="false" customHeight="false" outlineLevel="0" collapsed="false">
      <c r="A4989" s="2" t="n">
        <v>4988</v>
      </c>
      <c r="B4989" s="2" t="s">
        <v>10142</v>
      </c>
      <c r="C4989" s="2" t="s">
        <v>10143</v>
      </c>
      <c r="D4989" s="2"/>
      <c r="E4989" s="2" t="s">
        <v>43</v>
      </c>
      <c r="F4989" s="3" t="n">
        <v>3E-006</v>
      </c>
      <c r="G4989" s="3" t="n">
        <f aca="false">SUM($F$2:F4989)</f>
        <v>0.999722</v>
      </c>
      <c r="H4989" s="4"/>
      <c r="I4989" s="5"/>
      <c r="J4989" s="4"/>
      <c r="K4989" s="5"/>
      <c r="L4989" s="6"/>
      <c r="M4989" s="5" t="str">
        <f aca="false">IF(AND(N(K4989)&gt;0,N(L4989)&gt;0),K4989/L4989,"")</f>
        <v/>
      </c>
      <c r="N4989" s="2" t="s">
        <v>1226</v>
      </c>
    </row>
    <row r="4990" customFormat="false" ht="15" hidden="false" customHeight="false" outlineLevel="0" collapsed="false">
      <c r="A4990" s="2" t="n">
        <v>4989</v>
      </c>
      <c r="B4990" s="2" t="s">
        <v>10144</v>
      </c>
      <c r="C4990" s="2" t="s">
        <v>10145</v>
      </c>
      <c r="D4990" s="2"/>
      <c r="E4990" s="2" t="s">
        <v>2055</v>
      </c>
      <c r="F4990" s="3" t="n">
        <v>3E-006</v>
      </c>
      <c r="G4990" s="3" t="n">
        <f aca="false">SUM($F$2:F4990)</f>
        <v>0.999725</v>
      </c>
      <c r="H4990" s="4"/>
      <c r="I4990" s="5"/>
      <c r="J4990" s="4"/>
      <c r="K4990" s="5"/>
      <c r="L4990" s="6"/>
      <c r="M4990" s="5" t="str">
        <f aca="false">IF(AND(N(K4990)&gt;0,N(L4990)&gt;0),K4990/L4990,"")</f>
        <v/>
      </c>
      <c r="N4990" s="2" t="s">
        <v>1226</v>
      </c>
    </row>
    <row r="4991" customFormat="false" ht="15" hidden="false" customHeight="false" outlineLevel="0" collapsed="false">
      <c r="A4991" s="2" t="n">
        <v>4990</v>
      </c>
      <c r="B4991" s="2" t="s">
        <v>10146</v>
      </c>
      <c r="C4991" s="2" t="s">
        <v>10147</v>
      </c>
      <c r="D4991" s="2"/>
      <c r="E4991" s="2" t="s">
        <v>1345</v>
      </c>
      <c r="F4991" s="3" t="n">
        <v>3E-006</v>
      </c>
      <c r="G4991" s="3" t="n">
        <f aca="false">SUM($F$2:F4991)</f>
        <v>0.999728</v>
      </c>
      <c r="H4991" s="4"/>
      <c r="I4991" s="5"/>
      <c r="J4991" s="4"/>
      <c r="K4991" s="5"/>
      <c r="L4991" s="6"/>
      <c r="M4991" s="5" t="str">
        <f aca="false">IF(AND(N(K4991)&gt;0,N(L4991)&gt;0),K4991/L4991,"")</f>
        <v/>
      </c>
      <c r="N4991" s="2" t="s">
        <v>1226</v>
      </c>
    </row>
    <row r="4992" customFormat="false" ht="15" hidden="false" customHeight="false" outlineLevel="0" collapsed="false">
      <c r="A4992" s="2" t="n">
        <v>4991</v>
      </c>
      <c r="B4992" s="2" t="s">
        <v>10148</v>
      </c>
      <c r="C4992" s="2" t="s">
        <v>10149</v>
      </c>
      <c r="D4992" s="2"/>
      <c r="E4992" s="2" t="s">
        <v>25</v>
      </c>
      <c r="F4992" s="3" t="n">
        <v>3E-006</v>
      </c>
      <c r="G4992" s="3" t="n">
        <f aca="false">SUM($F$2:F4992)</f>
        <v>0.999731</v>
      </c>
      <c r="H4992" s="4"/>
      <c r="I4992" s="5"/>
      <c r="J4992" s="4"/>
      <c r="K4992" s="5"/>
      <c r="L4992" s="6"/>
      <c r="M4992" s="5" t="str">
        <f aca="false">IF(AND(N(K4992)&gt;0,N(L4992)&gt;0),K4992/L4992,"")</f>
        <v/>
      </c>
      <c r="N4992" s="2" t="s">
        <v>1226</v>
      </c>
    </row>
    <row r="4993" customFormat="false" ht="15" hidden="false" customHeight="false" outlineLevel="0" collapsed="false">
      <c r="A4993" s="2" t="n">
        <v>4992</v>
      </c>
      <c r="B4993" s="2" t="s">
        <v>10150</v>
      </c>
      <c r="C4993" s="2" t="s">
        <v>10151</v>
      </c>
      <c r="D4993" s="2"/>
      <c r="E4993" s="2" t="s">
        <v>17</v>
      </c>
      <c r="F4993" s="3" t="n">
        <v>3E-006</v>
      </c>
      <c r="G4993" s="3" t="n">
        <f aca="false">SUM($F$2:F4993)</f>
        <v>0.999734</v>
      </c>
      <c r="H4993" s="4"/>
      <c r="I4993" s="5"/>
      <c r="J4993" s="4"/>
      <c r="K4993" s="5"/>
      <c r="L4993" s="6"/>
      <c r="M4993" s="5" t="str">
        <f aca="false">IF(AND(N(K4993)&gt;0,N(L4993)&gt;0),K4993/L4993,"")</f>
        <v/>
      </c>
      <c r="N4993" s="2" t="s">
        <v>1226</v>
      </c>
    </row>
    <row r="4994" customFormat="false" ht="15" hidden="false" customHeight="false" outlineLevel="0" collapsed="false">
      <c r="A4994" s="2" t="n">
        <v>4993</v>
      </c>
      <c r="B4994" s="2" t="s">
        <v>10152</v>
      </c>
      <c r="C4994" s="2" t="s">
        <v>10153</v>
      </c>
      <c r="D4994" s="2"/>
      <c r="E4994" s="2" t="s">
        <v>1245</v>
      </c>
      <c r="F4994" s="3" t="n">
        <v>3E-006</v>
      </c>
      <c r="G4994" s="3" t="n">
        <f aca="false">SUM($F$2:F4994)</f>
        <v>0.999737</v>
      </c>
      <c r="H4994" s="4"/>
      <c r="I4994" s="5"/>
      <c r="J4994" s="4"/>
      <c r="K4994" s="5"/>
      <c r="L4994" s="6"/>
      <c r="M4994" s="5" t="str">
        <f aca="false">IF(AND(N(K4994)&gt;0,N(L4994)&gt;0),K4994/L4994,"")</f>
        <v/>
      </c>
      <c r="N4994" s="2" t="s">
        <v>1226</v>
      </c>
    </row>
    <row r="4995" customFormat="false" ht="15" hidden="false" customHeight="false" outlineLevel="0" collapsed="false">
      <c r="A4995" s="2" t="n">
        <v>4994</v>
      </c>
      <c r="B4995" s="2" t="s">
        <v>10154</v>
      </c>
      <c r="C4995" s="2" t="s">
        <v>10155</v>
      </c>
      <c r="D4995" s="2"/>
      <c r="E4995" s="2" t="s">
        <v>289</v>
      </c>
      <c r="F4995" s="3" t="n">
        <v>3E-006</v>
      </c>
      <c r="G4995" s="3" t="n">
        <f aca="false">SUM($F$2:F4995)</f>
        <v>0.99974</v>
      </c>
      <c r="H4995" s="4"/>
      <c r="I4995" s="5"/>
      <c r="J4995" s="4"/>
      <c r="K4995" s="5"/>
      <c r="L4995" s="6"/>
      <c r="M4995" s="5" t="str">
        <f aca="false">IF(AND(N(K4995)&gt;0,N(L4995)&gt;0),K4995/L4995,"")</f>
        <v/>
      </c>
      <c r="N4995" s="2" t="s">
        <v>1226</v>
      </c>
    </row>
    <row r="4996" customFormat="false" ht="15" hidden="false" customHeight="false" outlineLevel="0" collapsed="false">
      <c r="A4996" s="2" t="n">
        <v>4995</v>
      </c>
      <c r="B4996" s="2" t="s">
        <v>10156</v>
      </c>
      <c r="C4996" s="2" t="s">
        <v>10157</v>
      </c>
      <c r="D4996" s="2"/>
      <c r="E4996" s="2" t="s">
        <v>2055</v>
      </c>
      <c r="F4996" s="3" t="n">
        <v>3E-006</v>
      </c>
      <c r="G4996" s="3" t="n">
        <f aca="false">SUM($F$2:F4996)</f>
        <v>0.999743</v>
      </c>
      <c r="H4996" s="4"/>
      <c r="I4996" s="5"/>
      <c r="J4996" s="4"/>
      <c r="K4996" s="5"/>
      <c r="L4996" s="6"/>
      <c r="M4996" s="5" t="str">
        <f aca="false">IF(AND(N(K4996)&gt;0,N(L4996)&gt;0),K4996/L4996,"")</f>
        <v/>
      </c>
      <c r="N4996" s="2" t="s">
        <v>1226</v>
      </c>
    </row>
    <row r="4997" customFormat="false" ht="15" hidden="false" customHeight="false" outlineLevel="0" collapsed="false">
      <c r="A4997" s="2" t="n">
        <v>4996</v>
      </c>
      <c r="B4997" s="2" t="s">
        <v>10158</v>
      </c>
      <c r="C4997" s="2" t="s">
        <v>10159</v>
      </c>
      <c r="D4997" s="2"/>
      <c r="E4997" s="2" t="s">
        <v>1345</v>
      </c>
      <c r="F4997" s="3" t="n">
        <v>3E-006</v>
      </c>
      <c r="G4997" s="3" t="n">
        <f aca="false">SUM($F$2:F4997)</f>
        <v>0.999746</v>
      </c>
      <c r="H4997" s="4"/>
      <c r="I4997" s="5"/>
      <c r="J4997" s="4"/>
      <c r="K4997" s="5"/>
      <c r="L4997" s="6"/>
      <c r="M4997" s="5" t="str">
        <f aca="false">IF(AND(N(K4997)&gt;0,N(L4997)&gt;0),K4997/L4997,"")</f>
        <v/>
      </c>
      <c r="N4997" s="2" t="s">
        <v>1226</v>
      </c>
    </row>
    <row r="4998" customFormat="false" ht="15" hidden="false" customHeight="false" outlineLevel="0" collapsed="false">
      <c r="A4998" s="2" t="n">
        <v>4997</v>
      </c>
      <c r="B4998" s="2" t="s">
        <v>10160</v>
      </c>
      <c r="C4998" s="2" t="s">
        <v>10161</v>
      </c>
      <c r="D4998" s="2"/>
      <c r="E4998" s="2" t="s">
        <v>1345</v>
      </c>
      <c r="F4998" s="3" t="n">
        <v>3E-006</v>
      </c>
      <c r="G4998" s="3" t="n">
        <f aca="false">SUM($F$2:F4998)</f>
        <v>0.999749</v>
      </c>
      <c r="H4998" s="4"/>
      <c r="I4998" s="5"/>
      <c r="J4998" s="4"/>
      <c r="K4998" s="5"/>
      <c r="L4998" s="6"/>
      <c r="M4998" s="5" t="str">
        <f aca="false">IF(AND(N(K4998)&gt;0,N(L4998)&gt;0),K4998/L4998,"")</f>
        <v/>
      </c>
      <c r="N4998" s="2" t="s">
        <v>1226</v>
      </c>
    </row>
    <row r="4999" customFormat="false" ht="15" hidden="false" customHeight="false" outlineLevel="0" collapsed="false">
      <c r="A4999" s="2" t="n">
        <v>4998</v>
      </c>
      <c r="B4999" s="2" t="s">
        <v>10162</v>
      </c>
      <c r="C4999" s="2" t="s">
        <v>10163</v>
      </c>
      <c r="D4999" s="2"/>
      <c r="E4999" s="2" t="s">
        <v>25</v>
      </c>
      <c r="F4999" s="3" t="n">
        <v>3E-006</v>
      </c>
      <c r="G4999" s="3" t="n">
        <f aca="false">SUM($F$2:F4999)</f>
        <v>0.999752</v>
      </c>
      <c r="H4999" s="4"/>
      <c r="I4999" s="5"/>
      <c r="J4999" s="4"/>
      <c r="K4999" s="5"/>
      <c r="L4999" s="6"/>
      <c r="M4999" s="5" t="str">
        <f aca="false">IF(AND(N(K4999)&gt;0,N(L4999)&gt;0),K4999/L4999,"")</f>
        <v/>
      </c>
      <c r="N4999" s="2" t="s">
        <v>1226</v>
      </c>
    </row>
    <row r="5000" customFormat="false" ht="15" hidden="false" customHeight="false" outlineLevel="0" collapsed="false">
      <c r="A5000" s="2" t="n">
        <v>4999</v>
      </c>
      <c r="B5000" s="2" t="s">
        <v>301</v>
      </c>
      <c r="C5000" s="2" t="s">
        <v>10164</v>
      </c>
      <c r="D5000" s="2"/>
      <c r="E5000" s="2" t="s">
        <v>1295</v>
      </c>
      <c r="F5000" s="3" t="n">
        <v>3E-006</v>
      </c>
      <c r="G5000" s="3" t="n">
        <f aca="false">SUM($F$2:F5000)</f>
        <v>0.999755</v>
      </c>
      <c r="H5000" s="4"/>
      <c r="I5000" s="5"/>
      <c r="J5000" s="4"/>
      <c r="K5000" s="5"/>
      <c r="L5000" s="6"/>
      <c r="M5000" s="5" t="str">
        <f aca="false">IF(AND(N(K5000)&gt;0,N(L5000)&gt;0),K5000/L5000,"")</f>
        <v/>
      </c>
      <c r="N5000" s="2" t="s">
        <v>34</v>
      </c>
    </row>
    <row r="5001" customFormat="false" ht="15" hidden="false" customHeight="false" outlineLevel="0" collapsed="false">
      <c r="A5001" s="2" t="n">
        <v>5000</v>
      </c>
      <c r="B5001" s="2" t="s">
        <v>10165</v>
      </c>
      <c r="C5001" s="2" t="s">
        <v>10166</v>
      </c>
      <c r="D5001" s="2"/>
      <c r="E5001" s="2" t="s">
        <v>1588</v>
      </c>
      <c r="F5001" s="3" t="n">
        <v>3E-006</v>
      </c>
      <c r="G5001" s="3" t="n">
        <f aca="false">SUM($F$2:F5001)</f>
        <v>0.999758</v>
      </c>
      <c r="H5001" s="4"/>
      <c r="I5001" s="5"/>
      <c r="J5001" s="4"/>
      <c r="K5001" s="5"/>
      <c r="L5001" s="6"/>
      <c r="M5001" s="5" t="str">
        <f aca="false">IF(AND(N(K5001)&gt;0,N(L5001)&gt;0),K5001/L5001,"")</f>
        <v/>
      </c>
      <c r="N5001" s="2" t="s">
        <v>1226</v>
      </c>
    </row>
    <row r="5002" customFormat="false" ht="15" hidden="false" customHeight="false" outlineLevel="0" collapsed="false">
      <c r="A5002" s="2" t="n">
        <v>5001</v>
      </c>
      <c r="B5002" s="2" t="s">
        <v>10167</v>
      </c>
      <c r="C5002" s="2" t="s">
        <v>10168</v>
      </c>
      <c r="D5002" s="2"/>
      <c r="E5002" s="2" t="s">
        <v>614</v>
      </c>
      <c r="F5002" s="3" t="n">
        <v>3E-006</v>
      </c>
      <c r="G5002" s="3" t="n">
        <f aca="false">SUM($F$2:F5002)</f>
        <v>0.999761</v>
      </c>
      <c r="H5002" s="4"/>
      <c r="I5002" s="5"/>
      <c r="J5002" s="4"/>
      <c r="K5002" s="5"/>
      <c r="L5002" s="6"/>
      <c r="M5002" s="5" t="str">
        <f aca="false">IF(AND(N(K5002)&gt;0,N(L5002)&gt;0),K5002/L5002,"")</f>
        <v/>
      </c>
      <c r="N5002" s="2" t="s">
        <v>1226</v>
      </c>
    </row>
    <row r="5003" customFormat="false" ht="15" hidden="false" customHeight="false" outlineLevel="0" collapsed="false">
      <c r="A5003" s="2" t="n">
        <v>5002</v>
      </c>
      <c r="B5003" s="2" t="s">
        <v>10169</v>
      </c>
      <c r="C5003" s="2" t="s">
        <v>10170</v>
      </c>
      <c r="D5003" s="2"/>
      <c r="E5003" s="2" t="s">
        <v>296</v>
      </c>
      <c r="F5003" s="3" t="n">
        <v>3E-006</v>
      </c>
      <c r="G5003" s="3" t="n">
        <f aca="false">SUM($F$2:F5003)</f>
        <v>0.999764</v>
      </c>
      <c r="H5003" s="4"/>
      <c r="I5003" s="5"/>
      <c r="J5003" s="4"/>
      <c r="K5003" s="5"/>
      <c r="L5003" s="6"/>
      <c r="M5003" s="5" t="str">
        <f aca="false">IF(AND(N(K5003)&gt;0,N(L5003)&gt;0),K5003/L5003,"")</f>
        <v/>
      </c>
      <c r="N5003" s="2" t="s">
        <v>1226</v>
      </c>
    </row>
    <row r="5004" customFormat="false" ht="15" hidden="false" customHeight="false" outlineLevel="0" collapsed="false">
      <c r="A5004" s="2" t="n">
        <v>5003</v>
      </c>
      <c r="B5004" s="2" t="s">
        <v>10171</v>
      </c>
      <c r="C5004" s="2" t="s">
        <v>10172</v>
      </c>
      <c r="D5004" s="2"/>
      <c r="E5004" s="2" t="s">
        <v>17</v>
      </c>
      <c r="F5004" s="3" t="n">
        <v>3E-006</v>
      </c>
      <c r="G5004" s="3" t="n">
        <f aca="false">SUM($F$2:F5004)</f>
        <v>0.999767</v>
      </c>
      <c r="H5004" s="4"/>
      <c r="I5004" s="5"/>
      <c r="J5004" s="4"/>
      <c r="K5004" s="5"/>
      <c r="L5004" s="6"/>
      <c r="M5004" s="5" t="str">
        <f aca="false">IF(AND(N(K5004)&gt;0,N(L5004)&gt;0),K5004/L5004,"")</f>
        <v/>
      </c>
      <c r="N5004" s="2" t="s">
        <v>1226</v>
      </c>
    </row>
    <row r="5005" customFormat="false" ht="15" hidden="false" customHeight="false" outlineLevel="0" collapsed="false">
      <c r="A5005" s="2" t="n">
        <v>5004</v>
      </c>
      <c r="B5005" s="2" t="s">
        <v>10173</v>
      </c>
      <c r="C5005" s="2" t="s">
        <v>10174</v>
      </c>
      <c r="D5005" s="2"/>
      <c r="E5005" s="2" t="s">
        <v>289</v>
      </c>
      <c r="F5005" s="3" t="n">
        <v>3E-006</v>
      </c>
      <c r="G5005" s="3" t="n">
        <f aca="false">SUM($F$2:F5005)</f>
        <v>0.99977</v>
      </c>
      <c r="H5005" s="4"/>
      <c r="I5005" s="5"/>
      <c r="J5005" s="4"/>
      <c r="K5005" s="5"/>
      <c r="L5005" s="6"/>
      <c r="M5005" s="5" t="str">
        <f aca="false">IF(AND(N(K5005)&gt;0,N(L5005)&gt;0),K5005/L5005,"")</f>
        <v/>
      </c>
      <c r="N5005" s="2" t="s">
        <v>1226</v>
      </c>
    </row>
    <row r="5006" customFormat="false" ht="15" hidden="false" customHeight="false" outlineLevel="0" collapsed="false">
      <c r="A5006" s="2" t="n">
        <v>5005</v>
      </c>
      <c r="B5006" s="2" t="s">
        <v>10175</v>
      </c>
      <c r="C5006" s="2" t="s">
        <v>10176</v>
      </c>
      <c r="D5006" s="2"/>
      <c r="E5006" s="2" t="s">
        <v>43</v>
      </c>
      <c r="F5006" s="3" t="n">
        <v>3E-006</v>
      </c>
      <c r="G5006" s="3" t="n">
        <f aca="false">SUM($F$2:F5006)</f>
        <v>0.999773</v>
      </c>
      <c r="H5006" s="4"/>
      <c r="I5006" s="5"/>
      <c r="J5006" s="4"/>
      <c r="K5006" s="5"/>
      <c r="L5006" s="6"/>
      <c r="M5006" s="5" t="str">
        <f aca="false">IF(AND(N(K5006)&gt;0,N(L5006)&gt;0),K5006/L5006,"")</f>
        <v/>
      </c>
      <c r="N5006" s="2" t="s">
        <v>1226</v>
      </c>
    </row>
    <row r="5007" customFormat="false" ht="15" hidden="false" customHeight="false" outlineLevel="0" collapsed="false">
      <c r="A5007" s="2" t="n">
        <v>5006</v>
      </c>
      <c r="B5007" s="2" t="s">
        <v>10177</v>
      </c>
      <c r="C5007" s="2" t="s">
        <v>10178</v>
      </c>
      <c r="D5007" s="2"/>
      <c r="E5007" s="2" t="s">
        <v>1345</v>
      </c>
      <c r="F5007" s="3" t="n">
        <v>3E-006</v>
      </c>
      <c r="G5007" s="3" t="n">
        <f aca="false">SUM($F$2:F5007)</f>
        <v>0.999776</v>
      </c>
      <c r="H5007" s="4"/>
      <c r="I5007" s="5"/>
      <c r="J5007" s="4"/>
      <c r="K5007" s="5"/>
      <c r="L5007" s="6"/>
      <c r="M5007" s="5" t="str">
        <f aca="false">IF(AND(N(K5007)&gt;0,N(L5007)&gt;0),K5007/L5007,"")</f>
        <v/>
      </c>
      <c r="N5007" s="2" t="s">
        <v>1226</v>
      </c>
    </row>
    <row r="5008" customFormat="false" ht="15" hidden="false" customHeight="false" outlineLevel="0" collapsed="false">
      <c r="A5008" s="2" t="n">
        <v>5007</v>
      </c>
      <c r="B5008" s="2" t="s">
        <v>10179</v>
      </c>
      <c r="C5008" s="2" t="s">
        <v>10180</v>
      </c>
      <c r="D5008" s="2"/>
      <c r="E5008" s="2" t="s">
        <v>1345</v>
      </c>
      <c r="F5008" s="3" t="n">
        <v>3E-006</v>
      </c>
      <c r="G5008" s="3" t="n">
        <f aca="false">SUM($F$2:F5008)</f>
        <v>0.999779</v>
      </c>
      <c r="H5008" s="4"/>
      <c r="I5008" s="5"/>
      <c r="J5008" s="4"/>
      <c r="K5008" s="5"/>
      <c r="L5008" s="6"/>
      <c r="M5008" s="5" t="str">
        <f aca="false">IF(AND(N(K5008)&gt;0,N(L5008)&gt;0),K5008/L5008,"")</f>
        <v/>
      </c>
      <c r="N5008" s="2" t="s">
        <v>1226</v>
      </c>
    </row>
    <row r="5009" customFormat="false" ht="15" hidden="false" customHeight="false" outlineLevel="0" collapsed="false">
      <c r="A5009" s="2" t="n">
        <v>5008</v>
      </c>
      <c r="B5009" s="2" t="s">
        <v>3682</v>
      </c>
      <c r="C5009" s="2" t="s">
        <v>10181</v>
      </c>
      <c r="D5009" s="2"/>
      <c r="E5009" s="2" t="s">
        <v>17</v>
      </c>
      <c r="F5009" s="3" t="n">
        <v>3E-006</v>
      </c>
      <c r="G5009" s="3" t="n">
        <f aca="false">SUM($F$2:F5009)</f>
        <v>0.999782</v>
      </c>
      <c r="H5009" s="4"/>
      <c r="I5009" s="5"/>
      <c r="J5009" s="4"/>
      <c r="K5009" s="5"/>
      <c r="L5009" s="6"/>
      <c r="M5009" s="5" t="str">
        <f aca="false">IF(AND(N(K5009)&gt;0,N(L5009)&gt;0),K5009/L5009,"")</f>
        <v/>
      </c>
      <c r="N5009" s="2" t="s">
        <v>1226</v>
      </c>
    </row>
    <row r="5010" customFormat="false" ht="15" hidden="false" customHeight="false" outlineLevel="0" collapsed="false">
      <c r="A5010" s="2" t="n">
        <v>5009</v>
      </c>
      <c r="B5010" s="2" t="s">
        <v>10182</v>
      </c>
      <c r="C5010" s="2" t="s">
        <v>10183</v>
      </c>
      <c r="D5010" s="2"/>
      <c r="E5010" s="2" t="s">
        <v>17</v>
      </c>
      <c r="F5010" s="3" t="n">
        <v>3E-006</v>
      </c>
      <c r="G5010" s="3" t="n">
        <f aca="false">SUM($F$2:F5010)</f>
        <v>0.999785</v>
      </c>
      <c r="H5010" s="4"/>
      <c r="I5010" s="5"/>
      <c r="J5010" s="4"/>
      <c r="K5010" s="5"/>
      <c r="L5010" s="6"/>
      <c r="M5010" s="5" t="str">
        <f aca="false">IF(AND(N(K5010)&gt;0,N(L5010)&gt;0),K5010/L5010,"")</f>
        <v/>
      </c>
      <c r="N5010" s="2" t="s">
        <v>1226</v>
      </c>
    </row>
    <row r="5011" customFormat="false" ht="15" hidden="false" customHeight="false" outlineLevel="0" collapsed="false">
      <c r="A5011" s="2" t="n">
        <v>5010</v>
      </c>
      <c r="B5011" s="2" t="s">
        <v>10184</v>
      </c>
      <c r="C5011" s="2" t="s">
        <v>10185</v>
      </c>
      <c r="D5011" s="2"/>
      <c r="E5011" s="2" t="s">
        <v>1345</v>
      </c>
      <c r="F5011" s="3" t="n">
        <v>3E-006</v>
      </c>
      <c r="G5011" s="3" t="n">
        <f aca="false">SUM($F$2:F5011)</f>
        <v>0.999788</v>
      </c>
      <c r="H5011" s="4"/>
      <c r="I5011" s="5"/>
      <c r="J5011" s="4"/>
      <c r="K5011" s="5"/>
      <c r="L5011" s="6"/>
      <c r="M5011" s="5" t="str">
        <f aca="false">IF(AND(N(K5011)&gt;0,N(L5011)&gt;0),K5011/L5011,"")</f>
        <v/>
      </c>
      <c r="N5011" s="2" t="s">
        <v>1226</v>
      </c>
    </row>
    <row r="5012" customFormat="false" ht="15" hidden="false" customHeight="false" outlineLevel="0" collapsed="false">
      <c r="A5012" s="2" t="n">
        <v>5011</v>
      </c>
      <c r="B5012" s="2" t="s">
        <v>10186</v>
      </c>
      <c r="C5012" s="2" t="s">
        <v>10187</v>
      </c>
      <c r="D5012" s="2"/>
      <c r="E5012" s="2" t="s">
        <v>1345</v>
      </c>
      <c r="F5012" s="3" t="n">
        <v>3E-006</v>
      </c>
      <c r="G5012" s="3" t="n">
        <f aca="false">SUM($F$2:F5012)</f>
        <v>0.999791</v>
      </c>
      <c r="H5012" s="4"/>
      <c r="I5012" s="5"/>
      <c r="J5012" s="4"/>
      <c r="K5012" s="5"/>
      <c r="L5012" s="6"/>
      <c r="M5012" s="5" t="str">
        <f aca="false">IF(AND(N(K5012)&gt;0,N(L5012)&gt;0),K5012/L5012,"")</f>
        <v/>
      </c>
      <c r="N5012" s="2" t="s">
        <v>1226</v>
      </c>
    </row>
    <row r="5013" customFormat="false" ht="15" hidden="false" customHeight="false" outlineLevel="0" collapsed="false">
      <c r="A5013" s="2" t="n">
        <v>5012</v>
      </c>
      <c r="B5013" s="2" t="s">
        <v>10188</v>
      </c>
      <c r="C5013" s="2" t="s">
        <v>10189</v>
      </c>
      <c r="D5013" s="2"/>
      <c r="E5013" s="2" t="s">
        <v>2763</v>
      </c>
      <c r="F5013" s="3" t="n">
        <v>3E-006</v>
      </c>
      <c r="G5013" s="3" t="n">
        <f aca="false">SUM($F$2:F5013)</f>
        <v>0.999794</v>
      </c>
      <c r="H5013" s="4"/>
      <c r="I5013" s="5"/>
      <c r="J5013" s="4"/>
      <c r="K5013" s="5"/>
      <c r="L5013" s="6"/>
      <c r="M5013" s="5" t="str">
        <f aca="false">IF(AND(N(K5013)&gt;0,N(L5013)&gt;0),K5013/L5013,"")</f>
        <v/>
      </c>
      <c r="N5013" s="2" t="s">
        <v>1226</v>
      </c>
    </row>
    <row r="5014" customFormat="false" ht="15" hidden="false" customHeight="false" outlineLevel="0" collapsed="false">
      <c r="A5014" s="2" t="n">
        <v>5013</v>
      </c>
      <c r="B5014" s="2" t="s">
        <v>10190</v>
      </c>
      <c r="C5014" s="2" t="s">
        <v>10191</v>
      </c>
      <c r="D5014" s="2"/>
      <c r="E5014" s="2" t="s">
        <v>199</v>
      </c>
      <c r="F5014" s="3" t="n">
        <v>3E-006</v>
      </c>
      <c r="G5014" s="3" t="n">
        <f aca="false">SUM($F$2:F5014)</f>
        <v>0.999797</v>
      </c>
      <c r="H5014" s="4"/>
      <c r="I5014" s="5"/>
      <c r="J5014" s="4"/>
      <c r="K5014" s="5"/>
      <c r="L5014" s="6"/>
      <c r="M5014" s="5" t="str">
        <f aca="false">IF(AND(N(K5014)&gt;0,N(L5014)&gt;0),K5014/L5014,"")</f>
        <v/>
      </c>
      <c r="N5014" s="2" t="s">
        <v>1226</v>
      </c>
    </row>
    <row r="5015" customFormat="false" ht="15" hidden="false" customHeight="false" outlineLevel="0" collapsed="false">
      <c r="A5015" s="2" t="n">
        <v>5014</v>
      </c>
      <c r="B5015" s="2" t="s">
        <v>10192</v>
      </c>
      <c r="C5015" s="2" t="s">
        <v>10193</v>
      </c>
      <c r="D5015" s="2"/>
      <c r="E5015" s="2" t="s">
        <v>1345</v>
      </c>
      <c r="F5015" s="3" t="n">
        <v>3E-006</v>
      </c>
      <c r="G5015" s="3" t="n">
        <f aca="false">SUM($F$2:F5015)</f>
        <v>0.9998</v>
      </c>
      <c r="H5015" s="4"/>
      <c r="I5015" s="5"/>
      <c r="J5015" s="4"/>
      <c r="K5015" s="5"/>
      <c r="L5015" s="6"/>
      <c r="M5015" s="5" t="str">
        <f aca="false">IF(AND(N(K5015)&gt;0,N(L5015)&gt;0),K5015/L5015,"")</f>
        <v/>
      </c>
      <c r="N5015" s="2" t="s">
        <v>1226</v>
      </c>
    </row>
    <row r="5016" customFormat="false" ht="15" hidden="false" customHeight="false" outlineLevel="0" collapsed="false">
      <c r="A5016" s="2" t="n">
        <v>5015</v>
      </c>
      <c r="B5016" s="2" t="s">
        <v>10194</v>
      </c>
      <c r="C5016" s="2" t="s">
        <v>10195</v>
      </c>
      <c r="D5016" s="2"/>
      <c r="E5016" s="2" t="s">
        <v>17</v>
      </c>
      <c r="F5016" s="3" t="n">
        <v>3E-006</v>
      </c>
      <c r="G5016" s="3" t="n">
        <f aca="false">SUM($F$2:F5016)</f>
        <v>0.999803</v>
      </c>
      <c r="H5016" s="4"/>
      <c r="I5016" s="5"/>
      <c r="J5016" s="4"/>
      <c r="K5016" s="5"/>
      <c r="L5016" s="6"/>
      <c r="M5016" s="5" t="str">
        <f aca="false">IF(AND(N(K5016)&gt;0,N(L5016)&gt;0),K5016/L5016,"")</f>
        <v/>
      </c>
      <c r="N5016" s="2" t="s">
        <v>1226</v>
      </c>
    </row>
    <row r="5017" customFormat="false" ht="15" hidden="false" customHeight="false" outlineLevel="0" collapsed="false">
      <c r="A5017" s="2" t="n">
        <v>5016</v>
      </c>
      <c r="B5017" s="2" t="s">
        <v>10196</v>
      </c>
      <c r="C5017" s="2" t="s">
        <v>10197</v>
      </c>
      <c r="D5017" s="2"/>
      <c r="E5017" s="2" t="s">
        <v>1345</v>
      </c>
      <c r="F5017" s="3" t="n">
        <v>3E-006</v>
      </c>
      <c r="G5017" s="3" t="n">
        <f aca="false">SUM($F$2:F5017)</f>
        <v>0.999806</v>
      </c>
      <c r="H5017" s="4"/>
      <c r="I5017" s="5"/>
      <c r="J5017" s="4"/>
      <c r="K5017" s="5"/>
      <c r="L5017" s="6"/>
      <c r="M5017" s="5" t="str">
        <f aca="false">IF(AND(N(K5017)&gt;0,N(L5017)&gt;0),K5017/L5017,"")</f>
        <v/>
      </c>
      <c r="N5017" s="2" t="s">
        <v>1226</v>
      </c>
    </row>
    <row r="5018" customFormat="false" ht="15" hidden="false" customHeight="false" outlineLevel="0" collapsed="false">
      <c r="A5018" s="2" t="n">
        <v>5017</v>
      </c>
      <c r="B5018" s="2" t="s">
        <v>10198</v>
      </c>
      <c r="C5018" s="2" t="s">
        <v>10199</v>
      </c>
      <c r="D5018" s="2"/>
      <c r="E5018" s="2" t="s">
        <v>25</v>
      </c>
      <c r="F5018" s="3" t="n">
        <v>3E-006</v>
      </c>
      <c r="G5018" s="3" t="n">
        <f aca="false">SUM($F$2:F5018)</f>
        <v>0.999809</v>
      </c>
      <c r="H5018" s="4"/>
      <c r="I5018" s="5"/>
      <c r="J5018" s="4"/>
      <c r="K5018" s="5"/>
      <c r="L5018" s="6"/>
      <c r="M5018" s="5" t="str">
        <f aca="false">IF(AND(N(K5018)&gt;0,N(L5018)&gt;0),K5018/L5018,"")</f>
        <v/>
      </c>
      <c r="N5018" s="2" t="s">
        <v>1226</v>
      </c>
    </row>
    <row r="5019" customFormat="false" ht="15" hidden="false" customHeight="false" outlineLevel="0" collapsed="false">
      <c r="A5019" s="2" t="n">
        <v>5018</v>
      </c>
      <c r="B5019" s="2" t="s">
        <v>10200</v>
      </c>
      <c r="C5019" s="2" t="s">
        <v>10201</v>
      </c>
      <c r="D5019" s="2"/>
      <c r="E5019" s="2" t="s">
        <v>17</v>
      </c>
      <c r="F5019" s="3" t="n">
        <v>3E-006</v>
      </c>
      <c r="G5019" s="3" t="n">
        <f aca="false">SUM($F$2:F5019)</f>
        <v>0.999812</v>
      </c>
      <c r="H5019" s="4"/>
      <c r="I5019" s="5"/>
      <c r="J5019" s="4"/>
      <c r="K5019" s="5"/>
      <c r="L5019" s="6"/>
      <c r="M5019" s="5" t="str">
        <f aca="false">IF(AND(N(K5019)&gt;0,N(L5019)&gt;0),K5019/L5019,"")</f>
        <v/>
      </c>
      <c r="N5019" s="2" t="s">
        <v>1226</v>
      </c>
    </row>
    <row r="5020" customFormat="false" ht="15" hidden="false" customHeight="false" outlineLevel="0" collapsed="false">
      <c r="A5020" s="2" t="n">
        <v>5019</v>
      </c>
      <c r="B5020" s="2" t="s">
        <v>10202</v>
      </c>
      <c r="C5020" s="2" t="s">
        <v>10203</v>
      </c>
      <c r="D5020" s="2"/>
      <c r="E5020" s="2" t="s">
        <v>38</v>
      </c>
      <c r="F5020" s="3" t="n">
        <v>3E-006</v>
      </c>
      <c r="G5020" s="3" t="n">
        <f aca="false">SUM($F$2:F5020)</f>
        <v>0.999815</v>
      </c>
      <c r="H5020" s="4"/>
      <c r="I5020" s="5"/>
      <c r="J5020" s="4"/>
      <c r="K5020" s="5"/>
      <c r="L5020" s="6"/>
      <c r="M5020" s="5" t="str">
        <f aca="false">IF(AND(N(K5020)&gt;0,N(L5020)&gt;0),K5020/L5020,"")</f>
        <v/>
      </c>
      <c r="N5020" s="2" t="s">
        <v>1226</v>
      </c>
    </row>
    <row r="5021" customFormat="false" ht="15" hidden="false" customHeight="false" outlineLevel="0" collapsed="false">
      <c r="A5021" s="2" t="n">
        <v>5020</v>
      </c>
      <c r="B5021" s="2" t="s">
        <v>10204</v>
      </c>
      <c r="C5021" s="2" t="s">
        <v>10205</v>
      </c>
      <c r="D5021" s="2"/>
      <c r="E5021" s="2" t="s">
        <v>289</v>
      </c>
      <c r="F5021" s="3" t="n">
        <v>2E-006</v>
      </c>
      <c r="G5021" s="3" t="n">
        <f aca="false">SUM($F$2:F5021)</f>
        <v>0.999817</v>
      </c>
      <c r="H5021" s="4"/>
      <c r="I5021" s="5"/>
      <c r="J5021" s="4"/>
      <c r="K5021" s="5"/>
      <c r="L5021" s="6"/>
      <c r="M5021" s="5" t="str">
        <f aca="false">IF(AND(N(K5021)&gt;0,N(L5021)&gt;0),K5021/L5021,"")</f>
        <v/>
      </c>
      <c r="N5021" s="2" t="s">
        <v>1226</v>
      </c>
    </row>
    <row r="5022" customFormat="false" ht="15" hidden="false" customHeight="false" outlineLevel="0" collapsed="false">
      <c r="A5022" s="2" t="n">
        <v>5021</v>
      </c>
      <c r="B5022" s="2" t="s">
        <v>10206</v>
      </c>
      <c r="C5022" s="2" t="s">
        <v>10207</v>
      </c>
      <c r="D5022" s="2"/>
      <c r="E5022" s="2" t="s">
        <v>52</v>
      </c>
      <c r="F5022" s="3" t="n">
        <v>2E-006</v>
      </c>
      <c r="G5022" s="3" t="n">
        <f aca="false">SUM($F$2:F5022)</f>
        <v>0.999819</v>
      </c>
      <c r="H5022" s="4"/>
      <c r="I5022" s="5"/>
      <c r="J5022" s="4"/>
      <c r="K5022" s="5"/>
      <c r="L5022" s="6"/>
      <c r="M5022" s="5" t="str">
        <f aca="false">IF(AND(N(K5022)&gt;0,N(L5022)&gt;0),K5022/L5022,"")</f>
        <v/>
      </c>
      <c r="N5022" s="2" t="s">
        <v>1226</v>
      </c>
    </row>
    <row r="5023" customFormat="false" ht="15" hidden="false" customHeight="false" outlineLevel="0" collapsed="false">
      <c r="A5023" s="2" t="n">
        <v>5022</v>
      </c>
      <c r="B5023" s="2" t="s">
        <v>10208</v>
      </c>
      <c r="C5023" s="2" t="s">
        <v>10209</v>
      </c>
      <c r="D5023" s="2"/>
      <c r="E5023" s="2" t="s">
        <v>1345</v>
      </c>
      <c r="F5023" s="3" t="n">
        <v>2E-006</v>
      </c>
      <c r="G5023" s="3" t="n">
        <f aca="false">SUM($F$2:F5023)</f>
        <v>0.999821</v>
      </c>
      <c r="H5023" s="4"/>
      <c r="I5023" s="5"/>
      <c r="J5023" s="4"/>
      <c r="K5023" s="5"/>
      <c r="L5023" s="6"/>
      <c r="M5023" s="5" t="str">
        <f aca="false">IF(AND(N(K5023)&gt;0,N(L5023)&gt;0),K5023/L5023,"")</f>
        <v/>
      </c>
      <c r="N5023" s="2" t="s">
        <v>1226</v>
      </c>
    </row>
    <row r="5024" customFormat="false" ht="15" hidden="false" customHeight="false" outlineLevel="0" collapsed="false">
      <c r="A5024" s="2" t="n">
        <v>5023</v>
      </c>
      <c r="B5024" s="2" t="s">
        <v>10210</v>
      </c>
      <c r="C5024" s="2" t="s">
        <v>10211</v>
      </c>
      <c r="D5024" s="2"/>
      <c r="E5024" s="2" t="s">
        <v>1345</v>
      </c>
      <c r="F5024" s="3" t="n">
        <v>2E-006</v>
      </c>
      <c r="G5024" s="3" t="n">
        <f aca="false">SUM($F$2:F5024)</f>
        <v>0.999823</v>
      </c>
      <c r="H5024" s="4"/>
      <c r="I5024" s="5"/>
      <c r="J5024" s="4"/>
      <c r="K5024" s="5"/>
      <c r="L5024" s="6"/>
      <c r="M5024" s="5" t="str">
        <f aca="false">IF(AND(N(K5024)&gt;0,N(L5024)&gt;0),K5024/L5024,"")</f>
        <v/>
      </c>
      <c r="N5024" s="2" t="s">
        <v>1226</v>
      </c>
    </row>
    <row r="5025" customFormat="false" ht="15" hidden="false" customHeight="false" outlineLevel="0" collapsed="false">
      <c r="A5025" s="2" t="n">
        <v>5024</v>
      </c>
      <c r="B5025" s="2" t="s">
        <v>10212</v>
      </c>
      <c r="C5025" s="2" t="s">
        <v>10213</v>
      </c>
      <c r="D5025" s="2"/>
      <c r="E5025" s="2" t="s">
        <v>33</v>
      </c>
      <c r="F5025" s="3" t="n">
        <v>2E-006</v>
      </c>
      <c r="G5025" s="3" t="n">
        <f aca="false">SUM($F$2:F5025)</f>
        <v>0.999825</v>
      </c>
      <c r="H5025" s="4"/>
      <c r="I5025" s="5"/>
      <c r="J5025" s="4"/>
      <c r="K5025" s="5"/>
      <c r="L5025" s="6"/>
      <c r="M5025" s="5" t="str">
        <f aca="false">IF(AND(N(K5025)&gt;0,N(L5025)&gt;0),K5025/L5025,"")</f>
        <v/>
      </c>
      <c r="N5025" s="2" t="s">
        <v>1226</v>
      </c>
    </row>
    <row r="5026" customFormat="false" ht="15" hidden="false" customHeight="false" outlineLevel="0" collapsed="false">
      <c r="A5026" s="2" t="n">
        <v>5025</v>
      </c>
      <c r="B5026" s="2" t="s">
        <v>10214</v>
      </c>
      <c r="C5026" s="2" t="s">
        <v>10215</v>
      </c>
      <c r="D5026" s="2"/>
      <c r="E5026" s="2" t="s">
        <v>1345</v>
      </c>
      <c r="F5026" s="3" t="n">
        <v>2E-006</v>
      </c>
      <c r="G5026" s="3" t="n">
        <f aca="false">SUM($F$2:F5026)</f>
        <v>0.999827</v>
      </c>
      <c r="H5026" s="4"/>
      <c r="I5026" s="5"/>
      <c r="J5026" s="4"/>
      <c r="K5026" s="5"/>
      <c r="L5026" s="6"/>
      <c r="M5026" s="5" t="str">
        <f aca="false">IF(AND(N(K5026)&gt;0,N(L5026)&gt;0),K5026/L5026,"")</f>
        <v/>
      </c>
      <c r="N5026" s="2" t="s">
        <v>1226</v>
      </c>
    </row>
    <row r="5027" customFormat="false" ht="15" hidden="false" customHeight="false" outlineLevel="0" collapsed="false">
      <c r="A5027" s="2" t="n">
        <v>5026</v>
      </c>
      <c r="B5027" s="2" t="s">
        <v>10216</v>
      </c>
      <c r="C5027" s="2" t="s">
        <v>10217</v>
      </c>
      <c r="D5027" s="2"/>
      <c r="E5027" s="2" t="s">
        <v>1345</v>
      </c>
      <c r="F5027" s="3" t="n">
        <v>2E-006</v>
      </c>
      <c r="G5027" s="3" t="n">
        <f aca="false">SUM($F$2:F5027)</f>
        <v>0.999829</v>
      </c>
      <c r="H5027" s="4"/>
      <c r="I5027" s="5"/>
      <c r="J5027" s="4"/>
      <c r="K5027" s="5"/>
      <c r="L5027" s="6"/>
      <c r="M5027" s="5" t="str">
        <f aca="false">IF(AND(N(K5027)&gt;0,N(L5027)&gt;0),K5027/L5027,"")</f>
        <v/>
      </c>
      <c r="N5027" s="2" t="s">
        <v>1226</v>
      </c>
    </row>
    <row r="5028" customFormat="false" ht="15" hidden="false" customHeight="false" outlineLevel="0" collapsed="false">
      <c r="A5028" s="2" t="n">
        <v>5027</v>
      </c>
      <c r="B5028" s="2" t="s">
        <v>10218</v>
      </c>
      <c r="C5028" s="2" t="s">
        <v>10219</v>
      </c>
      <c r="D5028" s="2"/>
      <c r="E5028" s="2" t="s">
        <v>1345</v>
      </c>
      <c r="F5028" s="3" t="n">
        <v>2E-006</v>
      </c>
      <c r="G5028" s="3" t="n">
        <f aca="false">SUM($F$2:F5028)</f>
        <v>0.999831</v>
      </c>
      <c r="H5028" s="4"/>
      <c r="I5028" s="5"/>
      <c r="J5028" s="4"/>
      <c r="K5028" s="5"/>
      <c r="L5028" s="6"/>
      <c r="M5028" s="5" t="str">
        <f aca="false">IF(AND(N(K5028)&gt;0,N(L5028)&gt;0),K5028/L5028,"")</f>
        <v/>
      </c>
      <c r="N5028" s="2" t="s">
        <v>1226</v>
      </c>
    </row>
    <row r="5029" customFormat="false" ht="15" hidden="false" customHeight="false" outlineLevel="0" collapsed="false">
      <c r="A5029" s="2" t="n">
        <v>5028</v>
      </c>
      <c r="B5029" s="2" t="s">
        <v>10220</v>
      </c>
      <c r="C5029" s="2" t="s">
        <v>10221</v>
      </c>
      <c r="D5029" s="2"/>
      <c r="E5029" s="2" t="s">
        <v>21</v>
      </c>
      <c r="F5029" s="3" t="n">
        <v>2E-006</v>
      </c>
      <c r="G5029" s="3" t="n">
        <f aca="false">SUM($F$2:F5029)</f>
        <v>0.999833</v>
      </c>
      <c r="H5029" s="4"/>
      <c r="I5029" s="5"/>
      <c r="J5029" s="4"/>
      <c r="K5029" s="5"/>
      <c r="L5029" s="6"/>
      <c r="M5029" s="5" t="str">
        <f aca="false">IF(AND(N(K5029)&gt;0,N(L5029)&gt;0),K5029/L5029,"")</f>
        <v/>
      </c>
      <c r="N5029" s="2" t="s">
        <v>1226</v>
      </c>
    </row>
    <row r="5030" customFormat="false" ht="15" hidden="false" customHeight="false" outlineLevel="0" collapsed="false">
      <c r="A5030" s="2" t="n">
        <v>5029</v>
      </c>
      <c r="B5030" s="2" t="s">
        <v>10222</v>
      </c>
      <c r="C5030" s="2" t="s">
        <v>10223</v>
      </c>
      <c r="D5030" s="2"/>
      <c r="E5030" s="2" t="s">
        <v>48</v>
      </c>
      <c r="F5030" s="3" t="n">
        <v>2E-006</v>
      </c>
      <c r="G5030" s="3" t="n">
        <f aca="false">SUM($F$2:F5030)</f>
        <v>0.999835</v>
      </c>
      <c r="H5030" s="4"/>
      <c r="I5030" s="5"/>
      <c r="J5030" s="4"/>
      <c r="K5030" s="5"/>
      <c r="L5030" s="6"/>
      <c r="M5030" s="5" t="str">
        <f aca="false">IF(AND(N(K5030)&gt;0,N(L5030)&gt;0),K5030/L5030,"")</f>
        <v/>
      </c>
      <c r="N5030" s="2" t="s">
        <v>1226</v>
      </c>
    </row>
    <row r="5031" customFormat="false" ht="15" hidden="false" customHeight="false" outlineLevel="0" collapsed="false">
      <c r="A5031" s="2" t="n">
        <v>5030</v>
      </c>
      <c r="B5031" s="2" t="s">
        <v>10224</v>
      </c>
      <c r="C5031" s="2" t="s">
        <v>10225</v>
      </c>
      <c r="D5031" s="2"/>
      <c r="E5031" s="2" t="s">
        <v>1284</v>
      </c>
      <c r="F5031" s="3" t="n">
        <v>2E-006</v>
      </c>
      <c r="G5031" s="3" t="n">
        <f aca="false">SUM($F$2:F5031)</f>
        <v>0.999837</v>
      </c>
      <c r="H5031" s="4"/>
      <c r="I5031" s="5"/>
      <c r="J5031" s="4"/>
      <c r="K5031" s="5"/>
      <c r="L5031" s="6"/>
      <c r="M5031" s="5" t="str">
        <f aca="false">IF(AND(N(K5031)&gt;0,N(L5031)&gt;0),K5031/L5031,"")</f>
        <v/>
      </c>
      <c r="N5031" s="2" t="s">
        <v>1226</v>
      </c>
    </row>
    <row r="5032" customFormat="false" ht="15" hidden="false" customHeight="false" outlineLevel="0" collapsed="false">
      <c r="A5032" s="2" t="n">
        <v>5031</v>
      </c>
      <c r="B5032" s="2" t="s">
        <v>10226</v>
      </c>
      <c r="C5032" s="2" t="s">
        <v>10227</v>
      </c>
      <c r="D5032" s="2"/>
      <c r="E5032" s="2" t="s">
        <v>33</v>
      </c>
      <c r="F5032" s="3" t="n">
        <v>2E-006</v>
      </c>
      <c r="G5032" s="3" t="n">
        <f aca="false">SUM($F$2:F5032)</f>
        <v>0.999839</v>
      </c>
      <c r="H5032" s="4"/>
      <c r="I5032" s="5"/>
      <c r="J5032" s="4"/>
      <c r="K5032" s="5"/>
      <c r="L5032" s="6"/>
      <c r="M5032" s="5" t="str">
        <f aca="false">IF(AND(N(K5032)&gt;0,N(L5032)&gt;0),K5032/L5032,"")</f>
        <v/>
      </c>
      <c r="N5032" s="2" t="s">
        <v>1226</v>
      </c>
    </row>
    <row r="5033" customFormat="false" ht="15" hidden="false" customHeight="false" outlineLevel="0" collapsed="false">
      <c r="A5033" s="2" t="n">
        <v>5032</v>
      </c>
      <c r="B5033" s="2" t="s">
        <v>10228</v>
      </c>
      <c r="C5033" s="2" t="s">
        <v>10229</v>
      </c>
      <c r="D5033" s="2"/>
      <c r="E5033" s="2" t="s">
        <v>2055</v>
      </c>
      <c r="F5033" s="3" t="n">
        <v>2E-006</v>
      </c>
      <c r="G5033" s="3" t="n">
        <f aca="false">SUM($F$2:F5033)</f>
        <v>0.999841</v>
      </c>
      <c r="H5033" s="4"/>
      <c r="I5033" s="5"/>
      <c r="J5033" s="4"/>
      <c r="K5033" s="5"/>
      <c r="L5033" s="6"/>
      <c r="M5033" s="5" t="str">
        <f aca="false">IF(AND(N(K5033)&gt;0,N(L5033)&gt;0),K5033/L5033,"")</f>
        <v/>
      </c>
      <c r="N5033" s="2" t="s">
        <v>1226</v>
      </c>
    </row>
    <row r="5034" customFormat="false" ht="15" hidden="false" customHeight="false" outlineLevel="0" collapsed="false">
      <c r="A5034" s="2" t="n">
        <v>5033</v>
      </c>
      <c r="B5034" s="2" t="s">
        <v>5307</v>
      </c>
      <c r="C5034" s="2" t="s">
        <v>10230</v>
      </c>
      <c r="D5034" s="2"/>
      <c r="E5034" s="2" t="s">
        <v>52</v>
      </c>
      <c r="F5034" s="3" t="n">
        <v>2E-006</v>
      </c>
      <c r="G5034" s="3" t="n">
        <f aca="false">SUM($F$2:F5034)</f>
        <v>0.999843</v>
      </c>
      <c r="H5034" s="4"/>
      <c r="I5034" s="5"/>
      <c r="J5034" s="4"/>
      <c r="K5034" s="5"/>
      <c r="L5034" s="6"/>
      <c r="M5034" s="5" t="str">
        <f aca="false">IF(AND(N(K5034)&gt;0,N(L5034)&gt;0),K5034/L5034,"")</f>
        <v/>
      </c>
      <c r="N5034" s="2" t="s">
        <v>1226</v>
      </c>
    </row>
    <row r="5035" customFormat="false" ht="15" hidden="false" customHeight="false" outlineLevel="0" collapsed="false">
      <c r="A5035" s="2" t="n">
        <v>5034</v>
      </c>
      <c r="B5035" s="2" t="s">
        <v>10231</v>
      </c>
      <c r="C5035" s="2" t="s">
        <v>10232</v>
      </c>
      <c r="D5035" s="2"/>
      <c r="E5035" s="2" t="s">
        <v>1345</v>
      </c>
      <c r="F5035" s="3" t="n">
        <v>2E-006</v>
      </c>
      <c r="G5035" s="3" t="n">
        <f aca="false">SUM($F$2:F5035)</f>
        <v>0.999845</v>
      </c>
      <c r="H5035" s="4"/>
      <c r="I5035" s="5"/>
      <c r="J5035" s="4"/>
      <c r="K5035" s="5"/>
      <c r="L5035" s="6"/>
      <c r="M5035" s="5" t="str">
        <f aca="false">IF(AND(N(K5035)&gt;0,N(L5035)&gt;0),K5035/L5035,"")</f>
        <v/>
      </c>
      <c r="N5035" s="2" t="s">
        <v>1226</v>
      </c>
    </row>
    <row r="5036" customFormat="false" ht="15" hidden="false" customHeight="false" outlineLevel="0" collapsed="false">
      <c r="A5036" s="2" t="n">
        <v>5035</v>
      </c>
      <c r="B5036" s="2" t="s">
        <v>10233</v>
      </c>
      <c r="C5036" s="2" t="s">
        <v>10234</v>
      </c>
      <c r="D5036" s="2"/>
      <c r="E5036" s="2" t="s">
        <v>52</v>
      </c>
      <c r="F5036" s="3" t="n">
        <v>2E-006</v>
      </c>
      <c r="G5036" s="3" t="n">
        <f aca="false">SUM($F$2:F5036)</f>
        <v>0.999847</v>
      </c>
      <c r="H5036" s="4"/>
      <c r="I5036" s="5"/>
      <c r="J5036" s="4"/>
      <c r="K5036" s="5"/>
      <c r="L5036" s="6"/>
      <c r="M5036" s="5" t="str">
        <f aca="false">IF(AND(N(K5036)&gt;0,N(L5036)&gt;0),K5036/L5036,"")</f>
        <v/>
      </c>
      <c r="N5036" s="2" t="s">
        <v>1226</v>
      </c>
    </row>
    <row r="5037" customFormat="false" ht="15" hidden="false" customHeight="false" outlineLevel="0" collapsed="false">
      <c r="A5037" s="2" t="n">
        <v>5036</v>
      </c>
      <c r="B5037" s="2" t="s">
        <v>10235</v>
      </c>
      <c r="C5037" s="2" t="s">
        <v>10236</v>
      </c>
      <c r="D5037" s="2"/>
      <c r="E5037" s="2" t="s">
        <v>334</v>
      </c>
      <c r="F5037" s="3" t="n">
        <v>2E-006</v>
      </c>
      <c r="G5037" s="3" t="n">
        <f aca="false">SUM($F$2:F5037)</f>
        <v>0.999849</v>
      </c>
      <c r="H5037" s="4"/>
      <c r="I5037" s="5"/>
      <c r="J5037" s="4"/>
      <c r="K5037" s="5"/>
      <c r="L5037" s="6"/>
      <c r="M5037" s="5" t="str">
        <f aca="false">IF(AND(N(K5037)&gt;0,N(L5037)&gt;0),K5037/L5037,"")</f>
        <v/>
      </c>
      <c r="N5037" s="2" t="s">
        <v>1226</v>
      </c>
    </row>
    <row r="5038" customFormat="false" ht="15" hidden="false" customHeight="false" outlineLevel="0" collapsed="false">
      <c r="A5038" s="2" t="n">
        <v>5037</v>
      </c>
      <c r="B5038" s="2" t="s">
        <v>10237</v>
      </c>
      <c r="C5038" s="2" t="s">
        <v>10238</v>
      </c>
      <c r="D5038" s="2"/>
      <c r="E5038" s="2" t="s">
        <v>334</v>
      </c>
      <c r="F5038" s="3" t="n">
        <v>2E-006</v>
      </c>
      <c r="G5038" s="3" t="n">
        <f aca="false">SUM($F$2:F5038)</f>
        <v>0.999851</v>
      </c>
      <c r="H5038" s="4"/>
      <c r="I5038" s="5"/>
      <c r="J5038" s="4"/>
      <c r="K5038" s="5"/>
      <c r="L5038" s="6"/>
      <c r="M5038" s="5" t="str">
        <f aca="false">IF(AND(N(K5038)&gt;0,N(L5038)&gt;0),K5038/L5038,"")</f>
        <v/>
      </c>
      <c r="N5038" s="2" t="s">
        <v>1226</v>
      </c>
    </row>
    <row r="5039" customFormat="false" ht="15" hidden="false" customHeight="false" outlineLevel="0" collapsed="false">
      <c r="A5039" s="2" t="n">
        <v>5038</v>
      </c>
      <c r="B5039" s="2" t="s">
        <v>9118</v>
      </c>
      <c r="C5039" s="2" t="s">
        <v>9119</v>
      </c>
      <c r="D5039" s="2"/>
      <c r="E5039" s="2" t="s">
        <v>1345</v>
      </c>
      <c r="F5039" s="3" t="n">
        <v>2E-006</v>
      </c>
      <c r="G5039" s="3" t="n">
        <f aca="false">SUM($F$2:F5039)</f>
        <v>0.999853</v>
      </c>
      <c r="H5039" s="4"/>
      <c r="I5039" s="5"/>
      <c r="J5039" s="4"/>
      <c r="K5039" s="5"/>
      <c r="L5039" s="6"/>
      <c r="M5039" s="5" t="str">
        <f aca="false">IF(AND(N(K5039)&gt;0,N(L5039)&gt;0),K5039/L5039,"")</f>
        <v/>
      </c>
      <c r="N5039" s="2" t="s">
        <v>1226</v>
      </c>
    </row>
    <row r="5040" customFormat="false" ht="15" hidden="false" customHeight="false" outlineLevel="0" collapsed="false">
      <c r="A5040" s="2" t="n">
        <v>5039</v>
      </c>
      <c r="B5040" s="2" t="s">
        <v>10239</v>
      </c>
      <c r="C5040" s="2" t="s">
        <v>10240</v>
      </c>
      <c r="D5040" s="2"/>
      <c r="E5040" s="2" t="s">
        <v>199</v>
      </c>
      <c r="F5040" s="3" t="n">
        <v>2E-006</v>
      </c>
      <c r="G5040" s="3" t="n">
        <f aca="false">SUM($F$2:F5040)</f>
        <v>0.999855</v>
      </c>
      <c r="H5040" s="4"/>
      <c r="I5040" s="5"/>
      <c r="J5040" s="4"/>
      <c r="K5040" s="5"/>
      <c r="L5040" s="6"/>
      <c r="M5040" s="5" t="str">
        <f aca="false">IF(AND(N(K5040)&gt;0,N(L5040)&gt;0),K5040/L5040,"")</f>
        <v/>
      </c>
      <c r="N5040" s="2" t="s">
        <v>1226</v>
      </c>
    </row>
    <row r="5041" customFormat="false" ht="15" hidden="false" customHeight="false" outlineLevel="0" collapsed="false">
      <c r="A5041" s="2" t="n">
        <v>5040</v>
      </c>
      <c r="B5041" s="2" t="s">
        <v>10241</v>
      </c>
      <c r="C5041" s="2" t="s">
        <v>10242</v>
      </c>
      <c r="D5041" s="2"/>
      <c r="E5041" s="2" t="s">
        <v>43</v>
      </c>
      <c r="F5041" s="3" t="n">
        <v>2E-006</v>
      </c>
      <c r="G5041" s="3" t="n">
        <f aca="false">SUM($F$2:F5041)</f>
        <v>0.999857</v>
      </c>
      <c r="H5041" s="4"/>
      <c r="I5041" s="5"/>
      <c r="J5041" s="4"/>
      <c r="K5041" s="5"/>
      <c r="L5041" s="6"/>
      <c r="M5041" s="5" t="str">
        <f aca="false">IF(AND(N(K5041)&gt;0,N(L5041)&gt;0),K5041/L5041,"")</f>
        <v/>
      </c>
      <c r="N5041" s="2" t="s">
        <v>1226</v>
      </c>
    </row>
    <row r="5042" customFormat="false" ht="15" hidden="false" customHeight="false" outlineLevel="0" collapsed="false">
      <c r="A5042" s="2" t="n">
        <v>5041</v>
      </c>
      <c r="B5042" s="2" t="s">
        <v>10243</v>
      </c>
      <c r="C5042" s="2" t="s">
        <v>10244</v>
      </c>
      <c r="D5042" s="2"/>
      <c r="E5042" s="2" t="s">
        <v>17</v>
      </c>
      <c r="F5042" s="3" t="n">
        <v>2E-006</v>
      </c>
      <c r="G5042" s="3" t="n">
        <f aca="false">SUM($F$2:F5042)</f>
        <v>0.999859</v>
      </c>
      <c r="H5042" s="4"/>
      <c r="I5042" s="5"/>
      <c r="J5042" s="4"/>
      <c r="K5042" s="5"/>
      <c r="L5042" s="6"/>
      <c r="M5042" s="5" t="str">
        <f aca="false">IF(AND(N(K5042)&gt;0,N(L5042)&gt;0),K5042/L5042,"")</f>
        <v/>
      </c>
      <c r="N5042" s="2" t="s">
        <v>1226</v>
      </c>
    </row>
    <row r="5043" customFormat="false" ht="15" hidden="false" customHeight="false" outlineLevel="0" collapsed="false">
      <c r="A5043" s="2" t="n">
        <v>5042</v>
      </c>
      <c r="B5043" s="2" t="s">
        <v>2632</v>
      </c>
      <c r="C5043" s="2" t="s">
        <v>10245</v>
      </c>
      <c r="D5043" s="2"/>
      <c r="E5043" s="2" t="s">
        <v>52</v>
      </c>
      <c r="F5043" s="3" t="n">
        <v>2E-006</v>
      </c>
      <c r="G5043" s="3" t="n">
        <f aca="false">SUM($F$2:F5043)</f>
        <v>0.999861</v>
      </c>
      <c r="H5043" s="4"/>
      <c r="I5043" s="5"/>
      <c r="J5043" s="4"/>
      <c r="K5043" s="5"/>
      <c r="L5043" s="6"/>
      <c r="M5043" s="5" t="str">
        <f aca="false">IF(AND(N(K5043)&gt;0,N(L5043)&gt;0),K5043/L5043,"")</f>
        <v/>
      </c>
      <c r="N5043" s="2" t="s">
        <v>1226</v>
      </c>
    </row>
    <row r="5044" customFormat="false" ht="15" hidden="false" customHeight="false" outlineLevel="0" collapsed="false">
      <c r="A5044" s="2" t="n">
        <v>5043</v>
      </c>
      <c r="B5044" s="2" t="s">
        <v>10246</v>
      </c>
      <c r="C5044" s="2" t="s">
        <v>10247</v>
      </c>
      <c r="D5044" s="2"/>
      <c r="E5044" s="2" t="s">
        <v>25</v>
      </c>
      <c r="F5044" s="3" t="n">
        <v>2E-006</v>
      </c>
      <c r="G5044" s="3" t="n">
        <f aca="false">SUM($F$2:F5044)</f>
        <v>0.999863</v>
      </c>
      <c r="H5044" s="4"/>
      <c r="I5044" s="5"/>
      <c r="J5044" s="4"/>
      <c r="K5044" s="5"/>
      <c r="L5044" s="6"/>
      <c r="M5044" s="5" t="str">
        <f aca="false">IF(AND(N(K5044)&gt;0,N(L5044)&gt;0),K5044/L5044,"")</f>
        <v/>
      </c>
      <c r="N5044" s="2" t="s">
        <v>1226</v>
      </c>
    </row>
    <row r="5045" customFormat="false" ht="15" hidden="false" customHeight="false" outlineLevel="0" collapsed="false">
      <c r="A5045" s="2" t="n">
        <v>5044</v>
      </c>
      <c r="B5045" s="2" t="s">
        <v>2072</v>
      </c>
      <c r="C5045" s="2" t="s">
        <v>2073</v>
      </c>
      <c r="D5045" s="2"/>
      <c r="E5045" s="2" t="s">
        <v>29</v>
      </c>
      <c r="F5045" s="3" t="n">
        <v>2E-006</v>
      </c>
      <c r="G5045" s="3" t="n">
        <f aca="false">SUM($F$2:F5045)</f>
        <v>0.999865</v>
      </c>
      <c r="H5045" s="4"/>
      <c r="I5045" s="5"/>
      <c r="J5045" s="4"/>
      <c r="K5045" s="5"/>
      <c r="L5045" s="6"/>
      <c r="M5045" s="5" t="str">
        <f aca="false">IF(AND(N(K5045)&gt;0,N(L5045)&gt;0),K5045/L5045,"")</f>
        <v/>
      </c>
      <c r="N5045" s="2" t="s">
        <v>1226</v>
      </c>
    </row>
    <row r="5046" customFormat="false" ht="15" hidden="false" customHeight="false" outlineLevel="0" collapsed="false">
      <c r="A5046" s="2" t="n">
        <v>5045</v>
      </c>
      <c r="B5046" s="2" t="s">
        <v>10248</v>
      </c>
      <c r="C5046" s="2" t="s">
        <v>10249</v>
      </c>
      <c r="D5046" s="2"/>
      <c r="E5046" s="2" t="s">
        <v>52</v>
      </c>
      <c r="F5046" s="3" t="n">
        <v>2E-006</v>
      </c>
      <c r="G5046" s="3" t="n">
        <f aca="false">SUM($F$2:F5046)</f>
        <v>0.999867</v>
      </c>
      <c r="H5046" s="4"/>
      <c r="I5046" s="5"/>
      <c r="J5046" s="4"/>
      <c r="K5046" s="5"/>
      <c r="L5046" s="6"/>
      <c r="M5046" s="5" t="str">
        <f aca="false">IF(AND(N(K5046)&gt;0,N(L5046)&gt;0),K5046/L5046,"")</f>
        <v/>
      </c>
      <c r="N5046" s="2" t="s">
        <v>1226</v>
      </c>
    </row>
    <row r="5047" customFormat="false" ht="15" hidden="false" customHeight="false" outlineLevel="0" collapsed="false">
      <c r="A5047" s="2" t="n">
        <v>5046</v>
      </c>
      <c r="B5047" s="2" t="s">
        <v>2902</v>
      </c>
      <c r="C5047" s="2" t="s">
        <v>10250</v>
      </c>
      <c r="D5047" s="2"/>
      <c r="E5047" s="2" t="s">
        <v>82</v>
      </c>
      <c r="F5047" s="3" t="n">
        <v>2E-006</v>
      </c>
      <c r="G5047" s="3" t="n">
        <f aca="false">SUM($F$2:F5047)</f>
        <v>0.999869</v>
      </c>
      <c r="H5047" s="4"/>
      <c r="I5047" s="5"/>
      <c r="J5047" s="4"/>
      <c r="K5047" s="5"/>
      <c r="L5047" s="6"/>
      <c r="M5047" s="5" t="str">
        <f aca="false">IF(AND(N(K5047)&gt;0,N(L5047)&gt;0),K5047/L5047,"")</f>
        <v/>
      </c>
      <c r="N5047" s="2" t="s">
        <v>1226</v>
      </c>
    </row>
    <row r="5048" customFormat="false" ht="15" hidden="false" customHeight="false" outlineLevel="0" collapsed="false">
      <c r="A5048" s="2" t="n">
        <v>5047</v>
      </c>
      <c r="B5048" s="2" t="s">
        <v>10251</v>
      </c>
      <c r="C5048" s="2" t="s">
        <v>10252</v>
      </c>
      <c r="D5048" s="2"/>
      <c r="E5048" s="2" t="s">
        <v>2055</v>
      </c>
      <c r="F5048" s="3" t="n">
        <v>2E-006</v>
      </c>
      <c r="G5048" s="3" t="n">
        <f aca="false">SUM($F$2:F5048)</f>
        <v>0.999871</v>
      </c>
      <c r="H5048" s="4"/>
      <c r="I5048" s="5"/>
      <c r="J5048" s="4"/>
      <c r="K5048" s="5"/>
      <c r="L5048" s="6"/>
      <c r="M5048" s="5" t="str">
        <f aca="false">IF(AND(N(K5048)&gt;0,N(L5048)&gt;0),K5048/L5048,"")</f>
        <v/>
      </c>
      <c r="N5048" s="2" t="s">
        <v>1226</v>
      </c>
    </row>
    <row r="5049" customFormat="false" ht="15" hidden="false" customHeight="false" outlineLevel="0" collapsed="false">
      <c r="A5049" s="2" t="n">
        <v>5048</v>
      </c>
      <c r="B5049" s="2" t="s">
        <v>10253</v>
      </c>
      <c r="C5049" s="2" t="s">
        <v>10254</v>
      </c>
      <c r="D5049" s="2"/>
      <c r="E5049" s="2" t="s">
        <v>2055</v>
      </c>
      <c r="F5049" s="3" t="n">
        <v>2E-006</v>
      </c>
      <c r="G5049" s="3" t="n">
        <f aca="false">SUM($F$2:F5049)</f>
        <v>0.999873</v>
      </c>
      <c r="H5049" s="4"/>
      <c r="I5049" s="5"/>
      <c r="J5049" s="4"/>
      <c r="K5049" s="5"/>
      <c r="L5049" s="6"/>
      <c r="M5049" s="5" t="str">
        <f aca="false">IF(AND(N(K5049)&gt;0,N(L5049)&gt;0),K5049/L5049,"")</f>
        <v/>
      </c>
      <c r="N5049" s="2" t="s">
        <v>1226</v>
      </c>
    </row>
    <row r="5050" customFormat="false" ht="15" hidden="false" customHeight="false" outlineLevel="0" collapsed="false">
      <c r="A5050" s="2" t="n">
        <v>5049</v>
      </c>
      <c r="B5050" s="2" t="s">
        <v>10255</v>
      </c>
      <c r="C5050" s="2" t="s">
        <v>10256</v>
      </c>
      <c r="D5050" s="2"/>
      <c r="E5050" s="2" t="s">
        <v>21</v>
      </c>
      <c r="F5050" s="3" t="n">
        <v>2E-006</v>
      </c>
      <c r="G5050" s="3" t="n">
        <f aca="false">SUM($F$2:F5050)</f>
        <v>0.999875</v>
      </c>
      <c r="H5050" s="4"/>
      <c r="I5050" s="5"/>
      <c r="J5050" s="4"/>
      <c r="K5050" s="5"/>
      <c r="L5050" s="6"/>
      <c r="M5050" s="5" t="str">
        <f aca="false">IF(AND(N(K5050)&gt;0,N(L5050)&gt;0),K5050/L5050,"")</f>
        <v/>
      </c>
      <c r="N5050" s="2" t="s">
        <v>1226</v>
      </c>
    </row>
    <row r="5051" customFormat="false" ht="15" hidden="false" customHeight="false" outlineLevel="0" collapsed="false">
      <c r="A5051" s="2" t="n">
        <v>5050</v>
      </c>
      <c r="B5051" s="2" t="s">
        <v>10257</v>
      </c>
      <c r="C5051" s="2" t="s">
        <v>10258</v>
      </c>
      <c r="D5051" s="2"/>
      <c r="E5051" s="2" t="s">
        <v>52</v>
      </c>
      <c r="F5051" s="3" t="n">
        <v>2E-006</v>
      </c>
      <c r="G5051" s="3" t="n">
        <f aca="false">SUM($F$2:F5051)</f>
        <v>0.999877</v>
      </c>
      <c r="H5051" s="4"/>
      <c r="I5051" s="5"/>
      <c r="J5051" s="4"/>
      <c r="K5051" s="5"/>
      <c r="L5051" s="6"/>
      <c r="M5051" s="5" t="str">
        <f aca="false">IF(AND(N(K5051)&gt;0,N(L5051)&gt;0),K5051/L5051,"")</f>
        <v/>
      </c>
      <c r="N5051" s="2" t="s">
        <v>1226</v>
      </c>
    </row>
    <row r="5052" customFormat="false" ht="15" hidden="false" customHeight="false" outlineLevel="0" collapsed="false">
      <c r="A5052" s="2" t="n">
        <v>5051</v>
      </c>
      <c r="B5052" s="2" t="s">
        <v>10259</v>
      </c>
      <c r="C5052" s="2" t="s">
        <v>10260</v>
      </c>
      <c r="D5052" s="2"/>
      <c r="E5052" s="2" t="s">
        <v>52</v>
      </c>
      <c r="F5052" s="3" t="n">
        <v>2E-006</v>
      </c>
      <c r="G5052" s="3" t="n">
        <f aca="false">SUM($F$2:F5052)</f>
        <v>0.999879</v>
      </c>
      <c r="H5052" s="4"/>
      <c r="I5052" s="5"/>
      <c r="J5052" s="4"/>
      <c r="K5052" s="5"/>
      <c r="L5052" s="6"/>
      <c r="M5052" s="5" t="str">
        <f aca="false">IF(AND(N(K5052)&gt;0,N(L5052)&gt;0),K5052/L5052,"")</f>
        <v/>
      </c>
      <c r="N5052" s="2" t="s">
        <v>1226</v>
      </c>
    </row>
    <row r="5053" customFormat="false" ht="15" hidden="false" customHeight="false" outlineLevel="0" collapsed="false">
      <c r="A5053" s="2" t="n">
        <v>5052</v>
      </c>
      <c r="B5053" s="2" t="s">
        <v>10261</v>
      </c>
      <c r="C5053" s="2" t="s">
        <v>10262</v>
      </c>
      <c r="D5053" s="2"/>
      <c r="E5053" s="2" t="s">
        <v>289</v>
      </c>
      <c r="F5053" s="3" t="n">
        <v>2E-006</v>
      </c>
      <c r="G5053" s="3" t="n">
        <f aca="false">SUM($F$2:F5053)</f>
        <v>0.999881</v>
      </c>
      <c r="H5053" s="4"/>
      <c r="I5053" s="5"/>
      <c r="J5053" s="4"/>
      <c r="K5053" s="5"/>
      <c r="L5053" s="6"/>
      <c r="M5053" s="5" t="str">
        <f aca="false">IF(AND(N(K5053)&gt;0,N(L5053)&gt;0),K5053/L5053,"")</f>
        <v/>
      </c>
      <c r="N5053" s="2" t="s">
        <v>1226</v>
      </c>
    </row>
    <row r="5054" customFormat="false" ht="15" hidden="false" customHeight="false" outlineLevel="0" collapsed="false">
      <c r="A5054" s="2" t="n">
        <v>5053</v>
      </c>
      <c r="B5054" s="2" t="s">
        <v>301</v>
      </c>
      <c r="C5054" s="2" t="s">
        <v>10263</v>
      </c>
      <c r="D5054" s="2"/>
      <c r="E5054" s="2" t="s">
        <v>1019</v>
      </c>
      <c r="F5054" s="3" t="n">
        <v>2E-006</v>
      </c>
      <c r="G5054" s="3" t="n">
        <f aca="false">SUM($F$2:F5054)</f>
        <v>0.999883</v>
      </c>
      <c r="H5054" s="4"/>
      <c r="I5054" s="5"/>
      <c r="J5054" s="4"/>
      <c r="K5054" s="5"/>
      <c r="L5054" s="6"/>
      <c r="M5054" s="5" t="str">
        <f aca="false">IF(AND(N(K5054)&gt;0,N(L5054)&gt;0),K5054/L5054,"")</f>
        <v/>
      </c>
      <c r="N5054" s="2" t="s">
        <v>34</v>
      </c>
    </row>
    <row r="5055" customFormat="false" ht="15" hidden="false" customHeight="false" outlineLevel="0" collapsed="false">
      <c r="A5055" s="2" t="n">
        <v>5054</v>
      </c>
      <c r="B5055" s="2" t="s">
        <v>10264</v>
      </c>
      <c r="C5055" s="2" t="s">
        <v>10265</v>
      </c>
      <c r="D5055" s="2"/>
      <c r="E5055" s="2" t="s">
        <v>82</v>
      </c>
      <c r="F5055" s="3" t="n">
        <v>2E-006</v>
      </c>
      <c r="G5055" s="3" t="n">
        <f aca="false">SUM($F$2:F5055)</f>
        <v>0.999885</v>
      </c>
      <c r="H5055" s="4"/>
      <c r="I5055" s="5"/>
      <c r="J5055" s="4"/>
      <c r="K5055" s="5"/>
      <c r="L5055" s="6"/>
      <c r="M5055" s="5" t="str">
        <f aca="false">IF(AND(N(K5055)&gt;0,N(L5055)&gt;0),K5055/L5055,"")</f>
        <v/>
      </c>
      <c r="N5055" s="2" t="s">
        <v>1226</v>
      </c>
    </row>
    <row r="5056" customFormat="false" ht="15" hidden="false" customHeight="false" outlineLevel="0" collapsed="false">
      <c r="A5056" s="2" t="n">
        <v>5055</v>
      </c>
      <c r="B5056" s="2" t="s">
        <v>10266</v>
      </c>
      <c r="C5056" s="2" t="s">
        <v>10267</v>
      </c>
      <c r="D5056" s="2"/>
      <c r="E5056" s="2" t="s">
        <v>1295</v>
      </c>
      <c r="F5056" s="3" t="n">
        <v>2E-006</v>
      </c>
      <c r="G5056" s="3" t="n">
        <f aca="false">SUM($F$2:F5056)</f>
        <v>0.999887</v>
      </c>
      <c r="H5056" s="4"/>
      <c r="I5056" s="5"/>
      <c r="J5056" s="4"/>
      <c r="K5056" s="5"/>
      <c r="L5056" s="6"/>
      <c r="M5056" s="5" t="str">
        <f aca="false">IF(AND(N(K5056)&gt;0,N(L5056)&gt;0),K5056/L5056,"")</f>
        <v/>
      </c>
      <c r="N5056" s="2" t="s">
        <v>1226</v>
      </c>
    </row>
    <row r="5057" customFormat="false" ht="15" hidden="false" customHeight="false" outlineLevel="0" collapsed="false">
      <c r="A5057" s="2" t="n">
        <v>5056</v>
      </c>
      <c r="B5057" s="2" t="s">
        <v>10268</v>
      </c>
      <c r="C5057" s="2" t="s">
        <v>10269</v>
      </c>
      <c r="D5057" s="2"/>
      <c r="E5057" s="2" t="s">
        <v>82</v>
      </c>
      <c r="F5057" s="3" t="n">
        <v>2E-006</v>
      </c>
      <c r="G5057" s="3" t="n">
        <f aca="false">SUM($F$2:F5057)</f>
        <v>0.999889</v>
      </c>
      <c r="H5057" s="4"/>
      <c r="I5057" s="5"/>
      <c r="J5057" s="4"/>
      <c r="K5057" s="5"/>
      <c r="L5057" s="6"/>
      <c r="M5057" s="5" t="str">
        <f aca="false">IF(AND(N(K5057)&gt;0,N(L5057)&gt;0),K5057/L5057,"")</f>
        <v/>
      </c>
      <c r="N5057" s="2" t="s">
        <v>1226</v>
      </c>
    </row>
    <row r="5058" customFormat="false" ht="15" hidden="false" customHeight="false" outlineLevel="0" collapsed="false">
      <c r="A5058" s="2" t="n">
        <v>5057</v>
      </c>
      <c r="B5058" s="2" t="s">
        <v>10270</v>
      </c>
      <c r="C5058" s="2" t="s">
        <v>10271</v>
      </c>
      <c r="D5058" s="2"/>
      <c r="E5058" s="2" t="s">
        <v>199</v>
      </c>
      <c r="F5058" s="3" t="n">
        <v>2E-006</v>
      </c>
      <c r="G5058" s="3" t="n">
        <f aca="false">SUM($F$2:F5058)</f>
        <v>0.999891</v>
      </c>
      <c r="H5058" s="4"/>
      <c r="I5058" s="5"/>
      <c r="J5058" s="4"/>
      <c r="K5058" s="5"/>
      <c r="L5058" s="6"/>
      <c r="M5058" s="5" t="str">
        <f aca="false">IF(AND(N(K5058)&gt;0,N(L5058)&gt;0),K5058/L5058,"")</f>
        <v/>
      </c>
      <c r="N5058" s="2" t="s">
        <v>1226</v>
      </c>
    </row>
    <row r="5059" customFormat="false" ht="15" hidden="false" customHeight="false" outlineLevel="0" collapsed="false">
      <c r="A5059" s="2" t="n">
        <v>5058</v>
      </c>
      <c r="B5059" s="2" t="s">
        <v>10272</v>
      </c>
      <c r="C5059" s="2" t="s">
        <v>10273</v>
      </c>
      <c r="D5059" s="2"/>
      <c r="E5059" s="2" t="s">
        <v>199</v>
      </c>
      <c r="F5059" s="3" t="n">
        <v>2E-006</v>
      </c>
      <c r="G5059" s="3" t="n">
        <f aca="false">SUM($F$2:F5059)</f>
        <v>0.999893</v>
      </c>
      <c r="H5059" s="4"/>
      <c r="I5059" s="5"/>
      <c r="J5059" s="4"/>
      <c r="K5059" s="5"/>
      <c r="L5059" s="6"/>
      <c r="M5059" s="5" t="str">
        <f aca="false">IF(AND(N(K5059)&gt;0,N(L5059)&gt;0),K5059/L5059,"")</f>
        <v/>
      </c>
      <c r="N5059" s="2" t="s">
        <v>1226</v>
      </c>
    </row>
    <row r="5060" customFormat="false" ht="15" hidden="false" customHeight="false" outlineLevel="0" collapsed="false">
      <c r="A5060" s="2" t="n">
        <v>5059</v>
      </c>
      <c r="B5060" s="2" t="s">
        <v>301</v>
      </c>
      <c r="C5060" s="2" t="s">
        <v>10274</v>
      </c>
      <c r="D5060" s="2"/>
      <c r="E5060" s="2" t="s">
        <v>2055</v>
      </c>
      <c r="F5060" s="3" t="n">
        <v>2E-006</v>
      </c>
      <c r="G5060" s="3" t="n">
        <f aca="false">SUM($F$2:F5060)</f>
        <v>0.999895</v>
      </c>
      <c r="H5060" s="4"/>
      <c r="I5060" s="5"/>
      <c r="J5060" s="4"/>
      <c r="K5060" s="5"/>
      <c r="L5060" s="6"/>
      <c r="M5060" s="5" t="str">
        <f aca="false">IF(AND(N(K5060)&gt;0,N(L5060)&gt;0),K5060/L5060,"")</f>
        <v/>
      </c>
      <c r="N5060" s="2" t="s">
        <v>34</v>
      </c>
    </row>
    <row r="5061" customFormat="false" ht="15" hidden="false" customHeight="false" outlineLevel="0" collapsed="false">
      <c r="A5061" s="2" t="n">
        <v>5060</v>
      </c>
      <c r="B5061" s="2" t="s">
        <v>10275</v>
      </c>
      <c r="C5061" s="2" t="s">
        <v>10276</v>
      </c>
      <c r="D5061" s="2"/>
      <c r="E5061" s="2" t="s">
        <v>25</v>
      </c>
      <c r="F5061" s="3" t="n">
        <v>2E-006</v>
      </c>
      <c r="G5061" s="3" t="n">
        <f aca="false">SUM($F$2:F5061)</f>
        <v>0.999897</v>
      </c>
      <c r="H5061" s="4"/>
      <c r="I5061" s="5"/>
      <c r="J5061" s="4"/>
      <c r="K5061" s="5"/>
      <c r="L5061" s="6"/>
      <c r="M5061" s="5" t="str">
        <f aca="false">IF(AND(N(K5061)&gt;0,N(L5061)&gt;0),K5061/L5061,"")</f>
        <v/>
      </c>
      <c r="N5061" s="2" t="s">
        <v>1226</v>
      </c>
    </row>
    <row r="5062" customFormat="false" ht="15" hidden="false" customHeight="false" outlineLevel="0" collapsed="false">
      <c r="A5062" s="2" t="n">
        <v>5061</v>
      </c>
      <c r="B5062" s="2" t="s">
        <v>10277</v>
      </c>
      <c r="C5062" s="2" t="s">
        <v>10278</v>
      </c>
      <c r="D5062" s="2"/>
      <c r="E5062" s="2" t="s">
        <v>2055</v>
      </c>
      <c r="F5062" s="3" t="n">
        <v>2E-006</v>
      </c>
      <c r="G5062" s="3" t="n">
        <f aca="false">SUM($F$2:F5062)</f>
        <v>0.999899</v>
      </c>
      <c r="H5062" s="4"/>
      <c r="I5062" s="5"/>
      <c r="J5062" s="4"/>
      <c r="K5062" s="5"/>
      <c r="L5062" s="6"/>
      <c r="M5062" s="5" t="str">
        <f aca="false">IF(AND(N(K5062)&gt;0,N(L5062)&gt;0),K5062/L5062,"")</f>
        <v/>
      </c>
      <c r="N5062" s="2" t="s">
        <v>1226</v>
      </c>
    </row>
    <row r="5063" customFormat="false" ht="15" hidden="false" customHeight="false" outlineLevel="0" collapsed="false">
      <c r="A5063" s="2" t="n">
        <v>5062</v>
      </c>
      <c r="B5063" s="2" t="s">
        <v>10279</v>
      </c>
      <c r="C5063" s="2" t="s">
        <v>10280</v>
      </c>
      <c r="D5063" s="2"/>
      <c r="E5063" s="2" t="s">
        <v>17</v>
      </c>
      <c r="F5063" s="3" t="n">
        <v>2E-006</v>
      </c>
      <c r="G5063" s="3" t="n">
        <f aca="false">SUM($F$2:F5063)</f>
        <v>0.999901</v>
      </c>
      <c r="H5063" s="4"/>
      <c r="I5063" s="5"/>
      <c r="J5063" s="4"/>
      <c r="K5063" s="5"/>
      <c r="L5063" s="6"/>
      <c r="M5063" s="5" t="str">
        <f aca="false">IF(AND(N(K5063)&gt;0,N(L5063)&gt;0),K5063/L5063,"")</f>
        <v/>
      </c>
      <c r="N5063" s="2" t="s">
        <v>1226</v>
      </c>
    </row>
    <row r="5064" customFormat="false" ht="15" hidden="false" customHeight="false" outlineLevel="0" collapsed="false">
      <c r="A5064" s="2" t="n">
        <v>5063</v>
      </c>
      <c r="B5064" s="2" t="s">
        <v>10281</v>
      </c>
      <c r="C5064" s="2" t="s">
        <v>10282</v>
      </c>
      <c r="D5064" s="2"/>
      <c r="E5064" s="2" t="s">
        <v>199</v>
      </c>
      <c r="F5064" s="3" t="n">
        <v>2E-006</v>
      </c>
      <c r="G5064" s="3" t="n">
        <f aca="false">SUM($F$2:F5064)</f>
        <v>0.999903</v>
      </c>
      <c r="H5064" s="4"/>
      <c r="I5064" s="5"/>
      <c r="J5064" s="4"/>
      <c r="K5064" s="5"/>
      <c r="L5064" s="6"/>
      <c r="M5064" s="5" t="str">
        <f aca="false">IF(AND(N(K5064)&gt;0,N(L5064)&gt;0),K5064/L5064,"")</f>
        <v/>
      </c>
      <c r="N5064" s="2" t="s">
        <v>1226</v>
      </c>
    </row>
    <row r="5065" customFormat="false" ht="15" hidden="false" customHeight="false" outlineLevel="0" collapsed="false">
      <c r="A5065" s="2" t="n">
        <v>5064</v>
      </c>
      <c r="B5065" s="2" t="s">
        <v>10283</v>
      </c>
      <c r="C5065" s="2" t="s">
        <v>10284</v>
      </c>
      <c r="D5065" s="2"/>
      <c r="E5065" s="2" t="s">
        <v>21</v>
      </c>
      <c r="F5065" s="3" t="n">
        <v>2E-006</v>
      </c>
      <c r="G5065" s="3" t="n">
        <f aca="false">SUM($F$2:F5065)</f>
        <v>0.999905</v>
      </c>
      <c r="H5065" s="4"/>
      <c r="I5065" s="5"/>
      <c r="J5065" s="4"/>
      <c r="K5065" s="5"/>
      <c r="L5065" s="6"/>
      <c r="M5065" s="5" t="str">
        <f aca="false">IF(AND(N(K5065)&gt;0,N(L5065)&gt;0),K5065/L5065,"")</f>
        <v/>
      </c>
      <c r="N5065" s="2" t="s">
        <v>1226</v>
      </c>
    </row>
    <row r="5066" customFormat="false" ht="15" hidden="false" customHeight="false" outlineLevel="0" collapsed="false">
      <c r="A5066" s="2" t="n">
        <v>5065</v>
      </c>
      <c r="B5066" s="2" t="s">
        <v>10285</v>
      </c>
      <c r="C5066" s="2" t="s">
        <v>10286</v>
      </c>
      <c r="D5066" s="2"/>
      <c r="E5066" s="2" t="s">
        <v>199</v>
      </c>
      <c r="F5066" s="3" t="n">
        <v>2E-006</v>
      </c>
      <c r="G5066" s="3" t="n">
        <f aca="false">SUM($F$2:F5066)</f>
        <v>0.999907</v>
      </c>
      <c r="H5066" s="4"/>
      <c r="I5066" s="5"/>
      <c r="J5066" s="4"/>
      <c r="K5066" s="5"/>
      <c r="L5066" s="6"/>
      <c r="M5066" s="5" t="str">
        <f aca="false">IF(AND(N(K5066)&gt;0,N(L5066)&gt;0),K5066/L5066,"")</f>
        <v/>
      </c>
      <c r="N5066" s="2" t="s">
        <v>1226</v>
      </c>
    </row>
    <row r="5067" customFormat="false" ht="15" hidden="false" customHeight="false" outlineLevel="0" collapsed="false">
      <c r="A5067" s="2" t="n">
        <v>5066</v>
      </c>
      <c r="B5067" s="2" t="s">
        <v>10287</v>
      </c>
      <c r="C5067" s="2" t="s">
        <v>10288</v>
      </c>
      <c r="D5067" s="2"/>
      <c r="E5067" s="2" t="s">
        <v>25</v>
      </c>
      <c r="F5067" s="3" t="n">
        <v>2E-006</v>
      </c>
      <c r="G5067" s="3" t="n">
        <f aca="false">SUM($F$2:F5067)</f>
        <v>0.999909</v>
      </c>
      <c r="H5067" s="4"/>
      <c r="I5067" s="5"/>
      <c r="J5067" s="4"/>
      <c r="K5067" s="5"/>
      <c r="L5067" s="6"/>
      <c r="M5067" s="5" t="str">
        <f aca="false">IF(AND(N(K5067)&gt;0,N(L5067)&gt;0),K5067/L5067,"")</f>
        <v/>
      </c>
      <c r="N5067" s="2" t="s">
        <v>1226</v>
      </c>
    </row>
    <row r="5068" customFormat="false" ht="15" hidden="false" customHeight="false" outlineLevel="0" collapsed="false">
      <c r="A5068" s="2" t="n">
        <v>5067</v>
      </c>
      <c r="B5068" s="2" t="s">
        <v>8557</v>
      </c>
      <c r="C5068" s="2" t="s">
        <v>10289</v>
      </c>
      <c r="D5068" s="2"/>
      <c r="E5068" s="2" t="s">
        <v>52</v>
      </c>
      <c r="F5068" s="3" t="n">
        <v>2E-006</v>
      </c>
      <c r="G5068" s="3" t="n">
        <f aca="false">SUM($F$2:F5068)</f>
        <v>0.999911</v>
      </c>
      <c r="H5068" s="4"/>
      <c r="I5068" s="5"/>
      <c r="J5068" s="4"/>
      <c r="K5068" s="5"/>
      <c r="L5068" s="6"/>
      <c r="M5068" s="5" t="str">
        <f aca="false">IF(AND(N(K5068)&gt;0,N(L5068)&gt;0),K5068/L5068,"")</f>
        <v/>
      </c>
      <c r="N5068" s="2" t="s">
        <v>1226</v>
      </c>
    </row>
    <row r="5069" customFormat="false" ht="15" hidden="false" customHeight="false" outlineLevel="0" collapsed="false">
      <c r="A5069" s="2" t="n">
        <v>5068</v>
      </c>
      <c r="B5069" s="2" t="s">
        <v>10290</v>
      </c>
      <c r="C5069" s="2" t="s">
        <v>10291</v>
      </c>
      <c r="D5069" s="2"/>
      <c r="E5069" s="2" t="s">
        <v>25</v>
      </c>
      <c r="F5069" s="3" t="n">
        <v>2E-006</v>
      </c>
      <c r="G5069" s="3" t="n">
        <f aca="false">SUM($F$2:F5069)</f>
        <v>0.999913</v>
      </c>
      <c r="H5069" s="4"/>
      <c r="I5069" s="5"/>
      <c r="J5069" s="4"/>
      <c r="K5069" s="5"/>
      <c r="L5069" s="6"/>
      <c r="M5069" s="5" t="str">
        <f aca="false">IF(AND(N(K5069)&gt;0,N(L5069)&gt;0),K5069/L5069,"")</f>
        <v/>
      </c>
      <c r="N5069" s="2" t="s">
        <v>1226</v>
      </c>
    </row>
    <row r="5070" customFormat="false" ht="15" hidden="false" customHeight="false" outlineLevel="0" collapsed="false">
      <c r="A5070" s="2" t="n">
        <v>5069</v>
      </c>
      <c r="B5070" s="2" t="s">
        <v>10292</v>
      </c>
      <c r="C5070" s="2" t="s">
        <v>10293</v>
      </c>
      <c r="D5070" s="2"/>
      <c r="E5070" s="2" t="s">
        <v>52</v>
      </c>
      <c r="F5070" s="3" t="n">
        <v>2E-006</v>
      </c>
      <c r="G5070" s="3" t="n">
        <f aca="false">SUM($F$2:F5070)</f>
        <v>0.999915</v>
      </c>
      <c r="H5070" s="4"/>
      <c r="I5070" s="5"/>
      <c r="J5070" s="4"/>
      <c r="K5070" s="5"/>
      <c r="L5070" s="6"/>
      <c r="M5070" s="5" t="str">
        <f aca="false">IF(AND(N(K5070)&gt;0,N(L5070)&gt;0),K5070/L5070,"")</f>
        <v/>
      </c>
      <c r="N5070" s="2" t="s">
        <v>1226</v>
      </c>
    </row>
    <row r="5071" customFormat="false" ht="15" hidden="false" customHeight="false" outlineLevel="0" collapsed="false">
      <c r="A5071" s="2" t="n">
        <v>5070</v>
      </c>
      <c r="B5071" s="2" t="s">
        <v>10294</v>
      </c>
      <c r="C5071" s="2" t="s">
        <v>10295</v>
      </c>
      <c r="D5071" s="2"/>
      <c r="E5071" s="2" t="s">
        <v>1345</v>
      </c>
      <c r="F5071" s="3" t="n">
        <v>2E-006</v>
      </c>
      <c r="G5071" s="3" t="n">
        <f aca="false">SUM($F$2:F5071)</f>
        <v>0.999917</v>
      </c>
      <c r="H5071" s="4"/>
      <c r="I5071" s="5"/>
      <c r="J5071" s="4"/>
      <c r="K5071" s="5"/>
      <c r="L5071" s="6"/>
      <c r="M5071" s="5" t="str">
        <f aca="false">IF(AND(N(K5071)&gt;0,N(L5071)&gt;0),K5071/L5071,"")</f>
        <v/>
      </c>
      <c r="N5071" s="2" t="s">
        <v>1226</v>
      </c>
    </row>
    <row r="5072" customFormat="false" ht="15" hidden="false" customHeight="false" outlineLevel="0" collapsed="false">
      <c r="A5072" s="2" t="n">
        <v>5071</v>
      </c>
      <c r="B5072" s="2" t="s">
        <v>10296</v>
      </c>
      <c r="C5072" s="2" t="s">
        <v>10297</v>
      </c>
      <c r="D5072" s="2"/>
      <c r="E5072" s="2" t="s">
        <v>826</v>
      </c>
      <c r="F5072" s="3" t="n">
        <v>2E-006</v>
      </c>
      <c r="G5072" s="3" t="n">
        <f aca="false">SUM($F$2:F5072)</f>
        <v>0.999919</v>
      </c>
      <c r="H5072" s="4"/>
      <c r="I5072" s="5"/>
      <c r="J5072" s="4"/>
      <c r="K5072" s="5"/>
      <c r="L5072" s="6"/>
      <c r="M5072" s="5" t="str">
        <f aca="false">IF(AND(N(K5072)&gt;0,N(L5072)&gt;0),K5072/L5072,"")</f>
        <v/>
      </c>
      <c r="N5072" s="2" t="s">
        <v>1226</v>
      </c>
    </row>
    <row r="5073" customFormat="false" ht="15" hidden="false" customHeight="false" outlineLevel="0" collapsed="false">
      <c r="A5073" s="2" t="n">
        <v>5072</v>
      </c>
      <c r="B5073" s="2" t="s">
        <v>10298</v>
      </c>
      <c r="C5073" s="2" t="s">
        <v>10299</v>
      </c>
      <c r="D5073" s="2"/>
      <c r="E5073" s="2" t="s">
        <v>17</v>
      </c>
      <c r="F5073" s="3" t="n">
        <v>2E-006</v>
      </c>
      <c r="G5073" s="3" t="n">
        <f aca="false">SUM($F$2:F5073)</f>
        <v>0.999921</v>
      </c>
      <c r="H5073" s="4"/>
      <c r="I5073" s="5"/>
      <c r="J5073" s="4"/>
      <c r="K5073" s="5"/>
      <c r="L5073" s="6"/>
      <c r="M5073" s="5" t="str">
        <f aca="false">IF(AND(N(K5073)&gt;0,N(L5073)&gt;0),K5073/L5073,"")</f>
        <v/>
      </c>
      <c r="N5073" s="2" t="s">
        <v>1226</v>
      </c>
    </row>
    <row r="5074" customFormat="false" ht="15" hidden="false" customHeight="false" outlineLevel="0" collapsed="false">
      <c r="A5074" s="2" t="n">
        <v>5073</v>
      </c>
      <c r="B5074" s="2" t="s">
        <v>10300</v>
      </c>
      <c r="C5074" s="2" t="s">
        <v>10301</v>
      </c>
      <c r="D5074" s="2"/>
      <c r="E5074" s="2" t="s">
        <v>199</v>
      </c>
      <c r="F5074" s="3" t="n">
        <v>2E-006</v>
      </c>
      <c r="G5074" s="3" t="n">
        <f aca="false">SUM($F$2:F5074)</f>
        <v>0.999923</v>
      </c>
      <c r="H5074" s="4"/>
      <c r="I5074" s="5"/>
      <c r="J5074" s="4"/>
      <c r="K5074" s="5"/>
      <c r="L5074" s="6"/>
      <c r="M5074" s="5" t="str">
        <f aca="false">IF(AND(N(K5074)&gt;0,N(L5074)&gt;0),K5074/L5074,"")</f>
        <v/>
      </c>
      <c r="N5074" s="2" t="s">
        <v>1226</v>
      </c>
    </row>
    <row r="5075" customFormat="false" ht="15" hidden="false" customHeight="false" outlineLevel="0" collapsed="false">
      <c r="A5075" s="2" t="n">
        <v>5074</v>
      </c>
      <c r="B5075" s="2" t="s">
        <v>10302</v>
      </c>
      <c r="C5075" s="2" t="s">
        <v>10303</v>
      </c>
      <c r="D5075" s="2"/>
      <c r="E5075" s="2" t="s">
        <v>25</v>
      </c>
      <c r="F5075" s="3" t="n">
        <v>2E-006</v>
      </c>
      <c r="G5075" s="3" t="n">
        <f aca="false">SUM($F$2:F5075)</f>
        <v>0.999925</v>
      </c>
      <c r="H5075" s="4"/>
      <c r="I5075" s="5"/>
      <c r="J5075" s="4"/>
      <c r="K5075" s="5"/>
      <c r="L5075" s="6"/>
      <c r="M5075" s="5" t="str">
        <f aca="false">IF(AND(N(K5075)&gt;0,N(L5075)&gt;0),K5075/L5075,"")</f>
        <v/>
      </c>
      <c r="N5075" s="2" t="s">
        <v>1226</v>
      </c>
    </row>
    <row r="5076" customFormat="false" ht="15" hidden="false" customHeight="false" outlineLevel="0" collapsed="false">
      <c r="A5076" s="2" t="n">
        <v>5075</v>
      </c>
      <c r="B5076" s="2" t="s">
        <v>10304</v>
      </c>
      <c r="C5076" s="2" t="s">
        <v>10305</v>
      </c>
      <c r="D5076" s="2"/>
      <c r="E5076" s="2" t="s">
        <v>826</v>
      </c>
      <c r="F5076" s="3" t="n">
        <v>2E-006</v>
      </c>
      <c r="G5076" s="3" t="n">
        <f aca="false">SUM($F$2:F5076)</f>
        <v>0.999927</v>
      </c>
      <c r="H5076" s="4"/>
      <c r="I5076" s="5"/>
      <c r="J5076" s="4"/>
      <c r="K5076" s="5"/>
      <c r="L5076" s="6"/>
      <c r="M5076" s="5" t="str">
        <f aca="false">IF(AND(N(K5076)&gt;0,N(L5076)&gt;0),K5076/L5076,"")</f>
        <v/>
      </c>
      <c r="N5076" s="2" t="s">
        <v>1226</v>
      </c>
    </row>
    <row r="5077" customFormat="false" ht="15" hidden="false" customHeight="false" outlineLevel="0" collapsed="false">
      <c r="A5077" s="2" t="n">
        <v>5076</v>
      </c>
      <c r="B5077" s="2" t="s">
        <v>10306</v>
      </c>
      <c r="C5077" s="2" t="s">
        <v>10307</v>
      </c>
      <c r="D5077" s="2"/>
      <c r="E5077" s="2" t="s">
        <v>289</v>
      </c>
      <c r="F5077" s="3" t="n">
        <v>2E-006</v>
      </c>
      <c r="G5077" s="3" t="n">
        <f aca="false">SUM($F$2:F5077)</f>
        <v>0.999929</v>
      </c>
      <c r="H5077" s="4"/>
      <c r="I5077" s="5"/>
      <c r="J5077" s="4"/>
      <c r="K5077" s="5"/>
      <c r="L5077" s="6"/>
      <c r="M5077" s="5" t="str">
        <f aca="false">IF(AND(N(K5077)&gt;0,N(L5077)&gt;0),K5077/L5077,"")</f>
        <v/>
      </c>
      <c r="N5077" s="2" t="s">
        <v>1226</v>
      </c>
    </row>
    <row r="5078" customFormat="false" ht="15" hidden="false" customHeight="false" outlineLevel="0" collapsed="false">
      <c r="A5078" s="2" t="n">
        <v>5077</v>
      </c>
      <c r="B5078" s="2" t="s">
        <v>10308</v>
      </c>
      <c r="C5078" s="2" t="s">
        <v>10309</v>
      </c>
      <c r="D5078" s="2"/>
      <c r="E5078" s="2" t="s">
        <v>1295</v>
      </c>
      <c r="F5078" s="3" t="n">
        <v>2E-006</v>
      </c>
      <c r="G5078" s="3" t="n">
        <f aca="false">SUM($F$2:F5078)</f>
        <v>0.999931</v>
      </c>
      <c r="H5078" s="4"/>
      <c r="I5078" s="5"/>
      <c r="J5078" s="4"/>
      <c r="K5078" s="5"/>
      <c r="L5078" s="6"/>
      <c r="M5078" s="5" t="str">
        <f aca="false">IF(AND(N(K5078)&gt;0,N(L5078)&gt;0),K5078/L5078,"")</f>
        <v/>
      </c>
      <c r="N5078" s="2" t="s">
        <v>1226</v>
      </c>
    </row>
    <row r="5079" customFormat="false" ht="15" hidden="false" customHeight="false" outlineLevel="0" collapsed="false">
      <c r="A5079" s="2" t="n">
        <v>5078</v>
      </c>
      <c r="B5079" s="2" t="s">
        <v>301</v>
      </c>
      <c r="C5079" s="2" t="s">
        <v>10310</v>
      </c>
      <c r="D5079" s="2"/>
      <c r="E5079" s="2" t="s">
        <v>1284</v>
      </c>
      <c r="F5079" s="3" t="n">
        <v>1E-006</v>
      </c>
      <c r="G5079" s="3" t="n">
        <f aca="false">SUM($F$2:F5079)</f>
        <v>0.999932</v>
      </c>
      <c r="H5079" s="4"/>
      <c r="I5079" s="5"/>
      <c r="J5079" s="4"/>
      <c r="K5079" s="5"/>
      <c r="L5079" s="6"/>
      <c r="M5079" s="5" t="str">
        <f aca="false">IF(AND(N(K5079)&gt;0,N(L5079)&gt;0),K5079/L5079,"")</f>
        <v/>
      </c>
      <c r="N5079" s="2" t="s">
        <v>34</v>
      </c>
    </row>
    <row r="5080" customFormat="false" ht="15" hidden="false" customHeight="false" outlineLevel="0" collapsed="false">
      <c r="A5080" s="2" t="n">
        <v>5079</v>
      </c>
      <c r="B5080" s="2" t="s">
        <v>10311</v>
      </c>
      <c r="C5080" s="2" t="s">
        <v>10312</v>
      </c>
      <c r="D5080" s="2"/>
      <c r="E5080" s="2" t="s">
        <v>52</v>
      </c>
      <c r="F5080" s="3" t="n">
        <v>1E-006</v>
      </c>
      <c r="G5080" s="3" t="n">
        <f aca="false">SUM($F$2:F5080)</f>
        <v>0.999933</v>
      </c>
      <c r="H5080" s="4"/>
      <c r="I5080" s="5"/>
      <c r="J5080" s="4"/>
      <c r="K5080" s="5"/>
      <c r="L5080" s="6"/>
      <c r="M5080" s="5" t="str">
        <f aca="false">IF(AND(N(K5080)&gt;0,N(L5080)&gt;0),K5080/L5080,"")</f>
        <v/>
      </c>
      <c r="N5080" s="2" t="s">
        <v>1226</v>
      </c>
    </row>
    <row r="5081" customFormat="false" ht="15" hidden="false" customHeight="false" outlineLevel="0" collapsed="false">
      <c r="A5081" s="2" t="n">
        <v>5080</v>
      </c>
      <c r="B5081" s="2" t="s">
        <v>10313</v>
      </c>
      <c r="C5081" s="2" t="s">
        <v>10314</v>
      </c>
      <c r="D5081" s="2"/>
      <c r="E5081" s="2" t="s">
        <v>52</v>
      </c>
      <c r="F5081" s="3" t="n">
        <v>1E-006</v>
      </c>
      <c r="G5081" s="3" t="n">
        <f aca="false">SUM($F$2:F5081)</f>
        <v>0.999934</v>
      </c>
      <c r="H5081" s="4"/>
      <c r="I5081" s="5"/>
      <c r="J5081" s="4"/>
      <c r="K5081" s="5"/>
      <c r="L5081" s="6"/>
      <c r="M5081" s="5" t="str">
        <f aca="false">IF(AND(N(K5081)&gt;0,N(L5081)&gt;0),K5081/L5081,"")</f>
        <v/>
      </c>
      <c r="N5081" s="2" t="s">
        <v>1226</v>
      </c>
    </row>
    <row r="5082" customFormat="false" ht="15" hidden="false" customHeight="false" outlineLevel="0" collapsed="false">
      <c r="A5082" s="2" t="n">
        <v>5081</v>
      </c>
      <c r="B5082" s="2" t="s">
        <v>10315</v>
      </c>
      <c r="C5082" s="2" t="s">
        <v>10316</v>
      </c>
      <c r="D5082" s="2"/>
      <c r="E5082" s="2" t="s">
        <v>17</v>
      </c>
      <c r="F5082" s="3" t="n">
        <v>1E-006</v>
      </c>
      <c r="G5082" s="3" t="n">
        <f aca="false">SUM($F$2:F5082)</f>
        <v>0.999935</v>
      </c>
      <c r="H5082" s="4"/>
      <c r="I5082" s="5"/>
      <c r="J5082" s="4"/>
      <c r="K5082" s="5"/>
      <c r="L5082" s="6"/>
      <c r="M5082" s="5" t="str">
        <f aca="false">IF(AND(N(K5082)&gt;0,N(L5082)&gt;0),K5082/L5082,"")</f>
        <v/>
      </c>
      <c r="N5082" s="2" t="s">
        <v>1226</v>
      </c>
    </row>
    <row r="5083" customFormat="false" ht="15" hidden="false" customHeight="false" outlineLevel="0" collapsed="false">
      <c r="A5083" s="2" t="n">
        <v>5082</v>
      </c>
      <c r="B5083" s="2" t="s">
        <v>10317</v>
      </c>
      <c r="C5083" s="2" t="s">
        <v>10318</v>
      </c>
      <c r="D5083" s="2"/>
      <c r="E5083" s="2" t="s">
        <v>21</v>
      </c>
      <c r="F5083" s="3" t="n">
        <v>1E-006</v>
      </c>
      <c r="G5083" s="3" t="n">
        <f aca="false">SUM($F$2:F5083)</f>
        <v>0.999936</v>
      </c>
      <c r="H5083" s="4"/>
      <c r="I5083" s="5"/>
      <c r="J5083" s="4"/>
      <c r="K5083" s="5"/>
      <c r="L5083" s="6"/>
      <c r="M5083" s="5" t="str">
        <f aca="false">IF(AND(N(K5083)&gt;0,N(L5083)&gt;0),K5083/L5083,"")</f>
        <v/>
      </c>
      <c r="N5083" s="2" t="s">
        <v>1226</v>
      </c>
    </row>
    <row r="5084" customFormat="false" ht="15" hidden="false" customHeight="false" outlineLevel="0" collapsed="false">
      <c r="A5084" s="2" t="n">
        <v>5083</v>
      </c>
      <c r="B5084" s="2" t="s">
        <v>2527</v>
      </c>
      <c r="C5084" s="2" t="s">
        <v>10319</v>
      </c>
      <c r="D5084" s="2"/>
      <c r="E5084" s="2" t="s">
        <v>17</v>
      </c>
      <c r="F5084" s="3" t="n">
        <v>1E-006</v>
      </c>
      <c r="G5084" s="3" t="n">
        <f aca="false">SUM($F$2:F5084)</f>
        <v>0.999937</v>
      </c>
      <c r="H5084" s="4"/>
      <c r="I5084" s="5"/>
      <c r="J5084" s="4"/>
      <c r="K5084" s="5"/>
      <c r="L5084" s="6"/>
      <c r="M5084" s="5" t="str">
        <f aca="false">IF(AND(N(K5084)&gt;0,N(L5084)&gt;0),K5084/L5084,"")</f>
        <v/>
      </c>
      <c r="N5084" s="2" t="s">
        <v>1226</v>
      </c>
    </row>
    <row r="5085" customFormat="false" ht="15" hidden="false" customHeight="false" outlineLevel="0" collapsed="false">
      <c r="A5085" s="2" t="n">
        <v>5084</v>
      </c>
      <c r="B5085" s="2" t="s">
        <v>10320</v>
      </c>
      <c r="C5085" s="2" t="s">
        <v>8911</v>
      </c>
      <c r="D5085" s="2"/>
      <c r="E5085" s="2" t="s">
        <v>1295</v>
      </c>
      <c r="F5085" s="3" t="n">
        <v>1E-006</v>
      </c>
      <c r="G5085" s="3" t="n">
        <f aca="false">SUM($F$2:F5085)</f>
        <v>0.999938</v>
      </c>
      <c r="H5085" s="4"/>
      <c r="I5085" s="5"/>
      <c r="J5085" s="4"/>
      <c r="K5085" s="5"/>
      <c r="L5085" s="6"/>
      <c r="M5085" s="5" t="str">
        <f aca="false">IF(AND(N(K5085)&gt;0,N(L5085)&gt;0),K5085/L5085,"")</f>
        <v/>
      </c>
      <c r="N5085" s="2" t="s">
        <v>1226</v>
      </c>
    </row>
    <row r="5086" customFormat="false" ht="15" hidden="false" customHeight="false" outlineLevel="0" collapsed="false">
      <c r="A5086" s="2" t="n">
        <v>5085</v>
      </c>
      <c r="B5086" s="2" t="s">
        <v>10321</v>
      </c>
      <c r="C5086" s="2" t="s">
        <v>10322</v>
      </c>
      <c r="D5086" s="2"/>
      <c r="E5086" s="2" t="s">
        <v>48</v>
      </c>
      <c r="F5086" s="3" t="n">
        <v>1E-006</v>
      </c>
      <c r="G5086" s="3" t="n">
        <f aca="false">SUM($F$2:F5086)</f>
        <v>0.999939</v>
      </c>
      <c r="H5086" s="4"/>
      <c r="I5086" s="5"/>
      <c r="J5086" s="4"/>
      <c r="K5086" s="5"/>
      <c r="L5086" s="6"/>
      <c r="M5086" s="5" t="str">
        <f aca="false">IF(AND(N(K5086)&gt;0,N(L5086)&gt;0),K5086/L5086,"")</f>
        <v/>
      </c>
      <c r="N5086" s="2" t="s">
        <v>1226</v>
      </c>
    </row>
    <row r="5087" customFormat="false" ht="15" hidden="false" customHeight="false" outlineLevel="0" collapsed="false">
      <c r="A5087" s="2" t="n">
        <v>5086</v>
      </c>
      <c r="B5087" s="2" t="s">
        <v>10323</v>
      </c>
      <c r="C5087" s="2" t="s">
        <v>3941</v>
      </c>
      <c r="D5087" s="2"/>
      <c r="E5087" s="2" t="s">
        <v>1295</v>
      </c>
      <c r="F5087" s="3" t="n">
        <v>1E-006</v>
      </c>
      <c r="G5087" s="3" t="n">
        <f aca="false">SUM($F$2:F5087)</f>
        <v>0.99994</v>
      </c>
      <c r="H5087" s="4"/>
      <c r="I5087" s="5"/>
      <c r="J5087" s="4"/>
      <c r="K5087" s="5"/>
      <c r="L5087" s="6"/>
      <c r="M5087" s="5" t="str">
        <f aca="false">IF(AND(N(K5087)&gt;0,N(L5087)&gt;0),K5087/L5087,"")</f>
        <v/>
      </c>
      <c r="N5087" s="2" t="s">
        <v>1226</v>
      </c>
    </row>
    <row r="5088" customFormat="false" ht="15" hidden="false" customHeight="false" outlineLevel="0" collapsed="false">
      <c r="A5088" s="2" t="n">
        <v>5087</v>
      </c>
      <c r="B5088" s="2" t="s">
        <v>10324</v>
      </c>
      <c r="C5088" s="2" t="s">
        <v>10325</v>
      </c>
      <c r="D5088" s="2"/>
      <c r="E5088" s="2" t="s">
        <v>1295</v>
      </c>
      <c r="F5088" s="3" t="n">
        <v>1E-006</v>
      </c>
      <c r="G5088" s="3" t="n">
        <f aca="false">SUM($F$2:F5088)</f>
        <v>0.999941</v>
      </c>
      <c r="H5088" s="4"/>
      <c r="I5088" s="5"/>
      <c r="J5088" s="4"/>
      <c r="K5088" s="5"/>
      <c r="L5088" s="6"/>
      <c r="M5088" s="5" t="str">
        <f aca="false">IF(AND(N(K5088)&gt;0,N(L5088)&gt;0),K5088/L5088,"")</f>
        <v/>
      </c>
      <c r="N5088" s="2" t="s">
        <v>1226</v>
      </c>
    </row>
    <row r="5089" customFormat="false" ht="15" hidden="false" customHeight="false" outlineLevel="0" collapsed="false">
      <c r="A5089" s="2" t="n">
        <v>5088</v>
      </c>
      <c r="B5089" s="2" t="s">
        <v>10326</v>
      </c>
      <c r="C5089" s="2" t="s">
        <v>10327</v>
      </c>
      <c r="D5089" s="2"/>
      <c r="E5089" s="2" t="s">
        <v>1295</v>
      </c>
      <c r="F5089" s="3" t="n">
        <v>1E-006</v>
      </c>
      <c r="G5089" s="3" t="n">
        <f aca="false">SUM($F$2:F5089)</f>
        <v>0.999942</v>
      </c>
      <c r="H5089" s="4"/>
      <c r="I5089" s="5"/>
      <c r="J5089" s="4"/>
      <c r="K5089" s="5"/>
      <c r="L5089" s="6"/>
      <c r="M5089" s="5" t="str">
        <f aca="false">IF(AND(N(K5089)&gt;0,N(L5089)&gt;0),K5089/L5089,"")</f>
        <v/>
      </c>
      <c r="N5089" s="2" t="s">
        <v>1226</v>
      </c>
    </row>
    <row r="5090" customFormat="false" ht="15" hidden="false" customHeight="false" outlineLevel="0" collapsed="false">
      <c r="A5090" s="2" t="n">
        <v>5089</v>
      </c>
      <c r="B5090" s="2" t="s">
        <v>10328</v>
      </c>
      <c r="C5090" s="2" t="s">
        <v>10329</v>
      </c>
      <c r="D5090" s="2"/>
      <c r="E5090" s="2" t="s">
        <v>17</v>
      </c>
      <c r="F5090" s="3" t="n">
        <v>1E-006</v>
      </c>
      <c r="G5090" s="3" t="n">
        <f aca="false">SUM($F$2:F5090)</f>
        <v>0.999943</v>
      </c>
      <c r="H5090" s="4"/>
      <c r="I5090" s="5"/>
      <c r="J5090" s="4"/>
      <c r="K5090" s="5"/>
      <c r="L5090" s="6"/>
      <c r="M5090" s="5" t="str">
        <f aca="false">IF(AND(N(K5090)&gt;0,N(L5090)&gt;0),K5090/L5090,"")</f>
        <v/>
      </c>
      <c r="N5090" s="2" t="s">
        <v>1226</v>
      </c>
    </row>
    <row r="5091" customFormat="false" ht="15" hidden="false" customHeight="false" outlineLevel="0" collapsed="false">
      <c r="A5091" s="2" t="n">
        <v>5090</v>
      </c>
      <c r="B5091" s="2" t="s">
        <v>10330</v>
      </c>
      <c r="C5091" s="2" t="s">
        <v>10331</v>
      </c>
      <c r="D5091" s="2"/>
      <c r="E5091" s="2" t="s">
        <v>52</v>
      </c>
      <c r="F5091" s="3" t="n">
        <v>1E-006</v>
      </c>
      <c r="G5091" s="3" t="n">
        <f aca="false">SUM($F$2:F5091)</f>
        <v>0.999944</v>
      </c>
      <c r="H5091" s="4"/>
      <c r="I5091" s="5"/>
      <c r="J5091" s="4"/>
      <c r="K5091" s="5"/>
      <c r="L5091" s="6"/>
      <c r="M5091" s="5" t="str">
        <f aca="false">IF(AND(N(K5091)&gt;0,N(L5091)&gt;0),K5091/L5091,"")</f>
        <v/>
      </c>
      <c r="N5091" s="2" t="s">
        <v>1226</v>
      </c>
    </row>
    <row r="5092" customFormat="false" ht="15" hidden="false" customHeight="false" outlineLevel="0" collapsed="false">
      <c r="A5092" s="2" t="n">
        <v>5091</v>
      </c>
      <c r="B5092" s="2" t="s">
        <v>10332</v>
      </c>
      <c r="C5092" s="2" t="s">
        <v>10333</v>
      </c>
      <c r="D5092" s="2"/>
      <c r="E5092" s="2" t="s">
        <v>17</v>
      </c>
      <c r="F5092" s="3" t="n">
        <v>1E-006</v>
      </c>
      <c r="G5092" s="3" t="n">
        <f aca="false">SUM($F$2:F5092)</f>
        <v>0.999945</v>
      </c>
      <c r="H5092" s="4"/>
      <c r="I5092" s="5"/>
      <c r="J5092" s="4"/>
      <c r="K5092" s="5"/>
      <c r="L5092" s="6"/>
      <c r="M5092" s="5" t="str">
        <f aca="false">IF(AND(N(K5092)&gt;0,N(L5092)&gt;0),K5092/L5092,"")</f>
        <v/>
      </c>
      <c r="N5092" s="2" t="s">
        <v>1226</v>
      </c>
    </row>
    <row r="5093" customFormat="false" ht="15" hidden="false" customHeight="false" outlineLevel="0" collapsed="false">
      <c r="A5093" s="2" t="n">
        <v>5092</v>
      </c>
      <c r="B5093" s="2" t="s">
        <v>10334</v>
      </c>
      <c r="C5093" s="2" t="s">
        <v>10335</v>
      </c>
      <c r="D5093" s="2"/>
      <c r="E5093" s="2" t="s">
        <v>199</v>
      </c>
      <c r="F5093" s="3" t="n">
        <v>1E-006</v>
      </c>
      <c r="G5093" s="3" t="n">
        <f aca="false">SUM($F$2:F5093)</f>
        <v>0.999946</v>
      </c>
      <c r="H5093" s="4"/>
      <c r="I5093" s="5"/>
      <c r="J5093" s="4"/>
      <c r="K5093" s="5"/>
      <c r="L5093" s="6"/>
      <c r="M5093" s="5" t="str">
        <f aca="false">IF(AND(N(K5093)&gt;0,N(L5093)&gt;0),K5093/L5093,"")</f>
        <v/>
      </c>
      <c r="N5093" s="2" t="s">
        <v>1226</v>
      </c>
    </row>
    <row r="5094" customFormat="false" ht="15" hidden="false" customHeight="false" outlineLevel="0" collapsed="false">
      <c r="A5094" s="2" t="n">
        <v>5093</v>
      </c>
      <c r="B5094" s="2" t="s">
        <v>10336</v>
      </c>
      <c r="C5094" s="2" t="s">
        <v>10337</v>
      </c>
      <c r="D5094" s="2"/>
      <c r="E5094" s="2" t="s">
        <v>614</v>
      </c>
      <c r="F5094" s="3" t="n">
        <v>1E-006</v>
      </c>
      <c r="G5094" s="3" t="n">
        <f aca="false">SUM($F$2:F5094)</f>
        <v>0.999947</v>
      </c>
      <c r="H5094" s="4"/>
      <c r="I5094" s="5"/>
      <c r="J5094" s="4"/>
      <c r="K5094" s="5"/>
      <c r="L5094" s="6"/>
      <c r="M5094" s="5" t="str">
        <f aca="false">IF(AND(N(K5094)&gt;0,N(L5094)&gt;0),K5094/L5094,"")</f>
        <v/>
      </c>
      <c r="N5094" s="2" t="s">
        <v>1226</v>
      </c>
    </row>
    <row r="5095" customFormat="false" ht="15" hidden="false" customHeight="false" outlineLevel="0" collapsed="false">
      <c r="A5095" s="2" t="n">
        <v>5094</v>
      </c>
      <c r="B5095" s="2" t="s">
        <v>301</v>
      </c>
      <c r="C5095" s="2" t="s">
        <v>8243</v>
      </c>
      <c r="D5095" s="2"/>
      <c r="E5095" s="2" t="s">
        <v>2638</v>
      </c>
      <c r="F5095" s="3" t="n">
        <v>1E-006</v>
      </c>
      <c r="G5095" s="3" t="n">
        <f aca="false">SUM($F$2:F5095)</f>
        <v>0.999948</v>
      </c>
      <c r="H5095" s="4"/>
      <c r="I5095" s="5"/>
      <c r="J5095" s="4"/>
      <c r="K5095" s="5"/>
      <c r="L5095" s="6"/>
      <c r="M5095" s="5" t="str">
        <f aca="false">IF(AND(N(K5095)&gt;0,N(L5095)&gt;0),K5095/L5095,"")</f>
        <v/>
      </c>
      <c r="N5095" s="2" t="s">
        <v>34</v>
      </c>
    </row>
    <row r="5096" customFormat="false" ht="15" hidden="false" customHeight="false" outlineLevel="0" collapsed="false">
      <c r="A5096" s="2" t="n">
        <v>5095</v>
      </c>
      <c r="B5096" s="2" t="s">
        <v>10338</v>
      </c>
      <c r="C5096" s="2" t="s">
        <v>10339</v>
      </c>
      <c r="D5096" s="2"/>
      <c r="E5096" s="2" t="s">
        <v>52</v>
      </c>
      <c r="F5096" s="3" t="n">
        <v>1E-006</v>
      </c>
      <c r="G5096" s="3" t="n">
        <f aca="false">SUM($F$2:F5096)</f>
        <v>0.999949</v>
      </c>
      <c r="H5096" s="4"/>
      <c r="I5096" s="5"/>
      <c r="J5096" s="4"/>
      <c r="K5096" s="5"/>
      <c r="L5096" s="6"/>
      <c r="M5096" s="5" t="str">
        <f aca="false">IF(AND(N(K5096)&gt;0,N(L5096)&gt;0),K5096/L5096,"")</f>
        <v/>
      </c>
      <c r="N5096" s="2" t="s">
        <v>1226</v>
      </c>
    </row>
    <row r="5097" customFormat="false" ht="15" hidden="false" customHeight="false" outlineLevel="0" collapsed="false">
      <c r="A5097" s="2" t="n">
        <v>5096</v>
      </c>
      <c r="B5097" s="2" t="s">
        <v>10340</v>
      </c>
      <c r="C5097" s="2" t="s">
        <v>10341</v>
      </c>
      <c r="D5097" s="2"/>
      <c r="E5097" s="2" t="s">
        <v>2055</v>
      </c>
      <c r="F5097" s="3" t="n">
        <v>1E-006</v>
      </c>
      <c r="G5097" s="3" t="n">
        <f aca="false">SUM($F$2:F5097)</f>
        <v>0.99995</v>
      </c>
      <c r="H5097" s="4"/>
      <c r="I5097" s="5"/>
      <c r="J5097" s="4"/>
      <c r="K5097" s="5"/>
      <c r="L5097" s="6"/>
      <c r="M5097" s="5" t="str">
        <f aca="false">IF(AND(N(K5097)&gt;0,N(L5097)&gt;0),K5097/L5097,"")</f>
        <v/>
      </c>
      <c r="N5097" s="2" t="s">
        <v>1226</v>
      </c>
    </row>
    <row r="5098" customFormat="false" ht="15" hidden="false" customHeight="false" outlineLevel="0" collapsed="false">
      <c r="A5098" s="2" t="n">
        <v>5097</v>
      </c>
      <c r="B5098" s="2" t="s">
        <v>10342</v>
      </c>
      <c r="C5098" s="2" t="s">
        <v>10343</v>
      </c>
      <c r="D5098" s="2"/>
      <c r="E5098" s="2" t="s">
        <v>52</v>
      </c>
      <c r="F5098" s="3" t="n">
        <v>1E-006</v>
      </c>
      <c r="G5098" s="3" t="n">
        <f aca="false">SUM($F$2:F5098)</f>
        <v>0.999951</v>
      </c>
      <c r="H5098" s="4"/>
      <c r="I5098" s="5"/>
      <c r="J5098" s="4"/>
      <c r="K5098" s="5"/>
      <c r="L5098" s="6"/>
      <c r="M5098" s="5" t="str">
        <f aca="false">IF(AND(N(K5098)&gt;0,N(L5098)&gt;0),K5098/L5098,"")</f>
        <v/>
      </c>
      <c r="N5098" s="2" t="s">
        <v>1226</v>
      </c>
    </row>
    <row r="5099" customFormat="false" ht="15" hidden="false" customHeight="false" outlineLevel="0" collapsed="false">
      <c r="A5099" s="2" t="n">
        <v>5098</v>
      </c>
      <c r="B5099" s="2" t="s">
        <v>10344</v>
      </c>
      <c r="C5099" s="2" t="s">
        <v>10345</v>
      </c>
      <c r="D5099" s="2"/>
      <c r="E5099" s="2" t="s">
        <v>2055</v>
      </c>
      <c r="F5099" s="3" t="n">
        <v>1E-006</v>
      </c>
      <c r="G5099" s="3" t="n">
        <f aca="false">SUM($F$2:F5099)</f>
        <v>0.999952</v>
      </c>
      <c r="H5099" s="4"/>
      <c r="I5099" s="5"/>
      <c r="J5099" s="4"/>
      <c r="K5099" s="5"/>
      <c r="L5099" s="6"/>
      <c r="M5099" s="5" t="str">
        <f aca="false">IF(AND(N(K5099)&gt;0,N(L5099)&gt;0),K5099/L5099,"")</f>
        <v/>
      </c>
      <c r="N5099" s="2" t="s">
        <v>1226</v>
      </c>
    </row>
    <row r="5100" customFormat="false" ht="15" hidden="false" customHeight="false" outlineLevel="0" collapsed="false">
      <c r="A5100" s="2" t="n">
        <v>5099</v>
      </c>
      <c r="B5100" s="2" t="s">
        <v>301</v>
      </c>
      <c r="C5100" s="2" t="s">
        <v>4419</v>
      </c>
      <c r="D5100" s="2"/>
      <c r="E5100" s="2" t="s">
        <v>4668</v>
      </c>
      <c r="F5100" s="3" t="n">
        <v>1E-006</v>
      </c>
      <c r="G5100" s="3" t="n">
        <f aca="false">SUM($F$2:F5100)</f>
        <v>0.999953</v>
      </c>
      <c r="H5100" s="4"/>
      <c r="I5100" s="5"/>
      <c r="J5100" s="4"/>
      <c r="K5100" s="5"/>
      <c r="L5100" s="6"/>
      <c r="M5100" s="5" t="str">
        <f aca="false">IF(AND(N(K5100)&gt;0,N(L5100)&gt;0),K5100/L5100,"")</f>
        <v/>
      </c>
      <c r="N5100" s="2" t="s">
        <v>34</v>
      </c>
    </row>
    <row r="5101" customFormat="false" ht="15" hidden="false" customHeight="false" outlineLevel="0" collapsed="false">
      <c r="A5101" s="2" t="n">
        <v>5100</v>
      </c>
      <c r="B5101" s="2" t="s">
        <v>10346</v>
      </c>
      <c r="C5101" s="2" t="s">
        <v>10347</v>
      </c>
      <c r="D5101" s="2"/>
      <c r="E5101" s="2" t="s">
        <v>199</v>
      </c>
      <c r="F5101" s="3" t="n">
        <v>1E-006</v>
      </c>
      <c r="G5101" s="3" t="n">
        <f aca="false">SUM($F$2:F5101)</f>
        <v>0.999954</v>
      </c>
      <c r="H5101" s="4"/>
      <c r="I5101" s="5"/>
      <c r="J5101" s="4"/>
      <c r="K5101" s="5"/>
      <c r="L5101" s="6"/>
      <c r="M5101" s="5" t="str">
        <f aca="false">IF(AND(N(K5101)&gt;0,N(L5101)&gt;0),K5101/L5101,"")</f>
        <v/>
      </c>
      <c r="N5101" s="2" t="s">
        <v>1226</v>
      </c>
    </row>
    <row r="5102" customFormat="false" ht="15" hidden="false" customHeight="false" outlineLevel="0" collapsed="false">
      <c r="A5102" s="2" t="n">
        <v>5101</v>
      </c>
      <c r="B5102" s="2" t="s">
        <v>10348</v>
      </c>
      <c r="C5102" s="2" t="s">
        <v>9328</v>
      </c>
      <c r="D5102" s="2"/>
      <c r="E5102" s="2" t="s">
        <v>1295</v>
      </c>
      <c r="F5102" s="3" t="n">
        <v>1E-006</v>
      </c>
      <c r="G5102" s="3" t="n">
        <f aca="false">SUM($F$2:F5102)</f>
        <v>0.999955</v>
      </c>
      <c r="H5102" s="4"/>
      <c r="I5102" s="5"/>
      <c r="J5102" s="4"/>
      <c r="K5102" s="5"/>
      <c r="L5102" s="6"/>
      <c r="M5102" s="5" t="str">
        <f aca="false">IF(AND(N(K5102)&gt;0,N(L5102)&gt;0),K5102/L5102,"")</f>
        <v/>
      </c>
      <c r="N5102" s="2" t="s">
        <v>1226</v>
      </c>
    </row>
    <row r="5103" customFormat="false" ht="15" hidden="false" customHeight="false" outlineLevel="0" collapsed="false">
      <c r="A5103" s="2" t="n">
        <v>5102</v>
      </c>
      <c r="B5103" s="2" t="s">
        <v>10349</v>
      </c>
      <c r="C5103" s="2" t="s">
        <v>10350</v>
      </c>
      <c r="D5103" s="2"/>
      <c r="E5103" s="2" t="s">
        <v>52</v>
      </c>
      <c r="F5103" s="3" t="n">
        <v>1E-006</v>
      </c>
      <c r="G5103" s="3" t="n">
        <f aca="false">SUM($F$2:F5103)</f>
        <v>0.999956</v>
      </c>
      <c r="H5103" s="4"/>
      <c r="I5103" s="5"/>
      <c r="J5103" s="4"/>
      <c r="K5103" s="5"/>
      <c r="L5103" s="6"/>
      <c r="M5103" s="5" t="str">
        <f aca="false">IF(AND(N(K5103)&gt;0,N(L5103)&gt;0),K5103/L5103,"")</f>
        <v/>
      </c>
      <c r="N5103" s="2" t="s">
        <v>1226</v>
      </c>
    </row>
    <row r="5104" customFormat="false" ht="15" hidden="false" customHeight="false" outlineLevel="0" collapsed="false">
      <c r="A5104" s="2" t="n">
        <v>5103</v>
      </c>
      <c r="B5104" s="2" t="s">
        <v>10351</v>
      </c>
      <c r="C5104" s="2" t="s">
        <v>3917</v>
      </c>
      <c r="D5104" s="2"/>
      <c r="E5104" s="2" t="s">
        <v>25</v>
      </c>
      <c r="F5104" s="3" t="n">
        <v>1E-006</v>
      </c>
      <c r="G5104" s="3" t="n">
        <f aca="false">SUM($F$2:F5104)</f>
        <v>0.999957</v>
      </c>
      <c r="H5104" s="4"/>
      <c r="I5104" s="5"/>
      <c r="J5104" s="4"/>
      <c r="K5104" s="5"/>
      <c r="L5104" s="6"/>
      <c r="M5104" s="5" t="str">
        <f aca="false">IF(AND(N(K5104)&gt;0,N(L5104)&gt;0),K5104/L5104,"")</f>
        <v/>
      </c>
      <c r="N5104" s="2" t="s">
        <v>1226</v>
      </c>
    </row>
    <row r="5105" customFormat="false" ht="15" hidden="false" customHeight="false" outlineLevel="0" collapsed="false">
      <c r="A5105" s="2" t="n">
        <v>5104</v>
      </c>
      <c r="B5105" s="2" t="s">
        <v>10352</v>
      </c>
      <c r="C5105" s="2" t="s">
        <v>10353</v>
      </c>
      <c r="D5105" s="2"/>
      <c r="E5105" s="2" t="s">
        <v>1295</v>
      </c>
      <c r="F5105" s="3" t="n">
        <v>1E-006</v>
      </c>
      <c r="G5105" s="3" t="n">
        <f aca="false">SUM($F$2:F5105)</f>
        <v>0.999958</v>
      </c>
      <c r="H5105" s="4"/>
      <c r="I5105" s="5"/>
      <c r="J5105" s="4"/>
      <c r="K5105" s="5"/>
      <c r="L5105" s="6"/>
      <c r="M5105" s="5" t="str">
        <f aca="false">IF(AND(N(K5105)&gt;0,N(L5105)&gt;0),K5105/L5105,"")</f>
        <v/>
      </c>
      <c r="N5105" s="2" t="s">
        <v>1226</v>
      </c>
    </row>
    <row r="5106" customFormat="false" ht="15" hidden="false" customHeight="false" outlineLevel="0" collapsed="false">
      <c r="A5106" s="2" t="n">
        <v>5105</v>
      </c>
      <c r="B5106" s="2" t="s">
        <v>10354</v>
      </c>
      <c r="C5106" s="2" t="s">
        <v>10355</v>
      </c>
      <c r="D5106" s="2"/>
      <c r="E5106" s="2" t="s">
        <v>17</v>
      </c>
      <c r="F5106" s="3" t="n">
        <v>1E-006</v>
      </c>
      <c r="G5106" s="3" t="n">
        <f aca="false">SUM($F$2:F5106)</f>
        <v>0.999959</v>
      </c>
      <c r="H5106" s="4"/>
      <c r="I5106" s="5"/>
      <c r="J5106" s="4"/>
      <c r="K5106" s="5"/>
      <c r="L5106" s="6"/>
      <c r="M5106" s="5" t="str">
        <f aca="false">IF(AND(N(K5106)&gt;0,N(L5106)&gt;0),K5106/L5106,"")</f>
        <v/>
      </c>
      <c r="N5106" s="2" t="s">
        <v>1226</v>
      </c>
    </row>
    <row r="5107" customFormat="false" ht="15" hidden="false" customHeight="false" outlineLevel="0" collapsed="false">
      <c r="A5107" s="2" t="n">
        <v>5106</v>
      </c>
      <c r="B5107" s="2" t="s">
        <v>10356</v>
      </c>
      <c r="C5107" s="2" t="s">
        <v>10357</v>
      </c>
      <c r="D5107" s="2"/>
      <c r="E5107" s="2" t="s">
        <v>52</v>
      </c>
      <c r="F5107" s="3" t="n">
        <v>1E-006</v>
      </c>
      <c r="G5107" s="3" t="n">
        <f aca="false">SUM($F$2:F5107)</f>
        <v>0.99996</v>
      </c>
      <c r="H5107" s="4"/>
      <c r="I5107" s="5"/>
      <c r="J5107" s="4"/>
      <c r="K5107" s="5"/>
      <c r="L5107" s="6"/>
      <c r="M5107" s="5" t="str">
        <f aca="false">IF(AND(N(K5107)&gt;0,N(L5107)&gt;0),K5107/L5107,"")</f>
        <v/>
      </c>
      <c r="N5107" s="2" t="s">
        <v>1226</v>
      </c>
    </row>
    <row r="5108" customFormat="false" ht="15" hidden="false" customHeight="false" outlineLevel="0" collapsed="false">
      <c r="A5108" s="2" t="n">
        <v>5107</v>
      </c>
      <c r="B5108" s="2" t="s">
        <v>10358</v>
      </c>
      <c r="C5108" s="2" t="s">
        <v>10359</v>
      </c>
      <c r="D5108" s="2"/>
      <c r="E5108" s="2" t="s">
        <v>17</v>
      </c>
      <c r="F5108" s="3" t="n">
        <v>1E-006</v>
      </c>
      <c r="G5108" s="3" t="n">
        <f aca="false">SUM($F$2:F5108)</f>
        <v>0.999961</v>
      </c>
      <c r="H5108" s="4"/>
      <c r="I5108" s="5"/>
      <c r="J5108" s="4"/>
      <c r="K5108" s="5"/>
      <c r="L5108" s="6"/>
      <c r="M5108" s="5" t="str">
        <f aca="false">IF(AND(N(K5108)&gt;0,N(L5108)&gt;0),K5108/L5108,"")</f>
        <v/>
      </c>
      <c r="N5108" s="2" t="s">
        <v>1226</v>
      </c>
    </row>
    <row r="5109" customFormat="false" ht="15" hidden="false" customHeight="false" outlineLevel="0" collapsed="false">
      <c r="A5109" s="2" t="n">
        <v>5108</v>
      </c>
      <c r="B5109" s="2" t="s">
        <v>10360</v>
      </c>
      <c r="C5109" s="2" t="s">
        <v>10361</v>
      </c>
      <c r="D5109" s="2"/>
      <c r="E5109" s="2" t="s">
        <v>52</v>
      </c>
      <c r="F5109" s="3" t="n">
        <v>1E-006</v>
      </c>
      <c r="G5109" s="3" t="n">
        <f aca="false">SUM($F$2:F5109)</f>
        <v>0.999962</v>
      </c>
      <c r="H5109" s="4"/>
      <c r="I5109" s="5"/>
      <c r="J5109" s="4"/>
      <c r="K5109" s="5"/>
      <c r="L5109" s="6"/>
      <c r="M5109" s="5" t="str">
        <f aca="false">IF(AND(N(K5109)&gt;0,N(L5109)&gt;0),K5109/L5109,"")</f>
        <v/>
      </c>
      <c r="N5109" s="2" t="s">
        <v>1226</v>
      </c>
    </row>
    <row r="5110" customFormat="false" ht="15" hidden="false" customHeight="false" outlineLevel="0" collapsed="false">
      <c r="A5110" s="2" t="n">
        <v>5109</v>
      </c>
      <c r="B5110" s="2" t="s">
        <v>9773</v>
      </c>
      <c r="C5110" s="2" t="s">
        <v>10362</v>
      </c>
      <c r="D5110" s="2"/>
      <c r="E5110" s="2" t="s">
        <v>52</v>
      </c>
      <c r="F5110" s="3" t="n">
        <v>1E-006</v>
      </c>
      <c r="G5110" s="3" t="n">
        <f aca="false">SUM($F$2:F5110)</f>
        <v>0.999963</v>
      </c>
      <c r="H5110" s="4"/>
      <c r="I5110" s="5"/>
      <c r="J5110" s="4"/>
      <c r="K5110" s="5"/>
      <c r="L5110" s="6"/>
      <c r="M5110" s="5" t="str">
        <f aca="false">IF(AND(N(K5110)&gt;0,N(L5110)&gt;0),K5110/L5110,"")</f>
        <v/>
      </c>
      <c r="N5110" s="2" t="s">
        <v>1226</v>
      </c>
    </row>
    <row r="5111" customFormat="false" ht="15" hidden="false" customHeight="false" outlineLevel="0" collapsed="false">
      <c r="A5111" s="2" t="n">
        <v>5110</v>
      </c>
      <c r="B5111" s="2" t="s">
        <v>10363</v>
      </c>
      <c r="C5111" s="2" t="s">
        <v>10364</v>
      </c>
      <c r="D5111" s="2"/>
      <c r="E5111" s="2" t="s">
        <v>33</v>
      </c>
      <c r="F5111" s="3" t="n">
        <v>1E-006</v>
      </c>
      <c r="G5111" s="3" t="n">
        <f aca="false">SUM($F$2:F5111)</f>
        <v>0.999964</v>
      </c>
      <c r="H5111" s="4"/>
      <c r="I5111" s="5"/>
      <c r="J5111" s="4"/>
      <c r="K5111" s="5"/>
      <c r="L5111" s="6"/>
      <c r="M5111" s="5" t="str">
        <f aca="false">IF(AND(N(K5111)&gt;0,N(L5111)&gt;0),K5111/L5111,"")</f>
        <v/>
      </c>
      <c r="N5111" s="2" t="s">
        <v>1226</v>
      </c>
    </row>
    <row r="5112" customFormat="false" ht="15" hidden="false" customHeight="false" outlineLevel="0" collapsed="false">
      <c r="A5112" s="2" t="n">
        <v>5111</v>
      </c>
      <c r="B5112" s="2" t="s">
        <v>10365</v>
      </c>
      <c r="C5112" s="2" t="s">
        <v>10366</v>
      </c>
      <c r="D5112" s="2"/>
      <c r="E5112" s="2" t="s">
        <v>52</v>
      </c>
      <c r="F5112" s="3" t="n">
        <v>1E-006</v>
      </c>
      <c r="G5112" s="3" t="n">
        <f aca="false">SUM($F$2:F5112)</f>
        <v>0.999965</v>
      </c>
      <c r="H5112" s="4"/>
      <c r="I5112" s="5"/>
      <c r="J5112" s="4"/>
      <c r="K5112" s="5"/>
      <c r="L5112" s="6"/>
      <c r="M5112" s="5" t="str">
        <f aca="false">IF(AND(N(K5112)&gt;0,N(L5112)&gt;0),K5112/L5112,"")</f>
        <v/>
      </c>
      <c r="N5112" s="2" t="s">
        <v>1226</v>
      </c>
    </row>
    <row r="5113" customFormat="false" ht="15" hidden="false" customHeight="false" outlineLevel="0" collapsed="false">
      <c r="A5113" s="2" t="n">
        <v>5112</v>
      </c>
      <c r="B5113" s="2" t="s">
        <v>10367</v>
      </c>
      <c r="C5113" s="2" t="s">
        <v>10368</v>
      </c>
      <c r="D5113" s="2"/>
      <c r="E5113" s="2" t="s">
        <v>52</v>
      </c>
      <c r="F5113" s="3" t="n">
        <v>1E-006</v>
      </c>
      <c r="G5113" s="3" t="n">
        <f aca="false">SUM($F$2:F5113)</f>
        <v>0.999966</v>
      </c>
      <c r="H5113" s="4"/>
      <c r="I5113" s="5"/>
      <c r="J5113" s="4"/>
      <c r="K5113" s="5"/>
      <c r="L5113" s="6"/>
      <c r="M5113" s="5" t="str">
        <f aca="false">IF(AND(N(K5113)&gt;0,N(L5113)&gt;0),K5113/L5113,"")</f>
        <v/>
      </c>
      <c r="N5113" s="2" t="s">
        <v>1226</v>
      </c>
    </row>
    <row r="5114" customFormat="false" ht="15" hidden="false" customHeight="false" outlineLevel="0" collapsed="false">
      <c r="A5114" s="2" t="n">
        <v>5113</v>
      </c>
      <c r="B5114" s="2" t="s">
        <v>10369</v>
      </c>
      <c r="C5114" s="2" t="s">
        <v>10370</v>
      </c>
      <c r="D5114" s="2"/>
      <c r="E5114" s="2" t="s">
        <v>289</v>
      </c>
      <c r="F5114" s="3" t="n">
        <v>1E-006</v>
      </c>
      <c r="G5114" s="3" t="n">
        <f aca="false">SUM($F$2:F5114)</f>
        <v>0.999967</v>
      </c>
      <c r="H5114" s="4"/>
      <c r="I5114" s="5"/>
      <c r="J5114" s="4"/>
      <c r="K5114" s="5"/>
      <c r="L5114" s="6"/>
      <c r="M5114" s="5" t="str">
        <f aca="false">IF(AND(N(K5114)&gt;0,N(L5114)&gt;0),K5114/L5114,"")</f>
        <v/>
      </c>
      <c r="N5114" s="2" t="s">
        <v>1226</v>
      </c>
    </row>
    <row r="5115" customFormat="false" ht="15" hidden="false" customHeight="false" outlineLevel="0" collapsed="false">
      <c r="A5115" s="2" t="n">
        <v>5114</v>
      </c>
      <c r="B5115" s="2" t="s">
        <v>10371</v>
      </c>
      <c r="C5115" s="2" t="s">
        <v>10372</v>
      </c>
      <c r="D5115" s="2"/>
      <c r="E5115" s="2" t="s">
        <v>52</v>
      </c>
      <c r="F5115" s="3" t="n">
        <v>1E-006</v>
      </c>
      <c r="G5115" s="3" t="n">
        <f aca="false">SUM($F$2:F5115)</f>
        <v>0.999968</v>
      </c>
      <c r="H5115" s="4"/>
      <c r="I5115" s="5"/>
      <c r="J5115" s="4"/>
      <c r="K5115" s="5"/>
      <c r="L5115" s="6"/>
      <c r="M5115" s="5" t="str">
        <f aca="false">IF(AND(N(K5115)&gt;0,N(L5115)&gt;0),K5115/L5115,"")</f>
        <v/>
      </c>
      <c r="N5115" s="2" t="s">
        <v>1226</v>
      </c>
    </row>
    <row r="5116" customFormat="false" ht="15" hidden="false" customHeight="false" outlineLevel="0" collapsed="false">
      <c r="A5116" s="2" t="n">
        <v>5115</v>
      </c>
      <c r="B5116" s="2" t="s">
        <v>301</v>
      </c>
      <c r="C5116" s="2" t="s">
        <v>10373</v>
      </c>
      <c r="D5116" s="2"/>
      <c r="E5116" s="2" t="s">
        <v>1430</v>
      </c>
      <c r="F5116" s="3" t="n">
        <v>1E-006</v>
      </c>
      <c r="G5116" s="3" t="n">
        <f aca="false">SUM($F$2:F5116)</f>
        <v>0.999969</v>
      </c>
      <c r="H5116" s="4"/>
      <c r="I5116" s="5"/>
      <c r="J5116" s="4"/>
      <c r="K5116" s="5"/>
      <c r="L5116" s="6"/>
      <c r="M5116" s="5" t="str">
        <f aca="false">IF(AND(N(K5116)&gt;0,N(L5116)&gt;0),K5116/L5116,"")</f>
        <v/>
      </c>
      <c r="N5116" s="2" t="s">
        <v>34</v>
      </c>
    </row>
    <row r="5117" customFormat="false" ht="15" hidden="false" customHeight="false" outlineLevel="0" collapsed="false">
      <c r="A5117" s="2" t="n">
        <v>5116</v>
      </c>
      <c r="B5117" s="2" t="s">
        <v>10374</v>
      </c>
      <c r="C5117" s="2" t="s">
        <v>10375</v>
      </c>
      <c r="D5117" s="2"/>
      <c r="E5117" s="2" t="s">
        <v>52</v>
      </c>
      <c r="F5117" s="3" t="n">
        <v>1E-006</v>
      </c>
      <c r="G5117" s="3" t="n">
        <f aca="false">SUM($F$2:F5117)</f>
        <v>0.99997</v>
      </c>
      <c r="H5117" s="4"/>
      <c r="I5117" s="5"/>
      <c r="J5117" s="4"/>
      <c r="K5117" s="5"/>
      <c r="L5117" s="6"/>
      <c r="M5117" s="5" t="str">
        <f aca="false">IF(AND(N(K5117)&gt;0,N(L5117)&gt;0),K5117/L5117,"")</f>
        <v/>
      </c>
      <c r="N5117" s="2" t="s">
        <v>1226</v>
      </c>
    </row>
    <row r="5118" customFormat="false" ht="15" hidden="false" customHeight="false" outlineLevel="0" collapsed="false">
      <c r="A5118" s="2" t="n">
        <v>5117</v>
      </c>
      <c r="B5118" s="2" t="s">
        <v>9830</v>
      </c>
      <c r="C5118" s="2" t="s">
        <v>9831</v>
      </c>
      <c r="D5118" s="2"/>
      <c r="E5118" s="2" t="s">
        <v>21</v>
      </c>
      <c r="F5118" s="3" t="n">
        <v>1E-006</v>
      </c>
      <c r="G5118" s="3" t="n">
        <f aca="false">SUM($F$2:F5118)</f>
        <v>0.999971</v>
      </c>
      <c r="H5118" s="4"/>
      <c r="I5118" s="5"/>
      <c r="J5118" s="4"/>
      <c r="K5118" s="5"/>
      <c r="L5118" s="6"/>
      <c r="M5118" s="5" t="str">
        <f aca="false">IF(AND(N(K5118)&gt;0,N(L5118)&gt;0),K5118/L5118,"")</f>
        <v/>
      </c>
      <c r="N5118" s="2" t="s">
        <v>1226</v>
      </c>
    </row>
    <row r="5119" customFormat="false" ht="15" hidden="false" customHeight="false" outlineLevel="0" collapsed="false">
      <c r="A5119" s="2" t="n">
        <v>5118</v>
      </c>
      <c r="B5119" s="2" t="s">
        <v>10376</v>
      </c>
      <c r="C5119" s="2" t="s">
        <v>10377</v>
      </c>
      <c r="D5119" s="2"/>
      <c r="E5119" s="2" t="s">
        <v>52</v>
      </c>
      <c r="F5119" s="3" t="n">
        <v>1E-006</v>
      </c>
      <c r="G5119" s="3" t="n">
        <f aca="false">SUM($F$2:F5119)</f>
        <v>0.999972</v>
      </c>
      <c r="H5119" s="4"/>
      <c r="I5119" s="5"/>
      <c r="J5119" s="4"/>
      <c r="K5119" s="5"/>
      <c r="L5119" s="6"/>
      <c r="M5119" s="5" t="str">
        <f aca="false">IF(AND(N(K5119)&gt;0,N(L5119)&gt;0),K5119/L5119,"")</f>
        <v/>
      </c>
      <c r="N5119" s="2" t="s">
        <v>1226</v>
      </c>
    </row>
    <row r="5120" customFormat="false" ht="15" hidden="false" customHeight="false" outlineLevel="0" collapsed="false">
      <c r="A5120" s="2" t="n">
        <v>5119</v>
      </c>
      <c r="B5120" s="2" t="s">
        <v>301</v>
      </c>
      <c r="C5120" s="2" t="s">
        <v>996</v>
      </c>
      <c r="D5120" s="2"/>
      <c r="E5120" s="2" t="s">
        <v>4217</v>
      </c>
      <c r="F5120" s="3" t="n">
        <v>1E-006</v>
      </c>
      <c r="G5120" s="3" t="n">
        <f aca="false">SUM($F$2:F5120)</f>
        <v>0.999973</v>
      </c>
      <c r="H5120" s="4"/>
      <c r="I5120" s="5"/>
      <c r="J5120" s="4"/>
      <c r="K5120" s="5"/>
      <c r="L5120" s="6"/>
      <c r="M5120" s="5" t="str">
        <f aca="false">IF(AND(N(K5120)&gt;0,N(L5120)&gt;0),K5120/L5120,"")</f>
        <v/>
      </c>
      <c r="N5120" s="2" t="s">
        <v>34</v>
      </c>
    </row>
    <row r="5121" customFormat="false" ht="15" hidden="false" customHeight="false" outlineLevel="0" collapsed="false">
      <c r="A5121" s="2" t="n">
        <v>5120</v>
      </c>
      <c r="B5121" s="2" t="s">
        <v>10378</v>
      </c>
      <c r="C5121" s="2" t="s">
        <v>10379</v>
      </c>
      <c r="D5121" s="2"/>
      <c r="E5121" s="2" t="s">
        <v>48</v>
      </c>
      <c r="F5121" s="3" t="n">
        <v>1E-006</v>
      </c>
      <c r="G5121" s="3" t="n">
        <f aca="false">SUM($F$2:F5121)</f>
        <v>0.999974</v>
      </c>
      <c r="H5121" s="4"/>
      <c r="I5121" s="5"/>
      <c r="J5121" s="4"/>
      <c r="K5121" s="5"/>
      <c r="L5121" s="6"/>
      <c r="M5121" s="5" t="str">
        <f aca="false">IF(AND(N(K5121)&gt;0,N(L5121)&gt;0),K5121/L5121,"")</f>
        <v/>
      </c>
      <c r="N5121" s="2" t="s">
        <v>1226</v>
      </c>
    </row>
    <row r="5122" customFormat="false" ht="15" hidden="false" customHeight="false" outlineLevel="0" collapsed="false">
      <c r="A5122" s="2" t="n">
        <v>5121</v>
      </c>
      <c r="B5122" s="2" t="s">
        <v>10380</v>
      </c>
      <c r="C5122" s="2" t="s">
        <v>10381</v>
      </c>
      <c r="D5122" s="2"/>
      <c r="E5122" s="2" t="s">
        <v>289</v>
      </c>
      <c r="F5122" s="3" t="n">
        <v>1E-006</v>
      </c>
      <c r="G5122" s="3" t="n">
        <f aca="false">SUM($F$2:F5122)</f>
        <v>0.999975</v>
      </c>
      <c r="H5122" s="4"/>
      <c r="I5122" s="5"/>
      <c r="J5122" s="4"/>
      <c r="K5122" s="5"/>
      <c r="L5122" s="6"/>
      <c r="M5122" s="5" t="str">
        <f aca="false">IF(AND(N(K5122)&gt;0,N(L5122)&gt;0),K5122/L5122,"")</f>
        <v/>
      </c>
      <c r="N5122" s="2" t="s">
        <v>1226</v>
      </c>
    </row>
    <row r="5123" customFormat="false" ht="15" hidden="false" customHeight="false" outlineLevel="0" collapsed="false">
      <c r="A5123" s="2" t="n">
        <v>5122</v>
      </c>
      <c r="B5123" s="2" t="s">
        <v>10382</v>
      </c>
      <c r="C5123" s="2" t="s">
        <v>5930</v>
      </c>
      <c r="D5123" s="2"/>
      <c r="E5123" s="2" t="s">
        <v>25</v>
      </c>
      <c r="F5123" s="3" t="n">
        <v>1E-006</v>
      </c>
      <c r="G5123" s="3" t="n">
        <f aca="false">SUM($F$2:F5123)</f>
        <v>0.999976</v>
      </c>
      <c r="H5123" s="4"/>
      <c r="I5123" s="5"/>
      <c r="J5123" s="4"/>
      <c r="K5123" s="5"/>
      <c r="L5123" s="6"/>
      <c r="M5123" s="5" t="str">
        <f aca="false">IF(AND(N(K5123)&gt;0,N(L5123)&gt;0),K5123/L5123,"")</f>
        <v/>
      </c>
      <c r="N5123" s="2" t="s">
        <v>1226</v>
      </c>
    </row>
    <row r="5124" customFormat="false" ht="15" hidden="false" customHeight="false" outlineLevel="0" collapsed="false">
      <c r="A5124" s="2" t="n">
        <v>5123</v>
      </c>
      <c r="B5124" s="2" t="s">
        <v>10383</v>
      </c>
      <c r="C5124" s="2" t="s">
        <v>10384</v>
      </c>
      <c r="D5124" s="2"/>
      <c r="E5124" s="2" t="s">
        <v>21</v>
      </c>
      <c r="F5124" s="3" t="n">
        <v>1E-006</v>
      </c>
      <c r="G5124" s="3" t="n">
        <f aca="false">SUM($F$2:F5124)</f>
        <v>0.999977</v>
      </c>
      <c r="H5124" s="4"/>
      <c r="I5124" s="5"/>
      <c r="J5124" s="4"/>
      <c r="K5124" s="5"/>
      <c r="L5124" s="6"/>
      <c r="M5124" s="5" t="str">
        <f aca="false">IF(AND(N(K5124)&gt;0,N(L5124)&gt;0),K5124/L5124,"")</f>
        <v/>
      </c>
      <c r="N5124" s="2" t="s">
        <v>34</v>
      </c>
    </row>
    <row r="5125" customFormat="false" ht="15" hidden="false" customHeight="false" outlineLevel="0" collapsed="false">
      <c r="A5125" s="2" t="n">
        <v>5124</v>
      </c>
      <c r="B5125" s="2" t="s">
        <v>10385</v>
      </c>
      <c r="C5125" s="2" t="s">
        <v>10386</v>
      </c>
      <c r="D5125" s="2"/>
      <c r="E5125" s="2" t="s">
        <v>17</v>
      </c>
      <c r="F5125" s="3" t="n">
        <v>1E-006</v>
      </c>
      <c r="G5125" s="3" t="n">
        <f aca="false">SUM($F$2:F5125)</f>
        <v>0.999978</v>
      </c>
      <c r="H5125" s="4"/>
      <c r="I5125" s="5"/>
      <c r="J5125" s="4"/>
      <c r="K5125" s="5"/>
      <c r="L5125" s="6"/>
      <c r="M5125" s="5" t="str">
        <f aca="false">IF(AND(N(K5125)&gt;0,N(L5125)&gt;0),K5125/L5125,"")</f>
        <v/>
      </c>
      <c r="N5125" s="2" t="s">
        <v>1226</v>
      </c>
    </row>
    <row r="5126" customFormat="false" ht="15" hidden="false" customHeight="false" outlineLevel="0" collapsed="false">
      <c r="A5126" s="2" t="n">
        <v>5125</v>
      </c>
      <c r="B5126" s="2" t="s">
        <v>301</v>
      </c>
      <c r="C5126" s="2" t="s">
        <v>10387</v>
      </c>
      <c r="D5126" s="2"/>
      <c r="E5126" s="2" t="s">
        <v>82</v>
      </c>
      <c r="F5126" s="3" t="n">
        <v>1E-006</v>
      </c>
      <c r="G5126" s="3" t="n">
        <f aca="false">SUM($F$2:F5126)</f>
        <v>0.999979</v>
      </c>
      <c r="H5126" s="4"/>
      <c r="I5126" s="5"/>
      <c r="J5126" s="4"/>
      <c r="K5126" s="5"/>
      <c r="L5126" s="6"/>
      <c r="M5126" s="5" t="str">
        <f aca="false">IF(AND(N(K5126)&gt;0,N(L5126)&gt;0),K5126/L5126,"")</f>
        <v/>
      </c>
      <c r="N5126" s="2" t="s">
        <v>34</v>
      </c>
    </row>
    <row r="5127" customFormat="false" ht="15" hidden="false" customHeight="false" outlineLevel="0" collapsed="false">
      <c r="A5127" s="2" t="n">
        <v>5126</v>
      </c>
      <c r="B5127" s="2" t="s">
        <v>10388</v>
      </c>
      <c r="C5127" s="2" t="s">
        <v>10389</v>
      </c>
      <c r="D5127" s="2"/>
      <c r="E5127" s="2" t="s">
        <v>173</v>
      </c>
      <c r="F5127" s="3" t="n">
        <v>1E-006</v>
      </c>
      <c r="G5127" s="3" t="n">
        <f aca="false">SUM($F$2:F5127)</f>
        <v>0.99998</v>
      </c>
      <c r="H5127" s="4"/>
      <c r="I5127" s="5"/>
      <c r="J5127" s="4"/>
      <c r="K5127" s="5"/>
      <c r="L5127" s="6"/>
      <c r="M5127" s="5" t="str">
        <f aca="false">IF(AND(N(K5127)&gt;0,N(L5127)&gt;0),K5127/L5127,"")</f>
        <v/>
      </c>
      <c r="N5127" s="2" t="s">
        <v>1226</v>
      </c>
    </row>
    <row r="5128" customFormat="false" ht="15" hidden="false" customHeight="false" outlineLevel="0" collapsed="false">
      <c r="A5128" s="2" t="n">
        <v>5127</v>
      </c>
      <c r="B5128" s="2" t="s">
        <v>10390</v>
      </c>
      <c r="C5128" s="2" t="s">
        <v>10391</v>
      </c>
      <c r="D5128" s="2"/>
      <c r="E5128" s="2" t="s">
        <v>17</v>
      </c>
      <c r="F5128" s="3" t="n">
        <v>1E-006</v>
      </c>
      <c r="G5128" s="3" t="n">
        <f aca="false">SUM($F$2:F5128)</f>
        <v>0.999981</v>
      </c>
      <c r="H5128" s="4"/>
      <c r="I5128" s="5"/>
      <c r="J5128" s="4"/>
      <c r="K5128" s="5"/>
      <c r="L5128" s="6"/>
      <c r="M5128" s="5" t="str">
        <f aca="false">IF(AND(N(K5128)&gt;0,N(L5128)&gt;0),K5128/L5128,"")</f>
        <v/>
      </c>
      <c r="N5128" s="2" t="s">
        <v>1226</v>
      </c>
    </row>
    <row r="5129" customFormat="false" ht="15" hidden="false" customHeight="false" outlineLevel="0" collapsed="false">
      <c r="A5129" s="2" t="n">
        <v>5128</v>
      </c>
      <c r="B5129" s="2" t="s">
        <v>10392</v>
      </c>
      <c r="C5129" s="2" t="s">
        <v>149</v>
      </c>
      <c r="D5129" s="2"/>
      <c r="E5129" s="2" t="s">
        <v>29</v>
      </c>
      <c r="F5129" s="3" t="n">
        <v>1E-006</v>
      </c>
      <c r="G5129" s="3" t="n">
        <f aca="false">SUM($F$2:F5129)</f>
        <v>0.999982</v>
      </c>
      <c r="H5129" s="4"/>
      <c r="I5129" s="5"/>
      <c r="J5129" s="4"/>
      <c r="K5129" s="5"/>
      <c r="L5129" s="6"/>
      <c r="M5129" s="5" t="str">
        <f aca="false">IF(AND(N(K5129)&gt;0,N(L5129)&gt;0),K5129/L5129,"")</f>
        <v/>
      </c>
      <c r="N5129" s="2" t="s">
        <v>1226</v>
      </c>
    </row>
    <row r="5130" customFormat="false" ht="15" hidden="false" customHeight="false" outlineLevel="0" collapsed="false">
      <c r="A5130" s="2" t="n">
        <v>5129</v>
      </c>
      <c r="B5130" s="2" t="s">
        <v>10393</v>
      </c>
      <c r="C5130" s="2" t="s">
        <v>10394</v>
      </c>
      <c r="D5130" s="2"/>
      <c r="E5130" s="2" t="s">
        <v>199</v>
      </c>
      <c r="F5130" s="3" t="n">
        <v>1E-006</v>
      </c>
      <c r="G5130" s="3" t="n">
        <f aca="false">SUM($F$2:F5130)</f>
        <v>0.999983</v>
      </c>
      <c r="H5130" s="4"/>
      <c r="I5130" s="5"/>
      <c r="J5130" s="4"/>
      <c r="K5130" s="5"/>
      <c r="L5130" s="6"/>
      <c r="M5130" s="5" t="str">
        <f aca="false">IF(AND(N(K5130)&gt;0,N(L5130)&gt;0),K5130/L5130,"")</f>
        <v/>
      </c>
      <c r="N5130" s="2" t="s">
        <v>1226</v>
      </c>
    </row>
    <row r="5131" customFormat="false" ht="15" hidden="false" customHeight="false" outlineLevel="0" collapsed="false">
      <c r="A5131" s="2" t="n">
        <v>5130</v>
      </c>
      <c r="B5131" s="2" t="s">
        <v>10395</v>
      </c>
      <c r="C5131" s="2" t="s">
        <v>10396</v>
      </c>
      <c r="D5131" s="2"/>
      <c r="E5131" s="2" t="s">
        <v>52</v>
      </c>
      <c r="F5131" s="3" t="n">
        <v>1E-006</v>
      </c>
      <c r="G5131" s="3" t="n">
        <f aca="false">SUM($F$2:F5131)</f>
        <v>0.999984</v>
      </c>
      <c r="H5131" s="4"/>
      <c r="I5131" s="5"/>
      <c r="J5131" s="4"/>
      <c r="K5131" s="5"/>
      <c r="L5131" s="6"/>
      <c r="M5131" s="5" t="str">
        <f aca="false">IF(AND(N(K5131)&gt;0,N(L5131)&gt;0),K5131/L5131,"")</f>
        <v/>
      </c>
      <c r="N5131" s="2" t="s">
        <v>1226</v>
      </c>
    </row>
    <row r="5132" customFormat="false" ht="15" hidden="false" customHeight="false" outlineLevel="0" collapsed="false">
      <c r="A5132" s="2" t="n">
        <v>5131</v>
      </c>
      <c r="B5132" s="2" t="s">
        <v>10397</v>
      </c>
      <c r="C5132" s="2" t="s">
        <v>10398</v>
      </c>
      <c r="D5132" s="2"/>
      <c r="E5132" s="2" t="s">
        <v>52</v>
      </c>
      <c r="F5132" s="3" t="n">
        <v>1E-006</v>
      </c>
      <c r="G5132" s="3" t="n">
        <f aca="false">SUM($F$2:F5132)</f>
        <v>0.999985</v>
      </c>
      <c r="H5132" s="4"/>
      <c r="I5132" s="5"/>
      <c r="J5132" s="4"/>
      <c r="K5132" s="5"/>
      <c r="L5132" s="6"/>
      <c r="M5132" s="5" t="str">
        <f aca="false">IF(AND(N(K5132)&gt;0,N(L5132)&gt;0),K5132/L5132,"")</f>
        <v/>
      </c>
      <c r="N5132" s="2" t="s">
        <v>1226</v>
      </c>
    </row>
    <row r="5133" customFormat="false" ht="15" hidden="false" customHeight="false" outlineLevel="0" collapsed="false">
      <c r="A5133" s="2" t="n">
        <v>5132</v>
      </c>
      <c r="B5133" s="2" t="s">
        <v>10399</v>
      </c>
      <c r="C5133" s="2" t="s">
        <v>10400</v>
      </c>
      <c r="D5133" s="2"/>
      <c r="E5133" s="2" t="s">
        <v>43</v>
      </c>
      <c r="F5133" s="3" t="n">
        <v>1E-006</v>
      </c>
      <c r="G5133" s="3" t="n">
        <f aca="false">SUM($F$2:F5133)</f>
        <v>0.999986</v>
      </c>
      <c r="H5133" s="4"/>
      <c r="I5133" s="5"/>
      <c r="J5133" s="4"/>
      <c r="K5133" s="5"/>
      <c r="L5133" s="6"/>
      <c r="M5133" s="5" t="str">
        <f aca="false">IF(AND(N(K5133)&gt;0,N(L5133)&gt;0),K5133/L5133,"")</f>
        <v/>
      </c>
      <c r="N5133" s="2" t="s">
        <v>1226</v>
      </c>
    </row>
    <row r="5134" customFormat="false" ht="15" hidden="false" customHeight="false" outlineLevel="0" collapsed="false">
      <c r="A5134" s="2" t="n">
        <v>5133</v>
      </c>
      <c r="B5134" s="2" t="s">
        <v>10401</v>
      </c>
      <c r="C5134" s="2" t="s">
        <v>10402</v>
      </c>
      <c r="D5134" s="2"/>
      <c r="E5134" s="2" t="s">
        <v>17</v>
      </c>
      <c r="F5134" s="3" t="n">
        <v>1E-006</v>
      </c>
      <c r="G5134" s="3" t="n">
        <f aca="false">SUM($F$2:F5134)</f>
        <v>0.999987</v>
      </c>
      <c r="H5134" s="4"/>
      <c r="I5134" s="5"/>
      <c r="J5134" s="4"/>
      <c r="K5134" s="5"/>
      <c r="L5134" s="6"/>
      <c r="M5134" s="5" t="str">
        <f aca="false">IF(AND(N(K5134)&gt;0,N(L5134)&gt;0),K5134/L5134,"")</f>
        <v/>
      </c>
      <c r="N5134" s="2" t="s">
        <v>1226</v>
      </c>
    </row>
    <row r="5135" customFormat="false" ht="15" hidden="false" customHeight="false" outlineLevel="0" collapsed="false">
      <c r="A5135" s="2" t="n">
        <v>5134</v>
      </c>
      <c r="B5135" s="2" t="s">
        <v>10403</v>
      </c>
      <c r="C5135" s="2" t="s">
        <v>10404</v>
      </c>
      <c r="D5135" s="2"/>
      <c r="E5135" s="2" t="s">
        <v>17</v>
      </c>
      <c r="F5135" s="3" t="n">
        <v>0</v>
      </c>
      <c r="G5135" s="3" t="n">
        <f aca="false">SUM($F$2:F5135)</f>
        <v>0.999987</v>
      </c>
      <c r="H5135" s="4"/>
      <c r="I5135" s="5"/>
      <c r="J5135" s="4"/>
      <c r="K5135" s="5"/>
      <c r="L5135" s="6"/>
      <c r="M5135" s="5" t="str">
        <f aca="false">IF(AND(N(K5135)&gt;0,N(L5135)&gt;0),K5135/L5135,"")</f>
        <v/>
      </c>
      <c r="N5135" s="2" t="s">
        <v>1226</v>
      </c>
    </row>
    <row r="5136" customFormat="false" ht="15" hidden="false" customHeight="false" outlineLevel="0" collapsed="false">
      <c r="A5136" s="2" t="n">
        <v>5135</v>
      </c>
      <c r="B5136" s="2" t="s">
        <v>5194</v>
      </c>
      <c r="C5136" s="2" t="s">
        <v>10405</v>
      </c>
      <c r="D5136" s="2"/>
      <c r="E5136" s="2" t="s">
        <v>17</v>
      </c>
      <c r="F5136" s="3" t="n">
        <v>0</v>
      </c>
      <c r="G5136" s="3" t="n">
        <f aca="false">SUM($F$2:F5136)</f>
        <v>0.999987</v>
      </c>
      <c r="H5136" s="4"/>
      <c r="I5136" s="5"/>
      <c r="J5136" s="4"/>
      <c r="K5136" s="5"/>
      <c r="L5136" s="6"/>
      <c r="M5136" s="5" t="str">
        <f aca="false">IF(AND(N(K5136)&gt;0,N(L5136)&gt;0),K5136/L5136,"")</f>
        <v/>
      </c>
      <c r="N5136" s="2" t="s">
        <v>1226</v>
      </c>
    </row>
    <row r="5137" customFormat="false" ht="15" hidden="false" customHeight="false" outlineLevel="0" collapsed="false">
      <c r="A5137" s="2" t="n">
        <v>5136</v>
      </c>
      <c r="B5137" s="2" t="s">
        <v>10406</v>
      </c>
      <c r="C5137" s="2" t="s">
        <v>10407</v>
      </c>
      <c r="D5137" s="2"/>
      <c r="E5137" s="2" t="s">
        <v>25</v>
      </c>
      <c r="F5137" s="3" t="n">
        <v>0</v>
      </c>
      <c r="G5137" s="3" t="n">
        <f aca="false">SUM($F$2:F5137)</f>
        <v>0.999987</v>
      </c>
      <c r="H5137" s="4"/>
      <c r="I5137" s="5"/>
      <c r="J5137" s="4"/>
      <c r="K5137" s="5"/>
      <c r="L5137" s="6"/>
      <c r="M5137" s="5" t="str">
        <f aca="false">IF(AND(N(K5137)&gt;0,N(L5137)&gt;0),K5137/L5137,"")</f>
        <v/>
      </c>
      <c r="N5137" s="2" t="s">
        <v>1226</v>
      </c>
    </row>
    <row r="5138" customFormat="false" ht="15" hidden="false" customHeight="false" outlineLevel="0" collapsed="false">
      <c r="A5138" s="2" t="n">
        <v>5137</v>
      </c>
      <c r="B5138" s="2" t="s">
        <v>301</v>
      </c>
      <c r="C5138" s="2" t="s">
        <v>10408</v>
      </c>
      <c r="D5138" s="2"/>
      <c r="E5138" s="2" t="s">
        <v>811</v>
      </c>
      <c r="F5138" s="3" t="n">
        <v>0</v>
      </c>
      <c r="G5138" s="3" t="n">
        <f aca="false">SUM($F$2:F5138)</f>
        <v>0.999987</v>
      </c>
      <c r="H5138" s="4"/>
      <c r="I5138" s="5"/>
      <c r="J5138" s="4"/>
      <c r="K5138" s="5"/>
      <c r="L5138" s="6"/>
      <c r="M5138" s="5" t="str">
        <f aca="false">IF(AND(N(K5138)&gt;0,N(L5138)&gt;0),K5138/L5138,"")</f>
        <v/>
      </c>
      <c r="N5138" s="2" t="s">
        <v>34</v>
      </c>
    </row>
    <row r="5139" customFormat="false" ht="15" hidden="false" customHeight="false" outlineLevel="0" collapsed="false">
      <c r="A5139" s="2" t="n">
        <v>5138</v>
      </c>
      <c r="B5139" s="2" t="s">
        <v>10409</v>
      </c>
      <c r="C5139" s="2" t="s">
        <v>10410</v>
      </c>
      <c r="D5139" s="2"/>
      <c r="E5139" s="2" t="s">
        <v>17</v>
      </c>
      <c r="F5139" s="3" t="n">
        <v>0</v>
      </c>
      <c r="G5139" s="3" t="n">
        <f aca="false">SUM($F$2:F5139)</f>
        <v>0.999987</v>
      </c>
      <c r="H5139" s="4"/>
      <c r="I5139" s="5"/>
      <c r="J5139" s="4"/>
      <c r="K5139" s="5"/>
      <c r="L5139" s="6"/>
      <c r="M5139" s="5" t="str">
        <f aca="false">IF(AND(N(K5139)&gt;0,N(L5139)&gt;0),K5139/L5139,"")</f>
        <v/>
      </c>
      <c r="N5139" s="2" t="s">
        <v>1226</v>
      </c>
    </row>
    <row r="5140" customFormat="false" ht="15" hidden="false" customHeight="false" outlineLevel="0" collapsed="false">
      <c r="A5140" s="2" t="n">
        <v>5139</v>
      </c>
      <c r="B5140" s="2" t="s">
        <v>10411</v>
      </c>
      <c r="C5140" s="2" t="s">
        <v>10412</v>
      </c>
      <c r="D5140" s="2"/>
      <c r="E5140" s="2" t="s">
        <v>17</v>
      </c>
      <c r="F5140" s="3" t="n">
        <v>0</v>
      </c>
      <c r="G5140" s="3" t="n">
        <f aca="false">SUM($F$2:F5140)</f>
        <v>0.999987</v>
      </c>
      <c r="H5140" s="4"/>
      <c r="I5140" s="5"/>
      <c r="J5140" s="4"/>
      <c r="K5140" s="5"/>
      <c r="L5140" s="6"/>
      <c r="M5140" s="5" t="str">
        <f aca="false">IF(AND(N(K5140)&gt;0,N(L5140)&gt;0),K5140/L5140,"")</f>
        <v/>
      </c>
      <c r="N5140" s="2" t="s">
        <v>1226</v>
      </c>
    </row>
    <row r="5141" customFormat="false" ht="15" hidden="false" customHeight="false" outlineLevel="0" collapsed="false">
      <c r="A5141" s="2" t="n">
        <v>5140</v>
      </c>
      <c r="B5141" s="2" t="s">
        <v>10413</v>
      </c>
      <c r="C5141" s="2" t="s">
        <v>10414</v>
      </c>
      <c r="D5141" s="2"/>
      <c r="E5141" s="2" t="s">
        <v>2055</v>
      </c>
      <c r="F5141" s="3" t="n">
        <v>0</v>
      </c>
      <c r="G5141" s="3" t="n">
        <f aca="false">SUM($F$2:F5141)</f>
        <v>0.999987</v>
      </c>
      <c r="H5141" s="4"/>
      <c r="I5141" s="5"/>
      <c r="J5141" s="4"/>
      <c r="K5141" s="5"/>
      <c r="L5141" s="6"/>
      <c r="M5141" s="5" t="str">
        <f aca="false">IF(AND(N(K5141)&gt;0,N(L5141)&gt;0),K5141/L5141,"")</f>
        <v/>
      </c>
      <c r="N5141" s="2" t="s">
        <v>1226</v>
      </c>
    </row>
    <row r="5142" customFormat="false" ht="15" hidden="false" customHeight="false" outlineLevel="0" collapsed="false">
      <c r="A5142" s="2" t="n">
        <v>5141</v>
      </c>
      <c r="B5142" s="2" t="s">
        <v>10415</v>
      </c>
      <c r="C5142" s="2" t="s">
        <v>10416</v>
      </c>
      <c r="D5142" s="2"/>
      <c r="E5142" s="2" t="s">
        <v>48</v>
      </c>
      <c r="F5142" s="3" t="n">
        <v>0</v>
      </c>
      <c r="G5142" s="3" t="n">
        <f aca="false">SUM($F$2:F5142)</f>
        <v>0.999987</v>
      </c>
      <c r="H5142" s="4"/>
      <c r="I5142" s="5"/>
      <c r="J5142" s="4"/>
      <c r="K5142" s="5"/>
      <c r="L5142" s="6"/>
      <c r="M5142" s="5" t="str">
        <f aca="false">IF(AND(N(K5142)&gt;0,N(L5142)&gt;0),K5142/L5142,"")</f>
        <v/>
      </c>
      <c r="N5142" s="2" t="s">
        <v>1226</v>
      </c>
    </row>
    <row r="5143" customFormat="false" ht="15" hidden="false" customHeight="false" outlineLevel="0" collapsed="false">
      <c r="A5143" s="2" t="n">
        <v>5142</v>
      </c>
      <c r="B5143" s="2" t="s">
        <v>10417</v>
      </c>
      <c r="C5143" s="2" t="s">
        <v>10418</v>
      </c>
      <c r="D5143" s="2"/>
      <c r="E5143" s="2" t="s">
        <v>25</v>
      </c>
      <c r="F5143" s="3" t="n">
        <v>0</v>
      </c>
      <c r="G5143" s="3" t="n">
        <f aca="false">SUM($F$2:F5143)</f>
        <v>0.999987</v>
      </c>
      <c r="H5143" s="4"/>
      <c r="I5143" s="5"/>
      <c r="J5143" s="4"/>
      <c r="K5143" s="5"/>
      <c r="L5143" s="6"/>
      <c r="M5143" s="5" t="str">
        <f aca="false">IF(AND(N(K5143)&gt;0,N(L5143)&gt;0),K5143/L5143,"")</f>
        <v/>
      </c>
      <c r="N5143" s="2" t="s">
        <v>1226</v>
      </c>
    </row>
    <row r="5144" customFormat="false" ht="15" hidden="false" customHeight="false" outlineLevel="0" collapsed="false">
      <c r="A5144" s="2" t="n">
        <v>5143</v>
      </c>
      <c r="B5144" s="2" t="s">
        <v>10419</v>
      </c>
      <c r="C5144" s="2" t="s">
        <v>10420</v>
      </c>
      <c r="D5144" s="2"/>
      <c r="E5144" s="2" t="s">
        <v>826</v>
      </c>
      <c r="F5144" s="3" t="n">
        <v>0</v>
      </c>
      <c r="G5144" s="3" t="n">
        <f aca="false">SUM($F$2:F5144)</f>
        <v>0.999987</v>
      </c>
      <c r="H5144" s="4"/>
      <c r="I5144" s="5"/>
      <c r="J5144" s="4"/>
      <c r="K5144" s="5"/>
      <c r="L5144" s="6"/>
      <c r="M5144" s="5" t="str">
        <f aca="false">IF(AND(N(K5144)&gt;0,N(L5144)&gt;0),K5144/L5144,"")</f>
        <v/>
      </c>
      <c r="N5144" s="2" t="s">
        <v>1226</v>
      </c>
    </row>
    <row r="5145" customFormat="false" ht="15" hidden="false" customHeight="false" outlineLevel="0" collapsed="false">
      <c r="A5145" s="2" t="n">
        <v>5144</v>
      </c>
      <c r="B5145" s="2" t="s">
        <v>301</v>
      </c>
      <c r="C5145" s="2" t="s">
        <v>10421</v>
      </c>
      <c r="D5145" s="2"/>
      <c r="E5145" s="2" t="s">
        <v>700</v>
      </c>
      <c r="F5145" s="3" t="n">
        <v>0</v>
      </c>
      <c r="G5145" s="3" t="n">
        <f aca="false">SUM($F$2:F5145)</f>
        <v>0.999987</v>
      </c>
      <c r="H5145" s="4"/>
      <c r="I5145" s="5"/>
      <c r="J5145" s="4"/>
      <c r="K5145" s="5"/>
      <c r="L5145" s="6"/>
      <c r="M5145" s="5" t="str">
        <f aca="false">IF(AND(N(K5145)&gt;0,N(L5145)&gt;0),K5145/L5145,"")</f>
        <v/>
      </c>
      <c r="N5145" s="2" t="s">
        <v>34</v>
      </c>
    </row>
    <row r="5146" customFormat="false" ht="15" hidden="false" customHeight="false" outlineLevel="0" collapsed="false">
      <c r="A5146" s="2" t="n">
        <v>5145</v>
      </c>
      <c r="B5146" s="2" t="s">
        <v>10422</v>
      </c>
      <c r="C5146" s="2" t="s">
        <v>10423</v>
      </c>
      <c r="D5146" s="2"/>
      <c r="E5146" s="2" t="s">
        <v>82</v>
      </c>
      <c r="F5146" s="3" t="n">
        <v>0</v>
      </c>
      <c r="G5146" s="3" t="n">
        <f aca="false">SUM($F$2:F5146)</f>
        <v>0.999987</v>
      </c>
      <c r="H5146" s="4"/>
      <c r="I5146" s="5"/>
      <c r="J5146" s="4"/>
      <c r="K5146" s="5"/>
      <c r="L5146" s="6"/>
      <c r="M5146" s="5" t="str">
        <f aca="false">IF(AND(N(K5146)&gt;0,N(L5146)&gt;0),K5146/L5146,"")</f>
        <v/>
      </c>
      <c r="N5146" s="2" t="s">
        <v>1226</v>
      </c>
    </row>
    <row r="5147" customFormat="false" ht="15" hidden="false" customHeight="false" outlineLevel="0" collapsed="false">
      <c r="A5147" s="2" t="n">
        <v>5146</v>
      </c>
      <c r="B5147" s="2" t="s">
        <v>301</v>
      </c>
      <c r="C5147" s="2" t="s">
        <v>6121</v>
      </c>
      <c r="D5147" s="2"/>
      <c r="E5147" s="2" t="s">
        <v>10424</v>
      </c>
      <c r="F5147" s="3" t="n">
        <v>0</v>
      </c>
      <c r="G5147" s="3" t="n">
        <f aca="false">SUM($F$2:F5147)</f>
        <v>0.999987</v>
      </c>
      <c r="H5147" s="4"/>
      <c r="I5147" s="5"/>
      <c r="J5147" s="4"/>
      <c r="K5147" s="5"/>
      <c r="L5147" s="6"/>
      <c r="M5147" s="5" t="str">
        <f aca="false">IF(AND(N(K5147)&gt;0,N(L5147)&gt;0),K5147/L5147,"")</f>
        <v/>
      </c>
      <c r="N5147" s="2" t="s">
        <v>34</v>
      </c>
    </row>
    <row r="5148" customFormat="false" ht="15" hidden="false" customHeight="false" outlineLevel="0" collapsed="false">
      <c r="A5148" s="2" t="n">
        <v>5147</v>
      </c>
      <c r="B5148" s="2" t="s">
        <v>301</v>
      </c>
      <c r="C5148" s="2" t="s">
        <v>1267</v>
      </c>
      <c r="D5148" s="2"/>
      <c r="E5148" s="2" t="s">
        <v>48</v>
      </c>
      <c r="F5148" s="3" t="n">
        <v>0</v>
      </c>
      <c r="G5148" s="3" t="n">
        <f aca="false">SUM($F$2:F5148)</f>
        <v>0.999987</v>
      </c>
      <c r="H5148" s="4"/>
      <c r="I5148" s="5"/>
      <c r="J5148" s="4"/>
      <c r="K5148" s="5"/>
      <c r="L5148" s="6"/>
      <c r="M5148" s="5" t="str">
        <f aca="false">IF(AND(N(K5148)&gt;0,N(L5148)&gt;0),K5148/L5148,"")</f>
        <v/>
      </c>
      <c r="N5148" s="2" t="s">
        <v>34</v>
      </c>
    </row>
    <row r="5149" customFormat="false" ht="15" hidden="false" customHeight="false" outlineLevel="0" collapsed="false">
      <c r="A5149" s="2" t="n">
        <v>5148</v>
      </c>
      <c r="B5149" s="2" t="s">
        <v>10425</v>
      </c>
      <c r="C5149" s="2" t="s">
        <v>10426</v>
      </c>
      <c r="D5149" s="2"/>
      <c r="E5149" s="2" t="s">
        <v>199</v>
      </c>
      <c r="F5149" s="3" t="n">
        <v>0</v>
      </c>
      <c r="G5149" s="3" t="n">
        <f aca="false">SUM($F$2:F5149)</f>
        <v>0.999987</v>
      </c>
      <c r="H5149" s="4"/>
      <c r="I5149" s="5"/>
      <c r="J5149" s="4"/>
      <c r="K5149" s="5"/>
      <c r="L5149" s="6"/>
      <c r="M5149" s="5" t="str">
        <f aca="false">IF(AND(N(K5149)&gt;0,N(L5149)&gt;0),K5149/L5149,"")</f>
        <v/>
      </c>
      <c r="N5149" s="2" t="s">
        <v>1226</v>
      </c>
    </row>
    <row r="5150" customFormat="false" ht="15" hidden="false" customHeight="false" outlineLevel="0" collapsed="false">
      <c r="A5150" s="2" t="n">
        <v>5149</v>
      </c>
      <c r="B5150" s="2" t="s">
        <v>10427</v>
      </c>
      <c r="C5150" s="2" t="s">
        <v>10428</v>
      </c>
      <c r="D5150" s="2"/>
      <c r="E5150" s="2" t="s">
        <v>25</v>
      </c>
      <c r="F5150" s="3" t="n">
        <v>0</v>
      </c>
      <c r="G5150" s="3" t="n">
        <f aca="false">SUM($F$2:F5150)</f>
        <v>0.999987</v>
      </c>
      <c r="H5150" s="4"/>
      <c r="I5150" s="5"/>
      <c r="J5150" s="4"/>
      <c r="K5150" s="5"/>
      <c r="L5150" s="6"/>
      <c r="M5150" s="5" t="str">
        <f aca="false">IF(AND(N(K5150)&gt;0,N(L5150)&gt;0),K5150/L5150,"")</f>
        <v/>
      </c>
      <c r="N5150" s="2" t="s">
        <v>1226</v>
      </c>
    </row>
    <row r="5151" customFormat="false" ht="15" hidden="false" customHeight="false" outlineLevel="0" collapsed="false">
      <c r="A5151" s="2" t="n">
        <v>5150</v>
      </c>
      <c r="B5151" s="2" t="s">
        <v>301</v>
      </c>
      <c r="C5151" s="2" t="s">
        <v>10429</v>
      </c>
      <c r="D5151" s="2"/>
      <c r="E5151" s="2" t="s">
        <v>2741</v>
      </c>
      <c r="F5151" s="3" t="n">
        <v>0</v>
      </c>
      <c r="G5151" s="3" t="n">
        <f aca="false">SUM($F$2:F5151)</f>
        <v>0.999987</v>
      </c>
      <c r="H5151" s="4"/>
      <c r="I5151" s="5"/>
      <c r="J5151" s="4"/>
      <c r="K5151" s="5"/>
      <c r="L5151" s="6"/>
      <c r="M5151" s="5" t="str">
        <f aca="false">IF(AND(N(K5151)&gt;0,N(L5151)&gt;0),K5151/L5151,"")</f>
        <v/>
      </c>
      <c r="N5151" s="2" t="s">
        <v>34</v>
      </c>
    </row>
    <row r="5152" customFormat="false" ht="15" hidden="false" customHeight="false" outlineLevel="0" collapsed="false">
      <c r="A5152" s="2" t="n">
        <v>5151</v>
      </c>
      <c r="B5152" s="2" t="s">
        <v>10430</v>
      </c>
      <c r="C5152" s="2" t="s">
        <v>10431</v>
      </c>
      <c r="D5152" s="2"/>
      <c r="E5152" s="2" t="s">
        <v>199</v>
      </c>
      <c r="F5152" s="3" t="n">
        <v>0</v>
      </c>
      <c r="G5152" s="3" t="n">
        <f aca="false">SUM($F$2:F5152)</f>
        <v>0.999987</v>
      </c>
      <c r="H5152" s="4"/>
      <c r="I5152" s="5"/>
      <c r="J5152" s="4"/>
      <c r="K5152" s="5"/>
      <c r="L5152" s="6"/>
      <c r="M5152" s="5" t="str">
        <f aca="false">IF(AND(N(K5152)&gt;0,N(L5152)&gt;0),K5152/L5152,"")</f>
        <v/>
      </c>
      <c r="N5152" s="2" t="s">
        <v>1226</v>
      </c>
    </row>
    <row r="5153" customFormat="false" ht="15" hidden="false" customHeight="false" outlineLevel="0" collapsed="false">
      <c r="A5153" s="2" t="n">
        <v>5152</v>
      </c>
      <c r="B5153" s="2" t="s">
        <v>10432</v>
      </c>
      <c r="C5153" s="2" t="s">
        <v>10433</v>
      </c>
      <c r="D5153" s="2"/>
      <c r="E5153" s="2" t="s">
        <v>17</v>
      </c>
      <c r="F5153" s="3" t="n">
        <v>0</v>
      </c>
      <c r="G5153" s="3" t="n">
        <f aca="false">SUM($F$2:F5153)</f>
        <v>0.999987</v>
      </c>
      <c r="H5153" s="4"/>
      <c r="I5153" s="5"/>
      <c r="J5153" s="4"/>
      <c r="K5153" s="5"/>
      <c r="L5153" s="6"/>
      <c r="M5153" s="5" t="str">
        <f aca="false">IF(AND(N(K5153)&gt;0,N(L5153)&gt;0),K5153/L5153,"")</f>
        <v/>
      </c>
      <c r="N5153" s="2" t="s">
        <v>1226</v>
      </c>
    </row>
    <row r="5154" customFormat="false" ht="15" hidden="false" customHeight="false" outlineLevel="0" collapsed="false">
      <c r="A5154" s="2" t="n">
        <v>5153</v>
      </c>
      <c r="B5154" s="2" t="s">
        <v>10434</v>
      </c>
      <c r="C5154" s="2" t="s">
        <v>10435</v>
      </c>
      <c r="D5154" s="2"/>
      <c r="E5154" s="2" t="s">
        <v>29</v>
      </c>
      <c r="F5154" s="3" t="n">
        <v>0</v>
      </c>
      <c r="G5154" s="3" t="n">
        <f aca="false">SUM($F$2:F5154)</f>
        <v>0.999987</v>
      </c>
      <c r="H5154" s="4"/>
      <c r="I5154" s="5"/>
      <c r="J5154" s="4"/>
      <c r="K5154" s="5"/>
      <c r="L5154" s="6"/>
      <c r="M5154" s="5" t="str">
        <f aca="false">IF(AND(N(K5154)&gt;0,N(L5154)&gt;0),K5154/L5154,"")</f>
        <v/>
      </c>
      <c r="N5154" s="2" t="s">
        <v>1226</v>
      </c>
    </row>
    <row r="5155" customFormat="false" ht="15" hidden="false" customHeight="false" outlineLevel="0" collapsed="false">
      <c r="A5155" s="2" t="n">
        <v>5154</v>
      </c>
      <c r="B5155" s="2" t="s">
        <v>10436</v>
      </c>
      <c r="C5155" s="2" t="s">
        <v>10437</v>
      </c>
      <c r="D5155" s="2"/>
      <c r="E5155" s="2" t="s">
        <v>296</v>
      </c>
      <c r="F5155" s="3" t="n">
        <v>0</v>
      </c>
      <c r="G5155" s="3" t="n">
        <f aca="false">SUM($F$2:F5155)</f>
        <v>0.999987</v>
      </c>
      <c r="H5155" s="4"/>
      <c r="I5155" s="5"/>
      <c r="J5155" s="4"/>
      <c r="K5155" s="5"/>
      <c r="L5155" s="6"/>
      <c r="M5155" s="5" t="str">
        <f aca="false">IF(AND(N(K5155)&gt;0,N(L5155)&gt;0),K5155/L5155,"")</f>
        <v/>
      </c>
      <c r="N5155" s="2" t="s">
        <v>1226</v>
      </c>
    </row>
    <row r="5156" customFormat="false" ht="15" hidden="false" customHeight="false" outlineLevel="0" collapsed="false">
      <c r="A5156" s="2" t="n">
        <v>5155</v>
      </c>
      <c r="B5156" s="2" t="s">
        <v>2092</v>
      </c>
      <c r="C5156" s="2" t="s">
        <v>2093</v>
      </c>
      <c r="D5156" s="2"/>
      <c r="E5156" s="2" t="s">
        <v>38</v>
      </c>
      <c r="F5156" s="3" t="n">
        <v>0</v>
      </c>
      <c r="G5156" s="3" t="n">
        <f aca="false">SUM($F$2:F5156)</f>
        <v>0.999987</v>
      </c>
      <c r="H5156" s="4"/>
      <c r="I5156" s="5"/>
      <c r="J5156" s="4"/>
      <c r="K5156" s="5"/>
      <c r="L5156" s="6"/>
      <c r="M5156" s="5" t="str">
        <f aca="false">IF(AND(N(K5156)&gt;0,N(L5156)&gt;0),K5156/L5156,"")</f>
        <v/>
      </c>
      <c r="N5156" s="2" t="s">
        <v>1226</v>
      </c>
    </row>
    <row r="5157" customFormat="false" ht="15" hidden="false" customHeight="false" outlineLevel="0" collapsed="false">
      <c r="A5157" s="2" t="n">
        <v>5156</v>
      </c>
      <c r="B5157" s="2" t="s">
        <v>10438</v>
      </c>
      <c r="C5157" s="2" t="s">
        <v>10439</v>
      </c>
      <c r="D5157" s="2"/>
      <c r="E5157" s="2" t="s">
        <v>289</v>
      </c>
      <c r="F5157" s="3" t="n">
        <v>0</v>
      </c>
      <c r="G5157" s="3" t="n">
        <f aca="false">SUM($F$2:F5157)</f>
        <v>0.999987</v>
      </c>
      <c r="H5157" s="4"/>
      <c r="I5157" s="5"/>
      <c r="J5157" s="4"/>
      <c r="K5157" s="5"/>
      <c r="L5157" s="6"/>
      <c r="M5157" s="5" t="str">
        <f aca="false">IF(AND(N(K5157)&gt;0,N(L5157)&gt;0),K5157/L5157,"")</f>
        <v/>
      </c>
      <c r="N5157" s="2" t="s">
        <v>1226</v>
      </c>
    </row>
    <row r="5158" customFormat="false" ht="15" hidden="false" customHeight="false" outlineLevel="0" collapsed="false">
      <c r="A5158" s="2" t="n">
        <v>5157</v>
      </c>
      <c r="B5158" s="2" t="s">
        <v>10440</v>
      </c>
      <c r="C5158" s="2" t="s">
        <v>6951</v>
      </c>
      <c r="D5158" s="2"/>
      <c r="E5158" s="2" t="s">
        <v>1295</v>
      </c>
      <c r="F5158" s="3" t="n">
        <v>0</v>
      </c>
      <c r="G5158" s="3" t="n">
        <f aca="false">SUM($F$2:F5158)</f>
        <v>0.999987</v>
      </c>
      <c r="H5158" s="4"/>
      <c r="I5158" s="5"/>
      <c r="J5158" s="4"/>
      <c r="K5158" s="5"/>
      <c r="L5158" s="6"/>
      <c r="M5158" s="5" t="str">
        <f aca="false">IF(AND(N(K5158)&gt;0,N(L5158)&gt;0),K5158/L5158,"")</f>
        <v/>
      </c>
      <c r="N5158" s="2" t="s">
        <v>1226</v>
      </c>
    </row>
    <row r="5159" customFormat="false" ht="15" hidden="false" customHeight="false" outlineLevel="0" collapsed="false">
      <c r="A5159" s="2" t="n">
        <v>5158</v>
      </c>
      <c r="B5159" s="2" t="s">
        <v>301</v>
      </c>
      <c r="C5159" s="2" t="s">
        <v>4419</v>
      </c>
      <c r="D5159" s="2"/>
      <c r="E5159" s="2" t="s">
        <v>9259</v>
      </c>
      <c r="F5159" s="3" t="n">
        <v>0</v>
      </c>
      <c r="G5159" s="3" t="n">
        <f aca="false">SUM($F$2:F5159)</f>
        <v>0.999987</v>
      </c>
      <c r="H5159" s="4"/>
      <c r="I5159" s="5"/>
      <c r="J5159" s="4"/>
      <c r="K5159" s="5"/>
      <c r="L5159" s="6"/>
      <c r="M5159" s="5" t="str">
        <f aca="false">IF(AND(N(K5159)&gt;0,N(L5159)&gt;0),K5159/L5159,"")</f>
        <v/>
      </c>
      <c r="N5159" s="2" t="s">
        <v>34</v>
      </c>
    </row>
    <row r="5160" customFormat="false" ht="15" hidden="false" customHeight="false" outlineLevel="0" collapsed="false">
      <c r="A5160" s="2" t="n">
        <v>5159</v>
      </c>
      <c r="B5160" s="2" t="s">
        <v>10441</v>
      </c>
      <c r="C5160" s="2" t="s">
        <v>10442</v>
      </c>
      <c r="D5160" s="2"/>
      <c r="E5160" s="2" t="s">
        <v>289</v>
      </c>
      <c r="F5160" s="3" t="n">
        <v>0</v>
      </c>
      <c r="G5160" s="3" t="n">
        <f aca="false">SUM($F$2:F5160)</f>
        <v>0.999987</v>
      </c>
      <c r="H5160" s="4"/>
      <c r="I5160" s="5"/>
      <c r="J5160" s="4"/>
      <c r="K5160" s="5"/>
      <c r="L5160" s="6"/>
      <c r="M5160" s="5" t="str">
        <f aca="false">IF(AND(N(K5160)&gt;0,N(L5160)&gt;0),K5160/L5160,"")</f>
        <v/>
      </c>
      <c r="N5160" s="2" t="s">
        <v>1226</v>
      </c>
    </row>
    <row r="5161" customFormat="false" ht="15" hidden="false" customHeight="false" outlineLevel="0" collapsed="false">
      <c r="A5161" s="2" t="n">
        <v>5160</v>
      </c>
      <c r="B5161" s="2" t="s">
        <v>10443</v>
      </c>
      <c r="C5161" s="2" t="s">
        <v>10444</v>
      </c>
      <c r="D5161" s="2"/>
      <c r="E5161" s="2" t="s">
        <v>289</v>
      </c>
      <c r="F5161" s="3" t="n">
        <v>0</v>
      </c>
      <c r="G5161" s="3" t="n">
        <f aca="false">SUM($F$2:F5161)</f>
        <v>0.999987</v>
      </c>
      <c r="H5161" s="4"/>
      <c r="I5161" s="5"/>
      <c r="J5161" s="4"/>
      <c r="K5161" s="5"/>
      <c r="L5161" s="6"/>
      <c r="M5161" s="5" t="str">
        <f aca="false">IF(AND(N(K5161)&gt;0,N(L5161)&gt;0),K5161/L5161,"")</f>
        <v/>
      </c>
      <c r="N5161" s="2" t="s">
        <v>1226</v>
      </c>
    </row>
    <row r="5162" customFormat="false" ht="15" hidden="false" customHeight="false" outlineLevel="0" collapsed="false">
      <c r="A5162" s="2" t="n">
        <v>5161</v>
      </c>
      <c r="B5162" s="2" t="s">
        <v>10445</v>
      </c>
      <c r="C5162" s="2" t="s">
        <v>8982</v>
      </c>
      <c r="D5162" s="2"/>
      <c r="E5162" s="2" t="s">
        <v>1295</v>
      </c>
      <c r="F5162" s="3" t="n">
        <v>0</v>
      </c>
      <c r="G5162" s="3" t="n">
        <f aca="false">SUM($F$2:F5162)</f>
        <v>0.999987</v>
      </c>
      <c r="H5162" s="4"/>
      <c r="I5162" s="5"/>
      <c r="J5162" s="4"/>
      <c r="K5162" s="5"/>
      <c r="L5162" s="6"/>
      <c r="M5162" s="5" t="str">
        <f aca="false">IF(AND(N(K5162)&gt;0,N(L5162)&gt;0),K5162/L5162,"")</f>
        <v/>
      </c>
      <c r="N5162" s="2" t="s">
        <v>1226</v>
      </c>
    </row>
    <row r="5163" customFormat="false" ht="15" hidden="false" customHeight="false" outlineLevel="0" collapsed="false">
      <c r="A5163" s="2" t="n">
        <v>5162</v>
      </c>
      <c r="B5163" s="2" t="s">
        <v>10446</v>
      </c>
      <c r="C5163" s="2" t="s">
        <v>10447</v>
      </c>
      <c r="D5163" s="2"/>
      <c r="E5163" s="2" t="s">
        <v>29</v>
      </c>
      <c r="F5163" s="3" t="n">
        <v>0</v>
      </c>
      <c r="G5163" s="3" t="n">
        <f aca="false">SUM($F$2:F5163)</f>
        <v>0.999987</v>
      </c>
      <c r="H5163" s="4"/>
      <c r="I5163" s="5"/>
      <c r="J5163" s="4"/>
      <c r="K5163" s="5"/>
      <c r="L5163" s="6"/>
      <c r="M5163" s="5" t="str">
        <f aca="false">IF(AND(N(K5163)&gt;0,N(L5163)&gt;0),K5163/L5163,"")</f>
        <v/>
      </c>
      <c r="N5163" s="2" t="s">
        <v>1226</v>
      </c>
    </row>
    <row r="5164" customFormat="false" ht="15" hidden="false" customHeight="false" outlineLevel="0" collapsed="false">
      <c r="A5164" s="2" t="n">
        <v>5163</v>
      </c>
      <c r="B5164" s="2" t="s">
        <v>10448</v>
      </c>
      <c r="C5164" s="2" t="s">
        <v>10449</v>
      </c>
      <c r="D5164" s="2"/>
      <c r="E5164" s="2" t="s">
        <v>25</v>
      </c>
      <c r="F5164" s="3" t="n">
        <v>0</v>
      </c>
      <c r="G5164" s="3" t="n">
        <f aca="false">SUM($F$2:F5164)</f>
        <v>0.999987</v>
      </c>
      <c r="H5164" s="4"/>
      <c r="I5164" s="5"/>
      <c r="J5164" s="4"/>
      <c r="K5164" s="5"/>
      <c r="L5164" s="6"/>
      <c r="M5164" s="5" t="str">
        <f aca="false">IF(AND(N(K5164)&gt;0,N(L5164)&gt;0),K5164/L5164,"")</f>
        <v/>
      </c>
      <c r="N5164" s="2" t="s">
        <v>1226</v>
      </c>
    </row>
    <row r="5165" customFormat="false" ht="15" hidden="false" customHeight="false" outlineLevel="0" collapsed="false">
      <c r="A5165" s="2" t="n">
        <v>5164</v>
      </c>
      <c r="B5165" s="2" t="s">
        <v>10450</v>
      </c>
      <c r="C5165" s="2" t="s">
        <v>10451</v>
      </c>
      <c r="D5165" s="2"/>
      <c r="E5165" s="2" t="s">
        <v>4668</v>
      </c>
      <c r="F5165" s="3" t="n">
        <v>0</v>
      </c>
      <c r="G5165" s="3" t="n">
        <f aca="false">SUM($F$2:F5165)</f>
        <v>0.999987</v>
      </c>
      <c r="H5165" s="4"/>
      <c r="I5165" s="5"/>
      <c r="J5165" s="4"/>
      <c r="K5165" s="5"/>
      <c r="L5165" s="6"/>
      <c r="M5165" s="5" t="str">
        <f aca="false">IF(AND(N(K5165)&gt;0,N(L5165)&gt;0),K5165/L5165,"")</f>
        <v/>
      </c>
      <c r="N5165" s="2" t="s">
        <v>1226</v>
      </c>
    </row>
    <row r="5166" customFormat="false" ht="15" hidden="false" customHeight="false" outlineLevel="0" collapsed="false">
      <c r="A5166" s="2" t="n">
        <v>5165</v>
      </c>
      <c r="B5166" s="2" t="s">
        <v>301</v>
      </c>
      <c r="C5166" s="2" t="s">
        <v>10274</v>
      </c>
      <c r="D5166" s="2"/>
      <c r="E5166" s="2" t="s">
        <v>10424</v>
      </c>
      <c r="F5166" s="3" t="n">
        <v>0</v>
      </c>
      <c r="G5166" s="3" t="n">
        <f aca="false">SUM($F$2:F5166)</f>
        <v>0.999987</v>
      </c>
      <c r="H5166" s="4"/>
      <c r="I5166" s="5"/>
      <c r="J5166" s="4"/>
      <c r="K5166" s="5"/>
      <c r="L5166" s="6"/>
      <c r="M5166" s="5" t="str">
        <f aca="false">IF(AND(N(K5166)&gt;0,N(L5166)&gt;0),K5166/L5166,"")</f>
        <v/>
      </c>
      <c r="N5166" s="2" t="s">
        <v>34</v>
      </c>
    </row>
    <row r="5167" customFormat="false" ht="15" hidden="false" customHeight="false" outlineLevel="0" collapsed="false">
      <c r="A5167" s="2" t="n">
        <v>5166</v>
      </c>
      <c r="B5167" s="2" t="s">
        <v>10452</v>
      </c>
      <c r="C5167" s="2" t="s">
        <v>10453</v>
      </c>
      <c r="D5167" s="2"/>
      <c r="E5167" s="2" t="s">
        <v>48</v>
      </c>
      <c r="F5167" s="3" t="n">
        <v>0</v>
      </c>
      <c r="G5167" s="3" t="n">
        <f aca="false">SUM($F$2:F5167)</f>
        <v>0.999987</v>
      </c>
      <c r="H5167" s="4"/>
      <c r="I5167" s="5"/>
      <c r="J5167" s="4"/>
      <c r="K5167" s="5"/>
      <c r="L5167" s="6"/>
      <c r="M5167" s="5" t="str">
        <f aca="false">IF(AND(N(K5167)&gt;0,N(L5167)&gt;0),K5167/L5167,"")</f>
        <v/>
      </c>
      <c r="N5167" s="2" t="s">
        <v>1226</v>
      </c>
    </row>
    <row r="5168" customFormat="false" ht="15" hidden="false" customHeight="false" outlineLevel="0" collapsed="false">
      <c r="A5168" s="2" t="n">
        <v>5167</v>
      </c>
      <c r="B5168" s="2" t="s">
        <v>301</v>
      </c>
      <c r="C5168" s="2" t="s">
        <v>3386</v>
      </c>
      <c r="D5168" s="2"/>
      <c r="E5168" s="2" t="s">
        <v>10424</v>
      </c>
      <c r="F5168" s="3" t="n">
        <v>0</v>
      </c>
      <c r="G5168" s="3" t="n">
        <f aca="false">SUM($F$2:F5168)</f>
        <v>0.999987</v>
      </c>
      <c r="H5168" s="4"/>
      <c r="I5168" s="5"/>
      <c r="J5168" s="4"/>
      <c r="K5168" s="5"/>
      <c r="L5168" s="6"/>
      <c r="M5168" s="5" t="str">
        <f aca="false">IF(AND(N(K5168)&gt;0,N(L5168)&gt;0),K5168/L5168,"")</f>
        <v/>
      </c>
      <c r="N5168" s="2" t="s">
        <v>34</v>
      </c>
    </row>
    <row r="5169" customFormat="false" ht="15" hidden="false" customHeight="false" outlineLevel="0" collapsed="false">
      <c r="A5169" s="2" t="n">
        <v>5168</v>
      </c>
      <c r="B5169" s="2" t="s">
        <v>10454</v>
      </c>
      <c r="C5169" s="2" t="s">
        <v>10455</v>
      </c>
      <c r="D5169" s="2"/>
      <c r="E5169" s="2" t="s">
        <v>1284</v>
      </c>
      <c r="F5169" s="3" t="n">
        <v>0</v>
      </c>
      <c r="G5169" s="3" t="n">
        <f aca="false">SUM($F$2:F5169)</f>
        <v>0.999987</v>
      </c>
      <c r="H5169" s="4"/>
      <c r="I5169" s="5"/>
      <c r="J5169" s="4"/>
      <c r="K5169" s="5"/>
      <c r="L5169" s="6"/>
      <c r="M5169" s="5" t="str">
        <f aca="false">IF(AND(N(K5169)&gt;0,N(L5169)&gt;0),K5169/L5169,"")</f>
        <v/>
      </c>
      <c r="N5169" s="2" t="s">
        <v>1226</v>
      </c>
    </row>
    <row r="5170" customFormat="false" ht="15" hidden="false" customHeight="false" outlineLevel="0" collapsed="false">
      <c r="A5170" s="2" t="n">
        <v>5169</v>
      </c>
      <c r="B5170" s="2" t="s">
        <v>10456</v>
      </c>
      <c r="C5170" s="2" t="s">
        <v>10457</v>
      </c>
      <c r="D5170" s="2"/>
      <c r="E5170" s="2" t="s">
        <v>296</v>
      </c>
      <c r="F5170" s="3" t="n">
        <v>0</v>
      </c>
      <c r="G5170" s="3" t="n">
        <f aca="false">SUM($F$2:F5170)</f>
        <v>0.999987</v>
      </c>
      <c r="H5170" s="4"/>
      <c r="I5170" s="5"/>
      <c r="J5170" s="4"/>
      <c r="K5170" s="5"/>
      <c r="L5170" s="6"/>
      <c r="M5170" s="5" t="str">
        <f aca="false">IF(AND(N(K5170)&gt;0,N(L5170)&gt;0),K5170/L5170,"")</f>
        <v/>
      </c>
      <c r="N5170" s="2" t="s">
        <v>1226</v>
      </c>
    </row>
    <row r="5171" customFormat="false" ht="15" hidden="false" customHeight="false" outlineLevel="0" collapsed="false">
      <c r="A5171" s="2" t="n">
        <v>5170</v>
      </c>
      <c r="B5171" s="2" t="s">
        <v>10458</v>
      </c>
      <c r="C5171" s="2" t="s">
        <v>10459</v>
      </c>
      <c r="D5171" s="2"/>
      <c r="E5171" s="2" t="s">
        <v>17</v>
      </c>
      <c r="F5171" s="3" t="n">
        <v>0</v>
      </c>
      <c r="G5171" s="3" t="n">
        <f aca="false">SUM($F$2:F5171)</f>
        <v>0.999987</v>
      </c>
      <c r="H5171" s="4"/>
      <c r="I5171" s="5"/>
      <c r="J5171" s="4"/>
      <c r="K5171" s="5"/>
      <c r="L5171" s="6"/>
      <c r="M5171" s="5" t="str">
        <f aca="false">IF(AND(N(K5171)&gt;0,N(L5171)&gt;0),K5171/L5171,"")</f>
        <v/>
      </c>
      <c r="N5171" s="2" t="s">
        <v>1226</v>
      </c>
    </row>
    <row r="5172" customFormat="false" ht="15" hidden="false" customHeight="false" outlineLevel="0" collapsed="false">
      <c r="A5172" s="2" t="n">
        <v>5171</v>
      </c>
      <c r="B5172" s="2" t="s">
        <v>10460</v>
      </c>
      <c r="C5172" s="2" t="s">
        <v>10461</v>
      </c>
      <c r="D5172" s="2"/>
      <c r="E5172" s="2" t="s">
        <v>1050</v>
      </c>
      <c r="F5172" s="3" t="n">
        <v>0</v>
      </c>
      <c r="G5172" s="3" t="n">
        <f aca="false">SUM($F$2:F5172)</f>
        <v>0.999987</v>
      </c>
      <c r="H5172" s="4"/>
      <c r="I5172" s="5"/>
      <c r="J5172" s="4"/>
      <c r="K5172" s="5"/>
      <c r="L5172" s="6"/>
      <c r="M5172" s="5" t="str">
        <f aca="false">IF(AND(N(K5172)&gt;0,N(L5172)&gt;0),K5172/L5172,"")</f>
        <v/>
      </c>
      <c r="N5172" s="2" t="s">
        <v>1226</v>
      </c>
    </row>
    <row r="5173" customFormat="false" ht="15" hidden="false" customHeight="false" outlineLevel="0" collapsed="false">
      <c r="A5173" s="2" t="n">
        <v>5172</v>
      </c>
      <c r="B5173" s="2" t="s">
        <v>301</v>
      </c>
      <c r="C5173" s="2" t="s">
        <v>10462</v>
      </c>
      <c r="D5173" s="2"/>
      <c r="E5173" s="2" t="s">
        <v>82</v>
      </c>
      <c r="F5173" s="3" t="n">
        <v>0</v>
      </c>
      <c r="G5173" s="3" t="n">
        <f aca="false">SUM($F$2:F5173)</f>
        <v>0.999987</v>
      </c>
      <c r="H5173" s="4"/>
      <c r="I5173" s="5"/>
      <c r="J5173" s="4"/>
      <c r="K5173" s="5"/>
      <c r="L5173" s="6"/>
      <c r="M5173" s="5" t="str">
        <f aca="false">IF(AND(N(K5173)&gt;0,N(L5173)&gt;0),K5173/L5173,"")</f>
        <v/>
      </c>
      <c r="N5173" s="2" t="s">
        <v>34</v>
      </c>
    </row>
    <row r="5174" customFormat="false" ht="15" hidden="false" customHeight="false" outlineLevel="0" collapsed="false">
      <c r="A5174" s="2" t="n">
        <v>5173</v>
      </c>
      <c r="B5174" s="2" t="s">
        <v>10463</v>
      </c>
      <c r="C5174" s="2" t="s">
        <v>6654</v>
      </c>
      <c r="D5174" s="2"/>
      <c r="E5174" s="2" t="s">
        <v>1295</v>
      </c>
      <c r="F5174" s="3" t="n">
        <v>0</v>
      </c>
      <c r="G5174" s="3" t="n">
        <f aca="false">SUM($F$2:F5174)</f>
        <v>0.999987</v>
      </c>
      <c r="H5174" s="4"/>
      <c r="I5174" s="5"/>
      <c r="J5174" s="4"/>
      <c r="K5174" s="5"/>
      <c r="L5174" s="6"/>
      <c r="M5174" s="5" t="str">
        <f aca="false">IF(AND(N(K5174)&gt;0,N(L5174)&gt;0),K5174/L5174,"")</f>
        <v/>
      </c>
      <c r="N5174" s="2" t="s">
        <v>1226</v>
      </c>
    </row>
    <row r="5175" customFormat="false" ht="15" hidden="false" customHeight="false" outlineLevel="0" collapsed="false">
      <c r="A5175" s="2" t="n">
        <v>5174</v>
      </c>
      <c r="B5175" s="2" t="s">
        <v>10464</v>
      </c>
      <c r="C5175" s="2" t="s">
        <v>10465</v>
      </c>
      <c r="D5175" s="2"/>
      <c r="E5175" s="2" t="s">
        <v>1295</v>
      </c>
      <c r="F5175" s="3" t="n">
        <v>0</v>
      </c>
      <c r="G5175" s="3" t="n">
        <f aca="false">SUM($F$2:F5175)</f>
        <v>0.999987</v>
      </c>
      <c r="H5175" s="4"/>
      <c r="I5175" s="5"/>
      <c r="J5175" s="4"/>
      <c r="K5175" s="5"/>
      <c r="L5175" s="6"/>
      <c r="M5175" s="5" t="str">
        <f aca="false">IF(AND(N(K5175)&gt;0,N(L5175)&gt;0),K5175/L5175,"")</f>
        <v/>
      </c>
      <c r="N5175" s="2" t="s">
        <v>1226</v>
      </c>
    </row>
    <row r="5176" customFormat="false" ht="15" hidden="false" customHeight="false" outlineLevel="0" collapsed="false">
      <c r="A5176" s="2" t="n">
        <v>5175</v>
      </c>
      <c r="B5176" s="2" t="s">
        <v>10466</v>
      </c>
      <c r="C5176" s="2" t="s">
        <v>10467</v>
      </c>
      <c r="D5176" s="2"/>
      <c r="E5176" s="2" t="s">
        <v>1284</v>
      </c>
      <c r="F5176" s="3" t="n">
        <v>0</v>
      </c>
      <c r="G5176" s="3" t="n">
        <f aca="false">SUM($F$2:F5176)</f>
        <v>0.999987</v>
      </c>
      <c r="H5176" s="4"/>
      <c r="I5176" s="5"/>
      <c r="J5176" s="4"/>
      <c r="K5176" s="5"/>
      <c r="L5176" s="6"/>
      <c r="M5176" s="5" t="str">
        <f aca="false">IF(AND(N(K5176)&gt;0,N(L5176)&gt;0),K5176/L5176,"")</f>
        <v/>
      </c>
      <c r="N5176" s="2" t="s">
        <v>1226</v>
      </c>
    </row>
    <row r="5177" customFormat="false" ht="15" hidden="false" customHeight="false" outlineLevel="0" collapsed="false">
      <c r="A5177" s="2" t="n">
        <v>5176</v>
      </c>
      <c r="B5177" s="2" t="s">
        <v>10468</v>
      </c>
      <c r="C5177" s="2" t="s">
        <v>10469</v>
      </c>
      <c r="D5177" s="2"/>
      <c r="E5177" s="2" t="s">
        <v>826</v>
      </c>
      <c r="F5177" s="3" t="n">
        <v>0</v>
      </c>
      <c r="G5177" s="3" t="n">
        <f aca="false">SUM($F$2:F5177)</f>
        <v>0.999987</v>
      </c>
      <c r="H5177" s="4"/>
      <c r="I5177" s="5"/>
      <c r="J5177" s="4"/>
      <c r="K5177" s="5"/>
      <c r="L5177" s="6"/>
      <c r="M5177" s="5" t="str">
        <f aca="false">IF(AND(N(K5177)&gt;0,N(L5177)&gt;0),K5177/L5177,"")</f>
        <v/>
      </c>
      <c r="N5177" s="2" t="s">
        <v>1226</v>
      </c>
    </row>
    <row r="5178" customFormat="false" ht="15" hidden="false" customHeight="false" outlineLevel="0" collapsed="false">
      <c r="A5178" s="2" t="n">
        <v>5177</v>
      </c>
      <c r="B5178" s="2" t="s">
        <v>10470</v>
      </c>
      <c r="C5178" s="2" t="s">
        <v>10471</v>
      </c>
      <c r="D5178" s="2"/>
      <c r="E5178" s="2" t="s">
        <v>29</v>
      </c>
      <c r="F5178" s="3" t="n">
        <v>0</v>
      </c>
      <c r="G5178" s="3" t="n">
        <f aca="false">SUM($F$2:F5178)</f>
        <v>0.999987</v>
      </c>
      <c r="H5178" s="4"/>
      <c r="I5178" s="5"/>
      <c r="J5178" s="4"/>
      <c r="K5178" s="5"/>
      <c r="L5178" s="6"/>
      <c r="M5178" s="5" t="str">
        <f aca="false">IF(AND(N(K5178)&gt;0,N(L5178)&gt;0),K5178/L5178,"")</f>
        <v/>
      </c>
      <c r="N5178" s="2" t="s">
        <v>1226</v>
      </c>
    </row>
    <row r="5179" customFormat="false" ht="15" hidden="false" customHeight="false" outlineLevel="0" collapsed="false">
      <c r="A5179" s="2" t="n">
        <v>5178</v>
      </c>
      <c r="B5179" s="2" t="s">
        <v>10472</v>
      </c>
      <c r="C5179" s="2" t="s">
        <v>10473</v>
      </c>
      <c r="D5179" s="2"/>
      <c r="E5179" s="2" t="s">
        <v>82</v>
      </c>
      <c r="F5179" s="3" t="n">
        <v>0</v>
      </c>
      <c r="G5179" s="3" t="n">
        <f aca="false">SUM($F$2:F5179)</f>
        <v>0.999987</v>
      </c>
      <c r="H5179" s="4"/>
      <c r="I5179" s="5"/>
      <c r="J5179" s="4"/>
      <c r="K5179" s="5"/>
      <c r="L5179" s="6"/>
      <c r="M5179" s="5" t="str">
        <f aca="false">IF(AND(N(K5179)&gt;0,N(L5179)&gt;0),K5179/L5179,"")</f>
        <v/>
      </c>
      <c r="N5179" s="2" t="s">
        <v>1226</v>
      </c>
    </row>
    <row r="5180" customFormat="false" ht="15" hidden="false" customHeight="false" outlineLevel="0" collapsed="false">
      <c r="A5180" s="2" t="n">
        <v>5179</v>
      </c>
      <c r="B5180" s="2" t="s">
        <v>301</v>
      </c>
      <c r="C5180" s="2" t="s">
        <v>10474</v>
      </c>
      <c r="D5180" s="2"/>
      <c r="E5180" s="2" t="s">
        <v>29</v>
      </c>
      <c r="F5180" s="3" t="n">
        <v>0</v>
      </c>
      <c r="G5180" s="3" t="n">
        <f aca="false">SUM($F$2:F5180)</f>
        <v>0.999987</v>
      </c>
      <c r="H5180" s="4"/>
      <c r="I5180" s="5"/>
      <c r="J5180" s="4"/>
      <c r="K5180" s="5"/>
      <c r="L5180" s="6"/>
      <c r="M5180" s="5" t="str">
        <f aca="false">IF(AND(N(K5180)&gt;0,N(L5180)&gt;0),K5180/L5180,"")</f>
        <v/>
      </c>
      <c r="N5180" s="2" t="s">
        <v>1226</v>
      </c>
    </row>
    <row r="5181" customFormat="false" ht="15" hidden="false" customHeight="false" outlineLevel="0" collapsed="false">
      <c r="A5181" s="2" t="n">
        <v>5180</v>
      </c>
      <c r="B5181" s="2" t="s">
        <v>10475</v>
      </c>
      <c r="C5181" s="2" t="s">
        <v>10476</v>
      </c>
      <c r="D5181" s="2"/>
      <c r="E5181" s="2" t="s">
        <v>48</v>
      </c>
      <c r="F5181" s="3" t="n">
        <v>0</v>
      </c>
      <c r="G5181" s="3" t="n">
        <f aca="false">SUM($F$2:F5181)</f>
        <v>0.999987</v>
      </c>
      <c r="H5181" s="4"/>
      <c r="I5181" s="5"/>
      <c r="J5181" s="4"/>
      <c r="K5181" s="5"/>
      <c r="L5181" s="6"/>
      <c r="M5181" s="5" t="str">
        <f aca="false">IF(AND(N(K5181)&gt;0,N(L5181)&gt;0),K5181/L5181,"")</f>
        <v/>
      </c>
      <c r="N5181" s="2" t="s">
        <v>1226</v>
      </c>
    </row>
    <row r="5182" customFormat="false" ht="15" hidden="false" customHeight="false" outlineLevel="0" collapsed="false">
      <c r="A5182" s="2" t="n">
        <v>5181</v>
      </c>
      <c r="B5182" s="2" t="s">
        <v>10477</v>
      </c>
      <c r="C5182" s="2" t="s">
        <v>10478</v>
      </c>
      <c r="D5182" s="2"/>
      <c r="E5182" s="2" t="s">
        <v>25</v>
      </c>
      <c r="F5182" s="3" t="n">
        <v>0</v>
      </c>
      <c r="G5182" s="3" t="n">
        <f aca="false">SUM($F$2:F5182)</f>
        <v>0.999987</v>
      </c>
      <c r="H5182" s="4"/>
      <c r="I5182" s="5"/>
      <c r="J5182" s="4"/>
      <c r="K5182" s="5"/>
      <c r="L5182" s="6"/>
      <c r="M5182" s="5" t="str">
        <f aca="false">IF(AND(N(K5182)&gt;0,N(L5182)&gt;0),K5182/L5182,"")</f>
        <v/>
      </c>
      <c r="N5182" s="2" t="s">
        <v>1226</v>
      </c>
    </row>
    <row r="5183" customFormat="false" ht="15" hidden="false" customHeight="false" outlineLevel="0" collapsed="false">
      <c r="A5183" s="2" t="n">
        <v>5182</v>
      </c>
      <c r="B5183" s="2" t="s">
        <v>10479</v>
      </c>
      <c r="C5183" s="2" t="s">
        <v>10480</v>
      </c>
      <c r="D5183" s="2"/>
      <c r="E5183" s="2" t="s">
        <v>82</v>
      </c>
      <c r="F5183" s="3" t="n">
        <v>0</v>
      </c>
      <c r="G5183" s="3" t="n">
        <f aca="false">SUM($F$2:F5183)</f>
        <v>0.999987</v>
      </c>
      <c r="H5183" s="4"/>
      <c r="I5183" s="5"/>
      <c r="J5183" s="4"/>
      <c r="K5183" s="5"/>
      <c r="L5183" s="6"/>
      <c r="M5183" s="5" t="str">
        <f aca="false">IF(AND(N(K5183)&gt;0,N(L5183)&gt;0),K5183/L5183,"")</f>
        <v/>
      </c>
      <c r="N5183" s="2" t="s">
        <v>1226</v>
      </c>
    </row>
    <row r="5184" customFormat="false" ht="15" hidden="false" customHeight="false" outlineLevel="0" collapsed="false">
      <c r="A5184" s="2" t="n">
        <v>5183</v>
      </c>
      <c r="B5184" s="2" t="s">
        <v>10481</v>
      </c>
      <c r="C5184" s="2" t="s">
        <v>10482</v>
      </c>
      <c r="D5184" s="2"/>
      <c r="E5184" s="2" t="s">
        <v>29</v>
      </c>
      <c r="F5184" s="3" t="n">
        <v>0</v>
      </c>
      <c r="G5184" s="3" t="n">
        <f aca="false">SUM($F$2:F5184)</f>
        <v>0.999987</v>
      </c>
      <c r="H5184" s="4"/>
      <c r="I5184" s="5"/>
      <c r="J5184" s="4"/>
      <c r="K5184" s="5"/>
      <c r="L5184" s="6"/>
      <c r="M5184" s="5" t="str">
        <f aca="false">IF(AND(N(K5184)&gt;0,N(L5184)&gt;0),K5184/L5184,"")</f>
        <v/>
      </c>
      <c r="N5184" s="2" t="s">
        <v>1226</v>
      </c>
    </row>
    <row r="5185" customFormat="false" ht="15" hidden="false" customHeight="false" outlineLevel="0" collapsed="false">
      <c r="A5185" s="2" t="n">
        <v>5184</v>
      </c>
      <c r="B5185" s="2" t="s">
        <v>10483</v>
      </c>
      <c r="C5185" s="2" t="s">
        <v>10484</v>
      </c>
      <c r="D5185" s="2"/>
      <c r="E5185" s="2" t="s">
        <v>25</v>
      </c>
      <c r="F5185" s="3" t="n">
        <v>0</v>
      </c>
      <c r="G5185" s="3" t="n">
        <f aca="false">SUM($F$2:F5185)</f>
        <v>0.999987</v>
      </c>
      <c r="H5185" s="4"/>
      <c r="I5185" s="5"/>
      <c r="J5185" s="4"/>
      <c r="K5185" s="5"/>
      <c r="L5185" s="6"/>
      <c r="M5185" s="5" t="str">
        <f aca="false">IF(AND(N(K5185)&gt;0,N(L5185)&gt;0),K5185/L5185,"")</f>
        <v/>
      </c>
      <c r="N5185" s="2" t="s">
        <v>1226</v>
      </c>
    </row>
    <row r="5186" customFormat="false" ht="15" hidden="false" customHeight="false" outlineLevel="0" collapsed="false">
      <c r="A5186" s="2" t="n">
        <v>5185</v>
      </c>
      <c r="B5186" s="2" t="s">
        <v>10485</v>
      </c>
      <c r="C5186" s="2" t="s">
        <v>10486</v>
      </c>
      <c r="D5186" s="2"/>
      <c r="E5186" s="2" t="s">
        <v>167</v>
      </c>
      <c r="F5186" s="3" t="n">
        <v>0</v>
      </c>
      <c r="G5186" s="3" t="n">
        <f aca="false">SUM($F$2:F5186)</f>
        <v>0.999987</v>
      </c>
      <c r="H5186" s="4"/>
      <c r="I5186" s="5"/>
      <c r="J5186" s="4"/>
      <c r="K5186" s="5"/>
      <c r="L5186" s="6"/>
      <c r="M5186" s="5" t="str">
        <f aca="false">IF(AND(N(K5186)&gt;0,N(L5186)&gt;0),K5186/L5186,"")</f>
        <v/>
      </c>
      <c r="N5186" s="2" t="s">
        <v>1226</v>
      </c>
    </row>
    <row r="5187" customFormat="false" ht="15" hidden="false" customHeight="false" outlineLevel="0" collapsed="false">
      <c r="A5187" s="2" t="n">
        <v>5186</v>
      </c>
      <c r="B5187" s="2" t="s">
        <v>10487</v>
      </c>
      <c r="C5187" s="2" t="s">
        <v>10488</v>
      </c>
      <c r="D5187" s="2"/>
      <c r="E5187" s="2" t="s">
        <v>25</v>
      </c>
      <c r="F5187" s="3" t="n">
        <v>0</v>
      </c>
      <c r="G5187" s="3" t="n">
        <f aca="false">SUM($F$2:F5187)</f>
        <v>0.999987</v>
      </c>
      <c r="H5187" s="4"/>
      <c r="I5187" s="5"/>
      <c r="J5187" s="4"/>
      <c r="K5187" s="5"/>
      <c r="L5187" s="6"/>
      <c r="M5187" s="5" t="str">
        <f aca="false">IF(AND(N(K5187)&gt;0,N(L5187)&gt;0),K5187/L5187,"")</f>
        <v/>
      </c>
      <c r="N5187" s="2" t="s">
        <v>1226</v>
      </c>
    </row>
    <row r="5188" customFormat="false" ht="15" hidden="false" customHeight="false" outlineLevel="0" collapsed="false">
      <c r="A5188" s="2" t="n">
        <v>5187</v>
      </c>
      <c r="B5188" s="2" t="s">
        <v>10489</v>
      </c>
      <c r="C5188" s="2" t="s">
        <v>10490</v>
      </c>
      <c r="D5188" s="2"/>
      <c r="E5188" s="2" t="s">
        <v>29</v>
      </c>
      <c r="F5188" s="3" t="n">
        <v>0</v>
      </c>
      <c r="G5188" s="3" t="n">
        <f aca="false">SUM($F$2:F5188)</f>
        <v>0.999987</v>
      </c>
      <c r="H5188" s="4"/>
      <c r="I5188" s="5"/>
      <c r="J5188" s="4"/>
      <c r="K5188" s="5"/>
      <c r="L5188" s="6"/>
      <c r="M5188" s="5" t="str">
        <f aca="false">IF(AND(N(K5188)&gt;0,N(L5188)&gt;0),K5188/L5188,"")</f>
        <v/>
      </c>
      <c r="N5188" s="2" t="s">
        <v>1226</v>
      </c>
    </row>
    <row r="5189" customFormat="false" ht="15" hidden="false" customHeight="false" outlineLevel="0" collapsed="false">
      <c r="A5189" s="2" t="n">
        <v>5188</v>
      </c>
      <c r="B5189" s="2" t="s">
        <v>301</v>
      </c>
      <c r="C5189" s="2" t="s">
        <v>10491</v>
      </c>
      <c r="D5189" s="2"/>
      <c r="E5189" s="2" t="s">
        <v>173</v>
      </c>
      <c r="F5189" s="3" t="n">
        <v>0</v>
      </c>
      <c r="G5189" s="3" t="n">
        <f aca="false">SUM($F$2:F5189)</f>
        <v>0.999987</v>
      </c>
      <c r="H5189" s="4"/>
      <c r="I5189" s="5"/>
      <c r="J5189" s="4"/>
      <c r="K5189" s="5"/>
      <c r="L5189" s="6"/>
      <c r="M5189" s="5" t="str">
        <f aca="false">IF(AND(N(K5189)&gt;0,N(L5189)&gt;0),K5189/L5189,"")</f>
        <v/>
      </c>
      <c r="N5189" s="2" t="s">
        <v>34</v>
      </c>
    </row>
    <row r="5190" customFormat="false" ht="15" hidden="false" customHeight="false" outlineLevel="0" collapsed="false">
      <c r="A5190" s="2" t="n">
        <v>5189</v>
      </c>
      <c r="B5190" s="2" t="s">
        <v>10492</v>
      </c>
      <c r="C5190" s="2" t="s">
        <v>10493</v>
      </c>
      <c r="D5190" s="2"/>
      <c r="E5190" s="2" t="s">
        <v>29</v>
      </c>
      <c r="F5190" s="3" t="n">
        <v>0</v>
      </c>
      <c r="G5190" s="3" t="n">
        <f aca="false">SUM($F$2:F5190)</f>
        <v>0.999987</v>
      </c>
      <c r="H5190" s="4"/>
      <c r="I5190" s="5"/>
      <c r="J5190" s="4"/>
      <c r="K5190" s="5"/>
      <c r="L5190" s="6"/>
      <c r="M5190" s="5" t="str">
        <f aca="false">IF(AND(N(K5190)&gt;0,N(L5190)&gt;0),K5190/L5190,"")</f>
        <v/>
      </c>
      <c r="N5190" s="2" t="s">
        <v>1226</v>
      </c>
    </row>
    <row r="5191" customFormat="false" ht="15" hidden="false" customHeight="false" outlineLevel="0" collapsed="false">
      <c r="A5191" s="2" t="n">
        <v>5190</v>
      </c>
      <c r="B5191" s="2" t="s">
        <v>301</v>
      </c>
      <c r="C5191" s="2" t="s">
        <v>10493</v>
      </c>
      <c r="D5191" s="2"/>
      <c r="E5191" s="2" t="s">
        <v>29</v>
      </c>
      <c r="F5191" s="3" t="n">
        <v>0</v>
      </c>
      <c r="G5191" s="3" t="n">
        <f aca="false">SUM($F$2:F5191)</f>
        <v>0.999987</v>
      </c>
      <c r="H5191" s="4"/>
      <c r="I5191" s="5"/>
      <c r="J5191" s="4"/>
      <c r="K5191" s="5"/>
      <c r="L5191" s="6"/>
      <c r="M5191" s="5" t="str">
        <f aca="false">IF(AND(N(K5191)&gt;0,N(L5191)&gt;0),K5191/L5191,"")</f>
        <v/>
      </c>
      <c r="N5191" s="2" t="s">
        <v>34</v>
      </c>
    </row>
    <row r="5192" customFormat="false" ht="15" hidden="false" customHeight="false" outlineLevel="0" collapsed="false">
      <c r="A5192" s="2" t="n">
        <v>5191</v>
      </c>
      <c r="B5192" s="2" t="s">
        <v>301</v>
      </c>
      <c r="C5192" s="2" t="s">
        <v>10423</v>
      </c>
      <c r="D5192" s="2"/>
      <c r="E5192" s="2" t="s">
        <v>82</v>
      </c>
      <c r="F5192" s="3" t="n">
        <v>0</v>
      </c>
      <c r="G5192" s="3" t="n">
        <f aca="false">SUM($F$2:F5192)</f>
        <v>0.999987</v>
      </c>
      <c r="H5192" s="4"/>
      <c r="I5192" s="5"/>
      <c r="J5192" s="4"/>
      <c r="K5192" s="5"/>
      <c r="L5192" s="6"/>
      <c r="M5192" s="5" t="str">
        <f aca="false">IF(AND(N(K5192)&gt;0,N(L5192)&gt;0),K5192/L5192,"")</f>
        <v/>
      </c>
      <c r="N5192" s="2" t="s">
        <v>34</v>
      </c>
    </row>
    <row r="5193" customFormat="false" ht="15" hidden="false" customHeight="false" outlineLevel="0" collapsed="false">
      <c r="A5193" s="2" t="n">
        <v>5192</v>
      </c>
      <c r="B5193" s="2" t="s">
        <v>10494</v>
      </c>
      <c r="C5193" s="2" t="s">
        <v>10495</v>
      </c>
      <c r="D5193" s="2"/>
      <c r="E5193" s="2" t="s">
        <v>33</v>
      </c>
      <c r="F5193" s="3" t="n">
        <v>0</v>
      </c>
      <c r="G5193" s="3" t="n">
        <f aca="false">SUM($F$2:F5193)</f>
        <v>0.999987</v>
      </c>
      <c r="H5193" s="4"/>
      <c r="I5193" s="5"/>
      <c r="J5193" s="4"/>
      <c r="K5193" s="5"/>
      <c r="L5193" s="6"/>
      <c r="M5193" s="5" t="str">
        <f aca="false">IF(AND(N(K5193)&gt;0,N(L5193)&gt;0),K5193/L5193,"")</f>
        <v/>
      </c>
      <c r="N5193" s="2" t="s">
        <v>34</v>
      </c>
    </row>
    <row r="5194" customFormat="false" ht="15" hidden="false" customHeight="false" outlineLevel="0" collapsed="false">
      <c r="A5194" s="2" t="n">
        <v>5193</v>
      </c>
      <c r="B5194" s="2" t="s">
        <v>301</v>
      </c>
      <c r="C5194" s="2" t="s">
        <v>10496</v>
      </c>
      <c r="D5194" s="2"/>
      <c r="E5194" s="2" t="s">
        <v>29</v>
      </c>
      <c r="F5194" s="3" t="n">
        <v>0</v>
      </c>
      <c r="G5194" s="3" t="n">
        <f aca="false">SUM($F$2:F5194)</f>
        <v>0.999987</v>
      </c>
      <c r="H5194" s="4"/>
      <c r="I5194" s="5"/>
      <c r="J5194" s="4"/>
      <c r="K5194" s="5"/>
      <c r="L5194" s="6"/>
      <c r="M5194" s="5" t="str">
        <f aca="false">IF(AND(N(K5194)&gt;0,N(L5194)&gt;0),K5194/L5194,"")</f>
        <v/>
      </c>
      <c r="N5194" s="2" t="s">
        <v>34</v>
      </c>
    </row>
    <row r="5195" customFormat="false" ht="15" hidden="false" customHeight="false" outlineLevel="0" collapsed="false">
      <c r="A5195" s="2" t="n">
        <v>5194</v>
      </c>
      <c r="B5195" s="2" t="s">
        <v>10497</v>
      </c>
      <c r="C5195" s="2" t="s">
        <v>10498</v>
      </c>
      <c r="D5195" s="2"/>
      <c r="E5195" s="2" t="s">
        <v>52</v>
      </c>
      <c r="F5195" s="3" t="n">
        <v>0</v>
      </c>
      <c r="G5195" s="3" t="n">
        <f aca="false">SUM($F$2:F5195)</f>
        <v>0.999987</v>
      </c>
      <c r="H5195" s="4"/>
      <c r="I5195" s="5"/>
      <c r="J5195" s="4"/>
      <c r="K5195" s="5"/>
      <c r="L5195" s="6"/>
      <c r="M5195" s="5" t="str">
        <f aca="false">IF(AND(N(K5195)&gt;0,N(L5195)&gt;0),K5195/L5195,"")</f>
        <v/>
      </c>
      <c r="N5195" s="2" t="s">
        <v>1226</v>
      </c>
    </row>
    <row r="5196" customFormat="false" ht="15" hidden="false" customHeight="false" outlineLevel="0" collapsed="false">
      <c r="A5196" s="2" t="n">
        <v>5195</v>
      </c>
      <c r="B5196" s="2" t="s">
        <v>301</v>
      </c>
      <c r="C5196" s="2" t="s">
        <v>10499</v>
      </c>
      <c r="D5196" s="2"/>
      <c r="E5196" s="2" t="s">
        <v>199</v>
      </c>
      <c r="F5196" s="3" t="n">
        <v>0</v>
      </c>
      <c r="G5196" s="3" t="n">
        <f aca="false">SUM($F$2:F5196)</f>
        <v>0.999987</v>
      </c>
      <c r="H5196" s="4"/>
      <c r="I5196" s="5"/>
      <c r="J5196" s="4"/>
      <c r="K5196" s="5"/>
      <c r="L5196" s="6"/>
      <c r="M5196" s="5" t="str">
        <f aca="false">IF(AND(N(K5196)&gt;0,N(L5196)&gt;0),K5196/L5196,"")</f>
        <v/>
      </c>
      <c r="N5196" s="2" t="s">
        <v>34</v>
      </c>
    </row>
    <row r="5197" customFormat="false" ht="15" hidden="false" customHeight="false" outlineLevel="0" collapsed="false">
      <c r="A5197" s="2" t="n">
        <v>5196</v>
      </c>
      <c r="B5197" s="2" t="s">
        <v>301</v>
      </c>
      <c r="C5197" s="2" t="s">
        <v>10500</v>
      </c>
      <c r="D5197" s="2"/>
      <c r="E5197" s="2" t="s">
        <v>296</v>
      </c>
      <c r="F5197" s="3" t="n">
        <v>0</v>
      </c>
      <c r="G5197" s="3" t="n">
        <f aca="false">SUM($F$2:F5197)</f>
        <v>0.999987</v>
      </c>
      <c r="H5197" s="4"/>
      <c r="I5197" s="5"/>
      <c r="J5197" s="4"/>
      <c r="K5197" s="5"/>
      <c r="L5197" s="6"/>
      <c r="M5197" s="5" t="str">
        <f aca="false">IF(AND(N(K5197)&gt;0,N(L5197)&gt;0),K5197/L5197,"")</f>
        <v/>
      </c>
      <c r="N5197" s="2" t="s">
        <v>34</v>
      </c>
    </row>
    <row r="5198" customFormat="false" ht="15" hidden="false" customHeight="false" outlineLevel="0" collapsed="false">
      <c r="A5198" s="2" t="n">
        <v>5197</v>
      </c>
      <c r="B5198" s="2" t="s">
        <v>10501</v>
      </c>
      <c r="C5198" s="2" t="s">
        <v>10502</v>
      </c>
      <c r="D5198" s="2"/>
      <c r="E5198" s="2" t="s">
        <v>826</v>
      </c>
      <c r="F5198" s="3" t="n">
        <v>0</v>
      </c>
      <c r="G5198" s="3" t="n">
        <f aca="false">SUM($F$2:F5198)</f>
        <v>0.999987</v>
      </c>
      <c r="H5198" s="4"/>
      <c r="I5198" s="5"/>
      <c r="J5198" s="4"/>
      <c r="K5198" s="5"/>
      <c r="L5198" s="6"/>
      <c r="M5198" s="5" t="str">
        <f aca="false">IF(AND(N(K5198)&gt;0,N(L5198)&gt;0),K5198/L5198,"")</f>
        <v/>
      </c>
      <c r="N5198" s="2" t="s">
        <v>1226</v>
      </c>
    </row>
    <row r="5199" customFormat="false" ht="15" hidden="false" customHeight="false" outlineLevel="0" collapsed="false">
      <c r="A5199" s="2" t="n">
        <v>5198</v>
      </c>
      <c r="B5199" s="2" t="s">
        <v>10503</v>
      </c>
      <c r="C5199" s="2" t="s">
        <v>10504</v>
      </c>
      <c r="D5199" s="2"/>
      <c r="E5199" s="2" t="s">
        <v>765</v>
      </c>
      <c r="F5199" s="3" t="n">
        <v>0</v>
      </c>
      <c r="G5199" s="3" t="n">
        <f aca="false">SUM($F$2:F5199)</f>
        <v>0.999987</v>
      </c>
      <c r="H5199" s="4"/>
      <c r="I5199" s="5"/>
      <c r="J5199" s="4"/>
      <c r="K5199" s="5"/>
      <c r="L5199" s="6"/>
      <c r="M5199" s="5" t="str">
        <f aca="false">IF(AND(N(K5199)&gt;0,N(L5199)&gt;0),K5199/L5199,"")</f>
        <v/>
      </c>
      <c r="N5199" s="2" t="s">
        <v>1226</v>
      </c>
    </row>
    <row r="5200" customFormat="false" ht="15" hidden="false" customHeight="false" outlineLevel="0" collapsed="false">
      <c r="A5200" s="2" t="n">
        <v>5199</v>
      </c>
      <c r="B5200" s="2" t="s">
        <v>10505</v>
      </c>
      <c r="C5200" s="2" t="s">
        <v>10506</v>
      </c>
      <c r="D5200" s="2"/>
      <c r="E5200" s="2" t="s">
        <v>1284</v>
      </c>
      <c r="F5200" s="3" t="n">
        <v>0</v>
      </c>
      <c r="G5200" s="3" t="n">
        <f aca="false">SUM($F$2:F5200)</f>
        <v>0.999987</v>
      </c>
      <c r="H5200" s="4"/>
      <c r="I5200" s="5"/>
      <c r="J5200" s="4"/>
      <c r="K5200" s="5"/>
      <c r="L5200" s="6"/>
      <c r="M5200" s="5" t="str">
        <f aca="false">IF(AND(N(K5200)&gt;0,N(L5200)&gt;0),K5200/L5200,"")</f>
        <v/>
      </c>
      <c r="N5200" s="2" t="s">
        <v>1226</v>
      </c>
    </row>
    <row r="5201" customFormat="false" ht="15" hidden="false" customHeight="false" outlineLevel="0" collapsed="false">
      <c r="A5201" s="2" t="n">
        <v>5200</v>
      </c>
      <c r="B5201" s="2" t="s">
        <v>10507</v>
      </c>
      <c r="C5201" s="2" t="s">
        <v>10508</v>
      </c>
      <c r="D5201" s="2"/>
      <c r="E5201" s="2" t="s">
        <v>860</v>
      </c>
      <c r="F5201" s="3" t="n">
        <v>0</v>
      </c>
      <c r="G5201" s="3" t="n">
        <f aca="false">SUM($F$2:F5201)</f>
        <v>0.999987</v>
      </c>
      <c r="H5201" s="4"/>
      <c r="I5201" s="5"/>
      <c r="J5201" s="4"/>
      <c r="K5201" s="5"/>
      <c r="L5201" s="6"/>
      <c r="M5201" s="5" t="str">
        <f aca="false">IF(AND(N(K5201)&gt;0,N(L5201)&gt;0),K5201/L5201,"")</f>
        <v/>
      </c>
      <c r="N5201" s="2" t="s">
        <v>1226</v>
      </c>
    </row>
    <row r="5202" customFormat="false" ht="15" hidden="false" customHeight="false" outlineLevel="0" collapsed="false">
      <c r="A5202" s="2" t="n">
        <v>5201</v>
      </c>
      <c r="B5202" s="2" t="s">
        <v>10509</v>
      </c>
      <c r="C5202" s="2" t="s">
        <v>10510</v>
      </c>
      <c r="D5202" s="2"/>
      <c r="E5202" s="2" t="s">
        <v>296</v>
      </c>
      <c r="F5202" s="3" t="n">
        <v>0</v>
      </c>
      <c r="G5202" s="3" t="n">
        <f aca="false">SUM($F$2:F5202)</f>
        <v>0.999987</v>
      </c>
      <c r="H5202" s="4"/>
      <c r="I5202" s="5"/>
      <c r="J5202" s="4"/>
      <c r="K5202" s="5"/>
      <c r="L5202" s="6"/>
      <c r="M5202" s="5" t="str">
        <f aca="false">IF(AND(N(K5202)&gt;0,N(L5202)&gt;0),K5202/L5202,"")</f>
        <v/>
      </c>
      <c r="N5202" s="2" t="s">
        <v>1226</v>
      </c>
    </row>
    <row r="5203" customFormat="false" ht="15" hidden="false" customHeight="false" outlineLevel="0" collapsed="false">
      <c r="A5203" s="2" t="n">
        <v>5202</v>
      </c>
      <c r="B5203" s="2" t="s">
        <v>10511</v>
      </c>
      <c r="C5203" s="2" t="s">
        <v>10512</v>
      </c>
      <c r="D5203" s="2"/>
      <c r="E5203" s="2" t="s">
        <v>1245</v>
      </c>
      <c r="F5203" s="3" t="n">
        <v>0</v>
      </c>
      <c r="G5203" s="3" t="n">
        <f aca="false">SUM($F$2:F5203)</f>
        <v>0.999987</v>
      </c>
      <c r="H5203" s="4"/>
      <c r="I5203" s="5"/>
      <c r="J5203" s="4"/>
      <c r="K5203" s="5"/>
      <c r="L5203" s="6"/>
      <c r="M5203" s="5" t="str">
        <f aca="false">IF(AND(N(K5203)&gt;0,N(L5203)&gt;0),K5203/L5203,"")</f>
        <v/>
      </c>
      <c r="N5203" s="2" t="s">
        <v>1226</v>
      </c>
    </row>
    <row r="5204" customFormat="false" ht="15" hidden="false" customHeight="false" outlineLevel="0" collapsed="false">
      <c r="A5204" s="2" t="n">
        <v>5203</v>
      </c>
      <c r="B5204" s="2" t="s">
        <v>10513</v>
      </c>
      <c r="C5204" s="2" t="s">
        <v>10514</v>
      </c>
      <c r="D5204" s="2"/>
      <c r="E5204" s="2" t="s">
        <v>1050</v>
      </c>
      <c r="F5204" s="3" t="n">
        <v>0</v>
      </c>
      <c r="G5204" s="3" t="n">
        <f aca="false">SUM($F$2:F5204)</f>
        <v>0.999987</v>
      </c>
      <c r="H5204" s="4"/>
      <c r="I5204" s="5"/>
      <c r="J5204" s="4"/>
      <c r="K5204" s="5"/>
      <c r="L5204" s="6"/>
      <c r="M5204" s="5" t="str">
        <f aca="false">IF(AND(N(K5204)&gt;0,N(L5204)&gt;0),K5204/L5204,"")</f>
        <v/>
      </c>
      <c r="N5204" s="2" t="s">
        <v>1226</v>
      </c>
    </row>
    <row r="5205" customFormat="false" ht="15" hidden="false" customHeight="false" outlineLevel="0" collapsed="false">
      <c r="A5205" s="2" t="n">
        <v>5204</v>
      </c>
      <c r="B5205" s="2" t="s">
        <v>301</v>
      </c>
      <c r="C5205" s="2" t="s">
        <v>10515</v>
      </c>
      <c r="D5205" s="2"/>
      <c r="E5205" s="2" t="s">
        <v>43</v>
      </c>
      <c r="F5205" s="3" t="n">
        <v>0</v>
      </c>
      <c r="G5205" s="3" t="n">
        <f aca="false">SUM($F$2:F5205)</f>
        <v>0.999987</v>
      </c>
      <c r="H5205" s="4"/>
      <c r="I5205" s="5"/>
      <c r="J5205" s="4"/>
      <c r="K5205" s="5"/>
      <c r="L5205" s="6"/>
      <c r="M5205" s="5" t="str">
        <f aca="false">IF(AND(N(K5205)&gt;0,N(L5205)&gt;0),K5205/L5205,"")</f>
        <v/>
      </c>
      <c r="N5205" s="2" t="s">
        <v>34</v>
      </c>
    </row>
    <row r="5206" customFormat="false" ht="15" hidden="false" customHeight="false" outlineLevel="0" collapsed="false">
      <c r="A5206" s="2" t="n">
        <v>5205</v>
      </c>
      <c r="B5206" s="2" t="s">
        <v>10516</v>
      </c>
      <c r="C5206" s="2" t="s">
        <v>10517</v>
      </c>
      <c r="D5206" s="2"/>
      <c r="E5206" s="2" t="s">
        <v>296</v>
      </c>
      <c r="F5206" s="3" t="n">
        <v>0</v>
      </c>
      <c r="G5206" s="3" t="n">
        <f aca="false">SUM($F$2:F5206)</f>
        <v>0.999987</v>
      </c>
      <c r="H5206" s="4"/>
      <c r="I5206" s="5"/>
      <c r="J5206" s="4"/>
      <c r="K5206" s="5"/>
      <c r="L5206" s="6"/>
      <c r="M5206" s="5" t="str">
        <f aca="false">IF(AND(N(K5206)&gt;0,N(L5206)&gt;0),K5206/L5206,"")</f>
        <v/>
      </c>
      <c r="N5206" s="2" t="s">
        <v>1226</v>
      </c>
    </row>
    <row r="5207" customFormat="false" ht="15" hidden="false" customHeight="false" outlineLevel="0" collapsed="false">
      <c r="A5207" s="2" t="n">
        <v>5206</v>
      </c>
      <c r="B5207" s="2" t="s">
        <v>10518</v>
      </c>
      <c r="C5207" s="2" t="s">
        <v>10519</v>
      </c>
      <c r="D5207" s="2"/>
      <c r="E5207" s="2" t="s">
        <v>296</v>
      </c>
      <c r="F5207" s="3" t="n">
        <v>0</v>
      </c>
      <c r="G5207" s="3" t="n">
        <f aca="false">SUM($F$2:F5207)</f>
        <v>0.999987</v>
      </c>
      <c r="H5207" s="4"/>
      <c r="I5207" s="5"/>
      <c r="J5207" s="4"/>
      <c r="K5207" s="5"/>
      <c r="L5207" s="6"/>
      <c r="M5207" s="5" t="str">
        <f aca="false">IF(AND(N(K5207)&gt;0,N(L5207)&gt;0),K5207/L5207,"")</f>
        <v/>
      </c>
      <c r="N5207" s="2" t="s">
        <v>1226</v>
      </c>
    </row>
    <row r="5208" customFormat="false" ht="15" hidden="false" customHeight="false" outlineLevel="0" collapsed="false">
      <c r="A5208" s="2" t="n">
        <v>5207</v>
      </c>
      <c r="B5208" s="2" t="s">
        <v>10520</v>
      </c>
      <c r="C5208" s="2" t="s">
        <v>10521</v>
      </c>
      <c r="D5208" s="2"/>
      <c r="E5208" s="2" t="s">
        <v>289</v>
      </c>
      <c r="F5208" s="3" t="n">
        <v>0</v>
      </c>
      <c r="G5208" s="3" t="n">
        <f aca="false">SUM($F$2:F5208)</f>
        <v>0.999987</v>
      </c>
      <c r="H5208" s="4"/>
      <c r="I5208" s="5"/>
      <c r="J5208" s="4"/>
      <c r="K5208" s="5"/>
      <c r="L5208" s="6"/>
      <c r="M5208" s="5" t="str">
        <f aca="false">IF(AND(N(K5208)&gt;0,N(L5208)&gt;0),K5208/L5208,"")</f>
        <v/>
      </c>
      <c r="N5208" s="2" t="s">
        <v>1226</v>
      </c>
    </row>
    <row r="5209" customFormat="false" ht="15" hidden="false" customHeight="false" outlineLevel="0" collapsed="false">
      <c r="A5209" s="2" t="n">
        <v>5208</v>
      </c>
      <c r="B5209" s="2" t="s">
        <v>301</v>
      </c>
      <c r="C5209" s="2" t="s">
        <v>10522</v>
      </c>
      <c r="D5209" s="2"/>
      <c r="E5209" s="2" t="s">
        <v>289</v>
      </c>
      <c r="F5209" s="3" t="n">
        <v>0</v>
      </c>
      <c r="G5209" s="3" t="n">
        <f aca="false">SUM($F$2:F5209)</f>
        <v>0.999987</v>
      </c>
      <c r="H5209" s="4"/>
      <c r="I5209" s="5"/>
      <c r="J5209" s="4"/>
      <c r="K5209" s="5"/>
      <c r="L5209" s="6"/>
      <c r="M5209" s="5" t="str">
        <f aca="false">IF(AND(N(K5209)&gt;0,N(L5209)&gt;0),K5209/L5209,"")</f>
        <v/>
      </c>
      <c r="N5209" s="2" t="s">
        <v>34</v>
      </c>
    </row>
    <row r="5210" customFormat="false" ht="15" hidden="false" customHeight="false" outlineLevel="0" collapsed="false">
      <c r="A5210" s="2" t="n">
        <v>5209</v>
      </c>
      <c r="B5210" s="2" t="s">
        <v>10523</v>
      </c>
      <c r="C5210" s="2" t="s">
        <v>10524</v>
      </c>
      <c r="D5210" s="2"/>
      <c r="E5210" s="2" t="s">
        <v>4668</v>
      </c>
      <c r="F5210" s="3" t="n">
        <v>0</v>
      </c>
      <c r="G5210" s="3" t="n">
        <f aca="false">SUM($F$2:F5210)</f>
        <v>0.999987</v>
      </c>
      <c r="H5210" s="4"/>
      <c r="I5210" s="5"/>
      <c r="J5210" s="4"/>
      <c r="K5210" s="5"/>
      <c r="L5210" s="6"/>
      <c r="M5210" s="5" t="str">
        <f aca="false">IF(AND(N(K5210)&gt;0,N(L5210)&gt;0),K5210/L5210,"")</f>
        <v/>
      </c>
      <c r="N5210" s="2" t="s">
        <v>1226</v>
      </c>
    </row>
    <row r="5211" customFormat="false" ht="15" hidden="false" customHeight="false" outlineLevel="0" collapsed="false">
      <c r="A5211" s="2" t="n">
        <v>5210</v>
      </c>
      <c r="B5211" s="2" t="s">
        <v>10525</v>
      </c>
      <c r="C5211" s="2" t="s">
        <v>10526</v>
      </c>
      <c r="D5211" s="2"/>
      <c r="E5211" s="2" t="s">
        <v>289</v>
      </c>
      <c r="F5211" s="3" t="n">
        <v>0</v>
      </c>
      <c r="G5211" s="3" t="n">
        <f aca="false">SUM($F$2:F5211)</f>
        <v>0.999987</v>
      </c>
      <c r="H5211" s="4"/>
      <c r="I5211" s="5"/>
      <c r="J5211" s="4"/>
      <c r="K5211" s="5"/>
      <c r="L5211" s="6"/>
      <c r="M5211" s="5" t="str">
        <f aca="false">IF(AND(N(K5211)&gt;0,N(L5211)&gt;0),K5211/L5211,"")</f>
        <v/>
      </c>
      <c r="N5211" s="2" t="s">
        <v>1226</v>
      </c>
    </row>
    <row r="5212" customFormat="false" ht="15" hidden="false" customHeight="false" outlineLevel="0" collapsed="false">
      <c r="A5212" s="2" t="n">
        <v>5211</v>
      </c>
      <c r="B5212" s="2" t="s">
        <v>10527</v>
      </c>
      <c r="C5212" s="2" t="s">
        <v>10528</v>
      </c>
      <c r="D5212" s="2"/>
      <c r="E5212" s="2" t="s">
        <v>289</v>
      </c>
      <c r="F5212" s="3" t="n">
        <v>0</v>
      </c>
      <c r="G5212" s="3" t="n">
        <f aca="false">SUM($F$2:F5212)</f>
        <v>0.999987</v>
      </c>
      <c r="H5212" s="4"/>
      <c r="I5212" s="5"/>
      <c r="J5212" s="4"/>
      <c r="K5212" s="5"/>
      <c r="L5212" s="6"/>
      <c r="M5212" s="5" t="str">
        <f aca="false">IF(AND(N(K5212)&gt;0,N(L5212)&gt;0),K5212/L5212,"")</f>
        <v/>
      </c>
      <c r="N5212" s="2" t="s">
        <v>1226</v>
      </c>
    </row>
    <row r="5213" customFormat="false" ht="15" hidden="false" customHeight="false" outlineLevel="0" collapsed="false">
      <c r="A5213" s="2" t="n">
        <v>5212</v>
      </c>
      <c r="B5213" s="2" t="s">
        <v>301</v>
      </c>
      <c r="C5213" s="2" t="s">
        <v>10529</v>
      </c>
      <c r="D5213" s="2"/>
      <c r="E5213" s="2" t="s">
        <v>765</v>
      </c>
      <c r="F5213" s="3" t="n">
        <v>0</v>
      </c>
      <c r="G5213" s="3" t="n">
        <f aca="false">SUM($F$2:F5213)</f>
        <v>0.999987</v>
      </c>
      <c r="H5213" s="4"/>
      <c r="I5213" s="5"/>
      <c r="J5213" s="4"/>
      <c r="K5213" s="5"/>
      <c r="L5213" s="6"/>
      <c r="M5213" s="5" t="str">
        <f aca="false">IF(AND(N(K5213)&gt;0,N(L5213)&gt;0),K5213/L5213,"")</f>
        <v/>
      </c>
      <c r="N5213" s="2" t="s">
        <v>34</v>
      </c>
    </row>
    <row r="5214" customFormat="false" ht="15" hidden="false" customHeight="false" outlineLevel="0" collapsed="false">
      <c r="A5214" s="2" t="n">
        <v>5213</v>
      </c>
      <c r="B5214" s="2" t="s">
        <v>10530</v>
      </c>
      <c r="C5214" s="2" t="s">
        <v>10531</v>
      </c>
      <c r="D5214" s="2"/>
      <c r="E5214" s="2" t="s">
        <v>289</v>
      </c>
      <c r="F5214" s="3" t="n">
        <v>0</v>
      </c>
      <c r="G5214" s="3" t="n">
        <f aca="false">SUM($F$2:F5214)</f>
        <v>0.999987</v>
      </c>
      <c r="H5214" s="4"/>
      <c r="I5214" s="5"/>
      <c r="J5214" s="4"/>
      <c r="K5214" s="5"/>
      <c r="L5214" s="6"/>
      <c r="M5214" s="5" t="str">
        <f aca="false">IF(AND(N(K5214)&gt;0,N(L5214)&gt;0),K5214/L5214,"")</f>
        <v/>
      </c>
      <c r="N5214" s="2" t="s">
        <v>1226</v>
      </c>
    </row>
    <row r="5215" customFormat="false" ht="15" hidden="false" customHeight="false" outlineLevel="0" collapsed="false">
      <c r="A5215" s="2" t="n">
        <v>5214</v>
      </c>
      <c r="B5215" s="2" t="s">
        <v>10532</v>
      </c>
      <c r="C5215" s="2" t="s">
        <v>10533</v>
      </c>
      <c r="D5215" s="2"/>
      <c r="E5215" s="2" t="s">
        <v>1050</v>
      </c>
      <c r="F5215" s="3" t="n">
        <v>0</v>
      </c>
      <c r="G5215" s="3" t="n">
        <f aca="false">SUM($F$2:F5215)</f>
        <v>0.999987</v>
      </c>
      <c r="H5215" s="4"/>
      <c r="I5215" s="5"/>
      <c r="J5215" s="4"/>
      <c r="K5215" s="5"/>
      <c r="L5215" s="6"/>
      <c r="M5215" s="5" t="str">
        <f aca="false">IF(AND(N(K5215)&gt;0,N(L5215)&gt;0),K5215/L5215,"")</f>
        <v/>
      </c>
      <c r="N5215" s="2" t="s">
        <v>1226</v>
      </c>
    </row>
    <row r="5216" customFormat="false" ht="15" hidden="false" customHeight="false" outlineLevel="0" collapsed="false">
      <c r="A5216" s="2" t="n">
        <v>5215</v>
      </c>
      <c r="B5216" s="2" t="s">
        <v>301</v>
      </c>
      <c r="C5216" s="2" t="s">
        <v>10534</v>
      </c>
      <c r="D5216" s="2"/>
      <c r="E5216" s="2" t="s">
        <v>43</v>
      </c>
      <c r="F5216" s="3" t="n">
        <v>0</v>
      </c>
      <c r="G5216" s="3" t="n">
        <f aca="false">SUM($F$2:F5216)</f>
        <v>0.999987</v>
      </c>
      <c r="H5216" s="4"/>
      <c r="I5216" s="5"/>
      <c r="J5216" s="4"/>
      <c r="K5216" s="5"/>
      <c r="L5216" s="6"/>
      <c r="M5216" s="5" t="str">
        <f aca="false">IF(AND(N(K5216)&gt;0,N(L5216)&gt;0),K5216/L5216,"")</f>
        <v/>
      </c>
      <c r="N5216" s="2" t="s">
        <v>34</v>
      </c>
    </row>
    <row r="5217" customFormat="false" ht="15" hidden="false" customHeight="false" outlineLevel="0" collapsed="false">
      <c r="A5217" s="2" t="n">
        <v>5216</v>
      </c>
      <c r="B5217" s="2" t="s">
        <v>10535</v>
      </c>
      <c r="C5217" s="2" t="s">
        <v>10536</v>
      </c>
      <c r="D5217" s="2"/>
      <c r="E5217" s="2" t="s">
        <v>289</v>
      </c>
      <c r="F5217" s="3" t="n">
        <v>0</v>
      </c>
      <c r="G5217" s="3" t="n">
        <f aca="false">SUM($F$2:F5217)</f>
        <v>0.999987</v>
      </c>
      <c r="H5217" s="4"/>
      <c r="I5217" s="5"/>
      <c r="J5217" s="4"/>
      <c r="K5217" s="5"/>
      <c r="L5217" s="6"/>
      <c r="M5217" s="5" t="str">
        <f aca="false">IF(AND(N(K5217)&gt;0,N(L5217)&gt;0),K5217/L5217,"")</f>
        <v/>
      </c>
      <c r="N5217" s="2" t="s">
        <v>1226</v>
      </c>
    </row>
    <row r="5218" customFormat="false" ht="15" hidden="false" customHeight="false" outlineLevel="0" collapsed="false">
      <c r="A5218" s="2" t="n">
        <v>5217</v>
      </c>
      <c r="B5218" s="2" t="s">
        <v>10537</v>
      </c>
      <c r="C5218" s="2" t="s">
        <v>10538</v>
      </c>
      <c r="D5218" s="2"/>
      <c r="E5218" s="2" t="s">
        <v>289</v>
      </c>
      <c r="F5218" s="3" t="n">
        <v>0</v>
      </c>
      <c r="G5218" s="3" t="n">
        <f aca="false">SUM($F$2:F5218)</f>
        <v>0.999987</v>
      </c>
      <c r="H5218" s="4"/>
      <c r="I5218" s="5"/>
      <c r="J5218" s="4"/>
      <c r="K5218" s="5"/>
      <c r="L5218" s="6"/>
      <c r="M5218" s="5" t="str">
        <f aca="false">IF(AND(N(K5218)&gt;0,N(L5218)&gt;0),K5218/L5218,"")</f>
        <v/>
      </c>
      <c r="N5218" s="2" t="s">
        <v>1226</v>
      </c>
    </row>
    <row r="5219" customFormat="false" ht="15" hidden="false" customHeight="false" outlineLevel="0" collapsed="false">
      <c r="A5219" s="2" t="n">
        <v>5218</v>
      </c>
      <c r="B5219" s="2" t="s">
        <v>10539</v>
      </c>
      <c r="C5219" s="2" t="s">
        <v>10540</v>
      </c>
      <c r="D5219" s="2"/>
      <c r="E5219" s="2" t="s">
        <v>296</v>
      </c>
      <c r="F5219" s="3" t="n">
        <v>0</v>
      </c>
      <c r="G5219" s="3" t="n">
        <f aca="false">SUM($F$2:F5219)</f>
        <v>0.999987</v>
      </c>
      <c r="H5219" s="4"/>
      <c r="I5219" s="5"/>
      <c r="J5219" s="4"/>
      <c r="K5219" s="5"/>
      <c r="L5219" s="6"/>
      <c r="M5219" s="5" t="str">
        <f aca="false">IF(AND(N(K5219)&gt;0,N(L5219)&gt;0),K5219/L5219,"")</f>
        <v/>
      </c>
      <c r="N5219" s="2" t="s">
        <v>1226</v>
      </c>
    </row>
    <row r="5220" customFormat="false" ht="15" hidden="false" customHeight="false" outlineLevel="0" collapsed="false">
      <c r="A5220" s="2" t="n">
        <v>5219</v>
      </c>
      <c r="B5220" s="2" t="s">
        <v>10541</v>
      </c>
      <c r="C5220" s="2" t="s">
        <v>10542</v>
      </c>
      <c r="D5220" s="2"/>
      <c r="E5220" s="2" t="s">
        <v>289</v>
      </c>
      <c r="F5220" s="3" t="n">
        <v>0</v>
      </c>
      <c r="G5220" s="3" t="n">
        <f aca="false">SUM($F$2:F5220)</f>
        <v>0.999987</v>
      </c>
      <c r="H5220" s="4"/>
      <c r="I5220" s="5"/>
      <c r="J5220" s="4"/>
      <c r="K5220" s="5"/>
      <c r="L5220" s="6"/>
      <c r="M5220" s="5" t="str">
        <f aca="false">IF(AND(N(K5220)&gt;0,N(L5220)&gt;0),K5220/L5220,"")</f>
        <v/>
      </c>
      <c r="N5220" s="2" t="s">
        <v>1226</v>
      </c>
    </row>
    <row r="5221" customFormat="false" ht="15" hidden="false" customHeight="false" outlineLevel="0" collapsed="false">
      <c r="A5221" s="2" t="n">
        <v>5220</v>
      </c>
      <c r="B5221" s="2" t="s">
        <v>10543</v>
      </c>
      <c r="C5221" s="2" t="s">
        <v>10544</v>
      </c>
      <c r="D5221" s="2"/>
      <c r="E5221" s="2" t="s">
        <v>1295</v>
      </c>
      <c r="F5221" s="3" t="n">
        <v>0</v>
      </c>
      <c r="G5221" s="3" t="n">
        <f aca="false">SUM($F$2:F5221)</f>
        <v>0.999987</v>
      </c>
      <c r="H5221" s="4"/>
      <c r="I5221" s="5"/>
      <c r="J5221" s="4"/>
      <c r="K5221" s="5"/>
      <c r="L5221" s="6"/>
      <c r="M5221" s="5" t="str">
        <f aca="false">IF(AND(N(K5221)&gt;0,N(L5221)&gt;0),K5221/L5221,"")</f>
        <v/>
      </c>
      <c r="N5221" s="2" t="s">
        <v>1226</v>
      </c>
    </row>
    <row r="5222" customFormat="false" ht="15" hidden="false" customHeight="false" outlineLevel="0" collapsed="false">
      <c r="A5222" s="2" t="n">
        <v>5221</v>
      </c>
      <c r="B5222" s="2" t="s">
        <v>10545</v>
      </c>
      <c r="C5222" s="2" t="s">
        <v>10546</v>
      </c>
      <c r="D5222" s="2"/>
      <c r="E5222" s="2" t="s">
        <v>296</v>
      </c>
      <c r="F5222" s="3" t="n">
        <v>0</v>
      </c>
      <c r="G5222" s="3" t="n">
        <f aca="false">SUM($F$2:F5222)</f>
        <v>0.999987</v>
      </c>
      <c r="H5222" s="4"/>
      <c r="I5222" s="5"/>
      <c r="J5222" s="4"/>
      <c r="K5222" s="5"/>
      <c r="L5222" s="6"/>
      <c r="M5222" s="5" t="str">
        <f aca="false">IF(AND(N(K5222)&gt;0,N(L5222)&gt;0),K5222/L5222,"")</f>
        <v/>
      </c>
      <c r="N5222" s="2" t="s">
        <v>1226</v>
      </c>
    </row>
    <row r="5223" customFormat="false" ht="15" hidden="false" customHeight="false" outlineLevel="0" collapsed="false">
      <c r="A5223" s="2" t="n">
        <v>5222</v>
      </c>
      <c r="B5223" s="2" t="s">
        <v>10547</v>
      </c>
      <c r="C5223" s="2" t="s">
        <v>10548</v>
      </c>
      <c r="D5223" s="2"/>
      <c r="E5223" s="2" t="s">
        <v>289</v>
      </c>
      <c r="F5223" s="3" t="n">
        <v>0</v>
      </c>
      <c r="G5223" s="3" t="n">
        <f aca="false">SUM($F$2:F5223)</f>
        <v>0.999987</v>
      </c>
      <c r="H5223" s="4"/>
      <c r="I5223" s="5"/>
      <c r="J5223" s="4"/>
      <c r="K5223" s="5"/>
      <c r="L5223" s="6"/>
      <c r="M5223" s="5" t="str">
        <f aca="false">IF(AND(N(K5223)&gt;0,N(L5223)&gt;0),K5223/L5223,"")</f>
        <v/>
      </c>
      <c r="N5223" s="2" t="s">
        <v>1226</v>
      </c>
    </row>
    <row r="5224" customFormat="false" ht="15" hidden="false" customHeight="false" outlineLevel="0" collapsed="false">
      <c r="A5224" s="2" t="n">
        <v>5223</v>
      </c>
      <c r="B5224" s="2" t="s">
        <v>10549</v>
      </c>
      <c r="C5224" s="2" t="s">
        <v>10550</v>
      </c>
      <c r="D5224" s="2"/>
      <c r="E5224" s="2" t="s">
        <v>296</v>
      </c>
      <c r="F5224" s="3" t="n">
        <v>0</v>
      </c>
      <c r="G5224" s="3" t="n">
        <f aca="false">SUM($F$2:F5224)</f>
        <v>0.999987</v>
      </c>
      <c r="H5224" s="4"/>
      <c r="I5224" s="5"/>
      <c r="J5224" s="4"/>
      <c r="K5224" s="5"/>
      <c r="L5224" s="6"/>
      <c r="M5224" s="5" t="str">
        <f aca="false">IF(AND(N(K5224)&gt;0,N(L5224)&gt;0),K5224/L5224,"")</f>
        <v/>
      </c>
      <c r="N5224" s="2" t="s">
        <v>1226</v>
      </c>
    </row>
    <row r="5225" customFormat="false" ht="15" hidden="false" customHeight="false" outlineLevel="0" collapsed="false">
      <c r="A5225" s="2" t="n">
        <v>5224</v>
      </c>
      <c r="B5225" s="2" t="s">
        <v>10551</v>
      </c>
      <c r="C5225" s="2" t="s">
        <v>10552</v>
      </c>
      <c r="D5225" s="2"/>
      <c r="E5225" s="2" t="s">
        <v>1245</v>
      </c>
      <c r="F5225" s="3" t="n">
        <v>0</v>
      </c>
      <c r="G5225" s="3" t="n">
        <f aca="false">SUM($F$2:F5225)</f>
        <v>0.999987</v>
      </c>
      <c r="H5225" s="4"/>
      <c r="I5225" s="5"/>
      <c r="J5225" s="4"/>
      <c r="K5225" s="5"/>
      <c r="L5225" s="6"/>
      <c r="M5225" s="5" t="str">
        <f aca="false">IF(AND(N(K5225)&gt;0,N(L5225)&gt;0),K5225/L5225,"")</f>
        <v/>
      </c>
      <c r="N5225" s="2" t="s">
        <v>1226</v>
      </c>
    </row>
    <row r="5226" customFormat="false" ht="15" hidden="false" customHeight="false" outlineLevel="0" collapsed="false">
      <c r="A5226" s="2" t="n">
        <v>5225</v>
      </c>
      <c r="B5226" s="2" t="s">
        <v>301</v>
      </c>
      <c r="C5226" s="2" t="s">
        <v>10553</v>
      </c>
      <c r="D5226" s="2"/>
      <c r="E5226" s="2" t="s">
        <v>765</v>
      </c>
      <c r="F5226" s="3" t="n">
        <v>0</v>
      </c>
      <c r="G5226" s="3" t="n">
        <f aca="false">SUM($F$2:F5226)</f>
        <v>0.999987</v>
      </c>
      <c r="H5226" s="4"/>
      <c r="I5226" s="5"/>
      <c r="J5226" s="4"/>
      <c r="K5226" s="5"/>
      <c r="L5226" s="6"/>
      <c r="M5226" s="5" t="str">
        <f aca="false">IF(AND(N(K5226)&gt;0,N(L5226)&gt;0),K5226/L5226,"")</f>
        <v/>
      </c>
      <c r="N5226" s="2" t="s">
        <v>34</v>
      </c>
    </row>
    <row r="5227" customFormat="false" ht="15" hidden="false" customHeight="false" outlineLevel="0" collapsed="false">
      <c r="A5227" s="2" t="n">
        <v>5226</v>
      </c>
      <c r="B5227" s="2" t="s">
        <v>10554</v>
      </c>
      <c r="C5227" s="2" t="s">
        <v>10555</v>
      </c>
      <c r="D5227" s="2"/>
      <c r="E5227" s="2" t="s">
        <v>296</v>
      </c>
      <c r="F5227" s="3" t="n">
        <v>0</v>
      </c>
      <c r="G5227" s="3" t="n">
        <f aca="false">SUM($F$2:F5227)</f>
        <v>0.999987</v>
      </c>
      <c r="H5227" s="4"/>
      <c r="I5227" s="5"/>
      <c r="J5227" s="4"/>
      <c r="K5227" s="5"/>
      <c r="L5227" s="6"/>
      <c r="M5227" s="5" t="str">
        <f aca="false">IF(AND(N(K5227)&gt;0,N(L5227)&gt;0),K5227/L5227,"")</f>
        <v/>
      </c>
      <c r="N5227" s="2" t="s">
        <v>1226</v>
      </c>
    </row>
    <row r="5228" customFormat="false" ht="15" hidden="false" customHeight="false" outlineLevel="0" collapsed="false">
      <c r="A5228" s="2" t="n">
        <v>5227</v>
      </c>
      <c r="B5228" s="2" t="s">
        <v>10556</v>
      </c>
      <c r="C5228" s="2" t="s">
        <v>10557</v>
      </c>
      <c r="D5228" s="2"/>
      <c r="E5228" s="2" t="s">
        <v>1345</v>
      </c>
      <c r="F5228" s="3" t="n">
        <v>0</v>
      </c>
      <c r="G5228" s="3" t="n">
        <f aca="false">SUM($F$2:F5228)</f>
        <v>0.999987</v>
      </c>
      <c r="H5228" s="4"/>
      <c r="I5228" s="5"/>
      <c r="J5228" s="4"/>
      <c r="K5228" s="5"/>
      <c r="L5228" s="6"/>
      <c r="M5228" s="5" t="str">
        <f aca="false">IF(AND(N(K5228)&gt;0,N(L5228)&gt;0),K5228/L5228,"")</f>
        <v/>
      </c>
      <c r="N5228" s="2" t="s">
        <v>1226</v>
      </c>
    </row>
    <row r="5229" customFormat="false" ht="15" hidden="false" customHeight="false" outlineLevel="0" collapsed="false">
      <c r="A5229" s="2" t="n">
        <v>5228</v>
      </c>
      <c r="B5229" s="2" t="s">
        <v>10558</v>
      </c>
      <c r="C5229" s="2" t="s">
        <v>10559</v>
      </c>
      <c r="D5229" s="2"/>
      <c r="E5229" s="2" t="s">
        <v>17</v>
      </c>
      <c r="F5229" s="3" t="n">
        <v>0</v>
      </c>
      <c r="G5229" s="3" t="n">
        <f aca="false">SUM($F$2:F5229)</f>
        <v>0.999987</v>
      </c>
      <c r="H5229" s="4"/>
      <c r="I5229" s="5"/>
      <c r="J5229" s="4"/>
      <c r="K5229" s="5"/>
      <c r="L5229" s="6"/>
      <c r="M5229" s="5" t="str">
        <f aca="false">IF(AND(N(K5229)&gt;0,N(L5229)&gt;0),K5229/L5229,"")</f>
        <v/>
      </c>
      <c r="N5229" s="2" t="s">
        <v>1226</v>
      </c>
    </row>
    <row r="5230" customFormat="false" ht="15" hidden="false" customHeight="false" outlineLevel="0" collapsed="false">
      <c r="A5230" s="2" t="n">
        <v>5229</v>
      </c>
      <c r="B5230" s="2" t="s">
        <v>5651</v>
      </c>
      <c r="C5230" s="2" t="s">
        <v>10560</v>
      </c>
      <c r="D5230" s="2"/>
      <c r="E5230" s="2" t="s">
        <v>17</v>
      </c>
      <c r="F5230" s="3" t="n">
        <v>0</v>
      </c>
      <c r="G5230" s="3" t="n">
        <f aca="false">SUM($F$2:F5230)</f>
        <v>0.999987</v>
      </c>
      <c r="H5230" s="4"/>
      <c r="I5230" s="5"/>
      <c r="J5230" s="4"/>
      <c r="K5230" s="5"/>
      <c r="L5230" s="6"/>
      <c r="M5230" s="5" t="str">
        <f aca="false">IF(AND(N(K5230)&gt;0,N(L5230)&gt;0),K5230/L5230,"")</f>
        <v/>
      </c>
      <c r="N5230" s="2" t="s">
        <v>1226</v>
      </c>
    </row>
    <row r="5231" customFormat="false" ht="15" hidden="false" customHeight="false" outlineLevel="0" collapsed="false">
      <c r="A5231" s="2" t="n">
        <v>5230</v>
      </c>
      <c r="B5231" s="2" t="s">
        <v>10561</v>
      </c>
      <c r="C5231" s="2" t="s">
        <v>10562</v>
      </c>
      <c r="D5231" s="2"/>
      <c r="E5231" s="2" t="s">
        <v>17</v>
      </c>
      <c r="F5231" s="3" t="n">
        <v>0</v>
      </c>
      <c r="G5231" s="3" t="n">
        <f aca="false">SUM($F$2:F5231)</f>
        <v>0.999987</v>
      </c>
      <c r="H5231" s="4"/>
      <c r="I5231" s="5"/>
      <c r="J5231" s="4"/>
      <c r="K5231" s="5"/>
      <c r="L5231" s="6"/>
      <c r="M5231" s="5" t="str">
        <f aca="false">IF(AND(N(K5231)&gt;0,N(L5231)&gt;0),K5231/L5231,"")</f>
        <v/>
      </c>
      <c r="N5231" s="2" t="s">
        <v>1226</v>
      </c>
    </row>
    <row r="5232" customFormat="false" ht="15" hidden="false" customHeight="false" outlineLevel="0" collapsed="false">
      <c r="A5232" s="2" t="n">
        <v>5231</v>
      </c>
      <c r="B5232" s="2" t="s">
        <v>10563</v>
      </c>
      <c r="C5232" s="2" t="s">
        <v>10564</v>
      </c>
      <c r="D5232" s="2"/>
      <c r="E5232" s="2" t="s">
        <v>289</v>
      </c>
      <c r="F5232" s="3" t="n">
        <v>0</v>
      </c>
      <c r="G5232" s="3" t="n">
        <f aca="false">SUM($F$2:F5232)</f>
        <v>0.999987</v>
      </c>
      <c r="H5232" s="4"/>
      <c r="I5232" s="5"/>
      <c r="J5232" s="4"/>
      <c r="K5232" s="5"/>
      <c r="L5232" s="6"/>
      <c r="M5232" s="5" t="str">
        <f aca="false">IF(AND(N(K5232)&gt;0,N(L5232)&gt;0),K5232/L5232,"")</f>
        <v/>
      </c>
      <c r="N5232" s="2" t="s">
        <v>1226</v>
      </c>
    </row>
    <row r="5233" customFormat="false" ht="15" hidden="false" customHeight="false" outlineLevel="0" collapsed="false">
      <c r="A5233" s="2" t="n">
        <v>5232</v>
      </c>
      <c r="B5233" s="2" t="s">
        <v>10565</v>
      </c>
      <c r="C5233" s="2" t="s">
        <v>10566</v>
      </c>
      <c r="D5233" s="2"/>
      <c r="E5233" s="2" t="s">
        <v>296</v>
      </c>
      <c r="F5233" s="3" t="n">
        <v>0</v>
      </c>
      <c r="G5233" s="3" t="n">
        <f aca="false">SUM($F$2:F5233)</f>
        <v>0.999987</v>
      </c>
      <c r="H5233" s="4"/>
      <c r="I5233" s="5"/>
      <c r="J5233" s="4"/>
      <c r="K5233" s="5"/>
      <c r="L5233" s="6"/>
      <c r="M5233" s="5" t="str">
        <f aca="false">IF(AND(N(K5233)&gt;0,N(L5233)&gt;0),K5233/L5233,"")</f>
        <v/>
      </c>
      <c r="N5233" s="2" t="s">
        <v>1226</v>
      </c>
    </row>
    <row r="5234" customFormat="false" ht="15" hidden="false" customHeight="false" outlineLevel="0" collapsed="false">
      <c r="A5234" s="2" t="n">
        <v>5233</v>
      </c>
      <c r="B5234" s="2" t="s">
        <v>10567</v>
      </c>
      <c r="C5234" s="2" t="s">
        <v>10568</v>
      </c>
      <c r="D5234" s="2"/>
      <c r="E5234" s="2" t="s">
        <v>296</v>
      </c>
      <c r="F5234" s="3" t="n">
        <v>0</v>
      </c>
      <c r="G5234" s="3" t="n">
        <f aca="false">SUM($F$2:F5234)</f>
        <v>0.999987</v>
      </c>
      <c r="H5234" s="4"/>
      <c r="I5234" s="5"/>
      <c r="J5234" s="4"/>
      <c r="K5234" s="5"/>
      <c r="L5234" s="6"/>
      <c r="M5234" s="5" t="str">
        <f aca="false">IF(AND(N(K5234)&gt;0,N(L5234)&gt;0),K5234/L5234,"")</f>
        <v/>
      </c>
      <c r="N5234" s="2" t="s">
        <v>1226</v>
      </c>
    </row>
    <row r="5235" customFormat="false" ht="15" hidden="false" customHeight="false" outlineLevel="0" collapsed="false">
      <c r="A5235" s="2" t="n">
        <v>5234</v>
      </c>
      <c r="B5235" s="2" t="s">
        <v>10569</v>
      </c>
      <c r="C5235" s="2" t="s">
        <v>10570</v>
      </c>
      <c r="D5235" s="2"/>
      <c r="E5235" s="2" t="s">
        <v>289</v>
      </c>
      <c r="F5235" s="3" t="n">
        <v>0</v>
      </c>
      <c r="G5235" s="3" t="n">
        <f aca="false">SUM($F$2:F5235)</f>
        <v>0.999987</v>
      </c>
      <c r="H5235" s="4"/>
      <c r="I5235" s="5"/>
      <c r="J5235" s="4"/>
      <c r="K5235" s="5"/>
      <c r="L5235" s="6"/>
      <c r="M5235" s="5" t="str">
        <f aca="false">IF(AND(N(K5235)&gt;0,N(L5235)&gt;0),K5235/L5235,"")</f>
        <v/>
      </c>
      <c r="N5235" s="2" t="s">
        <v>1226</v>
      </c>
    </row>
    <row r="5236" customFormat="false" ht="15" hidden="false" customHeight="false" outlineLevel="0" collapsed="false">
      <c r="A5236" s="2" t="n">
        <v>5235</v>
      </c>
      <c r="B5236" s="2" t="s">
        <v>10571</v>
      </c>
      <c r="C5236" s="2" t="s">
        <v>10572</v>
      </c>
      <c r="D5236" s="2"/>
      <c r="E5236" s="2" t="s">
        <v>296</v>
      </c>
      <c r="F5236" s="3" t="n">
        <v>0</v>
      </c>
      <c r="G5236" s="3" t="n">
        <f aca="false">SUM($F$2:F5236)</f>
        <v>0.999987</v>
      </c>
      <c r="H5236" s="4"/>
      <c r="I5236" s="5"/>
      <c r="J5236" s="4"/>
      <c r="K5236" s="5"/>
      <c r="L5236" s="6"/>
      <c r="M5236" s="5" t="str">
        <f aca="false">IF(AND(N(K5236)&gt;0,N(L5236)&gt;0),K5236/L5236,"")</f>
        <v/>
      </c>
      <c r="N5236" s="2" t="s">
        <v>1226</v>
      </c>
    </row>
    <row r="5237" customFormat="false" ht="15" hidden="false" customHeight="false" outlineLevel="0" collapsed="false">
      <c r="A5237" s="2" t="n">
        <v>5236</v>
      </c>
      <c r="B5237" s="2" t="s">
        <v>10573</v>
      </c>
      <c r="C5237" s="2" t="s">
        <v>10574</v>
      </c>
      <c r="D5237" s="2"/>
      <c r="E5237" s="2" t="s">
        <v>700</v>
      </c>
      <c r="F5237" s="3" t="n">
        <v>0</v>
      </c>
      <c r="G5237" s="3" t="n">
        <f aca="false">SUM($F$2:F5237)</f>
        <v>0.999987</v>
      </c>
      <c r="H5237" s="4"/>
      <c r="I5237" s="5"/>
      <c r="J5237" s="4"/>
      <c r="K5237" s="5"/>
      <c r="L5237" s="6"/>
      <c r="M5237" s="5" t="str">
        <f aca="false">IF(AND(N(K5237)&gt;0,N(L5237)&gt;0),K5237/L5237,"")</f>
        <v/>
      </c>
      <c r="N5237" s="2" t="s">
        <v>1226</v>
      </c>
    </row>
    <row r="5238" customFormat="false" ht="15" hidden="false" customHeight="false" outlineLevel="0" collapsed="false">
      <c r="A5238" s="2" t="n">
        <v>5237</v>
      </c>
      <c r="B5238" s="2" t="s">
        <v>10575</v>
      </c>
      <c r="C5238" s="2" t="s">
        <v>10576</v>
      </c>
      <c r="D5238" s="2"/>
      <c r="E5238" s="2" t="s">
        <v>296</v>
      </c>
      <c r="F5238" s="3" t="n">
        <v>0</v>
      </c>
      <c r="G5238" s="3" t="n">
        <f aca="false">SUM($F$2:F5238)</f>
        <v>0.999987</v>
      </c>
      <c r="H5238" s="4"/>
      <c r="I5238" s="5"/>
      <c r="J5238" s="4"/>
      <c r="K5238" s="5"/>
      <c r="L5238" s="6"/>
      <c r="M5238" s="5" t="str">
        <f aca="false">IF(AND(N(K5238)&gt;0,N(L5238)&gt;0),K5238/L5238,"")</f>
        <v/>
      </c>
      <c r="N5238" s="2" t="s">
        <v>1226</v>
      </c>
    </row>
    <row r="5239" customFormat="false" ht="15" hidden="false" customHeight="false" outlineLevel="0" collapsed="false">
      <c r="A5239" s="2" t="n">
        <v>5238</v>
      </c>
      <c r="B5239" s="2" t="s">
        <v>10577</v>
      </c>
      <c r="C5239" s="2" t="s">
        <v>10578</v>
      </c>
      <c r="D5239" s="2"/>
      <c r="E5239" s="2" t="s">
        <v>1284</v>
      </c>
      <c r="F5239" s="3" t="n">
        <v>0</v>
      </c>
      <c r="G5239" s="3" t="n">
        <f aca="false">SUM($F$2:F5239)</f>
        <v>0.999987</v>
      </c>
      <c r="H5239" s="4"/>
      <c r="I5239" s="5"/>
      <c r="J5239" s="4"/>
      <c r="K5239" s="5"/>
      <c r="L5239" s="6"/>
      <c r="M5239" s="5" t="str">
        <f aca="false">IF(AND(N(K5239)&gt;0,N(L5239)&gt;0),K5239/L5239,"")</f>
        <v/>
      </c>
      <c r="N5239" s="2" t="s">
        <v>1226</v>
      </c>
    </row>
    <row r="5240" customFormat="false" ht="15" hidden="false" customHeight="false" outlineLevel="0" collapsed="false">
      <c r="A5240" s="2" t="n">
        <v>5239</v>
      </c>
      <c r="B5240" s="2" t="s">
        <v>10579</v>
      </c>
      <c r="C5240" s="2" t="s">
        <v>10580</v>
      </c>
      <c r="D5240" s="2"/>
      <c r="E5240" s="2" t="s">
        <v>296</v>
      </c>
      <c r="F5240" s="3" t="n">
        <v>0</v>
      </c>
      <c r="G5240" s="3" t="n">
        <f aca="false">SUM($F$2:F5240)</f>
        <v>0.999987</v>
      </c>
      <c r="H5240" s="4"/>
      <c r="I5240" s="5"/>
      <c r="J5240" s="4"/>
      <c r="K5240" s="5"/>
      <c r="L5240" s="6"/>
      <c r="M5240" s="5" t="str">
        <f aca="false">IF(AND(N(K5240)&gt;0,N(L5240)&gt;0),K5240/L5240,"")</f>
        <v/>
      </c>
      <c r="N5240" s="2" t="s">
        <v>1226</v>
      </c>
    </row>
    <row r="5241" customFormat="false" ht="15" hidden="false" customHeight="false" outlineLevel="0" collapsed="false">
      <c r="A5241" s="2" t="n">
        <v>5240</v>
      </c>
      <c r="B5241" s="2" t="s">
        <v>10581</v>
      </c>
      <c r="C5241" s="2" t="s">
        <v>10582</v>
      </c>
      <c r="D5241" s="2"/>
      <c r="E5241" s="2" t="s">
        <v>17</v>
      </c>
      <c r="F5241" s="3" t="n">
        <v>0</v>
      </c>
      <c r="G5241" s="3" t="n">
        <f aca="false">SUM($F$2:F5241)</f>
        <v>0.999987</v>
      </c>
      <c r="H5241" s="4"/>
      <c r="I5241" s="5"/>
      <c r="J5241" s="4"/>
      <c r="K5241" s="5"/>
      <c r="L5241" s="6"/>
      <c r="M5241" s="5" t="str">
        <f aca="false">IF(AND(N(K5241)&gt;0,N(L5241)&gt;0),K5241/L5241,"")</f>
        <v/>
      </c>
      <c r="N5241" s="2" t="s">
        <v>1226</v>
      </c>
    </row>
    <row r="5242" customFormat="false" ht="15" hidden="false" customHeight="false" outlineLevel="0" collapsed="false">
      <c r="A5242" s="2" t="n">
        <v>5241</v>
      </c>
      <c r="B5242" s="2" t="s">
        <v>591</v>
      </c>
      <c r="C5242" s="2" t="s">
        <v>10583</v>
      </c>
      <c r="D5242" s="2"/>
      <c r="E5242" s="2" t="s">
        <v>17</v>
      </c>
      <c r="F5242" s="3" t="n">
        <v>0</v>
      </c>
      <c r="G5242" s="3" t="n">
        <f aca="false">SUM($F$2:F5242)</f>
        <v>0.999987</v>
      </c>
      <c r="H5242" s="4"/>
      <c r="I5242" s="5"/>
      <c r="J5242" s="4"/>
      <c r="K5242" s="5"/>
      <c r="L5242" s="6"/>
      <c r="M5242" s="5" t="str">
        <f aca="false">IF(AND(N(K5242)&gt;0,N(L5242)&gt;0),K5242/L5242,"")</f>
        <v/>
      </c>
      <c r="N5242" s="2" t="s">
        <v>1226</v>
      </c>
    </row>
    <row r="5243" customFormat="false" ht="15" hidden="false" customHeight="false" outlineLevel="0" collapsed="false">
      <c r="A5243" s="2" t="n">
        <v>5242</v>
      </c>
      <c r="B5243" s="2" t="s">
        <v>10584</v>
      </c>
      <c r="C5243" s="2" t="s">
        <v>10585</v>
      </c>
      <c r="D5243" s="2"/>
      <c r="E5243" s="2" t="s">
        <v>700</v>
      </c>
      <c r="F5243" s="3" t="n">
        <v>0</v>
      </c>
      <c r="G5243" s="3" t="n">
        <f aca="false">SUM($F$2:F5243)</f>
        <v>0.999987</v>
      </c>
      <c r="H5243" s="4"/>
      <c r="I5243" s="5"/>
      <c r="J5243" s="4"/>
      <c r="K5243" s="5"/>
      <c r="L5243" s="6"/>
      <c r="M5243" s="5" t="str">
        <f aca="false">IF(AND(N(K5243)&gt;0,N(L5243)&gt;0),K5243/L5243,"")</f>
        <v/>
      </c>
      <c r="N5243" s="2" t="s">
        <v>1226</v>
      </c>
    </row>
    <row r="5244" customFormat="false" ht="15" hidden="false" customHeight="false" outlineLevel="0" collapsed="false">
      <c r="A5244" s="2" t="n">
        <v>5243</v>
      </c>
      <c r="B5244" s="2" t="s">
        <v>10586</v>
      </c>
      <c r="C5244" s="2" t="s">
        <v>10587</v>
      </c>
      <c r="D5244" s="2"/>
      <c r="E5244" s="2" t="s">
        <v>17</v>
      </c>
      <c r="F5244" s="3" t="n">
        <v>0</v>
      </c>
      <c r="G5244" s="3" t="n">
        <f aca="false">SUM($F$2:F5244)</f>
        <v>0.999987</v>
      </c>
      <c r="H5244" s="4"/>
      <c r="I5244" s="5"/>
      <c r="J5244" s="4"/>
      <c r="K5244" s="5"/>
      <c r="L5244" s="6"/>
      <c r="M5244" s="5" t="str">
        <f aca="false">IF(AND(N(K5244)&gt;0,N(L5244)&gt;0),K5244/L5244,"")</f>
        <v/>
      </c>
      <c r="N5244" s="2" t="s">
        <v>1226</v>
      </c>
    </row>
    <row r="5245" customFormat="false" ht="15" hidden="false" customHeight="false" outlineLevel="0" collapsed="false">
      <c r="A5245" s="2" t="n">
        <v>5244</v>
      </c>
      <c r="B5245" s="2" t="s">
        <v>301</v>
      </c>
      <c r="C5245" s="2" t="s">
        <v>10588</v>
      </c>
      <c r="D5245" s="2"/>
      <c r="E5245" s="2" t="s">
        <v>43</v>
      </c>
      <c r="F5245" s="3" t="n">
        <v>0</v>
      </c>
      <c r="G5245" s="3" t="n">
        <f aca="false">SUM($F$2:F5245)</f>
        <v>0.999987</v>
      </c>
      <c r="H5245" s="4"/>
      <c r="I5245" s="5"/>
      <c r="J5245" s="4"/>
      <c r="K5245" s="5"/>
      <c r="L5245" s="6"/>
      <c r="M5245" s="5" t="str">
        <f aca="false">IF(AND(N(K5245)&gt;0,N(L5245)&gt;0),K5245/L5245,"")</f>
        <v/>
      </c>
      <c r="N5245" s="2" t="s">
        <v>34</v>
      </c>
    </row>
    <row r="5246" customFormat="false" ht="15" hidden="false" customHeight="false" outlineLevel="0" collapsed="false">
      <c r="A5246" s="2" t="n">
        <v>5245</v>
      </c>
      <c r="B5246" s="2" t="s">
        <v>301</v>
      </c>
      <c r="C5246" s="2" t="s">
        <v>10589</v>
      </c>
      <c r="D5246" s="2"/>
      <c r="E5246" s="2" t="s">
        <v>43</v>
      </c>
      <c r="F5246" s="3" t="n">
        <v>0</v>
      </c>
      <c r="G5246" s="3" t="n">
        <f aca="false">SUM($F$2:F5246)</f>
        <v>0.999987</v>
      </c>
      <c r="H5246" s="4"/>
      <c r="I5246" s="5"/>
      <c r="J5246" s="4"/>
      <c r="K5246" s="5"/>
      <c r="L5246" s="6"/>
      <c r="M5246" s="5" t="str">
        <f aca="false">IF(AND(N(K5246)&gt;0,N(L5246)&gt;0),K5246/L5246,"")</f>
        <v/>
      </c>
      <c r="N5246" s="2" t="s">
        <v>34</v>
      </c>
    </row>
    <row r="5247" customFormat="false" ht="15" hidden="false" customHeight="false" outlineLevel="0" collapsed="false">
      <c r="A5247" s="2" t="n">
        <v>5246</v>
      </c>
      <c r="B5247" s="2" t="s">
        <v>301</v>
      </c>
      <c r="C5247" s="2" t="s">
        <v>10590</v>
      </c>
      <c r="D5247" s="2"/>
      <c r="E5247" s="2" t="s">
        <v>43</v>
      </c>
      <c r="F5247" s="3" t="n">
        <v>0</v>
      </c>
      <c r="G5247" s="3" t="n">
        <f aca="false">SUM($F$2:F5247)</f>
        <v>0.999987</v>
      </c>
      <c r="H5247" s="4"/>
      <c r="I5247" s="5"/>
      <c r="J5247" s="4"/>
      <c r="K5247" s="5"/>
      <c r="L5247" s="6"/>
      <c r="M5247" s="5" t="str">
        <f aca="false">IF(AND(N(K5247)&gt;0,N(L5247)&gt;0),K5247/L5247,"")</f>
        <v/>
      </c>
      <c r="N5247" s="2" t="s">
        <v>34</v>
      </c>
    </row>
    <row r="5248" customFormat="false" ht="15" hidden="false" customHeight="false" outlineLevel="0" collapsed="false">
      <c r="A5248" s="2" t="n">
        <v>5247</v>
      </c>
      <c r="B5248" s="2" t="s">
        <v>301</v>
      </c>
      <c r="C5248" s="2" t="s">
        <v>10591</v>
      </c>
      <c r="D5248" s="2"/>
      <c r="E5248" s="2" t="s">
        <v>43</v>
      </c>
      <c r="F5248" s="3" t="n">
        <v>0</v>
      </c>
      <c r="G5248" s="3" t="n">
        <f aca="false">SUM($F$2:F5248)</f>
        <v>0.999987</v>
      </c>
      <c r="H5248" s="4"/>
      <c r="I5248" s="5"/>
      <c r="J5248" s="4"/>
      <c r="K5248" s="5"/>
      <c r="L5248" s="6"/>
      <c r="M5248" s="5" t="str">
        <f aca="false">IF(AND(N(K5248)&gt;0,N(L5248)&gt;0),K5248/L5248,"")</f>
        <v/>
      </c>
      <c r="N5248" s="2" t="s">
        <v>34</v>
      </c>
    </row>
    <row r="5249" customFormat="false" ht="15" hidden="false" customHeight="false" outlineLevel="0" collapsed="false">
      <c r="A5249" s="2" t="n">
        <v>5248</v>
      </c>
      <c r="B5249" s="2" t="s">
        <v>301</v>
      </c>
      <c r="C5249" s="2" t="s">
        <v>10592</v>
      </c>
      <c r="D5249" s="2"/>
      <c r="E5249" s="2" t="s">
        <v>43</v>
      </c>
      <c r="F5249" s="3" t="n">
        <v>0</v>
      </c>
      <c r="G5249" s="3" t="n">
        <f aca="false">SUM($F$2:F5249)</f>
        <v>0.999987</v>
      </c>
      <c r="H5249" s="4"/>
      <c r="I5249" s="5"/>
      <c r="J5249" s="4"/>
      <c r="K5249" s="5"/>
      <c r="L5249" s="6"/>
      <c r="M5249" s="5" t="str">
        <f aca="false">IF(AND(N(K5249)&gt;0,N(L5249)&gt;0),K5249/L5249,"")</f>
        <v/>
      </c>
      <c r="N5249" s="2" t="s">
        <v>34</v>
      </c>
    </row>
    <row r="5250" customFormat="false" ht="15" hidden="false" customHeight="false" outlineLevel="0" collapsed="false">
      <c r="A5250" s="2" t="n">
        <v>5249</v>
      </c>
      <c r="B5250" s="2" t="s">
        <v>301</v>
      </c>
      <c r="C5250" s="2" t="s">
        <v>10593</v>
      </c>
      <c r="D5250" s="2"/>
      <c r="E5250" s="2" t="s">
        <v>43</v>
      </c>
      <c r="F5250" s="3" t="n">
        <v>0</v>
      </c>
      <c r="G5250" s="3" t="n">
        <f aca="false">SUM($F$2:F5250)</f>
        <v>0.999987</v>
      </c>
      <c r="H5250" s="4"/>
      <c r="I5250" s="5"/>
      <c r="J5250" s="4"/>
      <c r="K5250" s="5"/>
      <c r="L5250" s="6"/>
      <c r="M5250" s="5" t="str">
        <f aca="false">IF(AND(N(K5250)&gt;0,N(L5250)&gt;0),K5250/L5250,"")</f>
        <v/>
      </c>
      <c r="N5250" s="2" t="s">
        <v>34</v>
      </c>
    </row>
    <row r="5251" customFormat="false" ht="15" hidden="false" customHeight="false" outlineLevel="0" collapsed="false">
      <c r="A5251" s="2" t="n">
        <v>5250</v>
      </c>
      <c r="B5251" s="2" t="s">
        <v>301</v>
      </c>
      <c r="C5251" s="2" t="s">
        <v>10594</v>
      </c>
      <c r="D5251" s="2"/>
      <c r="E5251" s="2" t="s">
        <v>43</v>
      </c>
      <c r="F5251" s="3" t="n">
        <v>0</v>
      </c>
      <c r="G5251" s="3" t="n">
        <f aca="false">SUM($F$2:F5251)</f>
        <v>0.999987</v>
      </c>
      <c r="H5251" s="4"/>
      <c r="I5251" s="5"/>
      <c r="J5251" s="4"/>
      <c r="K5251" s="5"/>
      <c r="L5251" s="6"/>
      <c r="M5251" s="5" t="str">
        <f aca="false">IF(AND(N(K5251)&gt;0,N(L5251)&gt;0),K5251/L5251,"")</f>
        <v/>
      </c>
      <c r="N5251" s="2" t="s">
        <v>34</v>
      </c>
    </row>
    <row r="5252" customFormat="false" ht="15" hidden="false" customHeight="false" outlineLevel="0" collapsed="false">
      <c r="A5252" s="2" t="n">
        <v>5251</v>
      </c>
      <c r="B5252" s="2" t="s">
        <v>301</v>
      </c>
      <c r="C5252" s="2" t="s">
        <v>10595</v>
      </c>
      <c r="D5252" s="2"/>
      <c r="E5252" s="2" t="s">
        <v>43</v>
      </c>
      <c r="F5252" s="3" t="n">
        <v>0</v>
      </c>
      <c r="G5252" s="3" t="n">
        <f aca="false">SUM($F$2:F5252)</f>
        <v>0.999987</v>
      </c>
      <c r="H5252" s="4"/>
      <c r="I5252" s="5"/>
      <c r="J5252" s="4"/>
      <c r="K5252" s="5"/>
      <c r="L5252" s="6"/>
      <c r="M5252" s="5" t="str">
        <f aca="false">IF(AND(N(K5252)&gt;0,N(L5252)&gt;0),K5252/L5252,"")</f>
        <v/>
      </c>
      <c r="N5252" s="2" t="s">
        <v>34</v>
      </c>
    </row>
    <row r="5253" customFormat="false" ht="15" hidden="false" customHeight="false" outlineLevel="0" collapsed="false">
      <c r="A5253" s="2" t="n">
        <v>5252</v>
      </c>
      <c r="B5253" s="2" t="s">
        <v>301</v>
      </c>
      <c r="C5253" s="2" t="s">
        <v>10596</v>
      </c>
      <c r="D5253" s="2"/>
      <c r="E5253" s="2" t="s">
        <v>43</v>
      </c>
      <c r="F5253" s="3" t="n">
        <v>0</v>
      </c>
      <c r="G5253" s="3" t="n">
        <f aca="false">SUM($F$2:F5253)</f>
        <v>0.999987</v>
      </c>
      <c r="H5253" s="4"/>
      <c r="I5253" s="5"/>
      <c r="J5253" s="4"/>
      <c r="K5253" s="5"/>
      <c r="L5253" s="6"/>
      <c r="M5253" s="5" t="str">
        <f aca="false">IF(AND(N(K5253)&gt;0,N(L5253)&gt;0),K5253/L5253,"")</f>
        <v/>
      </c>
      <c r="N5253" s="2" t="s">
        <v>34</v>
      </c>
    </row>
    <row r="5254" customFormat="false" ht="15" hidden="false" customHeight="false" outlineLevel="0" collapsed="false">
      <c r="A5254" s="2" t="n">
        <v>5253</v>
      </c>
      <c r="B5254" s="2" t="s">
        <v>301</v>
      </c>
      <c r="C5254" s="2" t="s">
        <v>10597</v>
      </c>
      <c r="D5254" s="2"/>
      <c r="E5254" s="2" t="s">
        <v>43</v>
      </c>
      <c r="F5254" s="3" t="n">
        <v>0</v>
      </c>
      <c r="G5254" s="3" t="n">
        <f aca="false">SUM($F$2:F5254)</f>
        <v>0.999987</v>
      </c>
      <c r="H5254" s="4"/>
      <c r="I5254" s="5"/>
      <c r="J5254" s="4"/>
      <c r="K5254" s="5"/>
      <c r="L5254" s="6"/>
      <c r="M5254" s="5" t="str">
        <f aca="false">IF(AND(N(K5254)&gt;0,N(L5254)&gt;0),K5254/L5254,"")</f>
        <v/>
      </c>
      <c r="N5254" s="2" t="s">
        <v>34</v>
      </c>
    </row>
    <row r="5255" customFormat="false" ht="15" hidden="false" customHeight="false" outlineLevel="0" collapsed="false">
      <c r="A5255" s="2" t="n">
        <v>5254</v>
      </c>
      <c r="B5255" s="2" t="s">
        <v>301</v>
      </c>
      <c r="C5255" s="2" t="s">
        <v>10598</v>
      </c>
      <c r="D5255" s="2"/>
      <c r="E5255" s="2" t="s">
        <v>43</v>
      </c>
      <c r="F5255" s="3" t="n">
        <v>0</v>
      </c>
      <c r="G5255" s="3" t="n">
        <f aca="false">SUM($F$2:F5255)</f>
        <v>0.999987</v>
      </c>
      <c r="H5255" s="4"/>
      <c r="I5255" s="5"/>
      <c r="J5255" s="4"/>
      <c r="K5255" s="5"/>
      <c r="L5255" s="6"/>
      <c r="M5255" s="5" t="str">
        <f aca="false">IF(AND(N(K5255)&gt;0,N(L5255)&gt;0),K5255/L5255,"")</f>
        <v/>
      </c>
      <c r="N5255" s="2" t="s">
        <v>34</v>
      </c>
    </row>
    <row r="5256" customFormat="false" ht="15" hidden="false" customHeight="false" outlineLevel="0" collapsed="false">
      <c r="A5256" s="2" t="n">
        <v>5255</v>
      </c>
      <c r="B5256" s="2" t="s">
        <v>301</v>
      </c>
      <c r="C5256" s="2" t="s">
        <v>10599</v>
      </c>
      <c r="D5256" s="2"/>
      <c r="E5256" s="2" t="s">
        <v>43</v>
      </c>
      <c r="F5256" s="3" t="n">
        <v>0</v>
      </c>
      <c r="G5256" s="3" t="n">
        <f aca="false">SUM($F$2:F5256)</f>
        <v>0.999987</v>
      </c>
      <c r="H5256" s="4"/>
      <c r="I5256" s="5"/>
      <c r="J5256" s="4"/>
      <c r="K5256" s="5"/>
      <c r="L5256" s="6"/>
      <c r="M5256" s="5" t="str">
        <f aca="false">IF(AND(N(K5256)&gt;0,N(L5256)&gt;0),K5256/L5256,"")</f>
        <v/>
      </c>
      <c r="N5256" s="2" t="s">
        <v>34</v>
      </c>
    </row>
    <row r="5257" customFormat="false" ht="15" hidden="false" customHeight="false" outlineLevel="0" collapsed="false">
      <c r="A5257" s="2" t="n">
        <v>5256</v>
      </c>
      <c r="B5257" s="2" t="s">
        <v>301</v>
      </c>
      <c r="C5257" s="2" t="s">
        <v>10600</v>
      </c>
      <c r="D5257" s="2"/>
      <c r="E5257" s="2" t="s">
        <v>43</v>
      </c>
      <c r="F5257" s="3" t="n">
        <v>0</v>
      </c>
      <c r="G5257" s="3" t="n">
        <f aca="false">SUM($F$2:F5257)</f>
        <v>0.999987</v>
      </c>
      <c r="H5257" s="4"/>
      <c r="I5257" s="5"/>
      <c r="J5257" s="4"/>
      <c r="K5257" s="5"/>
      <c r="L5257" s="6"/>
      <c r="M5257" s="5" t="str">
        <f aca="false">IF(AND(N(K5257)&gt;0,N(L5257)&gt;0),K5257/L5257,"")</f>
        <v/>
      </c>
      <c r="N5257" s="2" t="s">
        <v>34</v>
      </c>
    </row>
    <row r="5258" customFormat="false" ht="15" hidden="false" customHeight="false" outlineLevel="0" collapsed="false">
      <c r="A5258" s="2" t="n">
        <v>5257</v>
      </c>
      <c r="B5258" s="2" t="s">
        <v>10601</v>
      </c>
      <c r="C5258" s="2" t="s">
        <v>10602</v>
      </c>
      <c r="D5258" s="2"/>
      <c r="E5258" s="2" t="s">
        <v>289</v>
      </c>
      <c r="F5258" s="3" t="n">
        <v>0</v>
      </c>
      <c r="G5258" s="3" t="n">
        <f aca="false">SUM($F$2:F5258)</f>
        <v>0.999987</v>
      </c>
      <c r="H5258" s="4"/>
      <c r="I5258" s="5"/>
      <c r="J5258" s="4"/>
      <c r="K5258" s="5"/>
      <c r="L5258" s="6"/>
      <c r="M5258" s="5" t="str">
        <f aca="false">IF(AND(N(K5258)&gt;0,N(L5258)&gt;0),K5258/L5258,"")</f>
        <v/>
      </c>
      <c r="N5258" s="2" t="s">
        <v>1226</v>
      </c>
    </row>
    <row r="5259" customFormat="false" ht="15" hidden="false" customHeight="false" outlineLevel="0" collapsed="false">
      <c r="A5259" s="2" t="n">
        <v>5258</v>
      </c>
      <c r="B5259" s="2" t="s">
        <v>10603</v>
      </c>
      <c r="C5259" s="2" t="s">
        <v>10604</v>
      </c>
      <c r="D5259" s="2"/>
      <c r="E5259" s="2" t="s">
        <v>296</v>
      </c>
      <c r="F5259" s="3" t="n">
        <v>0</v>
      </c>
      <c r="G5259" s="3" t="n">
        <f aca="false">SUM($F$2:F5259)</f>
        <v>0.999987</v>
      </c>
      <c r="H5259" s="4"/>
      <c r="I5259" s="5"/>
      <c r="J5259" s="4"/>
      <c r="K5259" s="5"/>
      <c r="L5259" s="6"/>
      <c r="M5259" s="5" t="str">
        <f aca="false">IF(AND(N(K5259)&gt;0,N(L5259)&gt;0),K5259/L5259,"")</f>
        <v/>
      </c>
      <c r="N5259" s="2" t="s">
        <v>1226</v>
      </c>
    </row>
    <row r="5260" customFormat="false" ht="15" hidden="false" customHeight="false" outlineLevel="0" collapsed="false">
      <c r="A5260" s="2" t="n">
        <v>5259</v>
      </c>
      <c r="B5260" s="2" t="s">
        <v>10605</v>
      </c>
      <c r="C5260" s="2" t="s">
        <v>10606</v>
      </c>
      <c r="D5260" s="2"/>
      <c r="E5260" s="2" t="s">
        <v>17</v>
      </c>
      <c r="F5260" s="3" t="n">
        <v>0</v>
      </c>
      <c r="G5260" s="3" t="n">
        <f aca="false">SUM($F$2:F5260)</f>
        <v>0.999987</v>
      </c>
      <c r="H5260" s="4"/>
      <c r="I5260" s="5"/>
      <c r="J5260" s="4"/>
      <c r="K5260" s="5"/>
      <c r="L5260" s="6"/>
      <c r="M5260" s="5" t="str">
        <f aca="false">IF(AND(N(K5260)&gt;0,N(L5260)&gt;0),K5260/L5260,"")</f>
        <v/>
      </c>
      <c r="N5260" s="2" t="s">
        <v>1226</v>
      </c>
    </row>
    <row r="5261" customFormat="false" ht="15" hidden="false" customHeight="false" outlineLevel="0" collapsed="false">
      <c r="A5261" s="2" t="n">
        <v>5260</v>
      </c>
      <c r="B5261" s="2" t="s">
        <v>10607</v>
      </c>
      <c r="C5261" s="2" t="s">
        <v>10608</v>
      </c>
      <c r="D5261" s="2"/>
      <c r="E5261" s="2" t="s">
        <v>1345</v>
      </c>
      <c r="F5261" s="3" t="n">
        <v>0</v>
      </c>
      <c r="G5261" s="3" t="n">
        <f aca="false">SUM($F$2:F5261)</f>
        <v>0.999987</v>
      </c>
      <c r="H5261" s="4"/>
      <c r="I5261" s="5"/>
      <c r="J5261" s="4"/>
      <c r="K5261" s="5"/>
      <c r="L5261" s="6"/>
      <c r="M5261" s="5" t="str">
        <f aca="false">IF(AND(N(K5261)&gt;0,N(L5261)&gt;0),K5261/L5261,"")</f>
        <v/>
      </c>
      <c r="N5261" s="2" t="s">
        <v>1226</v>
      </c>
    </row>
    <row r="5262" customFormat="false" ht="15" hidden="false" customHeight="false" outlineLevel="0" collapsed="false">
      <c r="A5262" s="2" t="n">
        <v>5261</v>
      </c>
      <c r="B5262" s="2" t="s">
        <v>301</v>
      </c>
      <c r="C5262" s="2" t="s">
        <v>8513</v>
      </c>
      <c r="D5262" s="2"/>
      <c r="E5262" s="2" t="s">
        <v>10424</v>
      </c>
      <c r="F5262" s="3" t="n">
        <v>0</v>
      </c>
      <c r="G5262" s="3" t="n">
        <f aca="false">SUM($F$2:F5262)</f>
        <v>0.999987</v>
      </c>
      <c r="H5262" s="4"/>
      <c r="I5262" s="5"/>
      <c r="J5262" s="4"/>
      <c r="K5262" s="5"/>
      <c r="L5262" s="6"/>
      <c r="M5262" s="5" t="str">
        <f aca="false">IF(AND(N(K5262)&gt;0,N(L5262)&gt;0),K5262/L5262,"")</f>
        <v/>
      </c>
      <c r="N5262" s="2" t="s">
        <v>34</v>
      </c>
    </row>
    <row r="5263" customFormat="false" ht="15" hidden="false" customHeight="false" outlineLevel="0" collapsed="false">
      <c r="A5263" s="2" t="n">
        <v>5262</v>
      </c>
      <c r="B5263" s="2" t="s">
        <v>301</v>
      </c>
      <c r="C5263" s="2" t="s">
        <v>9391</v>
      </c>
      <c r="D5263" s="2"/>
      <c r="E5263" s="2" t="s">
        <v>10424</v>
      </c>
      <c r="F5263" s="3" t="n">
        <v>0</v>
      </c>
      <c r="G5263" s="3" t="n">
        <f aca="false">SUM($F$2:F5263)</f>
        <v>0.999987</v>
      </c>
      <c r="H5263" s="4"/>
      <c r="I5263" s="5"/>
      <c r="J5263" s="4"/>
      <c r="K5263" s="5"/>
      <c r="L5263" s="6"/>
      <c r="M5263" s="5" t="str">
        <f aca="false">IF(AND(N(K5263)&gt;0,N(L5263)&gt;0),K5263/L5263,"")</f>
        <v/>
      </c>
      <c r="N5263" s="2" t="s">
        <v>34</v>
      </c>
    </row>
    <row r="5264" customFormat="false" ht="15" hidden="false" customHeight="false" outlineLevel="0" collapsed="false">
      <c r="A5264" s="2" t="n">
        <v>5263</v>
      </c>
      <c r="B5264" s="2" t="s">
        <v>301</v>
      </c>
      <c r="C5264" s="2" t="s">
        <v>10609</v>
      </c>
      <c r="D5264" s="2"/>
      <c r="E5264" s="2" t="s">
        <v>2264</v>
      </c>
      <c r="F5264" s="3" t="n">
        <v>0</v>
      </c>
      <c r="G5264" s="3" t="n">
        <f aca="false">SUM($F$2:F5264)</f>
        <v>0.999987</v>
      </c>
      <c r="H5264" s="4"/>
      <c r="I5264" s="5"/>
      <c r="J5264" s="4"/>
      <c r="K5264" s="5"/>
      <c r="L5264" s="6"/>
      <c r="M5264" s="5" t="str">
        <f aca="false">IF(AND(N(K5264)&gt;0,N(L5264)&gt;0),K5264/L5264,"")</f>
        <v/>
      </c>
      <c r="N5264" s="2" t="s">
        <v>34</v>
      </c>
    </row>
    <row r="5265" customFormat="false" ht="15" hidden="false" customHeight="false" outlineLevel="0" collapsed="false">
      <c r="A5265" s="2" t="n">
        <v>5264</v>
      </c>
      <c r="B5265" s="2" t="s">
        <v>301</v>
      </c>
      <c r="C5265" s="2" t="s">
        <v>3386</v>
      </c>
      <c r="D5265" s="2"/>
      <c r="E5265" s="2" t="s">
        <v>9259</v>
      </c>
      <c r="F5265" s="3" t="n">
        <v>0</v>
      </c>
      <c r="G5265" s="3" t="n">
        <f aca="false">SUM($F$2:F5265)</f>
        <v>0.999987</v>
      </c>
      <c r="H5265" s="4"/>
      <c r="I5265" s="5"/>
      <c r="J5265" s="4"/>
      <c r="K5265" s="5"/>
      <c r="L5265" s="6"/>
      <c r="M5265" s="5" t="str">
        <f aca="false">IF(AND(N(K5265)&gt;0,N(L5265)&gt;0),K5265/L5265,"")</f>
        <v/>
      </c>
      <c r="N5265" s="2" t="s">
        <v>34</v>
      </c>
    </row>
    <row r="5266" customFormat="false" ht="15" hidden="false" customHeight="false" outlineLevel="0" collapsed="false">
      <c r="A5266" s="2" t="n">
        <v>5265</v>
      </c>
      <c r="B5266" s="2" t="s">
        <v>301</v>
      </c>
      <c r="C5266" s="2" t="s">
        <v>8077</v>
      </c>
      <c r="D5266" s="2"/>
      <c r="E5266" s="2" t="s">
        <v>10424</v>
      </c>
      <c r="F5266" s="3" t="n">
        <v>0</v>
      </c>
      <c r="G5266" s="3" t="n">
        <f aca="false">SUM($F$2:F5266)</f>
        <v>0.999987</v>
      </c>
      <c r="H5266" s="4"/>
      <c r="I5266" s="5"/>
      <c r="J5266" s="4"/>
      <c r="K5266" s="5"/>
      <c r="L5266" s="6"/>
      <c r="M5266" s="5" t="str">
        <f aca="false">IF(AND(N(K5266)&gt;0,N(L5266)&gt;0),K5266/L5266,"")</f>
        <v/>
      </c>
      <c r="N5266" s="2" t="s">
        <v>34</v>
      </c>
    </row>
    <row r="5267" customFormat="false" ht="15" hidden="false" customHeight="false" outlineLevel="0" collapsed="false">
      <c r="A5267" s="2" t="n">
        <v>5266</v>
      </c>
      <c r="B5267" s="2" t="s">
        <v>301</v>
      </c>
      <c r="C5267" s="2" t="s">
        <v>10310</v>
      </c>
      <c r="D5267" s="2"/>
      <c r="E5267" s="2" t="s">
        <v>10424</v>
      </c>
      <c r="F5267" s="3" t="n">
        <v>0</v>
      </c>
      <c r="G5267" s="3" t="n">
        <f aca="false">SUM($F$2:F5267)</f>
        <v>0.999987</v>
      </c>
      <c r="H5267" s="4"/>
      <c r="I5267" s="5"/>
      <c r="J5267" s="4"/>
      <c r="K5267" s="5"/>
      <c r="L5267" s="6"/>
      <c r="M5267" s="5" t="str">
        <f aca="false">IF(AND(N(K5267)&gt;0,N(L5267)&gt;0),K5267/L5267,"")</f>
        <v/>
      </c>
      <c r="N5267" s="2" t="s">
        <v>34</v>
      </c>
    </row>
    <row r="5268" customFormat="false" ht="15" hidden="false" customHeight="false" outlineLevel="0" collapsed="false">
      <c r="A5268" s="2" t="n">
        <v>5267</v>
      </c>
      <c r="B5268" s="2" t="s">
        <v>301</v>
      </c>
      <c r="C5268" s="2" t="s">
        <v>6847</v>
      </c>
      <c r="D5268" s="2"/>
      <c r="E5268" s="2" t="s">
        <v>10424</v>
      </c>
      <c r="F5268" s="3" t="n">
        <v>0</v>
      </c>
      <c r="G5268" s="3" t="n">
        <f aca="false">SUM($F$2:F5268)</f>
        <v>0.999987</v>
      </c>
      <c r="H5268" s="4"/>
      <c r="I5268" s="5"/>
      <c r="J5268" s="4"/>
      <c r="K5268" s="5"/>
      <c r="L5268" s="6"/>
      <c r="M5268" s="5" t="str">
        <f aca="false">IF(AND(N(K5268)&gt;0,N(L5268)&gt;0),K5268/L5268,"")</f>
        <v/>
      </c>
      <c r="N5268" s="2" t="s">
        <v>34</v>
      </c>
    </row>
    <row r="5269" customFormat="false" ht="15" hidden="false" customHeight="false" outlineLevel="0" collapsed="false">
      <c r="A5269" s="2" t="n">
        <v>5268</v>
      </c>
      <c r="B5269" s="2" t="s">
        <v>301</v>
      </c>
      <c r="C5269" s="2" t="s">
        <v>5098</v>
      </c>
      <c r="D5269" s="2"/>
      <c r="E5269" s="2" t="s">
        <v>9259</v>
      </c>
      <c r="F5269" s="3" t="n">
        <v>0</v>
      </c>
      <c r="G5269" s="3" t="n">
        <f aca="false">SUM($F$2:F5269)</f>
        <v>0.999987</v>
      </c>
      <c r="H5269" s="4"/>
      <c r="I5269" s="5"/>
      <c r="J5269" s="4"/>
      <c r="K5269" s="5"/>
      <c r="L5269" s="6"/>
      <c r="M5269" s="5" t="str">
        <f aca="false">IF(AND(N(K5269)&gt;0,N(L5269)&gt;0),K5269/L5269,"")</f>
        <v/>
      </c>
      <c r="N5269" s="2" t="s">
        <v>34</v>
      </c>
    </row>
    <row r="5270" customFormat="false" ht="15" hidden="false" customHeight="false" outlineLevel="0" collapsed="false">
      <c r="A5270" s="2" t="n">
        <v>5269</v>
      </c>
      <c r="B5270" s="2" t="s">
        <v>301</v>
      </c>
      <c r="C5270" s="2" t="s">
        <v>6631</v>
      </c>
      <c r="D5270" s="2"/>
      <c r="E5270" s="2" t="s">
        <v>9259</v>
      </c>
      <c r="F5270" s="3" t="n">
        <v>0</v>
      </c>
      <c r="G5270" s="3" t="n">
        <f aca="false">SUM($F$2:F5270)</f>
        <v>0.999987</v>
      </c>
      <c r="H5270" s="4"/>
      <c r="I5270" s="5"/>
      <c r="J5270" s="4"/>
      <c r="K5270" s="5"/>
      <c r="L5270" s="6"/>
      <c r="M5270" s="5" t="str">
        <f aca="false">IF(AND(N(K5270)&gt;0,N(L5270)&gt;0),K5270/L5270,"")</f>
        <v/>
      </c>
      <c r="N5270" s="2" t="s">
        <v>34</v>
      </c>
    </row>
    <row r="5271" customFormat="false" ht="15" hidden="false" customHeight="false" outlineLevel="0" collapsed="false">
      <c r="A5271" s="2" t="n">
        <v>5270</v>
      </c>
      <c r="B5271" s="2" t="s">
        <v>301</v>
      </c>
      <c r="C5271" s="2" t="s">
        <v>7033</v>
      </c>
      <c r="D5271" s="2"/>
      <c r="E5271" s="2" t="s">
        <v>10424</v>
      </c>
      <c r="F5271" s="3" t="n">
        <v>0</v>
      </c>
      <c r="G5271" s="3" t="n">
        <f aca="false">SUM($F$2:F5271)</f>
        <v>0.999987</v>
      </c>
      <c r="H5271" s="4"/>
      <c r="I5271" s="5"/>
      <c r="J5271" s="4"/>
      <c r="K5271" s="5"/>
      <c r="L5271" s="6"/>
      <c r="M5271" s="5" t="str">
        <f aca="false">IF(AND(N(K5271)&gt;0,N(L5271)&gt;0),K5271/L5271,"")</f>
        <v/>
      </c>
      <c r="N5271" s="2" t="s">
        <v>34</v>
      </c>
    </row>
    <row r="5272" customFormat="false" ht="15" hidden="false" customHeight="false" outlineLevel="0" collapsed="false">
      <c r="A5272" s="2" t="n">
        <v>5271</v>
      </c>
      <c r="B5272" s="2" t="s">
        <v>301</v>
      </c>
      <c r="C5272" s="2" t="s">
        <v>5931</v>
      </c>
      <c r="D5272" s="2"/>
      <c r="E5272" s="2" t="s">
        <v>9259</v>
      </c>
      <c r="F5272" s="3" t="n">
        <v>0</v>
      </c>
      <c r="G5272" s="3" t="n">
        <f aca="false">SUM($F$2:F5272)</f>
        <v>0.999987</v>
      </c>
      <c r="H5272" s="4"/>
      <c r="I5272" s="5"/>
      <c r="J5272" s="4"/>
      <c r="K5272" s="5"/>
      <c r="L5272" s="6"/>
      <c r="M5272" s="5" t="str">
        <f aca="false">IF(AND(N(K5272)&gt;0,N(L5272)&gt;0),K5272/L5272,"")</f>
        <v/>
      </c>
      <c r="N5272" s="2" t="s">
        <v>34</v>
      </c>
    </row>
    <row r="5273" customFormat="false" ht="15" hidden="false" customHeight="false" outlineLevel="0" collapsed="false">
      <c r="A5273" s="2" t="n">
        <v>5272</v>
      </c>
      <c r="B5273" s="2" t="s">
        <v>301</v>
      </c>
      <c r="C5273" s="2" t="s">
        <v>7535</v>
      </c>
      <c r="D5273" s="2"/>
      <c r="E5273" s="2" t="s">
        <v>9259</v>
      </c>
      <c r="F5273" s="3" t="n">
        <v>0</v>
      </c>
      <c r="G5273" s="3" t="n">
        <f aca="false">SUM($F$2:F5273)</f>
        <v>0.999987</v>
      </c>
      <c r="H5273" s="4"/>
      <c r="I5273" s="5"/>
      <c r="J5273" s="4"/>
      <c r="K5273" s="5"/>
      <c r="L5273" s="6"/>
      <c r="M5273" s="5" t="str">
        <f aca="false">IF(AND(N(K5273)&gt;0,N(L5273)&gt;0),K5273/L5273,"")</f>
        <v/>
      </c>
      <c r="N5273" s="2" t="s">
        <v>34</v>
      </c>
    </row>
    <row r="5274" customFormat="false" ht="15" hidden="false" customHeight="false" outlineLevel="0" collapsed="false">
      <c r="A5274" s="2" t="n">
        <v>5273</v>
      </c>
      <c r="B5274" s="2" t="s">
        <v>301</v>
      </c>
      <c r="C5274" s="2" t="s">
        <v>3827</v>
      </c>
      <c r="D5274" s="2"/>
      <c r="E5274" s="2" t="s">
        <v>9259</v>
      </c>
      <c r="F5274" s="3" t="n">
        <v>0</v>
      </c>
      <c r="G5274" s="3" t="n">
        <f aca="false">SUM($F$2:F5274)</f>
        <v>0.999987</v>
      </c>
      <c r="H5274" s="4"/>
      <c r="I5274" s="5"/>
      <c r="J5274" s="4"/>
      <c r="K5274" s="5"/>
      <c r="L5274" s="6"/>
      <c r="M5274" s="5" t="str">
        <f aca="false">IF(AND(N(K5274)&gt;0,N(L5274)&gt;0),K5274/L5274,"")</f>
        <v/>
      </c>
      <c r="N5274" s="2" t="s">
        <v>34</v>
      </c>
    </row>
    <row r="5275" customFormat="false" ht="15" hidden="false" customHeight="false" outlineLevel="0" collapsed="false">
      <c r="A5275" s="2" t="n">
        <v>5274</v>
      </c>
      <c r="B5275" s="2" t="s">
        <v>301</v>
      </c>
      <c r="C5275" s="2" t="s">
        <v>9402</v>
      </c>
      <c r="D5275" s="2"/>
      <c r="E5275" s="2" t="s">
        <v>10424</v>
      </c>
      <c r="F5275" s="3" t="n">
        <v>0</v>
      </c>
      <c r="G5275" s="3" t="n">
        <f aca="false">SUM($F$2:F5275)</f>
        <v>0.999987</v>
      </c>
      <c r="H5275" s="4"/>
      <c r="I5275" s="5"/>
      <c r="J5275" s="4"/>
      <c r="K5275" s="5"/>
      <c r="L5275" s="6"/>
      <c r="M5275" s="5" t="str">
        <f aca="false">IF(AND(N(K5275)&gt;0,N(L5275)&gt;0),K5275/L5275,"")</f>
        <v/>
      </c>
      <c r="N5275" s="2" t="s">
        <v>34</v>
      </c>
    </row>
    <row r="5276" customFormat="false" ht="15" hidden="false" customHeight="false" outlineLevel="0" collapsed="false">
      <c r="A5276" s="2" t="n">
        <v>5275</v>
      </c>
      <c r="B5276" s="2" t="s">
        <v>301</v>
      </c>
      <c r="C5276" s="2" t="s">
        <v>5077</v>
      </c>
      <c r="D5276" s="2"/>
      <c r="E5276" s="2" t="s">
        <v>9259</v>
      </c>
      <c r="F5276" s="3" t="n">
        <v>0</v>
      </c>
      <c r="G5276" s="3" t="n">
        <f aca="false">SUM($F$2:F5276)</f>
        <v>0.999987</v>
      </c>
      <c r="H5276" s="4"/>
      <c r="I5276" s="5"/>
      <c r="J5276" s="4"/>
      <c r="K5276" s="5"/>
      <c r="L5276" s="6"/>
      <c r="M5276" s="5" t="str">
        <f aca="false">IF(AND(N(K5276)&gt;0,N(L5276)&gt;0),K5276/L5276,"")</f>
        <v/>
      </c>
      <c r="N5276" s="2" t="s">
        <v>34</v>
      </c>
    </row>
    <row r="5277" customFormat="false" ht="15" hidden="false" customHeight="false" outlineLevel="0" collapsed="false">
      <c r="A5277" s="2" t="n">
        <v>5276</v>
      </c>
      <c r="B5277" s="2" t="s">
        <v>301</v>
      </c>
      <c r="C5277" s="2" t="s">
        <v>996</v>
      </c>
      <c r="D5277" s="2"/>
      <c r="E5277" s="2" t="s">
        <v>9259</v>
      </c>
      <c r="F5277" s="3" t="n">
        <v>-1E-006</v>
      </c>
      <c r="G5277" s="3" t="n">
        <f aca="false">SUM($F$2:F5277)</f>
        <v>0.999986</v>
      </c>
      <c r="H5277" s="4"/>
      <c r="I5277" s="5"/>
      <c r="J5277" s="4"/>
      <c r="K5277" s="5"/>
      <c r="L5277" s="6"/>
      <c r="M5277" s="5" t="str">
        <f aca="false">IF(AND(N(K5277)&gt;0,N(L5277)&gt;0),K5277/L5277,"")</f>
        <v/>
      </c>
      <c r="N5277" s="2" t="s">
        <v>34</v>
      </c>
    </row>
    <row r="5278" customFormat="false" ht="15" hidden="false" customHeight="false" outlineLevel="0" collapsed="false">
      <c r="A5278" s="2" t="n">
        <v>5277</v>
      </c>
      <c r="B5278" s="2" t="s">
        <v>301</v>
      </c>
      <c r="C5278" s="2" t="s">
        <v>2669</v>
      </c>
      <c r="D5278" s="2"/>
      <c r="E5278" s="2" t="s">
        <v>9259</v>
      </c>
      <c r="F5278" s="3" t="n">
        <v>-1E-006</v>
      </c>
      <c r="G5278" s="3" t="n">
        <f aca="false">SUM($F$2:F5278)</f>
        <v>0.999985</v>
      </c>
      <c r="H5278" s="4"/>
      <c r="I5278" s="5"/>
      <c r="J5278" s="4"/>
      <c r="K5278" s="5"/>
      <c r="L5278" s="6"/>
      <c r="M5278" s="5" t="str">
        <f aca="false">IF(AND(N(K5278)&gt;0,N(L5278)&gt;0),K5278/L5278,"")</f>
        <v/>
      </c>
      <c r="N5278" s="2" t="s">
        <v>34</v>
      </c>
    </row>
    <row r="5279" customFormat="false" ht="15" hidden="false" customHeight="false" outlineLevel="0" collapsed="false">
      <c r="A5279" s="2" t="n">
        <v>5278</v>
      </c>
      <c r="B5279" s="2" t="s">
        <v>301</v>
      </c>
      <c r="C5279" s="2" t="s">
        <v>2989</v>
      </c>
      <c r="D5279" s="2"/>
      <c r="E5279" s="2" t="s">
        <v>9259</v>
      </c>
      <c r="F5279" s="3" t="n">
        <v>-1E-006</v>
      </c>
      <c r="G5279" s="3" t="n">
        <f aca="false">SUM($F$2:F5279)</f>
        <v>0.999984</v>
      </c>
      <c r="H5279" s="4"/>
      <c r="I5279" s="5"/>
      <c r="J5279" s="4"/>
      <c r="K5279" s="5"/>
      <c r="L5279" s="6"/>
      <c r="M5279" s="5" t="str">
        <f aca="false">IF(AND(N(K5279)&gt;0,N(L5279)&gt;0),K5279/L5279,"")</f>
        <v/>
      </c>
      <c r="N5279" s="2" t="s">
        <v>34</v>
      </c>
    </row>
    <row r="5280" customFormat="false" ht="15" hidden="false" customHeight="false" outlineLevel="0" collapsed="false">
      <c r="A5280" s="2" t="n">
        <v>5279</v>
      </c>
      <c r="B5280" s="2" t="s">
        <v>301</v>
      </c>
      <c r="C5280" s="2" t="s">
        <v>4419</v>
      </c>
      <c r="D5280" s="2"/>
      <c r="E5280" s="2" t="s">
        <v>10424</v>
      </c>
      <c r="F5280" s="3" t="n">
        <v>-2E-006</v>
      </c>
      <c r="G5280" s="3" t="n">
        <f aca="false">SUM($F$2:F5280)</f>
        <v>0.999982</v>
      </c>
      <c r="H5280" s="4"/>
      <c r="I5280" s="5"/>
      <c r="J5280" s="4"/>
      <c r="K5280" s="5"/>
      <c r="L5280" s="6"/>
      <c r="M5280" s="5" t="str">
        <f aca="false">IF(AND(N(K5280)&gt;0,N(L5280)&gt;0),K5280/L5280,"")</f>
        <v/>
      </c>
      <c r="N5280" s="2" t="s">
        <v>34</v>
      </c>
    </row>
    <row r="5281" customFormat="false" ht="15" hidden="false" customHeight="false" outlineLevel="0" collapsed="false">
      <c r="A5281" s="2" t="n">
        <v>5280</v>
      </c>
      <c r="B5281" s="2" t="s">
        <v>301</v>
      </c>
      <c r="C5281" s="2" t="s">
        <v>302</v>
      </c>
      <c r="D5281" s="2"/>
      <c r="E5281" s="2" t="s">
        <v>10424</v>
      </c>
      <c r="F5281" s="3" t="n">
        <v>-3E-006</v>
      </c>
      <c r="G5281" s="3" t="n">
        <f aca="false">SUM($F$2:F5281)</f>
        <v>0.999979</v>
      </c>
      <c r="H5281" s="4"/>
      <c r="I5281" s="5"/>
      <c r="J5281" s="4"/>
      <c r="K5281" s="5"/>
      <c r="L5281" s="6"/>
      <c r="M5281" s="5" t="str">
        <f aca="false">IF(AND(N(K5281)&gt;0,N(L5281)&gt;0),K5281/L5281,"")</f>
        <v/>
      </c>
      <c r="N5281" s="2" t="s">
        <v>34</v>
      </c>
    </row>
  </sheetData>
  <autoFilter ref="A1:N5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10610</v>
      </c>
      <c r="C1" s="7" t="s">
        <v>10611</v>
      </c>
      <c r="D1" s="7" t="s">
        <v>10612</v>
      </c>
    </row>
    <row r="2" customFormat="false" ht="15" hidden="false" customHeight="false" outlineLevel="0" collapsed="false">
      <c r="A2" s="2" t="s">
        <v>42</v>
      </c>
      <c r="B2" s="3" t="n">
        <f aca="false">SUMIF(Holdings!$D$2:$D$5281,A2,Holdings!$F$2:$F$5281)</f>
        <v>0.026173</v>
      </c>
      <c r="C2" s="2" t="n">
        <f aca="false">COUNTIF(Holdings!$D$2:$D$5281,A2)</f>
        <v>13</v>
      </c>
      <c r="D2" s="8" t="n">
        <f aca="false">AVERAGEIFS(Holdings!$I$2:$I$5281,Holdings!$D$2:$D$5281,A2,Holdings!$I$2:$I$5281,"&lt;=100")</f>
        <v>20.6262</v>
      </c>
    </row>
    <row r="3" customFormat="false" ht="15" hidden="false" customHeight="false" outlineLevel="0" collapsed="false">
      <c r="A3" s="2" t="s">
        <v>67</v>
      </c>
      <c r="B3" s="3" t="n">
        <f aca="false">SUMIF(Holdings!$D$2:$D$5281,A3,Holdings!$F$2:$F$5281)</f>
        <v>0.035677</v>
      </c>
      <c r="C3" s="2" t="n">
        <f aca="false">COUNTIF(Holdings!$D$2:$D$5281,A3)</f>
        <v>24</v>
      </c>
      <c r="D3" s="8" t="n">
        <f aca="false">AVERAGEIFS(Holdings!$I$2:$I$5281,Holdings!$D$2:$D$5281,A3,Holdings!$I$2:$I$5281,"&lt;=100")</f>
        <v>24.351615</v>
      </c>
    </row>
    <row r="4" customFormat="false" ht="15" hidden="false" customHeight="false" outlineLevel="0" collapsed="false">
      <c r="A4" s="2" t="s">
        <v>63</v>
      </c>
      <c r="B4" s="3" t="n">
        <f aca="false">SUMIF(Holdings!$D$2:$D$5281,A4,Holdings!$F$2:$F$5281)</f>
        <v>0.015761</v>
      </c>
      <c r="C4" s="2" t="n">
        <f aca="false">COUNTIF(Holdings!$D$2:$D$5281,A4)</f>
        <v>11</v>
      </c>
      <c r="D4" s="8" t="n">
        <f aca="false">AVERAGEIFS(Holdings!$I$2:$I$5281,Holdings!$D$2:$D$5281,A4,Holdings!$I$2:$I$5281,"&lt;=100")</f>
        <v>26.0929545454545</v>
      </c>
    </row>
    <row r="5" customFormat="false" ht="15" hidden="false" customHeight="false" outlineLevel="0" collapsed="false">
      <c r="A5" s="2" t="s">
        <v>101</v>
      </c>
      <c r="B5" s="3" t="n">
        <f aca="false">SUMIF(Holdings!$D$2:$D$5281,A5,Holdings!$F$2:$F$5281)</f>
        <v>0.02253</v>
      </c>
      <c r="C5" s="2" t="n">
        <f aca="false">COUNTIF(Holdings!$D$2:$D$5281,A5)</f>
        <v>16</v>
      </c>
      <c r="D5" s="8" t="n">
        <f aca="false">AVERAGEIFS(Holdings!$I$2:$I$5281,Holdings!$D$2:$D$5281,A5,Holdings!$I$2:$I$5281,"&lt;=100")</f>
        <v>15.0883769230769</v>
      </c>
    </row>
    <row r="6" customFormat="false" ht="15" hidden="false" customHeight="false" outlineLevel="0" collapsed="false">
      <c r="A6" s="2" t="s">
        <v>47</v>
      </c>
      <c r="B6" s="3" t="n">
        <f aca="false">SUMIF(Holdings!$D$2:$D$5281,A6,Holdings!$F$2:$F$5281)</f>
        <v>0.147331</v>
      </c>
      <c r="C6" s="2" t="n">
        <f aca="false">COUNTIF(Holdings!$D$2:$D$5281,A6)</f>
        <v>87</v>
      </c>
      <c r="D6" s="8" t="n">
        <f aca="false">AVERAGEIFS(Holdings!$I$2:$I$5281,Holdings!$D$2:$D$5281,A6,Holdings!$I$2:$I$5281,"&lt;=100")</f>
        <v>15.795056626506</v>
      </c>
    </row>
    <row r="7" customFormat="false" ht="15" hidden="false" customHeight="false" outlineLevel="0" collapsed="false">
      <c r="A7" s="2" t="s">
        <v>37</v>
      </c>
      <c r="B7" s="3" t="n">
        <f aca="false">SUMIF(Holdings!$D$2:$D$5281,A7,Holdings!$F$2:$F$5281)</f>
        <v>0.030513</v>
      </c>
      <c r="C7" s="2" t="n">
        <f aca="false">COUNTIF(Holdings!$D$2:$D$5281,A7)</f>
        <v>19</v>
      </c>
      <c r="D7" s="8" t="n">
        <f aca="false">AVERAGEIFS(Holdings!$I$2:$I$5281,Holdings!$D$2:$D$5281,A7,Holdings!$I$2:$I$5281,"&lt;=100")</f>
        <v>32.51016875</v>
      </c>
    </row>
    <row r="8" customFormat="false" ht="15" hidden="false" customHeight="false" outlineLevel="0" collapsed="false">
      <c r="A8" s="2" t="s">
        <v>74</v>
      </c>
      <c r="B8" s="3" t="n">
        <f aca="false">SUMIF(Holdings!$D$2:$D$5281,A8,Holdings!$F$2:$F$5281)</f>
        <v>0.061733</v>
      </c>
      <c r="C8" s="2" t="n">
        <f aca="false">COUNTIF(Holdings!$D$2:$D$5281,A8)</f>
        <v>38</v>
      </c>
      <c r="D8" s="8" t="n">
        <f aca="false">AVERAGEIFS(Holdings!$I$2:$I$5281,Holdings!$D$2:$D$5281,A8,Holdings!$I$2:$I$5281,"&lt;=100")</f>
        <v>27.7767166666667</v>
      </c>
    </row>
    <row r="9" customFormat="false" ht="15" hidden="false" customHeight="false" outlineLevel="0" collapsed="false">
      <c r="A9" s="2" t="s">
        <v>16</v>
      </c>
      <c r="B9" s="3" t="n">
        <f aca="false">SUMIF(Holdings!$D$2:$D$5281,A9,Holdings!$F$2:$F$5281)</f>
        <v>0.153871</v>
      </c>
      <c r="C9" s="2" t="n">
        <f aca="false">COUNTIF(Holdings!$D$2:$D$5281,A9)</f>
        <v>44</v>
      </c>
      <c r="D9" s="8" t="n">
        <f aca="false">AVERAGEIFS(Holdings!$I$2:$I$5281,Holdings!$D$2:$D$5281,A9,Holdings!$I$2:$I$5281,"&lt;=100")</f>
        <v>43.8126542857143</v>
      </c>
    </row>
    <row r="10" customFormat="false" ht="15" hidden="false" customHeight="false" outlineLevel="0" collapsed="false">
      <c r="A10" s="2" t="s">
        <v>81</v>
      </c>
      <c r="B10" s="3" t="n">
        <f aca="false">SUMIF(Holdings!$D$2:$D$5281,A10,Holdings!$F$2:$F$5281)</f>
        <v>0.02517</v>
      </c>
      <c r="C10" s="2" t="n">
        <f aca="false">COUNTIF(Holdings!$D$2:$D$5281,A10)</f>
        <v>18</v>
      </c>
      <c r="D10" s="8" t="n">
        <f aca="false">AVERAGEIFS(Holdings!$I$2:$I$5281,Holdings!$D$2:$D$5281,A10,Holdings!$I$2:$I$5281,"&lt;=100")</f>
        <v>27.9376235294118</v>
      </c>
    </row>
    <row r="11" customFormat="false" ht="15" hidden="false" customHeight="false" outlineLevel="0" collapsed="false">
      <c r="A11" s="2" t="s">
        <v>735</v>
      </c>
      <c r="B11" s="3" t="n">
        <f aca="false">SUMIF(Holdings!$D$2:$D$5281,A11,Holdings!$F$2:$F$5281)</f>
        <v>0.001482</v>
      </c>
      <c r="C11" s="2" t="n">
        <f aca="false">COUNTIF(Holdings!$D$2:$D$5281,A11)</f>
        <v>2</v>
      </c>
      <c r="D11" s="8" t="n">
        <f aca="false">AVERAGEIFS(Holdings!$I$2:$I$5281,Holdings!$D$2:$D$5281,A11,Holdings!$I$2:$I$5281,"&lt;=100")</f>
        <v>19.715</v>
      </c>
    </row>
    <row r="12" customFormat="false" ht="15" hidden="false" customHeight="false" outlineLevel="0" collapsed="false">
      <c r="A12" s="2" t="s">
        <v>146</v>
      </c>
      <c r="B12" s="3" t="n">
        <f aca="false">SUMIF(Holdings!$D$2:$D$5281,A12,Holdings!$F$2:$F$5281)</f>
        <v>0.007955</v>
      </c>
      <c r="C12" s="2" t="n">
        <f aca="false">COUNTIF(Holdings!$D$2:$D$5281,A12)</f>
        <v>5</v>
      </c>
      <c r="D12" s="8" t="n">
        <f aca="false">AVERAGEIFS(Holdings!$I$2:$I$5281,Holdings!$D$2:$D$5281,A12,Holdings!$I$2:$I$5281,"&lt;=100")</f>
        <v>17.6134</v>
      </c>
    </row>
    <row r="13" customFormat="false" ht="15" hidden="false" customHeight="false" outlineLevel="0" collapsed="false">
      <c r="A13" s="2" t="s">
        <v>10613</v>
      </c>
      <c r="B13" s="3" t="n">
        <f aca="false">1-SUM(B2:B12)</f>
        <v>0.471804</v>
      </c>
      <c r="C13" s="2" t="n">
        <f aca="false">COUNTBLANK(Holdings!$D$2:$D$5281)</f>
        <v>5003</v>
      </c>
      <c r="D13" s="8"/>
    </row>
    <row r="14" customFormat="false" ht="15" hidden="false" customHeight="false" outlineLevel="0" collapsed="false">
      <c r="A14" s="9" t="s">
        <v>10614</v>
      </c>
      <c r="B14" s="10" t="n">
        <f aca="false">SUM(B2:B13)</f>
        <v>1</v>
      </c>
      <c r="C14" s="9" t="n">
        <f aca="false">SUM(C2:C13)</f>
        <v>5280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2" t="s">
        <v>10615</v>
      </c>
    </row>
    <row r="2" customFormat="false" ht="39.55" hidden="false" customHeight="false" outlineLevel="0" collapsed="false">
      <c r="A2" s="12" t="s">
        <v>10616</v>
      </c>
    </row>
    <row r="3" customFormat="false" ht="52.2" hidden="false" customHeight="false" outlineLevel="0" collapsed="false">
      <c r="A3" s="12" t="s">
        <v>10617</v>
      </c>
    </row>
    <row r="4" customFormat="false" ht="64.9" hidden="false" customHeight="false" outlineLevel="0" collapsed="false">
      <c r="A4" s="12" t="s">
        <v>10618</v>
      </c>
    </row>
    <row r="5" customFormat="false" ht="15" hidden="false" customHeight="false" outlineLevel="0" collapsed="false">
      <c r="A5" s="12" t="s">
        <v>10619</v>
      </c>
    </row>
    <row r="6" customFormat="false" ht="26.85" hidden="false" customHeight="false" outlineLevel="0" collapsed="false">
      <c r="A6" s="12" t="s">
        <v>10620</v>
      </c>
    </row>
    <row r="7" customFormat="false" ht="15" hidden="false" customHeight="false" outlineLevel="0" collapsed="false">
      <c r="A7" s="12" t="s">
        <v>10621</v>
      </c>
    </row>
    <row r="8" customFormat="false" ht="15" hidden="false" customHeight="false" outlineLevel="0" collapsed="false">
      <c r="A8" s="12" t="s">
        <v>10622</v>
      </c>
    </row>
    <row r="9" customFormat="false" ht="15" hidden="false" customHeight="false" outlineLevel="0" collapsed="false">
      <c r="A9" s="12"/>
    </row>
    <row r="10" customFormat="false" ht="90.25" hidden="false" customHeight="false" outlineLevel="0" collapsed="false">
      <c r="A10" s="12" t="s">
        <v>10623</v>
      </c>
    </row>
    <row r="11" customFormat="false" ht="39.55" hidden="false" customHeight="false" outlineLevel="0" collapsed="false">
      <c r="A11" s="12" t="s">
        <v>10624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3.85" hidden="false" customHeight="false" outlineLevel="0" collapsed="false">
      <c r="A1" s="1" t="s">
        <v>10625</v>
      </c>
      <c r="B1" s="1" t="s">
        <v>10626</v>
      </c>
      <c r="C1" s="13" t="s">
        <v>10627</v>
      </c>
      <c r="D1" s="1" t="s">
        <v>10628</v>
      </c>
      <c r="E1" s="1" t="s">
        <v>10629</v>
      </c>
      <c r="F1" s="1" t="s">
        <v>10630</v>
      </c>
      <c r="G1" s="1" t="s">
        <v>10631</v>
      </c>
      <c r="H1" s="1" t="s">
        <v>10632</v>
      </c>
    </row>
    <row r="2" customFormat="false" ht="15" hidden="false" customHeight="false" outlineLevel="0" collapsed="false">
      <c r="A2" s="14" t="n">
        <v>1991</v>
      </c>
      <c r="B2" s="15" t="str">
        <f aca="false">INT(A2/10)*10&amp;"s"</f>
        <v>1990s</v>
      </c>
      <c r="C2" s="16" t="n">
        <v>0.0945</v>
      </c>
      <c r="D2" s="16" t="n">
        <v>0.062</v>
      </c>
      <c r="E2" s="15" t="str">
        <f aca="false">IF(C2&gt;=0,"Up","Down")</f>
        <v>Up</v>
      </c>
      <c r="F2" s="17" t="n">
        <f aca="false">1+C2</f>
        <v>1.0945</v>
      </c>
      <c r="G2" s="17" t="n">
        <f aca="false">1+D2</f>
        <v>1.062</v>
      </c>
      <c r="H2" s="16" t="n">
        <v>0.1639</v>
      </c>
    </row>
    <row r="3" customFormat="false" ht="15" hidden="false" customHeight="false" outlineLevel="0" collapsed="false">
      <c r="A3" s="14" t="n">
        <v>1992</v>
      </c>
      <c r="B3" s="15" t="str">
        <f aca="false">INT(A3/10)*10&amp;"s"</f>
        <v>1990s</v>
      </c>
      <c r="C3" s="16" t="n">
        <v>-0.1537</v>
      </c>
      <c r="D3" s="16" t="n">
        <v>-0.1776</v>
      </c>
      <c r="E3" s="15" t="str">
        <f aca="false">IF(C3&gt;=0,"Up","Down")</f>
        <v>Down</v>
      </c>
      <c r="F3" s="17" t="n">
        <f aca="false">F2*(1+C3)</f>
        <v>0.92627535</v>
      </c>
      <c r="G3" s="17" t="n">
        <f aca="false">G2*(1+D3)</f>
        <v>0.8733888</v>
      </c>
      <c r="H3" s="16" t="n">
        <v>-0.1052</v>
      </c>
    </row>
    <row r="4" customFormat="false" ht="15" hidden="false" customHeight="false" outlineLevel="0" collapsed="false">
      <c r="A4" s="14" t="n">
        <v>1993</v>
      </c>
      <c r="B4" s="15" t="str">
        <f aca="false">INT(A4/10)*10&amp;"s"</f>
        <v>1990s</v>
      </c>
      <c r="C4" s="16" t="n">
        <v>0.3019</v>
      </c>
      <c r="D4" s="16" t="n">
        <v>0.2671</v>
      </c>
      <c r="E4" s="15" t="str">
        <f aca="false">IF(C4&gt;=0,"Up","Down")</f>
        <v>Up</v>
      </c>
      <c r="F4" s="17" t="n">
        <f aca="false">F3*(1+C4)</f>
        <v>1.205917878165</v>
      </c>
      <c r="G4" s="17" t="n">
        <f aca="false">G3*(1+D4)</f>
        <v>1.10667094848</v>
      </c>
      <c r="H4" s="16" t="n">
        <v>0.4496</v>
      </c>
    </row>
    <row r="5" customFormat="false" ht="15" hidden="false" customHeight="false" outlineLevel="0" collapsed="false">
      <c r="A5" s="14" t="n">
        <v>1994</v>
      </c>
      <c r="B5" s="15" t="str">
        <f aca="false">INT(A5/10)*10&amp;"s"</f>
        <v>1990s</v>
      </c>
      <c r="C5" s="16" t="n">
        <v>0.1</v>
      </c>
      <c r="D5" s="16" t="n">
        <v>0.0713</v>
      </c>
      <c r="E5" s="15" t="str">
        <f aca="false">IF(C5&gt;=0,"Up","Down")</f>
        <v>Up</v>
      </c>
      <c r="F5" s="17" t="n">
        <f aca="false">F4*(1+C5)</f>
        <v>1.3265096659815</v>
      </c>
      <c r="G5" s="17" t="n">
        <f aca="false">G4*(1+D5)</f>
        <v>1.18557658710662</v>
      </c>
      <c r="H5" s="16" t="n">
        <v>0.0467</v>
      </c>
    </row>
    <row r="6" customFormat="false" ht="15" hidden="false" customHeight="false" outlineLevel="0" collapsed="false">
      <c r="A6" s="14" t="n">
        <v>1995</v>
      </c>
      <c r="B6" s="15" t="str">
        <f aca="false">INT(A6/10)*10&amp;"s"</f>
        <v>1990s</v>
      </c>
      <c r="C6" s="16" t="n">
        <v>0.0842</v>
      </c>
      <c r="D6" s="16" t="n">
        <v>0.0574</v>
      </c>
      <c r="E6" s="15" t="str">
        <f aca="false">IF(C6&gt;=0,"Up","Down")</f>
        <v>Up</v>
      </c>
      <c r="F6" s="17" t="n">
        <f aca="false">F5*(1+C6)</f>
        <v>1.43820177985714</v>
      </c>
      <c r="G6" s="17" t="n">
        <f aca="false">G5*(1+D6)</f>
        <v>1.25362868320654</v>
      </c>
      <c r="H6" s="16" t="n">
        <v>0.0503</v>
      </c>
    </row>
    <row r="7" customFormat="false" ht="15" hidden="false" customHeight="false" outlineLevel="0" collapsed="false">
      <c r="A7" s="14" t="n">
        <v>1996</v>
      </c>
      <c r="B7" s="15" t="str">
        <f aca="false">INT(A7/10)*10&amp;"s"</f>
        <v>1990s</v>
      </c>
      <c r="C7" s="16" t="n">
        <v>0.0586</v>
      </c>
      <c r="D7" s="16" t="n">
        <v>0.0246</v>
      </c>
      <c r="E7" s="15" t="str">
        <f aca="false">IF(C7&gt;=0,"Up","Down")</f>
        <v>Up</v>
      </c>
      <c r="F7" s="17" t="n">
        <f aca="false">F6*(1+C7)</f>
        <v>1.52248040415677</v>
      </c>
      <c r="G7" s="17" t="n">
        <f aca="false">G6*(1+D7)</f>
        <v>1.28446794881343</v>
      </c>
      <c r="H7" s="16" t="n">
        <v>0.0673</v>
      </c>
    </row>
    <row r="8" customFormat="false" ht="15" hidden="false" customHeight="false" outlineLevel="0" collapsed="false">
      <c r="A8" s="14" t="n">
        <v>1997</v>
      </c>
      <c r="B8" s="15" t="str">
        <f aca="false">INT(A8/10)*10&amp;"s"</f>
        <v>1990s</v>
      </c>
      <c r="C8" s="16" t="n">
        <v>-0.0049</v>
      </c>
      <c r="D8" s="16" t="n">
        <v>-0.0216</v>
      </c>
      <c r="E8" s="15" t="str">
        <f aca="false">IF(C8&gt;=0,"Up","Down")</f>
        <v>Down</v>
      </c>
      <c r="F8" s="17" t="n">
        <f aca="false">F7*(1+C8)</f>
        <v>1.5150202501764</v>
      </c>
      <c r="G8" s="17" t="n">
        <f aca="false">G7*(1+D8)</f>
        <v>1.25672344111906</v>
      </c>
      <c r="H8" s="16" t="n">
        <v>-0.0422</v>
      </c>
    </row>
    <row r="9" customFormat="false" ht="15" hidden="false" customHeight="false" outlineLevel="0" collapsed="false">
      <c r="A9" s="14" t="n">
        <v>1998</v>
      </c>
      <c r="B9" s="15" t="str">
        <f aca="false">INT(A9/10)*10&amp;"s"</f>
        <v>1990s</v>
      </c>
      <c r="C9" s="16" t="n">
        <v>0.168</v>
      </c>
      <c r="D9" s="16" t="n">
        <v>0.1495</v>
      </c>
      <c r="E9" s="15" t="str">
        <f aca="false">IF(C9&gt;=0,"Up","Down")</f>
        <v>Up</v>
      </c>
      <c r="F9" s="17" t="n">
        <f aca="false">F8*(1+C9)</f>
        <v>1.76954365220604</v>
      </c>
      <c r="G9" s="17" t="n">
        <f aca="false">G8*(1+D9)</f>
        <v>1.44460359556635</v>
      </c>
      <c r="H9" s="16" t="n">
        <v>0.0746</v>
      </c>
    </row>
    <row r="10" customFormat="false" ht="15" hidden="false" customHeight="false" outlineLevel="0" collapsed="false">
      <c r="A10" s="14" t="n">
        <v>1999</v>
      </c>
      <c r="B10" s="15" t="str">
        <f aca="false">INT(A10/10)*10&amp;"s"</f>
        <v>1990s</v>
      </c>
      <c r="C10" s="16" t="n">
        <v>0.3664</v>
      </c>
      <c r="D10" s="16" t="n">
        <v>0.3307</v>
      </c>
      <c r="E10" s="15" t="str">
        <f aca="false">IF(C10&gt;=0,"Up","Down")</f>
        <v>Up</v>
      </c>
      <c r="F10" s="17" t="n">
        <f aca="false">F9*(1+C10)</f>
        <v>2.41790444637433</v>
      </c>
      <c r="G10" s="17" t="n">
        <f aca="false">G9*(1+D10)</f>
        <v>1.92233400462015</v>
      </c>
      <c r="H10" s="16" t="n">
        <v>0.4365</v>
      </c>
    </row>
    <row r="11" customFormat="false" ht="15" hidden="false" customHeight="false" outlineLevel="0" collapsed="false">
      <c r="A11" s="14" t="n">
        <v>2000</v>
      </c>
      <c r="B11" s="15" t="str">
        <f aca="false">INT(A11/10)*10&amp;"s"</f>
        <v>2000s</v>
      </c>
      <c r="C11" s="16" t="n">
        <v>-0.1644</v>
      </c>
      <c r="D11" s="16" t="n">
        <v>-0.1918</v>
      </c>
      <c r="E11" s="15" t="str">
        <f aca="false">IF(C11&gt;=0,"Up","Down")</f>
        <v>Down</v>
      </c>
      <c r="F11" s="17" t="n">
        <f aca="false">F10*(1+C11)</f>
        <v>2.02040095539039</v>
      </c>
      <c r="G11" s="17" t="n">
        <f aca="false">G10*(1+D11)</f>
        <v>1.553630342534</v>
      </c>
      <c r="H11" s="16" t="n">
        <v>-0.2033</v>
      </c>
    </row>
    <row r="12" customFormat="false" ht="15" hidden="false" customHeight="false" outlineLevel="0" collapsed="false">
      <c r="A12" s="14" t="n">
        <v>2001</v>
      </c>
      <c r="B12" s="15" t="str">
        <f aca="false">INT(A12/10)*10&amp;"s"</f>
        <v>2000s</v>
      </c>
      <c r="C12" s="16" t="n">
        <v>-0.2111</v>
      </c>
      <c r="D12" s="16" t="n">
        <v>-0.2232</v>
      </c>
      <c r="E12" s="15" t="str">
        <f aca="false">IF(C12&gt;=0,"Up","Down")</f>
        <v>Down</v>
      </c>
      <c r="F12" s="17" t="n">
        <f aca="false">F11*(1+C12)</f>
        <v>1.59389431370748</v>
      </c>
      <c r="G12" s="17" t="n">
        <f aca="false">G11*(1+D12)</f>
        <v>1.20686005008041</v>
      </c>
      <c r="H12" s="16" t="n">
        <v>-0.1641</v>
      </c>
    </row>
    <row r="13" customFormat="false" ht="15" hidden="false" customHeight="false" outlineLevel="0" collapsed="false">
      <c r="A13" s="14" t="n">
        <v>2002</v>
      </c>
      <c r="B13" s="15" t="str">
        <f aca="false">INT(A13/10)*10&amp;"s"</f>
        <v>2000s</v>
      </c>
      <c r="C13" s="16" t="n">
        <v>-0.1197</v>
      </c>
      <c r="D13" s="16" t="n">
        <v>-0.1401</v>
      </c>
      <c r="E13" s="15" t="str">
        <f aca="false">IF(C13&gt;=0,"Up","Down")</f>
        <v>Down</v>
      </c>
      <c r="F13" s="17" t="n">
        <f aca="false">F12*(1+C13)</f>
        <v>1.40310516435669</v>
      </c>
      <c r="G13" s="17" t="n">
        <f aca="false">G12*(1+D13)</f>
        <v>1.03777895706415</v>
      </c>
      <c r="H13" s="16" t="n">
        <v>-0.1055</v>
      </c>
    </row>
    <row r="14" customFormat="false" ht="15" hidden="false" customHeight="false" outlineLevel="0" collapsed="false">
      <c r="A14" s="14" t="n">
        <v>2003</v>
      </c>
      <c r="B14" s="15" t="str">
        <f aca="false">INT(A14/10)*10&amp;"s"</f>
        <v>2000s</v>
      </c>
      <c r="C14" s="16" t="n">
        <v>0.4391</v>
      </c>
      <c r="D14" s="16" t="n">
        <v>0.4126</v>
      </c>
      <c r="E14" s="15" t="str">
        <f aca="false">IF(C14&gt;=0,"Up","Down")</f>
        <v>Up</v>
      </c>
      <c r="F14" s="17" t="n">
        <f aca="false">F13*(1+C14)</f>
        <v>2.01920864202572</v>
      </c>
      <c r="G14" s="17" t="n">
        <f aca="false">G13*(1+D14)</f>
        <v>1.46596655474882</v>
      </c>
      <c r="H14" s="16" t="n">
        <v>0.468</v>
      </c>
    </row>
    <row r="15" customFormat="false" ht="15" hidden="false" customHeight="false" outlineLevel="0" collapsed="false">
      <c r="A15" s="14" t="n">
        <v>2004</v>
      </c>
      <c r="B15" s="15" t="str">
        <f aca="false">INT(A15/10)*10&amp;"s"</f>
        <v>2000s</v>
      </c>
      <c r="C15" s="16" t="n">
        <v>0.2269</v>
      </c>
      <c r="D15" s="16" t="n">
        <v>0.1882</v>
      </c>
      <c r="E15" s="15" t="str">
        <f aca="false">IF(C15&gt;=0,"Up","Down")</f>
        <v>Up</v>
      </c>
      <c r="F15" s="17" t="n">
        <f aca="false">F14*(1+C15)</f>
        <v>2.47736708290135</v>
      </c>
      <c r="G15" s="17" t="n">
        <f aca="false">G14*(1+D15)</f>
        <v>1.74186146035254</v>
      </c>
      <c r="H15" s="16" t="n">
        <v>0.2436</v>
      </c>
    </row>
    <row r="16" customFormat="false" ht="15" hidden="false" customHeight="false" outlineLevel="0" collapsed="false">
      <c r="A16" s="14" t="n">
        <v>2005</v>
      </c>
      <c r="B16" s="15" t="str">
        <f aca="false">INT(A16/10)*10&amp;"s"</f>
        <v>2000s</v>
      </c>
      <c r="C16" s="16" t="n">
        <v>0.168</v>
      </c>
      <c r="D16" s="16" t="n">
        <v>0.1294</v>
      </c>
      <c r="E16" s="15" t="str">
        <f aca="false">IF(C16&gt;=0,"Up","Down")</f>
        <v>Up</v>
      </c>
      <c r="F16" s="17" t="n">
        <f aca="false">F15*(1+C16)</f>
        <v>2.89356475282878</v>
      </c>
      <c r="G16" s="17" t="n">
        <f aca="false">G15*(1+D16)</f>
        <v>1.96725833332216</v>
      </c>
      <c r="H16" s="16" t="n">
        <v>0.2162</v>
      </c>
    </row>
    <row r="17" customFormat="false" ht="15" hidden="false" customHeight="false" outlineLevel="0" collapsed="false">
      <c r="A17" s="14" t="n">
        <v>2006</v>
      </c>
      <c r="B17" s="15" t="str">
        <f aca="false">INT(A17/10)*10&amp;"s"</f>
        <v>2000s</v>
      </c>
      <c r="C17" s="16" t="n">
        <v>0.2552</v>
      </c>
      <c r="D17" s="16" t="n">
        <v>0.2241</v>
      </c>
      <c r="E17" s="15" t="str">
        <f aca="false">IF(C17&gt;=0,"Up","Down")</f>
        <v>Up</v>
      </c>
      <c r="F17" s="17" t="n">
        <f aca="false">F16*(1+C17)</f>
        <v>3.63200247775069</v>
      </c>
      <c r="G17" s="17" t="n">
        <f aca="false">G16*(1+D17)</f>
        <v>2.40812092581966</v>
      </c>
      <c r="H17" s="16" t="n">
        <v>0.2753</v>
      </c>
    </row>
    <row r="18" customFormat="false" ht="15" hidden="false" customHeight="false" outlineLevel="0" collapsed="false">
      <c r="A18" s="14" t="n">
        <v>2007</v>
      </c>
      <c r="B18" s="15" t="str">
        <f aca="false">INT(A18/10)*10&amp;"s"</f>
        <v>2000s</v>
      </c>
      <c r="C18" s="16" t="n">
        <v>0.1302</v>
      </c>
      <c r="D18" s="16" t="n">
        <v>0.0859</v>
      </c>
      <c r="E18" s="15" t="str">
        <f aca="false">IF(C18&gt;=0,"Up","Down")</f>
        <v>Up</v>
      </c>
      <c r="F18" s="17" t="n">
        <f aca="false">F17*(1+C18)</f>
        <v>4.10488920035383</v>
      </c>
      <c r="G18" s="17" t="n">
        <f aca="false">G17*(1+D18)</f>
        <v>2.61497851334757</v>
      </c>
      <c r="H18" s="16" t="n">
        <v>0.1988</v>
      </c>
    </row>
    <row r="19" customFormat="false" ht="15" hidden="false" customHeight="false" outlineLevel="0" collapsed="false">
      <c r="A19" s="14" t="n">
        <v>2008</v>
      </c>
      <c r="B19" s="15" t="str">
        <f aca="false">INT(A19/10)*10&amp;"s"</f>
        <v>2000s</v>
      </c>
      <c r="C19" s="16" t="n">
        <v>-0.428</v>
      </c>
      <c r="D19" s="16" t="n">
        <v>-0.4285</v>
      </c>
      <c r="E19" s="15" t="str">
        <f aca="false">IF(C19&gt;=0,"Up","Down")</f>
        <v>Down</v>
      </c>
      <c r="F19" s="17" t="n">
        <f aca="false">F18*(1+C19)</f>
        <v>2.34799662260239</v>
      </c>
      <c r="G19" s="17" t="n">
        <f aca="false">G18*(1+D19)</f>
        <v>1.49446022037813</v>
      </c>
      <c r="H19" s="16" t="n">
        <v>-0.4554</v>
      </c>
    </row>
    <row r="20" customFormat="false" ht="15" hidden="false" customHeight="false" outlineLevel="0" collapsed="false">
      <c r="A20" s="14" t="n">
        <v>2009</v>
      </c>
      <c r="B20" s="15" t="str">
        <f aca="false">INT(A20/10)*10&amp;"s"</f>
        <v>2000s</v>
      </c>
      <c r="C20" s="16" t="n">
        <v>0.3354</v>
      </c>
      <c r="D20" s="16" t="n">
        <v>0.3</v>
      </c>
      <c r="E20" s="15" t="str">
        <f aca="false">IF(C20&gt;=0,"Up","Down")</f>
        <v>Up</v>
      </c>
      <c r="F20" s="17" t="n">
        <f aca="false">F19*(1+C20)</f>
        <v>3.13551468982323</v>
      </c>
      <c r="G20" s="17" t="n">
        <f aca="false">G19*(1+D20)</f>
        <v>1.94279828649157</v>
      </c>
      <c r="H20" s="16" t="n">
        <v>0.4562</v>
      </c>
    </row>
    <row r="21" customFormat="false" ht="15" hidden="false" customHeight="false" outlineLevel="0" collapsed="false">
      <c r="A21" s="14" t="n">
        <v>2010</v>
      </c>
      <c r="B21" s="15" t="str">
        <f aca="false">INT(A21/10)*10&amp;"s"</f>
        <v>2010s</v>
      </c>
      <c r="C21" s="16" t="n">
        <v>0.1189</v>
      </c>
      <c r="D21" s="16" t="n">
        <v>0.1024</v>
      </c>
      <c r="E21" s="15" t="str">
        <f aca="false">IF(C21&gt;=0,"Up","Down")</f>
        <v>Up</v>
      </c>
      <c r="F21" s="17" t="n">
        <f aca="false">F20*(1+C21)</f>
        <v>3.50832738644321</v>
      </c>
      <c r="G21" s="17" t="n">
        <f aca="false">G20*(1+D21)</f>
        <v>2.14174083102831</v>
      </c>
      <c r="H21" s="16" t="n">
        <v>0.146</v>
      </c>
    </row>
    <row r="22" customFormat="false" ht="15" hidden="false" customHeight="false" outlineLevel="0" collapsed="false">
      <c r="A22" s="14" t="n">
        <v>2011</v>
      </c>
      <c r="B22" s="15" t="str">
        <f aca="false">INT(A22/10)*10&amp;"s"</f>
        <v>2010s</v>
      </c>
      <c r="C22" s="16" t="n">
        <v>-0.126</v>
      </c>
      <c r="D22" s="16" t="n">
        <v>-0.1511</v>
      </c>
      <c r="E22" s="15" t="str">
        <f aca="false">IF(C22&gt;=0,"Up","Down")</f>
        <v>Down</v>
      </c>
      <c r="F22" s="17" t="n">
        <f aca="false">F21*(1+C22)</f>
        <v>3.06627813575137</v>
      </c>
      <c r="G22" s="17" t="n">
        <f aca="false">G21*(1+D22)</f>
        <v>1.81812379145993</v>
      </c>
      <c r="H22" s="16" t="n">
        <v>-0.1414</v>
      </c>
    </row>
    <row r="23" customFormat="false" ht="15" hidden="false" customHeight="false" outlineLevel="0" collapsed="false">
      <c r="A23" s="14" t="n">
        <v>2012</v>
      </c>
      <c r="B23" s="15" t="str">
        <f aca="false">INT(A23/10)*10&amp;"s"</f>
        <v>2010s</v>
      </c>
      <c r="C23" s="16" t="n">
        <v>0.1729</v>
      </c>
      <c r="D23" s="16" t="n">
        <v>0.1528</v>
      </c>
      <c r="E23" s="15" t="str">
        <f aca="false">IF(C23&gt;=0,"Up","Down")</f>
        <v>Up</v>
      </c>
      <c r="F23" s="17" t="n">
        <f aca="false">F22*(1+C23)</f>
        <v>3.59643762542278</v>
      </c>
      <c r="G23" s="17" t="n">
        <f aca="false">G22*(1+D23)</f>
        <v>2.09593310679501</v>
      </c>
      <c r="H23" s="16" t="n">
        <v>0.178</v>
      </c>
    </row>
    <row r="24" customFormat="false" ht="15" hidden="false" customHeight="false" outlineLevel="0" collapsed="false">
      <c r="A24" s="14" t="n">
        <v>2013</v>
      </c>
      <c r="B24" s="15" t="str">
        <f aca="false">INT(A24/10)*10&amp;"s"</f>
        <v>2010s</v>
      </c>
      <c r="C24" s="16" t="n">
        <v>0.2302</v>
      </c>
      <c r="D24" s="16" t="n">
        <v>0.212</v>
      </c>
      <c r="E24" s="15" t="str">
        <f aca="false">IF(C24&gt;=0,"Up","Down")</f>
        <v>Up</v>
      </c>
      <c r="F24" s="17" t="n">
        <f aca="false">F23*(1+C24)</f>
        <v>4.4243375667951</v>
      </c>
      <c r="G24" s="17" t="n">
        <f aca="false">G23*(1+D24)</f>
        <v>2.54027092543555</v>
      </c>
      <c r="H24" s="16" t="n">
        <v>0.1728</v>
      </c>
    </row>
    <row r="25" customFormat="false" ht="15" hidden="false" customHeight="false" outlineLevel="0" collapsed="false">
      <c r="A25" s="14" t="n">
        <v>2014</v>
      </c>
      <c r="B25" s="15" t="str">
        <f aca="false">INT(A25/10)*10&amp;"s"</f>
        <v>2010s</v>
      </c>
      <c r="C25" s="16" t="n">
        <v>-0.0452</v>
      </c>
      <c r="D25" s="16" t="n">
        <v>-0.0524</v>
      </c>
      <c r="E25" s="15" t="str">
        <f aca="false">IF(C25&gt;=0,"Up","Down")</f>
        <v>Down</v>
      </c>
      <c r="F25" s="17" t="n">
        <f aca="false">F24*(1+C25)</f>
        <v>4.22435750877596</v>
      </c>
      <c r="G25" s="17" t="n">
        <f aca="false">G24*(1+D25)</f>
        <v>2.40716072894273</v>
      </c>
      <c r="H25" s="16" t="n">
        <v>-0.0339</v>
      </c>
    </row>
    <row r="26" customFormat="false" ht="15" hidden="false" customHeight="false" outlineLevel="0" collapsed="false">
      <c r="A26" s="14" t="n">
        <v>2015</v>
      </c>
      <c r="B26" s="15" t="str">
        <f aca="false">INT(A26/10)*10&amp;"s"</f>
        <v>2010s</v>
      </c>
      <c r="C26" s="16" t="n">
        <v>-0.0076</v>
      </c>
      <c r="D26" s="16" t="n">
        <v>-0.0148</v>
      </c>
      <c r="E26" s="15" t="str">
        <f aca="false">IF(C26&gt;=0,"Up","Down")</f>
        <v>Down</v>
      </c>
      <c r="F26" s="17" t="n">
        <f aca="false">F25*(1+C26)</f>
        <v>4.19225239170927</v>
      </c>
      <c r="G26" s="17" t="n">
        <f aca="false">G25*(1+D26)</f>
        <v>2.37153475015438</v>
      </c>
      <c r="H26" s="16" t="n">
        <v>-0.0335</v>
      </c>
    </row>
    <row r="27" customFormat="false" ht="15" hidden="false" customHeight="false" outlineLevel="0" collapsed="false">
      <c r="A27" s="14" t="n">
        <v>2016</v>
      </c>
      <c r="B27" s="15" t="str">
        <f aca="false">INT(A27/10)*10&amp;"s"</f>
        <v>2010s</v>
      </c>
      <c r="C27" s="16" t="n">
        <v>0.0329</v>
      </c>
      <c r="D27" s="16" t="n">
        <v>0.0119</v>
      </c>
      <c r="E27" s="15" t="str">
        <f aca="false">IF(C27&gt;=0,"Up","Down")</f>
        <v>Up</v>
      </c>
      <c r="F27" s="17" t="n">
        <f aca="false">F26*(1+C27)</f>
        <v>4.3301774953965</v>
      </c>
      <c r="G27" s="17" t="n">
        <f aca="false">G26*(1+D27)</f>
        <v>2.39975601368122</v>
      </c>
      <c r="H27" s="16" t="n">
        <v>0.0508</v>
      </c>
    </row>
    <row r="28" customFormat="false" ht="15" hidden="false" customHeight="false" outlineLevel="0" collapsed="false">
      <c r="A28" s="14" t="n">
        <v>2017</v>
      </c>
      <c r="B28" s="15" t="str">
        <f aca="false">INT(A28/10)*10&amp;"s"</f>
        <v>2010s</v>
      </c>
      <c r="C28" s="16" t="n">
        <v>0.2712</v>
      </c>
      <c r="D28" s="16" t="n">
        <v>0.2449</v>
      </c>
      <c r="E28" s="15" t="str">
        <f aca="false">IF(C28&gt;=0,"Up","Down")</f>
        <v>Up</v>
      </c>
      <c r="F28" s="17" t="n">
        <f aca="false">F27*(1+C28)</f>
        <v>5.50452163214803</v>
      </c>
      <c r="G28" s="17" t="n">
        <f aca="false">G27*(1+D28)</f>
        <v>2.98745626143174</v>
      </c>
      <c r="H28" s="16" t="n">
        <v>0.2926</v>
      </c>
    </row>
    <row r="29" customFormat="false" ht="15" hidden="false" customHeight="false" outlineLevel="0" collapsed="false">
      <c r="A29" s="14" t="n">
        <v>2018</v>
      </c>
      <c r="B29" s="15" t="str">
        <f aca="false">INT(A29/10)*10&amp;"s"</f>
        <v>2010s</v>
      </c>
      <c r="C29" s="16" t="n">
        <v>-0.14</v>
      </c>
      <c r="D29" s="16" t="n">
        <v>-0.1561</v>
      </c>
      <c r="E29" s="15" t="str">
        <f aca="false">IF(C29&gt;=0,"Up","Down")</f>
        <v>Down</v>
      </c>
      <c r="F29" s="17" t="n">
        <f aca="false">F28*(1+C29)</f>
        <v>4.73388860364731</v>
      </c>
      <c r="G29" s="17" t="n">
        <f aca="false">G28*(1+D29)</f>
        <v>2.52111433902225</v>
      </c>
      <c r="H29" s="16" t="n">
        <v>-0.1398</v>
      </c>
    </row>
    <row r="30" customFormat="false" ht="15" hidden="false" customHeight="false" outlineLevel="0" collapsed="false">
      <c r="A30" s="14" t="n">
        <v>2019</v>
      </c>
      <c r="B30" s="15" t="str">
        <f aca="false">INT(A30/10)*10&amp;"s"</f>
        <v>2010s</v>
      </c>
      <c r="C30" s="16" t="n">
        <v>0.2188</v>
      </c>
      <c r="D30" s="16" t="n">
        <v>0.1916</v>
      </c>
      <c r="E30" s="15" t="str">
        <f aca="false">IF(C30&gt;=0,"Up","Down")</f>
        <v>Up</v>
      </c>
      <c r="F30" s="17" t="n">
        <f aca="false">F29*(1+C30)</f>
        <v>5.76966343012534</v>
      </c>
      <c r="G30" s="17" t="n">
        <f aca="false">G29*(1+D30)</f>
        <v>3.00415984637891</v>
      </c>
      <c r="H30" s="16" t="n">
        <v>0.2063</v>
      </c>
    </row>
    <row r="31" customFormat="false" ht="15" hidden="false" customHeight="false" outlineLevel="0" collapsed="false">
      <c r="A31" s="14" t="n">
        <v>2020</v>
      </c>
      <c r="B31" s="15" t="str">
        <f aca="false">INT(A31/10)*10&amp;"s"</f>
        <v>2020s</v>
      </c>
      <c r="C31" s="16" t="n">
        <v>0.106</v>
      </c>
      <c r="D31" s="16" t="n">
        <v>0.0911</v>
      </c>
      <c r="E31" s="15" t="str">
        <f aca="false">IF(C31&gt;=0,"Up","Down")</f>
        <v>Up</v>
      </c>
      <c r="F31" s="17" t="n">
        <f aca="false">F30*(1+C31)</f>
        <v>6.38124775371862</v>
      </c>
      <c r="G31" s="17" t="n">
        <f aca="false">G30*(1+D31)</f>
        <v>3.27783880838403</v>
      </c>
      <c r="H31" s="16" t="n">
        <v>0.1249</v>
      </c>
    </row>
    <row r="32" customFormat="false" ht="15" hidden="false" customHeight="false" outlineLevel="0" collapsed="false">
      <c r="A32" s="14" t="n">
        <v>2021</v>
      </c>
      <c r="B32" s="15" t="str">
        <f aca="false">INT(A32/10)*10&amp;"s"</f>
        <v>2020s</v>
      </c>
      <c r="C32" s="16" t="n">
        <v>0.1215</v>
      </c>
      <c r="D32" s="16" t="n">
        <v>0.0478</v>
      </c>
      <c r="E32" s="15" t="str">
        <f aca="false">IF(C32&gt;=0,"Up","Down")</f>
        <v>Up</v>
      </c>
      <c r="F32" s="17" t="n">
        <f aca="false">F31*(1+C32)</f>
        <v>7.15656935579543</v>
      </c>
      <c r="G32" s="17" t="n">
        <f aca="false">G31*(1+D32)</f>
        <v>3.43451950342479</v>
      </c>
      <c r="H32" s="16" t="n">
        <v>0.097</v>
      </c>
    </row>
    <row r="33" customFormat="false" ht="15" hidden="false" customHeight="false" outlineLevel="0" collapsed="false">
      <c r="A33" s="14" t="n">
        <v>2022</v>
      </c>
      <c r="B33" s="15" t="str">
        <f aca="false">INT(A33/10)*10&amp;"s"</f>
        <v>2020s</v>
      </c>
      <c r="C33" s="16" t="n">
        <v>-0.1504</v>
      </c>
      <c r="D33" s="16" t="n">
        <v>-0.2019</v>
      </c>
      <c r="E33" s="15" t="str">
        <f aca="false">IF(C33&gt;=0,"Up","Down")</f>
        <v>Down</v>
      </c>
      <c r="F33" s="17" t="n">
        <f aca="false">F32*(1+C33)</f>
        <v>6.0802213246838</v>
      </c>
      <c r="G33" s="17" t="n">
        <f aca="false">G32*(1+D33)</f>
        <v>2.74109001568332</v>
      </c>
      <c r="H33" s="16" t="n">
        <v>-0.1572</v>
      </c>
    </row>
    <row r="34" customFormat="false" ht="15" hidden="false" customHeight="false" outlineLevel="0" collapsed="false">
      <c r="A34" s="14" t="n">
        <v>2023</v>
      </c>
      <c r="B34" s="15" t="str">
        <f aca="false">INT(A34/10)*10&amp;"s"</f>
        <v>2020s</v>
      </c>
      <c r="C34" s="16" t="n">
        <v>0.1606</v>
      </c>
      <c r="D34" s="16" t="n">
        <v>0.123</v>
      </c>
      <c r="E34" s="15" t="str">
        <f aca="false">IF(C34&gt;=0,"Up","Down")</f>
        <v>Up</v>
      </c>
      <c r="F34" s="17" t="n">
        <f aca="false">F33*(1+C34)</f>
        <v>7.05670486942802</v>
      </c>
      <c r="G34" s="17" t="n">
        <f aca="false">G33*(1+D34)</f>
        <v>3.07824408761237</v>
      </c>
      <c r="H34" s="16" t="n">
        <v>0.1517</v>
      </c>
    </row>
    <row r="35" customFormat="false" ht="15" hidden="false" customHeight="false" outlineLevel="0" collapsed="false">
      <c r="A35" s="14" t="n">
        <v>2024</v>
      </c>
      <c r="B35" s="15" t="str">
        <f aca="false">INT(A35/10)*10&amp;"s"</f>
        <v>2020s</v>
      </c>
      <c r="C35" s="16" t="n">
        <v>0.0359</v>
      </c>
      <c r="D35" s="16" t="n">
        <v>0.0068</v>
      </c>
      <c r="E35" s="15" t="str">
        <f aca="false">IF(C35&gt;=0,"Up","Down")</f>
        <v>Up</v>
      </c>
      <c r="F35" s="17" t="n">
        <f aca="false">F34*(1+C35)</f>
        <v>7.31004057424049</v>
      </c>
      <c r="G35" s="17" t="n">
        <f aca="false">G34*(1+D35)</f>
        <v>3.09917614740814</v>
      </c>
      <c r="H35" s="16" t="n">
        <v>0.043</v>
      </c>
    </row>
    <row r="36" customFormat="false" ht="15" hidden="false" customHeight="false" outlineLevel="0" collapsed="false">
      <c r="A36" s="14" t="n">
        <v>2025</v>
      </c>
      <c r="B36" s="15" t="str">
        <f aca="false">INT(A36/10)*10&amp;"s"</f>
        <v>2020s</v>
      </c>
      <c r="C36" s="16" t="n">
        <v>0.3192</v>
      </c>
      <c r="D36" s="16" t="n">
        <v>0.2848</v>
      </c>
      <c r="E36" s="15" t="str">
        <f aca="false">IF(C36&gt;=0,"Up","Down")</f>
        <v>Up</v>
      </c>
      <c r="F36" s="17" t="n">
        <f aca="false">F35*(1+C36)</f>
        <v>9.64340552553805</v>
      </c>
      <c r="G36" s="17" t="n">
        <f aca="false">G35*(1+D36)</f>
        <v>3.98182151418997</v>
      </c>
      <c r="H36" s="16" t="n">
        <v>0.3134</v>
      </c>
    </row>
    <row r="38" customFormat="false" ht="15" hidden="false" customHeight="false" outlineLevel="0" collapsed="false">
      <c r="A38" s="18" t="s">
        <v>10633</v>
      </c>
    </row>
    <row r="39" customFormat="false" ht="15" hidden="false" customHeight="false" outlineLevel="0" collapsed="false">
      <c r="A39" s="19" t="s">
        <v>10634</v>
      </c>
      <c r="C39" s="20" t="n">
        <f aca="false">COUNT(A2:A36)</f>
        <v>35</v>
      </c>
    </row>
    <row r="40" customFormat="false" ht="15" hidden="false" customHeight="false" outlineLevel="0" collapsed="false">
      <c r="A40" s="19" t="s">
        <v>10635</v>
      </c>
      <c r="C40" s="20" t="n">
        <f aca="false">COUNTIF(C2:C36,"&gt;=0")</f>
        <v>24</v>
      </c>
    </row>
    <row r="41" customFormat="false" ht="15" hidden="false" customHeight="false" outlineLevel="0" collapsed="false">
      <c r="A41" s="19" t="s">
        <v>10636</v>
      </c>
      <c r="C41" s="20" t="n">
        <f aca="false">COUNTIF(C2:C36,"&lt;0")</f>
        <v>11</v>
      </c>
    </row>
    <row r="42" customFormat="false" ht="15" hidden="false" customHeight="false" outlineLevel="0" collapsed="false">
      <c r="A42" s="19" t="s">
        <v>10637</v>
      </c>
      <c r="C42" s="21" t="n">
        <f aca="false">AVERAGE(C2:C36)</f>
        <v>0.0847285714285714</v>
      </c>
    </row>
    <row r="43" customFormat="false" ht="15" hidden="false" customHeight="false" outlineLevel="0" collapsed="false">
      <c r="A43" s="19" t="s">
        <v>10638</v>
      </c>
      <c r="C43" s="21" t="n">
        <f aca="false">(F36)^(1/COUNT(A2:A36))-1</f>
        <v>0.0668930092059656</v>
      </c>
    </row>
    <row r="44" customFormat="false" ht="15" hidden="false" customHeight="false" outlineLevel="0" collapsed="false">
      <c r="A44" s="19" t="s">
        <v>10639</v>
      </c>
      <c r="C44" s="21" t="n">
        <f aca="false">AVERAGE(D2:D36)</f>
        <v>0.0575085714285714</v>
      </c>
    </row>
    <row r="45" customFormat="false" ht="15" hidden="false" customHeight="false" outlineLevel="0" collapsed="false">
      <c r="A45" s="19" t="s">
        <v>10640</v>
      </c>
      <c r="C45" s="21" t="n">
        <f aca="false">(G36)^(1/COUNT(D2:D36))-1</f>
        <v>0.040267891581498</v>
      </c>
    </row>
    <row r="46" customFormat="false" ht="15" hidden="false" customHeight="false" outlineLevel="0" collapsed="false">
      <c r="A46" s="19" t="s">
        <v>10641</v>
      </c>
      <c r="C46" s="21" t="n">
        <f aca="false">MAX(C2:C36)</f>
        <v>0.4391</v>
      </c>
    </row>
    <row r="47" customFormat="false" ht="15" hidden="false" customHeight="false" outlineLevel="0" collapsed="false">
      <c r="A47" s="19" t="s">
        <v>10642</v>
      </c>
      <c r="C47" s="21" t="n">
        <f aca="false">MIN(C2:C36)</f>
        <v>-0.428</v>
      </c>
    </row>
    <row r="48" customFormat="false" ht="15" hidden="false" customHeight="false" outlineLevel="0" collapsed="false">
      <c r="A48" s="19" t="s">
        <v>10643</v>
      </c>
      <c r="C48" s="21" t="n">
        <f aca="false">STDEV(C2:C36)</f>
        <v>0.189918003315097</v>
      </c>
    </row>
    <row r="49" customFormat="false" ht="15" hidden="false" customHeight="false" outlineLevel="0" collapsed="false">
      <c r="A49" s="19" t="s">
        <v>10644</v>
      </c>
      <c r="C49" s="22" t="n">
        <f aca="false">F36</f>
        <v>9.64340552553805</v>
      </c>
    </row>
    <row r="50" customFormat="false" ht="15" hidden="false" customHeight="false" outlineLevel="0" collapsed="false">
      <c r="A50" s="19" t="s">
        <v>10645</v>
      </c>
      <c r="C50" s="22" t="n">
        <f aca="false">G36</f>
        <v>3.98182151418997</v>
      </c>
    </row>
    <row r="51" customFormat="false" ht="15" hidden="false" customHeight="false" outlineLevel="0" collapsed="false">
      <c r="A51" s="19" t="s">
        <v>10646</v>
      </c>
      <c r="C51" s="21" t="n">
        <f aca="false">AVERAGE(H2:H36)</f>
        <v>0.0954857142857143</v>
      </c>
    </row>
    <row r="52" customFormat="false" ht="15" hidden="false" customHeight="false" outlineLevel="0" collapsed="false">
      <c r="A52" s="19" t="s">
        <v>10647</v>
      </c>
      <c r="C52" s="21" t="n">
        <f aca="false">EXP(SUMPRODUCT(LN(1+H2:H36)))^(1/COUNT(H2:H36))-1</f>
        <v>0.0744071868670029</v>
      </c>
    </row>
    <row r="54" customFormat="false" ht="15" hidden="false" customHeight="false" outlineLevel="0" collapsed="false">
      <c r="A54" s="23" t="s">
        <v>10648</v>
      </c>
    </row>
    <row r="55" customFormat="false" ht="15" hidden="false" customHeight="false" outlineLevel="0" collapsed="false">
      <c r="A55" s="23" t="s">
        <v>10649</v>
      </c>
    </row>
    <row r="56" customFormat="false" ht="15" hidden="false" customHeight="false" outlineLevel="0" collapsed="false">
      <c r="A56" s="23" t="s">
        <v>10650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01"/>
    <col collapsed="false" customWidth="true" hidden="false" outlineLevel="0" max="2" min="2" style="0" width="11.97"/>
    <col collapsed="false" customWidth="true" hidden="false" outlineLevel="0" max="3" min="3" style="0" width="7.94"/>
    <col collapsed="false" customWidth="true" hidden="false" outlineLevel="0" max="5" min="4" style="0" width="13"/>
    <col collapsed="false" customWidth="true" hidden="false" outlineLevel="0" max="6" min="6" style="0" width="11.97"/>
    <col collapsed="false" customWidth="true" hidden="false" outlineLevel="0" max="7" min="7" style="0" width="13.05"/>
    <col collapsed="false" customWidth="true" hidden="false" outlineLevel="0" max="8" min="8" style="0" width="11.97"/>
    <col collapsed="false" customWidth="true" hidden="false" outlineLevel="0" max="9" min="9" style="0" width="13"/>
    <col collapsed="false" customWidth="true" hidden="false" outlineLevel="0" max="10" min="10" style="0" width="13.05"/>
    <col collapsed="false" customWidth="true" hidden="false" outlineLevel="0" max="11" min="11" style="0" width="13"/>
    <col collapsed="false" customWidth="true" hidden="false" outlineLevel="0" max="12" min="12" style="0" width="11.03"/>
    <col collapsed="false" customWidth="true" hidden="false" outlineLevel="0" max="14" min="13" style="0" width="13"/>
  </cols>
  <sheetData>
    <row r="1" customFormat="false" ht="35.05" hidden="false" customHeight="false" outlineLevel="0" collapsed="false">
      <c r="A1" s="1" t="s">
        <v>10626</v>
      </c>
      <c r="B1" s="1" t="s">
        <v>10651</v>
      </c>
      <c r="C1" s="1" t="s">
        <v>10652</v>
      </c>
      <c r="D1" s="1" t="s">
        <v>10653</v>
      </c>
      <c r="E1" s="1" t="s">
        <v>10654</v>
      </c>
      <c r="F1" s="1" t="s">
        <v>10655</v>
      </c>
      <c r="G1" s="1" t="s">
        <v>10656</v>
      </c>
      <c r="H1" s="1" t="s">
        <v>10657</v>
      </c>
      <c r="I1" s="1" t="s">
        <v>10658</v>
      </c>
      <c r="J1" s="1" t="s">
        <v>10659</v>
      </c>
      <c r="K1" s="1" t="s">
        <v>10660</v>
      </c>
      <c r="L1" s="1" t="s">
        <v>10661</v>
      </c>
      <c r="M1" s="1" t="s">
        <v>10662</v>
      </c>
      <c r="N1" s="1" t="s">
        <v>10663</v>
      </c>
    </row>
    <row r="2" customFormat="false" ht="15" hidden="false" customHeight="false" outlineLevel="0" collapsed="false">
      <c r="A2" s="15" t="s">
        <v>10664</v>
      </c>
      <c r="B2" s="15" t="s">
        <v>10665</v>
      </c>
      <c r="C2" s="15" t="n">
        <f aca="false">COUNTIF('Annual Returns'!$B$2:$B$36,"1990s")</f>
        <v>9</v>
      </c>
      <c r="D2" s="15" t="n">
        <f aca="false">COUNTIFS('Annual Returns'!$B$2:$B$36,"1990s",'Annual Returns'!$C$2:$C$36,"&gt;=0")</f>
        <v>7</v>
      </c>
      <c r="E2" s="15" t="n">
        <f aca="false">COUNTIFS('Annual Returns'!$B$2:$B$36,"1990s",'Annual Returns'!$C$2:$C$36,"&lt;0")</f>
        <v>2</v>
      </c>
      <c r="F2" s="16" t="n">
        <f aca="false">AVERAGEIF('Annual Returns'!$B$2:$B$36,"1990s",'Annual Returns'!$C$2:$C$36)</f>
        <v>0.112777777777778</v>
      </c>
      <c r="G2" s="16" t="n">
        <f aca="false">(1+H2)^(1/C2)-1</f>
        <v>0.103073238119041</v>
      </c>
      <c r="H2" s="16" t="n">
        <f aca="false">EXP(SUMPRODUCT(('Annual Returns'!$B$2:$B$36="1990s")*LN(1+'Annual Returns'!$C$2:$C$36)))-1</f>
        <v>1.41790444637433</v>
      </c>
      <c r="I2" s="16" t="n">
        <f aca="false">AVERAGEIF('Annual Returns'!$B$2:$B$36,"1990s",'Annual Returns'!$D$2:$D$36)</f>
        <v>0.0848222222222222</v>
      </c>
      <c r="J2" s="16" t="n">
        <f aca="false">(EXP(SUMPRODUCT(('Annual Returns'!$B$2:$B$36="1990s")*LN(1+'Annual Returns'!$D$2:$D$36))))^(1/C2)-1</f>
        <v>0.07531706675224</v>
      </c>
      <c r="K2" s="16" t="n">
        <f aca="false">_xlfn.MAXIFS('Annual Returns'!$C$2:$C$36,'Annual Returns'!$B$2:$B$36,"1990s")</f>
        <v>0.3664</v>
      </c>
      <c r="L2" s="16" t="n">
        <f aca="false">_xlfn.MINIFS('Annual Returns'!$C$2:$C$36,'Annual Returns'!$B$2:$B$36,"1990s")</f>
        <v>-0.1537</v>
      </c>
      <c r="M2" s="17" t="n">
        <f aca="false">1+H2</f>
        <v>2.41790444637433</v>
      </c>
      <c r="N2" s="16" t="n">
        <f aca="false">(EXP(SUMPRODUCT(('Annual Returns'!$B$2:$B$36="1990s")*LN(1+'Annual Returns'!$H$2:$H$36))))^(1/C2)-1</f>
        <v>0.112909663855969</v>
      </c>
    </row>
    <row r="3" customFormat="false" ht="15" hidden="false" customHeight="false" outlineLevel="0" collapsed="false">
      <c r="A3" s="15" t="s">
        <v>10666</v>
      </c>
      <c r="B3" s="15" t="s">
        <v>10667</v>
      </c>
      <c r="C3" s="15" t="n">
        <f aca="false">COUNTIF('Annual Returns'!$B$2:$B$36,"2000s")</f>
        <v>10</v>
      </c>
      <c r="D3" s="15" t="n">
        <f aca="false">COUNTIFS('Annual Returns'!$B$2:$B$36,"2000s",'Annual Returns'!$C$2:$C$36,"&gt;=0")</f>
        <v>6</v>
      </c>
      <c r="E3" s="15" t="n">
        <f aca="false">COUNTIFS('Annual Returns'!$B$2:$B$36,"2000s",'Annual Returns'!$C$2:$C$36,"&lt;0")</f>
        <v>4</v>
      </c>
      <c r="F3" s="16" t="n">
        <f aca="false">AVERAGEIF('Annual Returns'!$B$2:$B$36,"2000s",'Annual Returns'!$C$2:$C$36)</f>
        <v>0.06316</v>
      </c>
      <c r="G3" s="16" t="n">
        <f aca="false">(1+H3)^(1/C3)-1</f>
        <v>0.0263298745410197</v>
      </c>
      <c r="H3" s="16" t="n">
        <f aca="false">EXP(SUMPRODUCT(('Annual Returns'!$B$2:$B$36="2000s")*LN(1+'Annual Returns'!$C$2:$C$36)))-1</f>
        <v>0.296790158322824</v>
      </c>
      <c r="I3" s="16" t="n">
        <f aca="false">AVERAGEIF('Annual Returns'!$B$2:$B$36,"2000s",'Annual Returns'!$D$2:$D$36)</f>
        <v>0.03566</v>
      </c>
      <c r="J3" s="16" t="n">
        <f aca="false">(EXP(SUMPRODUCT(('Annual Returns'!$B$2:$B$36="2000s")*LN(1+'Annual Returns'!$D$2:$D$36))))^(1/C3)-1</f>
        <v>0.00105948829570668</v>
      </c>
      <c r="K3" s="16" t="n">
        <f aca="false">_xlfn.MAXIFS('Annual Returns'!$C$2:$C$36,'Annual Returns'!$B$2:$B$36,"2000s")</f>
        <v>0.4391</v>
      </c>
      <c r="L3" s="16" t="n">
        <f aca="false">_xlfn.MINIFS('Annual Returns'!$C$2:$C$36,'Annual Returns'!$B$2:$B$36,"2000s")</f>
        <v>-0.428</v>
      </c>
      <c r="M3" s="17" t="n">
        <f aca="false">1+H3</f>
        <v>1.29679015832282</v>
      </c>
      <c r="N3" s="16" t="n">
        <f aca="false">(EXP(SUMPRODUCT(('Annual Returns'!$B$2:$B$36="2000s")*LN(1+'Annual Returns'!$H$2:$H$36))))^(1/C3)-1</f>
        <v>0.048358694406053</v>
      </c>
    </row>
    <row r="4" customFormat="false" ht="15" hidden="false" customHeight="false" outlineLevel="0" collapsed="false">
      <c r="A4" s="15" t="s">
        <v>10668</v>
      </c>
      <c r="B4" s="15" t="s">
        <v>10669</v>
      </c>
      <c r="C4" s="15" t="n">
        <f aca="false">COUNTIF('Annual Returns'!$B$2:$B$36,"2010s")</f>
        <v>10</v>
      </c>
      <c r="D4" s="15" t="n">
        <f aca="false">COUNTIFS('Annual Returns'!$B$2:$B$36,"2010s",'Annual Returns'!$C$2:$C$36,"&gt;=0")</f>
        <v>6</v>
      </c>
      <c r="E4" s="15" t="n">
        <f aca="false">COUNTIFS('Annual Returns'!$B$2:$B$36,"2010s",'Annual Returns'!$C$2:$C$36,"&lt;0")</f>
        <v>4</v>
      </c>
      <c r="F4" s="16" t="n">
        <f aca="false">AVERAGEIF('Annual Returns'!$B$2:$B$36,"2010s",'Annual Returns'!$C$2:$C$36)</f>
        <v>0.07261</v>
      </c>
      <c r="G4" s="16" t="n">
        <f aca="false">(1+H4)^(1/C4)-1</f>
        <v>0.0628798259510919</v>
      </c>
      <c r="H4" s="16" t="n">
        <f aca="false">EXP(SUMPRODUCT(('Annual Returns'!$B$2:$B$36="2010s")*LN(1+'Annual Returns'!$C$2:$C$36)))-1</f>
        <v>0.840100908744462</v>
      </c>
      <c r="I4" s="16" t="n">
        <f aca="false">AVERAGEIF('Annual Returns'!$B$2:$B$36,"2010s",'Annual Returns'!$D$2:$D$36)</f>
        <v>0.05412</v>
      </c>
      <c r="J4" s="16" t="n">
        <f aca="false">(EXP(SUMPRODUCT(('Annual Returns'!$B$2:$B$36="2010s")*LN(1+'Annual Returns'!$D$2:$D$36))))^(1/C4)-1</f>
        <v>0.044550719436653</v>
      </c>
      <c r="K4" s="16" t="n">
        <f aca="false">_xlfn.MAXIFS('Annual Returns'!$C$2:$C$36,'Annual Returns'!$B$2:$B$36,"2010s")</f>
        <v>0.2712</v>
      </c>
      <c r="L4" s="16" t="n">
        <f aca="false">_xlfn.MINIFS('Annual Returns'!$C$2:$C$36,'Annual Returns'!$B$2:$B$36,"2010s")</f>
        <v>-0.14</v>
      </c>
      <c r="M4" s="17" t="n">
        <f aca="false">1+H4</f>
        <v>1.84010090874446</v>
      </c>
      <c r="N4" s="16" t="n">
        <f aca="false">(EXP(SUMPRODUCT(('Annual Returns'!$B$2:$B$36="2010s")*LN(1+'Annual Returns'!$H$2:$H$36))))^(1/C4)-1</f>
        <v>0.0598899329914782</v>
      </c>
    </row>
    <row r="5" customFormat="false" ht="15" hidden="false" customHeight="false" outlineLevel="0" collapsed="false">
      <c r="A5" s="15" t="s">
        <v>10670</v>
      </c>
      <c r="B5" s="15" t="s">
        <v>10671</v>
      </c>
      <c r="C5" s="15" t="n">
        <f aca="false">COUNTIF('Annual Returns'!$B$2:$B$36,"2020s")</f>
        <v>6</v>
      </c>
      <c r="D5" s="15" t="n">
        <f aca="false">COUNTIFS('Annual Returns'!$B$2:$B$36,"2020s",'Annual Returns'!$C$2:$C$36,"&gt;=0")</f>
        <v>5</v>
      </c>
      <c r="E5" s="15" t="n">
        <f aca="false">COUNTIFS('Annual Returns'!$B$2:$B$36,"2020s",'Annual Returns'!$C$2:$C$36,"&lt;0")</f>
        <v>1</v>
      </c>
      <c r="F5" s="16" t="n">
        <f aca="false">AVERAGEIF('Annual Returns'!$B$2:$B$36,"2020s",'Annual Returns'!$C$2:$C$36)</f>
        <v>0.0988</v>
      </c>
      <c r="G5" s="16" t="n">
        <f aca="false">(1+H5)^(1/C5)-1</f>
        <v>0.0893814899618997</v>
      </c>
      <c r="H5" s="16" t="n">
        <f aca="false">EXP(SUMPRODUCT(('Annual Returns'!$B$2:$B$36="2020s")*LN(1+'Annual Returns'!$C$2:$C$36)))-1</f>
        <v>0.671398278656362</v>
      </c>
      <c r="I5" s="16" t="n">
        <f aca="false">AVERAGEIF('Annual Returns'!$B$2:$B$36,"2020s",'Annual Returns'!$D$2:$D$36)</f>
        <v>0.0586</v>
      </c>
      <c r="J5" s="16" t="n">
        <f aca="false">(EXP(SUMPRODUCT(('Annual Returns'!$B$2:$B$36="2020s")*LN(1+'Annual Returns'!$D$2:$D$36))))^(1/C5)-1</f>
        <v>0.0480768426003027</v>
      </c>
      <c r="K5" s="16" t="n">
        <f aca="false">_xlfn.MAXIFS('Annual Returns'!$C$2:$C$36,'Annual Returns'!$B$2:$B$36,"2020s")</f>
        <v>0.3192</v>
      </c>
      <c r="L5" s="16" t="n">
        <f aca="false">_xlfn.MINIFS('Annual Returns'!$C$2:$C$36,'Annual Returns'!$B$2:$B$36,"2020s")</f>
        <v>-0.1504</v>
      </c>
      <c r="M5" s="17" t="n">
        <f aca="false">1+H5</f>
        <v>1.67139827865636</v>
      </c>
      <c r="N5" s="16" t="n">
        <f aca="false">(EXP(SUMPRODUCT(('Annual Returns'!$B$2:$B$36="2020s")*LN(1+'Annual Returns'!$H$2:$H$36))))^(1/C5)-1</f>
        <v>0.0860361789682802</v>
      </c>
    </row>
    <row r="6" customFormat="false" ht="15" hidden="false" customHeight="false" outlineLevel="0" collapsed="false">
      <c r="A6" s="24" t="s">
        <v>10672</v>
      </c>
      <c r="B6" s="24" t="s">
        <v>10673</v>
      </c>
      <c r="C6" s="24" t="n">
        <f aca="false">COUNT('Annual Returns'!$A$2:$A$36)</f>
        <v>35</v>
      </c>
      <c r="D6" s="24" t="n">
        <f aca="false">COUNTIF('Annual Returns'!$C$2:$C$36,"&gt;=0")</f>
        <v>24</v>
      </c>
      <c r="E6" s="24" t="n">
        <f aca="false">COUNTIF('Annual Returns'!$C$2:$C$36,"&lt;0")</f>
        <v>11</v>
      </c>
      <c r="F6" s="25" t="n">
        <f aca="false">AVERAGE('Annual Returns'!$C$2:$C$36)</f>
        <v>0.0847285714285714</v>
      </c>
      <c r="G6" s="25" t="n">
        <f aca="false">(1+H6)^(1/C6)-1</f>
        <v>0.0668930092059656</v>
      </c>
      <c r="H6" s="25" t="n">
        <f aca="false">EXP(SUMPRODUCT(LN(1+'Annual Returns'!$C$2:$C$36)))-1</f>
        <v>8.64340552553805</v>
      </c>
      <c r="I6" s="25" t="n">
        <f aca="false">AVERAGE('Annual Returns'!$D$2:$D$36)</f>
        <v>0.0575085714285714</v>
      </c>
      <c r="J6" s="25" t="n">
        <f aca="false">(EXP(SUMPRODUCT(LN(1+'Annual Returns'!$D$2:$D$36))))^(1/C6)-1</f>
        <v>0.040267891581498</v>
      </c>
      <c r="K6" s="25" t="n">
        <f aca="false">MAX('Annual Returns'!$C$2:$C$36)</f>
        <v>0.4391</v>
      </c>
      <c r="L6" s="25" t="n">
        <f aca="false">MIN('Annual Returns'!$C$2:$C$36)</f>
        <v>-0.428</v>
      </c>
      <c r="M6" s="26" t="n">
        <f aca="false">1+H6</f>
        <v>9.64340552553805</v>
      </c>
      <c r="N6" s="25" t="n">
        <f aca="false">(EXP(SUMPRODUCT(LN(1+'Annual Returns'!$H$2:$H$36))))^(1/C6)-1</f>
        <v>0.0744071868670029</v>
      </c>
    </row>
    <row r="9" customFormat="false" ht="15" hidden="false" customHeight="false" outlineLevel="0" collapsed="false">
      <c r="A9" s="27" t="s">
        <v>10674</v>
      </c>
    </row>
    <row r="10" customFormat="false" ht="15" hidden="false" customHeight="false" outlineLevel="0" collapsed="false">
      <c r="A10" s="27" t="s">
        <v>10675</v>
      </c>
    </row>
    <row r="11" customFormat="false" ht="15" hidden="false" customHeight="false" outlineLevel="0" collapsed="false">
      <c r="A11" s="27" t="s">
        <v>10676</v>
      </c>
    </row>
    <row r="12" customFormat="false" ht="15" hidden="false" customHeight="false" outlineLevel="0" collapsed="false">
      <c r="A12" s="27" t="s">
        <v>10677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2026-09-22T12:18:34Z</dcterms:created>
  <dc:creator>openpyxl</dc:creator>
  <dc:description/>
  <dc:language>en-US</dc:language>
  <cp:lastModifiedBy/>
  <dcterms:modified xsi:type="dcterms:W3CDTF">2026-09-22T12:18:53Z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