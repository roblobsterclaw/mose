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Overlap vs S&amp;P 500" sheetId="3" state="visible" r:id="rId5"/>
    <sheet name="Notes" sheetId="4" state="visible" r:id="rId6"/>
    <sheet name="Annual Returns" sheetId="5" state="visible" r:id="rId7"/>
    <sheet name="By Decade" sheetId="6" state="visible" r:id="rId8"/>
  </sheets>
  <definedNames>
    <definedName function="false" hidden="true" localSheetId="0" name="_xlnm._FilterDatabase" vbProcedure="false">Holdings!$A$1:$N$89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<sst xmlns="http://schemas.openxmlformats.org/spreadsheetml/2006/main" count="477" uniqueCount="260">
  <si>
    <t xml:space="preserve">Rank</t>
  </si>
  <si>
    <t xml:space="preserve">Ticker</t>
  </si>
  <si>
    <t xml:space="preserve">Company</t>
  </si>
  <si>
    <t xml:space="preserve">GICS Sector</t>
  </si>
  <si>
    <t xml:space="preserve">Sub-Industry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</si>
  <si>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</si>
  <si>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</si>
  <si>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</si>
  <si>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</si>
  <si>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</si>
  <si>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</si>
  <si>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</si>
  <si>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</si>
  <si>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</si>
  <si>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ETN</t>
  </si>
  <si>
    <t xml:space="preserve">Eaton Corporation plc</t>
  </si>
  <si>
    <t xml:space="preserve">Industrials</t>
  </si>
  <si>
    <t xml:space="preserve">Specialty Industrial Machinery</t>
  </si>
  <si>
    <t xml:space="preserve">PWR</t>
  </si>
  <si>
    <t xml:space="preserve">Quanta Services, Inc.</t>
  </si>
  <si>
    <t xml:space="preserve">Engineering &amp; Construction</t>
  </si>
  <si>
    <t xml:space="preserve">GEV</t>
  </si>
  <si>
    <t xml:space="preserve">GE Vernova Inc.</t>
  </si>
  <si>
    <t xml:space="preserve">VRT</t>
  </si>
  <si>
    <t xml:space="preserve">Vertiv Holdings Co</t>
  </si>
  <si>
    <t xml:space="preserve">Electrical Equipment &amp; Parts</t>
  </si>
  <si>
    <t xml:space="preserve">BE</t>
  </si>
  <si>
    <t xml:space="preserve">Bloom Energy Corporation</t>
  </si>
  <si>
    <t xml:space="preserve">GOOGL</t>
  </si>
  <si>
    <t xml:space="preserve">Alphabet Inc.</t>
  </si>
  <si>
    <t xml:space="preserve">Communication Services</t>
  </si>
  <si>
    <t xml:space="preserve">Internet Content &amp; Information</t>
  </si>
  <si>
    <t xml:space="preserve">NVDA</t>
  </si>
  <si>
    <t xml:space="preserve">NVIDIA Corporation</t>
  </si>
  <si>
    <t xml:space="preserve">Information Technology</t>
  </si>
  <si>
    <t xml:space="preserve">Semiconductors</t>
  </si>
  <si>
    <t xml:space="preserve">AVGO</t>
  </si>
  <si>
    <t xml:space="preserve">Broadcom Inc.</t>
  </si>
  <si>
    <t xml:space="preserve">CCJ</t>
  </si>
  <si>
    <t xml:space="preserve">Cameco Corporation</t>
  </si>
  <si>
    <t xml:space="preserve">Energy</t>
  </si>
  <si>
    <t xml:space="preserve">Uranium</t>
  </si>
  <si>
    <t xml:space="preserve">ADR: Yahoo mixes USD price with CAD earnings; P/E, EPS, P/S blanked</t>
  </si>
  <si>
    <t xml:space="preserve">CEG</t>
  </si>
  <si>
    <t xml:space="preserve">Constellation Energy Corporation</t>
  </si>
  <si>
    <t xml:space="preserve">Utilities</t>
  </si>
  <si>
    <t xml:space="preserve">Utilities - Independent Power Producers</t>
  </si>
  <si>
    <t xml:space="preserve">AMD</t>
  </si>
  <si>
    <t xml:space="preserve">Advanced Micro Devices, Inc.</t>
  </si>
  <si>
    <t xml:space="preserve">NVT</t>
  </si>
  <si>
    <t xml:space="preserve">nVent Electric plc</t>
  </si>
  <si>
    <t xml:space="preserve">HUBB</t>
  </si>
  <si>
    <t xml:space="preserve">Hubbell Incorporated</t>
  </si>
  <si>
    <t xml:space="preserve">VST</t>
  </si>
  <si>
    <t xml:space="preserve">Vistra Corp.</t>
  </si>
  <si>
    <t xml:space="preserve">D</t>
  </si>
  <si>
    <t xml:space="preserve">Dominion Energy, Inc.</t>
  </si>
  <si>
    <t xml:space="preserve">Utilities - Regulated Electric</t>
  </si>
  <si>
    <t xml:space="preserve">XEL</t>
  </si>
  <si>
    <t xml:space="preserve">Xcel Energy Inc.</t>
  </si>
  <si>
    <t xml:space="preserve">STRL</t>
  </si>
  <si>
    <t xml:space="preserve">Sterling Infrastructure, Inc.</t>
  </si>
  <si>
    <t xml:space="preserve">GNRC</t>
  </si>
  <si>
    <t xml:space="preserve">Generac Holdings Inc.</t>
  </si>
  <si>
    <t xml:space="preserve">MTZ</t>
  </si>
  <si>
    <t xml:space="preserve">MasTec, Inc.</t>
  </si>
  <si>
    <t xml:space="preserve">BWXT</t>
  </si>
  <si>
    <t xml:space="preserve">BWX Technologies, Inc.</t>
  </si>
  <si>
    <t xml:space="preserve">Aerospace &amp; Defense</t>
  </si>
  <si>
    <t xml:space="preserve">PEG</t>
  </si>
  <si>
    <t xml:space="preserve">Public Service Enterprise Group Incorporated</t>
  </si>
  <si>
    <t xml:space="preserve">FPS</t>
  </si>
  <si>
    <t xml:space="preserve">Forgent Power Solutions, Inc.</t>
  </si>
  <si>
    <t xml:space="preserve">PCG</t>
  </si>
  <si>
    <t xml:space="preserve">PG&amp;E Corporation</t>
  </si>
  <si>
    <t xml:space="preserve">MRVL</t>
  </si>
  <si>
    <t xml:space="preserve">Marvell Technology, Inc.</t>
  </si>
  <si>
    <t xml:space="preserve">NXE</t>
  </si>
  <si>
    <t xml:space="preserve">NexGen Energy Ltd.</t>
  </si>
  <si>
    <t xml:space="preserve">VMI</t>
  </si>
  <si>
    <t xml:space="preserve">Valmont Industries, Inc.</t>
  </si>
  <si>
    <t xml:space="preserve">Conglomerates</t>
  </si>
  <si>
    <t xml:space="preserve">OKLO</t>
  </si>
  <si>
    <t xml:space="preserve">Oklo Inc.</t>
  </si>
  <si>
    <t xml:space="preserve">Negative trailing EPS; P/E blank</t>
  </si>
  <si>
    <t xml:space="preserve">ENS</t>
  </si>
  <si>
    <t xml:space="preserve">EnerSys</t>
  </si>
  <si>
    <t xml:space="preserve">EVRG</t>
  </si>
  <si>
    <t xml:space="preserve">Evergy, Inc.</t>
  </si>
  <si>
    <t xml:space="preserve">DY</t>
  </si>
  <si>
    <t xml:space="preserve">Dycom Industries, Inc.</t>
  </si>
  <si>
    <t xml:space="preserve">ARM</t>
  </si>
  <si>
    <t xml:space="preserve">Arm Holdings plc</t>
  </si>
  <si>
    <t xml:space="preserve">ITRI</t>
  </si>
  <si>
    <t xml:space="preserve">Itron, Inc.</t>
  </si>
  <si>
    <t xml:space="preserve">Scientific &amp; Technical Instruments</t>
  </si>
  <si>
    <t xml:space="preserve">XE</t>
  </si>
  <si>
    <t xml:space="preserve">X-Energy, Inc.</t>
  </si>
  <si>
    <t xml:space="preserve">EQIX</t>
  </si>
  <si>
    <t xml:space="preserve">Equinix, Inc.</t>
  </si>
  <si>
    <t xml:space="preserve">Real Estate</t>
  </si>
  <si>
    <t xml:space="preserve">REIT - Specialty</t>
  </si>
  <si>
    <t xml:space="preserve">SMR</t>
  </si>
  <si>
    <t xml:space="preserve">NuScale Power Corporation</t>
  </si>
  <si>
    <t xml:space="preserve">ATKR</t>
  </si>
  <si>
    <t xml:space="preserve">Atkore Inc.</t>
  </si>
  <si>
    <t xml:space="preserve">UEC</t>
  </si>
  <si>
    <t xml:space="preserve">Uranium Energy Corp.</t>
  </si>
  <si>
    <t xml:space="preserve">ALAB</t>
  </si>
  <si>
    <t xml:space="preserve">Astera Labs, Inc.</t>
  </si>
  <si>
    <t xml:space="preserve">NBIS</t>
  </si>
  <si>
    <t xml:space="preserve">Nebius Group N.V.</t>
  </si>
  <si>
    <t xml:space="preserve">DNN</t>
  </si>
  <si>
    <t xml:space="preserve">Denison Mines Corp.</t>
  </si>
  <si>
    <t xml:space="preserve">UUUU</t>
  </si>
  <si>
    <t xml:space="preserve">Energy Fuels Inc.</t>
  </si>
  <si>
    <t xml:space="preserve">AMSC</t>
  </si>
  <si>
    <t xml:space="preserve">American Superconductor Corporation</t>
  </si>
  <si>
    <t xml:space="preserve">FCEL</t>
  </si>
  <si>
    <t xml:space="preserve">FuelCell Energy, Inc.</t>
  </si>
  <si>
    <t xml:space="preserve">INIO</t>
  </si>
  <si>
    <t xml:space="preserve">Innio N.V.</t>
  </si>
  <si>
    <t xml:space="preserve">P/E reflects near-zero earnings</t>
  </si>
  <si>
    <t xml:space="preserve">LEU</t>
  </si>
  <si>
    <t xml:space="preserve">Centrus Energy Corp.</t>
  </si>
  <si>
    <t xml:space="preserve">SHLS</t>
  </si>
  <si>
    <t xml:space="preserve">Shoals Technologies Group, Inc.</t>
  </si>
  <si>
    <t xml:space="preserve">Solar</t>
  </si>
  <si>
    <t xml:space="preserve">DLR</t>
  </si>
  <si>
    <t xml:space="preserve">Digital Realty Trust, Inc.</t>
  </si>
  <si>
    <t xml:space="preserve">EOSE</t>
  </si>
  <si>
    <t xml:space="preserve">Eos Energy Enterprises, Inc.</t>
  </si>
  <si>
    <t xml:space="preserve">TLN</t>
  </si>
  <si>
    <t xml:space="preserve">Talen Energy Corporation</t>
  </si>
  <si>
    <t xml:space="preserve">NRGV</t>
  </si>
  <si>
    <t xml:space="preserve">Energy Vault Holdings, Inc.</t>
  </si>
  <si>
    <t xml:space="preserve">Utilities - Renewable</t>
  </si>
  <si>
    <t xml:space="preserve">CBRS</t>
  </si>
  <si>
    <t xml:space="preserve">Cerebras Systems Inc.</t>
  </si>
  <si>
    <t xml:space="preserve">BTBT</t>
  </si>
  <si>
    <t xml:space="preserve">Bit Digital, Inc.</t>
  </si>
  <si>
    <t xml:space="preserve">Financials</t>
  </si>
  <si>
    <t xml:space="preserve">Capital Markets</t>
  </si>
  <si>
    <t xml:space="preserve">CIFR</t>
  </si>
  <si>
    <t xml:space="preserve">Cipher Digital Inc.</t>
  </si>
  <si>
    <t xml:space="preserve">Information Technology Services</t>
  </si>
  <si>
    <t xml:space="preserve">IREN</t>
  </si>
  <si>
    <t xml:space="preserve">IREN Limited</t>
  </si>
  <si>
    <t xml:space="preserve">MARA</t>
  </si>
  <si>
    <t xml:space="preserve">MARA Holdings, Inc.</t>
  </si>
  <si>
    <t xml:space="preserve">PSIX</t>
  </si>
  <si>
    <t xml:space="preserve">Power Solutions International, Inc.</t>
  </si>
  <si>
    <t xml:space="preserve">RIOT</t>
  </si>
  <si>
    <t xml:space="preserve">Riot Platforms, Inc.</t>
  </si>
  <si>
    <t xml:space="preserve">CRWV</t>
  </si>
  <si>
    <t xml:space="preserve">CoreWeave, Inc.</t>
  </si>
  <si>
    <t xml:space="preserve">Software - Infrastructure</t>
  </si>
  <si>
    <t xml:space="preserve">DGXX</t>
  </si>
  <si>
    <t xml:space="preserve">Digi Power X Inc.</t>
  </si>
  <si>
    <t xml:space="preserve">HUT</t>
  </si>
  <si>
    <t xml:space="preserve">Hut 8 Corp.</t>
  </si>
  <si>
    <t xml:space="preserve">KEEL</t>
  </si>
  <si>
    <t xml:space="preserve">Keel Infrastructure Corp.</t>
  </si>
  <si>
    <t xml:space="preserve">LSCC</t>
  </si>
  <si>
    <t xml:space="preserve">Lattice Semiconductor Corporation</t>
  </si>
  <si>
    <t xml:space="preserve">MYRG</t>
  </si>
  <si>
    <t xml:space="preserve">MYR Group Inc.</t>
  </si>
  <si>
    <t xml:space="preserve">PLPC</t>
  </si>
  <si>
    <t xml:space="preserve">Preformed Line Products Company</t>
  </si>
  <si>
    <t xml:space="preserve">APLD</t>
  </si>
  <si>
    <t xml:space="preserve">Applied Digital Corporation</t>
  </si>
  <si>
    <t xml:space="preserve">CLSK</t>
  </si>
  <si>
    <t xml:space="preserve">CleanSpark, Inc.</t>
  </si>
  <si>
    <t xml:space="preserve">GDS</t>
  </si>
  <si>
    <t xml:space="preserve">GDS Holdings Limited</t>
  </si>
  <si>
    <t xml:space="preserve">ADR: Yahoo mixes USD price with CNY earnings; P/E, EPS, P/S blanked</t>
  </si>
  <si>
    <t xml:space="preserve">NNE</t>
  </si>
  <si>
    <t xml:space="preserve">NANO Nuclear Energy Inc.</t>
  </si>
  <si>
    <t xml:space="preserve">VNET</t>
  </si>
  <si>
    <t xml:space="preserve">VNET Group, Inc.</t>
  </si>
  <si>
    <t xml:space="preserve">BTDR</t>
  </si>
  <si>
    <t xml:space="preserve">Bitdeer Technologies Group</t>
  </si>
  <si>
    <t xml:space="preserve">Software - Application</t>
  </si>
  <si>
    <t xml:space="preserve">HIVE</t>
  </si>
  <si>
    <t xml:space="preserve">HIVE Digital Technologies Ltd.</t>
  </si>
  <si>
    <t xml:space="preserve">AES</t>
  </si>
  <si>
    <t xml:space="preserve">The AES Corporation</t>
  </si>
  <si>
    <t xml:space="preserve">Utilities - Diversified</t>
  </si>
  <si>
    <t xml:space="preserve">CORZ</t>
  </si>
  <si>
    <t xml:space="preserve">Core Scientific, Inc.</t>
  </si>
  <si>
    <t xml:space="preserve">CSQR</t>
  </si>
  <si>
    <t xml:space="preserve">Csquare, Inc.</t>
  </si>
  <si>
    <t xml:space="preserve">EU</t>
  </si>
  <si>
    <t xml:space="preserve">enCore Energy Corp.</t>
  </si>
  <si>
    <t xml:space="preserve">NPWR</t>
  </si>
  <si>
    <t xml:space="preserve">NET Power Inc.</t>
  </si>
  <si>
    <t xml:space="preserve">WULF</t>
  </si>
  <si>
    <t xml:space="preserve">TeraWulf Inc.</t>
  </si>
  <si>
    <t xml:space="preserve">WYFI</t>
  </si>
  <si>
    <t xml:space="preserve">WhiteFiber, Inc.</t>
  </si>
  <si>
    <t xml:space="preserve">DBRG</t>
  </si>
  <si>
    <t xml:space="preserve">DigitalBridge Group, Inc.</t>
  </si>
  <si>
    <t xml:space="preserve">Asset Management</t>
  </si>
  <si>
    <t xml:space="preserve">BRUN</t>
  </si>
  <si>
    <t xml:space="preserve">Boost Run, Inc.</t>
  </si>
  <si>
    <t xml:space="preserve">URG</t>
  </si>
  <si>
    <t xml:space="preserve">Ur-Energy Inc.</t>
  </si>
  <si>
    <t xml:space="preserve">AGX</t>
  </si>
  <si>
    <t xml:space="preserve">Argan, Inc.</t>
  </si>
  <si>
    <t xml:space="preserve">FLNC</t>
  </si>
  <si>
    <t xml:space="preserve">Fluence Energy, Inc.</t>
  </si>
  <si>
    <t xml:space="preserve">PNW</t>
  </si>
  <si>
    <t xml:space="preserve">Pinnacle West Capital Corporation</t>
  </si>
  <si>
    <t xml:space="preserve">FGXXX</t>
  </si>
  <si>
    <t xml:space="preserve">First American Funds, Inc. - Government Obligations Fund</t>
  </si>
  <si>
    <t xml:space="preserve">TXNM</t>
  </si>
  <si>
    <t xml:space="preserve">TXNM Energy, Inc.</t>
  </si>
  <si>
    <t xml:space="preserve">POR</t>
  </si>
  <si>
    <t xml:space="preserve">Portland General Electric Company</t>
  </si>
  <si>
    <t xml:space="preserve">MWH</t>
  </si>
  <si>
    <t xml:space="preserve">SOLV Energy, Inc.</t>
  </si>
  <si>
    <t xml:space="preserve">Approx. Weight</t>
  </si>
  <si>
    <t xml:space="preserve"># of Tickers</t>
  </si>
  <si>
    <t xml:space="preserve">Avg P/E (simple, P/E&lt;=100)</t>
  </si>
  <si>
    <t xml:space="preserve">Consumer Discretionary</t>
  </si>
  <si>
    <t xml:space="preserve">Consumer Staples</t>
  </si>
  <si>
    <t xml:space="preserve">Health Care</t>
  </si>
  <si>
    <t xml:space="preserve">Materials</t>
  </si>
  <si>
    <t xml:space="preserve">Unclassified (no sector retrieved)</t>
  </si>
  <si>
    <t xml:space="preserve">Total</t>
  </si>
  <si>
    <t xml:space="preserve">Holdings shared with the S&amp;P 500 (S&amp;P weights from the companion S&amp;P 500 workbook, Sept 2026)</t>
  </si>
  <si>
    <t xml:space="preserve">23 of 88 holdings are S&amp;P 500 members</t>
  </si>
  <si>
    <t xml:space="preserve">Share of this fund's weight that is inside the S&amp;P 500</t>
  </si>
  <si>
    <t xml:space="preserve">Share of the S&amp;P 500 that those names represent</t>
  </si>
  <si>
    <t xml:space="preserve">Weight in this fund</t>
  </si>
  <si>
    <t xml:space="preserve">Weight in S&amp;P 500</t>
  </si>
  <si>
    <t xml:space="preserve">Ratio (fund ÷ S&amp;P)</t>
  </si>
  <si>
    <t xml:space="preserve">Total (shared names)</t>
  </si>
  <si>
    <t xml:space="preserve">AIPO: Defiance AI &amp; Power Infrastructure ETF, constituents, weights, trailing P/E and fund history</t>
  </si>
  <si>
    <t xml:space="preserve">Holdings and weights: Defiance's full-holdings page (defianceetfs.com/aipo-full-holdings). Cash lines are removed and weights rescaled to 100%. About 90 companies in power equipment, utilities, grid contractors, data-center hardware and the AI chip names that drive the demand. As of Sep 22, 2026.</t>
  </si>
  <si>
    <t xml:space="preserve">P/E (TTM), EPS (TTM), Market Cap, Price/Sales, Price, Company name, GICS sector and Sub-Industry: Yahoo Finance via the yfinance library, retrieved Sept 23, 2026. Yahoo's sectors are mapped to GICS sector names; Yahoo's industry label stands in for the GICS sub-industry.</t>
  </si>
  <si>
    <t xml:space="preserve">Revenue TTM ($B) is derived as Market Cap / Price-to-Sales, so it is approximate. Blank where either input is missing.</t>
  </si>
  <si>
    <t xml:space="preserve">The fund is 14 months old: there is no full calendar year of returns yet, so the Annual Returns and By Decade tabs carry only the note. Two-thirds of the weight is S&amp;P 500 members (Eaton, Quanta, GE Vernova, Vertiv, Constellation, Nvidia, Broadcom). The Sectors tab average excludes blanks and P/Es above 100.</t>
  </si>
  <si>
    <t xml:space="preserve">Cumulative Weight assumes the default sort by rank; after re-sorting it shows the running weight in the new order.</t>
  </si>
  <si>
    <t xml:space="preserve">Overlap tab: every holding whose ticker also appears in the companion S&amp;P 500 workbook, with its weight in each. 'Ratio' shows how many times more concentrated the name is here than in the index.</t>
  </si>
  <si>
    <t xml:space="preserve">For information only; not investment advice.</t>
  </si>
  <si>
    <t xml:space="preserve">Historical tabs 'Annual Returns' (None-2025) and 'By Decade': the fund launched July 25, 2025, so returns are the fund's own, from Yahoo Finance daily prices. Price Return uses closing prices on the last trading day of each year; Total Return uses dividend-adjusted closes (distributions reinvested). S&amp;P 500 total return (SPY, dividend-adjusted) is shown alongside for the same years. The launch year is a stub and is excluded; 2026 is incomplete and excluded.</t>
  </si>
  <si>
    <t xml:space="preserve">Real returns use December-over-December US CPI-U (NSA) from the BLS (series CUUR0000SA0).</t>
  </si>
  <si>
    <t xml:space="preserve">Fees: the fund's expense ratio is 0.85% (check prospectus); returns above are net of it. The index funds in the companion workbooks charge 0.03% to 0.05%.</t>
  </si>
  <si>
    <t xml:space="preserve">Year</t>
  </si>
  <si>
    <t xml:space="preserve">Decade</t>
  </si>
  <si>
    <t xml:space="preserve">Price Return</t>
  </si>
  <si>
    <t xml:space="preserve">Total Return
(w/ dividends)</t>
  </si>
  <si>
    <t xml:space="preserve">Real Price Return
(inflation-adj.)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</si>
  <si>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</si>
  <si>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</si>
  <si>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</si>
  <si>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(Price only)</t>
  </si>
  <si>
    <t xml:space="preserve">S&amp;P 500 Total Return
(SPY, comparison)</t>
  </si>
  <si>
    <t xml:space="preserve">No complete calendar year of returns yet (fund launched July 25, 2025). See the Notes tab.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</si>
</sst>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0.0%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0.084408</v>
      </c>
      <c r="G2" s="3" t="n">
        <f aca="false">SUM($F$2:F2)</f>
        <v>0.084408</v>
      </c>
      <c r="H2" s="4" t="n">
        <v>438.76</v>
      </c>
      <c r="I2" s="5" t="n">
        <v>44.6803</v>
      </c>
      <c r="J2" s="4" t="n">
        <v>9.82</v>
      </c>
      <c r="K2" s="5" t="n">
        <v>170.4144</v>
      </c>
      <c r="L2" s="6" t="n">
        <v>5.6756</v>
      </c>
      <c r="M2" s="5" t="n">
        <f aca="false">IF(AND(N(K2)&gt;0,N(L2)&gt;0),K2/L2,"")</f>
        <v>30.0257946296427</v>
      </c>
      <c r="N2" s="2"/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19</v>
      </c>
      <c r="D3" s="2" t="s">
        <v>16</v>
      </c>
      <c r="E3" s="2" t="s">
        <v>20</v>
      </c>
      <c r="F3" s="3" t="n">
        <v>0.081208</v>
      </c>
      <c r="G3" s="3" t="n">
        <f aca="false">SUM($F$2:F3)</f>
        <v>0.165616</v>
      </c>
      <c r="H3" s="4" t="n">
        <v>634.9</v>
      </c>
      <c r="I3" s="5" t="n">
        <v>72.643</v>
      </c>
      <c r="J3" s="4" t="n">
        <v>8.74</v>
      </c>
      <c r="K3" s="5" t="n">
        <v>95.453</v>
      </c>
      <c r="L3" s="6" t="n">
        <v>2.9009</v>
      </c>
      <c r="M3" s="5" t="n">
        <f aca="false">IF(AND(N(K3)&gt;0,N(L3)&gt;0),K3/L3,"")</f>
        <v>32.9046158088869</v>
      </c>
      <c r="N3" s="2"/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22</v>
      </c>
      <c r="D4" s="2" t="s">
        <v>16</v>
      </c>
      <c r="E4" s="2" t="s">
        <v>17</v>
      </c>
      <c r="F4" s="3" t="n">
        <v>0.079108</v>
      </c>
      <c r="G4" s="3" t="n">
        <f aca="false">SUM($F$2:F4)</f>
        <v>0.244724</v>
      </c>
      <c r="H4" s="4" t="n">
        <v>951.82</v>
      </c>
      <c r="I4" s="5" t="n">
        <v>27.2884</v>
      </c>
      <c r="J4" s="4" t="n">
        <v>34.88</v>
      </c>
      <c r="K4" s="5" t="n">
        <v>253.5016</v>
      </c>
      <c r="L4" s="6" t="n">
        <v>6.1281</v>
      </c>
      <c r="M4" s="5" t="n">
        <f aca="false">IF(AND(N(K4)&gt;0,N(L4)&gt;0),K4/L4,"")</f>
        <v>41.3670795189374</v>
      </c>
      <c r="N4" s="2"/>
    </row>
    <row r="5" customFormat="false" ht="15" hidden="false" customHeight="false" outlineLevel="0" collapsed="false">
      <c r="A5" s="2" t="n">
        <v>4</v>
      </c>
      <c r="B5" s="2" t="s">
        <v>23</v>
      </c>
      <c r="C5" s="2" t="s">
        <v>24</v>
      </c>
      <c r="D5" s="2" t="s">
        <v>16</v>
      </c>
      <c r="E5" s="2" t="s">
        <v>25</v>
      </c>
      <c r="F5" s="3" t="n">
        <v>0.065007</v>
      </c>
      <c r="G5" s="3" t="n">
        <f aca="false">SUM($F$2:F5)</f>
        <v>0.309731</v>
      </c>
      <c r="H5" s="4" t="n">
        <v>248.78</v>
      </c>
      <c r="I5" s="5" t="n">
        <v>55.7803</v>
      </c>
      <c r="J5" s="4" t="n">
        <v>4.46</v>
      </c>
      <c r="K5" s="5" t="n">
        <v>95.7774</v>
      </c>
      <c r="L5" s="6" t="n">
        <v>8.3433</v>
      </c>
      <c r="M5" s="5" t="n">
        <f aca="false">IF(AND(N(K5)&gt;0,N(L5)&gt;0),K5/L5,"")</f>
        <v>11.4795584480961</v>
      </c>
      <c r="N5" s="2"/>
    </row>
    <row r="6" customFormat="false" ht="15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16</v>
      </c>
      <c r="E6" s="2" t="s">
        <v>25</v>
      </c>
      <c r="F6" s="3" t="n">
        <v>0.051705</v>
      </c>
      <c r="G6" s="3" t="n">
        <f aca="false">SUM($F$2:F6)</f>
        <v>0.361436</v>
      </c>
      <c r="H6" s="4" t="n">
        <v>275.19</v>
      </c>
      <c r="I6" s="5" t="n">
        <v>357.3896</v>
      </c>
      <c r="J6" s="4" t="n">
        <v>0.77</v>
      </c>
      <c r="K6" s="5" t="n">
        <v>81.051</v>
      </c>
      <c r="L6" s="6" t="n">
        <v>26.035</v>
      </c>
      <c r="M6" s="5" t="n">
        <f aca="false">IF(AND(N(K6)&gt;0,N(L6)&gt;0),K6/L6,"")</f>
        <v>3.11315536777415</v>
      </c>
      <c r="N6" s="2"/>
    </row>
    <row r="7" customFormat="false" ht="15" hidden="false" customHeight="false" outlineLevel="0" collapsed="false">
      <c r="A7" s="2" t="n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3" t="n">
        <v>0.042004</v>
      </c>
      <c r="G7" s="3" t="n">
        <f aca="false">SUM($F$2:F7)</f>
        <v>0.40344</v>
      </c>
      <c r="H7" s="4" t="n">
        <v>337.83</v>
      </c>
      <c r="I7" s="5" t="n">
        <v>16.9338</v>
      </c>
      <c r="J7" s="4" t="n">
        <v>19.95</v>
      </c>
      <c r="K7" s="5" t="n">
        <v>4131.6387</v>
      </c>
      <c r="L7" s="6" t="n">
        <v>9.2665</v>
      </c>
      <c r="M7" s="5" t="n">
        <f aca="false">IF(AND(N(K7)&gt;0,N(L7)&gt;0),K7/L7,"")</f>
        <v>445.868310581126</v>
      </c>
      <c r="N7" s="2"/>
    </row>
    <row r="8" customFormat="false" ht="15" hidden="false" customHeight="false" outlineLevel="0" collapsed="false">
      <c r="A8" s="2" t="n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3" t="n">
        <v>0.040504</v>
      </c>
      <c r="G8" s="3" t="n">
        <f aca="false">SUM($F$2:F8)</f>
        <v>0.443944</v>
      </c>
      <c r="H8" s="4" t="n">
        <v>225.51</v>
      </c>
      <c r="I8" s="5" t="n">
        <v>28.9115</v>
      </c>
      <c r="J8" s="4" t="n">
        <v>7.8</v>
      </c>
      <c r="K8" s="5" t="n">
        <v>5445.3899</v>
      </c>
      <c r="L8" s="6" t="n">
        <v>17.9734</v>
      </c>
      <c r="M8" s="5" t="n">
        <f aca="false">IF(AND(N(K8)&gt;0,N(L8)&gt;0),K8/L8,"")</f>
        <v>302.969382531964</v>
      </c>
      <c r="N8" s="2"/>
    </row>
    <row r="9" customFormat="false" ht="15" hidden="false" customHeight="false" outlineLevel="0" collapsed="false">
      <c r="A9" s="2" t="n">
        <v>8</v>
      </c>
      <c r="B9" s="2" t="s">
        <v>36</v>
      </c>
      <c r="C9" s="2" t="s">
        <v>37</v>
      </c>
      <c r="D9" s="2" t="s">
        <v>34</v>
      </c>
      <c r="E9" s="2" t="s">
        <v>35</v>
      </c>
      <c r="F9" s="3" t="n">
        <v>0.039504</v>
      </c>
      <c r="G9" s="3" t="n">
        <f aca="false">SUM($F$2:F9)</f>
        <v>0.483448</v>
      </c>
      <c r="H9" s="4" t="n">
        <v>354.99</v>
      </c>
      <c r="I9" s="5" t="n">
        <v>45.3372</v>
      </c>
      <c r="J9" s="4" t="n">
        <v>7.83</v>
      </c>
      <c r="K9" s="5" t="n">
        <v>1694.5908</v>
      </c>
      <c r="L9" s="6" t="n">
        <v>19.0181</v>
      </c>
      <c r="M9" s="5" t="n">
        <f aca="false">IF(AND(N(K9)&gt;0,N(L9)&gt;0),K9/L9,"")</f>
        <v>89.1041060884105</v>
      </c>
      <c r="N9" s="2"/>
    </row>
    <row r="10" customFormat="false" ht="15" hidden="false" customHeight="false" outlineLevel="0" collapsed="false">
      <c r="A10" s="2" t="n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3" t="n">
        <v>0.035604</v>
      </c>
      <c r="G10" s="3" t="n">
        <f aca="false">SUM($F$2:F10)</f>
        <v>0.519052</v>
      </c>
      <c r="H10" s="4" t="n">
        <v>90.8</v>
      </c>
      <c r="I10" s="5"/>
      <c r="J10" s="4"/>
      <c r="K10" s="5" t="n">
        <v>39.5464</v>
      </c>
      <c r="L10" s="6"/>
      <c r="M10" s="5" t="str">
        <f aca="false">IF(AND(N(K10)&gt;0,N(L10)&gt;0),K10/L10,"")</f>
        <v/>
      </c>
      <c r="N10" s="2" t="s">
        <v>42</v>
      </c>
    </row>
    <row r="11" customFormat="false" ht="15" hidden="false" customHeight="false" outlineLevel="0" collapsed="false">
      <c r="A11" s="2" t="n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3" t="n">
        <v>0.030503</v>
      </c>
      <c r="G11" s="3" t="n">
        <f aca="false">SUM($F$2:F11)</f>
        <v>0.549555</v>
      </c>
      <c r="H11" s="4" t="n">
        <v>263.88</v>
      </c>
      <c r="I11" s="5" t="n">
        <v>25.7695</v>
      </c>
      <c r="J11" s="4" t="n">
        <v>10.24</v>
      </c>
      <c r="K11" s="5" t="n">
        <v>93.4946</v>
      </c>
      <c r="L11" s="6" t="n">
        <v>2.9899</v>
      </c>
      <c r="M11" s="5" t="n">
        <f aca="false">IF(AND(N(K11)&gt;0,N(L11)&gt;0),K11/L11,"")</f>
        <v>31.2701428141409</v>
      </c>
      <c r="N11" s="2"/>
    </row>
    <row r="12" customFormat="false" ht="15" hidden="false" customHeight="false" outlineLevel="0" collapsed="false">
      <c r="A12" s="2" t="n">
        <v>11</v>
      </c>
      <c r="B12" s="2" t="s">
        <v>47</v>
      </c>
      <c r="C12" s="2" t="s">
        <v>48</v>
      </c>
      <c r="D12" s="2" t="s">
        <v>34</v>
      </c>
      <c r="E12" s="2" t="s">
        <v>35</v>
      </c>
      <c r="F12" s="3" t="n">
        <v>0.027503</v>
      </c>
      <c r="G12" s="3" t="n">
        <f aca="false">SUM($F$2:F12)</f>
        <v>0.577058</v>
      </c>
      <c r="H12" s="4" t="n">
        <v>614.61</v>
      </c>
      <c r="I12" s="5" t="n">
        <v>156.3893</v>
      </c>
      <c r="J12" s="4" t="n">
        <v>3.93</v>
      </c>
      <c r="K12" s="5" t="n">
        <v>1003.3355</v>
      </c>
      <c r="L12" s="6" t="n">
        <v>24.2909</v>
      </c>
      <c r="M12" s="5" t="n">
        <f aca="false">IF(AND(N(K12)&gt;0,N(L12)&gt;0),K12/L12,"")</f>
        <v>41.3049948746238</v>
      </c>
      <c r="N12" s="2"/>
    </row>
    <row r="13" customFormat="false" ht="15" hidden="false" customHeight="false" outlineLevel="0" collapsed="false">
      <c r="A13" s="2" t="n">
        <v>12</v>
      </c>
      <c r="B13" s="2" t="s">
        <v>49</v>
      </c>
      <c r="C13" s="2" t="s">
        <v>50</v>
      </c>
      <c r="D13" s="2" t="s">
        <v>16</v>
      </c>
      <c r="E13" s="2" t="s">
        <v>25</v>
      </c>
      <c r="F13" s="3" t="n">
        <v>0.019902</v>
      </c>
      <c r="G13" s="3" t="n">
        <f aca="false">SUM($F$2:F13)</f>
        <v>0.59696</v>
      </c>
      <c r="H13" s="4" t="n">
        <v>162.85</v>
      </c>
      <c r="I13" s="5" t="n">
        <v>45.3621</v>
      </c>
      <c r="J13" s="4" t="n">
        <v>3.59</v>
      </c>
      <c r="K13" s="5" t="n">
        <v>26.3586</v>
      </c>
      <c r="L13" s="6" t="n">
        <v>5.4527</v>
      </c>
      <c r="M13" s="5" t="n">
        <f aca="false">IF(AND(N(K13)&gt;0,N(L13)&gt;0),K13/L13,"")</f>
        <v>4.83404551873384</v>
      </c>
      <c r="N13" s="2"/>
    </row>
    <row r="14" customFormat="false" ht="15" hidden="false" customHeight="false" outlineLevel="0" collapsed="false">
      <c r="A14" s="2" t="n">
        <v>13</v>
      </c>
      <c r="B14" s="2" t="s">
        <v>51</v>
      </c>
      <c r="C14" s="2" t="s">
        <v>52</v>
      </c>
      <c r="D14" s="2" t="s">
        <v>16</v>
      </c>
      <c r="E14" s="2" t="s">
        <v>25</v>
      </c>
      <c r="F14" s="3" t="n">
        <v>0.018302</v>
      </c>
      <c r="G14" s="3" t="n">
        <f aca="false">SUM($F$2:F14)</f>
        <v>0.615262</v>
      </c>
      <c r="H14" s="4" t="n">
        <v>463.7</v>
      </c>
      <c r="I14" s="5" t="n">
        <v>27.4704</v>
      </c>
      <c r="J14" s="4" t="n">
        <v>16.88</v>
      </c>
      <c r="K14" s="5" t="n">
        <v>24.4985</v>
      </c>
      <c r="L14" s="6" t="n">
        <v>3.9364</v>
      </c>
      <c r="M14" s="5" t="n">
        <f aca="false">IF(AND(N(K14)&gt;0,N(L14)&gt;0),K14/L14,"")</f>
        <v>6.22357992073976</v>
      </c>
      <c r="N14" s="2"/>
    </row>
    <row r="15" customFormat="false" ht="15" hidden="false" customHeight="false" outlineLevel="0" collapsed="false">
      <c r="A15" s="2" t="n">
        <v>14</v>
      </c>
      <c r="B15" s="2" t="s">
        <v>53</v>
      </c>
      <c r="C15" s="2" t="s">
        <v>54</v>
      </c>
      <c r="D15" s="2" t="s">
        <v>45</v>
      </c>
      <c r="E15" s="2" t="s">
        <v>46</v>
      </c>
      <c r="F15" s="3" t="n">
        <v>0.015802</v>
      </c>
      <c r="G15" s="3" t="n">
        <f aca="false">SUM($F$2:F15)</f>
        <v>0.631064</v>
      </c>
      <c r="H15" s="4" t="n">
        <v>137.97</v>
      </c>
      <c r="I15" s="5" t="n">
        <v>23.7062</v>
      </c>
      <c r="J15" s="4" t="n">
        <v>5.82</v>
      </c>
      <c r="K15" s="5" t="n">
        <v>46.3076</v>
      </c>
      <c r="L15" s="6" t="n">
        <v>2.4103</v>
      </c>
      <c r="M15" s="5" t="n">
        <f aca="false">IF(AND(N(K15)&gt;0,N(L15)&gt;0),K15/L15,"")</f>
        <v>19.2123802016347</v>
      </c>
      <c r="N15" s="2"/>
    </row>
    <row r="16" customFormat="false" ht="15" hidden="false" customHeight="false" outlineLevel="0" collapsed="false">
      <c r="A16" s="2" t="n">
        <v>15</v>
      </c>
      <c r="B16" s="2" t="s">
        <v>55</v>
      </c>
      <c r="C16" s="2" t="s">
        <v>56</v>
      </c>
      <c r="D16" s="2" t="s">
        <v>45</v>
      </c>
      <c r="E16" s="2" t="s">
        <v>57</v>
      </c>
      <c r="F16" s="3" t="n">
        <v>0.015402</v>
      </c>
      <c r="G16" s="3" t="n">
        <f aca="false">SUM($F$2:F16)</f>
        <v>0.646466</v>
      </c>
      <c r="H16" s="4" t="n">
        <v>61.17</v>
      </c>
      <c r="I16" s="5" t="n">
        <v>21.3136</v>
      </c>
      <c r="J16" s="4" t="n">
        <v>2.87</v>
      </c>
      <c r="K16" s="5" t="n">
        <v>53.8006</v>
      </c>
      <c r="L16" s="6" t="n">
        <v>2.9693</v>
      </c>
      <c r="M16" s="5" t="n">
        <f aca="false">IF(AND(N(K16)&gt;0,N(L16)&gt;0),K16/L16,"")</f>
        <v>18.1189505944162</v>
      </c>
      <c r="N16" s="2"/>
    </row>
    <row r="17" customFormat="false" ht="15" hidden="false" customHeight="false" outlineLevel="0" collapsed="false">
      <c r="A17" s="2" t="n">
        <v>16</v>
      </c>
      <c r="B17" s="2" t="s">
        <v>58</v>
      </c>
      <c r="C17" s="2" t="s">
        <v>59</v>
      </c>
      <c r="D17" s="2" t="s">
        <v>45</v>
      </c>
      <c r="E17" s="2" t="s">
        <v>57</v>
      </c>
      <c r="F17" s="3" t="n">
        <v>0.014701</v>
      </c>
      <c r="G17" s="3" t="n">
        <f aca="false">SUM($F$2:F17)</f>
        <v>0.661167</v>
      </c>
      <c r="H17" s="4" t="n">
        <v>70.66</v>
      </c>
      <c r="I17" s="5" t="n">
        <v>19.306</v>
      </c>
      <c r="J17" s="4" t="n">
        <v>3.66</v>
      </c>
      <c r="K17" s="5" t="n">
        <v>44.1367</v>
      </c>
      <c r="L17" s="6" t="n">
        <v>3.0197</v>
      </c>
      <c r="M17" s="5" t="n">
        <f aca="false">IF(AND(N(K17)&gt;0,N(L17)&gt;0),K17/L17,"")</f>
        <v>14.6162532701924</v>
      </c>
      <c r="N17" s="2"/>
    </row>
    <row r="18" customFormat="false" ht="15" hidden="false" customHeight="false" outlineLevel="0" collapsed="false">
      <c r="A18" s="2" t="n">
        <v>17</v>
      </c>
      <c r="B18" s="2" t="s">
        <v>60</v>
      </c>
      <c r="C18" s="2" t="s">
        <v>61</v>
      </c>
      <c r="D18" s="2" t="s">
        <v>16</v>
      </c>
      <c r="E18" s="2" t="s">
        <v>20</v>
      </c>
      <c r="F18" s="3" t="n">
        <v>0.012001</v>
      </c>
      <c r="G18" s="3" t="n">
        <f aca="false">SUM($F$2:F18)</f>
        <v>0.673168</v>
      </c>
      <c r="H18" s="4" t="n">
        <v>512</v>
      </c>
      <c r="I18" s="5" t="n">
        <v>36.5714</v>
      </c>
      <c r="J18" s="4" t="n">
        <v>14</v>
      </c>
      <c r="K18" s="5" t="n">
        <v>15.6613</v>
      </c>
      <c r="L18" s="6" t="n">
        <v>4.5547</v>
      </c>
      <c r="M18" s="5" t="n">
        <f aca="false">IF(AND(N(K18)&gt;0,N(L18)&gt;0),K18/L18,"")</f>
        <v>3.43849210705425</v>
      </c>
      <c r="N18" s="2"/>
    </row>
    <row r="19" customFormat="false" ht="15" hidden="false" customHeight="false" outlineLevel="0" collapsed="false">
      <c r="A19" s="2" t="n">
        <v>18</v>
      </c>
      <c r="B19" s="2" t="s">
        <v>62</v>
      </c>
      <c r="C19" s="2" t="s">
        <v>63</v>
      </c>
      <c r="D19" s="2" t="s">
        <v>16</v>
      </c>
      <c r="E19" s="2" t="s">
        <v>17</v>
      </c>
      <c r="F19" s="3" t="n">
        <v>0.011401</v>
      </c>
      <c r="G19" s="3" t="n">
        <f aca="false">SUM($F$2:F19)</f>
        <v>0.684569</v>
      </c>
      <c r="H19" s="4" t="n">
        <v>199.42</v>
      </c>
      <c r="I19" s="5" t="n">
        <v>45.6339</v>
      </c>
      <c r="J19" s="4" t="n">
        <v>4.37</v>
      </c>
      <c r="K19" s="5" t="n">
        <v>11.7785</v>
      </c>
      <c r="L19" s="6" t="n">
        <v>2.6536</v>
      </c>
      <c r="M19" s="5" t="n">
        <f aca="false">IF(AND(N(K19)&gt;0,N(L19)&gt;0),K19/L19,"")</f>
        <v>4.43868706662647</v>
      </c>
      <c r="N19" s="2"/>
    </row>
    <row r="20" customFormat="false" ht="15" hidden="false" customHeight="false" outlineLevel="0" collapsed="false">
      <c r="A20" s="2" t="n">
        <v>19</v>
      </c>
      <c r="B20" s="2" t="s">
        <v>64</v>
      </c>
      <c r="C20" s="2" t="s">
        <v>65</v>
      </c>
      <c r="D20" s="2" t="s">
        <v>16</v>
      </c>
      <c r="E20" s="2" t="s">
        <v>20</v>
      </c>
      <c r="F20" s="3" t="n">
        <v>0.011101</v>
      </c>
      <c r="G20" s="3" t="n">
        <f aca="false">SUM($F$2:F20)</f>
        <v>0.69567</v>
      </c>
      <c r="H20" s="4" t="n">
        <v>217.52</v>
      </c>
      <c r="I20" s="5" t="n">
        <v>34.6922</v>
      </c>
      <c r="J20" s="4" t="n">
        <v>6.27</v>
      </c>
      <c r="K20" s="5" t="n">
        <v>17.4679</v>
      </c>
      <c r="L20" s="6" t="n">
        <v>1.0844</v>
      </c>
      <c r="M20" s="5" t="n">
        <f aca="false">IF(AND(N(K20)&gt;0,N(L20)&gt;0),K20/L20,"")</f>
        <v>16.1083548506086</v>
      </c>
      <c r="N20" s="2"/>
    </row>
    <row r="21" customFormat="false" ht="15" hidden="false" customHeight="false" outlineLevel="0" collapsed="false">
      <c r="A21" s="2" t="n">
        <v>20</v>
      </c>
      <c r="B21" s="2" t="s">
        <v>66</v>
      </c>
      <c r="C21" s="2" t="s">
        <v>67</v>
      </c>
      <c r="D21" s="2" t="s">
        <v>16</v>
      </c>
      <c r="E21" s="2" t="s">
        <v>68</v>
      </c>
      <c r="F21" s="3" t="n">
        <v>0.011001</v>
      </c>
      <c r="G21" s="3" t="n">
        <f aca="false">SUM($F$2:F21)</f>
        <v>0.706671</v>
      </c>
      <c r="H21" s="4" t="n">
        <v>141.81</v>
      </c>
      <c r="I21" s="5" t="n">
        <v>37.4169</v>
      </c>
      <c r="J21" s="4" t="n">
        <v>3.79</v>
      </c>
      <c r="K21" s="5" t="n">
        <v>12.9929</v>
      </c>
      <c r="L21" s="6" t="n">
        <v>3.6975</v>
      </c>
      <c r="M21" s="5" t="n">
        <f aca="false">IF(AND(N(K21)&gt;0,N(L21)&gt;0),K21/L21,"")</f>
        <v>3.51396889790399</v>
      </c>
      <c r="N21" s="2"/>
    </row>
    <row r="22" customFormat="false" ht="15" hidden="false" customHeight="false" outlineLevel="0" collapsed="false">
      <c r="A22" s="2" t="n">
        <v>21</v>
      </c>
      <c r="B22" s="2" t="s">
        <v>69</v>
      </c>
      <c r="C22" s="2" t="s">
        <v>70</v>
      </c>
      <c r="D22" s="2" t="s">
        <v>45</v>
      </c>
      <c r="E22" s="2" t="s">
        <v>57</v>
      </c>
      <c r="F22" s="3" t="n">
        <v>0.010901</v>
      </c>
      <c r="G22" s="3" t="n">
        <f aca="false">SUM($F$2:F22)</f>
        <v>0.717572</v>
      </c>
      <c r="H22" s="4" t="n">
        <v>67.31</v>
      </c>
      <c r="I22" s="5" t="n">
        <v>16.7438</v>
      </c>
      <c r="J22" s="4" t="n">
        <v>4.02</v>
      </c>
      <c r="K22" s="5" t="n">
        <v>33.5487</v>
      </c>
      <c r="L22" s="6" t="n">
        <v>2.6747</v>
      </c>
      <c r="M22" s="5" t="n">
        <f aca="false">IF(AND(N(K22)&gt;0,N(L22)&gt;0),K22/L22,"")</f>
        <v>12.5429767824429</v>
      </c>
      <c r="N22" s="2"/>
    </row>
    <row r="23" customFormat="false" ht="15" hidden="false" customHeight="false" outlineLevel="0" collapsed="false">
      <c r="A23" s="2" t="n">
        <v>22</v>
      </c>
      <c r="B23" s="2" t="s">
        <v>71</v>
      </c>
      <c r="C23" s="2" t="s">
        <v>72</v>
      </c>
      <c r="D23" s="2" t="s">
        <v>16</v>
      </c>
      <c r="E23" s="2" t="s">
        <v>25</v>
      </c>
      <c r="F23" s="3" t="n">
        <v>0.009101</v>
      </c>
      <c r="G23" s="3" t="n">
        <f aca="false">SUM($F$2:F23)</f>
        <v>0.726673</v>
      </c>
      <c r="H23" s="4" t="n">
        <v>39.88</v>
      </c>
      <c r="I23" s="5" t="n">
        <v>132.9333</v>
      </c>
      <c r="J23" s="4" t="n">
        <v>0.3</v>
      </c>
      <c r="K23" s="5" t="n">
        <v>12.7211</v>
      </c>
      <c r="L23" s="6" t="n">
        <v>8.9582</v>
      </c>
      <c r="M23" s="5" t="n">
        <f aca="false">IF(AND(N(K23)&gt;0,N(L23)&gt;0),K23/L23,"")</f>
        <v>1.42005090308321</v>
      </c>
      <c r="N23" s="2"/>
    </row>
    <row r="24" customFormat="false" ht="15" hidden="false" customHeight="false" outlineLevel="0" collapsed="false">
      <c r="A24" s="2" t="n">
        <v>23</v>
      </c>
      <c r="B24" s="2" t="s">
        <v>73</v>
      </c>
      <c r="C24" s="2" t="s">
        <v>74</v>
      </c>
      <c r="D24" s="2" t="s">
        <v>45</v>
      </c>
      <c r="E24" s="2" t="s">
        <v>57</v>
      </c>
      <c r="F24" s="3" t="n">
        <v>0.008701</v>
      </c>
      <c r="G24" s="3" t="n">
        <f aca="false">SUM($F$2:F24)</f>
        <v>0.735374</v>
      </c>
      <c r="H24" s="4" t="n">
        <v>12.41</v>
      </c>
      <c r="I24" s="5" t="n">
        <v>8.9281</v>
      </c>
      <c r="J24" s="4" t="n">
        <v>1.39</v>
      </c>
      <c r="K24" s="5" t="n">
        <v>37.2594</v>
      </c>
      <c r="L24" s="6" t="n">
        <v>1.4421</v>
      </c>
      <c r="M24" s="5" t="n">
        <f aca="false">IF(AND(N(K24)&gt;0,N(L24)&gt;0),K24/L24,"")</f>
        <v>25.8369045142501</v>
      </c>
      <c r="N24" s="2"/>
    </row>
    <row r="25" customFormat="false" ht="15" hidden="false" customHeight="false" outlineLevel="0" collapsed="false">
      <c r="A25" s="2" t="n">
        <v>24</v>
      </c>
      <c r="B25" s="2" t="s">
        <v>75</v>
      </c>
      <c r="C25" s="2" t="s">
        <v>76</v>
      </c>
      <c r="D25" s="2" t="s">
        <v>34</v>
      </c>
      <c r="E25" s="2" t="s">
        <v>35</v>
      </c>
      <c r="F25" s="3" t="n">
        <v>0.008501</v>
      </c>
      <c r="G25" s="3" t="n">
        <f aca="false">SUM($F$2:F25)</f>
        <v>0.743875</v>
      </c>
      <c r="H25" s="4" t="n">
        <v>260.9</v>
      </c>
      <c r="I25" s="5" t="n">
        <v>86.9667</v>
      </c>
      <c r="J25" s="4" t="n">
        <v>3</v>
      </c>
      <c r="K25" s="5" t="n">
        <v>234.472</v>
      </c>
      <c r="L25" s="6" t="n">
        <v>24.8111</v>
      </c>
      <c r="M25" s="5" t="n">
        <f aca="false">IF(AND(N(K25)&gt;0,N(L25)&gt;0),K25/L25,"")</f>
        <v>9.45028636376461</v>
      </c>
      <c r="N25" s="2"/>
    </row>
    <row r="26" customFormat="false" ht="15" hidden="false" customHeight="false" outlineLevel="0" collapsed="false">
      <c r="A26" s="2" t="n">
        <v>25</v>
      </c>
      <c r="B26" s="2" t="s">
        <v>77</v>
      </c>
      <c r="C26" s="2" t="s">
        <v>78</v>
      </c>
      <c r="D26" s="2" t="s">
        <v>40</v>
      </c>
      <c r="E26" s="2" t="s">
        <v>41</v>
      </c>
      <c r="F26" s="3" t="n">
        <v>0.007601</v>
      </c>
      <c r="G26" s="3" t="n">
        <f aca="false">SUM($F$2:F26)</f>
        <v>0.751476</v>
      </c>
      <c r="H26" s="4" t="n">
        <v>9.63</v>
      </c>
      <c r="I26" s="5"/>
      <c r="J26" s="4"/>
      <c r="K26" s="5" t="n">
        <v>6.457</v>
      </c>
      <c r="L26" s="6"/>
      <c r="M26" s="5" t="str">
        <f aca="false">IF(AND(N(K26)&gt;0,N(L26)&gt;0),K26/L26,"")</f>
        <v/>
      </c>
      <c r="N26" s="2" t="s">
        <v>42</v>
      </c>
    </row>
    <row r="27" customFormat="false" ht="15" hidden="false" customHeight="false" outlineLevel="0" collapsed="false">
      <c r="A27" s="2" t="n">
        <v>26</v>
      </c>
      <c r="B27" s="2" t="s">
        <v>79</v>
      </c>
      <c r="C27" s="2" t="s">
        <v>80</v>
      </c>
      <c r="D27" s="2" t="s">
        <v>16</v>
      </c>
      <c r="E27" s="2" t="s">
        <v>81</v>
      </c>
      <c r="F27" s="3" t="n">
        <v>0.007201</v>
      </c>
      <c r="G27" s="3" t="n">
        <f aca="false">SUM($F$2:F27)</f>
        <v>0.758677</v>
      </c>
      <c r="H27" s="4" t="n">
        <v>471.01</v>
      </c>
      <c r="I27" s="5" t="n">
        <v>18.2845</v>
      </c>
      <c r="J27" s="4" t="n">
        <v>25.76</v>
      </c>
      <c r="K27" s="5" t="n">
        <v>9.0928</v>
      </c>
      <c r="L27" s="6" t="n">
        <v>2.1485</v>
      </c>
      <c r="M27" s="5" t="n">
        <f aca="false">IF(AND(N(K27)&gt;0,N(L27)&gt;0),K27/L27,"")</f>
        <v>4.23216197346986</v>
      </c>
      <c r="N27" s="2"/>
    </row>
    <row r="28" customFormat="false" ht="15" hidden="false" customHeight="false" outlineLevel="0" collapsed="false">
      <c r="A28" s="2" t="n">
        <v>27</v>
      </c>
      <c r="B28" s="2" t="s">
        <v>82</v>
      </c>
      <c r="C28" s="2" t="s">
        <v>83</v>
      </c>
      <c r="D28" s="2" t="s">
        <v>45</v>
      </c>
      <c r="E28" s="2" t="s">
        <v>46</v>
      </c>
      <c r="F28" s="3" t="n">
        <v>0.007001</v>
      </c>
      <c r="G28" s="3" t="n">
        <f aca="false">SUM($F$2:F28)</f>
        <v>0.765678</v>
      </c>
      <c r="H28" s="4" t="n">
        <v>38.82</v>
      </c>
      <c r="I28" s="5"/>
      <c r="J28" s="4" t="n">
        <v>-0.9</v>
      </c>
      <c r="K28" s="5" t="n">
        <v>7.2212</v>
      </c>
      <c r="L28" s="6" t="n">
        <v>5967.938</v>
      </c>
      <c r="M28" s="5" t="n">
        <f aca="false">IF(AND(N(K28)&gt;0,N(L28)&gt;0),K28/L28,"")</f>
        <v>0.00120999916554093</v>
      </c>
      <c r="N28" s="2" t="s">
        <v>84</v>
      </c>
    </row>
    <row r="29" customFormat="false" ht="15" hidden="false" customHeight="false" outlineLevel="0" collapsed="false">
      <c r="A29" s="2" t="n">
        <v>28</v>
      </c>
      <c r="B29" s="2" t="s">
        <v>85</v>
      </c>
      <c r="C29" s="2" t="s">
        <v>86</v>
      </c>
      <c r="D29" s="2" t="s">
        <v>16</v>
      </c>
      <c r="E29" s="2" t="s">
        <v>25</v>
      </c>
      <c r="F29" s="3" t="n">
        <v>0.006901</v>
      </c>
      <c r="G29" s="3" t="n">
        <f aca="false">SUM($F$2:F29)</f>
        <v>0.772579</v>
      </c>
      <c r="H29" s="4" t="n">
        <v>179.49</v>
      </c>
      <c r="I29" s="5" t="n">
        <v>19.2586</v>
      </c>
      <c r="J29" s="4" t="n">
        <v>9.32</v>
      </c>
      <c r="K29" s="5" t="n">
        <v>6.4733</v>
      </c>
      <c r="L29" s="6" t="n">
        <v>1.7062</v>
      </c>
      <c r="M29" s="5" t="n">
        <f aca="false">IF(AND(N(K29)&gt;0,N(L29)&gt;0),K29/L29,"")</f>
        <v>3.79398663697105</v>
      </c>
      <c r="N29" s="2"/>
    </row>
    <row r="30" customFormat="false" ht="15" hidden="false" customHeight="false" outlineLevel="0" collapsed="false">
      <c r="A30" s="2" t="n">
        <v>29</v>
      </c>
      <c r="B30" s="2" t="s">
        <v>87</v>
      </c>
      <c r="C30" s="2" t="s">
        <v>88</v>
      </c>
      <c r="D30" s="2" t="s">
        <v>45</v>
      </c>
      <c r="E30" s="2" t="s">
        <v>57</v>
      </c>
      <c r="F30" s="3" t="n">
        <v>0.005701</v>
      </c>
      <c r="G30" s="3" t="n">
        <f aca="false">SUM($F$2:F30)</f>
        <v>0.77828</v>
      </c>
      <c r="H30" s="4" t="n">
        <v>78.42</v>
      </c>
      <c r="I30" s="5" t="n">
        <v>19.9542</v>
      </c>
      <c r="J30" s="4" t="n">
        <v>3.93</v>
      </c>
      <c r="K30" s="5" t="n">
        <v>18.0811</v>
      </c>
      <c r="L30" s="6" t="n">
        <v>2.9671</v>
      </c>
      <c r="M30" s="5" t="n">
        <f aca="false">IF(AND(N(K30)&gt;0,N(L30)&gt;0),K30/L30,"")</f>
        <v>6.09386269421321</v>
      </c>
      <c r="N30" s="2"/>
    </row>
    <row r="31" customFormat="false" ht="15" hidden="false" customHeight="false" outlineLevel="0" collapsed="false">
      <c r="A31" s="2" t="n">
        <v>30</v>
      </c>
      <c r="B31" s="2" t="s">
        <v>89</v>
      </c>
      <c r="C31" s="2" t="s">
        <v>90</v>
      </c>
      <c r="D31" s="2" t="s">
        <v>16</v>
      </c>
      <c r="E31" s="2" t="s">
        <v>20</v>
      </c>
      <c r="F31" s="3" t="n">
        <v>0.005601</v>
      </c>
      <c r="G31" s="3" t="n">
        <f aca="false">SUM($F$2:F31)</f>
        <v>0.783881</v>
      </c>
      <c r="H31" s="4" t="n">
        <v>280.94</v>
      </c>
      <c r="I31" s="5" t="n">
        <v>25.6801</v>
      </c>
      <c r="J31" s="4" t="n">
        <v>10.94</v>
      </c>
      <c r="K31" s="5" t="n">
        <v>8.4734</v>
      </c>
      <c r="L31" s="6" t="n">
        <v>1.2316</v>
      </c>
      <c r="M31" s="5" t="n">
        <f aca="false">IF(AND(N(K31)&gt;0,N(L31)&gt;0),K31/L31,"")</f>
        <v>6.87999350438454</v>
      </c>
      <c r="N31" s="2"/>
    </row>
    <row r="32" customFormat="false" ht="15" hidden="false" customHeight="false" outlineLevel="0" collapsed="false">
      <c r="A32" s="2" t="n">
        <v>31</v>
      </c>
      <c r="B32" s="2" t="s">
        <v>91</v>
      </c>
      <c r="C32" s="2" t="s">
        <v>92</v>
      </c>
      <c r="D32" s="2" t="s">
        <v>34</v>
      </c>
      <c r="E32" s="2" t="s">
        <v>35</v>
      </c>
      <c r="F32" s="3" t="n">
        <v>0.005401</v>
      </c>
      <c r="G32" s="3" t="n">
        <f aca="false">SUM($F$2:F32)</f>
        <v>0.789282</v>
      </c>
      <c r="H32" s="4" t="n">
        <v>332.56</v>
      </c>
      <c r="I32" s="5" t="n">
        <v>342.8453</v>
      </c>
      <c r="J32" s="4" t="n">
        <v>0.97</v>
      </c>
      <c r="K32" s="5" t="n">
        <v>355.1736</v>
      </c>
      <c r="L32" s="6" t="n">
        <v>68.8855</v>
      </c>
      <c r="M32" s="5" t="n">
        <f aca="false">IF(AND(N(K32)&gt;0,N(L32)&gt;0),K32/L32,"")</f>
        <v>5.15599944835996</v>
      </c>
      <c r="N32" s="2"/>
    </row>
    <row r="33" customFormat="false" ht="15" hidden="false" customHeight="false" outlineLevel="0" collapsed="false">
      <c r="A33" s="2" t="n">
        <v>32</v>
      </c>
      <c r="B33" s="2" t="s">
        <v>93</v>
      </c>
      <c r="C33" s="2" t="s">
        <v>94</v>
      </c>
      <c r="D33" s="2" t="s">
        <v>34</v>
      </c>
      <c r="E33" s="2" t="s">
        <v>95</v>
      </c>
      <c r="F33" s="3" t="n">
        <v>0.005401</v>
      </c>
      <c r="G33" s="3" t="n">
        <f aca="false">SUM($F$2:F33)</f>
        <v>0.794683</v>
      </c>
      <c r="H33" s="4" t="n">
        <v>91.32</v>
      </c>
      <c r="I33" s="5" t="n">
        <v>15.6103</v>
      </c>
      <c r="J33" s="4" t="n">
        <v>5.85</v>
      </c>
      <c r="K33" s="5" t="n">
        <v>3.9986</v>
      </c>
      <c r="L33" s="6" t="n">
        <v>1.7361</v>
      </c>
      <c r="M33" s="5" t="n">
        <f aca="false">IF(AND(N(K33)&gt;0,N(L33)&gt;0),K33/L33,"")</f>
        <v>2.30320834053338</v>
      </c>
      <c r="N33" s="2"/>
    </row>
    <row r="34" customFormat="false" ht="15" hidden="false" customHeight="false" outlineLevel="0" collapsed="false">
      <c r="A34" s="2" t="n">
        <v>33</v>
      </c>
      <c r="B34" s="2" t="s">
        <v>96</v>
      </c>
      <c r="C34" s="2" t="s">
        <v>97</v>
      </c>
      <c r="D34" s="2" t="s">
        <v>16</v>
      </c>
      <c r="E34" s="2" t="s">
        <v>17</v>
      </c>
      <c r="F34" s="3" t="n">
        <v>0.005401</v>
      </c>
      <c r="G34" s="3" t="n">
        <f aca="false">SUM($F$2:F34)</f>
        <v>0.800084</v>
      </c>
      <c r="H34" s="4" t="n">
        <v>16.38</v>
      </c>
      <c r="I34" s="5"/>
      <c r="J34" s="4" t="n">
        <v>-0.7</v>
      </c>
      <c r="K34" s="5" t="n">
        <v>6.6563</v>
      </c>
      <c r="L34" s="6" t="n">
        <v>44.294</v>
      </c>
      <c r="M34" s="5" t="n">
        <f aca="false">IF(AND(N(K34)&gt;0,N(L34)&gt;0),K34/L34,"")</f>
        <v>0.150275432338466</v>
      </c>
      <c r="N34" s="2" t="s">
        <v>84</v>
      </c>
    </row>
    <row r="35" customFormat="false" ht="15" hidden="false" customHeight="false" outlineLevel="0" collapsed="false">
      <c r="A35" s="2" t="n">
        <v>34</v>
      </c>
      <c r="B35" s="2" t="s">
        <v>98</v>
      </c>
      <c r="C35" s="2" t="s">
        <v>99</v>
      </c>
      <c r="D35" s="2" t="s">
        <v>100</v>
      </c>
      <c r="E35" s="2" t="s">
        <v>101</v>
      </c>
      <c r="F35" s="3" t="n">
        <v>0.005301</v>
      </c>
      <c r="G35" s="3" t="n">
        <f aca="false">SUM($F$2:F35)</f>
        <v>0.805385</v>
      </c>
      <c r="H35" s="4" t="n">
        <v>1037.66</v>
      </c>
      <c r="I35" s="5" t="n">
        <v>66.6448</v>
      </c>
      <c r="J35" s="4" t="n">
        <v>15.57</v>
      </c>
      <c r="K35" s="5" t="n">
        <v>102.3877</v>
      </c>
      <c r="L35" s="6" t="n">
        <v>10.338</v>
      </c>
      <c r="M35" s="5" t="n">
        <f aca="false">IF(AND(N(K35)&gt;0,N(L35)&gt;0),K35/L35,"")</f>
        <v>9.9040143161153</v>
      </c>
      <c r="N35" s="2"/>
    </row>
    <row r="36" customFormat="false" ht="15" hidden="false" customHeight="false" outlineLevel="0" collapsed="false">
      <c r="A36" s="2" t="n">
        <v>35</v>
      </c>
      <c r="B36" s="2" t="s">
        <v>102</v>
      </c>
      <c r="C36" s="2" t="s">
        <v>103</v>
      </c>
      <c r="D36" s="2" t="s">
        <v>16</v>
      </c>
      <c r="E36" s="2" t="s">
        <v>17</v>
      </c>
      <c r="F36" s="3" t="n">
        <v>0.005301</v>
      </c>
      <c r="G36" s="3" t="n">
        <f aca="false">SUM($F$2:F36)</f>
        <v>0.810686</v>
      </c>
      <c r="H36" s="4" t="n">
        <v>8.68</v>
      </c>
      <c r="I36" s="5"/>
      <c r="J36" s="4" t="n">
        <v>-2.15</v>
      </c>
      <c r="K36" s="5" t="n">
        <v>3.5622</v>
      </c>
      <c r="L36" s="6" t="n">
        <v>333.2256</v>
      </c>
      <c r="M36" s="5" t="n">
        <f aca="false">IF(AND(N(K36)&gt;0,N(L36)&gt;0),K36/L36,"")</f>
        <v>0.0106900550257843</v>
      </c>
      <c r="N36" s="2" t="s">
        <v>84</v>
      </c>
    </row>
    <row r="37" customFormat="false" ht="15" hidden="false" customHeight="false" outlineLevel="0" collapsed="false">
      <c r="A37" s="2" t="n">
        <v>36</v>
      </c>
      <c r="B37" s="2" t="s">
        <v>104</v>
      </c>
      <c r="C37" s="2" t="s">
        <v>105</v>
      </c>
      <c r="D37" s="2" t="s">
        <v>16</v>
      </c>
      <c r="E37" s="2" t="s">
        <v>25</v>
      </c>
      <c r="F37" s="3" t="n">
        <v>0.005001</v>
      </c>
      <c r="G37" s="3" t="n">
        <f aca="false">SUM($F$2:F37)</f>
        <v>0.815687</v>
      </c>
      <c r="H37" s="4" t="n">
        <v>94.51</v>
      </c>
      <c r="I37" s="5"/>
      <c r="J37" s="4" t="n">
        <v>-4.83</v>
      </c>
      <c r="K37" s="5" t="n">
        <v>3.1919</v>
      </c>
      <c r="L37" s="6" t="n">
        <v>1.088</v>
      </c>
      <c r="M37" s="5" t="n">
        <f aca="false">IF(AND(N(K37)&gt;0,N(L37)&gt;0),K37/L37,"")</f>
        <v>2.93373161764706</v>
      </c>
      <c r="N37" s="2" t="s">
        <v>84</v>
      </c>
    </row>
    <row r="38" customFormat="false" ht="15" hidden="false" customHeight="false" outlineLevel="0" collapsed="false">
      <c r="A38" s="2" t="n">
        <v>37</v>
      </c>
      <c r="B38" s="2" t="s">
        <v>106</v>
      </c>
      <c r="C38" s="2" t="s">
        <v>107</v>
      </c>
      <c r="D38" s="2" t="s">
        <v>40</v>
      </c>
      <c r="E38" s="2" t="s">
        <v>41</v>
      </c>
      <c r="F38" s="3" t="n">
        <v>0.005001</v>
      </c>
      <c r="G38" s="3" t="n">
        <f aca="false">SUM($F$2:F38)</f>
        <v>0.820688</v>
      </c>
      <c r="H38" s="4" t="n">
        <v>9.95</v>
      </c>
      <c r="I38" s="5"/>
      <c r="J38" s="4" t="n">
        <v>-0.22</v>
      </c>
      <c r="K38" s="5" t="n">
        <v>4.924</v>
      </c>
      <c r="L38" s="6" t="n">
        <v>243.7614</v>
      </c>
      <c r="M38" s="5" t="n">
        <f aca="false">IF(AND(N(K38)&gt;0,N(L38)&gt;0),K38/L38,"")</f>
        <v>0.0202000808987805</v>
      </c>
      <c r="N38" s="2" t="s">
        <v>84</v>
      </c>
    </row>
    <row r="39" customFormat="false" ht="15" hidden="false" customHeight="false" outlineLevel="0" collapsed="false">
      <c r="A39" s="2" t="n">
        <v>38</v>
      </c>
      <c r="B39" s="2" t="s">
        <v>108</v>
      </c>
      <c r="C39" s="2" t="s">
        <v>109</v>
      </c>
      <c r="D39" s="2" t="s">
        <v>34</v>
      </c>
      <c r="E39" s="2" t="s">
        <v>35</v>
      </c>
      <c r="F39" s="3" t="n">
        <v>0.0048</v>
      </c>
      <c r="G39" s="3" t="n">
        <f aca="false">SUM($F$2:F39)</f>
        <v>0.825488</v>
      </c>
      <c r="H39" s="4" t="n">
        <v>360.46</v>
      </c>
      <c r="I39" s="5" t="n">
        <v>178.4455</v>
      </c>
      <c r="J39" s="4" t="n">
        <v>2.02</v>
      </c>
      <c r="K39" s="5" t="n">
        <v>62.5344</v>
      </c>
      <c r="L39" s="6" t="n">
        <v>52.0288</v>
      </c>
      <c r="M39" s="5" t="n">
        <f aca="false">IF(AND(N(K39)&gt;0,N(L39)&gt;0),K39/L39,"")</f>
        <v>1.20191893720401</v>
      </c>
      <c r="N39" s="2"/>
    </row>
    <row r="40" customFormat="false" ht="15" hidden="false" customHeight="false" outlineLevel="0" collapsed="false">
      <c r="A40" s="2" t="n">
        <v>39</v>
      </c>
      <c r="B40" s="2" t="s">
        <v>110</v>
      </c>
      <c r="C40" s="2" t="s">
        <v>111</v>
      </c>
      <c r="D40" s="2" t="s">
        <v>30</v>
      </c>
      <c r="E40" s="2" t="s">
        <v>31</v>
      </c>
      <c r="F40" s="3" t="n">
        <v>0.0047</v>
      </c>
      <c r="G40" s="3" t="n">
        <f aca="false">SUM($F$2:F40)</f>
        <v>0.830188</v>
      </c>
      <c r="H40" s="4" t="n">
        <v>226.61</v>
      </c>
      <c r="I40" s="5"/>
      <c r="J40" s="4" t="n">
        <v>-0.07</v>
      </c>
      <c r="K40" s="5" t="n">
        <v>61.6051</v>
      </c>
      <c r="L40" s="6" t="n">
        <v>45.4617</v>
      </c>
      <c r="M40" s="5" t="n">
        <f aca="false">IF(AND(N(K40)&gt;0,N(L40)&gt;0),K40/L40,"")</f>
        <v>1.35509890743197</v>
      </c>
      <c r="N40" s="2" t="s">
        <v>84</v>
      </c>
    </row>
    <row r="41" customFormat="false" ht="15" hidden="false" customHeight="false" outlineLevel="0" collapsed="false">
      <c r="A41" s="2" t="n">
        <v>40</v>
      </c>
      <c r="B41" s="2" t="s">
        <v>112</v>
      </c>
      <c r="C41" s="2" t="s">
        <v>113</v>
      </c>
      <c r="D41" s="2" t="s">
        <v>40</v>
      </c>
      <c r="E41" s="2" t="s">
        <v>41</v>
      </c>
      <c r="F41" s="3" t="n">
        <v>0.0044</v>
      </c>
      <c r="G41" s="3" t="n">
        <f aca="false">SUM($F$2:F41)</f>
        <v>0.834588</v>
      </c>
      <c r="H41" s="4" t="n">
        <v>2.82</v>
      </c>
      <c r="I41" s="5"/>
      <c r="J41" s="4"/>
      <c r="K41" s="5" t="n">
        <v>2.5528</v>
      </c>
      <c r="L41" s="6"/>
      <c r="M41" s="5" t="str">
        <f aca="false">IF(AND(N(K41)&gt;0,N(L41)&gt;0),K41/L41,"")</f>
        <v/>
      </c>
      <c r="N41" s="2" t="s">
        <v>42</v>
      </c>
    </row>
    <row r="42" customFormat="false" ht="15" hidden="false" customHeight="false" outlineLevel="0" collapsed="false">
      <c r="A42" s="2" t="n">
        <v>41</v>
      </c>
      <c r="B42" s="2" t="s">
        <v>114</v>
      </c>
      <c r="C42" s="2" t="s">
        <v>115</v>
      </c>
      <c r="D42" s="2" t="s">
        <v>40</v>
      </c>
      <c r="E42" s="2" t="s">
        <v>41</v>
      </c>
      <c r="F42" s="3" t="n">
        <v>0.0044</v>
      </c>
      <c r="G42" s="3" t="n">
        <f aca="false">SUM($F$2:F42)</f>
        <v>0.838988</v>
      </c>
      <c r="H42" s="4" t="n">
        <v>11.6</v>
      </c>
      <c r="I42" s="5"/>
      <c r="J42" s="4" t="n">
        <v>-0.33</v>
      </c>
      <c r="K42" s="5" t="n">
        <v>3.0714</v>
      </c>
      <c r="L42" s="6" t="n">
        <v>29.0415</v>
      </c>
      <c r="M42" s="5" t="n">
        <f aca="false">IF(AND(N(K42)&gt;0,N(L42)&gt;0),K42/L42,"")</f>
        <v>0.10575900005165</v>
      </c>
      <c r="N42" s="2" t="s">
        <v>84</v>
      </c>
    </row>
    <row r="43" customFormat="false" ht="15" hidden="false" customHeight="false" outlineLevel="0" collapsed="false">
      <c r="A43" s="2" t="n">
        <v>42</v>
      </c>
      <c r="B43" s="2" t="s">
        <v>116</v>
      </c>
      <c r="C43" s="2" t="s">
        <v>117</v>
      </c>
      <c r="D43" s="2" t="s">
        <v>16</v>
      </c>
      <c r="E43" s="2" t="s">
        <v>17</v>
      </c>
      <c r="F43" s="3" t="n">
        <v>0.0043</v>
      </c>
      <c r="G43" s="3" t="n">
        <f aca="false">SUM($F$2:F43)</f>
        <v>0.843288</v>
      </c>
      <c r="H43" s="4" t="n">
        <v>31.05</v>
      </c>
      <c r="I43" s="5" t="n">
        <v>10.0812</v>
      </c>
      <c r="J43" s="4" t="n">
        <v>3.08</v>
      </c>
      <c r="K43" s="5" t="n">
        <v>1.5041</v>
      </c>
      <c r="L43" s="6" t="n">
        <v>4.6877</v>
      </c>
      <c r="M43" s="5" t="n">
        <f aca="false">IF(AND(N(K43)&gt;0,N(L43)&gt;0),K43/L43,"")</f>
        <v>0.320860976598332</v>
      </c>
      <c r="N43" s="2"/>
    </row>
    <row r="44" customFormat="false" ht="15" hidden="false" customHeight="false" outlineLevel="0" collapsed="false">
      <c r="A44" s="2" t="n">
        <v>43</v>
      </c>
      <c r="B44" s="2" t="s">
        <v>118</v>
      </c>
      <c r="C44" s="2" t="s">
        <v>119</v>
      </c>
      <c r="D44" s="2" t="s">
        <v>16</v>
      </c>
      <c r="E44" s="2" t="s">
        <v>25</v>
      </c>
      <c r="F44" s="3" t="n">
        <v>0.0043</v>
      </c>
      <c r="G44" s="3" t="n">
        <f aca="false">SUM($F$2:F44)</f>
        <v>0.847588</v>
      </c>
      <c r="H44" s="4" t="n">
        <v>17.18</v>
      </c>
      <c r="I44" s="5"/>
      <c r="J44" s="4" t="n">
        <v>-2.76</v>
      </c>
      <c r="K44" s="5" t="n">
        <v>1.3736</v>
      </c>
      <c r="L44" s="6" t="n">
        <v>8.9116</v>
      </c>
      <c r="M44" s="5" t="n">
        <f aca="false">IF(AND(N(K44)&gt;0,N(L44)&gt;0),K44/L44,"")</f>
        <v>0.15413618205485</v>
      </c>
      <c r="N44" s="2" t="s">
        <v>84</v>
      </c>
    </row>
    <row r="45" customFormat="false" ht="15" hidden="false" customHeight="false" outlineLevel="0" collapsed="false">
      <c r="A45" s="2" t="n">
        <v>44</v>
      </c>
      <c r="B45" s="2" t="s">
        <v>120</v>
      </c>
      <c r="C45" s="2" t="s">
        <v>121</v>
      </c>
      <c r="D45" s="2" t="s">
        <v>16</v>
      </c>
      <c r="E45" s="2" t="s">
        <v>17</v>
      </c>
      <c r="F45" s="3" t="n">
        <v>0.0043</v>
      </c>
      <c r="G45" s="3" t="n">
        <f aca="false">SUM($F$2:F45)</f>
        <v>0.851888</v>
      </c>
      <c r="H45" s="4" t="n">
        <v>19.99</v>
      </c>
      <c r="I45" s="5" t="n">
        <v>666.3333</v>
      </c>
      <c r="J45" s="4" t="n">
        <v>0.03</v>
      </c>
      <c r="K45" s="5" t="n">
        <v>14.9925</v>
      </c>
      <c r="L45" s="6" t="n">
        <v>4.8523</v>
      </c>
      <c r="M45" s="5" t="n">
        <f aca="false">IF(AND(N(K45)&gt;0,N(L45)&gt;0),K45/L45,"")</f>
        <v>3.08977186076706</v>
      </c>
      <c r="N45" s="2" t="s">
        <v>122</v>
      </c>
    </row>
    <row r="46" customFormat="false" ht="15" hidden="false" customHeight="false" outlineLevel="0" collapsed="false">
      <c r="A46" s="2" t="n">
        <v>45</v>
      </c>
      <c r="B46" s="2" t="s">
        <v>123</v>
      </c>
      <c r="C46" s="2" t="s">
        <v>124</v>
      </c>
      <c r="D46" s="2" t="s">
        <v>40</v>
      </c>
      <c r="E46" s="2" t="s">
        <v>41</v>
      </c>
      <c r="F46" s="3" t="n">
        <v>0.0043</v>
      </c>
      <c r="G46" s="3" t="n">
        <f aca="false">SUM($F$2:F46)</f>
        <v>0.856188</v>
      </c>
      <c r="H46" s="4" t="n">
        <v>151.31</v>
      </c>
      <c r="I46" s="5" t="n">
        <v>80.0582</v>
      </c>
      <c r="J46" s="4" t="n">
        <v>1.89</v>
      </c>
      <c r="K46" s="5" t="n">
        <v>3.0948</v>
      </c>
      <c r="L46" s="6" t="n">
        <v>6.5304</v>
      </c>
      <c r="M46" s="5" t="n">
        <f aca="false">IF(AND(N(K46)&gt;0,N(L46)&gt;0),K46/L46,"")</f>
        <v>0.473906651966189</v>
      </c>
      <c r="N46" s="2"/>
    </row>
    <row r="47" customFormat="false" ht="15" hidden="false" customHeight="false" outlineLevel="0" collapsed="false">
      <c r="A47" s="2" t="n">
        <v>46</v>
      </c>
      <c r="B47" s="2" t="s">
        <v>125</v>
      </c>
      <c r="C47" s="2" t="s">
        <v>126</v>
      </c>
      <c r="D47" s="2" t="s">
        <v>34</v>
      </c>
      <c r="E47" s="2" t="s">
        <v>127</v>
      </c>
      <c r="F47" s="3" t="n">
        <v>0.0042</v>
      </c>
      <c r="G47" s="3" t="n">
        <f aca="false">SUM($F$2:F47)</f>
        <v>0.860388</v>
      </c>
      <c r="H47" s="4" t="n">
        <v>7.71</v>
      </c>
      <c r="I47" s="5" t="n">
        <v>42.8333</v>
      </c>
      <c r="J47" s="4" t="n">
        <v>0.18</v>
      </c>
      <c r="K47" s="5" t="n">
        <v>1.2976</v>
      </c>
      <c r="L47" s="6" t="n">
        <v>2.2066</v>
      </c>
      <c r="M47" s="5" t="n">
        <f aca="false">IF(AND(N(K47)&gt;0,N(L47)&gt;0),K47/L47,"")</f>
        <v>0.588054019758905</v>
      </c>
      <c r="N47" s="2"/>
    </row>
    <row r="48" customFormat="false" ht="15" hidden="false" customHeight="false" outlineLevel="0" collapsed="false">
      <c r="A48" s="2" t="n">
        <v>47</v>
      </c>
      <c r="B48" s="2" t="s">
        <v>128</v>
      </c>
      <c r="C48" s="2" t="s">
        <v>129</v>
      </c>
      <c r="D48" s="2" t="s">
        <v>100</v>
      </c>
      <c r="E48" s="2" t="s">
        <v>101</v>
      </c>
      <c r="F48" s="3" t="n">
        <v>0.0041</v>
      </c>
      <c r="G48" s="3" t="n">
        <f aca="false">SUM($F$2:F48)</f>
        <v>0.864488</v>
      </c>
      <c r="H48" s="4" t="n">
        <v>181.45</v>
      </c>
      <c r="I48" s="5" t="n">
        <v>88.9461</v>
      </c>
      <c r="J48" s="4" t="n">
        <v>2.04</v>
      </c>
      <c r="K48" s="5" t="n">
        <v>68.5271</v>
      </c>
      <c r="L48" s="6" t="n">
        <v>10.1416</v>
      </c>
      <c r="M48" s="5" t="n">
        <f aca="false">IF(AND(N(K48)&gt;0,N(L48)&gt;0),K48/L48,"")</f>
        <v>6.75703044884436</v>
      </c>
      <c r="N48" s="2"/>
    </row>
    <row r="49" customFormat="false" ht="15" hidden="false" customHeight="false" outlineLevel="0" collapsed="false">
      <c r="A49" s="2" t="n">
        <v>48</v>
      </c>
      <c r="B49" s="2" t="s">
        <v>130</v>
      </c>
      <c r="C49" s="2" t="s">
        <v>131</v>
      </c>
      <c r="D49" s="2" t="s">
        <v>16</v>
      </c>
      <c r="E49" s="2" t="s">
        <v>25</v>
      </c>
      <c r="F49" s="3" t="n">
        <v>0.0041</v>
      </c>
      <c r="G49" s="3" t="n">
        <f aca="false">SUM($F$2:F49)</f>
        <v>0.868588</v>
      </c>
      <c r="H49" s="4" t="n">
        <v>3.58</v>
      </c>
      <c r="I49" s="5"/>
      <c r="J49" s="4" t="n">
        <v>-6.29</v>
      </c>
      <c r="K49" s="5" t="n">
        <v>1.2948</v>
      </c>
      <c r="L49" s="6" t="n">
        <v>6.0437</v>
      </c>
      <c r="M49" s="5" t="n">
        <f aca="false">IF(AND(N(K49)&gt;0,N(L49)&gt;0),K49/L49,"")</f>
        <v>0.214239621423962</v>
      </c>
      <c r="N49" s="2" t="s">
        <v>84</v>
      </c>
    </row>
    <row r="50" customFormat="false" ht="15" hidden="false" customHeight="false" outlineLevel="0" collapsed="false">
      <c r="A50" s="2" t="n">
        <v>49</v>
      </c>
      <c r="B50" s="2" t="s">
        <v>132</v>
      </c>
      <c r="C50" s="2" t="s">
        <v>133</v>
      </c>
      <c r="D50" s="2" t="s">
        <v>45</v>
      </c>
      <c r="E50" s="2" t="s">
        <v>46</v>
      </c>
      <c r="F50" s="3" t="n">
        <v>0.0041</v>
      </c>
      <c r="G50" s="3" t="n">
        <f aca="false">SUM($F$2:F50)</f>
        <v>0.872688</v>
      </c>
      <c r="H50" s="4" t="n">
        <v>300.34</v>
      </c>
      <c r="I50" s="5"/>
      <c r="J50" s="4" t="n">
        <v>-4.04</v>
      </c>
      <c r="K50" s="5" t="n">
        <v>14.3906</v>
      </c>
      <c r="L50" s="6" t="n">
        <v>3.8467</v>
      </c>
      <c r="M50" s="5" t="n">
        <f aca="false">IF(AND(N(K50)&gt;0,N(L50)&gt;0),K50/L50,"")</f>
        <v>3.74102477448202</v>
      </c>
      <c r="N50" s="2" t="s">
        <v>84</v>
      </c>
    </row>
    <row r="51" customFormat="false" ht="15" hidden="false" customHeight="false" outlineLevel="0" collapsed="false">
      <c r="A51" s="2" t="n">
        <v>50</v>
      </c>
      <c r="B51" s="2" t="s">
        <v>134</v>
      </c>
      <c r="C51" s="2" t="s">
        <v>135</v>
      </c>
      <c r="D51" s="2" t="s">
        <v>45</v>
      </c>
      <c r="E51" s="2" t="s">
        <v>136</v>
      </c>
      <c r="F51" s="3" t="n">
        <v>0.004</v>
      </c>
      <c r="G51" s="3" t="n">
        <f aca="false">SUM($F$2:F51)</f>
        <v>0.876688</v>
      </c>
      <c r="H51" s="4" t="n">
        <v>4.43</v>
      </c>
      <c r="I51" s="5"/>
      <c r="J51" s="4" t="n">
        <v>-0.62</v>
      </c>
      <c r="K51" s="5" t="n">
        <v>0.8055</v>
      </c>
      <c r="L51" s="6" t="n">
        <v>3.5664</v>
      </c>
      <c r="M51" s="5" t="n">
        <f aca="false">IF(AND(N(K51)&gt;0,N(L51)&gt;0),K51/L51,"")</f>
        <v>0.22585800807537</v>
      </c>
      <c r="N51" s="2" t="s">
        <v>84</v>
      </c>
    </row>
    <row r="52" customFormat="false" ht="15" hidden="false" customHeight="false" outlineLevel="0" collapsed="false">
      <c r="A52" s="2" t="n">
        <v>51</v>
      </c>
      <c r="B52" s="2" t="s">
        <v>137</v>
      </c>
      <c r="C52" s="2" t="s">
        <v>138</v>
      </c>
      <c r="D52" s="2" t="s">
        <v>34</v>
      </c>
      <c r="E52" s="2" t="s">
        <v>35</v>
      </c>
      <c r="F52" s="3" t="n">
        <v>0.0039</v>
      </c>
      <c r="G52" s="3" t="n">
        <f aca="false">SUM($F$2:F52)</f>
        <v>0.880588</v>
      </c>
      <c r="H52" s="4" t="n">
        <v>205.24</v>
      </c>
      <c r="I52" s="5"/>
      <c r="J52" s="4" t="n">
        <v>-4.65</v>
      </c>
      <c r="K52" s="5" t="n">
        <v>48.7576</v>
      </c>
      <c r="L52" s="6" t="n">
        <v>71.6315</v>
      </c>
      <c r="M52" s="5" t="n">
        <f aca="false">IF(AND(N(K52)&gt;0,N(L52)&gt;0),K52/L52,"")</f>
        <v>0.680672609117497</v>
      </c>
      <c r="N52" s="2" t="s">
        <v>84</v>
      </c>
    </row>
    <row r="53" customFormat="false" ht="15" hidden="false" customHeight="false" outlineLevel="0" collapsed="false">
      <c r="A53" s="2" t="n">
        <v>52</v>
      </c>
      <c r="B53" s="2" t="s">
        <v>139</v>
      </c>
      <c r="C53" s="2" t="s">
        <v>140</v>
      </c>
      <c r="D53" s="2" t="s">
        <v>141</v>
      </c>
      <c r="E53" s="2" t="s">
        <v>142</v>
      </c>
      <c r="F53" s="3" t="n">
        <v>0.0037</v>
      </c>
      <c r="G53" s="3" t="n">
        <f aca="false">SUM($F$2:F53)</f>
        <v>0.884288</v>
      </c>
      <c r="H53" s="4" t="n">
        <v>1.77</v>
      </c>
      <c r="I53" s="5"/>
      <c r="J53" s="4" t="n">
        <v>-0.8</v>
      </c>
      <c r="K53" s="5" t="n">
        <v>0.6383</v>
      </c>
      <c r="L53" s="6" t="n">
        <v>5.2635</v>
      </c>
      <c r="M53" s="5" t="n">
        <f aca="false">IF(AND(N(K53)&gt;0,N(L53)&gt;0),K53/L53,"")</f>
        <v>0.121269117507362</v>
      </c>
      <c r="N53" s="2" t="s">
        <v>84</v>
      </c>
    </row>
    <row r="54" customFormat="false" ht="15" hidden="false" customHeight="false" outlineLevel="0" collapsed="false">
      <c r="A54" s="2" t="n">
        <v>53</v>
      </c>
      <c r="B54" s="2" t="s">
        <v>143</v>
      </c>
      <c r="C54" s="2" t="s">
        <v>144</v>
      </c>
      <c r="D54" s="2" t="s">
        <v>34</v>
      </c>
      <c r="E54" s="2" t="s">
        <v>145</v>
      </c>
      <c r="F54" s="3" t="n">
        <v>0.0037</v>
      </c>
      <c r="G54" s="3" t="n">
        <f aca="false">SUM($F$2:F54)</f>
        <v>0.887988</v>
      </c>
      <c r="H54" s="4" t="n">
        <v>18.35</v>
      </c>
      <c r="I54" s="5"/>
      <c r="J54" s="4" t="n">
        <v>-2.86</v>
      </c>
      <c r="K54" s="5" t="n">
        <v>7.6158</v>
      </c>
      <c r="L54" s="6" t="n">
        <v>39.854</v>
      </c>
      <c r="M54" s="5" t="n">
        <f aca="false">IF(AND(N(K54)&gt;0,N(L54)&gt;0),K54/L54,"")</f>
        <v>0.191092487579666</v>
      </c>
      <c r="N54" s="2" t="s">
        <v>84</v>
      </c>
    </row>
    <row r="55" customFormat="false" ht="15" hidden="false" customHeight="false" outlineLevel="0" collapsed="false">
      <c r="A55" s="2" t="n">
        <v>54</v>
      </c>
      <c r="B55" s="2" t="s">
        <v>146</v>
      </c>
      <c r="C55" s="2" t="s">
        <v>147</v>
      </c>
      <c r="D55" s="2" t="s">
        <v>141</v>
      </c>
      <c r="E55" s="2" t="s">
        <v>142</v>
      </c>
      <c r="F55" s="3" t="n">
        <v>0.0037</v>
      </c>
      <c r="G55" s="3" t="n">
        <f aca="false">SUM($F$2:F55)</f>
        <v>0.891688</v>
      </c>
      <c r="H55" s="4" t="n">
        <v>47.05</v>
      </c>
      <c r="I55" s="5"/>
      <c r="J55" s="4" t="n">
        <v>-2.22</v>
      </c>
      <c r="K55" s="5" t="n">
        <v>18.5405</v>
      </c>
      <c r="L55" s="6" t="n">
        <v>26.2239</v>
      </c>
      <c r="M55" s="5" t="n">
        <f aca="false">IF(AND(N(K55)&gt;0,N(L55)&gt;0),K55/L55,"")</f>
        <v>0.707007729590183</v>
      </c>
      <c r="N55" s="2" t="s">
        <v>84</v>
      </c>
    </row>
    <row r="56" customFormat="false" ht="15" hidden="false" customHeight="false" outlineLevel="0" collapsed="false">
      <c r="A56" s="2" t="n">
        <v>55</v>
      </c>
      <c r="B56" s="2" t="s">
        <v>148</v>
      </c>
      <c r="C56" s="2" t="s">
        <v>149</v>
      </c>
      <c r="D56" s="2" t="s">
        <v>141</v>
      </c>
      <c r="E56" s="2" t="s">
        <v>142</v>
      </c>
      <c r="F56" s="3" t="n">
        <v>0.0037</v>
      </c>
      <c r="G56" s="3" t="n">
        <f aca="false">SUM($F$2:F56)</f>
        <v>0.895388</v>
      </c>
      <c r="H56" s="4" t="n">
        <v>13.35</v>
      </c>
      <c r="I56" s="5"/>
      <c r="J56" s="4" t="n">
        <v>-9.2</v>
      </c>
      <c r="K56" s="5" t="n">
        <v>5.1571</v>
      </c>
      <c r="L56" s="6" t="n">
        <v>6.4126</v>
      </c>
      <c r="M56" s="5" t="n">
        <f aca="false">IF(AND(N(K56)&gt;0,N(L56)&gt;0),K56/L56,"")</f>
        <v>0.804213579515329</v>
      </c>
      <c r="N56" s="2" t="s">
        <v>84</v>
      </c>
    </row>
    <row r="57" customFormat="false" ht="15" hidden="false" customHeight="false" outlineLevel="0" collapsed="false">
      <c r="A57" s="2" t="n">
        <v>56</v>
      </c>
      <c r="B57" s="2" t="s">
        <v>150</v>
      </c>
      <c r="C57" s="2" t="s">
        <v>151</v>
      </c>
      <c r="D57" s="2" t="s">
        <v>16</v>
      </c>
      <c r="E57" s="2" t="s">
        <v>17</v>
      </c>
      <c r="F57" s="3" t="n">
        <v>0.0037</v>
      </c>
      <c r="G57" s="3" t="n">
        <f aca="false">SUM($F$2:F57)</f>
        <v>0.899088</v>
      </c>
      <c r="H57" s="4" t="n">
        <v>46.88</v>
      </c>
      <c r="I57" s="5" t="n">
        <v>15.9456</v>
      </c>
      <c r="J57" s="4" t="n">
        <v>2.94</v>
      </c>
      <c r="K57" s="5" t="n">
        <v>1.0813</v>
      </c>
      <c r="L57" s="6" t="n">
        <v>1.5991</v>
      </c>
      <c r="M57" s="5" t="n">
        <f aca="false">IF(AND(N(K57)&gt;0,N(L57)&gt;0),K57/L57,"")</f>
        <v>0.676192858482897</v>
      </c>
      <c r="N57" s="2"/>
    </row>
    <row r="58" customFormat="false" ht="15" hidden="false" customHeight="false" outlineLevel="0" collapsed="false">
      <c r="A58" s="2" t="n">
        <v>57</v>
      </c>
      <c r="B58" s="2" t="s">
        <v>152</v>
      </c>
      <c r="C58" s="2" t="s">
        <v>153</v>
      </c>
      <c r="D58" s="2" t="s">
        <v>141</v>
      </c>
      <c r="E58" s="2" t="s">
        <v>142</v>
      </c>
      <c r="F58" s="3" t="n">
        <v>0.0037</v>
      </c>
      <c r="G58" s="3" t="n">
        <f aca="false">SUM($F$2:F58)</f>
        <v>0.902788</v>
      </c>
      <c r="H58" s="4" t="n">
        <v>24.69</v>
      </c>
      <c r="I58" s="5"/>
      <c r="J58" s="4" t="n">
        <v>-3.84</v>
      </c>
      <c r="K58" s="5" t="n">
        <v>9.2651</v>
      </c>
      <c r="L58" s="6" t="n">
        <v>13.736</v>
      </c>
      <c r="M58" s="5" t="n">
        <f aca="false">IF(AND(N(K58)&gt;0,N(L58)&gt;0),K58/L58,"")</f>
        <v>0.674512230634828</v>
      </c>
      <c r="N58" s="2" t="s">
        <v>84</v>
      </c>
    </row>
    <row r="59" customFormat="false" ht="15" hidden="false" customHeight="false" outlineLevel="0" collapsed="false">
      <c r="A59" s="2" t="n">
        <v>58</v>
      </c>
      <c r="B59" s="2" t="s">
        <v>154</v>
      </c>
      <c r="C59" s="2" t="s">
        <v>155</v>
      </c>
      <c r="D59" s="2" t="s">
        <v>34</v>
      </c>
      <c r="E59" s="2" t="s">
        <v>156</v>
      </c>
      <c r="F59" s="3" t="n">
        <v>0.0036</v>
      </c>
      <c r="G59" s="3" t="n">
        <f aca="false">SUM($F$2:F59)</f>
        <v>0.906388</v>
      </c>
      <c r="H59" s="4" t="n">
        <v>86.9</v>
      </c>
      <c r="I59" s="5"/>
      <c r="J59" s="4" t="n">
        <v>-3.55</v>
      </c>
      <c r="K59" s="5" t="n">
        <v>47.9285</v>
      </c>
      <c r="L59" s="6" t="n">
        <v>6.3147</v>
      </c>
      <c r="M59" s="5" t="n">
        <f aca="false">IF(AND(N(K59)&gt;0,N(L59)&gt;0),K59/L59,"")</f>
        <v>7.58998843967251</v>
      </c>
      <c r="N59" s="2" t="s">
        <v>84</v>
      </c>
    </row>
    <row r="60" customFormat="false" ht="15" hidden="false" customHeight="false" outlineLevel="0" collapsed="false">
      <c r="A60" s="2" t="n">
        <v>59</v>
      </c>
      <c r="B60" s="2" t="s">
        <v>157</v>
      </c>
      <c r="C60" s="2" t="s">
        <v>158</v>
      </c>
      <c r="D60" s="2" t="s">
        <v>45</v>
      </c>
      <c r="E60" s="2" t="s">
        <v>46</v>
      </c>
      <c r="F60" s="3" t="n">
        <v>0.0036</v>
      </c>
      <c r="G60" s="3" t="n">
        <f aca="false">SUM($F$2:F60)</f>
        <v>0.909988</v>
      </c>
      <c r="H60" s="4" t="n">
        <v>4.22</v>
      </c>
      <c r="I60" s="5"/>
      <c r="J60" s="4" t="n">
        <v>-0.57</v>
      </c>
      <c r="K60" s="5" t="n">
        <v>0.4279</v>
      </c>
      <c r="L60" s="6" t="n">
        <v>13.6289</v>
      </c>
      <c r="M60" s="5" t="n">
        <f aca="false">IF(AND(N(K60)&gt;0,N(L60)&gt;0),K60/L60,"")</f>
        <v>0.0313965176940179</v>
      </c>
      <c r="N60" s="2" t="s">
        <v>84</v>
      </c>
    </row>
    <row r="61" customFormat="false" ht="15" hidden="false" customHeight="false" outlineLevel="0" collapsed="false">
      <c r="A61" s="2" t="n">
        <v>60</v>
      </c>
      <c r="B61" s="2" t="s">
        <v>159</v>
      </c>
      <c r="C61" s="2" t="s">
        <v>160</v>
      </c>
      <c r="D61" s="2" t="s">
        <v>141</v>
      </c>
      <c r="E61" s="2" t="s">
        <v>142</v>
      </c>
      <c r="F61" s="3" t="n">
        <v>0.0036</v>
      </c>
      <c r="G61" s="3" t="n">
        <f aca="false">SUM($F$2:F61)</f>
        <v>0.913588</v>
      </c>
      <c r="H61" s="4" t="n">
        <v>102.46</v>
      </c>
      <c r="I61" s="5"/>
      <c r="J61" s="4" t="n">
        <v>-5.41</v>
      </c>
      <c r="K61" s="5" t="n">
        <v>12.6292</v>
      </c>
      <c r="L61" s="6" t="n">
        <v>39.7202</v>
      </c>
      <c r="M61" s="5" t="n">
        <f aca="false">IF(AND(N(K61)&gt;0,N(L61)&gt;0),K61/L61,"")</f>
        <v>0.317954088851516</v>
      </c>
      <c r="N61" s="2" t="s">
        <v>84</v>
      </c>
    </row>
    <row r="62" customFormat="false" ht="15" hidden="false" customHeight="false" outlineLevel="0" collapsed="false">
      <c r="A62" s="2" t="n">
        <v>61</v>
      </c>
      <c r="B62" s="2" t="s">
        <v>161</v>
      </c>
      <c r="C62" s="2" t="s">
        <v>162</v>
      </c>
      <c r="D62" s="2" t="s">
        <v>34</v>
      </c>
      <c r="E62" s="2" t="s">
        <v>145</v>
      </c>
      <c r="F62" s="3" t="n">
        <v>0.0036</v>
      </c>
      <c r="G62" s="3" t="n">
        <f aca="false">SUM($F$2:F62)</f>
        <v>0.917188</v>
      </c>
      <c r="H62" s="4" t="n">
        <v>4.01</v>
      </c>
      <c r="I62" s="5"/>
      <c r="J62" s="4" t="n">
        <v>-0.66</v>
      </c>
      <c r="K62" s="5" t="n">
        <v>2.4765</v>
      </c>
      <c r="L62" s="6" t="n">
        <v>13.163</v>
      </c>
      <c r="M62" s="5" t="n">
        <f aca="false">IF(AND(N(K62)&gt;0,N(L62)&gt;0),K62/L62,"")</f>
        <v>0.188141001291499</v>
      </c>
      <c r="N62" s="2" t="s">
        <v>84</v>
      </c>
    </row>
    <row r="63" customFormat="false" ht="15" hidden="false" customHeight="false" outlineLevel="0" collapsed="false">
      <c r="A63" s="2" t="n">
        <v>62</v>
      </c>
      <c r="B63" s="2" t="s">
        <v>163</v>
      </c>
      <c r="C63" s="2" t="s">
        <v>164</v>
      </c>
      <c r="D63" s="2" t="s">
        <v>34</v>
      </c>
      <c r="E63" s="2" t="s">
        <v>35</v>
      </c>
      <c r="F63" s="3" t="n">
        <v>0.0036</v>
      </c>
      <c r="G63" s="3" t="n">
        <f aca="false">SUM($F$2:F63)</f>
        <v>0.920788</v>
      </c>
      <c r="H63" s="4" t="n">
        <v>121.66</v>
      </c>
      <c r="I63" s="5" t="n">
        <v>486.64</v>
      </c>
      <c r="J63" s="4" t="n">
        <v>0.25</v>
      </c>
      <c r="K63" s="5" t="n">
        <v>17.2794</v>
      </c>
      <c r="L63" s="6" t="n">
        <v>26.5381</v>
      </c>
      <c r="M63" s="5" t="n">
        <f aca="false">IF(AND(N(K63)&gt;0,N(L63)&gt;0),K63/L63,"")</f>
        <v>0.651116696372385</v>
      </c>
      <c r="N63" s="2"/>
    </row>
    <row r="64" customFormat="false" ht="15" hidden="false" customHeight="false" outlineLevel="0" collapsed="false">
      <c r="A64" s="2" t="n">
        <v>63</v>
      </c>
      <c r="B64" s="2" t="s">
        <v>165</v>
      </c>
      <c r="C64" s="2" t="s">
        <v>166</v>
      </c>
      <c r="D64" s="2" t="s">
        <v>16</v>
      </c>
      <c r="E64" s="2" t="s">
        <v>20</v>
      </c>
      <c r="F64" s="3" t="n">
        <v>0.0036</v>
      </c>
      <c r="G64" s="3" t="n">
        <f aca="false">SUM($F$2:F64)</f>
        <v>0.924388</v>
      </c>
      <c r="H64" s="4" t="n">
        <v>295.18</v>
      </c>
      <c r="I64" s="5" t="n">
        <v>27.4842</v>
      </c>
      <c r="J64" s="4" t="n">
        <v>10.74</v>
      </c>
      <c r="K64" s="5" t="n">
        <v>4.5957</v>
      </c>
      <c r="L64" s="6" t="n">
        <v>1.1472</v>
      </c>
      <c r="M64" s="5" t="n">
        <f aca="false">IF(AND(N(K64)&gt;0,N(L64)&gt;0),K64/L64,"")</f>
        <v>4.00601464435146</v>
      </c>
      <c r="N64" s="2"/>
    </row>
    <row r="65" customFormat="false" ht="15" hidden="false" customHeight="false" outlineLevel="0" collapsed="false">
      <c r="A65" s="2" t="n">
        <v>64</v>
      </c>
      <c r="B65" s="2" t="s">
        <v>167</v>
      </c>
      <c r="C65" s="2" t="s">
        <v>168</v>
      </c>
      <c r="D65" s="2" t="s">
        <v>16</v>
      </c>
      <c r="E65" s="2" t="s">
        <v>25</v>
      </c>
      <c r="F65" s="3" t="n">
        <v>0.0036</v>
      </c>
      <c r="G65" s="3" t="n">
        <f aca="false">SUM($F$2:F65)</f>
        <v>0.927988</v>
      </c>
      <c r="H65" s="4" t="n">
        <v>427.28</v>
      </c>
      <c r="I65" s="5" t="n">
        <v>47.8477</v>
      </c>
      <c r="J65" s="4" t="n">
        <v>8.93</v>
      </c>
      <c r="K65" s="5" t="n">
        <v>2.0888</v>
      </c>
      <c r="L65" s="6" t="n">
        <v>2.8222</v>
      </c>
      <c r="M65" s="5" t="n">
        <f aca="false">IF(AND(N(K65)&gt;0,N(L65)&gt;0),K65/L65,"")</f>
        <v>0.740131812061512</v>
      </c>
      <c r="N65" s="2"/>
    </row>
    <row r="66" customFormat="false" ht="15" hidden="false" customHeight="false" outlineLevel="0" collapsed="false">
      <c r="A66" s="2" t="n">
        <v>65</v>
      </c>
      <c r="B66" s="2" t="s">
        <v>169</v>
      </c>
      <c r="C66" s="2" t="s">
        <v>170</v>
      </c>
      <c r="D66" s="2" t="s">
        <v>34</v>
      </c>
      <c r="E66" s="2" t="s">
        <v>145</v>
      </c>
      <c r="F66" s="3" t="n">
        <v>0.0035</v>
      </c>
      <c r="G66" s="3" t="n">
        <f aca="false">SUM($F$2:F66)</f>
        <v>0.931488</v>
      </c>
      <c r="H66" s="4" t="n">
        <v>27.23</v>
      </c>
      <c r="I66" s="5"/>
      <c r="J66" s="4" t="n">
        <v>-0.92</v>
      </c>
      <c r="K66" s="5" t="n">
        <v>7.7416</v>
      </c>
      <c r="L66" s="6" t="n">
        <v>12.6639</v>
      </c>
      <c r="M66" s="5" t="n">
        <f aca="false">IF(AND(N(K66)&gt;0,N(L66)&gt;0),K66/L66,"")</f>
        <v>0.611312470881798</v>
      </c>
      <c r="N66" s="2" t="s">
        <v>84</v>
      </c>
    </row>
    <row r="67" customFormat="false" ht="15" hidden="false" customHeight="false" outlineLevel="0" collapsed="false">
      <c r="A67" s="2" t="n">
        <v>66</v>
      </c>
      <c r="B67" s="2" t="s">
        <v>171</v>
      </c>
      <c r="C67" s="2" t="s">
        <v>172</v>
      </c>
      <c r="D67" s="2" t="s">
        <v>141</v>
      </c>
      <c r="E67" s="2" t="s">
        <v>142</v>
      </c>
      <c r="F67" s="3" t="n">
        <v>0.0035</v>
      </c>
      <c r="G67" s="3" t="n">
        <f aca="false">SUM($F$2:F67)</f>
        <v>0.934988</v>
      </c>
      <c r="H67" s="4" t="n">
        <v>14.46</v>
      </c>
      <c r="I67" s="5"/>
      <c r="J67" s="4" t="n">
        <v>-3.61</v>
      </c>
      <c r="K67" s="5" t="n">
        <v>3.7136</v>
      </c>
      <c r="L67" s="6" t="n">
        <v>5.4672</v>
      </c>
      <c r="M67" s="5" t="n">
        <f aca="false">IF(AND(N(K67)&gt;0,N(L67)&gt;0),K67/L67,"")</f>
        <v>0.679250804799532</v>
      </c>
      <c r="N67" s="2" t="s">
        <v>84</v>
      </c>
    </row>
    <row r="68" customFormat="false" ht="15" hidden="false" customHeight="false" outlineLevel="0" collapsed="false">
      <c r="A68" s="2" t="n">
        <v>67</v>
      </c>
      <c r="B68" s="2" t="s">
        <v>173</v>
      </c>
      <c r="C68" s="2" t="s">
        <v>174</v>
      </c>
      <c r="D68" s="2" t="s">
        <v>34</v>
      </c>
      <c r="E68" s="2" t="s">
        <v>145</v>
      </c>
      <c r="F68" s="3" t="n">
        <v>0.0035</v>
      </c>
      <c r="G68" s="3" t="n">
        <f aca="false">SUM($F$2:F68)</f>
        <v>0.938488</v>
      </c>
      <c r="H68" s="4" t="n">
        <v>33.11</v>
      </c>
      <c r="I68" s="5"/>
      <c r="J68" s="4"/>
      <c r="K68" s="5" t="n">
        <v>6.6345</v>
      </c>
      <c r="L68" s="6"/>
      <c r="M68" s="5" t="str">
        <f aca="false">IF(AND(N(K68)&gt;0,N(L68)&gt;0),K68/L68,"")</f>
        <v/>
      </c>
      <c r="N68" s="2" t="s">
        <v>175</v>
      </c>
    </row>
    <row r="69" customFormat="false" ht="15" hidden="false" customHeight="false" outlineLevel="0" collapsed="false">
      <c r="A69" s="2" t="n">
        <v>68</v>
      </c>
      <c r="B69" s="2" t="s">
        <v>176</v>
      </c>
      <c r="C69" s="2" t="s">
        <v>177</v>
      </c>
      <c r="D69" s="2" t="s">
        <v>16</v>
      </c>
      <c r="E69" s="2" t="s">
        <v>17</v>
      </c>
      <c r="F69" s="3" t="n">
        <v>0.0035</v>
      </c>
      <c r="G69" s="3" t="n">
        <f aca="false">SUM($F$2:F69)</f>
        <v>0.941988</v>
      </c>
      <c r="H69" s="4" t="n">
        <v>17.01</v>
      </c>
      <c r="I69" s="5"/>
      <c r="J69" s="4" t="n">
        <v>-0.68</v>
      </c>
      <c r="K69" s="5" t="n">
        <v>0.9134</v>
      </c>
      <c r="L69" s="6" t="n">
        <v>4267.412</v>
      </c>
      <c r="M69" s="5" t="n">
        <f aca="false">IF(AND(N(K69)&gt;0,N(L69)&gt;0),K69/L69,"")</f>
        <v>0.000214040734759147</v>
      </c>
      <c r="N69" s="2" t="s">
        <v>84</v>
      </c>
    </row>
    <row r="70" customFormat="false" ht="15" hidden="false" customHeight="false" outlineLevel="0" collapsed="false">
      <c r="A70" s="2" t="n">
        <v>69</v>
      </c>
      <c r="B70" s="2" t="s">
        <v>178</v>
      </c>
      <c r="C70" s="2" t="s">
        <v>179</v>
      </c>
      <c r="D70" s="2" t="s">
        <v>34</v>
      </c>
      <c r="E70" s="2" t="s">
        <v>145</v>
      </c>
      <c r="F70" s="3" t="n">
        <v>0.0035</v>
      </c>
      <c r="G70" s="3" t="n">
        <f aca="false">SUM($F$2:F70)</f>
        <v>0.945488</v>
      </c>
      <c r="H70" s="4" t="n">
        <v>6.92</v>
      </c>
      <c r="I70" s="5"/>
      <c r="J70" s="4"/>
      <c r="K70" s="5" t="n">
        <v>1.9701</v>
      </c>
      <c r="L70" s="6"/>
      <c r="M70" s="5" t="str">
        <f aca="false">IF(AND(N(K70)&gt;0,N(L70)&gt;0),K70/L70,"")</f>
        <v/>
      </c>
      <c r="N70" s="2" t="s">
        <v>175</v>
      </c>
    </row>
    <row r="71" customFormat="false" ht="15" hidden="false" customHeight="false" outlineLevel="0" collapsed="false">
      <c r="A71" s="2" t="n">
        <v>70</v>
      </c>
      <c r="B71" s="2" t="s">
        <v>180</v>
      </c>
      <c r="C71" s="2" t="s">
        <v>181</v>
      </c>
      <c r="D71" s="2" t="s">
        <v>34</v>
      </c>
      <c r="E71" s="2" t="s">
        <v>182</v>
      </c>
      <c r="F71" s="3" t="n">
        <v>0.0034</v>
      </c>
      <c r="G71" s="3" t="n">
        <f aca="false">SUM($F$2:F71)</f>
        <v>0.948888</v>
      </c>
      <c r="H71" s="4" t="n">
        <v>12.31</v>
      </c>
      <c r="I71" s="5"/>
      <c r="J71" s="4" t="n">
        <v>-1.79</v>
      </c>
      <c r="K71" s="5" t="n">
        <v>3.3456</v>
      </c>
      <c r="L71" s="6" t="n">
        <v>4.1189</v>
      </c>
      <c r="M71" s="5" t="n">
        <f aca="false">IF(AND(N(K71)&gt;0,N(L71)&gt;0),K71/L71,"")</f>
        <v>0.812255699337202</v>
      </c>
      <c r="N71" s="2" t="s">
        <v>84</v>
      </c>
    </row>
    <row r="72" customFormat="false" ht="15" hidden="false" customHeight="false" outlineLevel="0" collapsed="false">
      <c r="A72" s="2" t="n">
        <v>71</v>
      </c>
      <c r="B72" s="2" t="s">
        <v>183</v>
      </c>
      <c r="C72" s="2" t="s">
        <v>184</v>
      </c>
      <c r="D72" s="2" t="s">
        <v>141</v>
      </c>
      <c r="E72" s="2" t="s">
        <v>142</v>
      </c>
      <c r="F72" s="3" t="n">
        <v>0.0034</v>
      </c>
      <c r="G72" s="3" t="n">
        <f aca="false">SUM($F$2:F72)</f>
        <v>0.952288</v>
      </c>
      <c r="H72" s="4" t="n">
        <v>3.37</v>
      </c>
      <c r="I72" s="5"/>
      <c r="J72" s="4" t="n">
        <v>-1.41</v>
      </c>
      <c r="K72" s="5" t="n">
        <v>0.9243</v>
      </c>
      <c r="L72" s="6" t="n">
        <v>2.79</v>
      </c>
      <c r="M72" s="5" t="n">
        <f aca="false">IF(AND(N(K72)&gt;0,N(L72)&gt;0),K72/L72,"")</f>
        <v>0.331290322580645</v>
      </c>
      <c r="N72" s="2" t="s">
        <v>84</v>
      </c>
    </row>
    <row r="73" customFormat="false" ht="15" hidden="false" customHeight="false" outlineLevel="0" collapsed="false">
      <c r="A73" s="2" t="n">
        <v>72</v>
      </c>
      <c r="B73" s="2" t="s">
        <v>185</v>
      </c>
      <c r="C73" s="2" t="s">
        <v>186</v>
      </c>
      <c r="D73" s="2" t="s">
        <v>45</v>
      </c>
      <c r="E73" s="2" t="s">
        <v>187</v>
      </c>
      <c r="F73" s="3" t="n">
        <v>0.0033</v>
      </c>
      <c r="G73" s="3" t="n">
        <f aca="false">SUM($F$2:F73)</f>
        <v>0.955588</v>
      </c>
      <c r="H73" s="4" t="n">
        <v>14.81</v>
      </c>
      <c r="I73" s="5" t="n">
        <v>5.5468</v>
      </c>
      <c r="J73" s="4" t="n">
        <v>2.67</v>
      </c>
      <c r="K73" s="5" t="n">
        <v>10.566</v>
      </c>
      <c r="L73" s="6" t="n">
        <v>0.8094</v>
      </c>
      <c r="M73" s="5" t="n">
        <f aca="false">IF(AND(N(K73)&gt;0,N(L73)&gt;0),K73/L73,"")</f>
        <v>13.054114158636</v>
      </c>
      <c r="N73" s="2"/>
    </row>
    <row r="74" customFormat="false" ht="15" hidden="false" customHeight="false" outlineLevel="0" collapsed="false">
      <c r="A74" s="2" t="n">
        <v>73</v>
      </c>
      <c r="B74" s="2" t="s">
        <v>188</v>
      </c>
      <c r="C74" s="2" t="s">
        <v>189</v>
      </c>
      <c r="D74" s="2" t="s">
        <v>34</v>
      </c>
      <c r="E74" s="2" t="s">
        <v>156</v>
      </c>
      <c r="F74" s="3" t="n">
        <v>0.0033</v>
      </c>
      <c r="G74" s="3" t="n">
        <f aca="false">SUM($F$2:F74)</f>
        <v>0.958888</v>
      </c>
      <c r="H74" s="4" t="n">
        <v>18.1</v>
      </c>
      <c r="I74" s="5"/>
      <c r="J74" s="4" t="n">
        <v>-4.85</v>
      </c>
      <c r="K74" s="5" t="n">
        <v>5.8163</v>
      </c>
      <c r="L74" s="6" t="n">
        <v>13.2094</v>
      </c>
      <c r="M74" s="5" t="n">
        <f aca="false">IF(AND(N(K74)&gt;0,N(L74)&gt;0),K74/L74,"")</f>
        <v>0.44031523006344</v>
      </c>
      <c r="N74" s="2" t="s">
        <v>84</v>
      </c>
    </row>
    <row r="75" customFormat="false" ht="15" hidden="false" customHeight="false" outlineLevel="0" collapsed="false">
      <c r="A75" s="2" t="n">
        <v>74</v>
      </c>
      <c r="B75" s="2" t="s">
        <v>190</v>
      </c>
      <c r="C75" s="2" t="s">
        <v>191</v>
      </c>
      <c r="D75" s="2" t="s">
        <v>34</v>
      </c>
      <c r="E75" s="2" t="s">
        <v>145</v>
      </c>
      <c r="F75" s="3" t="n">
        <v>0.0033</v>
      </c>
      <c r="G75" s="3" t="n">
        <f aca="false">SUM($F$2:F75)</f>
        <v>0.962188</v>
      </c>
      <c r="H75" s="4" t="n">
        <v>18.53</v>
      </c>
      <c r="I75" s="5"/>
      <c r="J75" s="4" t="n">
        <v>-1.18</v>
      </c>
      <c r="K75" s="5" t="n">
        <v>3.0877</v>
      </c>
      <c r="L75" s="6" t="n">
        <v>2.9122</v>
      </c>
      <c r="M75" s="5" t="n">
        <f aca="false">IF(AND(N(K75)&gt;0,N(L75)&gt;0),K75/L75,"")</f>
        <v>1.06026371815123</v>
      </c>
      <c r="N75" s="2" t="s">
        <v>84</v>
      </c>
    </row>
    <row r="76" customFormat="false" ht="15" hidden="false" customHeight="false" outlineLevel="0" collapsed="false">
      <c r="A76" s="2" t="n">
        <v>75</v>
      </c>
      <c r="B76" s="2" t="s">
        <v>192</v>
      </c>
      <c r="C76" s="2" t="s">
        <v>193</v>
      </c>
      <c r="D76" s="2" t="s">
        <v>40</v>
      </c>
      <c r="E76" s="2" t="s">
        <v>41</v>
      </c>
      <c r="F76" s="3" t="n">
        <v>0.0033</v>
      </c>
      <c r="G76" s="3" t="n">
        <f aca="false">SUM($F$2:F76)</f>
        <v>0.965488</v>
      </c>
      <c r="H76" s="4" t="n">
        <v>1.22</v>
      </c>
      <c r="I76" s="5"/>
      <c r="J76" s="4" t="n">
        <v>-0.33</v>
      </c>
      <c r="K76" s="5" t="n">
        <v>0.237</v>
      </c>
      <c r="L76" s="6" t="n">
        <v>4.2902</v>
      </c>
      <c r="M76" s="5" t="n">
        <f aca="false">IF(AND(N(K76)&gt;0,N(L76)&gt;0),K76/L76,"")</f>
        <v>0.0552421798517552</v>
      </c>
      <c r="N76" s="2" t="s">
        <v>84</v>
      </c>
    </row>
    <row r="77" customFormat="false" ht="15" hidden="false" customHeight="false" outlineLevel="0" collapsed="false">
      <c r="A77" s="2" t="n">
        <v>76</v>
      </c>
      <c r="B77" s="2" t="s">
        <v>194</v>
      </c>
      <c r="C77" s="2" t="s">
        <v>195</v>
      </c>
      <c r="D77" s="2" t="s">
        <v>16</v>
      </c>
      <c r="E77" s="2" t="s">
        <v>17</v>
      </c>
      <c r="F77" s="3" t="n">
        <v>0.0033</v>
      </c>
      <c r="G77" s="3" t="n">
        <f aca="false">SUM($F$2:F77)</f>
        <v>0.968788</v>
      </c>
      <c r="H77" s="4" t="n">
        <v>1.71</v>
      </c>
      <c r="I77" s="5"/>
      <c r="J77" s="4" t="n">
        <v>-6.11</v>
      </c>
      <c r="K77" s="5" t="n">
        <v>0.1513</v>
      </c>
      <c r="L77" s="6"/>
      <c r="M77" s="5" t="str">
        <f aca="false">IF(AND(N(K77)&gt;0,N(L77)&gt;0),K77/L77,"")</f>
        <v/>
      </c>
      <c r="N77" s="2" t="s">
        <v>84</v>
      </c>
    </row>
    <row r="78" customFormat="false" ht="15" hidden="false" customHeight="false" outlineLevel="0" collapsed="false">
      <c r="A78" s="2" t="n">
        <v>77</v>
      </c>
      <c r="B78" s="2" t="s">
        <v>196</v>
      </c>
      <c r="C78" s="2" t="s">
        <v>197</v>
      </c>
      <c r="D78" s="2" t="s">
        <v>141</v>
      </c>
      <c r="E78" s="2" t="s">
        <v>142</v>
      </c>
      <c r="F78" s="3" t="n">
        <v>0.0033</v>
      </c>
      <c r="G78" s="3" t="n">
        <f aca="false">SUM($F$2:F78)</f>
        <v>0.972088</v>
      </c>
      <c r="H78" s="4" t="n">
        <v>16.35</v>
      </c>
      <c r="I78" s="5"/>
      <c r="J78" s="4" t="n">
        <v>-4.46</v>
      </c>
      <c r="K78" s="5" t="n">
        <v>8.1581</v>
      </c>
      <c r="L78" s="6" t="n">
        <v>49.3855</v>
      </c>
      <c r="M78" s="5" t="n">
        <f aca="false">IF(AND(N(K78)&gt;0,N(L78)&gt;0),K78/L78,"")</f>
        <v>0.165192212289032</v>
      </c>
      <c r="N78" s="2" t="s">
        <v>84</v>
      </c>
    </row>
    <row r="79" customFormat="false" ht="15" hidden="false" customHeight="false" outlineLevel="0" collapsed="false">
      <c r="A79" s="2" t="n">
        <v>78</v>
      </c>
      <c r="B79" s="2" t="s">
        <v>198</v>
      </c>
      <c r="C79" s="2" t="s">
        <v>199</v>
      </c>
      <c r="D79" s="2" t="s">
        <v>34</v>
      </c>
      <c r="E79" s="2" t="s">
        <v>145</v>
      </c>
      <c r="F79" s="3" t="n">
        <v>0.0033</v>
      </c>
      <c r="G79" s="3" t="n">
        <f aca="false">SUM($F$2:F79)</f>
        <v>0.975388</v>
      </c>
      <c r="H79" s="4" t="n">
        <v>19.05</v>
      </c>
      <c r="I79" s="5"/>
      <c r="J79" s="4" t="n">
        <v>-1.16</v>
      </c>
      <c r="K79" s="5" t="n">
        <v>0.7401</v>
      </c>
      <c r="L79" s="6" t="n">
        <v>7.9631</v>
      </c>
      <c r="M79" s="5" t="n">
        <f aca="false">IF(AND(N(K79)&gt;0,N(L79)&gt;0),K79/L79,"")</f>
        <v>0.0929411912446158</v>
      </c>
      <c r="N79" s="2" t="s">
        <v>84</v>
      </c>
    </row>
    <row r="80" customFormat="false" ht="15" hidden="false" customHeight="false" outlineLevel="0" collapsed="false">
      <c r="A80" s="2" t="n">
        <v>79</v>
      </c>
      <c r="B80" s="2" t="s">
        <v>200</v>
      </c>
      <c r="C80" s="2" t="s">
        <v>201</v>
      </c>
      <c r="D80" s="2" t="s">
        <v>141</v>
      </c>
      <c r="E80" s="2" t="s">
        <v>202</v>
      </c>
      <c r="F80" s="3" t="n">
        <v>0.0032</v>
      </c>
      <c r="G80" s="3" t="n">
        <f aca="false">SUM($F$2:F80)</f>
        <v>0.978588</v>
      </c>
      <c r="H80" s="4" t="n">
        <v>15.99</v>
      </c>
      <c r="I80" s="5" t="n">
        <v>10.0566</v>
      </c>
      <c r="J80" s="4" t="n">
        <v>1.59</v>
      </c>
      <c r="K80" s="5" t="n">
        <v>2.998</v>
      </c>
      <c r="L80" s="6" t="n">
        <v>4.739</v>
      </c>
      <c r="M80" s="5" t="n">
        <f aca="false">IF(AND(N(K80)&gt;0,N(L80)&gt;0),K80/L80,"")</f>
        <v>0.632622916227052</v>
      </c>
      <c r="N80" s="2"/>
    </row>
    <row r="81" customFormat="false" ht="15" hidden="false" customHeight="false" outlineLevel="0" collapsed="false">
      <c r="A81" s="2" t="n">
        <v>80</v>
      </c>
      <c r="B81" s="2" t="s">
        <v>203</v>
      </c>
      <c r="C81" s="2" t="s">
        <v>204</v>
      </c>
      <c r="D81" s="2" t="s">
        <v>34</v>
      </c>
      <c r="E81" s="2" t="s">
        <v>156</v>
      </c>
      <c r="F81" s="3" t="n">
        <v>0.0031</v>
      </c>
      <c r="G81" s="3" t="n">
        <f aca="false">SUM($F$2:F81)</f>
        <v>0.981688</v>
      </c>
      <c r="H81" s="4" t="n">
        <v>16.51</v>
      </c>
      <c r="I81" s="5"/>
      <c r="J81" s="4" t="n">
        <v>-1.23</v>
      </c>
      <c r="K81" s="5" t="n">
        <v>1.3123</v>
      </c>
      <c r="L81" s="6" t="n">
        <v>23.261</v>
      </c>
      <c r="M81" s="5" t="n">
        <f aca="false">IF(AND(N(K81)&gt;0,N(L81)&gt;0),K81/L81,"")</f>
        <v>0.0564163191608271</v>
      </c>
      <c r="N81" s="2" t="s">
        <v>84</v>
      </c>
    </row>
    <row r="82" customFormat="false" ht="15" hidden="false" customHeight="false" outlineLevel="0" collapsed="false">
      <c r="A82" s="2" t="n">
        <v>81</v>
      </c>
      <c r="B82" s="2" t="s">
        <v>205</v>
      </c>
      <c r="C82" s="2" t="s">
        <v>206</v>
      </c>
      <c r="D82" s="2" t="s">
        <v>40</v>
      </c>
      <c r="E82" s="2" t="s">
        <v>41</v>
      </c>
      <c r="F82" s="3" t="n">
        <v>0.003</v>
      </c>
      <c r="G82" s="3" t="n">
        <f aca="false">SUM($F$2:F82)</f>
        <v>0.984688</v>
      </c>
      <c r="H82" s="4" t="n">
        <v>1.16</v>
      </c>
      <c r="I82" s="5"/>
      <c r="J82" s="4" t="n">
        <v>-0.23</v>
      </c>
      <c r="K82" s="5" t="n">
        <v>0.4615</v>
      </c>
      <c r="L82" s="6" t="n">
        <v>13.1578</v>
      </c>
      <c r="M82" s="5" t="n">
        <f aca="false">IF(AND(N(K82)&gt;0,N(L82)&gt;0),K82/L82,"")</f>
        <v>0.0350742525346183</v>
      </c>
      <c r="N82" s="2" t="s">
        <v>84</v>
      </c>
    </row>
    <row r="83" customFormat="false" ht="15" hidden="false" customHeight="false" outlineLevel="0" collapsed="false">
      <c r="A83" s="2" t="n">
        <v>82</v>
      </c>
      <c r="B83" s="2" t="s">
        <v>207</v>
      </c>
      <c r="C83" s="2" t="s">
        <v>208</v>
      </c>
      <c r="D83" s="2" t="s">
        <v>16</v>
      </c>
      <c r="E83" s="2" t="s">
        <v>20</v>
      </c>
      <c r="F83" s="3" t="n">
        <v>0.0027</v>
      </c>
      <c r="G83" s="3" t="n">
        <f aca="false">SUM($F$2:F83)</f>
        <v>0.987388</v>
      </c>
      <c r="H83" s="4" t="n">
        <v>374.4</v>
      </c>
      <c r="I83" s="5" t="n">
        <v>29.3187</v>
      </c>
      <c r="J83" s="4" t="n">
        <v>12.77</v>
      </c>
      <c r="K83" s="5" t="n">
        <v>5.2528</v>
      </c>
      <c r="L83" s="6" t="n">
        <v>4.421</v>
      </c>
      <c r="M83" s="5" t="n">
        <f aca="false">IF(AND(N(K83)&gt;0,N(L83)&gt;0),K83/L83,"")</f>
        <v>1.18814747794617</v>
      </c>
      <c r="N83" s="2"/>
    </row>
    <row r="84" customFormat="false" ht="15" hidden="false" customHeight="false" outlineLevel="0" collapsed="false">
      <c r="A84" s="2" t="n">
        <v>83</v>
      </c>
      <c r="B84" s="2" t="s">
        <v>209</v>
      </c>
      <c r="C84" s="2" t="s">
        <v>210</v>
      </c>
      <c r="D84" s="2" t="s">
        <v>45</v>
      </c>
      <c r="E84" s="2" t="s">
        <v>136</v>
      </c>
      <c r="F84" s="3" t="n">
        <v>0.0027</v>
      </c>
      <c r="G84" s="3" t="n">
        <f aca="false">SUM($F$2:F84)</f>
        <v>0.990088</v>
      </c>
      <c r="H84" s="4" t="n">
        <v>7.58</v>
      </c>
      <c r="I84" s="5"/>
      <c r="J84" s="4" t="n">
        <v>-0.6</v>
      </c>
      <c r="K84" s="5" t="n">
        <v>1.4092</v>
      </c>
      <c r="L84" s="6" t="n">
        <v>0.5354</v>
      </c>
      <c r="M84" s="5" t="n">
        <f aca="false">IF(AND(N(K84)&gt;0,N(L84)&gt;0),K84/L84,"")</f>
        <v>2.63205080313784</v>
      </c>
      <c r="N84" s="2" t="s">
        <v>84</v>
      </c>
    </row>
    <row r="85" customFormat="false" ht="15" hidden="false" customHeight="false" outlineLevel="0" collapsed="false">
      <c r="A85" s="2" t="n">
        <v>84</v>
      </c>
      <c r="B85" s="2" t="s">
        <v>211</v>
      </c>
      <c r="C85" s="2" t="s">
        <v>212</v>
      </c>
      <c r="D85" s="2" t="s">
        <v>45</v>
      </c>
      <c r="E85" s="2" t="s">
        <v>57</v>
      </c>
      <c r="F85" s="3" t="n">
        <v>0.0027</v>
      </c>
      <c r="G85" s="3" t="n">
        <f aca="false">SUM($F$2:F85)</f>
        <v>0.992788</v>
      </c>
      <c r="H85" s="4" t="n">
        <v>92.05</v>
      </c>
      <c r="I85" s="5" t="n">
        <v>17.6679</v>
      </c>
      <c r="J85" s="4" t="n">
        <v>5.21</v>
      </c>
      <c r="K85" s="5" t="n">
        <v>11.1562</v>
      </c>
      <c r="L85" s="6" t="n">
        <v>2.0086</v>
      </c>
      <c r="M85" s="5" t="n">
        <f aca="false">IF(AND(N(K85)&gt;0,N(L85)&gt;0),K85/L85,"")</f>
        <v>5.55421686746988</v>
      </c>
      <c r="N85" s="2"/>
    </row>
    <row r="86" customFormat="false" ht="15" hidden="false" customHeight="false" outlineLevel="0" collapsed="false">
      <c r="A86" s="2" t="n">
        <v>85</v>
      </c>
      <c r="B86" s="2" t="s">
        <v>213</v>
      </c>
      <c r="C86" s="2" t="s">
        <v>214</v>
      </c>
      <c r="D86" s="2"/>
      <c r="E86" s="2"/>
      <c r="F86" s="3" t="n">
        <v>0.0022</v>
      </c>
      <c r="G86" s="3" t="n">
        <f aca="false">SUM($F$2:F86)</f>
        <v>0.994988</v>
      </c>
      <c r="H86" s="4" t="n">
        <v>1</v>
      </c>
      <c r="I86" s="5"/>
      <c r="J86" s="4"/>
      <c r="K86" s="5"/>
      <c r="L86" s="6"/>
      <c r="M86" s="5" t="str">
        <f aca="false">IF(AND(N(K86)&gt;0,N(L86)&gt;0),K86/L86,"")</f>
        <v/>
      </c>
      <c r="N86" s="2"/>
    </row>
    <row r="87" customFormat="false" ht="15" hidden="false" customHeight="false" outlineLevel="0" collapsed="false">
      <c r="A87" s="2" t="n">
        <v>86</v>
      </c>
      <c r="B87" s="2" t="s">
        <v>215</v>
      </c>
      <c r="C87" s="2" t="s">
        <v>216</v>
      </c>
      <c r="D87" s="2" t="s">
        <v>45</v>
      </c>
      <c r="E87" s="2" t="s">
        <v>57</v>
      </c>
      <c r="F87" s="3" t="n">
        <v>0.0019</v>
      </c>
      <c r="G87" s="3" t="n">
        <f aca="false">SUM($F$2:F87)</f>
        <v>0.996888</v>
      </c>
      <c r="H87" s="4" t="n">
        <v>58.32</v>
      </c>
      <c r="I87" s="5" t="n">
        <v>32.044</v>
      </c>
      <c r="J87" s="4" t="n">
        <v>1.82</v>
      </c>
      <c r="K87" s="5" t="n">
        <v>6.4225</v>
      </c>
      <c r="L87" s="6" t="n">
        <v>2.875</v>
      </c>
      <c r="M87" s="5" t="n">
        <f aca="false">IF(AND(N(K87)&gt;0,N(L87)&gt;0),K87/L87,"")</f>
        <v>2.23391304347826</v>
      </c>
      <c r="N87" s="2"/>
    </row>
    <row r="88" customFormat="false" ht="15" hidden="false" customHeight="false" outlineLevel="0" collapsed="false">
      <c r="A88" s="2" t="n">
        <v>87</v>
      </c>
      <c r="B88" s="2" t="s">
        <v>217</v>
      </c>
      <c r="C88" s="2" t="s">
        <v>218</v>
      </c>
      <c r="D88" s="2" t="s">
        <v>45</v>
      </c>
      <c r="E88" s="2" t="s">
        <v>57</v>
      </c>
      <c r="F88" s="3" t="n">
        <v>0.0017</v>
      </c>
      <c r="G88" s="3" t="n">
        <f aca="false">SUM($F$2:F88)</f>
        <v>0.998588</v>
      </c>
      <c r="H88" s="4" t="n">
        <v>46.92</v>
      </c>
      <c r="I88" s="5" t="n">
        <v>20.7611</v>
      </c>
      <c r="J88" s="4" t="n">
        <v>2.26</v>
      </c>
      <c r="K88" s="5" t="n">
        <v>5.5182</v>
      </c>
      <c r="L88" s="6" t="n">
        <v>1.5614</v>
      </c>
      <c r="M88" s="5" t="n">
        <f aca="false">IF(AND(N(K88)&gt;0,N(L88)&gt;0),K88/L88,"")</f>
        <v>3.53413603176636</v>
      </c>
      <c r="N88" s="2"/>
    </row>
    <row r="89" customFormat="false" ht="15" hidden="false" customHeight="false" outlineLevel="0" collapsed="false">
      <c r="A89" s="2" t="n">
        <v>88</v>
      </c>
      <c r="B89" s="2" t="s">
        <v>219</v>
      </c>
      <c r="C89" s="2" t="s">
        <v>220</v>
      </c>
      <c r="D89" s="2" t="s">
        <v>45</v>
      </c>
      <c r="E89" s="2" t="s">
        <v>136</v>
      </c>
      <c r="F89" s="3" t="n">
        <v>0.0014</v>
      </c>
      <c r="G89" s="3" t="n">
        <f aca="false">SUM($F$2:F89)</f>
        <v>0.999988</v>
      </c>
      <c r="H89" s="4" t="n">
        <v>25.45</v>
      </c>
      <c r="I89" s="5" t="n">
        <v>43.8793</v>
      </c>
      <c r="J89" s="4" t="n">
        <v>0.58</v>
      </c>
      <c r="K89" s="5" t="n">
        <v>5.1507</v>
      </c>
      <c r="L89" s="6" t="n">
        <v>1.6224</v>
      </c>
      <c r="M89" s="5" t="n">
        <f aca="false">IF(AND(N(K89)&gt;0,N(L89)&gt;0),K89/L89,"")</f>
        <v>3.17474112426035</v>
      </c>
      <c r="N89" s="2"/>
    </row>
  </sheetData>
  <autoFilter ref="A1:N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221</v>
      </c>
      <c r="C1" s="7" t="s">
        <v>222</v>
      </c>
      <c r="D1" s="7" t="s">
        <v>223</v>
      </c>
    </row>
    <row r="2" customFormat="false" ht="15" hidden="false" customHeight="false" outlineLevel="0" collapsed="false">
      <c r="A2" s="2" t="s">
        <v>30</v>
      </c>
      <c r="B2" s="3" t="n">
        <f aca="false">SUMIF(Holdings!$D$2:$D$89,A2,Holdings!$F$2:$F$89)</f>
        <v>0.046704</v>
      </c>
      <c r="C2" s="2" t="n">
        <f aca="false">COUNTIF(Holdings!$D$2:$D$89,A2)</f>
        <v>2</v>
      </c>
      <c r="D2" s="8" t="n">
        <f aca="false">IFERROR(AVERAGEIFS(Holdings!$I$2:$I$89,Holdings!$D$2:$D$89,A2,Holdings!$I$2:$I$89,"&lt;=100"),"")</f>
        <v>16.9338</v>
      </c>
    </row>
    <row r="3" customFormat="false" ht="15" hidden="false" customHeight="false" outlineLevel="0" collapsed="false">
      <c r="A3" s="2" t="s">
        <v>224</v>
      </c>
      <c r="B3" s="3" t="n">
        <f aca="false">SUMIF(Holdings!$D$2:$D$89,A3,Holdings!$F$2:$F$89)</f>
        <v>0</v>
      </c>
      <c r="C3" s="2" t="n">
        <f aca="false">COUNTIF(Holdings!$D$2:$D$89,A3)</f>
        <v>0</v>
      </c>
      <c r="D3" s="8" t="str">
        <f aca="false">IFERROR(AVERAGEIFS(Holdings!$I$2:$I$89,Holdings!$D$2:$D$89,A3,Holdings!$I$2:$I$89,"&lt;=100"),"")</f>
        <v/>
      </c>
    </row>
    <row r="4" customFormat="false" ht="15" hidden="false" customHeight="false" outlineLevel="0" collapsed="false">
      <c r="A4" s="2" t="s">
        <v>225</v>
      </c>
      <c r="B4" s="3" t="n">
        <f aca="false">SUMIF(Holdings!$D$2:$D$89,A4,Holdings!$F$2:$F$89)</f>
        <v>0</v>
      </c>
      <c r="C4" s="2" t="n">
        <f aca="false">COUNTIF(Holdings!$D$2:$D$89,A4)</f>
        <v>0</v>
      </c>
      <c r="D4" s="8" t="str">
        <f aca="false">IFERROR(AVERAGEIFS(Holdings!$I$2:$I$89,Holdings!$D$2:$D$89,A4,Holdings!$I$2:$I$89,"&lt;=100"),"")</f>
        <v/>
      </c>
    </row>
    <row r="5" customFormat="false" ht="15" hidden="false" customHeight="false" outlineLevel="0" collapsed="false">
      <c r="A5" s="2" t="s">
        <v>40</v>
      </c>
      <c r="B5" s="3" t="n">
        <f aca="false">SUMIF(Holdings!$D$2:$D$89,A5,Holdings!$F$2:$F$89)</f>
        <v>0.067606</v>
      </c>
      <c r="C5" s="2" t="n">
        <f aca="false">COUNTIF(Holdings!$D$2:$D$89,A5)</f>
        <v>8</v>
      </c>
      <c r="D5" s="8" t="n">
        <f aca="false">IFERROR(AVERAGEIFS(Holdings!$I$2:$I$89,Holdings!$D$2:$D$89,A5,Holdings!$I$2:$I$89,"&lt;=100"),"")</f>
        <v>80.0582</v>
      </c>
    </row>
    <row r="6" customFormat="false" ht="15" hidden="false" customHeight="false" outlineLevel="0" collapsed="false">
      <c r="A6" s="2" t="s">
        <v>141</v>
      </c>
      <c r="B6" s="3" t="n">
        <f aca="false">SUMIF(Holdings!$D$2:$D$89,A6,Holdings!$F$2:$F$89)</f>
        <v>0.0318</v>
      </c>
      <c r="C6" s="2" t="n">
        <f aca="false">COUNTIF(Holdings!$D$2:$D$89,A6)</f>
        <v>9</v>
      </c>
      <c r="D6" s="8" t="n">
        <f aca="false">IFERROR(AVERAGEIFS(Holdings!$I$2:$I$89,Holdings!$D$2:$D$89,A6,Holdings!$I$2:$I$89,"&lt;=100"),"")</f>
        <v>10.0566</v>
      </c>
    </row>
    <row r="7" customFormat="false" ht="15" hidden="false" customHeight="false" outlineLevel="0" collapsed="false">
      <c r="A7" s="2" t="s">
        <v>226</v>
      </c>
      <c r="B7" s="3" t="n">
        <f aca="false">SUMIF(Holdings!$D$2:$D$89,A7,Holdings!$F$2:$F$89)</f>
        <v>0</v>
      </c>
      <c r="C7" s="2" t="n">
        <f aca="false">COUNTIF(Holdings!$D$2:$D$89,A7)</f>
        <v>0</v>
      </c>
      <c r="D7" s="8" t="str">
        <f aca="false">IFERROR(AVERAGEIFS(Holdings!$I$2:$I$89,Holdings!$D$2:$D$89,A7,Holdings!$I$2:$I$89,"&lt;=100"),"")</f>
        <v/>
      </c>
    </row>
    <row r="8" customFormat="false" ht="15" hidden="false" customHeight="false" outlineLevel="0" collapsed="false">
      <c r="A8" s="2" t="s">
        <v>16</v>
      </c>
      <c r="B8" s="3" t="n">
        <f aca="false">SUMIF(Holdings!$D$2:$D$89,A8,Holdings!$F$2:$F$89)</f>
        <v>0.527051</v>
      </c>
      <c r="C8" s="2" t="n">
        <f aca="false">COUNTIF(Holdings!$D$2:$D$89,A8)</f>
        <v>28</v>
      </c>
      <c r="D8" s="8" t="n">
        <f aca="false">IFERROR(AVERAGEIFS(Holdings!$I$2:$I$89,Holdings!$D$2:$D$89,A8,Holdings!$I$2:$I$89,"&lt;=100"),"")</f>
        <v>34.5244166666667</v>
      </c>
    </row>
    <row r="9" customFormat="false" ht="15" hidden="false" customHeight="false" outlineLevel="0" collapsed="false">
      <c r="A9" s="2" t="s">
        <v>34</v>
      </c>
      <c r="B9" s="3" t="n">
        <f aca="false">SUMIF(Holdings!$D$2:$D$89,A9,Holdings!$F$2:$F$89)</f>
        <v>0.181114</v>
      </c>
      <c r="C9" s="2" t="n">
        <f aca="false">COUNTIF(Holdings!$D$2:$D$89,A9)</f>
        <v>21</v>
      </c>
      <c r="D9" s="8" t="n">
        <f aca="false">IFERROR(AVERAGEIFS(Holdings!$I$2:$I$89,Holdings!$D$2:$D$89,A9,Holdings!$I$2:$I$89,"&lt;=100"),"")</f>
        <v>43.9318</v>
      </c>
    </row>
    <row r="10" customFormat="false" ht="15" hidden="false" customHeight="false" outlineLevel="0" collapsed="false">
      <c r="A10" s="2" t="s">
        <v>227</v>
      </c>
      <c r="B10" s="3" t="n">
        <f aca="false">SUMIF(Holdings!$D$2:$D$89,A10,Holdings!$F$2:$F$89)</f>
        <v>0</v>
      </c>
      <c r="C10" s="2" t="n">
        <f aca="false">COUNTIF(Holdings!$D$2:$D$89,A10)</f>
        <v>0</v>
      </c>
      <c r="D10" s="8" t="str">
        <f aca="false">IFERROR(AVERAGEIFS(Holdings!$I$2:$I$89,Holdings!$D$2:$D$89,A10,Holdings!$I$2:$I$89,"&lt;=100"),"")</f>
        <v/>
      </c>
    </row>
    <row r="11" customFormat="false" ht="15" hidden="false" customHeight="false" outlineLevel="0" collapsed="false">
      <c r="A11" s="2" t="s">
        <v>100</v>
      </c>
      <c r="B11" s="3" t="n">
        <f aca="false">SUMIF(Holdings!$D$2:$D$89,A11,Holdings!$F$2:$F$89)</f>
        <v>0.009401</v>
      </c>
      <c r="C11" s="2" t="n">
        <f aca="false">COUNTIF(Holdings!$D$2:$D$89,A11)</f>
        <v>2</v>
      </c>
      <c r="D11" s="8" t="n">
        <f aca="false">IFERROR(AVERAGEIFS(Holdings!$I$2:$I$89,Holdings!$D$2:$D$89,A11,Holdings!$I$2:$I$89,"&lt;=100"),"")</f>
        <v>77.79545</v>
      </c>
    </row>
    <row r="12" customFormat="false" ht="15" hidden="false" customHeight="false" outlineLevel="0" collapsed="false">
      <c r="A12" s="2" t="s">
        <v>45</v>
      </c>
      <c r="B12" s="3" t="n">
        <f aca="false">SUMIF(Holdings!$D$2:$D$89,A12,Holdings!$F$2:$F$89)</f>
        <v>0.134112</v>
      </c>
      <c r="C12" s="2" t="n">
        <f aca="false">COUNTIF(Holdings!$D$2:$D$89,A12)</f>
        <v>17</v>
      </c>
      <c r="D12" s="8" t="n">
        <f aca="false">IFERROR(AVERAGEIFS(Holdings!$I$2:$I$89,Holdings!$D$2:$D$89,A12,Holdings!$I$2:$I$89,"&lt;=100"),"")</f>
        <v>21.3017083333333</v>
      </c>
    </row>
    <row r="13" customFormat="false" ht="15" hidden="false" customHeight="false" outlineLevel="0" collapsed="false">
      <c r="A13" s="2" t="s">
        <v>228</v>
      </c>
      <c r="B13" s="3" t="n">
        <f aca="false">1-SUM(B2:B12)</f>
        <v>0.00221199999999999</v>
      </c>
      <c r="C13" s="2" t="n">
        <f aca="false">COUNTBLANK(Holdings!$D$2:$D$89)</f>
        <v>1</v>
      </c>
      <c r="D13" s="8"/>
    </row>
    <row r="14" customFormat="false" ht="15" hidden="false" customHeight="false" outlineLevel="0" collapsed="false">
      <c r="A14" s="9" t="s">
        <v>229</v>
      </c>
      <c r="B14" s="10" t="n">
        <f aca="false">SUM(B2:B13)</f>
        <v>1</v>
      </c>
      <c r="C14" s="9" t="n">
        <f aca="false">SUM(C2:C13)</f>
        <v>88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2" t="s">
        <v>230</v>
      </c>
    </row>
    <row r="2" customFormat="false" ht="15" hidden="false" customHeight="false" outlineLevel="0" collapsed="false">
      <c r="A2" s="13" t="s">
        <v>231</v>
      </c>
    </row>
    <row r="3" customFormat="false" ht="15" hidden="false" customHeight="false" outlineLevel="0" collapsed="false">
      <c r="A3" s="13" t="s">
        <v>232</v>
      </c>
      <c r="B3" s="14" t="n">
        <v>0.6663</v>
      </c>
    </row>
    <row r="4" customFormat="false" ht="15" hidden="false" customHeight="false" outlineLevel="0" collapsed="false">
      <c r="A4" s="13" t="s">
        <v>233</v>
      </c>
      <c r="B4" s="15" t="n">
        <v>0.1671</v>
      </c>
    </row>
    <row r="6" customFormat="false" ht="15" hidden="false" customHeight="false" outlineLevel="0" collapsed="false">
      <c r="A6" s="1" t="s">
        <v>1</v>
      </c>
      <c r="B6" s="1" t="s">
        <v>234</v>
      </c>
      <c r="C6" s="1" t="s">
        <v>235</v>
      </c>
      <c r="D6" s="1" t="s">
        <v>236</v>
      </c>
    </row>
    <row r="7" customFormat="false" ht="15" hidden="false" customHeight="false" outlineLevel="0" collapsed="false">
      <c r="A7" s="13" t="s">
        <v>14</v>
      </c>
      <c r="B7" s="16" t="n">
        <v>0.0844</v>
      </c>
      <c r="C7" s="16" t="n">
        <v>0.0024</v>
      </c>
      <c r="D7" s="17" t="n">
        <f aca="false">IF(C7&gt;0,B7/C7,"")</f>
        <v>35.1666666666667</v>
      </c>
    </row>
    <row r="8" customFormat="false" ht="15" hidden="false" customHeight="false" outlineLevel="0" collapsed="false">
      <c r="A8" s="13" t="s">
        <v>18</v>
      </c>
      <c r="B8" s="16" t="n">
        <v>0.0812</v>
      </c>
      <c r="C8" s="16" t="n">
        <v>0.0014</v>
      </c>
      <c r="D8" s="17" t="n">
        <f aca="false">IF(C8&gt;0,B8/C8,"")</f>
        <v>58</v>
      </c>
    </row>
    <row r="9" customFormat="false" ht="15" hidden="false" customHeight="false" outlineLevel="0" collapsed="false">
      <c r="A9" s="13" t="s">
        <v>21</v>
      </c>
      <c r="B9" s="16" t="n">
        <v>0.0791</v>
      </c>
      <c r="C9" s="16" t="n">
        <v>0.0036</v>
      </c>
      <c r="D9" s="17" t="n">
        <f aca="false">IF(C9&gt;0,B9/C9,"")</f>
        <v>21.9722222222222</v>
      </c>
    </row>
    <row r="10" customFormat="false" ht="15" hidden="false" customHeight="false" outlineLevel="0" collapsed="false">
      <c r="A10" s="13" t="s">
        <v>23</v>
      </c>
      <c r="B10" s="16" t="n">
        <v>0.065</v>
      </c>
      <c r="C10" s="16" t="n">
        <v>0.0014</v>
      </c>
      <c r="D10" s="17" t="n">
        <f aca="false">IF(C10&gt;0,B10/C10,"")</f>
        <v>46.4285714285714</v>
      </c>
    </row>
    <row r="11" customFormat="false" ht="15" hidden="false" customHeight="false" outlineLevel="0" collapsed="false">
      <c r="A11" s="13" t="s">
        <v>26</v>
      </c>
      <c r="B11" s="16" t="n">
        <v>0.0517</v>
      </c>
      <c r="C11" s="16" t="n">
        <v>0</v>
      </c>
      <c r="D11" s="17" t="str">
        <f aca="false">IF(C11&gt;0,B11/C11,"")</f>
        <v/>
      </c>
    </row>
    <row r="12" customFormat="false" ht="15" hidden="false" customHeight="false" outlineLevel="0" collapsed="false">
      <c r="A12" s="13" t="s">
        <v>28</v>
      </c>
      <c r="B12" s="16" t="n">
        <v>0.042</v>
      </c>
      <c r="C12" s="16" t="n">
        <v>0.0316</v>
      </c>
      <c r="D12" s="17" t="n">
        <f aca="false">IF(C12&gt;0,B12/C12,"")</f>
        <v>1.32911392405063</v>
      </c>
    </row>
    <row r="13" customFormat="false" ht="15" hidden="false" customHeight="false" outlineLevel="0" collapsed="false">
      <c r="A13" s="13" t="s">
        <v>32</v>
      </c>
      <c r="B13" s="16" t="n">
        <v>0.0405</v>
      </c>
      <c r="C13" s="16" t="n">
        <v>0.0773</v>
      </c>
      <c r="D13" s="17" t="n">
        <f aca="false">IF(C13&gt;0,B13/C13,"")</f>
        <v>0.523932729624838</v>
      </c>
    </row>
    <row r="14" customFormat="false" ht="15" hidden="false" customHeight="false" outlineLevel="0" collapsed="false">
      <c r="A14" s="13" t="s">
        <v>36</v>
      </c>
      <c r="B14" s="16" t="n">
        <v>0.0395</v>
      </c>
      <c r="C14" s="16" t="n">
        <v>0.0247</v>
      </c>
      <c r="D14" s="17" t="n">
        <f aca="false">IF(C14&gt;0,B14/C14,"")</f>
        <v>1.59919028340081</v>
      </c>
    </row>
    <row r="15" customFormat="false" ht="15" hidden="false" customHeight="false" outlineLevel="0" collapsed="false">
      <c r="A15" s="13" t="s">
        <v>43</v>
      </c>
      <c r="B15" s="16" t="n">
        <v>0.0305</v>
      </c>
      <c r="C15" s="16" t="n">
        <v>0.0013</v>
      </c>
      <c r="D15" s="17" t="n">
        <f aca="false">IF(C15&gt;0,B15/C15,"")</f>
        <v>23.4615384615385</v>
      </c>
    </row>
    <row r="16" customFormat="false" ht="15" hidden="false" customHeight="false" outlineLevel="0" collapsed="false">
      <c r="A16" s="13" t="s">
        <v>47</v>
      </c>
      <c r="B16" s="16" t="n">
        <v>0.0275</v>
      </c>
      <c r="C16" s="16" t="n">
        <v>0.0134</v>
      </c>
      <c r="D16" s="17" t="n">
        <f aca="false">IF(C16&gt;0,B16/C16,"")</f>
        <v>2.05223880597015</v>
      </c>
    </row>
    <row r="17" customFormat="false" ht="15" hidden="false" customHeight="false" outlineLevel="0" collapsed="false">
      <c r="A17" s="13" t="s">
        <v>51</v>
      </c>
      <c r="B17" s="16" t="n">
        <v>0.0183</v>
      </c>
      <c r="C17" s="16" t="n">
        <v>0.0003</v>
      </c>
      <c r="D17" s="17" t="n">
        <f aca="false">IF(C17&gt;0,B17/C17,"")</f>
        <v>61</v>
      </c>
    </row>
    <row r="18" customFormat="false" ht="15" hidden="false" customHeight="false" outlineLevel="0" collapsed="false">
      <c r="A18" s="13" t="s">
        <v>53</v>
      </c>
      <c r="B18" s="16" t="n">
        <v>0.0158</v>
      </c>
      <c r="C18" s="16" t="n">
        <v>0.0007</v>
      </c>
      <c r="D18" s="17" t="n">
        <f aca="false">IF(C18&gt;0,B18/C18,"")</f>
        <v>22.5714285714286</v>
      </c>
    </row>
    <row r="19" customFormat="false" ht="15" hidden="false" customHeight="false" outlineLevel="0" collapsed="false">
      <c r="A19" s="13" t="s">
        <v>55</v>
      </c>
      <c r="B19" s="16" t="n">
        <v>0.0154</v>
      </c>
      <c r="C19" s="16" t="n">
        <v>0.0008</v>
      </c>
      <c r="D19" s="17" t="n">
        <f aca="false">IF(C19&gt;0,B19/C19,"")</f>
        <v>19.25</v>
      </c>
    </row>
    <row r="20" customFormat="false" ht="15" hidden="false" customHeight="false" outlineLevel="0" collapsed="false">
      <c r="A20" s="13" t="s">
        <v>58</v>
      </c>
      <c r="B20" s="16" t="n">
        <v>0.0147</v>
      </c>
      <c r="C20" s="16" t="n">
        <v>0.0006</v>
      </c>
      <c r="D20" s="17" t="n">
        <f aca="false">IF(C20&gt;0,B20/C20,"")</f>
        <v>24.5</v>
      </c>
    </row>
    <row r="21" customFormat="false" ht="15" hidden="false" customHeight="false" outlineLevel="0" collapsed="false">
      <c r="A21" s="13" t="s">
        <v>62</v>
      </c>
      <c r="B21" s="16" t="n">
        <v>0.0114</v>
      </c>
      <c r="C21" s="16" t="n">
        <v>0.0002</v>
      </c>
      <c r="D21" s="17" t="n">
        <f aca="false">IF(C21&gt;0,B21/C21,"")</f>
        <v>57</v>
      </c>
    </row>
    <row r="22" customFormat="false" ht="15" hidden="false" customHeight="false" outlineLevel="0" collapsed="false">
      <c r="A22" s="13" t="s">
        <v>69</v>
      </c>
      <c r="B22" s="16" t="n">
        <v>0.0109</v>
      </c>
      <c r="C22" s="16" t="n">
        <v>0.0005</v>
      </c>
      <c r="D22" s="17" t="n">
        <f aca="false">IF(C22&gt;0,B22/C22,"")</f>
        <v>21.8</v>
      </c>
    </row>
    <row r="23" customFormat="false" ht="15" hidden="false" customHeight="false" outlineLevel="0" collapsed="false">
      <c r="A23" s="13" t="s">
        <v>73</v>
      </c>
      <c r="B23" s="16" t="n">
        <v>0.0087</v>
      </c>
      <c r="C23" s="16" t="n">
        <v>0.0006</v>
      </c>
      <c r="D23" s="17" t="n">
        <f aca="false">IF(C23&gt;0,B23/C23,"")</f>
        <v>14.5</v>
      </c>
    </row>
    <row r="24" customFormat="false" ht="15" hidden="false" customHeight="false" outlineLevel="0" collapsed="false">
      <c r="A24" s="13" t="s">
        <v>75</v>
      </c>
      <c r="B24" s="16" t="n">
        <v>0.0085</v>
      </c>
      <c r="C24" s="16" t="n">
        <v>0.0032</v>
      </c>
      <c r="D24" s="17" t="n">
        <f aca="false">IF(C24&gt;0,B24/C24,"")</f>
        <v>2.65625</v>
      </c>
    </row>
    <row r="25" customFormat="false" ht="15" hidden="false" customHeight="false" outlineLevel="0" collapsed="false">
      <c r="A25" s="13" t="s">
        <v>87</v>
      </c>
      <c r="B25" s="16" t="n">
        <v>0.0057</v>
      </c>
      <c r="C25" s="16" t="n">
        <v>0.0003</v>
      </c>
      <c r="D25" s="17" t="n">
        <f aca="false">IF(C25&gt;0,B25/C25,"")</f>
        <v>19</v>
      </c>
    </row>
    <row r="26" customFormat="false" ht="15" hidden="false" customHeight="false" outlineLevel="0" collapsed="false">
      <c r="A26" s="13" t="s">
        <v>98</v>
      </c>
      <c r="B26" s="16" t="n">
        <v>0.0053</v>
      </c>
      <c r="C26" s="16" t="n">
        <v>0.0014</v>
      </c>
      <c r="D26" s="17" t="n">
        <f aca="false">IF(C26&gt;0,B26/C26,"")</f>
        <v>3.78571428571429</v>
      </c>
    </row>
    <row r="27" customFormat="false" ht="15" hidden="false" customHeight="false" outlineLevel="0" collapsed="false">
      <c r="A27" s="13" t="s">
        <v>128</v>
      </c>
      <c r="B27" s="16" t="n">
        <v>0.0041</v>
      </c>
      <c r="C27" s="16" t="n">
        <v>0.001</v>
      </c>
      <c r="D27" s="17" t="n">
        <f aca="false">IF(C27&gt;0,B27/C27,"")</f>
        <v>4.1</v>
      </c>
    </row>
    <row r="28" customFormat="false" ht="15" hidden="false" customHeight="false" outlineLevel="0" collapsed="false">
      <c r="A28" s="13" t="s">
        <v>185</v>
      </c>
      <c r="B28" s="16" t="n">
        <v>0.0033</v>
      </c>
      <c r="C28" s="16" t="n">
        <v>0.0002</v>
      </c>
      <c r="D28" s="17" t="n">
        <f aca="false">IF(C28&gt;0,B28/C28,"")</f>
        <v>16.5</v>
      </c>
    </row>
    <row r="29" customFormat="false" ht="15" hidden="false" customHeight="false" outlineLevel="0" collapsed="false">
      <c r="A29" s="13" t="s">
        <v>211</v>
      </c>
      <c r="B29" s="16" t="n">
        <v>0.0027</v>
      </c>
      <c r="C29" s="16" t="n">
        <v>0.0002</v>
      </c>
      <c r="D29" s="17" t="n">
        <f aca="false">IF(C29&gt;0,B29/C29,"")</f>
        <v>13.5</v>
      </c>
    </row>
    <row r="30" customFormat="false" ht="15" hidden="false" customHeight="false" outlineLevel="0" collapsed="false">
      <c r="A30" s="12" t="s">
        <v>237</v>
      </c>
      <c r="B30" s="14" t="n">
        <f aca="false">SUM(B7:B29)</f>
        <v>0.6662</v>
      </c>
      <c r="C30" s="15" t="n">
        <f aca="false">SUM(C7:C29)</f>
        <v>0.1671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8" t="s">
        <v>238</v>
      </c>
    </row>
    <row r="2" customFormat="false" ht="39.55" hidden="false" customHeight="false" outlineLevel="0" collapsed="false">
      <c r="A2" s="18" t="s">
        <v>239</v>
      </c>
    </row>
    <row r="3" customFormat="false" ht="39.55" hidden="false" customHeight="false" outlineLevel="0" collapsed="false">
      <c r="A3" s="18" t="s">
        <v>240</v>
      </c>
    </row>
    <row r="4" customFormat="false" ht="15" hidden="false" customHeight="false" outlineLevel="0" collapsed="false">
      <c r="A4" s="18" t="s">
        <v>241</v>
      </c>
    </row>
    <row r="5" customFormat="false" ht="39.55" hidden="false" customHeight="false" outlineLevel="0" collapsed="false">
      <c r="A5" s="18" t="s">
        <v>242</v>
      </c>
    </row>
    <row r="6" customFormat="false" ht="15" hidden="false" customHeight="false" outlineLevel="0" collapsed="false">
      <c r="A6" s="18" t="s">
        <v>243</v>
      </c>
    </row>
    <row r="7" customFormat="false" ht="26.85" hidden="false" customHeight="false" outlineLevel="0" collapsed="false">
      <c r="A7" s="18" t="s">
        <v>244</v>
      </c>
    </row>
    <row r="8" customFormat="false" ht="15" hidden="false" customHeight="false" outlineLevel="0" collapsed="false">
      <c r="A8" s="18" t="s">
        <v>245</v>
      </c>
    </row>
    <row r="9" customFormat="false" ht="15" hidden="false" customHeight="false" outlineLevel="0" collapsed="false">
      <c r="A9" s="18"/>
    </row>
    <row r="10" customFormat="false" ht="52.2" hidden="false" customHeight="false" outlineLevel="0" collapsed="false">
      <c r="A10" s="18" t="s">
        <v>246</v>
      </c>
    </row>
    <row r="11" customFormat="false" ht="15" hidden="false" customHeight="false" outlineLevel="0" collapsed="false">
      <c r="A11" s="18" t="s">
        <v>247</v>
      </c>
    </row>
    <row r="12" customFormat="false" ht="26.85" hidden="false" customHeight="false" outlineLevel="0" collapsed="false">
      <c r="A12" s="1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68.65" hidden="false" customHeight="false" outlineLevel="0" collapsed="false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</row>
    <row r="2" customFormat="false" ht="15" hidden="false" customHeight="false" outlineLevel="0" collapsed="false">
      <c r="A2" s="19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9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2026-09-24T01:17:55Z</dcterms:created>
  <dc:creator>openpyxl</dc:creator>
  <dc:description/>
  <dc:language>en-US</dc:language>
  <cp:lastModifiedBy/>
  <dcterms:modified xsi:type="dcterms:W3CDTF">2026-09-24T01:17:56Z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