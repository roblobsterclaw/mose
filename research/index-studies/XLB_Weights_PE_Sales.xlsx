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<sst xmlns="http://schemas.openxmlformats.org/spreadsheetml/2006/main" count="237" uniqueCount="162">
  <si>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</si>
  <si>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</si>
  <si>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</si>
  <si>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</si>
  <si>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</si>
  <si>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</si>
  <si>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</si>
  <si>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</si>
  <si>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</si>
  <si>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</si>
  <si>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</si>
  <si>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</si>
  <si>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</si>
  <si>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</si>
  <si>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LIN</t>
  </si>
  <si>
    <t xml:space="preserve">Linde plc</t>
  </si>
  <si>
    <t xml:space="preserve">Materials</t>
  </si>
  <si>
    <t xml:space="preserve">Specialty Chemicals</t>
  </si>
  <si>
    <t xml:space="preserve">NEM</t>
  </si>
  <si>
    <t xml:space="preserve">Newmont Corporation</t>
  </si>
  <si>
    <t xml:space="preserve">Gold</t>
  </si>
  <si>
    <t xml:space="preserve">FCX</t>
  </si>
  <si>
    <t xml:space="preserve">Freeport-McMoRan Inc.</t>
  </si>
  <si>
    <t xml:space="preserve">Copper</t>
  </si>
  <si>
    <t xml:space="preserve">SHW</t>
  </si>
  <si>
    <t xml:space="preserve">The Sherwin-Williams Company</t>
  </si>
  <si>
    <t xml:space="preserve">ECL</t>
  </si>
  <si>
    <t xml:space="preserve">Ecolab Inc.</t>
  </si>
  <si>
    <t xml:space="preserve">VMC</t>
  </si>
  <si>
    <t xml:space="preserve">Vulcan Materials Company</t>
  </si>
  <si>
    <t xml:space="preserve">Building Materials</t>
  </si>
  <si>
    <t xml:space="preserve">CRH</t>
  </si>
  <si>
    <t xml:space="preserve">CRH plc</t>
  </si>
  <si>
    <t xml:space="preserve">MLM</t>
  </si>
  <si>
    <t xml:space="preserve">Martin Marietta Materials, Inc.</t>
  </si>
  <si>
    <t xml:space="preserve">APD</t>
  </si>
  <si>
    <t xml:space="preserve">Air Products and Chemicals, Inc.</t>
  </si>
  <si>
    <t xml:space="preserve">Negative trailing EPS; P/E blank</t>
  </si>
  <si>
    <t xml:space="preserve">STLD</t>
  </si>
  <si>
    <t xml:space="preserve">Steel Dynamics, Inc.</t>
  </si>
  <si>
    <t xml:space="preserve">Steel</t>
  </si>
  <si>
    <t xml:space="preserve">NUE</t>
  </si>
  <si>
    <t xml:space="preserve">Nucor Corporation</t>
  </si>
  <si>
    <t xml:space="preserve">CTVA</t>
  </si>
  <si>
    <t xml:space="preserve">Corteva, Inc.</t>
  </si>
  <si>
    <t xml:space="preserve">Agricultural Inputs</t>
  </si>
  <si>
    <t xml:space="preserve">SW</t>
  </si>
  <si>
    <t xml:space="preserve">Smurfit Westrock Plc</t>
  </si>
  <si>
    <t xml:space="preserve">Consumer Discretionary</t>
  </si>
  <si>
    <t xml:space="preserve">Packaging &amp; Containers</t>
  </si>
  <si>
    <t xml:space="preserve">PPG</t>
  </si>
  <si>
    <t xml:space="preserve">PPG Industries, Inc.</t>
  </si>
  <si>
    <t xml:space="preserve">IFF</t>
  </si>
  <si>
    <t xml:space="preserve">International Flavors &amp; Fragrances Inc.</t>
  </si>
  <si>
    <t xml:space="preserve">PKG</t>
  </si>
  <si>
    <t xml:space="preserve">Packaging Corporation of America</t>
  </si>
  <si>
    <t xml:space="preserve">DOW</t>
  </si>
  <si>
    <t xml:space="preserve">Dow Inc.</t>
  </si>
  <si>
    <t xml:space="preserve">Chemicals</t>
  </si>
  <si>
    <t xml:space="preserve">AMCR</t>
  </si>
  <si>
    <t xml:space="preserve">Amcor plc</t>
  </si>
  <si>
    <t xml:space="preserve">IP</t>
  </si>
  <si>
    <t xml:space="preserve">International Paper Company</t>
  </si>
  <si>
    <t xml:space="preserve">CF</t>
  </si>
  <si>
    <t xml:space="preserve">CF Industries Holdings, Inc.</t>
  </si>
  <si>
    <t xml:space="preserve">BALL</t>
  </si>
  <si>
    <t xml:space="preserve">Ball Corporation</t>
  </si>
  <si>
    <t xml:space="preserve">LYB</t>
  </si>
  <si>
    <t xml:space="preserve">LyondellBasell Industries N.V.</t>
  </si>
  <si>
    <t xml:space="preserve">ALB</t>
  </si>
  <si>
    <t xml:space="preserve">Albemarle Corporation</t>
  </si>
  <si>
    <t xml:space="preserve">AVY</t>
  </si>
  <si>
    <t xml:space="preserve">Avery Dennison Corporation</t>
  </si>
  <si>
    <t xml:space="preserve">MOS</t>
  </si>
  <si>
    <t xml:space="preserve">The Mosaic Company</t>
  </si>
  <si>
    <t xml:space="preserve">Approx. Weight</t>
  </si>
  <si>
    <t xml:space="preserve"># of Tickers</t>
  </si>
  <si>
    <t xml:space="preserve">Avg P/E (simple, P/E&lt;=100)</t>
  </si>
  <si>
    <t xml:space="preserve">Communication Services</t>
  </si>
  <si>
    <t xml:space="preserve">Consumer Staples</t>
  </si>
  <si>
    <t xml:space="preserve">Energy</t>
  </si>
  <si>
    <t xml:space="preserve">Financials</t>
  </si>
  <si>
    <t xml:space="preserve">Health Care</t>
  </si>
  <si>
    <t xml:space="preserve">Industrials</t>
  </si>
  <si>
    <t xml:space="preserve">Information Technology</t>
  </si>
  <si>
    <t xml:space="preserve">Real Estate</t>
  </si>
  <si>
    <t xml:space="preserve">Utilities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</si>
  <si>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</si>
  <si>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</si>
  <si>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</si>
  <si>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25 of 25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</si>
  <si>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</si>
  <si>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</si>
  <si>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</si>
  <si>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</si>
  <si>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</si>
  <si>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</si>
  <si>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XLB: Materials Select Sector SPDR ETF, constituents, weights, trailing P/E and fund history</t>
  </si>
  <si>
    <t xml:space="preserve">Holdings and weights: State Street's daily holdings file (ssga.com). Cash lines are removed and weights rescaled to 100%. XLB holds the Materials sector of the S&amp;P 500, cap-weighted with single-name caps: by construction every holding is an S&amp;P 500 member (see the Overlap tab). As of 22-Sep-2026.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</si>
  <si>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</si>
  <si>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</si>
  <si>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Materials is a cyclical, commodity-linked sector: chemicals, metals and mining, construction materials, packaging. Earnings swing with commodity prices, so trailing P/E moves a lot year to year.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</si>
  <si>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</si>
  <si>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</si>
  <si>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</si>
  <si>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(1999-2025) and 'By Decade': the fund launched December 16, 1998,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</si>
  <si>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</si>
  <si>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0.08%;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</si>
  <si>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</si>
  <si>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</si>
  <si>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</si>
  <si>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</si>
  <si>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</si>
  <si>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</si>
  <si>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</si>
  <si>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</si>
  <si>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</si>
  <si>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</si>
  <si>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</si>
  <si>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</si>
  <si>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</si>
  <si>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</si>
  <si>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</si>
  <si>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</si>
  <si>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total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</si>
  <si>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</si>
  <si>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</si>
  <si>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</si>
  <si>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1999-2025)</t>
  </si>
  <si>
    <t xml:space="preserve">S&amp;P 500 (SPY) average annual total return</t>
  </si>
  <si>
    <t xml:space="preserve">S&amp;P 500 (SPY) CAGR, same years</t>
  </si>
  <si>
    <t xml:space="preserve">S&amp;P 500 (SPY) $1 grew to</t>
  </si>
  <si>
    <t xml:space="preserve">S&amp;P 500 (SPY) standard deviation</t>
  </si>
  <si>
    <t xml:space="preserve">Fund returns from Yahoo Finance daily data (last trading day of each year). Total return reinvests distributions. Real returns are CPI-adjusted. 'Average' is the simple mean; 'Annualized / CAGR' is the compound rate actually earned.</t>
  </si>
  <si>
    <t xml:space="preserve">1998 (launch year, partial) and 2026 (incomplete) are excluded. See the Notes tab.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</si>
  <si>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</si>
  <si>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</si>
  <si>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</si>
  <si>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</si>
  <si>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</si>
  <si>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</si>
  <si>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</si>
  <si>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Price Return</t>
  </si>
  <si>
    <t xml:space="preserve">Annualized
(CAGR)
Price Return</t>
  </si>
  <si>
    <t xml:space="preserve">Avg Annual
Real Total Return</t>
  </si>
  <si>
    <t xml:space="preserve">Best Year
(Total)</t>
  </si>
  <si>
    <t xml:space="preserve">Worst Year
(Total)</t>
  </si>
  <si>
    <t xml:space="preserve">$1 Grew To
(Total)</t>
  </si>
  <si>
    <t xml:space="preserve">S&amp;P 500 (SPY)
CAGR, same years</t>
  </si>
  <si>
    <t xml:space="preserve">1990s</t>
  </si>
  <si>
    <t xml:space="preserve">1999–1999 (partial)</t>
  </si>
  <si>
    <t xml:space="preserve">2000s</t>
  </si>
  <si>
    <t xml:space="preserve">2000–2009</t>
  </si>
  <si>
    <t xml:space="preserve">2010s</t>
  </si>
  <si>
    <t xml:space="preserve">2010–2019</t>
  </si>
  <si>
    <t xml:space="preserve">2020s</t>
  </si>
  <si>
    <t xml:space="preserve">2020–2025 (partial)</t>
  </si>
  <si>
    <t xml:space="preserve">All years</t>
  </si>
  <si>
    <t xml:space="preserve">1999–2025</t>
  </si>
  <si>
    <t xml:space="preserve">Decades are calendar decades; partial decades are marked.</t>
  </si>
  <si>
    <t xml:space="preserve">Avg Annual = simple average of the yearly returns. Annualized (CAGR) = the compound rate that turns the starting dollar into the ending dollar.</t>
  </si>
  <si>
    <t xml:space="preserve">All figures pull live from the 'Annual Returns' tab. Source and methodology: see the Notes tab.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</si>
</sst>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  <numFmt numFmtId="172" formatCode="0"/>
    <numFmt numFmtId="173" formatCode="0.00%;[RED]\-0.00%"/>
    <numFmt numFmtId="174" formatCode="\$#,##0.00"/>
    <numFmt numFmtId="175" formatCode="\$#,##0.00"/>
    <numFmt numFmtId="17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0.115901</v>
      </c>
      <c r="G2" s="3" t="n">
        <f aca="false">SUM($F$2:F2)</f>
        <v>0.115901</v>
      </c>
      <c r="H2" s="4" t="n">
        <v>464.91</v>
      </c>
      <c r="I2" s="5" t="n">
        <v>29.4994</v>
      </c>
      <c r="J2" s="4" t="n">
        <v>15.76</v>
      </c>
      <c r="K2" s="5" t="n">
        <v>214.3143</v>
      </c>
      <c r="L2" s="6" t="n">
        <v>6.0457</v>
      </c>
      <c r="M2" s="5" t="n">
        <f aca="false">IF(AND(N(K2)&gt;0,N(L2)&gt;0),K2/L2,"")</f>
        <v>35.4490464296938</v>
      </c>
      <c r="N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16</v>
      </c>
      <c r="E3" s="2" t="s">
        <v>20</v>
      </c>
      <c r="F3" s="3" t="n">
        <v>0.072518</v>
      </c>
      <c r="G3" s="3" t="n">
        <f aca="false">SUM($F$2:F3)</f>
        <v>0.188419</v>
      </c>
      <c r="H3" s="4" t="n">
        <v>127.26</v>
      </c>
      <c r="I3" s="5" t="n">
        <v>15.5195</v>
      </c>
      <c r="J3" s="4" t="n">
        <v>8.2</v>
      </c>
      <c r="K3" s="5" t="n">
        <v>134.0929</v>
      </c>
      <c r="L3" s="6" t="n">
        <v>5.2041</v>
      </c>
      <c r="M3" s="5" t="n">
        <f aca="false">IF(AND(N(K3)&gt;0,N(L3)&gt;0),K3/L3,"")</f>
        <v>25.7667800388155</v>
      </c>
      <c r="N3" s="2"/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22</v>
      </c>
      <c r="D4" s="2" t="s">
        <v>16</v>
      </c>
      <c r="E4" s="2" t="s">
        <v>23</v>
      </c>
      <c r="F4" s="3" t="n">
        <v>0.05774</v>
      </c>
      <c r="G4" s="3" t="n">
        <f aca="false">SUM($F$2:F4)</f>
        <v>0.246159</v>
      </c>
      <c r="H4" s="4" t="n">
        <v>74.35</v>
      </c>
      <c r="I4" s="5" t="n">
        <v>35.4048</v>
      </c>
      <c r="J4" s="4" t="n">
        <v>2.1</v>
      </c>
      <c r="K4" s="5" t="n">
        <v>106.7679</v>
      </c>
      <c r="L4" s="6" t="n">
        <v>4.1274</v>
      </c>
      <c r="M4" s="5" t="n">
        <f aca="false">IF(AND(N(K4)&gt;0,N(L4)&gt;0),K4/L4,"")</f>
        <v>25.8680767553423</v>
      </c>
      <c r="N4" s="2"/>
    </row>
    <row r="5" customFormat="false" ht="15" hidden="false" customHeight="false" outlineLevel="0" collapsed="false">
      <c r="A5" s="2" t="n">
        <v>4</v>
      </c>
      <c r="B5" s="2" t="s">
        <v>24</v>
      </c>
      <c r="C5" s="2" t="s">
        <v>25</v>
      </c>
      <c r="D5" s="2" t="s">
        <v>16</v>
      </c>
      <c r="E5" s="2" t="s">
        <v>17</v>
      </c>
      <c r="F5" s="3" t="n">
        <v>0.046648</v>
      </c>
      <c r="G5" s="3" t="n">
        <f aca="false">SUM($F$2:F5)</f>
        <v>0.292807</v>
      </c>
      <c r="H5" s="4" t="n">
        <v>328.35</v>
      </c>
      <c r="I5" s="5" t="n">
        <v>29.6612</v>
      </c>
      <c r="J5" s="4" t="n">
        <v>11.07</v>
      </c>
      <c r="K5" s="5" t="n">
        <v>79.7096</v>
      </c>
      <c r="L5" s="6" t="n">
        <v>3.2654</v>
      </c>
      <c r="M5" s="5" t="n">
        <f aca="false">IF(AND(N(K5)&gt;0,N(L5)&gt;0),K5/L5,"")</f>
        <v>24.4103632020579</v>
      </c>
      <c r="N5" s="2"/>
    </row>
    <row r="6" customFormat="false" ht="1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16</v>
      </c>
      <c r="E6" s="2" t="s">
        <v>17</v>
      </c>
      <c r="F6" s="3" t="n">
        <v>0.046223</v>
      </c>
      <c r="G6" s="3" t="n">
        <f aca="false">SUM($F$2:F6)</f>
        <v>0.33903</v>
      </c>
      <c r="H6" s="4" t="n">
        <v>276.22</v>
      </c>
      <c r="I6" s="5" t="n">
        <v>36.2493</v>
      </c>
      <c r="J6" s="4" t="n">
        <v>7.62</v>
      </c>
      <c r="K6" s="5" t="n">
        <v>77.4324</v>
      </c>
      <c r="L6" s="6" t="n">
        <v>4.5974</v>
      </c>
      <c r="M6" s="5" t="n">
        <f aca="false">IF(AND(N(K6)&gt;0,N(L6)&gt;0),K6/L6,"")</f>
        <v>16.8426501935877</v>
      </c>
      <c r="N6" s="2"/>
    </row>
    <row r="7" customFormat="false" ht="15" hidden="false" customHeight="false" outlineLevel="0" collapsed="false">
      <c r="A7" s="2" t="n">
        <v>6</v>
      </c>
      <c r="B7" s="2" t="s">
        <v>28</v>
      </c>
      <c r="C7" s="2" t="s">
        <v>29</v>
      </c>
      <c r="D7" s="2" t="s">
        <v>16</v>
      </c>
      <c r="E7" s="2" t="s">
        <v>30</v>
      </c>
      <c r="F7" s="3" t="n">
        <v>0.045183</v>
      </c>
      <c r="G7" s="3" t="n">
        <f aca="false">SUM($F$2:F7)</f>
        <v>0.384213</v>
      </c>
      <c r="H7" s="4" t="n">
        <v>247.87</v>
      </c>
      <c r="I7" s="5" t="n">
        <v>29.2645</v>
      </c>
      <c r="J7" s="4" t="n">
        <v>8.47</v>
      </c>
      <c r="K7" s="5" t="n">
        <v>32.1187</v>
      </c>
      <c r="L7" s="6" t="n">
        <v>3.9575</v>
      </c>
      <c r="M7" s="5" t="n">
        <f aca="false">IF(AND(N(K7)&gt;0,N(L7)&gt;0),K7/L7,"")</f>
        <v>8.11590650663298</v>
      </c>
      <c r="N7" s="2"/>
    </row>
    <row r="8" customFormat="false" ht="15" hidden="false" customHeight="false" outlineLevel="0" collapsed="false">
      <c r="A8" s="2" t="n">
        <v>7</v>
      </c>
      <c r="B8" s="2" t="s">
        <v>31</v>
      </c>
      <c r="C8" s="2" t="s">
        <v>32</v>
      </c>
      <c r="D8" s="2" t="s">
        <v>16</v>
      </c>
      <c r="E8" s="2" t="s">
        <v>30</v>
      </c>
      <c r="F8" s="3" t="n">
        <v>0.044884</v>
      </c>
      <c r="G8" s="3" t="n">
        <f aca="false">SUM($F$2:F8)</f>
        <v>0.429097</v>
      </c>
      <c r="H8" s="4" t="n">
        <v>88.04</v>
      </c>
      <c r="I8" s="5" t="n">
        <v>15.3916</v>
      </c>
      <c r="J8" s="4" t="n">
        <v>5.72</v>
      </c>
      <c r="K8" s="5" t="n">
        <v>58.5716</v>
      </c>
      <c r="L8" s="6" t="n">
        <v>1.5161</v>
      </c>
      <c r="M8" s="5" t="n">
        <f aca="false">IF(AND(N(K8)&gt;0,N(L8)&gt;0),K8/L8,"")</f>
        <v>38.6330716971176</v>
      </c>
      <c r="N8" s="2"/>
    </row>
    <row r="9" customFormat="false" ht="15" hidden="false" customHeight="false" outlineLevel="0" collapsed="false">
      <c r="A9" s="2" t="n">
        <v>8</v>
      </c>
      <c r="B9" s="2" t="s">
        <v>33</v>
      </c>
      <c r="C9" s="2" t="s">
        <v>34</v>
      </c>
      <c r="D9" s="2" t="s">
        <v>16</v>
      </c>
      <c r="E9" s="2" t="s">
        <v>30</v>
      </c>
      <c r="F9" s="3" t="n">
        <v>0.044832</v>
      </c>
      <c r="G9" s="3" t="n">
        <f aca="false">SUM($F$2:F9)</f>
        <v>0.473929</v>
      </c>
      <c r="H9" s="4" t="n">
        <v>499.34</v>
      </c>
      <c r="I9" s="5" t="n">
        <v>32.4668</v>
      </c>
      <c r="J9" s="4" t="n">
        <v>15.38</v>
      </c>
      <c r="K9" s="5" t="n">
        <v>35.4628</v>
      </c>
      <c r="L9" s="6" t="n">
        <v>5.3025</v>
      </c>
      <c r="M9" s="5" t="n">
        <f aca="false">IF(AND(N(K9)&gt;0,N(L9)&gt;0),K9/L9,"")</f>
        <v>6.68793965110797</v>
      </c>
      <c r="N9" s="2"/>
    </row>
    <row r="10" customFormat="false" ht="15" hidden="false" customHeight="false" outlineLevel="0" collapsed="false">
      <c r="A10" s="2" t="n">
        <v>9</v>
      </c>
      <c r="B10" s="2" t="s">
        <v>35</v>
      </c>
      <c r="C10" s="2" t="s">
        <v>36</v>
      </c>
      <c r="D10" s="2" t="s">
        <v>16</v>
      </c>
      <c r="E10" s="2" t="s">
        <v>17</v>
      </c>
      <c r="F10" s="3" t="n">
        <v>0.044413</v>
      </c>
      <c r="G10" s="3" t="n">
        <f aca="false">SUM($F$2:F10)</f>
        <v>0.518342</v>
      </c>
      <c r="H10" s="4" t="n">
        <v>287.86</v>
      </c>
      <c r="I10" s="5"/>
      <c r="J10" s="4" t="n">
        <v>-0.22</v>
      </c>
      <c r="K10" s="5" t="n">
        <v>64.1023</v>
      </c>
      <c r="L10" s="6" t="n">
        <v>5.0866</v>
      </c>
      <c r="M10" s="5" t="n">
        <f aca="false">IF(AND(N(K10)&gt;0,N(L10)&gt;0),K10/L10,"")</f>
        <v>12.6021900680219</v>
      </c>
      <c r="N10" s="2" t="s">
        <v>37</v>
      </c>
    </row>
    <row r="11" customFormat="false" ht="15" hidden="false" customHeight="false" outlineLevel="0" collapsed="false">
      <c r="A11" s="2" t="n">
        <v>10</v>
      </c>
      <c r="B11" s="2" t="s">
        <v>38</v>
      </c>
      <c r="C11" s="2" t="s">
        <v>39</v>
      </c>
      <c r="D11" s="2" t="s">
        <v>16</v>
      </c>
      <c r="E11" s="2" t="s">
        <v>40</v>
      </c>
      <c r="F11" s="3" t="n">
        <v>0.044285</v>
      </c>
      <c r="G11" s="3" t="n">
        <f aca="false">SUM($F$2:F11)</f>
        <v>0.562627</v>
      </c>
      <c r="H11" s="4" t="n">
        <v>233.99</v>
      </c>
      <c r="I11" s="5" t="n">
        <v>20.8733</v>
      </c>
      <c r="J11" s="4" t="n">
        <v>11.21</v>
      </c>
      <c r="K11" s="5" t="n">
        <v>33.5373</v>
      </c>
      <c r="L11" s="6" t="n">
        <v>1.6329</v>
      </c>
      <c r="M11" s="5" t="n">
        <f aca="false">IF(AND(N(K11)&gt;0,N(L11)&gt;0),K11/L11,"")</f>
        <v>20.5384898034172</v>
      </c>
      <c r="N11" s="2"/>
    </row>
    <row r="12" customFormat="false" ht="15" hidden="false" customHeight="false" outlineLevel="0" collapsed="false">
      <c r="A12" s="2" t="n">
        <v>11</v>
      </c>
      <c r="B12" s="2" t="s">
        <v>41</v>
      </c>
      <c r="C12" s="2" t="s">
        <v>42</v>
      </c>
      <c r="D12" s="2" t="s">
        <v>16</v>
      </c>
      <c r="E12" s="2" t="s">
        <v>40</v>
      </c>
      <c r="F12" s="3" t="n">
        <v>0.043387</v>
      </c>
      <c r="G12" s="3" t="n">
        <f aca="false">SUM($F$2:F12)</f>
        <v>0.606014</v>
      </c>
      <c r="H12" s="4" t="n">
        <v>245.66</v>
      </c>
      <c r="I12" s="5" t="n">
        <v>19.3433</v>
      </c>
      <c r="J12" s="4" t="n">
        <v>12.7</v>
      </c>
      <c r="K12" s="5" t="n">
        <v>55.7343</v>
      </c>
      <c r="L12" s="6" t="n">
        <v>1.5438</v>
      </c>
      <c r="M12" s="5" t="n">
        <f aca="false">IF(AND(N(K12)&gt;0,N(L12)&gt;0),K12/L12,"")</f>
        <v>36.1020209871745</v>
      </c>
      <c r="N12" s="2"/>
    </row>
    <row r="13" customFormat="false" ht="15" hidden="false" customHeight="false" outlineLevel="0" collapsed="false">
      <c r="A13" s="2" t="n">
        <v>12</v>
      </c>
      <c r="B13" s="2" t="s">
        <v>43</v>
      </c>
      <c r="C13" s="2" t="s">
        <v>44</v>
      </c>
      <c r="D13" s="2" t="s">
        <v>16</v>
      </c>
      <c r="E13" s="2" t="s">
        <v>45</v>
      </c>
      <c r="F13" s="3" t="n">
        <v>0.043181</v>
      </c>
      <c r="G13" s="3" t="n">
        <f aca="false">SUM($F$2:F13)</f>
        <v>0.649195</v>
      </c>
      <c r="H13" s="4" t="n">
        <v>80.34</v>
      </c>
      <c r="I13" s="5" t="n">
        <v>47.8214</v>
      </c>
      <c r="J13" s="4" t="n">
        <v>1.68</v>
      </c>
      <c r="K13" s="5" t="n">
        <v>53.6025</v>
      </c>
      <c r="L13" s="6" t="n">
        <v>3.0093</v>
      </c>
      <c r="M13" s="5" t="n">
        <f aca="false">IF(AND(N(K13)&gt;0,N(L13)&gt;0),K13/L13,"")</f>
        <v>17.8122819260293</v>
      </c>
      <c r="N13" s="2"/>
    </row>
    <row r="14" customFormat="false" ht="15" hidden="false" customHeight="false" outlineLevel="0" collapsed="false">
      <c r="A14" s="2" t="n">
        <v>13</v>
      </c>
      <c r="B14" s="2" t="s">
        <v>46</v>
      </c>
      <c r="C14" s="2" t="s">
        <v>47</v>
      </c>
      <c r="D14" s="2" t="s">
        <v>48</v>
      </c>
      <c r="E14" s="2" t="s">
        <v>49</v>
      </c>
      <c r="F14" s="3" t="n">
        <v>0.036417</v>
      </c>
      <c r="G14" s="3" t="n">
        <f aca="false">SUM($F$2:F14)</f>
        <v>0.685612</v>
      </c>
      <c r="H14" s="4" t="n">
        <v>46.45</v>
      </c>
      <c r="I14" s="5" t="n">
        <v>49.4149</v>
      </c>
      <c r="J14" s="4" t="n">
        <v>0.94</v>
      </c>
      <c r="K14" s="5" t="n">
        <v>24.3641</v>
      </c>
      <c r="L14" s="6" t="n">
        <v>0.7778</v>
      </c>
      <c r="M14" s="5" t="n">
        <f aca="false">IF(AND(N(K14)&gt;0,N(L14)&gt;0),K14/L14,"")</f>
        <v>31.3243764463872</v>
      </c>
      <c r="N14" s="2"/>
    </row>
    <row r="15" customFormat="false" ht="15" hidden="false" customHeight="false" outlineLevel="0" collapsed="false">
      <c r="A15" s="2" t="n">
        <v>14</v>
      </c>
      <c r="B15" s="2" t="s">
        <v>50</v>
      </c>
      <c r="C15" s="2" t="s">
        <v>51</v>
      </c>
      <c r="D15" s="2" t="s">
        <v>16</v>
      </c>
      <c r="E15" s="2" t="s">
        <v>17</v>
      </c>
      <c r="F15" s="3" t="n">
        <v>0.035808</v>
      </c>
      <c r="G15" s="3" t="n">
        <f aca="false">SUM($F$2:F15)</f>
        <v>0.72142</v>
      </c>
      <c r="H15" s="4" t="n">
        <v>107.77</v>
      </c>
      <c r="I15" s="5" t="n">
        <v>15.0517</v>
      </c>
      <c r="J15" s="4" t="n">
        <v>7.16</v>
      </c>
      <c r="K15" s="5" t="n">
        <v>23.9573</v>
      </c>
      <c r="L15" s="6" t="n">
        <v>1.4589</v>
      </c>
      <c r="M15" s="5" t="n">
        <f aca="false">IF(AND(N(K15)&gt;0,N(L15)&gt;0),K15/L15,"")</f>
        <v>16.4214819384468</v>
      </c>
      <c r="N15" s="2"/>
    </row>
    <row r="16" customFormat="false" ht="15" hidden="false" customHeight="false" outlineLevel="0" collapsed="false">
      <c r="A16" s="2" t="n">
        <v>15</v>
      </c>
      <c r="B16" s="2" t="s">
        <v>52</v>
      </c>
      <c r="C16" s="2" t="s">
        <v>53</v>
      </c>
      <c r="D16" s="2" t="s">
        <v>16</v>
      </c>
      <c r="E16" s="2" t="s">
        <v>17</v>
      </c>
      <c r="F16" s="3" t="n">
        <v>0.032718</v>
      </c>
      <c r="G16" s="3" t="n">
        <f aca="false">SUM($F$2:F16)</f>
        <v>0.754138</v>
      </c>
      <c r="H16" s="4" t="n">
        <v>85.79</v>
      </c>
      <c r="I16" s="5"/>
      <c r="J16" s="4" t="n">
        <v>-3.17</v>
      </c>
      <c r="K16" s="5" t="n">
        <v>21.8893</v>
      </c>
      <c r="L16" s="6" t="n">
        <v>2.0304</v>
      </c>
      <c r="M16" s="5" t="n">
        <f aca="false">IF(AND(N(K16)&gt;0,N(L16)&gt;0),K16/L16,"")</f>
        <v>10.7807821118991</v>
      </c>
      <c r="N16" s="2" t="s">
        <v>37</v>
      </c>
    </row>
    <row r="17" customFormat="false" ht="15" hidden="false" customHeight="false" outlineLevel="0" collapsed="false">
      <c r="A17" s="2" t="n">
        <v>16</v>
      </c>
      <c r="B17" s="2" t="s">
        <v>54</v>
      </c>
      <c r="C17" s="2" t="s">
        <v>55</v>
      </c>
      <c r="D17" s="2" t="s">
        <v>48</v>
      </c>
      <c r="E17" s="2" t="s">
        <v>49</v>
      </c>
      <c r="F17" s="3" t="n">
        <v>0.031533</v>
      </c>
      <c r="G17" s="3" t="n">
        <f aca="false">SUM($F$2:F17)</f>
        <v>0.785671</v>
      </c>
      <c r="H17" s="4" t="n">
        <v>238.23</v>
      </c>
      <c r="I17" s="5" t="n">
        <v>30.9792</v>
      </c>
      <c r="J17" s="4" t="n">
        <v>7.69</v>
      </c>
      <c r="K17" s="5" t="n">
        <v>21.2259</v>
      </c>
      <c r="L17" s="6" t="n">
        <v>2.2262</v>
      </c>
      <c r="M17" s="5" t="n">
        <f aca="false">IF(AND(N(K17)&gt;0,N(L17)&gt;0),K17/L17,"")</f>
        <v>9.53458808732369</v>
      </c>
      <c r="N17" s="2"/>
    </row>
    <row r="18" customFormat="false" ht="15" hidden="false" customHeight="false" outlineLevel="0" collapsed="false">
      <c r="A18" s="2" t="n">
        <v>17</v>
      </c>
      <c r="B18" s="2" t="s">
        <v>56</v>
      </c>
      <c r="C18" s="2" t="s">
        <v>57</v>
      </c>
      <c r="D18" s="2" t="s">
        <v>16</v>
      </c>
      <c r="E18" s="2" t="s">
        <v>58</v>
      </c>
      <c r="F18" s="3" t="n">
        <v>0.030447</v>
      </c>
      <c r="G18" s="3" t="n">
        <f aca="false">SUM($F$2:F18)</f>
        <v>0.816118</v>
      </c>
      <c r="H18" s="4" t="n">
        <v>28.2</v>
      </c>
      <c r="I18" s="5"/>
      <c r="J18" s="4" t="n">
        <v>-1.82</v>
      </c>
      <c r="K18" s="5" t="n">
        <v>20.37</v>
      </c>
      <c r="L18" s="6" t="n">
        <v>0.493</v>
      </c>
      <c r="M18" s="5" t="n">
        <f aca="false">IF(AND(N(K18)&gt;0,N(L18)&gt;0),K18/L18,"")</f>
        <v>41.3184584178499</v>
      </c>
      <c r="N18" s="2" t="s">
        <v>37</v>
      </c>
    </row>
    <row r="19" customFormat="false" ht="15" hidden="false" customHeight="false" outlineLevel="0" collapsed="false">
      <c r="A19" s="2" t="n">
        <v>18</v>
      </c>
      <c r="B19" s="2" t="s">
        <v>59</v>
      </c>
      <c r="C19" s="2" t="s">
        <v>60</v>
      </c>
      <c r="D19" s="2" t="s">
        <v>48</v>
      </c>
      <c r="E19" s="2" t="s">
        <v>49</v>
      </c>
      <c r="F19" s="3" t="n">
        <v>0.029882</v>
      </c>
      <c r="G19" s="3" t="n">
        <f aca="false">SUM($F$2:F19)</f>
        <v>0.846</v>
      </c>
      <c r="H19" s="4" t="n">
        <v>43.24</v>
      </c>
      <c r="I19" s="5" t="n">
        <v>17.7213</v>
      </c>
      <c r="J19" s="4" t="n">
        <v>2.44</v>
      </c>
      <c r="K19" s="5" t="n">
        <v>19.9918</v>
      </c>
      <c r="L19" s="6" t="n">
        <v>0.8505</v>
      </c>
      <c r="M19" s="5" t="n">
        <f aca="false">IF(AND(N(K19)&gt;0,N(L19)&gt;0),K19/L19,"")</f>
        <v>23.5059376837155</v>
      </c>
      <c r="N19" s="2"/>
    </row>
    <row r="20" customFormat="false" ht="15" hidden="false" customHeight="false" outlineLevel="0" collapsed="false">
      <c r="A20" s="2" t="n">
        <v>19</v>
      </c>
      <c r="B20" s="2" t="s">
        <v>61</v>
      </c>
      <c r="C20" s="2" t="s">
        <v>62</v>
      </c>
      <c r="D20" s="2" t="s">
        <v>48</v>
      </c>
      <c r="E20" s="2" t="s">
        <v>49</v>
      </c>
      <c r="F20" s="3" t="n">
        <v>0.028266</v>
      </c>
      <c r="G20" s="3" t="n">
        <f aca="false">SUM($F$2:F20)</f>
        <v>0.874266</v>
      </c>
      <c r="H20" s="4" t="n">
        <v>35.71</v>
      </c>
      <c r="I20" s="5"/>
      <c r="J20" s="4" t="n">
        <v>-5.39</v>
      </c>
      <c r="K20" s="5" t="n">
        <v>18.9109</v>
      </c>
      <c r="L20" s="6" t="n">
        <v>0.7813</v>
      </c>
      <c r="M20" s="5" t="n">
        <f aca="false">IF(AND(N(K20)&gt;0,N(L20)&gt;0),K20/L20,"")</f>
        <v>24.2044029182132</v>
      </c>
      <c r="N20" s="2" t="s">
        <v>37</v>
      </c>
    </row>
    <row r="21" customFormat="false" ht="15" hidden="false" customHeight="false" outlineLevel="0" collapsed="false">
      <c r="A21" s="2" t="n">
        <v>20</v>
      </c>
      <c r="B21" s="2" t="s">
        <v>63</v>
      </c>
      <c r="C21" s="2" t="s">
        <v>64</v>
      </c>
      <c r="D21" s="2" t="s">
        <v>16</v>
      </c>
      <c r="E21" s="2" t="s">
        <v>45</v>
      </c>
      <c r="F21" s="3" t="n">
        <v>0.027278</v>
      </c>
      <c r="G21" s="3" t="n">
        <f aca="false">SUM($F$2:F21)</f>
        <v>0.901544</v>
      </c>
      <c r="H21" s="4" t="n">
        <v>120.59</v>
      </c>
      <c r="I21" s="5" t="n">
        <v>9.1425</v>
      </c>
      <c r="J21" s="4" t="n">
        <v>13.19</v>
      </c>
      <c r="K21" s="5" t="n">
        <v>18.2499</v>
      </c>
      <c r="L21" s="6" t="n">
        <v>2.3582</v>
      </c>
      <c r="M21" s="5" t="n">
        <f aca="false">IF(AND(N(K21)&gt;0,N(L21)&gt;0),K21/L21,"")</f>
        <v>7.73891103383937</v>
      </c>
      <c r="N21" s="2"/>
    </row>
    <row r="22" customFormat="false" ht="15" hidden="false" customHeight="false" outlineLevel="0" collapsed="false">
      <c r="A22" s="2" t="n">
        <v>21</v>
      </c>
      <c r="B22" s="2" t="s">
        <v>65</v>
      </c>
      <c r="C22" s="2" t="s">
        <v>66</v>
      </c>
      <c r="D22" s="2" t="s">
        <v>48</v>
      </c>
      <c r="E22" s="2" t="s">
        <v>49</v>
      </c>
      <c r="F22" s="3" t="n">
        <v>0.023727</v>
      </c>
      <c r="G22" s="3" t="n">
        <f aca="false">SUM($F$2:F22)</f>
        <v>0.925271</v>
      </c>
      <c r="H22" s="4" t="n">
        <v>59.97</v>
      </c>
      <c r="I22" s="5" t="n">
        <v>17.1343</v>
      </c>
      <c r="J22" s="4" t="n">
        <v>3.5</v>
      </c>
      <c r="K22" s="5" t="n">
        <v>15.8743</v>
      </c>
      <c r="L22" s="6" t="n">
        <v>1.1081</v>
      </c>
      <c r="M22" s="5" t="n">
        <f aca="false">IF(AND(N(K22)&gt;0,N(L22)&gt;0),K22/L22,"")</f>
        <v>14.3256926270192</v>
      </c>
      <c r="N22" s="2"/>
    </row>
    <row r="23" customFormat="false" ht="15" hidden="false" customHeight="false" outlineLevel="0" collapsed="false">
      <c r="A23" s="2" t="n">
        <v>22</v>
      </c>
      <c r="B23" s="2" t="s">
        <v>67</v>
      </c>
      <c r="C23" s="2" t="s">
        <v>68</v>
      </c>
      <c r="D23" s="2" t="s">
        <v>16</v>
      </c>
      <c r="E23" s="2" t="s">
        <v>17</v>
      </c>
      <c r="F23" s="3" t="n">
        <v>0.022883</v>
      </c>
      <c r="G23" s="3" t="n">
        <f aca="false">SUM($F$2:F23)</f>
        <v>0.948154</v>
      </c>
      <c r="H23" s="4" t="n">
        <v>59.24</v>
      </c>
      <c r="I23" s="5"/>
      <c r="J23" s="4" t="n">
        <v>-0.82</v>
      </c>
      <c r="K23" s="5" t="n">
        <v>19.1368</v>
      </c>
      <c r="L23" s="6" t="n">
        <v>0.6135</v>
      </c>
      <c r="M23" s="5" t="n">
        <f aca="false">IF(AND(N(K23)&gt;0,N(L23)&gt;0),K23/L23,"")</f>
        <v>31.1928280358598</v>
      </c>
      <c r="N23" s="2" t="s">
        <v>37</v>
      </c>
    </row>
    <row r="24" customFormat="false" ht="15" hidden="false" customHeight="false" outlineLevel="0" collapsed="false">
      <c r="A24" s="2" t="n">
        <v>23</v>
      </c>
      <c r="B24" s="2" t="s">
        <v>69</v>
      </c>
      <c r="C24" s="2" t="s">
        <v>70</v>
      </c>
      <c r="D24" s="2" t="s">
        <v>16</v>
      </c>
      <c r="E24" s="2" t="s">
        <v>17</v>
      </c>
      <c r="F24" s="3" t="n">
        <v>0.020601</v>
      </c>
      <c r="G24" s="3" t="n">
        <f aca="false">SUM($F$2:F24)</f>
        <v>0.968755</v>
      </c>
      <c r="H24" s="4" t="n">
        <v>116.8</v>
      </c>
      <c r="I24" s="5" t="n">
        <v>432.5926</v>
      </c>
      <c r="J24" s="4" t="n">
        <v>0.27</v>
      </c>
      <c r="K24" s="5" t="n">
        <v>13.783</v>
      </c>
      <c r="L24" s="6" t="n">
        <v>2.333</v>
      </c>
      <c r="M24" s="5" t="n">
        <f aca="false">IF(AND(N(K24)&gt;0,N(L24)&gt;0),K24/L24,"")</f>
        <v>5.9078439777111</v>
      </c>
      <c r="N24" s="2"/>
    </row>
    <row r="25" customFormat="false" ht="15" hidden="false" customHeight="false" outlineLevel="0" collapsed="false">
      <c r="A25" s="2" t="n">
        <v>24</v>
      </c>
      <c r="B25" s="2" t="s">
        <v>71</v>
      </c>
      <c r="C25" s="2" t="s">
        <v>72</v>
      </c>
      <c r="D25" s="2" t="s">
        <v>48</v>
      </c>
      <c r="E25" s="2" t="s">
        <v>49</v>
      </c>
      <c r="F25" s="3" t="n">
        <v>0.019495</v>
      </c>
      <c r="G25" s="3" t="n">
        <f aca="false">SUM($F$2:F25)</f>
        <v>0.98825</v>
      </c>
      <c r="H25" s="4" t="n">
        <v>172.09</v>
      </c>
      <c r="I25" s="5" t="n">
        <v>18.5242</v>
      </c>
      <c r="J25" s="4" t="n">
        <v>9.29</v>
      </c>
      <c r="K25" s="5" t="n">
        <v>13.0424</v>
      </c>
      <c r="L25" s="6" t="n">
        <v>1.4103</v>
      </c>
      <c r="M25" s="5" t="n">
        <f aca="false">IF(AND(N(K25)&gt;0,N(L25)&gt;0),K25/L25,"")</f>
        <v>9.24796142664681</v>
      </c>
      <c r="N25" s="2"/>
    </row>
    <row r="26" customFormat="false" ht="15" hidden="false" customHeight="false" outlineLevel="0" collapsed="false">
      <c r="A26" s="2" t="n">
        <v>25</v>
      </c>
      <c r="B26" s="2" t="s">
        <v>73</v>
      </c>
      <c r="C26" s="2" t="s">
        <v>74</v>
      </c>
      <c r="D26" s="2" t="s">
        <v>16</v>
      </c>
      <c r="E26" s="2" t="s">
        <v>45</v>
      </c>
      <c r="F26" s="3" t="n">
        <v>0.011751</v>
      </c>
      <c r="G26" s="3" t="n">
        <f aca="false">SUM($F$2:F26)</f>
        <v>1.000001</v>
      </c>
      <c r="H26" s="4" t="n">
        <v>24.73</v>
      </c>
      <c r="I26" s="5"/>
      <c r="J26" s="4" t="n">
        <v>-2.07</v>
      </c>
      <c r="K26" s="5" t="n">
        <v>7.8616</v>
      </c>
      <c r="L26" s="6" t="n">
        <v>0.6419</v>
      </c>
      <c r="M26" s="5" t="n">
        <f aca="false">IF(AND(N(K26)&gt;0,N(L26)&gt;0),K26/L26,"")</f>
        <v>12.2473905592771</v>
      </c>
      <c r="N26" s="2" t="s">
        <v>37</v>
      </c>
    </row>
  </sheetData>
  <autoFilter ref="A1:N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75</v>
      </c>
      <c r="C1" s="7" t="s">
        <v>76</v>
      </c>
      <c r="D1" s="7" t="s">
        <v>77</v>
      </c>
    </row>
    <row r="2" customFormat="false" ht="15" hidden="false" customHeight="false" outlineLevel="0" collapsed="false">
      <c r="A2" s="2" t="s">
        <v>78</v>
      </c>
      <c r="B2" s="3" t="n">
        <f aca="false">SUMIF(Holdings!$D$2:$D$26,A2,Holdings!$F$2:$F$26)</f>
        <v>0</v>
      </c>
      <c r="C2" s="2" t="n">
        <f aca="false">COUNTIF(Holdings!$D$2:$D$26,A2)</f>
        <v>0</v>
      </c>
      <c r="D2" s="8" t="str">
        <f aca="false">IFERROR(AVERAGEIFS(Holdings!$I$2:$I$26,Holdings!$D$2:$D$26,A2,Holdings!$I$2:$I$26,"&lt;=100"),"")</f>
        <v/>
      </c>
    </row>
    <row r="3" customFormat="false" ht="15" hidden="false" customHeight="false" outlineLevel="0" collapsed="false">
      <c r="A3" s="2" t="s">
        <v>48</v>
      </c>
      <c r="B3" s="3" t="n">
        <f aca="false">SUMIF(Holdings!$D$2:$D$26,A3,Holdings!$F$2:$F$26)</f>
        <v>0.16932</v>
      </c>
      <c r="C3" s="2" t="n">
        <f aca="false">COUNTIF(Holdings!$D$2:$D$26,A3)</f>
        <v>6</v>
      </c>
      <c r="D3" s="8" t="n">
        <f aca="false">IFERROR(AVERAGEIFS(Holdings!$I$2:$I$26,Holdings!$D$2:$D$26,A3,Holdings!$I$2:$I$26,"&lt;=100"),"")</f>
        <v>26.75478</v>
      </c>
    </row>
    <row r="4" customFormat="false" ht="15" hidden="false" customHeight="false" outlineLevel="0" collapsed="false">
      <c r="A4" s="2" t="s">
        <v>79</v>
      </c>
      <c r="B4" s="3" t="n">
        <f aca="false">SUMIF(Holdings!$D$2:$D$26,A4,Holdings!$F$2:$F$26)</f>
        <v>0</v>
      </c>
      <c r="C4" s="2" t="n">
        <f aca="false">COUNTIF(Holdings!$D$2:$D$26,A4)</f>
        <v>0</v>
      </c>
      <c r="D4" s="8" t="str">
        <f aca="false">IFERROR(AVERAGEIFS(Holdings!$I$2:$I$26,Holdings!$D$2:$D$26,A4,Holdings!$I$2:$I$26,"&lt;=100"),"")</f>
        <v/>
      </c>
    </row>
    <row r="5" customFormat="false" ht="15" hidden="false" customHeight="false" outlineLevel="0" collapsed="false">
      <c r="A5" s="2" t="s">
        <v>80</v>
      </c>
      <c r="B5" s="3" t="n">
        <f aca="false">SUMIF(Holdings!$D$2:$D$26,A5,Holdings!$F$2:$F$26)</f>
        <v>0</v>
      </c>
      <c r="C5" s="2" t="n">
        <f aca="false">COUNTIF(Holdings!$D$2:$D$26,A5)</f>
        <v>0</v>
      </c>
      <c r="D5" s="8" t="str">
        <f aca="false">IFERROR(AVERAGEIFS(Holdings!$I$2:$I$26,Holdings!$D$2:$D$26,A5,Holdings!$I$2:$I$26,"&lt;=100"),"")</f>
        <v/>
      </c>
    </row>
    <row r="6" customFormat="false" ht="15" hidden="false" customHeight="false" outlineLevel="0" collapsed="false">
      <c r="A6" s="2" t="s">
        <v>81</v>
      </c>
      <c r="B6" s="3" t="n">
        <f aca="false">SUMIF(Holdings!$D$2:$D$26,A6,Holdings!$F$2:$F$26)</f>
        <v>0</v>
      </c>
      <c r="C6" s="2" t="n">
        <f aca="false">COUNTIF(Holdings!$D$2:$D$26,A6)</f>
        <v>0</v>
      </c>
      <c r="D6" s="8" t="str">
        <f aca="false">IFERROR(AVERAGEIFS(Holdings!$I$2:$I$26,Holdings!$D$2:$D$26,A6,Holdings!$I$2:$I$26,"&lt;=100"),"")</f>
        <v/>
      </c>
    </row>
    <row r="7" customFormat="false" ht="15" hidden="false" customHeight="false" outlineLevel="0" collapsed="false">
      <c r="A7" s="2" t="s">
        <v>82</v>
      </c>
      <c r="B7" s="3" t="n">
        <f aca="false">SUMIF(Holdings!$D$2:$D$26,A7,Holdings!$F$2:$F$26)</f>
        <v>0</v>
      </c>
      <c r="C7" s="2" t="n">
        <f aca="false">COUNTIF(Holdings!$D$2:$D$26,A7)</f>
        <v>0</v>
      </c>
      <c r="D7" s="8" t="str">
        <f aca="false">IFERROR(AVERAGEIFS(Holdings!$I$2:$I$26,Holdings!$D$2:$D$26,A7,Holdings!$I$2:$I$26,"&lt;=100"),"")</f>
        <v/>
      </c>
    </row>
    <row r="8" customFormat="false" ht="15" hidden="false" customHeight="false" outlineLevel="0" collapsed="false">
      <c r="A8" s="2" t="s">
        <v>83</v>
      </c>
      <c r="B8" s="3" t="n">
        <f aca="false">SUMIF(Holdings!$D$2:$D$26,A8,Holdings!$F$2:$F$26)</f>
        <v>0</v>
      </c>
      <c r="C8" s="2" t="n">
        <f aca="false">COUNTIF(Holdings!$D$2:$D$26,A8)</f>
        <v>0</v>
      </c>
      <c r="D8" s="8" t="str">
        <f aca="false">IFERROR(AVERAGEIFS(Holdings!$I$2:$I$26,Holdings!$D$2:$D$26,A8,Holdings!$I$2:$I$26,"&lt;=100"),"")</f>
        <v/>
      </c>
    </row>
    <row r="9" customFormat="false" ht="15" hidden="false" customHeight="false" outlineLevel="0" collapsed="false">
      <c r="A9" s="2" t="s">
        <v>84</v>
      </c>
      <c r="B9" s="3" t="n">
        <f aca="false">SUMIF(Holdings!$D$2:$D$26,A9,Holdings!$F$2:$F$26)</f>
        <v>0</v>
      </c>
      <c r="C9" s="2" t="n">
        <f aca="false">COUNTIF(Holdings!$D$2:$D$26,A9)</f>
        <v>0</v>
      </c>
      <c r="D9" s="8" t="str">
        <f aca="false">IFERROR(AVERAGEIFS(Holdings!$I$2:$I$26,Holdings!$D$2:$D$26,A9,Holdings!$I$2:$I$26,"&lt;=100"),"")</f>
        <v/>
      </c>
    </row>
    <row r="10" customFormat="false" ht="15" hidden="false" customHeight="false" outlineLevel="0" collapsed="false">
      <c r="A10" s="2" t="s">
        <v>16</v>
      </c>
      <c r="B10" s="3" t="n">
        <f aca="false">SUMIF(Holdings!$D$2:$D$26,A10,Holdings!$F$2:$F$26)</f>
        <v>0.830681</v>
      </c>
      <c r="C10" s="2" t="n">
        <f aca="false">COUNTIF(Holdings!$D$2:$D$26,A10)</f>
        <v>19</v>
      </c>
      <c r="D10" s="8" t="n">
        <f aca="false">IFERROR(AVERAGEIFS(Holdings!$I$2:$I$26,Holdings!$D$2:$D$26,A10,Holdings!$I$2:$I$26,"&lt;=100"),"")</f>
        <v>25.8222538461538</v>
      </c>
    </row>
    <row r="11" customFormat="false" ht="15" hidden="false" customHeight="false" outlineLevel="0" collapsed="false">
      <c r="A11" s="2" t="s">
        <v>85</v>
      </c>
      <c r="B11" s="3" t="n">
        <f aca="false">SUMIF(Holdings!$D$2:$D$26,A11,Holdings!$F$2:$F$26)</f>
        <v>0</v>
      </c>
      <c r="C11" s="2" t="n">
        <f aca="false">COUNTIF(Holdings!$D$2:$D$26,A11)</f>
        <v>0</v>
      </c>
      <c r="D11" s="8" t="str">
        <f aca="false">IFERROR(AVERAGEIFS(Holdings!$I$2:$I$26,Holdings!$D$2:$D$26,A11,Holdings!$I$2:$I$26,"&lt;=100"),"")</f>
        <v/>
      </c>
    </row>
    <row r="12" customFormat="false" ht="15" hidden="false" customHeight="false" outlineLevel="0" collapsed="false">
      <c r="A12" s="2" t="s">
        <v>86</v>
      </c>
      <c r="B12" s="3" t="n">
        <f aca="false">SUMIF(Holdings!$D$2:$D$26,A12,Holdings!$F$2:$F$26)</f>
        <v>0</v>
      </c>
      <c r="C12" s="2" t="n">
        <f aca="false">COUNTIF(Holdings!$D$2:$D$26,A12)</f>
        <v>0</v>
      </c>
      <c r="D12" s="8" t="str">
        <f aca="false">IFERROR(AVERAGEIFS(Holdings!$I$2:$I$26,Holdings!$D$2:$D$26,A12,Holdings!$I$2:$I$26,"&lt;=100"),"")</f>
        <v/>
      </c>
    </row>
    <row r="13" customFormat="false" ht="15" hidden="false" customHeight="false" outlineLevel="0" collapsed="false">
      <c r="A13" s="2" t="s">
        <v>87</v>
      </c>
      <c r="B13" s="3" t="n">
        <f aca="false">1-SUM(B2:B12)</f>
        <v>-9.99999999917733E-007</v>
      </c>
      <c r="C13" s="2" t="n">
        <f aca="false">COUNTBLANK(Holdings!$D$2:$D$26)</f>
        <v>0</v>
      </c>
      <c r="D13" s="8"/>
    </row>
    <row r="14" customFormat="false" ht="15" hidden="false" customHeight="false" outlineLevel="0" collapsed="false">
      <c r="A14" s="9" t="s">
        <v>88</v>
      </c>
      <c r="B14" s="10" t="n">
        <f aca="false">SUM(B2:B13)</f>
        <v>1</v>
      </c>
      <c r="C14" s="9" t="n">
        <f aca="false">SUM(C2:C13)</f>
        <v>25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89</v>
      </c>
    </row>
    <row r="2" customFormat="false" ht="15" hidden="false" customHeight="false" outlineLevel="0" collapsed="false">
      <c r="A2" s="13" t="s">
        <v>90</v>
      </c>
    </row>
    <row r="3" customFormat="false" ht="15" hidden="false" customHeight="false" outlineLevel="0" collapsed="false">
      <c r="A3" s="13" t="s">
        <v>91</v>
      </c>
      <c r="B3" s="14" t="n">
        <v>1</v>
      </c>
    </row>
    <row r="4" customFormat="false" ht="15" hidden="false" customHeight="false" outlineLevel="0" collapsed="false">
      <c r="A4" s="13" t="s">
        <v>92</v>
      </c>
      <c r="B4" s="15" t="n">
        <v>0.0168</v>
      </c>
    </row>
    <row r="6" customFormat="false" ht="15" hidden="false" customHeight="false" outlineLevel="0" collapsed="false">
      <c r="A6" s="1" t="s">
        <v>1</v>
      </c>
      <c r="B6" s="1" t="s">
        <v>93</v>
      </c>
      <c r="C6" s="1" t="s">
        <v>94</v>
      </c>
      <c r="D6" s="1" t="s">
        <v>95</v>
      </c>
    </row>
    <row r="7" customFormat="false" ht="15" hidden="false" customHeight="false" outlineLevel="0" collapsed="false">
      <c r="A7" s="13" t="s">
        <v>14</v>
      </c>
      <c r="B7" s="16" t="n">
        <v>0.1159</v>
      </c>
      <c r="C7" s="16" t="n">
        <v>0.003</v>
      </c>
      <c r="D7" s="17" t="n">
        <f aca="false">IF(C7&gt;0,B7/C7,"")</f>
        <v>38.6333333333333</v>
      </c>
    </row>
    <row r="8" customFormat="false" ht="15" hidden="false" customHeight="false" outlineLevel="0" collapsed="false">
      <c r="A8" s="13" t="s">
        <v>18</v>
      </c>
      <c r="B8" s="16" t="n">
        <v>0.0725</v>
      </c>
      <c r="C8" s="16" t="n">
        <v>0.0019</v>
      </c>
      <c r="D8" s="17" t="n">
        <f aca="false">IF(C8&gt;0,B8/C8,"")</f>
        <v>38.1578947368421</v>
      </c>
    </row>
    <row r="9" customFormat="false" ht="15" hidden="false" customHeight="false" outlineLevel="0" collapsed="false">
      <c r="A9" s="13" t="s">
        <v>21</v>
      </c>
      <c r="B9" s="16" t="n">
        <v>0.0577</v>
      </c>
      <c r="C9" s="16" t="n">
        <v>0.0015</v>
      </c>
      <c r="D9" s="17" t="n">
        <f aca="false">IF(C9&gt;0,B9/C9,"")</f>
        <v>38.4666666666667</v>
      </c>
    </row>
    <row r="10" customFormat="false" ht="15" hidden="false" customHeight="false" outlineLevel="0" collapsed="false">
      <c r="A10" s="13" t="s">
        <v>24</v>
      </c>
      <c r="B10" s="16" t="n">
        <v>0.0466</v>
      </c>
      <c r="C10" s="16" t="n">
        <v>0.0011</v>
      </c>
      <c r="D10" s="17" t="n">
        <f aca="false">IF(C10&gt;0,B10/C10,"")</f>
        <v>42.3636363636364</v>
      </c>
    </row>
    <row r="11" customFormat="false" ht="15" hidden="false" customHeight="false" outlineLevel="0" collapsed="false">
      <c r="A11" s="13" t="s">
        <v>26</v>
      </c>
      <c r="B11" s="16" t="n">
        <v>0.0462</v>
      </c>
      <c r="C11" s="16" t="n">
        <v>0.0011</v>
      </c>
      <c r="D11" s="17" t="n">
        <f aca="false">IF(C11&gt;0,B11/C11,"")</f>
        <v>42</v>
      </c>
    </row>
    <row r="12" customFormat="false" ht="15" hidden="false" customHeight="false" outlineLevel="0" collapsed="false">
      <c r="A12" s="13" t="s">
        <v>28</v>
      </c>
      <c r="B12" s="16" t="n">
        <v>0.0452</v>
      </c>
      <c r="C12" s="16" t="n">
        <v>0.0005</v>
      </c>
      <c r="D12" s="17" t="n">
        <f aca="false">IF(C12&gt;0,B12/C12,"")</f>
        <v>90.4</v>
      </c>
    </row>
    <row r="13" customFormat="false" ht="15" hidden="false" customHeight="false" outlineLevel="0" collapsed="false">
      <c r="A13" s="13" t="s">
        <v>31</v>
      </c>
      <c r="B13" s="16" t="n">
        <v>0.0449</v>
      </c>
      <c r="C13" s="16" t="n">
        <v>0.0008</v>
      </c>
      <c r="D13" s="17" t="n">
        <f aca="false">IF(C13&gt;0,B13/C13,"")</f>
        <v>56.125</v>
      </c>
    </row>
    <row r="14" customFormat="false" ht="15" hidden="false" customHeight="false" outlineLevel="0" collapsed="false">
      <c r="A14" s="13" t="s">
        <v>33</v>
      </c>
      <c r="B14" s="16" t="n">
        <v>0.0448</v>
      </c>
      <c r="C14" s="16" t="n">
        <v>0.0005</v>
      </c>
      <c r="D14" s="17" t="n">
        <f aca="false">IF(C14&gt;0,B14/C14,"")</f>
        <v>89.6</v>
      </c>
    </row>
    <row r="15" customFormat="false" ht="15" hidden="false" customHeight="false" outlineLevel="0" collapsed="false">
      <c r="A15" s="13" t="s">
        <v>35</v>
      </c>
      <c r="B15" s="16" t="n">
        <v>0.0444</v>
      </c>
      <c r="C15" s="16" t="n">
        <v>0.0009</v>
      </c>
      <c r="D15" s="17" t="n">
        <f aca="false">IF(C15&gt;0,B15/C15,"")</f>
        <v>49.3333333333333</v>
      </c>
    </row>
    <row r="16" customFormat="false" ht="15" hidden="false" customHeight="false" outlineLevel="0" collapsed="false">
      <c r="A16" s="13" t="s">
        <v>38</v>
      </c>
      <c r="B16" s="16" t="n">
        <v>0.0443</v>
      </c>
      <c r="C16" s="16" t="n">
        <v>0.0005</v>
      </c>
      <c r="D16" s="17" t="n">
        <f aca="false">IF(C16&gt;0,B16/C16,"")</f>
        <v>88.6</v>
      </c>
    </row>
    <row r="17" customFormat="false" ht="15" hidden="false" customHeight="false" outlineLevel="0" collapsed="false">
      <c r="A17" s="13" t="s">
        <v>41</v>
      </c>
      <c r="B17" s="16" t="n">
        <v>0.0434</v>
      </c>
      <c r="C17" s="16" t="n">
        <v>0.0008</v>
      </c>
      <c r="D17" s="17" t="n">
        <f aca="false">IF(C17&gt;0,B17/C17,"")</f>
        <v>54.25</v>
      </c>
    </row>
    <row r="18" customFormat="false" ht="15" hidden="false" customHeight="false" outlineLevel="0" collapsed="false">
      <c r="A18" s="13" t="s">
        <v>43</v>
      </c>
      <c r="B18" s="16" t="n">
        <v>0.0432</v>
      </c>
      <c r="C18" s="16" t="n">
        <v>0.0008</v>
      </c>
      <c r="D18" s="17" t="n">
        <f aca="false">IF(C18&gt;0,B18/C18,"")</f>
        <v>54</v>
      </c>
    </row>
    <row r="19" customFormat="false" ht="15" hidden="false" customHeight="false" outlineLevel="0" collapsed="false">
      <c r="A19" s="13" t="s">
        <v>46</v>
      </c>
      <c r="B19" s="16" t="n">
        <v>0.0364</v>
      </c>
      <c r="C19" s="16" t="n">
        <v>0.0003</v>
      </c>
      <c r="D19" s="17" t="n">
        <f aca="false">IF(C19&gt;0,B19/C19,"")</f>
        <v>121.333333333333</v>
      </c>
    </row>
    <row r="20" customFormat="false" ht="15" hidden="false" customHeight="false" outlineLevel="0" collapsed="false">
      <c r="A20" s="13" t="s">
        <v>50</v>
      </c>
      <c r="B20" s="16" t="n">
        <v>0.0358</v>
      </c>
      <c r="C20" s="16" t="n">
        <v>0.0003</v>
      </c>
      <c r="D20" s="17" t="n">
        <f aca="false">IF(C20&gt;0,B20/C20,"")</f>
        <v>119.333333333333</v>
      </c>
    </row>
    <row r="21" customFormat="false" ht="15" hidden="false" customHeight="false" outlineLevel="0" collapsed="false">
      <c r="A21" s="13" t="s">
        <v>52</v>
      </c>
      <c r="B21" s="16" t="n">
        <v>0.0327</v>
      </c>
      <c r="C21" s="16" t="n">
        <v>0.0003</v>
      </c>
      <c r="D21" s="17" t="n">
        <f aca="false">IF(C21&gt;0,B21/C21,"")</f>
        <v>109</v>
      </c>
    </row>
    <row r="22" customFormat="false" ht="15" hidden="false" customHeight="false" outlineLevel="0" collapsed="false">
      <c r="A22" s="13" t="s">
        <v>54</v>
      </c>
      <c r="B22" s="16" t="n">
        <v>0.0315</v>
      </c>
      <c r="C22" s="16" t="n">
        <v>0.0003</v>
      </c>
      <c r="D22" s="17" t="n">
        <f aca="false">IF(C22&gt;0,B22/C22,"")</f>
        <v>105</v>
      </c>
    </row>
    <row r="23" customFormat="false" ht="15" hidden="false" customHeight="false" outlineLevel="0" collapsed="false">
      <c r="A23" s="13" t="s">
        <v>56</v>
      </c>
      <c r="B23" s="16" t="n">
        <v>0.0304</v>
      </c>
      <c r="C23" s="16" t="n">
        <v>0.0003</v>
      </c>
      <c r="D23" s="17" t="n">
        <f aca="false">IF(C23&gt;0,B23/C23,"")</f>
        <v>101.333333333333</v>
      </c>
    </row>
    <row r="24" customFormat="false" ht="15" hidden="false" customHeight="false" outlineLevel="0" collapsed="false">
      <c r="A24" s="13" t="s">
        <v>59</v>
      </c>
      <c r="B24" s="16" t="n">
        <v>0.0299</v>
      </c>
      <c r="C24" s="16" t="n">
        <v>0.0003</v>
      </c>
      <c r="D24" s="17" t="n">
        <f aca="false">IF(C24&gt;0,B24/C24,"")</f>
        <v>99.6666666666667</v>
      </c>
    </row>
    <row r="25" customFormat="false" ht="15" hidden="false" customHeight="false" outlineLevel="0" collapsed="false">
      <c r="A25" s="13" t="s">
        <v>61</v>
      </c>
      <c r="B25" s="16" t="n">
        <v>0.0283</v>
      </c>
      <c r="C25" s="16" t="n">
        <v>0.0003</v>
      </c>
      <c r="D25" s="17" t="n">
        <f aca="false">IF(C25&gt;0,B25/C25,"")</f>
        <v>94.3333333333333</v>
      </c>
    </row>
    <row r="26" customFormat="false" ht="15" hidden="false" customHeight="false" outlineLevel="0" collapsed="false">
      <c r="A26" s="13" t="s">
        <v>63</v>
      </c>
      <c r="B26" s="16" t="n">
        <v>0.0273</v>
      </c>
      <c r="C26" s="16" t="n">
        <v>0.0003</v>
      </c>
      <c r="D26" s="17" t="n">
        <f aca="false">IF(C26&gt;0,B26/C26,"")</f>
        <v>91</v>
      </c>
    </row>
    <row r="27" customFormat="false" ht="15" hidden="false" customHeight="false" outlineLevel="0" collapsed="false">
      <c r="A27" s="13" t="s">
        <v>65</v>
      </c>
      <c r="B27" s="16" t="n">
        <v>0.0237</v>
      </c>
      <c r="C27" s="16" t="n">
        <v>0.0002</v>
      </c>
      <c r="D27" s="17" t="n">
        <f aca="false">IF(C27&gt;0,B27/C27,"")</f>
        <v>118.5</v>
      </c>
    </row>
    <row r="28" customFormat="false" ht="15" hidden="false" customHeight="false" outlineLevel="0" collapsed="false">
      <c r="A28" s="13" t="s">
        <v>67</v>
      </c>
      <c r="B28" s="16" t="n">
        <v>0.0229</v>
      </c>
      <c r="C28" s="16" t="n">
        <v>0.0003</v>
      </c>
      <c r="D28" s="17" t="n">
        <f aca="false">IF(C28&gt;0,B28/C28,"")</f>
        <v>76.3333333333333</v>
      </c>
    </row>
    <row r="29" customFormat="false" ht="15" hidden="false" customHeight="false" outlineLevel="0" collapsed="false">
      <c r="A29" s="13" t="s">
        <v>69</v>
      </c>
      <c r="B29" s="16" t="n">
        <v>0.0206</v>
      </c>
      <c r="C29" s="16" t="n">
        <v>0.0002</v>
      </c>
      <c r="D29" s="17" t="n">
        <f aca="false">IF(C29&gt;0,B29/C29,"")</f>
        <v>103</v>
      </c>
    </row>
    <row r="30" customFormat="false" ht="15" hidden="false" customHeight="false" outlineLevel="0" collapsed="false">
      <c r="A30" s="13" t="s">
        <v>71</v>
      </c>
      <c r="B30" s="16" t="n">
        <v>0.0195</v>
      </c>
      <c r="C30" s="16" t="n">
        <v>0.0002</v>
      </c>
      <c r="D30" s="17" t="n">
        <f aca="false">IF(C30&gt;0,B30/C30,"")</f>
        <v>97.5</v>
      </c>
    </row>
    <row r="31" customFormat="false" ht="15" hidden="false" customHeight="false" outlineLevel="0" collapsed="false">
      <c r="A31" s="13" t="s">
        <v>73</v>
      </c>
      <c r="B31" s="16" t="n">
        <v>0.0118</v>
      </c>
      <c r="C31" s="16" t="n">
        <v>0.0001</v>
      </c>
      <c r="D31" s="17" t="n">
        <f aca="false">IF(C31&gt;0,B31/C31,"")</f>
        <v>118</v>
      </c>
    </row>
    <row r="32" customFormat="false" ht="15" hidden="false" customHeight="false" outlineLevel="0" collapsed="false">
      <c r="A32" s="12" t="s">
        <v>96</v>
      </c>
      <c r="B32" s="14" t="n">
        <f aca="false">SUM(B7:B31)</f>
        <v>0.9999</v>
      </c>
      <c r="C32" s="15" t="n">
        <f aca="false">SUM(C7:C31)</f>
        <v>0.0168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97</v>
      </c>
    </row>
    <row r="2" customFormat="false" ht="39.55" hidden="false" customHeight="false" outlineLevel="0" collapsed="false">
      <c r="A2" s="18" t="s">
        <v>98</v>
      </c>
    </row>
    <row r="3" customFormat="false" ht="39.55" hidden="false" customHeight="false" outlineLevel="0" collapsed="false">
      <c r="A3" s="18" t="s">
        <v>99</v>
      </c>
    </row>
    <row r="4" customFormat="false" ht="15" hidden="false" customHeight="false" outlineLevel="0" collapsed="false">
      <c r="A4" s="18" t="s">
        <v>100</v>
      </c>
    </row>
    <row r="5" customFormat="false" ht="26.85" hidden="false" customHeight="false" outlineLevel="0" collapsed="false">
      <c r="A5" s="18" t="s">
        <v>101</v>
      </c>
    </row>
    <row r="6" customFormat="false" ht="15" hidden="false" customHeight="false" outlineLevel="0" collapsed="false">
      <c r="A6" s="18" t="s">
        <v>102</v>
      </c>
    </row>
    <row r="7" customFormat="false" ht="26.85" hidden="false" customHeight="false" outlineLevel="0" collapsed="false">
      <c r="A7" s="18" t="s">
        <v>103</v>
      </c>
    </row>
    <row r="8" customFormat="false" ht="15" hidden="false" customHeight="false" outlineLevel="0" collapsed="false">
      <c r="A8" s="18" t="s">
        <v>104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105</v>
      </c>
    </row>
    <row r="11" customFormat="false" ht="15" hidden="false" customHeight="false" outlineLevel="0" collapsed="false">
      <c r="A11" s="18" t="s">
        <v>106</v>
      </c>
    </row>
    <row r="12" customFormat="false" ht="26.85" hidden="false" customHeight="false" outlineLevel="0" collapsed="false">
      <c r="A12" s="1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customFormat="false" ht="15" hidden="false" customHeight="false" outlineLevel="0" collapsed="false">
      <c r="A2" s="19" t="n">
        <v>1999</v>
      </c>
      <c r="B2" s="20" t="str">
        <f aca="false">INT(A2/10)*10&amp;"s"</f>
        <v>1990s</v>
      </c>
      <c r="C2" s="21" t="n">
        <v>0.2124</v>
      </c>
      <c r="D2" s="21" t="n">
        <v>0.2292</v>
      </c>
      <c r="E2" s="21" t="n">
        <v>0.1807</v>
      </c>
      <c r="F2" s="21" t="n">
        <v>0.1971</v>
      </c>
      <c r="G2" s="20" t="str">
        <f aca="false">IF(D2&gt;=0,"Up","Down")</f>
        <v>Up</v>
      </c>
      <c r="H2" s="22" t="n">
        <f aca="false">1+D2</f>
        <v>1.2292</v>
      </c>
      <c r="I2" s="22" t="n">
        <f aca="false">1+C2</f>
        <v>1.2124</v>
      </c>
      <c r="J2" s="21" t="n">
        <v>0.2039</v>
      </c>
    </row>
    <row r="3" customFormat="false" ht="15" hidden="false" customHeight="false" outlineLevel="0" collapsed="false">
      <c r="A3" s="19" t="n">
        <v>2000</v>
      </c>
      <c r="B3" s="20" t="str">
        <f aca="false">INT(A3/10)*10&amp;"s"</f>
        <v>2000s</v>
      </c>
      <c r="C3" s="21" t="n">
        <v>-0.194</v>
      </c>
      <c r="D3" s="21" t="n">
        <v>-0.1622</v>
      </c>
      <c r="E3" s="21" t="n">
        <v>-0.2204</v>
      </c>
      <c r="F3" s="21" t="n">
        <v>-0.1897</v>
      </c>
      <c r="G3" s="20" t="str">
        <f aca="false">IF(D3&gt;=0,"Up","Down")</f>
        <v>Down</v>
      </c>
      <c r="H3" s="22" t="n">
        <f aca="false">H2*(1+D3)</f>
        <v>1.02982376</v>
      </c>
      <c r="I3" s="22" t="n">
        <f aca="false">I2*(1+C3)</f>
        <v>0.9771944</v>
      </c>
      <c r="J3" s="21" t="n">
        <v>-0.0974</v>
      </c>
    </row>
    <row r="4" customFormat="false" ht="15" hidden="false" customHeight="false" outlineLevel="0" collapsed="false">
      <c r="A4" s="19" t="n">
        <v>2001</v>
      </c>
      <c r="B4" s="20" t="str">
        <f aca="false">INT(A4/10)*10&amp;"s"</f>
        <v>2000s</v>
      </c>
      <c r="C4" s="21" t="n">
        <v>-0.0001</v>
      </c>
      <c r="D4" s="21" t="n">
        <v>0.0214</v>
      </c>
      <c r="E4" s="21" t="n">
        <v>-0.0154</v>
      </c>
      <c r="F4" s="21" t="n">
        <v>0.0058</v>
      </c>
      <c r="G4" s="20" t="str">
        <f aca="false">IF(D4&gt;=0,"Up","Down")</f>
        <v>Up</v>
      </c>
      <c r="H4" s="22" t="n">
        <f aca="false">H3*(1+D4)</f>
        <v>1.051861988464</v>
      </c>
      <c r="I4" s="22" t="n">
        <f aca="false">I3*(1+C4)</f>
        <v>0.97709668056</v>
      </c>
      <c r="J4" s="21" t="n">
        <v>-0.1176</v>
      </c>
    </row>
    <row r="5" customFormat="false" ht="15" hidden="false" customHeight="false" outlineLevel="0" collapsed="false">
      <c r="A5" s="19" t="n">
        <v>2002</v>
      </c>
      <c r="B5" s="20" t="str">
        <f aca="false">INT(A5/10)*10&amp;"s"</f>
        <v>2000s</v>
      </c>
      <c r="C5" s="21" t="n">
        <v>-0.0738</v>
      </c>
      <c r="D5" s="21" t="n">
        <v>-0.0533</v>
      </c>
      <c r="E5" s="21" t="n">
        <v>-0.0953</v>
      </c>
      <c r="F5" s="21" t="n">
        <v>-0.0753</v>
      </c>
      <c r="G5" s="20" t="str">
        <f aca="false">IF(D5&gt;=0,"Up","Down")</f>
        <v>Down</v>
      </c>
      <c r="H5" s="22" t="n">
        <f aca="false">H4*(1+D5)</f>
        <v>0.995797744478869</v>
      </c>
      <c r="I5" s="22" t="n">
        <f aca="false">I4*(1+C5)</f>
        <v>0.904986945534672</v>
      </c>
      <c r="J5" s="21" t="n">
        <v>-0.2158</v>
      </c>
    </row>
    <row r="6" customFormat="false" ht="15" hidden="false" customHeight="false" outlineLevel="0" collapsed="false">
      <c r="A6" s="19" t="n">
        <v>2003</v>
      </c>
      <c r="B6" s="20" t="str">
        <f aca="false">INT(A6/10)*10&amp;"s"</f>
        <v>2000s</v>
      </c>
      <c r="C6" s="21" t="n">
        <v>0.3453</v>
      </c>
      <c r="D6" s="21" t="n">
        <v>0.3741</v>
      </c>
      <c r="E6" s="21" t="n">
        <v>0.3204</v>
      </c>
      <c r="F6" s="21" t="n">
        <v>0.3488</v>
      </c>
      <c r="G6" s="20" t="str">
        <f aca="false">IF(D6&gt;=0,"Up","Down")</f>
        <v>Up</v>
      </c>
      <c r="H6" s="22" t="n">
        <f aca="false">H5*(1+D6)</f>
        <v>1.36832568068841</v>
      </c>
      <c r="I6" s="22" t="n">
        <f aca="false">I5*(1+C6)</f>
        <v>1.21747893782779</v>
      </c>
      <c r="J6" s="21" t="n">
        <v>0.2818</v>
      </c>
    </row>
    <row r="7" customFormat="false" ht="15" hidden="false" customHeight="false" outlineLevel="0" collapsed="false">
      <c r="A7" s="19" t="n">
        <v>2004</v>
      </c>
      <c r="B7" s="20" t="str">
        <f aca="false">INT(A7/10)*10&amp;"s"</f>
        <v>2000s</v>
      </c>
      <c r="C7" s="21" t="n">
        <v>0.1139</v>
      </c>
      <c r="D7" s="21" t="n">
        <v>0.1349</v>
      </c>
      <c r="E7" s="21" t="n">
        <v>0.0788</v>
      </c>
      <c r="F7" s="21" t="n">
        <v>0.0991</v>
      </c>
      <c r="G7" s="20" t="str">
        <f aca="false">IF(D7&gt;=0,"Up","Down")</f>
        <v>Up</v>
      </c>
      <c r="H7" s="22" t="n">
        <f aca="false">H6*(1+D7)</f>
        <v>1.55291281501328</v>
      </c>
      <c r="I7" s="22" t="n">
        <f aca="false">I6*(1+C7)</f>
        <v>1.35614978884638</v>
      </c>
      <c r="J7" s="21" t="n">
        <v>0.107</v>
      </c>
    </row>
    <row r="8" customFormat="false" ht="15" hidden="false" customHeight="false" outlineLevel="0" collapsed="false">
      <c r="A8" s="19" t="n">
        <v>2005</v>
      </c>
      <c r="B8" s="20" t="str">
        <f aca="false">INT(A8/10)*10&amp;"s"</f>
        <v>2000s</v>
      </c>
      <c r="C8" s="21" t="n">
        <v>0.0185</v>
      </c>
      <c r="D8" s="21" t="n">
        <v>0.0408</v>
      </c>
      <c r="E8" s="21" t="n">
        <v>-0.0151</v>
      </c>
      <c r="F8" s="21" t="n">
        <v>0.0064</v>
      </c>
      <c r="G8" s="20" t="str">
        <f aca="false">IF(D8&gt;=0,"Up","Down")</f>
        <v>Up</v>
      </c>
      <c r="H8" s="22" t="n">
        <f aca="false">H7*(1+D8)</f>
        <v>1.61627165786582</v>
      </c>
      <c r="I8" s="22" t="n">
        <f aca="false">I7*(1+C8)</f>
        <v>1.38123855994004</v>
      </c>
      <c r="J8" s="21" t="n">
        <v>0.0483</v>
      </c>
    </row>
    <row r="9" customFormat="false" ht="15" hidden="false" customHeight="false" outlineLevel="0" collapsed="false">
      <c r="A9" s="19" t="n">
        <v>2006</v>
      </c>
      <c r="B9" s="20" t="str">
        <f aca="false">INT(A9/10)*10&amp;"s"</f>
        <v>2000s</v>
      </c>
      <c r="C9" s="21" t="n">
        <v>0.1506</v>
      </c>
      <c r="D9" s="21" t="n">
        <v>0.1836</v>
      </c>
      <c r="E9" s="21" t="n">
        <v>0.1221</v>
      </c>
      <c r="F9" s="21" t="n">
        <v>0.1543</v>
      </c>
      <c r="G9" s="20" t="str">
        <f aca="false">IF(D9&gt;=0,"Up","Down")</f>
        <v>Up</v>
      </c>
      <c r="H9" s="22" t="n">
        <f aca="false">H8*(1+D9)</f>
        <v>1.91301913424999</v>
      </c>
      <c r="I9" s="22" t="n">
        <f aca="false">I8*(1+C9)</f>
        <v>1.58925308706701</v>
      </c>
      <c r="J9" s="21" t="n">
        <v>0.1585</v>
      </c>
    </row>
    <row r="10" customFormat="false" ht="15" hidden="false" customHeight="false" outlineLevel="0" collapsed="false">
      <c r="A10" s="19" t="n">
        <v>2007</v>
      </c>
      <c r="B10" s="20" t="str">
        <f aca="false">INT(A10/10)*10&amp;"s"</f>
        <v>2000s</v>
      </c>
      <c r="C10" s="21" t="n">
        <v>0.1969</v>
      </c>
      <c r="D10" s="21" t="n">
        <v>0.2209</v>
      </c>
      <c r="E10" s="21" t="n">
        <v>0.15</v>
      </c>
      <c r="F10" s="21" t="n">
        <v>0.173</v>
      </c>
      <c r="G10" s="20" t="str">
        <f aca="false">IF(D10&gt;=0,"Up","Down")</f>
        <v>Up</v>
      </c>
      <c r="H10" s="22" t="n">
        <f aca="false">H9*(1+D10)</f>
        <v>2.33560506100581</v>
      </c>
      <c r="I10" s="22" t="n">
        <f aca="false">I9*(1+C10)</f>
        <v>1.9021770199105</v>
      </c>
      <c r="J10" s="21" t="n">
        <v>0.0515</v>
      </c>
    </row>
    <row r="11" customFormat="false" ht="15" hidden="false" customHeight="false" outlineLevel="0" collapsed="false">
      <c r="A11" s="19" t="n">
        <v>2008</v>
      </c>
      <c r="B11" s="20" t="str">
        <f aca="false">INT(A11/10)*10&amp;"s"</f>
        <v>2000s</v>
      </c>
      <c r="C11" s="21" t="n">
        <v>-0.4547</v>
      </c>
      <c r="D11" s="21" t="n">
        <v>-0.4405</v>
      </c>
      <c r="E11" s="21" t="n">
        <v>-0.4552</v>
      </c>
      <c r="F11" s="21" t="n">
        <v>-0.441</v>
      </c>
      <c r="G11" s="20" t="str">
        <f aca="false">IF(D11&gt;=0,"Up","Down")</f>
        <v>Down</v>
      </c>
      <c r="H11" s="22" t="n">
        <f aca="false">H10*(1+D11)</f>
        <v>1.30677103163275</v>
      </c>
      <c r="I11" s="22" t="n">
        <f aca="false">I10*(1+C11)</f>
        <v>1.0372571289572</v>
      </c>
      <c r="J11" s="21" t="n">
        <v>-0.368</v>
      </c>
    </row>
    <row r="12" customFormat="false" ht="15" hidden="false" customHeight="false" outlineLevel="0" collapsed="false">
      <c r="A12" s="19" t="n">
        <v>2009</v>
      </c>
      <c r="B12" s="20" t="str">
        <f aca="false">INT(A12/10)*10&amp;"s"</f>
        <v>2000s</v>
      </c>
      <c r="C12" s="21" t="n">
        <v>0.4507</v>
      </c>
      <c r="D12" s="21" t="n">
        <v>0.4816</v>
      </c>
      <c r="E12" s="21" t="n">
        <v>0.4123</v>
      </c>
      <c r="F12" s="21" t="n">
        <v>0.4423</v>
      </c>
      <c r="G12" s="20" t="str">
        <f aca="false">IF(D12&gt;=0,"Up","Down")</f>
        <v>Up</v>
      </c>
      <c r="H12" s="22" t="n">
        <f aca="false">H11*(1+D12)</f>
        <v>1.93611196046708</v>
      </c>
      <c r="I12" s="22" t="n">
        <f aca="false">I11*(1+C12)</f>
        <v>1.50474891697821</v>
      </c>
      <c r="J12" s="21" t="n">
        <v>0.2635</v>
      </c>
    </row>
    <row r="13" customFormat="false" ht="15" hidden="false" customHeight="false" outlineLevel="0" collapsed="false">
      <c r="A13" s="19" t="n">
        <v>2010</v>
      </c>
      <c r="B13" s="20" t="str">
        <f aca="false">INT(A13/10)*10&amp;"s"</f>
        <v>2010s</v>
      </c>
      <c r="C13" s="21" t="n">
        <v>0.1643</v>
      </c>
      <c r="D13" s="21" t="n">
        <v>0.2055</v>
      </c>
      <c r="E13" s="21" t="n">
        <v>0.1471</v>
      </c>
      <c r="F13" s="21" t="n">
        <v>0.1878</v>
      </c>
      <c r="G13" s="20" t="str">
        <f aca="false">IF(D13&gt;=0,"Up","Down")</f>
        <v>Up</v>
      </c>
      <c r="H13" s="22" t="n">
        <f aca="false">H12*(1+D13)</f>
        <v>2.33398296834307</v>
      </c>
      <c r="I13" s="22" t="n">
        <f aca="false">I12*(1+C13)</f>
        <v>1.75197916403772</v>
      </c>
      <c r="J13" s="21" t="n">
        <v>0.1506</v>
      </c>
    </row>
    <row r="14" customFormat="false" ht="15" hidden="false" customHeight="false" outlineLevel="0" collapsed="false">
      <c r="A14" s="19" t="n">
        <v>2011</v>
      </c>
      <c r="B14" s="20" t="str">
        <f aca="false">INT(A14/10)*10&amp;"s"</f>
        <v>2010s</v>
      </c>
      <c r="C14" s="21" t="n">
        <v>-0.1278</v>
      </c>
      <c r="D14" s="21" t="n">
        <v>-0.1092</v>
      </c>
      <c r="E14" s="21" t="n">
        <v>-0.1529</v>
      </c>
      <c r="F14" s="21" t="n">
        <v>-0.1348</v>
      </c>
      <c r="G14" s="20" t="str">
        <f aca="false">IF(D14&gt;=0,"Up","Down")</f>
        <v>Down</v>
      </c>
      <c r="H14" s="22" t="n">
        <f aca="false">H13*(1+D14)</f>
        <v>2.07911202820001</v>
      </c>
      <c r="I14" s="22" t="n">
        <f aca="false">I13*(1+C14)</f>
        <v>1.5280762268737</v>
      </c>
      <c r="J14" s="21" t="n">
        <v>0.019</v>
      </c>
    </row>
    <row r="15" customFormat="false" ht="15" hidden="false" customHeight="false" outlineLevel="0" collapsed="false">
      <c r="A15" s="19" t="n">
        <v>2012</v>
      </c>
      <c r="B15" s="20" t="str">
        <f aca="false">INT(A15/10)*10&amp;"s"</f>
        <v>2010s</v>
      </c>
      <c r="C15" s="21" t="n">
        <v>0.1206</v>
      </c>
      <c r="D15" s="21" t="n">
        <v>0.1469</v>
      </c>
      <c r="E15" s="21" t="n">
        <v>0.1014</v>
      </c>
      <c r="F15" s="21" t="n">
        <v>0.1273</v>
      </c>
      <c r="G15" s="20" t="str">
        <f aca="false">IF(D15&gt;=0,"Up","Down")</f>
        <v>Up</v>
      </c>
      <c r="H15" s="22" t="n">
        <f aca="false">H14*(1+D15)</f>
        <v>2.38453358514259</v>
      </c>
      <c r="I15" s="22" t="n">
        <f aca="false">I14*(1+C15)</f>
        <v>1.71236221983467</v>
      </c>
      <c r="J15" s="21" t="n">
        <v>0.1599</v>
      </c>
    </row>
    <row r="16" customFormat="false" ht="15" hidden="false" customHeight="false" outlineLevel="0" collapsed="false">
      <c r="A16" s="19" t="n">
        <v>2013</v>
      </c>
      <c r="B16" s="20" t="str">
        <f aca="false">INT(A16/10)*10&amp;"s"</f>
        <v>2010s</v>
      </c>
      <c r="C16" s="21" t="n">
        <v>0.2312</v>
      </c>
      <c r="D16" s="21" t="n">
        <v>0.2599</v>
      </c>
      <c r="E16" s="21" t="n">
        <v>0.213</v>
      </c>
      <c r="F16" s="21" t="n">
        <v>0.2412</v>
      </c>
      <c r="G16" s="20" t="str">
        <f aca="false">IF(D16&gt;=0,"Up","Down")</f>
        <v>Up</v>
      </c>
      <c r="H16" s="22" t="n">
        <f aca="false">H15*(1+D16)</f>
        <v>3.00427386392115</v>
      </c>
      <c r="I16" s="22" t="n">
        <f aca="false">I15*(1+C16)</f>
        <v>2.10826036506045</v>
      </c>
      <c r="J16" s="21" t="n">
        <v>0.3231</v>
      </c>
    </row>
    <row r="17" customFormat="false" ht="15" hidden="false" customHeight="false" outlineLevel="0" collapsed="false">
      <c r="A17" s="19" t="n">
        <v>2014</v>
      </c>
      <c r="B17" s="20" t="str">
        <f aca="false">INT(A17/10)*10&amp;"s"</f>
        <v>2010s</v>
      </c>
      <c r="C17" s="21" t="n">
        <v>0.0511</v>
      </c>
      <c r="D17" s="21" t="n">
        <v>0.0718</v>
      </c>
      <c r="E17" s="21" t="n">
        <v>0.0432</v>
      </c>
      <c r="F17" s="21" t="n">
        <v>0.0638</v>
      </c>
      <c r="G17" s="20" t="str">
        <f aca="false">IF(D17&gt;=0,"Up","Down")</f>
        <v>Up</v>
      </c>
      <c r="H17" s="22" t="n">
        <f aca="false">H16*(1+D17)</f>
        <v>3.21998072735068</v>
      </c>
      <c r="I17" s="22" t="n">
        <f aca="false">I16*(1+C17)</f>
        <v>2.21599246971504</v>
      </c>
      <c r="J17" s="21" t="n">
        <v>0.1346</v>
      </c>
    </row>
    <row r="18" customFormat="false" ht="15" hidden="false" customHeight="false" outlineLevel="0" collapsed="false">
      <c r="A18" s="19" t="n">
        <v>2015</v>
      </c>
      <c r="B18" s="20" t="str">
        <f aca="false">INT(A18/10)*10&amp;"s"</f>
        <v>2010s</v>
      </c>
      <c r="C18" s="21" t="n">
        <v>-0.1062</v>
      </c>
      <c r="D18" s="21" t="n">
        <v>-0.0869</v>
      </c>
      <c r="E18" s="21" t="n">
        <v>-0.1127</v>
      </c>
      <c r="F18" s="21" t="n">
        <v>-0.0935</v>
      </c>
      <c r="G18" s="20" t="str">
        <f aca="false">IF(D18&gt;=0,"Up","Down")</f>
        <v>Down</v>
      </c>
      <c r="H18" s="22" t="n">
        <f aca="false">H17*(1+D18)</f>
        <v>2.94016440214391</v>
      </c>
      <c r="I18" s="22" t="n">
        <f aca="false">I17*(1+C18)</f>
        <v>1.9806540694313</v>
      </c>
      <c r="J18" s="21" t="n">
        <v>0.0123</v>
      </c>
    </row>
    <row r="19" customFormat="false" ht="15" hidden="false" customHeight="false" outlineLevel="0" collapsed="false">
      <c r="A19" s="19" t="n">
        <v>2016</v>
      </c>
      <c r="B19" s="20" t="str">
        <f aca="false">INT(A19/10)*10&amp;"s"</f>
        <v>2010s</v>
      </c>
      <c r="C19" s="21" t="n">
        <v>0.1446</v>
      </c>
      <c r="D19" s="21" t="n">
        <v>0.168</v>
      </c>
      <c r="E19" s="21" t="n">
        <v>0.1214</v>
      </c>
      <c r="F19" s="21" t="n">
        <v>0.1442</v>
      </c>
      <c r="G19" s="20" t="str">
        <f aca="false">IF(D19&gt;=0,"Up","Down")</f>
        <v>Up</v>
      </c>
      <c r="H19" s="22" t="n">
        <f aca="false">H18*(1+D19)</f>
        <v>3.43411202170409</v>
      </c>
      <c r="I19" s="22" t="n">
        <f aca="false">I18*(1+C19)</f>
        <v>2.26705664787107</v>
      </c>
      <c r="J19" s="21" t="n">
        <v>0.12</v>
      </c>
    </row>
    <row r="20" customFormat="false" ht="15" hidden="false" customHeight="false" outlineLevel="0" collapsed="false">
      <c r="A20" s="19" t="n">
        <v>2017</v>
      </c>
      <c r="B20" s="20" t="str">
        <f aca="false">INT(A20/10)*10&amp;"s"</f>
        <v>2010s</v>
      </c>
      <c r="C20" s="21" t="n">
        <v>0.2179</v>
      </c>
      <c r="D20" s="21" t="n">
        <v>0.2401</v>
      </c>
      <c r="E20" s="21" t="n">
        <v>0.1928</v>
      </c>
      <c r="F20" s="21" t="n">
        <v>0.2145</v>
      </c>
      <c r="G20" s="20" t="str">
        <f aca="false">IF(D20&gt;=0,"Up","Down")</f>
        <v>Up</v>
      </c>
      <c r="H20" s="22" t="n">
        <f aca="false">H19*(1+D20)</f>
        <v>4.25864231811524</v>
      </c>
      <c r="I20" s="22" t="n">
        <f aca="false">I19*(1+C20)</f>
        <v>2.76104829144217</v>
      </c>
      <c r="J20" s="21" t="n">
        <v>0.2171</v>
      </c>
    </row>
    <row r="21" customFormat="false" ht="15" hidden="false" customHeight="false" outlineLevel="0" collapsed="false">
      <c r="A21" s="19" t="n">
        <v>2018</v>
      </c>
      <c r="B21" s="20" t="str">
        <f aca="false">INT(A21/10)*10&amp;"s"</f>
        <v>2010s</v>
      </c>
      <c r="C21" s="21" t="n">
        <v>-0.1654</v>
      </c>
      <c r="D21" s="21" t="n">
        <v>-0.1488</v>
      </c>
      <c r="E21" s="21" t="n">
        <v>-0.181</v>
      </c>
      <c r="F21" s="21" t="n">
        <v>-0.1647</v>
      </c>
      <c r="G21" s="20" t="str">
        <f aca="false">IF(D21&gt;=0,"Up","Down")</f>
        <v>Down</v>
      </c>
      <c r="H21" s="22" t="n">
        <f aca="false">H20*(1+D21)</f>
        <v>3.62495634117969</v>
      </c>
      <c r="I21" s="22" t="n">
        <f aca="false">I20*(1+C21)</f>
        <v>2.30437090403764</v>
      </c>
      <c r="J21" s="21" t="n">
        <v>-0.0457</v>
      </c>
    </row>
    <row r="22" customFormat="false" ht="15" hidden="false" customHeight="false" outlineLevel="0" collapsed="false">
      <c r="A22" s="19" t="n">
        <v>2019</v>
      </c>
      <c r="B22" s="20" t="str">
        <f aca="false">INT(A22/10)*10&amp;"s"</f>
        <v>2010s</v>
      </c>
      <c r="C22" s="21" t="n">
        <v>0.2158</v>
      </c>
      <c r="D22" s="21" t="n">
        <v>0.2413</v>
      </c>
      <c r="E22" s="21" t="n">
        <v>0.1886</v>
      </c>
      <c r="F22" s="21" t="n">
        <v>0.2136</v>
      </c>
      <c r="G22" s="20" t="str">
        <f aca="false">IF(D22&gt;=0,"Up","Down")</f>
        <v>Up</v>
      </c>
      <c r="H22" s="22" t="n">
        <f aca="false">H21*(1+D22)</f>
        <v>4.49965830630635</v>
      </c>
      <c r="I22" s="22" t="n">
        <f aca="false">I21*(1+C22)</f>
        <v>2.80165414512896</v>
      </c>
      <c r="J22" s="21" t="n">
        <v>0.3122</v>
      </c>
    </row>
    <row r="23" customFormat="false" ht="15" hidden="false" customHeight="false" outlineLevel="0" collapsed="false">
      <c r="A23" s="19" t="n">
        <v>2020</v>
      </c>
      <c r="B23" s="20" t="str">
        <f aca="false">INT(A23/10)*10&amp;"s"</f>
        <v>2020s</v>
      </c>
      <c r="C23" s="21" t="n">
        <v>0.1786</v>
      </c>
      <c r="D23" s="21" t="n">
        <v>0.2046</v>
      </c>
      <c r="E23" s="21" t="n">
        <v>0.1628</v>
      </c>
      <c r="F23" s="21" t="n">
        <v>0.1884</v>
      </c>
      <c r="G23" s="20" t="str">
        <f aca="false">IF(D23&gt;=0,"Up","Down")</f>
        <v>Up</v>
      </c>
      <c r="H23" s="22" t="n">
        <f aca="false">H22*(1+D23)</f>
        <v>5.42028839577663</v>
      </c>
      <c r="I23" s="22" t="n">
        <f aca="false">I22*(1+C23)</f>
        <v>3.30202957544899</v>
      </c>
      <c r="J23" s="21" t="n">
        <v>0.1833</v>
      </c>
    </row>
    <row r="24" customFormat="false" ht="15" hidden="false" customHeight="false" outlineLevel="0" collapsed="false">
      <c r="A24" s="19" t="n">
        <v>2021</v>
      </c>
      <c r="B24" s="20" t="str">
        <f aca="false">INT(A24/10)*10&amp;"s"</f>
        <v>2020s</v>
      </c>
      <c r="C24" s="21" t="n">
        <v>0.2517</v>
      </c>
      <c r="D24" s="21" t="n">
        <v>0.2744</v>
      </c>
      <c r="E24" s="21" t="n">
        <v>0.1694</v>
      </c>
      <c r="F24" s="21" t="n">
        <v>0.1906</v>
      </c>
      <c r="G24" s="20" t="str">
        <f aca="false">IF(D24&gt;=0,"Up","Down")</f>
        <v>Up</v>
      </c>
      <c r="H24" s="22" t="n">
        <f aca="false">H23*(1+D24)</f>
        <v>6.90761553157774</v>
      </c>
      <c r="I24" s="22" t="n">
        <f aca="false">I23*(1+C24)</f>
        <v>4.1331504195895</v>
      </c>
      <c r="J24" s="21" t="n">
        <v>0.2873</v>
      </c>
    </row>
    <row r="25" customFormat="false" ht="15" hidden="false" customHeight="false" outlineLevel="0" collapsed="false">
      <c r="A25" s="19" t="n">
        <v>2022</v>
      </c>
      <c r="B25" s="20" t="str">
        <f aca="false">INT(A25/10)*10&amp;"s"</f>
        <v>2020s</v>
      </c>
      <c r="C25" s="21" t="n">
        <v>-0.1427</v>
      </c>
      <c r="D25" s="21" t="n">
        <v>-0.123</v>
      </c>
      <c r="E25" s="21" t="n">
        <v>-0.1947</v>
      </c>
      <c r="F25" s="21" t="n">
        <v>-0.1761</v>
      </c>
      <c r="G25" s="20" t="str">
        <f aca="false">IF(D25&gt;=0,"Up","Down")</f>
        <v>Down</v>
      </c>
      <c r="H25" s="22" t="n">
        <f aca="false">H24*(1+D25)</f>
        <v>6.05797882119368</v>
      </c>
      <c r="I25" s="22" t="n">
        <f aca="false">I24*(1+C25)</f>
        <v>3.54334985471408</v>
      </c>
      <c r="J25" s="21" t="n">
        <v>-0.1818</v>
      </c>
    </row>
    <row r="26" customFormat="false" ht="15" hidden="false" customHeight="false" outlineLevel="0" collapsed="false">
      <c r="A26" s="19" t="n">
        <v>2023</v>
      </c>
      <c r="B26" s="20" t="str">
        <f aca="false">INT(A26/10)*10&amp;"s"</f>
        <v>2020s</v>
      </c>
      <c r="C26" s="21" t="n">
        <v>0.1012</v>
      </c>
      <c r="D26" s="21" t="n">
        <v>0.1246</v>
      </c>
      <c r="E26" s="21" t="n">
        <v>0.0655</v>
      </c>
      <c r="F26" s="21" t="n">
        <v>0.0881</v>
      </c>
      <c r="G26" s="20" t="str">
        <f aca="false">IF(D26&gt;=0,"Up","Down")</f>
        <v>Up</v>
      </c>
      <c r="H26" s="22" t="n">
        <f aca="false">H25*(1+D26)</f>
        <v>6.81280298231441</v>
      </c>
      <c r="I26" s="22" t="n">
        <f aca="false">I25*(1+C26)</f>
        <v>3.90193686001114</v>
      </c>
      <c r="J26" s="21" t="n">
        <v>0.2618</v>
      </c>
    </row>
    <row r="27" customFormat="false" ht="15" hidden="false" customHeight="false" outlineLevel="0" collapsed="false">
      <c r="A27" s="19" t="n">
        <v>2024</v>
      </c>
      <c r="B27" s="20" t="str">
        <f aca="false">INT(A27/10)*10&amp;"s"</f>
        <v>2020s</v>
      </c>
      <c r="C27" s="21" t="n">
        <v>-0.0164</v>
      </c>
      <c r="D27" s="21" t="n">
        <v>0.0015</v>
      </c>
      <c r="E27" s="21" t="n">
        <v>-0.044</v>
      </c>
      <c r="F27" s="21" t="n">
        <v>-0.0266</v>
      </c>
      <c r="G27" s="20" t="str">
        <f aca="false">IF(D27&gt;=0,"Up","Down")</f>
        <v>Up</v>
      </c>
      <c r="H27" s="22" t="n">
        <f aca="false">H26*(1+D27)</f>
        <v>6.82302218678788</v>
      </c>
      <c r="I27" s="22" t="n">
        <f aca="false">I26*(1+C27)</f>
        <v>3.83794509550696</v>
      </c>
      <c r="J27" s="21" t="n">
        <v>0.2489</v>
      </c>
    </row>
    <row r="28" customFormat="false" ht="15" hidden="false" customHeight="false" outlineLevel="0" collapsed="false">
      <c r="A28" s="19" t="n">
        <v>2025</v>
      </c>
      <c r="B28" s="20" t="str">
        <f aca="false">INT(A28/10)*10&amp;"s"</f>
        <v>2020s</v>
      </c>
      <c r="C28" s="21" t="n">
        <v>0.078</v>
      </c>
      <c r="D28" s="21" t="n">
        <v>0.0994</v>
      </c>
      <c r="E28" s="21" t="n">
        <v>0.0499</v>
      </c>
      <c r="F28" s="21" t="n">
        <v>0.0708</v>
      </c>
      <c r="G28" s="20" t="str">
        <f aca="false">IF(D28&gt;=0,"Up","Down")</f>
        <v>Up</v>
      </c>
      <c r="H28" s="22" t="n">
        <f aca="false">H27*(1+D28)</f>
        <v>7.50123059215459</v>
      </c>
      <c r="I28" s="22" t="n">
        <f aca="false">I27*(1+C28)</f>
        <v>4.1373048129565</v>
      </c>
      <c r="J28" s="21" t="n">
        <v>0.1772</v>
      </c>
    </row>
    <row r="30" customFormat="false" ht="15" hidden="false" customHeight="false" outlineLevel="0" collapsed="false">
      <c r="A30" s="12" t="s">
        <v>118</v>
      </c>
    </row>
    <row r="31" customFormat="false" ht="15" hidden="false" customHeight="false" outlineLevel="0" collapsed="false">
      <c r="A31" s="13" t="s">
        <v>119</v>
      </c>
      <c r="C31" s="23" t="n">
        <f aca="false">COUNT(A2:A28)</f>
        <v>27</v>
      </c>
    </row>
    <row r="32" customFormat="false" ht="15" hidden="false" customHeight="false" outlineLevel="0" collapsed="false">
      <c r="A32" s="13" t="s">
        <v>120</v>
      </c>
      <c r="C32" s="23" t="n">
        <f aca="false">COUNTIF(D2:D28,"&gt;=0")</f>
        <v>20</v>
      </c>
    </row>
    <row r="33" customFormat="false" ht="15" hidden="false" customHeight="false" outlineLevel="0" collapsed="false">
      <c r="A33" s="13" t="s">
        <v>121</v>
      </c>
      <c r="C33" s="23" t="n">
        <f aca="false">COUNTIF(D2:D28,"&lt;0")</f>
        <v>7</v>
      </c>
    </row>
    <row r="34" customFormat="false" ht="15" hidden="false" customHeight="false" outlineLevel="0" collapsed="false">
      <c r="A34" s="13" t="s">
        <v>122</v>
      </c>
      <c r="C34" s="16" t="n">
        <f aca="false">AVERAGE(D2:D28)</f>
        <v>0.0963185185185185</v>
      </c>
    </row>
    <row r="35" customFormat="false" ht="15" hidden="false" customHeight="false" outlineLevel="0" collapsed="false">
      <c r="A35" s="13" t="s">
        <v>123</v>
      </c>
      <c r="C35" s="16" t="n">
        <f aca="false">(H28)^(1/COUNT(A2:A28))-1</f>
        <v>0.0774876856481561</v>
      </c>
    </row>
    <row r="36" customFormat="false" ht="15" hidden="false" customHeight="false" outlineLevel="0" collapsed="false">
      <c r="A36" s="13" t="s">
        <v>124</v>
      </c>
      <c r="C36" s="16" t="n">
        <f aca="false">AVERAGE(F2:F28)</f>
        <v>0.0687185185185185</v>
      </c>
    </row>
    <row r="37" customFormat="false" ht="15" hidden="false" customHeight="false" outlineLevel="0" collapsed="false">
      <c r="A37" s="13" t="s">
        <v>125</v>
      </c>
      <c r="C37" s="16" t="n">
        <f aca="false">MAX(D2:D28)</f>
        <v>0.4816</v>
      </c>
    </row>
    <row r="38" customFormat="false" ht="15" hidden="false" customHeight="false" outlineLevel="0" collapsed="false">
      <c r="A38" s="13" t="s">
        <v>126</v>
      </c>
      <c r="C38" s="16" t="n">
        <f aca="false">MIN(D2:D28)</f>
        <v>-0.4405</v>
      </c>
    </row>
    <row r="39" customFormat="false" ht="15" hidden="false" customHeight="false" outlineLevel="0" collapsed="false">
      <c r="A39" s="13" t="s">
        <v>127</v>
      </c>
      <c r="C39" s="16" t="n">
        <f aca="false">STDEV(D2:D28)</f>
        <v>0.194132609389793</v>
      </c>
    </row>
    <row r="40" customFormat="false" ht="15" hidden="false" customHeight="false" outlineLevel="0" collapsed="false">
      <c r="A40" s="13" t="s">
        <v>128</v>
      </c>
      <c r="C40" s="24" t="n">
        <f aca="false">H28</f>
        <v>7.50123059215459</v>
      </c>
    </row>
    <row r="41" customFormat="false" ht="15" hidden="false" customHeight="false" outlineLevel="0" collapsed="false">
      <c r="A41" s="13" t="s">
        <v>129</v>
      </c>
      <c r="C41" s="16" t="n">
        <f aca="false">AVERAGE(J2:J28)</f>
        <v>0.0998333333333333</v>
      </c>
    </row>
    <row r="42" customFormat="false" ht="15" hidden="false" customHeight="false" outlineLevel="0" collapsed="false">
      <c r="A42" s="13" t="s">
        <v>130</v>
      </c>
      <c r="C42" s="16" t="n">
        <f aca="false">EXP(SUMPRODUCT(LN(1+J2:J28)))^(1/COUNT(J2:J28))-1</f>
        <v>0.0842158014449554</v>
      </c>
    </row>
    <row r="43" customFormat="false" ht="15" hidden="false" customHeight="false" outlineLevel="0" collapsed="false">
      <c r="A43" s="13" t="s">
        <v>131</v>
      </c>
      <c r="C43" s="24" t="n">
        <f aca="false">EXP(SUMPRODUCT(LN(1+J2:J28)))</f>
        <v>8.87410934423776</v>
      </c>
    </row>
    <row r="44" customFormat="false" ht="15" hidden="false" customHeight="false" outlineLevel="0" collapsed="false">
      <c r="A44" s="13" t="s">
        <v>132</v>
      </c>
      <c r="C44" s="16" t="n">
        <f aca="false">STDEV(J2:J28)</f>
        <v>0.176681741253327</v>
      </c>
    </row>
    <row r="46" customFormat="false" ht="15" hidden="false" customHeight="false" outlineLevel="0" collapsed="false">
      <c r="A46" s="25" t="s">
        <v>133</v>
      </c>
    </row>
    <row r="47" customFormat="false" ht="15" hidden="false" customHeight="false" outlineLevel="0" collapsed="false">
      <c r="A47" s="2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5" min="13" style="0" width="13"/>
  </cols>
  <sheetData>
    <row r="1" customFormat="false" ht="35.05" hidden="false" customHeight="false" outlineLevel="0" collapsed="false">
      <c r="A1" s="1" t="s">
        <v>109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</row>
    <row r="2" customFormat="false" ht="15" hidden="false" customHeight="false" outlineLevel="0" collapsed="false">
      <c r="A2" s="20" t="s">
        <v>149</v>
      </c>
      <c r="B2" s="20" t="s">
        <v>150</v>
      </c>
      <c r="C2" s="20" t="n">
        <f aca="false">COUNTIF('Annual Returns'!$B$2:$B$28,"1990s")</f>
        <v>1</v>
      </c>
      <c r="D2" s="20" t="n">
        <f aca="false">COUNTIFS('Annual Returns'!$B$2:$B$28,"1990s",'Annual Returns'!$D$2:$D$28,"&gt;=0")</f>
        <v>1</v>
      </c>
      <c r="E2" s="20" t="n">
        <f aca="false">COUNTIFS('Annual Returns'!$B$2:$B$28,"1990s",'Annual Returns'!$D$2:$D$28,"&lt;0")</f>
        <v>0</v>
      </c>
      <c r="F2" s="21" t="n">
        <f aca="false">AVERAGEIF('Annual Returns'!$B$2:$B$28,"1990s",'Annual Returns'!$D$2:$D$28)</f>
        <v>0.2292</v>
      </c>
      <c r="G2" s="21" t="n">
        <f aca="false">(1+H2)^(1/C2)-1</f>
        <v>0.2292</v>
      </c>
      <c r="H2" s="21" t="n">
        <f aca="false">EXP(SUMPRODUCT(('Annual Returns'!$B$2:$B$28="1990s")*LN(1+'Annual Returns'!$D$2:$D$28)))-1</f>
        <v>0.2292</v>
      </c>
      <c r="I2" s="21" t="n">
        <f aca="false">AVERAGEIF('Annual Returns'!$B$2:$B$28,"1990s",'Annual Returns'!$C$2:$C$28)</f>
        <v>0.2124</v>
      </c>
      <c r="J2" s="21" t="n">
        <f aca="false">(EXP(SUMPRODUCT(('Annual Returns'!$B$2:$B$28="1990s")*LN(1+'Annual Returns'!$C$2:$C$28))))^(1/C2)-1</f>
        <v>0.2124</v>
      </c>
      <c r="K2" s="21" t="n">
        <f aca="false">AVERAGEIF('Annual Returns'!$B$2:$B$28,"1990s",'Annual Returns'!$F$2:$F$28)</f>
        <v>0.1971</v>
      </c>
      <c r="L2" s="21" t="n">
        <f aca="false">_xlfn.MAXIFS('Annual Returns'!$D$2:$D$28,'Annual Returns'!$B$2:$B$28,"1990s")</f>
        <v>0.2292</v>
      </c>
      <c r="M2" s="21" t="n">
        <f aca="false">_xlfn.MINIFS('Annual Returns'!$D$2:$D$28,'Annual Returns'!$B$2:$B$28,"1990s")</f>
        <v>0.2292</v>
      </c>
      <c r="N2" s="22" t="n">
        <f aca="false">1+H2</f>
        <v>1.2292</v>
      </c>
      <c r="O2" s="21" t="n">
        <f aca="false">(EXP(SUMPRODUCT(('Annual Returns'!$B$2:$B$28="1990s")*LN(1+'Annual Returns'!$J$2:$J$28))))^(1/C2)-1</f>
        <v>0.2039</v>
      </c>
    </row>
    <row r="3" customFormat="false" ht="15" hidden="false" customHeight="false" outlineLevel="0" collapsed="false">
      <c r="A3" s="20" t="s">
        <v>151</v>
      </c>
      <c r="B3" s="20" t="s">
        <v>152</v>
      </c>
      <c r="C3" s="20" t="n">
        <f aca="false">COUNTIF('Annual Returns'!$B$2:$B$28,"2000s")</f>
        <v>10</v>
      </c>
      <c r="D3" s="20" t="n">
        <f aca="false">COUNTIFS('Annual Returns'!$B$2:$B$28,"2000s",'Annual Returns'!$D$2:$D$28,"&gt;=0")</f>
        <v>7</v>
      </c>
      <c r="E3" s="20" t="n">
        <f aca="false">COUNTIFS('Annual Returns'!$B$2:$B$28,"2000s",'Annual Returns'!$D$2:$D$28,"&lt;0")</f>
        <v>3</v>
      </c>
      <c r="F3" s="21" t="n">
        <f aca="false">AVERAGEIF('Annual Returns'!$B$2:$B$28,"2000s",'Annual Returns'!$D$2:$D$28)</f>
        <v>0.08013</v>
      </c>
      <c r="G3" s="21" t="n">
        <f aca="false">(1+H3)^(1/C3)-1</f>
        <v>0.0464796601817832</v>
      </c>
      <c r="H3" s="21" t="n">
        <f aca="false">EXP(SUMPRODUCT(('Annual Returns'!$B$2:$B$28="2000s")*LN(1+'Annual Returns'!$D$2:$D$28)))-1</f>
        <v>0.57509921938422</v>
      </c>
      <c r="I3" s="21" t="n">
        <f aca="false">AVERAGEIF('Annual Returns'!$B$2:$B$28,"2000s",'Annual Returns'!$C$2:$C$28)</f>
        <v>0.05533</v>
      </c>
      <c r="J3" s="21" t="n">
        <f aca="false">(EXP(SUMPRODUCT(('Annual Returns'!$B$2:$B$28="2000s")*LN(1+'Annual Returns'!$C$2:$C$28))))^(1/C3)-1</f>
        <v>0.0218374400880814</v>
      </c>
      <c r="K3" s="21" t="n">
        <f aca="false">AVERAGEIF('Annual Returns'!$B$2:$B$28,"2000s",'Annual Returns'!$F$2:$F$28)</f>
        <v>0.05237</v>
      </c>
      <c r="L3" s="21" t="n">
        <f aca="false">_xlfn.MAXIFS('Annual Returns'!$D$2:$D$28,'Annual Returns'!$B$2:$B$28,"2000s")</f>
        <v>0.4816</v>
      </c>
      <c r="M3" s="21" t="n">
        <f aca="false">_xlfn.MINIFS('Annual Returns'!$D$2:$D$28,'Annual Returns'!$B$2:$B$28,"2000s")</f>
        <v>-0.4405</v>
      </c>
      <c r="N3" s="22" t="n">
        <f aca="false">1+H3</f>
        <v>1.57509921938422</v>
      </c>
      <c r="O3" s="21" t="n">
        <f aca="false">(EXP(SUMPRODUCT(('Annual Returns'!$B$2:$B$28="2000s")*LN(1+'Annual Returns'!$J$2:$J$28))))^(1/C3)-1</f>
        <v>-0.0100713854221668</v>
      </c>
    </row>
    <row r="4" customFormat="false" ht="15" hidden="false" customHeight="false" outlineLevel="0" collapsed="false">
      <c r="A4" s="20" t="s">
        <v>153</v>
      </c>
      <c r="B4" s="20" t="s">
        <v>154</v>
      </c>
      <c r="C4" s="20" t="n">
        <f aca="false">COUNTIF('Annual Returns'!$B$2:$B$28,"2010s")</f>
        <v>10</v>
      </c>
      <c r="D4" s="20" t="n">
        <f aca="false">COUNTIFS('Annual Returns'!$B$2:$B$28,"2010s",'Annual Returns'!$D$2:$D$28,"&gt;=0")</f>
        <v>7</v>
      </c>
      <c r="E4" s="20" t="n">
        <f aca="false">COUNTIFS('Annual Returns'!$B$2:$B$28,"2010s",'Annual Returns'!$D$2:$D$28,"&lt;0")</f>
        <v>3</v>
      </c>
      <c r="F4" s="21" t="n">
        <f aca="false">AVERAGEIF('Annual Returns'!$B$2:$B$28,"2010s",'Annual Returns'!$D$2:$D$28)</f>
        <v>0.09886</v>
      </c>
      <c r="G4" s="21" t="n">
        <f aca="false">(1+H4)^(1/C4)-1</f>
        <v>0.0879900078127411</v>
      </c>
      <c r="H4" s="21" t="n">
        <f aca="false">EXP(SUMPRODUCT(('Annual Returns'!$B$2:$B$28="2010s")*LN(1+'Annual Returns'!$D$2:$D$28)))-1</f>
        <v>1.32406926778182</v>
      </c>
      <c r="I4" s="21" t="n">
        <f aca="false">AVERAGEIF('Annual Returns'!$B$2:$B$28,"2010s",'Annual Returns'!$C$2:$C$28)</f>
        <v>0.07461</v>
      </c>
      <c r="J4" s="21" t="n">
        <f aca="false">(EXP(SUMPRODUCT(('Annual Returns'!$B$2:$B$28="2010s")*LN(1+'Annual Returns'!$C$2:$C$28))))^(1/C4)-1</f>
        <v>0.0641308851525717</v>
      </c>
      <c r="K4" s="21" t="n">
        <f aca="false">AVERAGEIF('Annual Returns'!$B$2:$B$28,"2010s",'Annual Returns'!$F$2:$F$28)</f>
        <v>0.07994</v>
      </c>
      <c r="L4" s="21" t="n">
        <f aca="false">_xlfn.MAXIFS('Annual Returns'!$D$2:$D$28,'Annual Returns'!$B$2:$B$28,"2010s")</f>
        <v>0.2599</v>
      </c>
      <c r="M4" s="21" t="n">
        <f aca="false">_xlfn.MINIFS('Annual Returns'!$D$2:$D$28,'Annual Returns'!$B$2:$B$28,"2010s")</f>
        <v>-0.1488</v>
      </c>
      <c r="N4" s="22" t="n">
        <f aca="false">1+H4</f>
        <v>2.32406926778182</v>
      </c>
      <c r="O4" s="21" t="n">
        <f aca="false">(EXP(SUMPRODUCT(('Annual Returns'!$B$2:$B$28="2010s")*LN(1+'Annual Returns'!$J$2:$J$28))))^(1/C4)-1</f>
        <v>0.134355818409178</v>
      </c>
    </row>
    <row r="5" customFormat="false" ht="15" hidden="false" customHeight="false" outlineLevel="0" collapsed="false">
      <c r="A5" s="20" t="s">
        <v>155</v>
      </c>
      <c r="B5" s="20" t="s">
        <v>156</v>
      </c>
      <c r="C5" s="20" t="n">
        <f aca="false">COUNTIF('Annual Returns'!$B$2:$B$28,"2020s")</f>
        <v>6</v>
      </c>
      <c r="D5" s="20" t="n">
        <f aca="false">COUNTIFS('Annual Returns'!$B$2:$B$28,"2020s",'Annual Returns'!$D$2:$D$28,"&gt;=0")</f>
        <v>5</v>
      </c>
      <c r="E5" s="20" t="n">
        <f aca="false">COUNTIFS('Annual Returns'!$B$2:$B$28,"2020s",'Annual Returns'!$D$2:$D$28,"&lt;0")</f>
        <v>1</v>
      </c>
      <c r="F5" s="21" t="n">
        <f aca="false">AVERAGEIF('Annual Returns'!$B$2:$B$28,"2020s",'Annual Returns'!$D$2:$D$28)</f>
        <v>0.0969166666666667</v>
      </c>
      <c r="G5" s="21" t="n">
        <f aca="false">(1+H5)^(1/C5)-1</f>
        <v>0.0889104443898046</v>
      </c>
      <c r="H5" s="21" t="n">
        <f aca="false">EXP(SUMPRODUCT(('Annual Returns'!$B$2:$B$28="2020s")*LN(1+'Annual Returns'!$D$2:$D$28)))-1</f>
        <v>0.667066715186237</v>
      </c>
      <c r="I5" s="21" t="n">
        <f aca="false">AVERAGEIF('Annual Returns'!$B$2:$B$28,"2020s",'Annual Returns'!$C$2:$C$28)</f>
        <v>0.0750666666666667</v>
      </c>
      <c r="J5" s="21" t="n">
        <f aca="false">(EXP(SUMPRODUCT(('Annual Returns'!$B$2:$B$28="2020s")*LN(1+'Annual Returns'!$C$2:$C$28))))^(1/C5)-1</f>
        <v>0.0671295988774232</v>
      </c>
      <c r="K5" s="21" t="n">
        <f aca="false">AVERAGEIF('Annual Returns'!$B$2:$B$28,"2020s",'Annual Returns'!$F$2:$F$28)</f>
        <v>0.0558666666666667</v>
      </c>
      <c r="L5" s="21" t="n">
        <f aca="false">_xlfn.MAXIFS('Annual Returns'!$D$2:$D$28,'Annual Returns'!$B$2:$B$28,"2020s")</f>
        <v>0.2744</v>
      </c>
      <c r="M5" s="21" t="n">
        <f aca="false">_xlfn.MINIFS('Annual Returns'!$D$2:$D$28,'Annual Returns'!$B$2:$B$28,"2020s")</f>
        <v>-0.123</v>
      </c>
      <c r="N5" s="22" t="n">
        <f aca="false">1+H5</f>
        <v>1.66706671518624</v>
      </c>
      <c r="O5" s="21" t="n">
        <f aca="false">(EXP(SUMPRODUCT(('Annual Returns'!$B$2:$B$28="2020s")*LN(1+'Annual Returns'!$J$2:$J$28))))^(1/C5)-1</f>
        <v>0.149918581650387</v>
      </c>
    </row>
    <row r="6" customFormat="false" ht="15" hidden="false" customHeight="false" outlineLevel="0" collapsed="false">
      <c r="A6" s="26" t="s">
        <v>157</v>
      </c>
      <c r="B6" s="26" t="s">
        <v>158</v>
      </c>
      <c r="C6" s="26" t="n">
        <f aca="false">COUNT('Annual Returns'!$A$2:$A$28)</f>
        <v>27</v>
      </c>
      <c r="D6" s="26" t="n">
        <f aca="false">COUNTIF('Annual Returns'!$D$2:$D$28,"&gt;=0")</f>
        <v>20</v>
      </c>
      <c r="E6" s="26" t="n">
        <f aca="false">COUNTIF('Annual Returns'!$D$2:$D$28,"&lt;0")</f>
        <v>7</v>
      </c>
      <c r="F6" s="27" t="n">
        <f aca="false">AVERAGE('Annual Returns'!$D$2:$D$28)</f>
        <v>0.0963185185185185</v>
      </c>
      <c r="G6" s="27" t="n">
        <f aca="false">(1+H6)^(1/C6)-1</f>
        <v>0.0774876856481561</v>
      </c>
      <c r="H6" s="27" t="n">
        <f aca="false">EXP(SUMPRODUCT(LN(1+'Annual Returns'!$D$2:$D$28)))-1</f>
        <v>6.50123059215459</v>
      </c>
      <c r="I6" s="27" t="n">
        <f aca="false">AVERAGE('Annual Returns'!$C$2:$C$28)</f>
        <v>0.0726740740740741</v>
      </c>
      <c r="J6" s="27" t="n">
        <f aca="false">(EXP(SUMPRODUCT(LN(1+'Annual Returns'!$C$2:$C$28))))^(1/C6)-1</f>
        <v>0.0540018898337089</v>
      </c>
      <c r="K6" s="27" t="n">
        <f aca="false">AVERAGE('Annual Returns'!$F$2:$F$28)</f>
        <v>0.0687185185185185</v>
      </c>
      <c r="L6" s="27" t="n">
        <f aca="false">MAX('Annual Returns'!$D$2:$D$28)</f>
        <v>0.4816</v>
      </c>
      <c r="M6" s="27" t="n">
        <f aca="false">MIN('Annual Returns'!$D$2:$D$28)</f>
        <v>-0.4405</v>
      </c>
      <c r="N6" s="28" t="n">
        <f aca="false">1+H6</f>
        <v>7.50123059215459</v>
      </c>
      <c r="O6" s="27" t="n">
        <f aca="false">(EXP(SUMPRODUCT(LN(1+'Annual Returns'!$J$2:$J$28))))^(1/C6)-1</f>
        <v>0.0842158014449554</v>
      </c>
    </row>
    <row r="9" customFormat="false" ht="15" hidden="false" customHeight="false" outlineLevel="0" collapsed="false">
      <c r="A9" s="25" t="s">
        <v>159</v>
      </c>
    </row>
    <row r="10" customFormat="false" ht="15" hidden="false" customHeight="false" outlineLevel="0" collapsed="false">
      <c r="A10" s="25" t="s">
        <v>160</v>
      </c>
    </row>
    <row r="11" customFormat="false" ht="15" hidden="false" customHeight="false" outlineLevel="0" collapsed="false">
      <c r="A11" s="2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2026-09-23T11:50:42Z</dcterms:created>
  <dc:creator>openpyxl</dc:creator>
  <dc:description/>
  <dc:language>en-US</dc:language>
  <cp:lastModifiedBy/>
  <dcterms:modified xsi:type="dcterms:W3CDTF">2026-09-23T11:50:42Z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