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  <sheet name="Sectors" sheetId="2" state="visible" r:id="rId4"/>
    <sheet name="Overlap vs S&amp;P 500" sheetId="3" state="visible" r:id="rId5"/>
    <sheet name="Notes" sheetId="4" state="visible" r:id="rId6"/>
    <sheet name="Annual Returns" sheetId="5" state="visible" r:id="rId7"/>
    <sheet name="By Decade" sheetId="6" state="visible" r:id="rId8"/>
  </sheets>
  <definedNames>
    <definedName function="false" hidden="true" localSheetId="0" name="_xlnm._FilterDatabase" vbProcedure="false">Holdings!$A$1:$N$81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<sst xmlns="http://schemas.openxmlformats.org/spreadsheetml/2006/main" count="481" uniqueCount="298">
  <si>
    <t xml:space="preserve">Rank</t>
  </si>
  <si>
    <t xml:space="preserve">Ticker</t>
  </si>
  <si>
    <t xml:space="preserve">Company</t>
  </si>
  <si>
    <t xml:space="preserve">GICS Sector</t>
  </si>
  <si>
    <t xml:space="preserve">Sub-Industry</t>
  </si>
  <si>
    <t xml:space="preserve">Weight</t>
  </si>
  <si>
    <t xml:space="preserve">Cumulative Weight</t>
  </si>
  <si>
    <t xml:space="preserve">Price ($)</t>
  </si>
  <si>
    <t xml:space="preserve">P/E (TTM)</t>
  </si>
  <si>
    <t xml:space="preserve">EPS (TTM)</t>
  </si>
  <si>
    <t xml:space="preserve">Mkt Cap ($B)</t>
  </si>
  <si>
    <t xml:space="preserve">Price/Sales</t>
  </si>
  <si>
    <t xml:space="preserve">Revenue TTM ($B)</t>
  </si>
  <si>
    <t xml:space="preserve">Notes</t>
  </si>
  <si>
    <t xml:space="preserve">ISRG</t>
  </si>
  <si>
    <t xml:space="preserve">Intuitive Surgical, Inc.</t>
  </si>
  <si>
    <t xml:space="preserve">Health Care</t>
  </si>
  <si>
    <t xml:space="preserve">Medical Instruments &amp; Supplies</t>
  </si>
  <si>
    <t xml:space="preserve">ABBN</t>
  </si>
  <si>
    <t xml:space="preserve">ABB Ltd</t>
  </si>
  <si>
    <t xml:space="preserve">Industrials</t>
  </si>
  <si>
    <t xml:space="preserve">Electrical Equipment &amp; Parts</t>
  </si>
  <si>
    <t xml:space="preserve">Local-currency listing (CHF); price and market cap blank</t>
  </si>
  <si>
    <t xml:space="preserve">6954</t>
  </si>
  <si>
    <t xml:space="preserve">Fanuc Corporation</t>
  </si>
  <si>
    <t xml:space="preserve">Specialty Industrial Machinery</t>
  </si>
  <si>
    <t xml:space="preserve">Local-currency listing (JPY); price and market cap blank</t>
  </si>
  <si>
    <t xml:space="preserve">NVDA</t>
  </si>
  <si>
    <t xml:space="preserve">NVIDIA Corporation</t>
  </si>
  <si>
    <t xml:space="preserve">Information Technology</t>
  </si>
  <si>
    <t xml:space="preserve">Semiconductors</t>
  </si>
  <si>
    <t xml:space="preserve">6861</t>
  </si>
  <si>
    <t xml:space="preserve">Keyence Corporation</t>
  </si>
  <si>
    <t xml:space="preserve">Scientific &amp; Technical Instruments</t>
  </si>
  <si>
    <t xml:space="preserve">6273</t>
  </si>
  <si>
    <t xml:space="preserve">SMC Corporation</t>
  </si>
  <si>
    <t xml:space="preserve">6383</t>
  </si>
  <si>
    <t xml:space="preserve">Daifuku Co., Ltd.</t>
  </si>
  <si>
    <t xml:space="preserve">AUR</t>
  </si>
  <si>
    <t xml:space="preserve">Aurora Innovation, Inc.</t>
  </si>
  <si>
    <t xml:space="preserve">Consumer Discretionary</t>
  </si>
  <si>
    <t xml:space="preserve">Auto Parts</t>
  </si>
  <si>
    <t xml:space="preserve">Negative trailing EPS; P/E blank</t>
  </si>
  <si>
    <t xml:space="preserve">300124</t>
  </si>
  <si>
    <t xml:space="preserve">Shenzhen Inovance Technology Co.,Ltd</t>
  </si>
  <si>
    <t xml:space="preserve">Local-currency listing (CNY); price and market cap blank</t>
  </si>
  <si>
    <t xml:space="preserve">CGNX</t>
  </si>
  <si>
    <t xml:space="preserve">Cognex Corporation</t>
  </si>
  <si>
    <t xml:space="preserve">TSLA</t>
  </si>
  <si>
    <t xml:space="preserve">Tesla, Inc.</t>
  </si>
  <si>
    <t xml:space="preserve">Auto Manufacturers</t>
  </si>
  <si>
    <t xml:space="preserve">GOOGL</t>
  </si>
  <si>
    <t xml:space="preserve">Alphabet Inc.</t>
  </si>
  <si>
    <t xml:space="preserve">Communication Services</t>
  </si>
  <si>
    <t xml:space="preserve">Internet Content &amp; Information</t>
  </si>
  <si>
    <t xml:space="preserve">300757</t>
  </si>
  <si>
    <t xml:space="preserve">RoboTechnik Intelligent Technology Co., Ltd.</t>
  </si>
  <si>
    <t xml:space="preserve">Local-currency listing (CNY); price and market cap blank; Negative trailing EPS; P/E blank</t>
  </si>
  <si>
    <t xml:space="preserve">6645</t>
  </si>
  <si>
    <t xml:space="preserve">OMRON Corporation</t>
  </si>
  <si>
    <t xml:space="preserve">Electronic Components</t>
  </si>
  <si>
    <t xml:space="preserve">DE</t>
  </si>
  <si>
    <t xml:space="preserve">Deere &amp; Company</t>
  </si>
  <si>
    <t xml:space="preserve">Farm &amp; Heavy Construction Machinery</t>
  </si>
  <si>
    <t xml:space="preserve">6506</t>
  </si>
  <si>
    <t xml:space="preserve">YASKAWA Electric Corporation</t>
  </si>
  <si>
    <t xml:space="preserve">9660</t>
  </si>
  <si>
    <t xml:space="preserve">Horizon Robotics</t>
  </si>
  <si>
    <t xml:space="preserve">Software - Application</t>
  </si>
  <si>
    <t xml:space="preserve">Local-currency listing (HKD); price and market cap blank; Negative trailing EPS; P/E blank</t>
  </si>
  <si>
    <t xml:space="preserve">1810</t>
  </si>
  <si>
    <t xml:space="preserve">Xiaomi Corporation</t>
  </si>
  <si>
    <t xml:space="preserve">Consumer Electronics</t>
  </si>
  <si>
    <t xml:space="preserve">Local-currency listing (HKD); price and market cap blank</t>
  </si>
  <si>
    <t xml:space="preserve">277810</t>
  </si>
  <si>
    <t xml:space="preserve">Rainbow Robotics</t>
  </si>
  <si>
    <t xml:space="preserve">Local-currency listing (KRW); price and market cap blank</t>
  </si>
  <si>
    <t xml:space="preserve">SYM</t>
  </si>
  <si>
    <t xml:space="preserve">Symbotic Inc.</t>
  </si>
  <si>
    <t xml:space="preserve">P/E reflects near-zero earnings</t>
  </si>
  <si>
    <t xml:space="preserve">AUTO</t>
  </si>
  <si>
    <t xml:space="preserve">AutoStore Holdings Ltd.</t>
  </si>
  <si>
    <t xml:space="preserve">Local-currency listing (NOK); price and market cap blank</t>
  </si>
  <si>
    <t xml:space="preserve">9880</t>
  </si>
  <si>
    <t xml:space="preserve">Ubtech Robotics Corp Ltd</t>
  </si>
  <si>
    <t xml:space="preserve">6134</t>
  </si>
  <si>
    <t xml:space="preserve">Fuji Corporation</t>
  </si>
  <si>
    <t xml:space="preserve">688017</t>
  </si>
  <si>
    <t xml:space="preserve">Leader Harmonious Drive Systems Co., Ltd.</t>
  </si>
  <si>
    <t xml:space="preserve">ROK</t>
  </si>
  <si>
    <t xml:space="preserve">Rockwell Automation, Inc.</t>
  </si>
  <si>
    <t xml:space="preserve">6324</t>
  </si>
  <si>
    <t xml:space="preserve">Harmonic Drive Systems Inc.</t>
  </si>
  <si>
    <t xml:space="preserve">2049</t>
  </si>
  <si>
    <t xml:space="preserve">Hiwin Technologies Corporation</t>
  </si>
  <si>
    <t xml:space="preserve">Tools &amp; Accessories</t>
  </si>
  <si>
    <t xml:space="preserve">Local-currency listing (TWD); price and market cap blank</t>
  </si>
  <si>
    <t xml:space="preserve">454910</t>
  </si>
  <si>
    <t xml:space="preserve">Doosan Robotics Inc.</t>
  </si>
  <si>
    <t xml:space="preserve">TECN</t>
  </si>
  <si>
    <t xml:space="preserve">Tecan Group AG</t>
  </si>
  <si>
    <t xml:space="preserve">Local-currency listing (CHF); price and market cap blank; Negative trailing EPS; P/E blank</t>
  </si>
  <si>
    <t xml:space="preserve">108490</t>
  </si>
  <si>
    <t xml:space="preserve">Robotis Co Ltd</t>
  </si>
  <si>
    <t xml:space="preserve">OUST</t>
  </si>
  <si>
    <t xml:space="preserve">Ouster, Inc.</t>
  </si>
  <si>
    <t xml:space="preserve">PONY</t>
  </si>
  <si>
    <t xml:space="preserve">Pony AI Inc.</t>
  </si>
  <si>
    <t xml:space="preserve">Information Technology Services</t>
  </si>
  <si>
    <t xml:space="preserve">2252</t>
  </si>
  <si>
    <t xml:space="preserve">Shanghai MicroPort MedBot (Group) Co., Ltd.</t>
  </si>
  <si>
    <t xml:space="preserve">Medical Devices</t>
  </si>
  <si>
    <t xml:space="preserve">EXA</t>
  </si>
  <si>
    <t xml:space="preserve">Exail Technologies</t>
  </si>
  <si>
    <t xml:space="preserve">Aerospace &amp; Defense</t>
  </si>
  <si>
    <t xml:space="preserve">Local-currency listing (EUR); price and market cap blank; P/E reflects near-zero earnings</t>
  </si>
  <si>
    <t xml:space="preserve">688169</t>
  </si>
  <si>
    <t xml:space="preserve">Beijing Roborock Technology Co., Ltd.</t>
  </si>
  <si>
    <t xml:space="preserve">603486</t>
  </si>
  <si>
    <t xml:space="preserve">Ecovacs Robotics Co., Ltd.</t>
  </si>
  <si>
    <t xml:space="preserve">Furnishings, Fixtures &amp; Appliances</t>
  </si>
  <si>
    <t xml:space="preserve">688297</t>
  </si>
  <si>
    <t xml:space="preserve">AVIC (Chengdu)UAS Co., Ltd.</t>
  </si>
  <si>
    <t xml:space="preserve">HSAI</t>
  </si>
  <si>
    <t xml:space="preserve">Hesai Group</t>
  </si>
  <si>
    <t xml:space="preserve">ADR: Yahoo mixes USD price with CNY earnings; P/E, EPS, P/S blanked</t>
  </si>
  <si>
    <t xml:space="preserve">BIDU</t>
  </si>
  <si>
    <t xml:space="preserve">Baidu, Inc.</t>
  </si>
  <si>
    <t xml:space="preserve">WRD</t>
  </si>
  <si>
    <t xml:space="preserve">WeRide Inc.</t>
  </si>
  <si>
    <t xml:space="preserve">ATS</t>
  </si>
  <si>
    <t xml:space="preserve">ATS Corporation</t>
  </si>
  <si>
    <t xml:space="preserve">ADR: Yahoo mixes USD price with CAD earnings; P/E, EPS, P/S blanked</t>
  </si>
  <si>
    <t xml:space="preserve">002747</t>
  </si>
  <si>
    <t xml:space="preserve">Estun Automation Co., Ltd</t>
  </si>
  <si>
    <t xml:space="preserve">ALNT</t>
  </si>
  <si>
    <t xml:space="preserve">Allient Inc.</t>
  </si>
  <si>
    <t xml:space="preserve">300024</t>
  </si>
  <si>
    <t xml:space="preserve">Siasun Robot&amp;Automation Co.,Ltd.</t>
  </si>
  <si>
    <t xml:space="preserve">058610</t>
  </si>
  <si>
    <t xml:space="preserve">SPG CO LTD</t>
  </si>
  <si>
    <t xml:space="preserve">Fundamentals not retrieved from Yahoo</t>
  </si>
  <si>
    <t xml:space="preserve">2675</t>
  </si>
  <si>
    <t xml:space="preserve">Shenzhen Edge Medical Co., Ltd.</t>
  </si>
  <si>
    <t xml:space="preserve">OMCL</t>
  </si>
  <si>
    <t xml:space="preserve">Omnicell, Inc.</t>
  </si>
  <si>
    <t xml:space="preserve">Health Information Services</t>
  </si>
  <si>
    <t xml:space="preserve">2729</t>
  </si>
  <si>
    <t xml:space="preserve">Zhejiang Galaxis Technology Group Co., Ltd.</t>
  </si>
  <si>
    <t xml:space="preserve">Computer Hardware</t>
  </si>
  <si>
    <t xml:space="preserve">688686</t>
  </si>
  <si>
    <t xml:space="preserve">OPT Machine Vision Tech Co., Ltd.</t>
  </si>
  <si>
    <t xml:space="preserve">2464</t>
  </si>
  <si>
    <t xml:space="preserve">Mirle Automation Corporation</t>
  </si>
  <si>
    <t xml:space="preserve">Local-currency listing (TWD); price and market cap blank; P/E reflects near-zero earnings</t>
  </si>
  <si>
    <t xml:space="preserve">278A</t>
  </si>
  <si>
    <t xml:space="preserve">Terra Drone Corporation</t>
  </si>
  <si>
    <t xml:space="preserve">Local-currency listing (JPY); price and market cap blank; Negative trailing EPS; P/E blank</t>
  </si>
  <si>
    <t xml:space="preserve">UMAC</t>
  </si>
  <si>
    <t xml:space="preserve">Unusual Machines, Inc.</t>
  </si>
  <si>
    <t xml:space="preserve">3881</t>
  </si>
  <si>
    <t xml:space="preserve">CiDi Inc.</t>
  </si>
  <si>
    <t xml:space="preserve">2590</t>
  </si>
  <si>
    <t xml:space="preserve">Beijing Geekplus Technology Co., Ltd.</t>
  </si>
  <si>
    <t xml:space="preserve">2432</t>
  </si>
  <si>
    <t xml:space="preserve">Shenzhen Dobot Corp Ltd</t>
  </si>
  <si>
    <t xml:space="preserve">PRCT</t>
  </si>
  <si>
    <t xml:space="preserve">PROCEPT BioRobotics Corporation</t>
  </si>
  <si>
    <t xml:space="preserve">2498</t>
  </si>
  <si>
    <t xml:space="preserve">Robosense Technology Co., Ltd</t>
  </si>
  <si>
    <t xml:space="preserve">4585</t>
  </si>
  <si>
    <t xml:space="preserve">Techman Robot Inc.</t>
  </si>
  <si>
    <t xml:space="preserve">002896</t>
  </si>
  <si>
    <t xml:space="preserve">Ningbo ZhongDa Leader Intelligent Transmission Co., Ltd.</t>
  </si>
  <si>
    <t xml:space="preserve">MOG/A</t>
  </si>
  <si>
    <t xml:space="preserve">Moog Inc.</t>
  </si>
  <si>
    <t xml:space="preserve">AVEX</t>
  </si>
  <si>
    <t xml:space="preserve">AEVEX Corp.</t>
  </si>
  <si>
    <t xml:space="preserve">6258</t>
  </si>
  <si>
    <t xml:space="preserve">Hirata Corporation</t>
  </si>
  <si>
    <t xml:space="preserve">1021</t>
  </si>
  <si>
    <t xml:space="preserve">Guangdong Huayan Robotics Co., Ltd.</t>
  </si>
  <si>
    <t xml:space="preserve">XPEV</t>
  </si>
  <si>
    <t xml:space="preserve">XPeng Inc.</t>
  </si>
  <si>
    <t xml:space="preserve">688160</t>
  </si>
  <si>
    <t xml:space="preserve">Kinco Automation (Shanghai) Co.,Ltd</t>
  </si>
  <si>
    <t xml:space="preserve">KDK</t>
  </si>
  <si>
    <t xml:space="preserve">Kodiak AI, Inc.</t>
  </si>
  <si>
    <t xml:space="preserve">Software - Infrastructure</t>
  </si>
  <si>
    <t xml:space="preserve">688165</t>
  </si>
  <si>
    <t xml:space="preserve">EFORT Intelligent Equipment Co., Ltd.</t>
  </si>
  <si>
    <t xml:space="preserve">388720</t>
  </si>
  <si>
    <t xml:space="preserve">Yuil Robotics Co Ltd</t>
  </si>
  <si>
    <t xml:space="preserve">688277</t>
  </si>
  <si>
    <t xml:space="preserve">Tinavi Medical Technologies Co., Ltd.</t>
  </si>
  <si>
    <t xml:space="preserve">090360</t>
  </si>
  <si>
    <t xml:space="preserve">ROBOSTAR CO LTD</t>
  </si>
  <si>
    <t xml:space="preserve">NOVT</t>
  </si>
  <si>
    <t xml:space="preserve">Novanta Inc.</t>
  </si>
  <si>
    <t xml:space="preserve">603666</t>
  </si>
  <si>
    <t xml:space="preserve">Yijiahe Technology Co., Ltd.</t>
  </si>
  <si>
    <t xml:space="preserve">6481</t>
  </si>
  <si>
    <t xml:space="preserve">THK Co., Ltd.</t>
  </si>
  <si>
    <t xml:space="preserve">SERV</t>
  </si>
  <si>
    <t xml:space="preserve">Serve Robotics Inc.</t>
  </si>
  <si>
    <t xml:space="preserve">Integrated Freight &amp; Logistics</t>
  </si>
  <si>
    <t xml:space="preserve">348340</t>
  </si>
  <si>
    <t xml:space="preserve">Neuromeka Co Ltd</t>
  </si>
  <si>
    <t xml:space="preserve">RR</t>
  </si>
  <si>
    <t xml:space="preserve">Richtech Robotics Inc.</t>
  </si>
  <si>
    <t xml:space="preserve">EH</t>
  </si>
  <si>
    <t xml:space="preserve">EHang Holdings Limited</t>
  </si>
  <si>
    <t xml:space="preserve">455900</t>
  </si>
  <si>
    <t xml:space="preserve">Angel Robotics Co Ltd</t>
  </si>
  <si>
    <t xml:space="preserve">7779</t>
  </si>
  <si>
    <t xml:space="preserve">CYBERDYNE Inc.</t>
  </si>
  <si>
    <t xml:space="preserve">2431</t>
  </si>
  <si>
    <t xml:space="preserve">Minieye Technology Co., Ltd</t>
  </si>
  <si>
    <t xml:space="preserve">Approx. Weight</t>
  </si>
  <si>
    <t xml:space="preserve"># of Tickers</t>
  </si>
  <si>
    <t xml:space="preserve">Avg P/E (simple, P/E&lt;=100)</t>
  </si>
  <si>
    <t xml:space="preserve">Consumer Staples</t>
  </si>
  <si>
    <t xml:space="preserve">Energy</t>
  </si>
  <si>
    <t xml:space="preserve">Financials</t>
  </si>
  <si>
    <t xml:space="preserve">Materials</t>
  </si>
  <si>
    <t xml:space="preserve">Real Estate</t>
  </si>
  <si>
    <t xml:space="preserve">Utilities</t>
  </si>
  <si>
    <t xml:space="preserve">Unclassified (no sector retrieved)</t>
  </si>
  <si>
    <t xml:space="preserve">Total</t>
  </si>
  <si>
    <t xml:space="preserve">Holdings shared with the S&amp;P 500 (S&amp;P weights from the companion S&amp;P 500 workbook, Sept 2026)</t>
  </si>
  <si>
    <t xml:space="preserve">6 of 80 holdings are S&amp;P 500 members</t>
  </si>
  <si>
    <t xml:space="preserve">Share of this fund's weight that is inside the S&amp;P 500</t>
  </si>
  <si>
    <t xml:space="preserve">Share of the S&amp;P 500 that those names represent</t>
  </si>
  <si>
    <t xml:space="preserve">Weight in this fund</t>
  </si>
  <si>
    <t xml:space="preserve">Weight in S&amp;P 500</t>
  </si>
  <si>
    <t xml:space="preserve">Ratio (fund ÷ S&amp;P)</t>
  </si>
  <si>
    <t xml:space="preserve">Total (shared names)</t>
  </si>
  <si>
    <t xml:space="preserve">BOTZ: Global X Robotics &amp; Artificial Intelligence ETF, constituents, weights, trailing P/E and fund history</t>
  </si>
  <si>
    <t xml:space="preserve">Holdings and weights: Global X's daily full-holdings file (assets.globalxetfs.com). Cash and currency lines are removed and weights rescaled to 100%. BOTZ tracks the Indxx Global Robotics &amp; Artificial Intelligence Thematic Index: about 80 companies worldwide, roughly 40% Japanese, cap-weighted with caps. Local tickers (e.g. 6954 = Fanuc, 6861 = Keyence) are Global X's; the Yahoo symbol is in the Notes column where fundamentals were found. As of Sep 22, 2026.</t>
  </si>
  <si>
    <t xml:space="preserve">P/E (TTM), EPS (TTM), Market Cap, Price/Sales, Price, Company name, GICS sector and Sub-Industry: Yahoo Finance via the yfinance library, retrieved Sept 23, 2026. Yahoo's sectors are mapped to GICS sector names; Yahoo's industry label stands in for the GICS sub-industry.</t>
  </si>
  <si>
    <t xml:space="preserve">Revenue TTM ($B) is derived as Market Cap / Price-to-Sales, so it is approximate. Blank where either input is missing.</t>
  </si>
  <si>
    <t xml:space="preserve">About half the fund is non-US industrial automation (Keyence, Fanuc, SMC, Daifuku, ABB) and the rest US names led by Intuitive Surgical and Nvidia. Local-currency prices and market caps are left blank rather than converted. The Sectors tab average excludes blanks and P/Es above 100.</t>
  </si>
  <si>
    <t xml:space="preserve">Cumulative Weight assumes the default sort by rank; after re-sorting it shows the running weight in the new order.</t>
  </si>
  <si>
    <t xml:space="preserve">Overlap tab: every holding whose ticker also appears in the companion S&amp;P 500 workbook, with its weight in each. 'Ratio' shows how many times more concentrated the name is here than in the index.</t>
  </si>
  <si>
    <t xml:space="preserve">For information only; not investment advice.</t>
  </si>
  <si>
    <t xml:space="preserve">Historical tabs 'Annual Returns' (2017-2025) and 'By Decade': the fund launched September 13, 2016, so returns are the fund's own, from Yahoo Finance daily prices. Price Return uses closing prices on the last trading day of each year; Total Return uses dividend-adjusted closes (distributions reinvested). S&amp;P 500 total return (SPY, dividend-adjusted) is shown alongside for the same years. The launch year is a stub and is excluded; 2026 is incomplete and excluded.</t>
  </si>
  <si>
    <t xml:space="preserve">Real returns use December-over-December US CPI-U (NSA) from the BLS (series CUUR0000SA0).</t>
  </si>
  <si>
    <t xml:space="preserve">Fees: the fund's expense ratio is 0.68%; returns above are net of it. The index funds in the companion workbooks charge 0.03% to 0.05%.</t>
  </si>
  <si>
    <t xml:space="preserve">Year</t>
  </si>
  <si>
    <t xml:space="preserve">Decade</t>
  </si>
  <si>
    <t xml:space="preserve">Price Return</t>
  </si>
  <si>
    <t xml:space="preserve">Total Return
(w/ dividends)</t>
  </si>
  <si>
    <t xml:space="preserve">Real Price Return
(inflation-adj.)</t>
  </si>
  <si>
    <t xml:space="preserve">Real Total Return
(inflation-adj.)</t>
  </si>
  <si>
    <t xml:space="preserve">Up / Down
(Total Return)</t>
  </si>
  <si>
    <t xml:space="preserve">Growth of $1
(Total Return)</t>
  </si>
  <si>
    <t xml:space="preserve">Growth of $1
(Price only)</t>
  </si>
  <si>
    <t xml:space="preserve">S&amp;P 500 Total Return
(SPY, comparison)</t>
  </si>
  <si>
    <t xml:space="preserve">Summary</t>
  </si>
  <si>
    <t xml:space="preserve">Years</t>
  </si>
  <si>
    <t xml:space="preserve">Up years</t>
  </si>
  <si>
    <t xml:space="preserve">Down years</t>
  </si>
  <si>
    <t xml:space="preserve">Average annual total return</t>
  </si>
  <si>
    <t xml:space="preserve">Annualized (CAGR) total return</t>
  </si>
  <si>
    <t xml:space="preserve">Average annual real total return</t>
  </si>
  <si>
    <t xml:space="preserve">Best year (total)</t>
  </si>
  <si>
    <t xml:space="preserve">Worst year (total)</t>
  </si>
  <si>
    <t xml:space="preserve">Standard deviation of annual returns</t>
  </si>
  <si>
    <t xml:space="preserve">$1 grew to (total, 2017-2025)</t>
  </si>
  <si>
    <t xml:space="preserve">S&amp;P 500 (SPY) average annual total return</t>
  </si>
  <si>
    <t xml:space="preserve">S&amp;P 500 (SPY) CAGR, same years</t>
  </si>
  <si>
    <t xml:space="preserve">S&amp;P 500 (SPY) $1 grew to</t>
  </si>
  <si>
    <t xml:space="preserve">S&amp;P 500 (SPY) standard deviation</t>
  </si>
  <si>
    <t xml:space="preserve">Fund returns from Yahoo Finance daily data (last trading day of each year). Total return reinvests distributions. Real returns are CPI-adjusted. 'Average' is the simple mean; 'Annualized / CAGR' is the compound rate actually earned.</t>
  </si>
  <si>
    <t xml:space="preserve">2016 (launch year, partial) and 2026 (incomplete) are excluded. See the Notes tab.</t>
  </si>
  <si>
    <t xml:space="preserve">Years
Covered</t>
  </si>
  <si>
    <t xml:space="preserve"># of
Years</t>
  </si>
  <si>
    <t xml:space="preserve">Up
Years</t>
  </si>
  <si>
    <t xml:space="preserve">Down
Years</t>
  </si>
  <si>
    <t xml:space="preserve">Avg Annual
Total Return</t>
  </si>
  <si>
    <t xml:space="preserve">Annualized
(CAGR)
Total Return</t>
  </si>
  <si>
    <t xml:space="preserve">Cumulative
Total Return</t>
  </si>
  <si>
    <t xml:space="preserve">Avg Annual
Price Return</t>
  </si>
  <si>
    <t xml:space="preserve">Annualized
(CAGR)
Price Return</t>
  </si>
  <si>
    <t xml:space="preserve">Avg Annual
Real Total Return</t>
  </si>
  <si>
    <t xml:space="preserve">Best Year
(Total)</t>
  </si>
  <si>
    <t xml:space="preserve">Worst Year
(Total)</t>
  </si>
  <si>
    <t xml:space="preserve">$1 Grew To
(Total)</t>
  </si>
  <si>
    <t xml:space="preserve">S&amp;P 500 (SPY)
CAGR, same years</t>
  </si>
  <si>
    <t xml:space="preserve">2010s</t>
  </si>
  <si>
    <t xml:space="preserve">2017–2019 (partial)</t>
  </si>
  <si>
    <t xml:space="preserve">2020s</t>
  </si>
  <si>
    <t xml:space="preserve">2020–2025 (partial)</t>
  </si>
  <si>
    <t xml:space="preserve">All years</t>
  </si>
  <si>
    <t xml:space="preserve">2017–2025</t>
  </si>
  <si>
    <t xml:space="preserve">Decades are calendar decades; partial decades are marked.</t>
  </si>
  <si>
    <t xml:space="preserve">Avg Annual = simple average of the yearly returns. Annualized (CAGR) = the compound rate that turns the starting dollar into the ending dollar.</t>
  </si>
  <si>
    <t xml:space="preserve">All figures pull live from the 'Annual Returns' tab. Source and methodology: see the Notes tab.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</si>
</sst>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"/>
    <numFmt numFmtId="167" formatCode="#,##0.0"/>
    <numFmt numFmtId="168" formatCode="0.00"/>
    <numFmt numFmtId="169" formatCode="0.0"/>
    <numFmt numFmtId="170" formatCode="0.0%"/>
    <numFmt numFmtId="171" formatCode="0.0\x"/>
    <numFmt numFmtId="172" formatCode="0"/>
    <numFmt numFmtId="173" formatCode="0.00%;[RED]\-0.00%"/>
    <numFmt numFmtId="174" formatCode="\$#,##0.00"/>
    <numFmt numFmtId="175" formatCode="\$#,##0.00"/>
    <numFmt numFmtId="17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99"/>
    <col collapsed="false" customWidth="true" hidden="false" outlineLevel="0" max="2" min="2" style="0" width="9.01"/>
    <col collapsed="false" customWidth="true" hidden="false" outlineLevel="0" max="3" min="3" style="0" width="32.02"/>
    <col collapsed="false" customWidth="true" hidden="false" outlineLevel="0" max="4" min="4" style="0" width="23.94"/>
    <col collapsed="false" customWidth="true" hidden="false" outlineLevel="0" max="5" min="5" style="0" width="34.03"/>
    <col collapsed="false" customWidth="true" hidden="false" outlineLevel="0" max="6" min="6" style="0" width="9.95"/>
    <col collapsed="false" customWidth="true" hidden="false" outlineLevel="0" max="7" min="7" style="0" width="13.05"/>
    <col collapsed="false" customWidth="true" hidden="false" outlineLevel="0" max="8" min="8" style="0" width="11.03"/>
    <col collapsed="false" customWidth="true" hidden="false" outlineLevel="0" max="9" min="9" style="0" width="9.95"/>
    <col collapsed="false" customWidth="true" hidden="false" outlineLevel="0" max="10" min="10" style="0" width="13"/>
    <col collapsed="false" customWidth="true" hidden="false" outlineLevel="0" max="11" min="11" style="0" width="13.05"/>
    <col collapsed="false" customWidth="true" hidden="false" outlineLevel="0" max="12" min="12" style="0" width="11.03"/>
    <col collapsed="false" customWidth="true" hidden="false" outlineLevel="0" max="13" min="13" style="0" width="13.99"/>
    <col collapsed="false" customWidth="true" hidden="false" outlineLevel="0" max="14" min="14" style="0" width="59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0.084381</v>
      </c>
      <c r="G2" s="3" t="n">
        <f aca="false">SUM($F$2:F2)</f>
        <v>0.084381</v>
      </c>
      <c r="H2" s="4" t="n">
        <v>398.3</v>
      </c>
      <c r="I2" s="5" t="n">
        <v>45.6243</v>
      </c>
      <c r="J2" s="4" t="n">
        <v>8.73</v>
      </c>
      <c r="K2" s="5" t="n">
        <v>142.7021</v>
      </c>
      <c r="L2" s="6" t="n">
        <v>12.9325</v>
      </c>
      <c r="M2" s="5" t="n">
        <f aca="false">IF(AND(N(K2)&gt;0,N(L2)&gt;0),K2/L2,"")</f>
        <v>11.0343785037696</v>
      </c>
      <c r="N2" s="2"/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3" t="n">
        <v>0.082973</v>
      </c>
      <c r="G3" s="3" t="n">
        <f aca="false">SUM($F$2:F3)</f>
        <v>0.167354</v>
      </c>
      <c r="H3" s="4"/>
      <c r="I3" s="5" t="n">
        <v>36.7946</v>
      </c>
      <c r="J3" s="4" t="n">
        <v>2.24</v>
      </c>
      <c r="K3" s="5"/>
      <c r="L3" s="6" t="n">
        <v>4.1744</v>
      </c>
      <c r="M3" s="5" t="str">
        <f aca="false">IF(AND(N(K3)&gt;0,N(L3)&gt;0),K3/L3,"")</f>
        <v/>
      </c>
      <c r="N3" s="2" t="s">
        <v>22</v>
      </c>
    </row>
    <row r="4" customFormat="false" ht="15" hidden="false" customHeight="false" outlineLevel="0" collapsed="false">
      <c r="A4" s="2" t="n">
        <v>3</v>
      </c>
      <c r="B4" s="2" t="s">
        <v>23</v>
      </c>
      <c r="C4" s="2" t="s">
        <v>24</v>
      </c>
      <c r="D4" s="2" t="s">
        <v>20</v>
      </c>
      <c r="E4" s="2" t="s">
        <v>25</v>
      </c>
      <c r="F4" s="3" t="n">
        <v>0.080559</v>
      </c>
      <c r="G4" s="3" t="n">
        <f aca="false">SUM($F$2:F4)</f>
        <v>0.247913</v>
      </c>
      <c r="H4" s="4"/>
      <c r="I4" s="5" t="n">
        <v>33.6938</v>
      </c>
      <c r="J4" s="4" t="n">
        <v>178.49</v>
      </c>
      <c r="K4" s="5"/>
      <c r="L4" s="6" t="n">
        <v>6.2613</v>
      </c>
      <c r="M4" s="5" t="str">
        <f aca="false">IF(AND(N(K4)&gt;0,N(L4)&gt;0),K4/L4,"")</f>
        <v/>
      </c>
      <c r="N4" s="2" t="s">
        <v>26</v>
      </c>
    </row>
    <row r="5" customFormat="false" ht="15" hidden="false" customHeight="false" outlineLevel="0" collapsed="false">
      <c r="A5" s="2" t="n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3" t="n">
        <v>0.079654</v>
      </c>
      <c r="G5" s="3" t="n">
        <f aca="false">SUM($F$2:F5)</f>
        <v>0.327567</v>
      </c>
      <c r="H5" s="4" t="n">
        <v>225.51</v>
      </c>
      <c r="I5" s="5" t="n">
        <v>28.4735</v>
      </c>
      <c r="J5" s="4" t="n">
        <v>7.92</v>
      </c>
      <c r="K5" s="5" t="n">
        <v>5445.3899</v>
      </c>
      <c r="L5" s="6" t="n">
        <v>17.9734</v>
      </c>
      <c r="M5" s="5" t="n">
        <f aca="false">IF(AND(N(K5)&gt;0,N(L5)&gt;0),K5/L5,"")</f>
        <v>302.969382531964</v>
      </c>
      <c r="N5" s="2"/>
    </row>
    <row r="6" customFormat="false" ht="15" hidden="false" customHeight="false" outlineLevel="0" collapsed="false">
      <c r="A6" s="2" t="n">
        <v>5</v>
      </c>
      <c r="B6" s="2" t="s">
        <v>31</v>
      </c>
      <c r="C6" s="2" t="s">
        <v>32</v>
      </c>
      <c r="D6" s="2" t="s">
        <v>29</v>
      </c>
      <c r="E6" s="2" t="s">
        <v>33</v>
      </c>
      <c r="F6" s="3" t="n">
        <v>0.077643</v>
      </c>
      <c r="G6" s="3" t="n">
        <f aca="false">SUM($F$2:F6)</f>
        <v>0.40521</v>
      </c>
      <c r="H6" s="4"/>
      <c r="I6" s="5" t="n">
        <v>42.0421</v>
      </c>
      <c r="J6" s="4" t="n">
        <v>1837.92</v>
      </c>
      <c r="K6" s="5"/>
      <c r="L6" s="6" t="n">
        <v>14.9342</v>
      </c>
      <c r="M6" s="5" t="str">
        <f aca="false">IF(AND(N(K6)&gt;0,N(L6)&gt;0),K6/L6,"")</f>
        <v/>
      </c>
      <c r="N6" s="2" t="s">
        <v>26</v>
      </c>
    </row>
    <row r="7" customFormat="false" ht="15" hidden="false" customHeight="false" outlineLevel="0" collapsed="false">
      <c r="A7" s="2" t="n">
        <v>6</v>
      </c>
      <c r="B7" s="2" t="s">
        <v>34</v>
      </c>
      <c r="C7" s="2" t="s">
        <v>35</v>
      </c>
      <c r="D7" s="2" t="s">
        <v>20</v>
      </c>
      <c r="E7" s="2" t="s">
        <v>25</v>
      </c>
      <c r="F7" s="3" t="n">
        <v>0.044453</v>
      </c>
      <c r="G7" s="3" t="n">
        <f aca="false">SUM($F$2:F7)</f>
        <v>0.449663</v>
      </c>
      <c r="H7" s="4"/>
      <c r="I7" s="5" t="n">
        <v>25.7545</v>
      </c>
      <c r="J7" s="4" t="n">
        <v>2639.93</v>
      </c>
      <c r="K7" s="5"/>
      <c r="L7" s="6" t="n">
        <v>4.6509</v>
      </c>
      <c r="M7" s="5" t="str">
        <f aca="false">IF(AND(N(K7)&gt;0,N(L7)&gt;0),K7/L7,"")</f>
        <v/>
      </c>
      <c r="N7" s="2" t="s">
        <v>26</v>
      </c>
    </row>
    <row r="8" customFormat="false" ht="15" hidden="false" customHeight="false" outlineLevel="0" collapsed="false">
      <c r="A8" s="2" t="n">
        <v>7</v>
      </c>
      <c r="B8" s="2" t="s">
        <v>36</v>
      </c>
      <c r="C8" s="2" t="s">
        <v>37</v>
      </c>
      <c r="D8" s="2" t="s">
        <v>20</v>
      </c>
      <c r="E8" s="2" t="s">
        <v>25</v>
      </c>
      <c r="F8" s="3" t="n">
        <v>0.032887</v>
      </c>
      <c r="G8" s="3" t="n">
        <f aca="false">SUM($F$2:F8)</f>
        <v>0.48255</v>
      </c>
      <c r="H8" s="4"/>
      <c r="I8" s="5" t="n">
        <v>25.5268</v>
      </c>
      <c r="J8" s="4" t="n">
        <v>216.87</v>
      </c>
      <c r="K8" s="5"/>
      <c r="L8" s="6" t="n">
        <v>2.9844</v>
      </c>
      <c r="M8" s="5" t="str">
        <f aca="false">IF(AND(N(K8)&gt;0,N(L8)&gt;0),K8/L8,"")</f>
        <v/>
      </c>
      <c r="N8" s="2" t="s">
        <v>26</v>
      </c>
    </row>
    <row r="9" customFormat="false" ht="15" hidden="false" customHeight="false" outlineLevel="0" collapsed="false">
      <c r="A9" s="2" t="n">
        <v>8</v>
      </c>
      <c r="B9" s="2" t="s">
        <v>38</v>
      </c>
      <c r="C9" s="2" t="s">
        <v>39</v>
      </c>
      <c r="D9" s="2" t="s">
        <v>40</v>
      </c>
      <c r="E9" s="2" t="s">
        <v>41</v>
      </c>
      <c r="F9" s="3" t="n">
        <v>0.027758</v>
      </c>
      <c r="G9" s="3" t="n">
        <f aca="false">SUM($F$2:F9)</f>
        <v>0.510308</v>
      </c>
      <c r="H9" s="4" t="n">
        <v>6.32</v>
      </c>
      <c r="I9" s="5"/>
      <c r="J9" s="4" t="n">
        <v>-0.46</v>
      </c>
      <c r="K9" s="5" t="n">
        <v>12.6663</v>
      </c>
      <c r="L9" s="6" t="n">
        <v>2533.2522</v>
      </c>
      <c r="M9" s="5" t="n">
        <f aca="false">IF(AND(N(K9)&gt;0,N(L9)&gt;0),K9/L9,"")</f>
        <v>0.0050000153952299</v>
      </c>
      <c r="N9" s="2" t="s">
        <v>42</v>
      </c>
    </row>
    <row r="10" customFormat="false" ht="15" hidden="false" customHeight="false" outlineLevel="0" collapsed="false">
      <c r="A10" s="2" t="n">
        <v>9</v>
      </c>
      <c r="B10" s="2" t="s">
        <v>43</v>
      </c>
      <c r="C10" s="2" t="s">
        <v>44</v>
      </c>
      <c r="D10" s="2" t="s">
        <v>20</v>
      </c>
      <c r="E10" s="2" t="s">
        <v>21</v>
      </c>
      <c r="F10" s="3" t="n">
        <v>0.025948</v>
      </c>
      <c r="G10" s="3" t="n">
        <f aca="false">SUM($F$2:F10)</f>
        <v>0.536256</v>
      </c>
      <c r="H10" s="4"/>
      <c r="I10" s="5" t="n">
        <v>29.618</v>
      </c>
      <c r="J10" s="4" t="n">
        <v>1.78</v>
      </c>
      <c r="K10" s="5"/>
      <c r="L10" s="6" t="n">
        <v>2.8995</v>
      </c>
      <c r="M10" s="5" t="str">
        <f aca="false">IF(AND(N(K10)&gt;0,N(L10)&gt;0),K10/L10,"")</f>
        <v/>
      </c>
      <c r="N10" s="2" t="s">
        <v>45</v>
      </c>
    </row>
    <row r="11" customFormat="false" ht="15" hidden="false" customHeight="false" outlineLevel="0" collapsed="false">
      <c r="A11" s="2" t="n">
        <v>10</v>
      </c>
      <c r="B11" s="2" t="s">
        <v>46</v>
      </c>
      <c r="C11" s="2" t="s">
        <v>47</v>
      </c>
      <c r="D11" s="2" t="s">
        <v>29</v>
      </c>
      <c r="E11" s="2" t="s">
        <v>33</v>
      </c>
      <c r="F11" s="3" t="n">
        <v>0.024942</v>
      </c>
      <c r="G11" s="3" t="n">
        <f aca="false">SUM($F$2:F11)</f>
        <v>0.561198</v>
      </c>
      <c r="H11" s="4" t="n">
        <v>58.19</v>
      </c>
      <c r="I11" s="5" t="n">
        <v>55.9519</v>
      </c>
      <c r="J11" s="4" t="n">
        <v>1.04</v>
      </c>
      <c r="K11" s="5" t="n">
        <v>9.7889</v>
      </c>
      <c r="L11" s="6" t="n">
        <v>8.9895</v>
      </c>
      <c r="M11" s="5" t="n">
        <f aca="false">IF(AND(N(K11)&gt;0,N(L11)&gt;0),K11/L11,"")</f>
        <v>1.08892596918627</v>
      </c>
      <c r="N11" s="2"/>
    </row>
    <row r="12" customFormat="false" ht="15" hidden="false" customHeight="false" outlineLevel="0" collapsed="false">
      <c r="A12" s="2" t="n">
        <v>11</v>
      </c>
      <c r="B12" s="2" t="s">
        <v>48</v>
      </c>
      <c r="C12" s="2" t="s">
        <v>49</v>
      </c>
      <c r="D12" s="2" t="s">
        <v>40</v>
      </c>
      <c r="E12" s="2" t="s">
        <v>50</v>
      </c>
      <c r="F12" s="3" t="n">
        <v>0.020718</v>
      </c>
      <c r="G12" s="3" t="n">
        <f aca="false">SUM($F$2:F12)</f>
        <v>0.581916</v>
      </c>
      <c r="H12" s="4" t="n">
        <v>380.12</v>
      </c>
      <c r="I12" s="5" t="n">
        <v>345.5636</v>
      </c>
      <c r="J12" s="4" t="n">
        <v>1.1</v>
      </c>
      <c r="K12" s="5" t="n">
        <v>1501.302</v>
      </c>
      <c r="L12" s="6" t="n">
        <v>14.4887</v>
      </c>
      <c r="M12" s="5" t="n">
        <f aca="false">IF(AND(N(K12)&gt;0,N(L12)&gt;0),K12/L12,"")</f>
        <v>103.618820184005</v>
      </c>
      <c r="N12" s="2"/>
    </row>
    <row r="13" customFormat="false" ht="15" hidden="false" customHeight="false" outlineLevel="0" collapsed="false">
      <c r="A13" s="2" t="n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3" t="n">
        <v>0.020316</v>
      </c>
      <c r="G13" s="3" t="n">
        <f aca="false">SUM($F$2:F13)</f>
        <v>0.602232</v>
      </c>
      <c r="H13" s="4" t="n">
        <v>337.83</v>
      </c>
      <c r="I13" s="5" t="n">
        <v>16.9338</v>
      </c>
      <c r="J13" s="4" t="n">
        <v>19.95</v>
      </c>
      <c r="K13" s="5" t="n">
        <v>4131.6387</v>
      </c>
      <c r="L13" s="6" t="n">
        <v>9.2665</v>
      </c>
      <c r="M13" s="5" t="n">
        <f aca="false">IF(AND(N(K13)&gt;0,N(L13)&gt;0),K13/L13,"")</f>
        <v>445.868310581126</v>
      </c>
      <c r="N13" s="2"/>
    </row>
    <row r="14" customFormat="false" ht="15" hidden="false" customHeight="false" outlineLevel="0" collapsed="false">
      <c r="A14" s="2" t="n">
        <v>13</v>
      </c>
      <c r="B14" s="2" t="s">
        <v>55</v>
      </c>
      <c r="C14" s="2" t="s">
        <v>56</v>
      </c>
      <c r="D14" s="2" t="s">
        <v>20</v>
      </c>
      <c r="E14" s="2" t="s">
        <v>25</v>
      </c>
      <c r="F14" s="3" t="n">
        <v>0.020316</v>
      </c>
      <c r="G14" s="3" t="n">
        <f aca="false">SUM($F$2:F14)</f>
        <v>0.622548</v>
      </c>
      <c r="H14" s="4"/>
      <c r="I14" s="5"/>
      <c r="J14" s="4" t="n">
        <v>-0.18</v>
      </c>
      <c r="K14" s="5"/>
      <c r="L14" s="6" t="n">
        <v>76.5233</v>
      </c>
      <c r="M14" s="5" t="str">
        <f aca="false">IF(AND(N(K14)&gt;0,N(L14)&gt;0),K14/L14,"")</f>
        <v/>
      </c>
      <c r="N14" s="2" t="s">
        <v>57</v>
      </c>
    </row>
    <row r="15" customFormat="false" ht="15" hidden="false" customHeight="false" outlineLevel="0" collapsed="false">
      <c r="A15" s="2" t="n">
        <v>14</v>
      </c>
      <c r="B15" s="2" t="s">
        <v>58</v>
      </c>
      <c r="C15" s="2" t="s">
        <v>59</v>
      </c>
      <c r="D15" s="2" t="s">
        <v>29</v>
      </c>
      <c r="E15" s="2" t="s">
        <v>60</v>
      </c>
      <c r="F15" s="3" t="n">
        <v>0.020215</v>
      </c>
      <c r="G15" s="3" t="n">
        <f aca="false">SUM($F$2:F15)</f>
        <v>0.642763</v>
      </c>
      <c r="H15" s="4"/>
      <c r="I15" s="5" t="n">
        <v>36.3401</v>
      </c>
      <c r="J15" s="4" t="n">
        <v>173.94</v>
      </c>
      <c r="K15" s="5"/>
      <c r="L15" s="6" t="n">
        <v>1.533</v>
      </c>
      <c r="M15" s="5" t="str">
        <f aca="false">IF(AND(N(K15)&gt;0,N(L15)&gt;0),K15/L15,"")</f>
        <v/>
      </c>
      <c r="N15" s="2" t="s">
        <v>26</v>
      </c>
    </row>
    <row r="16" customFormat="false" ht="15" hidden="false" customHeight="false" outlineLevel="0" collapsed="false">
      <c r="A16" s="2" t="n">
        <v>15</v>
      </c>
      <c r="B16" s="2" t="s">
        <v>61</v>
      </c>
      <c r="C16" s="2" t="s">
        <v>62</v>
      </c>
      <c r="D16" s="2" t="s">
        <v>20</v>
      </c>
      <c r="E16" s="2" t="s">
        <v>63</v>
      </c>
      <c r="F16" s="3" t="n">
        <v>0.019612</v>
      </c>
      <c r="G16" s="3" t="n">
        <f aca="false">SUM($F$2:F16)</f>
        <v>0.662375</v>
      </c>
      <c r="H16" s="4" t="n">
        <v>709.48</v>
      </c>
      <c r="I16" s="5" t="n">
        <v>39.4156</v>
      </c>
      <c r="J16" s="4" t="n">
        <v>18</v>
      </c>
      <c r="K16" s="5" t="n">
        <v>191.2938</v>
      </c>
      <c r="L16" s="6" t="n">
        <v>3.9914</v>
      </c>
      <c r="M16" s="5" t="n">
        <f aca="false">IF(AND(N(K16)&gt;0,N(L16)&gt;0),K16/L16,"")</f>
        <v>47.9264919577091</v>
      </c>
      <c r="N16" s="2"/>
    </row>
    <row r="17" customFormat="false" ht="15" hidden="false" customHeight="false" outlineLevel="0" collapsed="false">
      <c r="A17" s="2" t="n">
        <v>16</v>
      </c>
      <c r="B17" s="2" t="s">
        <v>64</v>
      </c>
      <c r="C17" s="2" t="s">
        <v>65</v>
      </c>
      <c r="D17" s="2" t="s">
        <v>20</v>
      </c>
      <c r="E17" s="2" t="s">
        <v>21</v>
      </c>
      <c r="F17" s="3" t="n">
        <v>0.018606</v>
      </c>
      <c r="G17" s="3" t="n">
        <f aca="false">SUM($F$2:F17)</f>
        <v>0.680981</v>
      </c>
      <c r="H17" s="4"/>
      <c r="I17" s="5" t="n">
        <v>32.9653</v>
      </c>
      <c r="J17" s="4" t="n">
        <v>135.87</v>
      </c>
      <c r="K17" s="5"/>
      <c r="L17" s="6" t="n">
        <v>2.0914</v>
      </c>
      <c r="M17" s="5" t="str">
        <f aca="false">IF(AND(N(K17)&gt;0,N(L17)&gt;0),K17/L17,"")</f>
        <v/>
      </c>
      <c r="N17" s="2" t="s">
        <v>26</v>
      </c>
    </row>
    <row r="18" customFormat="false" ht="15" hidden="false" customHeight="false" outlineLevel="0" collapsed="false">
      <c r="A18" s="2" t="n">
        <v>17</v>
      </c>
      <c r="B18" s="2" t="s">
        <v>66</v>
      </c>
      <c r="C18" s="2" t="s">
        <v>67</v>
      </c>
      <c r="D18" s="2" t="s">
        <v>29</v>
      </c>
      <c r="E18" s="2" t="s">
        <v>68</v>
      </c>
      <c r="F18" s="3" t="n">
        <v>0.018103</v>
      </c>
      <c r="G18" s="3" t="n">
        <f aca="false">SUM($F$2:F18)</f>
        <v>0.699084</v>
      </c>
      <c r="H18" s="4"/>
      <c r="I18" s="5"/>
      <c r="J18" s="4" t="n">
        <v>-0.73</v>
      </c>
      <c r="K18" s="5"/>
      <c r="L18" s="6" t="n">
        <v>14.8982</v>
      </c>
      <c r="M18" s="5" t="str">
        <f aca="false">IF(AND(N(K18)&gt;0,N(L18)&gt;0),K18/L18,"")</f>
        <v/>
      </c>
      <c r="N18" s="2" t="s">
        <v>69</v>
      </c>
    </row>
    <row r="19" customFormat="false" ht="15" hidden="false" customHeight="false" outlineLevel="0" collapsed="false">
      <c r="A19" s="2" t="n">
        <v>18</v>
      </c>
      <c r="B19" s="2" t="s">
        <v>70</v>
      </c>
      <c r="C19" s="2" t="s">
        <v>71</v>
      </c>
      <c r="D19" s="2" t="s">
        <v>29</v>
      </c>
      <c r="E19" s="2" t="s">
        <v>72</v>
      </c>
      <c r="F19" s="3" t="n">
        <v>0.016192</v>
      </c>
      <c r="G19" s="3" t="n">
        <f aca="false">SUM($F$2:F19)</f>
        <v>0.715276</v>
      </c>
      <c r="H19" s="4"/>
      <c r="I19" s="5" t="n">
        <v>18.2517</v>
      </c>
      <c r="J19" s="4" t="n">
        <v>1.43</v>
      </c>
      <c r="K19" s="5"/>
      <c r="L19" s="6" t="n">
        <v>1.5324</v>
      </c>
      <c r="M19" s="5" t="str">
        <f aca="false">IF(AND(N(K19)&gt;0,N(L19)&gt;0),K19/L19,"")</f>
        <v/>
      </c>
      <c r="N19" s="2" t="s">
        <v>73</v>
      </c>
    </row>
    <row r="20" customFormat="false" ht="15" hidden="false" customHeight="false" outlineLevel="0" collapsed="false">
      <c r="A20" s="2" t="n">
        <v>19</v>
      </c>
      <c r="B20" s="2" t="s">
        <v>74</v>
      </c>
      <c r="C20" s="2" t="s">
        <v>75</v>
      </c>
      <c r="D20" s="2"/>
      <c r="E20" s="2"/>
      <c r="F20" s="3" t="n">
        <v>0.01579</v>
      </c>
      <c r="G20" s="3" t="n">
        <f aca="false">SUM($F$2:F20)</f>
        <v>0.731066</v>
      </c>
      <c r="H20" s="4"/>
      <c r="I20" s="5"/>
      <c r="J20" s="4"/>
      <c r="K20" s="5"/>
      <c r="L20" s="6"/>
      <c r="M20" s="5" t="str">
        <f aca="false">IF(AND(N(K20)&gt;0,N(L20)&gt;0),K20/L20,"")</f>
        <v/>
      </c>
      <c r="N20" s="2" t="s">
        <v>76</v>
      </c>
    </row>
    <row r="21" customFormat="false" ht="15" hidden="false" customHeight="false" outlineLevel="0" collapsed="false">
      <c r="A21" s="2" t="n">
        <v>20</v>
      </c>
      <c r="B21" s="2" t="s">
        <v>77</v>
      </c>
      <c r="C21" s="2" t="s">
        <v>78</v>
      </c>
      <c r="D21" s="2" t="s">
        <v>20</v>
      </c>
      <c r="E21" s="2" t="s">
        <v>25</v>
      </c>
      <c r="F21" s="3" t="n">
        <v>0.014684</v>
      </c>
      <c r="G21" s="3" t="n">
        <f aca="false">SUM($F$2:F21)</f>
        <v>0.74575</v>
      </c>
      <c r="H21" s="4" t="n">
        <v>43.69</v>
      </c>
      <c r="I21" s="5" t="n">
        <v>1092.25</v>
      </c>
      <c r="J21" s="4" t="n">
        <v>0.04</v>
      </c>
      <c r="K21" s="5" t="n">
        <v>26.4484</v>
      </c>
      <c r="L21" s="6" t="n">
        <v>9.9965</v>
      </c>
      <c r="M21" s="5" t="n">
        <f aca="false">IF(AND(N(K21)&gt;0,N(L21)&gt;0),K21/L21,"")</f>
        <v>2.64576601810634</v>
      </c>
      <c r="N21" s="2" t="s">
        <v>79</v>
      </c>
    </row>
    <row r="22" customFormat="false" ht="15" hidden="false" customHeight="false" outlineLevel="0" collapsed="false">
      <c r="A22" s="2" t="n">
        <v>21</v>
      </c>
      <c r="B22" s="2" t="s">
        <v>80</v>
      </c>
      <c r="C22" s="2" t="s">
        <v>81</v>
      </c>
      <c r="D22" s="2" t="s">
        <v>20</v>
      </c>
      <c r="E22" s="2" t="s">
        <v>25</v>
      </c>
      <c r="F22" s="3" t="n">
        <v>0.014583</v>
      </c>
      <c r="G22" s="3" t="n">
        <f aca="false">SUM($F$2:F22)</f>
        <v>0.760333</v>
      </c>
      <c r="H22" s="4"/>
      <c r="I22" s="5" t="n">
        <v>35.3778</v>
      </c>
      <c r="J22" s="4" t="n">
        <v>0.45</v>
      </c>
      <c r="K22" s="5"/>
      <c r="L22" s="6" t="n">
        <v>78.9726</v>
      </c>
      <c r="M22" s="5" t="str">
        <f aca="false">IF(AND(N(K22)&gt;0,N(L22)&gt;0),K22/L22,"")</f>
        <v/>
      </c>
      <c r="N22" s="2" t="s">
        <v>82</v>
      </c>
    </row>
    <row r="23" customFormat="false" ht="15" hidden="false" customHeight="false" outlineLevel="0" collapsed="false">
      <c r="A23" s="2" t="n">
        <v>22</v>
      </c>
      <c r="B23" s="2" t="s">
        <v>83</v>
      </c>
      <c r="C23" s="2" t="s">
        <v>84</v>
      </c>
      <c r="D23" s="2" t="s">
        <v>20</v>
      </c>
      <c r="E23" s="2" t="s">
        <v>25</v>
      </c>
      <c r="F23" s="3" t="n">
        <v>0.011264</v>
      </c>
      <c r="G23" s="3" t="n">
        <f aca="false">SUM($F$2:F23)</f>
        <v>0.771597</v>
      </c>
      <c r="H23" s="4"/>
      <c r="I23" s="5"/>
      <c r="J23" s="4" t="n">
        <v>-1.44</v>
      </c>
      <c r="K23" s="5"/>
      <c r="L23" s="6" t="n">
        <v>15.0241</v>
      </c>
      <c r="M23" s="5" t="str">
        <f aca="false">IF(AND(N(K23)&gt;0,N(L23)&gt;0),K23/L23,"")</f>
        <v/>
      </c>
      <c r="N23" s="2" t="s">
        <v>69</v>
      </c>
    </row>
    <row r="24" customFormat="false" ht="15" hidden="false" customHeight="false" outlineLevel="0" collapsed="false">
      <c r="A24" s="2" t="n">
        <v>23</v>
      </c>
      <c r="B24" s="2" t="s">
        <v>85</v>
      </c>
      <c r="C24" s="2" t="s">
        <v>86</v>
      </c>
      <c r="D24" s="2" t="s">
        <v>20</v>
      </c>
      <c r="E24" s="2" t="s">
        <v>25</v>
      </c>
      <c r="F24" s="3" t="n">
        <v>0.011264</v>
      </c>
      <c r="G24" s="3" t="n">
        <f aca="false">SUM($F$2:F24)</f>
        <v>0.782861</v>
      </c>
      <c r="H24" s="4"/>
      <c r="I24" s="5" t="n">
        <v>41.2788</v>
      </c>
      <c r="J24" s="4" t="n">
        <v>178.76</v>
      </c>
      <c r="K24" s="5"/>
      <c r="L24" s="6" t="n">
        <v>3.2481</v>
      </c>
      <c r="M24" s="5" t="str">
        <f aca="false">IF(AND(N(K24)&gt;0,N(L24)&gt;0),K24/L24,"")</f>
        <v/>
      </c>
      <c r="N24" s="2" t="s">
        <v>26</v>
      </c>
    </row>
    <row r="25" customFormat="false" ht="15" hidden="false" customHeight="false" outlineLevel="0" collapsed="false">
      <c r="A25" s="2" t="n">
        <v>24</v>
      </c>
      <c r="B25" s="2" t="s">
        <v>87</v>
      </c>
      <c r="C25" s="2" t="s">
        <v>88</v>
      </c>
      <c r="D25" s="2" t="s">
        <v>20</v>
      </c>
      <c r="E25" s="2" t="s">
        <v>25</v>
      </c>
      <c r="F25" s="3" t="n">
        <v>0.01056</v>
      </c>
      <c r="G25" s="3" t="n">
        <f aca="false">SUM($F$2:F25)</f>
        <v>0.793421</v>
      </c>
      <c r="H25" s="4"/>
      <c r="I25" s="5" t="n">
        <v>372.5974</v>
      </c>
      <c r="J25" s="4" t="n">
        <v>0.77</v>
      </c>
      <c r="K25" s="5"/>
      <c r="L25" s="6" t="n">
        <v>78.7562</v>
      </c>
      <c r="M25" s="5" t="str">
        <f aca="false">IF(AND(N(K25)&gt;0,N(L25)&gt;0),K25/L25,"")</f>
        <v/>
      </c>
      <c r="N25" s="2" t="s">
        <v>45</v>
      </c>
    </row>
    <row r="26" customFormat="false" ht="15" hidden="false" customHeight="false" outlineLevel="0" collapsed="false">
      <c r="A26" s="2" t="n">
        <v>25</v>
      </c>
      <c r="B26" s="2" t="s">
        <v>89</v>
      </c>
      <c r="C26" s="2" t="s">
        <v>90</v>
      </c>
      <c r="D26" s="2" t="s">
        <v>20</v>
      </c>
      <c r="E26" s="2" t="s">
        <v>25</v>
      </c>
      <c r="F26" s="3" t="n">
        <v>0.010359</v>
      </c>
      <c r="G26" s="3" t="n">
        <f aca="false">SUM($F$2:F26)</f>
        <v>0.80378</v>
      </c>
      <c r="H26" s="4" t="n">
        <v>432.89</v>
      </c>
      <c r="I26" s="5" t="n">
        <v>40.5328</v>
      </c>
      <c r="J26" s="4" t="n">
        <v>10.68</v>
      </c>
      <c r="K26" s="5" t="n">
        <v>48.1694</v>
      </c>
      <c r="L26" s="6" t="n">
        <v>5.3683</v>
      </c>
      <c r="M26" s="5" t="n">
        <f aca="false">IF(AND(N(K26)&gt;0,N(L26)&gt;0),K26/L26,"")</f>
        <v>8.97293370340704</v>
      </c>
      <c r="N26" s="2"/>
    </row>
    <row r="27" customFormat="false" ht="15" hidden="false" customHeight="false" outlineLevel="0" collapsed="false">
      <c r="A27" s="2" t="n">
        <v>26</v>
      </c>
      <c r="B27" s="2" t="s">
        <v>91</v>
      </c>
      <c r="C27" s="2" t="s">
        <v>92</v>
      </c>
      <c r="D27" s="2" t="s">
        <v>20</v>
      </c>
      <c r="E27" s="2" t="s">
        <v>25</v>
      </c>
      <c r="F27" s="3" t="n">
        <v>0.009554</v>
      </c>
      <c r="G27" s="3" t="n">
        <f aca="false">SUM($F$2:F27)</f>
        <v>0.813334</v>
      </c>
      <c r="H27" s="4"/>
      <c r="I27" s="5" t="n">
        <v>375.7467</v>
      </c>
      <c r="J27" s="4" t="n">
        <v>16.74</v>
      </c>
      <c r="K27" s="5"/>
      <c r="L27" s="6" t="n">
        <v>9.4905</v>
      </c>
      <c r="M27" s="5" t="str">
        <f aca="false">IF(AND(N(K27)&gt;0,N(L27)&gt;0),K27/L27,"")</f>
        <v/>
      </c>
      <c r="N27" s="2" t="s">
        <v>26</v>
      </c>
    </row>
    <row r="28" customFormat="false" ht="15" hidden="false" customHeight="false" outlineLevel="0" collapsed="false">
      <c r="A28" s="2" t="n">
        <v>27</v>
      </c>
      <c r="B28" s="2" t="s">
        <v>93</v>
      </c>
      <c r="C28" s="2" t="s">
        <v>94</v>
      </c>
      <c r="D28" s="2" t="s">
        <v>20</v>
      </c>
      <c r="E28" s="2" t="s">
        <v>95</v>
      </c>
      <c r="F28" s="3" t="n">
        <v>0.009253</v>
      </c>
      <c r="G28" s="3" t="n">
        <f aca="false">SUM($F$2:F28)</f>
        <v>0.822587</v>
      </c>
      <c r="H28" s="4"/>
      <c r="I28" s="5" t="n">
        <v>49.0152</v>
      </c>
      <c r="J28" s="4" t="n">
        <v>6.6</v>
      </c>
      <c r="K28" s="5"/>
      <c r="L28" s="6" t="n">
        <v>4.3376</v>
      </c>
      <c r="M28" s="5" t="str">
        <f aca="false">IF(AND(N(K28)&gt;0,N(L28)&gt;0),K28/L28,"")</f>
        <v/>
      </c>
      <c r="N28" s="2" t="s">
        <v>96</v>
      </c>
    </row>
    <row r="29" customFormat="false" ht="15" hidden="false" customHeight="false" outlineLevel="0" collapsed="false">
      <c r="A29" s="2" t="n">
        <v>28</v>
      </c>
      <c r="B29" s="2" t="s">
        <v>97</v>
      </c>
      <c r="C29" s="2" t="s">
        <v>98</v>
      </c>
      <c r="D29" s="2" t="s">
        <v>20</v>
      </c>
      <c r="E29" s="2" t="s">
        <v>25</v>
      </c>
      <c r="F29" s="3" t="n">
        <v>0.008549</v>
      </c>
      <c r="G29" s="3" t="n">
        <f aca="false">SUM($F$2:F29)</f>
        <v>0.831136</v>
      </c>
      <c r="H29" s="4"/>
      <c r="I29" s="5"/>
      <c r="J29" s="4"/>
      <c r="K29" s="5"/>
      <c r="L29" s="6" t="n">
        <v>81.7533</v>
      </c>
      <c r="M29" s="5" t="str">
        <f aca="false">IF(AND(N(K29)&gt;0,N(L29)&gt;0),K29/L29,"")</f>
        <v/>
      </c>
      <c r="N29" s="2" t="s">
        <v>76</v>
      </c>
    </row>
    <row r="30" customFormat="false" ht="15" hidden="false" customHeight="false" outlineLevel="0" collapsed="false">
      <c r="A30" s="2" t="n">
        <v>29</v>
      </c>
      <c r="B30" s="2" t="s">
        <v>99</v>
      </c>
      <c r="C30" s="2" t="s">
        <v>100</v>
      </c>
      <c r="D30" s="2" t="s">
        <v>16</v>
      </c>
      <c r="E30" s="2" t="s">
        <v>17</v>
      </c>
      <c r="F30" s="3" t="n">
        <v>0.008549</v>
      </c>
      <c r="G30" s="3" t="n">
        <f aca="false">SUM($F$2:F30)</f>
        <v>0.839685</v>
      </c>
      <c r="H30" s="4"/>
      <c r="I30" s="5"/>
      <c r="J30" s="4" t="n">
        <v>-9.16</v>
      </c>
      <c r="K30" s="5"/>
      <c r="L30" s="6" t="n">
        <v>3.0828</v>
      </c>
      <c r="M30" s="5" t="str">
        <f aca="false">IF(AND(N(K30)&gt;0,N(L30)&gt;0),K30/L30,"")</f>
        <v/>
      </c>
      <c r="N30" s="2" t="s">
        <v>101</v>
      </c>
    </row>
    <row r="31" customFormat="false" ht="15" hidden="false" customHeight="false" outlineLevel="0" collapsed="false">
      <c r="A31" s="2" t="n">
        <v>30</v>
      </c>
      <c r="B31" s="2" t="s">
        <v>102</v>
      </c>
      <c r="C31" s="2" t="s">
        <v>103</v>
      </c>
      <c r="D31" s="2"/>
      <c r="E31" s="2"/>
      <c r="F31" s="3" t="n">
        <v>0.008146</v>
      </c>
      <c r="G31" s="3" t="n">
        <f aca="false">SUM($F$2:F31)</f>
        <v>0.847831</v>
      </c>
      <c r="H31" s="4"/>
      <c r="I31" s="5"/>
      <c r="J31" s="4"/>
      <c r="K31" s="5"/>
      <c r="L31" s="6"/>
      <c r="M31" s="5" t="str">
        <f aca="false">IF(AND(N(K31)&gt;0,N(L31)&gt;0),K31/L31,"")</f>
        <v/>
      </c>
      <c r="N31" s="2" t="s">
        <v>76</v>
      </c>
    </row>
    <row r="32" customFormat="false" ht="15" hidden="false" customHeight="false" outlineLevel="0" collapsed="false">
      <c r="A32" s="2" t="n">
        <v>31</v>
      </c>
      <c r="B32" s="2" t="s">
        <v>104</v>
      </c>
      <c r="C32" s="2" t="s">
        <v>105</v>
      </c>
      <c r="D32" s="2" t="s">
        <v>29</v>
      </c>
      <c r="E32" s="2" t="s">
        <v>60</v>
      </c>
      <c r="F32" s="3" t="n">
        <v>0.007342</v>
      </c>
      <c r="G32" s="3" t="n">
        <f aca="false">SUM($F$2:F32)</f>
        <v>0.855173</v>
      </c>
      <c r="H32" s="4" t="n">
        <v>39.38</v>
      </c>
      <c r="I32" s="5"/>
      <c r="J32" s="4" t="n">
        <v>-0.83</v>
      </c>
      <c r="K32" s="5" t="n">
        <v>2.8398</v>
      </c>
      <c r="L32" s="6" t="n">
        <v>13.8589</v>
      </c>
      <c r="M32" s="5" t="n">
        <f aca="false">IF(AND(N(K32)&gt;0,N(L32)&gt;0),K32/L32,"")</f>
        <v>0.204908037434428</v>
      </c>
      <c r="N32" s="2" t="s">
        <v>42</v>
      </c>
    </row>
    <row r="33" customFormat="false" ht="15" hidden="false" customHeight="false" outlineLevel="0" collapsed="false">
      <c r="A33" s="2" t="n">
        <v>32</v>
      </c>
      <c r="B33" s="2" t="s">
        <v>106</v>
      </c>
      <c r="C33" s="2" t="s">
        <v>107</v>
      </c>
      <c r="D33" s="2" t="s">
        <v>29</v>
      </c>
      <c r="E33" s="2" t="s">
        <v>108</v>
      </c>
      <c r="F33" s="3" t="n">
        <v>0.006437</v>
      </c>
      <c r="G33" s="3" t="n">
        <f aca="false">SUM($F$2:F33)</f>
        <v>0.86161</v>
      </c>
      <c r="H33" s="4" t="n">
        <v>7.26</v>
      </c>
      <c r="I33" s="5"/>
      <c r="J33" s="4" t="n">
        <v>-0.33</v>
      </c>
      <c r="K33" s="5" t="n">
        <v>3.1538</v>
      </c>
      <c r="L33" s="6" t="n">
        <v>25.2233</v>
      </c>
      <c r="M33" s="5" t="n">
        <f aca="false">IF(AND(N(K33)&gt;0,N(L33)&gt;0),K33/L33,"")</f>
        <v>0.125035185721139</v>
      </c>
      <c r="N33" s="2" t="s">
        <v>42</v>
      </c>
    </row>
    <row r="34" customFormat="false" ht="15" hidden="false" customHeight="false" outlineLevel="0" collapsed="false">
      <c r="A34" s="2" t="n">
        <v>33</v>
      </c>
      <c r="B34" s="2" t="s">
        <v>109</v>
      </c>
      <c r="C34" s="2" t="s">
        <v>110</v>
      </c>
      <c r="D34" s="2" t="s">
        <v>16</v>
      </c>
      <c r="E34" s="2" t="s">
        <v>111</v>
      </c>
      <c r="F34" s="3" t="n">
        <v>0.006336</v>
      </c>
      <c r="G34" s="3" t="n">
        <f aca="false">SUM($F$2:F34)</f>
        <v>0.867946</v>
      </c>
      <c r="H34" s="4"/>
      <c r="I34" s="5"/>
      <c r="J34" s="4" t="n">
        <v>-0.28</v>
      </c>
      <c r="K34" s="5"/>
      <c r="L34" s="6" t="n">
        <v>39.6386</v>
      </c>
      <c r="M34" s="5" t="str">
        <f aca="false">IF(AND(N(K34)&gt;0,N(L34)&gt;0),K34/L34,"")</f>
        <v/>
      </c>
      <c r="N34" s="2" t="s">
        <v>69</v>
      </c>
    </row>
    <row r="35" customFormat="false" ht="15" hidden="false" customHeight="false" outlineLevel="0" collapsed="false">
      <c r="A35" s="2" t="n">
        <v>34</v>
      </c>
      <c r="B35" s="2" t="s">
        <v>112</v>
      </c>
      <c r="C35" s="2" t="s">
        <v>113</v>
      </c>
      <c r="D35" s="2" t="s">
        <v>20</v>
      </c>
      <c r="E35" s="2" t="s">
        <v>114</v>
      </c>
      <c r="F35" s="3" t="n">
        <v>0.006034</v>
      </c>
      <c r="G35" s="3" t="n">
        <f aca="false">SUM($F$2:F35)</f>
        <v>0.87398</v>
      </c>
      <c r="H35" s="4"/>
      <c r="I35" s="5" t="n">
        <v>735.2941</v>
      </c>
      <c r="J35" s="4" t="n">
        <v>0.17</v>
      </c>
      <c r="K35" s="5"/>
      <c r="L35" s="6" t="n">
        <v>4.219</v>
      </c>
      <c r="M35" s="5" t="str">
        <f aca="false">IF(AND(N(K35)&gt;0,N(L35)&gt;0),K35/L35,"")</f>
        <v/>
      </c>
      <c r="N35" s="2" t="s">
        <v>115</v>
      </c>
    </row>
    <row r="36" customFormat="false" ht="15" hidden="false" customHeight="false" outlineLevel="0" collapsed="false">
      <c r="A36" s="2" t="n">
        <v>35</v>
      </c>
      <c r="B36" s="2" t="s">
        <v>116</v>
      </c>
      <c r="C36" s="2" t="s">
        <v>117</v>
      </c>
      <c r="D36" s="2" t="s">
        <v>20</v>
      </c>
      <c r="E36" s="2" t="s">
        <v>25</v>
      </c>
      <c r="F36" s="3" t="n">
        <v>0.006034</v>
      </c>
      <c r="G36" s="3" t="n">
        <f aca="false">SUM($F$2:F36)</f>
        <v>0.880014</v>
      </c>
      <c r="H36" s="4"/>
      <c r="I36" s="5" t="n">
        <v>17.9322</v>
      </c>
      <c r="J36" s="4" t="n">
        <v>6.49</v>
      </c>
      <c r="K36" s="5"/>
      <c r="L36" s="6" t="n">
        <v>1.447</v>
      </c>
      <c r="M36" s="5" t="str">
        <f aca="false">IF(AND(N(K36)&gt;0,N(L36)&gt;0),K36/L36,"")</f>
        <v/>
      </c>
      <c r="N36" s="2" t="s">
        <v>45</v>
      </c>
    </row>
    <row r="37" customFormat="false" ht="15" hidden="false" customHeight="false" outlineLevel="0" collapsed="false">
      <c r="A37" s="2" t="n">
        <v>36</v>
      </c>
      <c r="B37" s="2" t="s">
        <v>118</v>
      </c>
      <c r="C37" s="2" t="s">
        <v>119</v>
      </c>
      <c r="D37" s="2" t="s">
        <v>40</v>
      </c>
      <c r="E37" s="2" t="s">
        <v>120</v>
      </c>
      <c r="F37" s="3" t="n">
        <v>0.005833</v>
      </c>
      <c r="G37" s="3" t="n">
        <f aca="false">SUM($F$2:F37)</f>
        <v>0.885847</v>
      </c>
      <c r="H37" s="4"/>
      <c r="I37" s="5" t="n">
        <v>14.5</v>
      </c>
      <c r="J37" s="4" t="n">
        <v>3.5</v>
      </c>
      <c r="K37" s="5"/>
      <c r="L37" s="6" t="n">
        <v>1.4202</v>
      </c>
      <c r="M37" s="5" t="str">
        <f aca="false">IF(AND(N(K37)&gt;0,N(L37)&gt;0),K37/L37,"")</f>
        <v/>
      </c>
      <c r="N37" s="2" t="s">
        <v>45</v>
      </c>
    </row>
    <row r="38" customFormat="false" ht="15" hidden="false" customHeight="false" outlineLevel="0" collapsed="false">
      <c r="A38" s="2" t="n">
        <v>37</v>
      </c>
      <c r="B38" s="2" t="s">
        <v>121</v>
      </c>
      <c r="C38" s="2" t="s">
        <v>122</v>
      </c>
      <c r="D38" s="2" t="s">
        <v>20</v>
      </c>
      <c r="E38" s="2" t="s">
        <v>114</v>
      </c>
      <c r="F38" s="3" t="n">
        <v>0.005833</v>
      </c>
      <c r="G38" s="3" t="n">
        <f aca="false">SUM($F$2:F38)</f>
        <v>0.89168</v>
      </c>
      <c r="H38" s="4"/>
      <c r="I38" s="5" t="n">
        <v>268.9375</v>
      </c>
      <c r="J38" s="4" t="n">
        <v>0.16</v>
      </c>
      <c r="K38" s="5"/>
      <c r="L38" s="6" t="n">
        <v>6.8972</v>
      </c>
      <c r="M38" s="5" t="str">
        <f aca="false">IF(AND(N(K38)&gt;0,N(L38)&gt;0),K38/L38,"")</f>
        <v/>
      </c>
      <c r="N38" s="2" t="s">
        <v>45</v>
      </c>
    </row>
    <row r="39" customFormat="false" ht="15" hidden="false" customHeight="false" outlineLevel="0" collapsed="false">
      <c r="A39" s="2" t="n">
        <v>38</v>
      </c>
      <c r="B39" s="2" t="s">
        <v>123</v>
      </c>
      <c r="C39" s="2" t="s">
        <v>124</v>
      </c>
      <c r="D39" s="2" t="s">
        <v>40</v>
      </c>
      <c r="E39" s="2" t="s">
        <v>41</v>
      </c>
      <c r="F39" s="3" t="n">
        <v>0.005632</v>
      </c>
      <c r="G39" s="3" t="n">
        <f aca="false">SUM($F$2:F39)</f>
        <v>0.897312</v>
      </c>
      <c r="H39" s="4" t="n">
        <v>16.31</v>
      </c>
      <c r="I39" s="5"/>
      <c r="J39" s="4"/>
      <c r="K39" s="5" t="n">
        <v>20.5039</v>
      </c>
      <c r="L39" s="6"/>
      <c r="M39" s="5" t="str">
        <f aca="false">IF(AND(N(K39)&gt;0,N(L39)&gt;0),K39/L39,"")</f>
        <v/>
      </c>
      <c r="N39" s="2" t="s">
        <v>125</v>
      </c>
    </row>
    <row r="40" customFormat="false" ht="15" hidden="false" customHeight="false" outlineLevel="0" collapsed="false">
      <c r="A40" s="2" t="n">
        <v>39</v>
      </c>
      <c r="B40" s="2" t="s">
        <v>126</v>
      </c>
      <c r="C40" s="2" t="s">
        <v>127</v>
      </c>
      <c r="D40" s="2" t="s">
        <v>53</v>
      </c>
      <c r="E40" s="2" t="s">
        <v>54</v>
      </c>
      <c r="F40" s="3" t="n">
        <v>0.005532</v>
      </c>
      <c r="G40" s="3" t="n">
        <f aca="false">SUM($F$2:F40)</f>
        <v>0.902844</v>
      </c>
      <c r="H40" s="4" t="n">
        <v>89.78</v>
      </c>
      <c r="I40" s="5"/>
      <c r="J40" s="4"/>
      <c r="K40" s="5" t="n">
        <v>30.5961</v>
      </c>
      <c r="L40" s="6"/>
      <c r="M40" s="5" t="str">
        <f aca="false">IF(AND(N(K40)&gt;0,N(L40)&gt;0),K40/L40,"")</f>
        <v/>
      </c>
      <c r="N40" s="2" t="s">
        <v>125</v>
      </c>
    </row>
    <row r="41" customFormat="false" ht="15" hidden="false" customHeight="false" outlineLevel="0" collapsed="false">
      <c r="A41" s="2" t="n">
        <v>40</v>
      </c>
      <c r="B41" s="2" t="s">
        <v>128</v>
      </c>
      <c r="C41" s="2" t="s">
        <v>129</v>
      </c>
      <c r="D41" s="2" t="s">
        <v>29</v>
      </c>
      <c r="E41" s="2" t="s">
        <v>68</v>
      </c>
      <c r="F41" s="3" t="n">
        <v>0.004727</v>
      </c>
      <c r="G41" s="3" t="n">
        <f aca="false">SUM($F$2:F41)</f>
        <v>0.907571</v>
      </c>
      <c r="H41" s="4" t="n">
        <v>5.85</v>
      </c>
      <c r="I41" s="5"/>
      <c r="J41" s="4"/>
      <c r="K41" s="5" t="n">
        <v>1.9244</v>
      </c>
      <c r="L41" s="6"/>
      <c r="M41" s="5" t="str">
        <f aca="false">IF(AND(N(K41)&gt;0,N(L41)&gt;0),K41/L41,"")</f>
        <v/>
      </c>
      <c r="N41" s="2" t="s">
        <v>125</v>
      </c>
    </row>
    <row r="42" customFormat="false" ht="15" hidden="false" customHeight="false" outlineLevel="0" collapsed="false">
      <c r="A42" s="2" t="n">
        <v>41</v>
      </c>
      <c r="B42" s="2" t="s">
        <v>130</v>
      </c>
      <c r="C42" s="2" t="s">
        <v>131</v>
      </c>
      <c r="D42" s="2" t="s">
        <v>20</v>
      </c>
      <c r="E42" s="2" t="s">
        <v>25</v>
      </c>
      <c r="F42" s="3" t="n">
        <v>0.004727</v>
      </c>
      <c r="G42" s="3" t="n">
        <f aca="false">SUM($F$2:F42)</f>
        <v>0.912298</v>
      </c>
      <c r="H42" s="4" t="n">
        <v>19.21</v>
      </c>
      <c r="I42" s="5"/>
      <c r="J42" s="4"/>
      <c r="K42" s="5" t="n">
        <v>1.885</v>
      </c>
      <c r="L42" s="6"/>
      <c r="M42" s="5" t="str">
        <f aca="false">IF(AND(N(K42)&gt;0,N(L42)&gt;0),K42/L42,"")</f>
        <v/>
      </c>
      <c r="N42" s="2" t="s">
        <v>132</v>
      </c>
    </row>
    <row r="43" customFormat="false" ht="15" hidden="false" customHeight="false" outlineLevel="0" collapsed="false">
      <c r="A43" s="2" t="n">
        <v>42</v>
      </c>
      <c r="B43" s="2" t="s">
        <v>133</v>
      </c>
      <c r="C43" s="2" t="s">
        <v>134</v>
      </c>
      <c r="D43" s="2" t="s">
        <v>20</v>
      </c>
      <c r="E43" s="2" t="s">
        <v>25</v>
      </c>
      <c r="F43" s="3" t="n">
        <v>0.004626</v>
      </c>
      <c r="G43" s="3" t="n">
        <f aca="false">SUM($F$2:F43)</f>
        <v>0.916924</v>
      </c>
      <c r="H43" s="4"/>
      <c r="I43" s="5" t="n">
        <v>133.9545</v>
      </c>
      <c r="J43" s="4" t="n">
        <v>0.22</v>
      </c>
      <c r="K43" s="5"/>
      <c r="L43" s="6" t="n">
        <v>5.8058</v>
      </c>
      <c r="M43" s="5" t="str">
        <f aca="false">IF(AND(N(K43)&gt;0,N(L43)&gt;0),K43/L43,"")</f>
        <v/>
      </c>
      <c r="N43" s="2" t="s">
        <v>45</v>
      </c>
    </row>
    <row r="44" customFormat="false" ht="15" hidden="false" customHeight="false" outlineLevel="0" collapsed="false">
      <c r="A44" s="2" t="n">
        <v>43</v>
      </c>
      <c r="B44" s="2" t="s">
        <v>135</v>
      </c>
      <c r="C44" s="2" t="s">
        <v>136</v>
      </c>
      <c r="D44" s="2" t="s">
        <v>29</v>
      </c>
      <c r="E44" s="2" t="s">
        <v>60</v>
      </c>
      <c r="F44" s="3" t="n">
        <v>0.004626</v>
      </c>
      <c r="G44" s="3" t="n">
        <f aca="false">SUM($F$2:F44)</f>
        <v>0.92155</v>
      </c>
      <c r="H44" s="4" t="n">
        <v>113.6</v>
      </c>
      <c r="I44" s="5" t="n">
        <v>66.8235</v>
      </c>
      <c r="J44" s="4" t="n">
        <v>1.7</v>
      </c>
      <c r="K44" s="5" t="n">
        <v>1.9308</v>
      </c>
      <c r="L44" s="6" t="n">
        <v>3.3592</v>
      </c>
      <c r="M44" s="5" t="n">
        <f aca="false">IF(AND(N(K44)&gt;0,N(L44)&gt;0),K44/L44,"")</f>
        <v>0.574779709454632</v>
      </c>
      <c r="N44" s="2"/>
    </row>
    <row r="45" customFormat="false" ht="15" hidden="false" customHeight="false" outlineLevel="0" collapsed="false">
      <c r="A45" s="2" t="n">
        <v>44</v>
      </c>
      <c r="B45" s="2" t="s">
        <v>137</v>
      </c>
      <c r="C45" s="2" t="s">
        <v>138</v>
      </c>
      <c r="D45" s="2" t="s">
        <v>20</v>
      </c>
      <c r="E45" s="2" t="s">
        <v>25</v>
      </c>
      <c r="F45" s="3" t="n">
        <v>0.004124</v>
      </c>
      <c r="G45" s="3" t="n">
        <f aca="false">SUM($F$2:F45)</f>
        <v>0.925674</v>
      </c>
      <c r="H45" s="4"/>
      <c r="I45" s="5"/>
      <c r="J45" s="4" t="n">
        <v>-0.31</v>
      </c>
      <c r="K45" s="5"/>
      <c r="L45" s="6" t="n">
        <v>5.2893</v>
      </c>
      <c r="M45" s="5" t="str">
        <f aca="false">IF(AND(N(K45)&gt;0,N(L45)&gt;0),K45/L45,"")</f>
        <v/>
      </c>
      <c r="N45" s="2" t="s">
        <v>57</v>
      </c>
    </row>
    <row r="46" customFormat="false" ht="15" hidden="false" customHeight="false" outlineLevel="0" collapsed="false">
      <c r="A46" s="2" t="n">
        <v>45</v>
      </c>
      <c r="B46" s="2" t="s">
        <v>139</v>
      </c>
      <c r="C46" s="2" t="s">
        <v>140</v>
      </c>
      <c r="D46" s="2"/>
      <c r="E46" s="2"/>
      <c r="F46" s="3" t="n">
        <v>0.004023</v>
      </c>
      <c r="G46" s="3" t="n">
        <f aca="false">SUM($F$2:F46)</f>
        <v>0.929697</v>
      </c>
      <c r="H46" s="4"/>
      <c r="I46" s="5"/>
      <c r="J46" s="4"/>
      <c r="K46" s="5"/>
      <c r="L46" s="6"/>
      <c r="M46" s="5" t="str">
        <f aca="false">IF(AND(N(K46)&gt;0,N(L46)&gt;0),K46/L46,"")</f>
        <v/>
      </c>
      <c r="N46" s="2" t="s">
        <v>141</v>
      </c>
    </row>
    <row r="47" customFormat="false" ht="15" hidden="false" customHeight="false" outlineLevel="0" collapsed="false">
      <c r="A47" s="2" t="n">
        <v>46</v>
      </c>
      <c r="B47" s="2" t="s">
        <v>142</v>
      </c>
      <c r="C47" s="2" t="s">
        <v>143</v>
      </c>
      <c r="D47" s="2" t="s">
        <v>16</v>
      </c>
      <c r="E47" s="2" t="s">
        <v>111</v>
      </c>
      <c r="F47" s="3" t="n">
        <v>0.003922</v>
      </c>
      <c r="G47" s="3" t="n">
        <f aca="false">SUM($F$2:F47)</f>
        <v>0.933619</v>
      </c>
      <c r="H47" s="4"/>
      <c r="I47" s="5"/>
      <c r="J47" s="4" t="n">
        <v>-0.27</v>
      </c>
      <c r="K47" s="5"/>
      <c r="L47" s="6" t="n">
        <v>23.4414</v>
      </c>
      <c r="M47" s="5" t="str">
        <f aca="false">IF(AND(N(K47)&gt;0,N(L47)&gt;0),K47/L47,"")</f>
        <v/>
      </c>
      <c r="N47" s="2" t="s">
        <v>69</v>
      </c>
    </row>
    <row r="48" customFormat="false" ht="15" hidden="false" customHeight="false" outlineLevel="0" collapsed="false">
      <c r="A48" s="2" t="n">
        <v>47</v>
      </c>
      <c r="B48" s="2" t="s">
        <v>144</v>
      </c>
      <c r="C48" s="2" t="s">
        <v>145</v>
      </c>
      <c r="D48" s="2" t="s">
        <v>16</v>
      </c>
      <c r="E48" s="2" t="s">
        <v>146</v>
      </c>
      <c r="F48" s="3" t="n">
        <v>0.003822</v>
      </c>
      <c r="G48" s="3" t="n">
        <f aca="false">SUM($F$2:F48)</f>
        <v>0.937441</v>
      </c>
      <c r="H48" s="4" t="n">
        <v>32.99</v>
      </c>
      <c r="I48" s="5" t="n">
        <v>39.2738</v>
      </c>
      <c r="J48" s="4" t="n">
        <v>0.84</v>
      </c>
      <c r="K48" s="5" t="n">
        <v>1.5003</v>
      </c>
      <c r="L48" s="6" t="n">
        <v>1.2035</v>
      </c>
      <c r="M48" s="5" t="n">
        <f aca="false">IF(AND(N(K48)&gt;0,N(L48)&gt;0),K48/L48,"")</f>
        <v>1.2466140423764</v>
      </c>
      <c r="N48" s="2"/>
    </row>
    <row r="49" customFormat="false" ht="15" hidden="false" customHeight="false" outlineLevel="0" collapsed="false">
      <c r="A49" s="2" t="n">
        <v>48</v>
      </c>
      <c r="B49" s="2" t="s">
        <v>147</v>
      </c>
      <c r="C49" s="2" t="s">
        <v>148</v>
      </c>
      <c r="D49" s="2" t="s">
        <v>29</v>
      </c>
      <c r="E49" s="2" t="s">
        <v>149</v>
      </c>
      <c r="F49" s="3" t="n">
        <v>0.003721</v>
      </c>
      <c r="G49" s="3" t="n">
        <f aca="false">SUM($F$2:F49)</f>
        <v>0.941162</v>
      </c>
      <c r="H49" s="4"/>
      <c r="I49" s="5"/>
      <c r="J49" s="4" t="n">
        <v>-0.47</v>
      </c>
      <c r="K49" s="5"/>
      <c r="L49" s="6" t="n">
        <v>10.8334</v>
      </c>
      <c r="M49" s="5" t="str">
        <f aca="false">IF(AND(N(K49)&gt;0,N(L49)&gt;0),K49/L49,"")</f>
        <v/>
      </c>
      <c r="N49" s="2" t="s">
        <v>69</v>
      </c>
    </row>
    <row r="50" customFormat="false" ht="15" hidden="false" customHeight="false" outlineLevel="0" collapsed="false">
      <c r="A50" s="2" t="n">
        <v>49</v>
      </c>
      <c r="B50" s="2" t="s">
        <v>150</v>
      </c>
      <c r="C50" s="2" t="s">
        <v>151</v>
      </c>
      <c r="D50" s="2" t="s">
        <v>29</v>
      </c>
      <c r="E50" s="2" t="s">
        <v>60</v>
      </c>
      <c r="F50" s="3" t="n">
        <v>0.003419</v>
      </c>
      <c r="G50" s="3" t="n">
        <f aca="false">SUM($F$2:F50)</f>
        <v>0.944581</v>
      </c>
      <c r="H50" s="4"/>
      <c r="I50" s="5" t="n">
        <v>81.9595</v>
      </c>
      <c r="J50" s="4" t="n">
        <v>1.73</v>
      </c>
      <c r="K50" s="5"/>
      <c r="L50" s="6" t="n">
        <v>11.6272</v>
      </c>
      <c r="M50" s="5" t="str">
        <f aca="false">IF(AND(N(K50)&gt;0,N(L50)&gt;0),K50/L50,"")</f>
        <v/>
      </c>
      <c r="N50" s="2" t="s">
        <v>45</v>
      </c>
    </row>
    <row r="51" customFormat="false" ht="15" hidden="false" customHeight="false" outlineLevel="0" collapsed="false">
      <c r="A51" s="2" t="n">
        <v>50</v>
      </c>
      <c r="B51" s="2" t="s">
        <v>152</v>
      </c>
      <c r="C51" s="2" t="s">
        <v>153</v>
      </c>
      <c r="D51" s="2" t="s">
        <v>20</v>
      </c>
      <c r="E51" s="2" t="s">
        <v>25</v>
      </c>
      <c r="F51" s="3" t="n">
        <v>0.003419</v>
      </c>
      <c r="G51" s="3" t="n">
        <f aca="false">SUM($F$2:F51)</f>
        <v>0.948</v>
      </c>
      <c r="H51" s="4"/>
      <c r="I51" s="5" t="n">
        <v>527.027</v>
      </c>
      <c r="J51" s="4" t="n">
        <v>0.37</v>
      </c>
      <c r="K51" s="5"/>
      <c r="L51" s="6" t="n">
        <v>5.807</v>
      </c>
      <c r="M51" s="5" t="str">
        <f aca="false">IF(AND(N(K51)&gt;0,N(L51)&gt;0),K51/L51,"")</f>
        <v/>
      </c>
      <c r="N51" s="2" t="s">
        <v>154</v>
      </c>
    </row>
    <row r="52" customFormat="false" ht="15" hidden="false" customHeight="false" outlineLevel="0" collapsed="false">
      <c r="A52" s="2" t="n">
        <v>51</v>
      </c>
      <c r="B52" s="2" t="s">
        <v>155</v>
      </c>
      <c r="C52" s="2" t="s">
        <v>156</v>
      </c>
      <c r="D52" s="2" t="s">
        <v>20</v>
      </c>
      <c r="E52" s="2" t="s">
        <v>114</v>
      </c>
      <c r="F52" s="3" t="n">
        <v>0.003419</v>
      </c>
      <c r="G52" s="3" t="n">
        <f aca="false">SUM($F$2:F52)</f>
        <v>0.951419</v>
      </c>
      <c r="H52" s="4"/>
      <c r="I52" s="5"/>
      <c r="J52" s="4" t="n">
        <v>-288.2</v>
      </c>
      <c r="K52" s="5"/>
      <c r="L52" s="6" t="n">
        <v>42.8464</v>
      </c>
      <c r="M52" s="5" t="str">
        <f aca="false">IF(AND(N(K52)&gt;0,N(L52)&gt;0),K52/L52,"")</f>
        <v/>
      </c>
      <c r="N52" s="2" t="s">
        <v>157</v>
      </c>
    </row>
    <row r="53" customFormat="false" ht="15" hidden="false" customHeight="false" outlineLevel="0" collapsed="false">
      <c r="A53" s="2" t="n">
        <v>52</v>
      </c>
      <c r="B53" s="2" t="s">
        <v>158</v>
      </c>
      <c r="C53" s="2" t="s">
        <v>159</v>
      </c>
      <c r="D53" s="2" t="s">
        <v>29</v>
      </c>
      <c r="E53" s="2" t="s">
        <v>149</v>
      </c>
      <c r="F53" s="3" t="n">
        <v>0.003017</v>
      </c>
      <c r="G53" s="3" t="n">
        <f aca="false">SUM($F$2:F53)</f>
        <v>0.954436</v>
      </c>
      <c r="H53" s="4" t="n">
        <v>22.69</v>
      </c>
      <c r="I53" s="5"/>
      <c r="J53" s="4" t="n">
        <v>-0.14</v>
      </c>
      <c r="K53" s="5" t="n">
        <v>1.1335</v>
      </c>
      <c r="L53" s="6" t="n">
        <v>35.5877</v>
      </c>
      <c r="M53" s="5" t="n">
        <f aca="false">IF(AND(N(K53)&gt;0,N(L53)&gt;0),K53/L53,"")</f>
        <v>0.0318508923026776</v>
      </c>
      <c r="N53" s="2" t="s">
        <v>42</v>
      </c>
    </row>
    <row r="54" customFormat="false" ht="15" hidden="false" customHeight="false" outlineLevel="0" collapsed="false">
      <c r="A54" s="2" t="n">
        <v>53</v>
      </c>
      <c r="B54" s="2" t="s">
        <v>160</v>
      </c>
      <c r="C54" s="2" t="s">
        <v>161</v>
      </c>
      <c r="D54" s="2" t="s">
        <v>20</v>
      </c>
      <c r="E54" s="2" t="s">
        <v>63</v>
      </c>
      <c r="F54" s="3" t="n">
        <v>0.002917</v>
      </c>
      <c r="G54" s="3" t="n">
        <f aca="false">SUM($F$2:F54)</f>
        <v>0.957353</v>
      </c>
      <c r="H54" s="4"/>
      <c r="I54" s="5"/>
      <c r="J54" s="4" t="n">
        <v>-1.81</v>
      </c>
      <c r="K54" s="5"/>
      <c r="L54" s="6" t="n">
        <v>7.3114</v>
      </c>
      <c r="M54" s="5" t="str">
        <f aca="false">IF(AND(N(K54)&gt;0,N(L54)&gt;0),K54/L54,"")</f>
        <v/>
      </c>
      <c r="N54" s="2" t="s">
        <v>69</v>
      </c>
    </row>
    <row r="55" customFormat="false" ht="15" hidden="false" customHeight="false" outlineLevel="0" collapsed="false">
      <c r="A55" s="2" t="n">
        <v>54</v>
      </c>
      <c r="B55" s="2" t="s">
        <v>162</v>
      </c>
      <c r="C55" s="2" t="s">
        <v>163</v>
      </c>
      <c r="D55" s="2" t="s">
        <v>29</v>
      </c>
      <c r="E55" s="2" t="s">
        <v>68</v>
      </c>
      <c r="F55" s="3" t="n">
        <v>0.002615</v>
      </c>
      <c r="G55" s="3" t="n">
        <f aca="false">SUM($F$2:F55)</f>
        <v>0.959968</v>
      </c>
      <c r="H55" s="4"/>
      <c r="I55" s="5"/>
      <c r="J55" s="4" t="n">
        <v>-0.09</v>
      </c>
      <c r="K55" s="5"/>
      <c r="L55" s="6" t="n">
        <v>4.9777</v>
      </c>
      <c r="M55" s="5" t="str">
        <f aca="false">IF(AND(N(K55)&gt;0,N(L55)&gt;0),K55/L55,"")</f>
        <v/>
      </c>
      <c r="N55" s="2" t="s">
        <v>69</v>
      </c>
    </row>
    <row r="56" customFormat="false" ht="15" hidden="false" customHeight="false" outlineLevel="0" collapsed="false">
      <c r="A56" s="2" t="n">
        <v>55</v>
      </c>
      <c r="B56" s="2" t="s">
        <v>164</v>
      </c>
      <c r="C56" s="2" t="s">
        <v>165</v>
      </c>
      <c r="D56" s="2" t="s">
        <v>20</v>
      </c>
      <c r="E56" s="2" t="s">
        <v>25</v>
      </c>
      <c r="F56" s="3" t="n">
        <v>0.002615</v>
      </c>
      <c r="G56" s="3" t="n">
        <f aca="false">SUM($F$2:F56)</f>
        <v>0.962583</v>
      </c>
      <c r="H56" s="4"/>
      <c r="I56" s="5"/>
      <c r="J56" s="4" t="n">
        <v>-0.4</v>
      </c>
      <c r="K56" s="5"/>
      <c r="L56" s="6" t="n">
        <v>14.0153</v>
      </c>
      <c r="M56" s="5" t="str">
        <f aca="false">IF(AND(N(K56)&gt;0,N(L56)&gt;0),K56/L56,"")</f>
        <v/>
      </c>
      <c r="N56" s="2" t="s">
        <v>69</v>
      </c>
    </row>
    <row r="57" customFormat="false" ht="15" hidden="false" customHeight="false" outlineLevel="0" collapsed="false">
      <c r="A57" s="2" t="n">
        <v>56</v>
      </c>
      <c r="B57" s="2" t="s">
        <v>166</v>
      </c>
      <c r="C57" s="2" t="s">
        <v>167</v>
      </c>
      <c r="D57" s="2" t="s">
        <v>16</v>
      </c>
      <c r="E57" s="2" t="s">
        <v>111</v>
      </c>
      <c r="F57" s="3" t="n">
        <v>0.002615</v>
      </c>
      <c r="G57" s="3" t="n">
        <f aca="false">SUM($F$2:F57)</f>
        <v>0.965198</v>
      </c>
      <c r="H57" s="4" t="n">
        <v>18.09</v>
      </c>
      <c r="I57" s="5"/>
      <c r="J57" s="4" t="n">
        <v>-1.95</v>
      </c>
      <c r="K57" s="5" t="n">
        <v>1.0297</v>
      </c>
      <c r="L57" s="6" t="n">
        <v>3.0523</v>
      </c>
      <c r="M57" s="5" t="n">
        <f aca="false">IF(AND(N(K57)&gt;0,N(L57)&gt;0),K57/L57,"")</f>
        <v>0.337352160665728</v>
      </c>
      <c r="N57" s="2" t="s">
        <v>42</v>
      </c>
    </row>
    <row r="58" customFormat="false" ht="15" hidden="false" customHeight="false" outlineLevel="0" collapsed="false">
      <c r="A58" s="2" t="n">
        <v>57</v>
      </c>
      <c r="B58" s="2" t="s">
        <v>168</v>
      </c>
      <c r="C58" s="2" t="s">
        <v>169</v>
      </c>
      <c r="D58" s="2" t="s">
        <v>29</v>
      </c>
      <c r="E58" s="2" t="s">
        <v>149</v>
      </c>
      <c r="F58" s="3" t="n">
        <v>0.002615</v>
      </c>
      <c r="G58" s="3" t="n">
        <f aca="false">SUM($F$2:F58)</f>
        <v>0.967813</v>
      </c>
      <c r="H58" s="4"/>
      <c r="I58" s="5"/>
      <c r="J58" s="4" t="n">
        <v>-0.4</v>
      </c>
      <c r="K58" s="5"/>
      <c r="L58" s="6" t="n">
        <v>3.4797</v>
      </c>
      <c r="M58" s="5" t="str">
        <f aca="false">IF(AND(N(K58)&gt;0,N(L58)&gt;0),K58/L58,"")</f>
        <v/>
      </c>
      <c r="N58" s="2" t="s">
        <v>69</v>
      </c>
    </row>
    <row r="59" customFormat="false" ht="15" hidden="false" customHeight="false" outlineLevel="0" collapsed="false">
      <c r="A59" s="2" t="n">
        <v>58</v>
      </c>
      <c r="B59" s="2" t="s">
        <v>170</v>
      </c>
      <c r="C59" s="2" t="s">
        <v>171</v>
      </c>
      <c r="D59" s="2" t="s">
        <v>20</v>
      </c>
      <c r="E59" s="2" t="s">
        <v>25</v>
      </c>
      <c r="F59" s="3" t="n">
        <v>0.002414</v>
      </c>
      <c r="G59" s="3" t="n">
        <f aca="false">SUM($F$2:F59)</f>
        <v>0.970227</v>
      </c>
      <c r="H59" s="4"/>
      <c r="I59" s="5" t="n">
        <v>102.0979</v>
      </c>
      <c r="J59" s="4" t="n">
        <v>2.86</v>
      </c>
      <c r="K59" s="5"/>
      <c r="L59" s="6" t="n">
        <v>15.8566</v>
      </c>
      <c r="M59" s="5" t="str">
        <f aca="false">IF(AND(N(K59)&gt;0,N(L59)&gt;0),K59/L59,"")</f>
        <v/>
      </c>
      <c r="N59" s="2" t="s">
        <v>96</v>
      </c>
    </row>
    <row r="60" customFormat="false" ht="15" hidden="false" customHeight="false" outlineLevel="0" collapsed="false">
      <c r="A60" s="2" t="n">
        <v>59</v>
      </c>
      <c r="B60" s="2" t="s">
        <v>172</v>
      </c>
      <c r="C60" s="2" t="s">
        <v>173</v>
      </c>
      <c r="D60" s="2" t="s">
        <v>20</v>
      </c>
      <c r="E60" s="2" t="s">
        <v>25</v>
      </c>
      <c r="F60" s="3" t="n">
        <v>0.002414</v>
      </c>
      <c r="G60" s="3" t="n">
        <f aca="false">SUM($F$2:F60)</f>
        <v>0.972641</v>
      </c>
      <c r="H60" s="4"/>
      <c r="I60" s="5" t="n">
        <v>276.0909</v>
      </c>
      <c r="J60" s="4" t="n">
        <v>0.22</v>
      </c>
      <c r="K60" s="5"/>
      <c r="L60" s="6" t="n">
        <v>10.6443</v>
      </c>
      <c r="M60" s="5" t="str">
        <f aca="false">IF(AND(N(K60)&gt;0,N(L60)&gt;0),K60/L60,"")</f>
        <v/>
      </c>
      <c r="N60" s="2" t="s">
        <v>45</v>
      </c>
    </row>
    <row r="61" customFormat="false" ht="15" hidden="false" customHeight="false" outlineLevel="0" collapsed="false">
      <c r="A61" s="2" t="n">
        <v>60</v>
      </c>
      <c r="B61" s="2" t="s">
        <v>174</v>
      </c>
      <c r="C61" s="2" t="s">
        <v>175</v>
      </c>
      <c r="D61" s="2" t="s">
        <v>20</v>
      </c>
      <c r="E61" s="2" t="s">
        <v>114</v>
      </c>
      <c r="F61" s="3" t="n">
        <v>0.002313</v>
      </c>
      <c r="G61" s="3" t="n">
        <f aca="false">SUM($F$2:F61)</f>
        <v>0.974954</v>
      </c>
      <c r="H61" s="4" t="n">
        <v>374.98</v>
      </c>
      <c r="I61" s="5" t="n">
        <v>31.859</v>
      </c>
      <c r="J61" s="4" t="n">
        <v>11.77</v>
      </c>
      <c r="K61" s="5" t="n">
        <v>11.8761</v>
      </c>
      <c r="L61" s="6" t="n">
        <v>2.7504</v>
      </c>
      <c r="M61" s="5" t="n">
        <f aca="false">IF(AND(N(K61)&gt;0,N(L61)&gt;0),K61/L61,"")</f>
        <v>4.3179537521815</v>
      </c>
      <c r="N61" s="2"/>
    </row>
    <row r="62" customFormat="false" ht="15" hidden="false" customHeight="false" outlineLevel="0" collapsed="false">
      <c r="A62" s="2" t="n">
        <v>61</v>
      </c>
      <c r="B62" s="2" t="s">
        <v>176</v>
      </c>
      <c r="C62" s="2" t="s">
        <v>177</v>
      </c>
      <c r="D62" s="2" t="s">
        <v>20</v>
      </c>
      <c r="E62" s="2" t="s">
        <v>114</v>
      </c>
      <c r="F62" s="3" t="n">
        <v>0.002213</v>
      </c>
      <c r="G62" s="3" t="n">
        <f aca="false">SUM($F$2:F62)</f>
        <v>0.977167</v>
      </c>
      <c r="H62" s="4" t="n">
        <v>16.44</v>
      </c>
      <c r="I62" s="5" t="n">
        <v>27.8644</v>
      </c>
      <c r="J62" s="4" t="n">
        <v>0.59</v>
      </c>
      <c r="K62" s="5" t="n">
        <v>1.1376</v>
      </c>
      <c r="L62" s="6" t="n">
        <v>1.6321</v>
      </c>
      <c r="M62" s="5" t="n">
        <f aca="false">IF(AND(N(K62)&gt;0,N(L62)&gt;0),K62/L62,"")</f>
        <v>0.697016114208688</v>
      </c>
      <c r="N62" s="2"/>
    </row>
    <row r="63" customFormat="false" ht="15" hidden="false" customHeight="false" outlineLevel="0" collapsed="false">
      <c r="A63" s="2" t="n">
        <v>62</v>
      </c>
      <c r="B63" s="2" t="s">
        <v>178</v>
      </c>
      <c r="C63" s="2" t="s">
        <v>179</v>
      </c>
      <c r="D63" s="2" t="s">
        <v>20</v>
      </c>
      <c r="E63" s="2" t="s">
        <v>25</v>
      </c>
      <c r="F63" s="3" t="n">
        <v>0.001911</v>
      </c>
      <c r="G63" s="3" t="n">
        <f aca="false">SUM($F$2:F63)</f>
        <v>0.979078</v>
      </c>
      <c r="H63" s="4"/>
      <c r="I63" s="5" t="n">
        <v>19.3353</v>
      </c>
      <c r="J63" s="4" t="n">
        <v>198.6</v>
      </c>
      <c r="K63" s="5"/>
      <c r="L63" s="6" t="n">
        <v>1.192</v>
      </c>
      <c r="M63" s="5" t="str">
        <f aca="false">IF(AND(N(K63)&gt;0,N(L63)&gt;0),K63/L63,"")</f>
        <v/>
      </c>
      <c r="N63" s="2" t="s">
        <v>26</v>
      </c>
    </row>
    <row r="64" customFormat="false" ht="15" hidden="false" customHeight="false" outlineLevel="0" collapsed="false">
      <c r="A64" s="2" t="n">
        <v>63</v>
      </c>
      <c r="B64" s="2" t="s">
        <v>180</v>
      </c>
      <c r="C64" s="2" t="s">
        <v>181</v>
      </c>
      <c r="D64" s="2" t="s">
        <v>20</v>
      </c>
      <c r="E64" s="2" t="s">
        <v>25</v>
      </c>
      <c r="F64" s="3" t="n">
        <v>0.00181</v>
      </c>
      <c r="G64" s="3" t="n">
        <f aca="false">SUM($F$2:F64)</f>
        <v>0.980888</v>
      </c>
      <c r="H64" s="4"/>
      <c r="I64" s="5"/>
      <c r="J64" s="4" t="n">
        <v>-0.14</v>
      </c>
      <c r="K64" s="5"/>
      <c r="L64" s="6" t="n">
        <v>15.0795</v>
      </c>
      <c r="M64" s="5" t="str">
        <f aca="false">IF(AND(N(K64)&gt;0,N(L64)&gt;0),K64/L64,"")</f>
        <v/>
      </c>
      <c r="N64" s="2" t="s">
        <v>69</v>
      </c>
    </row>
    <row r="65" customFormat="false" ht="15" hidden="false" customHeight="false" outlineLevel="0" collapsed="false">
      <c r="A65" s="2" t="n">
        <v>64</v>
      </c>
      <c r="B65" s="2" t="s">
        <v>182</v>
      </c>
      <c r="C65" s="2" t="s">
        <v>183</v>
      </c>
      <c r="D65" s="2" t="s">
        <v>40</v>
      </c>
      <c r="E65" s="2" t="s">
        <v>50</v>
      </c>
      <c r="F65" s="3" t="n">
        <v>0.00181</v>
      </c>
      <c r="G65" s="3" t="n">
        <f aca="false">SUM($F$2:F65)</f>
        <v>0.982698</v>
      </c>
      <c r="H65" s="4" t="n">
        <v>10.29</v>
      </c>
      <c r="I65" s="5"/>
      <c r="J65" s="4"/>
      <c r="K65" s="5" t="n">
        <v>9.8576</v>
      </c>
      <c r="L65" s="6"/>
      <c r="M65" s="5" t="str">
        <f aca="false">IF(AND(N(K65)&gt;0,N(L65)&gt;0),K65/L65,"")</f>
        <v/>
      </c>
      <c r="N65" s="2" t="s">
        <v>125</v>
      </c>
    </row>
    <row r="66" customFormat="false" ht="15" hidden="false" customHeight="false" outlineLevel="0" collapsed="false">
      <c r="A66" s="2" t="n">
        <v>65</v>
      </c>
      <c r="B66" s="2" t="s">
        <v>184</v>
      </c>
      <c r="C66" s="2" t="s">
        <v>185</v>
      </c>
      <c r="D66" s="2" t="s">
        <v>20</v>
      </c>
      <c r="E66" s="2" t="s">
        <v>25</v>
      </c>
      <c r="F66" s="3" t="n">
        <v>0.00171</v>
      </c>
      <c r="G66" s="3" t="n">
        <f aca="false">SUM($F$2:F66)</f>
        <v>0.984408</v>
      </c>
      <c r="H66" s="4"/>
      <c r="I66" s="5" t="n">
        <v>105.9783</v>
      </c>
      <c r="J66" s="4" t="n">
        <v>0.92</v>
      </c>
      <c r="K66" s="5"/>
      <c r="L66" s="6" t="n">
        <v>10.3359</v>
      </c>
      <c r="M66" s="5" t="str">
        <f aca="false">IF(AND(N(K66)&gt;0,N(L66)&gt;0),K66/L66,"")</f>
        <v/>
      </c>
      <c r="N66" s="2" t="s">
        <v>45</v>
      </c>
    </row>
    <row r="67" customFormat="false" ht="15" hidden="false" customHeight="false" outlineLevel="0" collapsed="false">
      <c r="A67" s="2" t="n">
        <v>66</v>
      </c>
      <c r="B67" s="2" t="s">
        <v>186</v>
      </c>
      <c r="C67" s="2" t="s">
        <v>187</v>
      </c>
      <c r="D67" s="2" t="s">
        <v>29</v>
      </c>
      <c r="E67" s="2" t="s">
        <v>188</v>
      </c>
      <c r="F67" s="3" t="n">
        <v>0.001609</v>
      </c>
      <c r="G67" s="3" t="n">
        <f aca="false">SUM($F$2:F67)</f>
        <v>0.986017</v>
      </c>
      <c r="H67" s="4" t="n">
        <v>2.97</v>
      </c>
      <c r="I67" s="5"/>
      <c r="J67" s="4" t="n">
        <v>-1.85</v>
      </c>
      <c r="K67" s="5" t="n">
        <v>0.5958</v>
      </c>
      <c r="L67" s="6" t="n">
        <v>83.3104</v>
      </c>
      <c r="M67" s="5" t="n">
        <f aca="false">IF(AND(N(K67)&gt;0,N(L67)&gt;0),K67/L67,"")</f>
        <v>0.0071515681115443</v>
      </c>
      <c r="N67" s="2" t="s">
        <v>42</v>
      </c>
    </row>
    <row r="68" customFormat="false" ht="15" hidden="false" customHeight="false" outlineLevel="0" collapsed="false">
      <c r="A68" s="2" t="n">
        <v>67</v>
      </c>
      <c r="B68" s="2" t="s">
        <v>189</v>
      </c>
      <c r="C68" s="2" t="s">
        <v>190</v>
      </c>
      <c r="D68" s="2" t="s">
        <v>20</v>
      </c>
      <c r="E68" s="2" t="s">
        <v>25</v>
      </c>
      <c r="F68" s="3" t="n">
        <v>0.001609</v>
      </c>
      <c r="G68" s="3" t="n">
        <f aca="false">SUM($F$2:F68)</f>
        <v>0.987626</v>
      </c>
      <c r="H68" s="4"/>
      <c r="I68" s="5"/>
      <c r="J68" s="4" t="n">
        <v>-0.77</v>
      </c>
      <c r="K68" s="5"/>
      <c r="L68" s="6" t="n">
        <v>7.2665</v>
      </c>
      <c r="M68" s="5" t="str">
        <f aca="false">IF(AND(N(K68)&gt;0,N(L68)&gt;0),K68/L68,"")</f>
        <v/>
      </c>
      <c r="N68" s="2" t="s">
        <v>57</v>
      </c>
    </row>
    <row r="69" customFormat="false" ht="15" hidden="false" customHeight="false" outlineLevel="0" collapsed="false">
      <c r="A69" s="2" t="n">
        <v>68</v>
      </c>
      <c r="B69" s="2" t="s">
        <v>191</v>
      </c>
      <c r="C69" s="2" t="s">
        <v>192</v>
      </c>
      <c r="D69" s="2"/>
      <c r="E69" s="2"/>
      <c r="F69" s="3" t="n">
        <v>0.001509</v>
      </c>
      <c r="G69" s="3" t="n">
        <f aca="false">SUM($F$2:F69)</f>
        <v>0.989135</v>
      </c>
      <c r="H69" s="4"/>
      <c r="I69" s="5"/>
      <c r="J69" s="4"/>
      <c r="K69" s="5"/>
      <c r="L69" s="6"/>
      <c r="M69" s="5" t="str">
        <f aca="false">IF(AND(N(K69)&gt;0,N(L69)&gt;0),K69/L69,"")</f>
        <v/>
      </c>
      <c r="N69" s="2" t="s">
        <v>76</v>
      </c>
    </row>
    <row r="70" customFormat="false" ht="15" hidden="false" customHeight="false" outlineLevel="0" collapsed="false">
      <c r="A70" s="2" t="n">
        <v>69</v>
      </c>
      <c r="B70" s="2" t="s">
        <v>193</v>
      </c>
      <c r="C70" s="2" t="s">
        <v>194</v>
      </c>
      <c r="D70" s="2" t="s">
        <v>16</v>
      </c>
      <c r="E70" s="2" t="s">
        <v>17</v>
      </c>
      <c r="F70" s="3" t="n">
        <v>0.001509</v>
      </c>
      <c r="G70" s="3" t="n">
        <f aca="false">SUM($F$2:F70)</f>
        <v>0.990644</v>
      </c>
      <c r="H70" s="4"/>
      <c r="I70" s="5"/>
      <c r="J70" s="4" t="n">
        <v>-0.42</v>
      </c>
      <c r="K70" s="5"/>
      <c r="L70" s="6" t="n">
        <v>28.5341</v>
      </c>
      <c r="M70" s="5" t="str">
        <f aca="false">IF(AND(N(K70)&gt;0,N(L70)&gt;0),K70/L70,"")</f>
        <v/>
      </c>
      <c r="N70" s="2" t="s">
        <v>57</v>
      </c>
    </row>
    <row r="71" customFormat="false" ht="15" hidden="false" customHeight="false" outlineLevel="0" collapsed="false">
      <c r="A71" s="2" t="n">
        <v>70</v>
      </c>
      <c r="B71" s="2" t="s">
        <v>195</v>
      </c>
      <c r="C71" s="2" t="s">
        <v>196</v>
      </c>
      <c r="D71" s="2"/>
      <c r="E71" s="2"/>
      <c r="F71" s="3" t="n">
        <v>0.001408</v>
      </c>
      <c r="G71" s="3" t="n">
        <f aca="false">SUM($F$2:F71)</f>
        <v>0.992052</v>
      </c>
      <c r="H71" s="4"/>
      <c r="I71" s="5"/>
      <c r="J71" s="4"/>
      <c r="K71" s="5"/>
      <c r="L71" s="6"/>
      <c r="M71" s="5" t="str">
        <f aca="false">IF(AND(N(K71)&gt;0,N(L71)&gt;0),K71/L71,"")</f>
        <v/>
      </c>
      <c r="N71" s="2" t="s">
        <v>141</v>
      </c>
    </row>
    <row r="72" customFormat="false" ht="15" hidden="false" customHeight="false" outlineLevel="0" collapsed="false">
      <c r="A72" s="2" t="n">
        <v>71</v>
      </c>
      <c r="B72" s="2" t="s">
        <v>197</v>
      </c>
      <c r="C72" s="2" t="s">
        <v>198</v>
      </c>
      <c r="D72" s="2" t="s">
        <v>29</v>
      </c>
      <c r="E72" s="2" t="s">
        <v>33</v>
      </c>
      <c r="F72" s="3" t="n">
        <v>0.001207</v>
      </c>
      <c r="G72" s="3" t="n">
        <f aca="false">SUM($F$2:F72)</f>
        <v>0.993259</v>
      </c>
      <c r="H72" s="4" t="n">
        <v>144.43</v>
      </c>
      <c r="I72" s="5" t="n">
        <v>91.9936</v>
      </c>
      <c r="J72" s="4" t="n">
        <v>1.57</v>
      </c>
      <c r="K72" s="5" t="n">
        <v>5.462</v>
      </c>
      <c r="L72" s="6" t="n">
        <v>5.3045</v>
      </c>
      <c r="M72" s="5" t="n">
        <f aca="false">IF(AND(N(K72)&gt;0,N(L72)&gt;0),K72/L72,"")</f>
        <v>1.02969177113771</v>
      </c>
      <c r="N72" s="2"/>
    </row>
    <row r="73" customFormat="false" ht="15" hidden="false" customHeight="false" outlineLevel="0" collapsed="false">
      <c r="A73" s="2" t="n">
        <v>72</v>
      </c>
      <c r="B73" s="2" t="s">
        <v>199</v>
      </c>
      <c r="C73" s="2" t="s">
        <v>200</v>
      </c>
      <c r="D73" s="2" t="s">
        <v>20</v>
      </c>
      <c r="E73" s="2" t="s">
        <v>25</v>
      </c>
      <c r="F73" s="3" t="n">
        <v>0.001106</v>
      </c>
      <c r="G73" s="3" t="n">
        <f aca="false">SUM($F$2:F73)</f>
        <v>0.994365</v>
      </c>
      <c r="H73" s="4"/>
      <c r="I73" s="5"/>
      <c r="J73" s="4" t="n">
        <v>-0.74</v>
      </c>
      <c r="K73" s="5"/>
      <c r="L73" s="6" t="n">
        <v>14.4893</v>
      </c>
      <c r="M73" s="5" t="str">
        <f aca="false">IF(AND(N(K73)&gt;0,N(L73)&gt;0),K73/L73,"")</f>
        <v/>
      </c>
      <c r="N73" s="2" t="s">
        <v>57</v>
      </c>
    </row>
    <row r="74" customFormat="false" ht="15" hidden="false" customHeight="false" outlineLevel="0" collapsed="false">
      <c r="A74" s="2" t="n">
        <v>73</v>
      </c>
      <c r="B74" s="2" t="s">
        <v>201</v>
      </c>
      <c r="C74" s="2" t="s">
        <v>202</v>
      </c>
      <c r="D74" s="2" t="s">
        <v>20</v>
      </c>
      <c r="E74" s="2" t="s">
        <v>25</v>
      </c>
      <c r="F74" s="3" t="n">
        <v>0.001006</v>
      </c>
      <c r="G74" s="3" t="n">
        <f aca="false">SUM($F$2:F74)</f>
        <v>0.995371</v>
      </c>
      <c r="H74" s="4"/>
      <c r="I74" s="5" t="n">
        <v>28.7999</v>
      </c>
      <c r="J74" s="4" t="n">
        <v>217.64</v>
      </c>
      <c r="K74" s="5"/>
      <c r="L74" s="6" t="n">
        <v>3.2633</v>
      </c>
      <c r="M74" s="5" t="str">
        <f aca="false">IF(AND(N(K74)&gt;0,N(L74)&gt;0),K74/L74,"")</f>
        <v/>
      </c>
      <c r="N74" s="2" t="s">
        <v>26</v>
      </c>
    </row>
    <row r="75" customFormat="false" ht="15" hidden="false" customHeight="false" outlineLevel="0" collapsed="false">
      <c r="A75" s="2" t="n">
        <v>74</v>
      </c>
      <c r="B75" s="2" t="s">
        <v>203</v>
      </c>
      <c r="C75" s="2" t="s">
        <v>204</v>
      </c>
      <c r="D75" s="2" t="s">
        <v>20</v>
      </c>
      <c r="E75" s="2" t="s">
        <v>205</v>
      </c>
      <c r="F75" s="3" t="n">
        <v>0.001006</v>
      </c>
      <c r="G75" s="3" t="n">
        <f aca="false">SUM($F$2:F75)</f>
        <v>0.996377</v>
      </c>
      <c r="H75" s="4" t="n">
        <v>4.31</v>
      </c>
      <c r="I75" s="5"/>
      <c r="J75" s="4" t="n">
        <v>-2.48</v>
      </c>
      <c r="K75" s="5" t="n">
        <v>0.3737</v>
      </c>
      <c r="L75" s="6" t="n">
        <v>47.9668</v>
      </c>
      <c r="M75" s="5" t="n">
        <f aca="false">IF(AND(N(K75)&gt;0,N(L75)&gt;0),K75/L75,"")</f>
        <v>0.00779080530700401</v>
      </c>
      <c r="N75" s="2" t="s">
        <v>42</v>
      </c>
    </row>
    <row r="76" customFormat="false" ht="15" hidden="false" customHeight="false" outlineLevel="0" collapsed="false">
      <c r="A76" s="2" t="n">
        <v>75</v>
      </c>
      <c r="B76" s="2" t="s">
        <v>206</v>
      </c>
      <c r="C76" s="2" t="s">
        <v>207</v>
      </c>
      <c r="D76" s="2"/>
      <c r="E76" s="2"/>
      <c r="F76" s="3" t="n">
        <v>0.000805</v>
      </c>
      <c r="G76" s="3" t="n">
        <f aca="false">SUM($F$2:F76)</f>
        <v>0.997182</v>
      </c>
      <c r="H76" s="4"/>
      <c r="I76" s="5"/>
      <c r="J76" s="4"/>
      <c r="K76" s="5"/>
      <c r="L76" s="6"/>
      <c r="M76" s="5" t="str">
        <f aca="false">IF(AND(N(K76)&gt;0,N(L76)&gt;0),K76/L76,"")</f>
        <v/>
      </c>
      <c r="N76" s="2" t="s">
        <v>76</v>
      </c>
    </row>
    <row r="77" customFormat="false" ht="15" hidden="false" customHeight="false" outlineLevel="0" collapsed="false">
      <c r="A77" s="2" t="n">
        <v>76</v>
      </c>
      <c r="B77" s="2" t="s">
        <v>208</v>
      </c>
      <c r="C77" s="2" t="s">
        <v>209</v>
      </c>
      <c r="D77" s="2" t="s">
        <v>20</v>
      </c>
      <c r="E77" s="2" t="s">
        <v>25</v>
      </c>
      <c r="F77" s="3" t="n">
        <v>0.000805</v>
      </c>
      <c r="G77" s="3" t="n">
        <f aca="false">SUM($F$2:F77)</f>
        <v>0.997987</v>
      </c>
      <c r="H77" s="4" t="n">
        <v>1.65</v>
      </c>
      <c r="I77" s="5" t="n">
        <v>23.5714</v>
      </c>
      <c r="J77" s="4" t="n">
        <v>0.07</v>
      </c>
      <c r="K77" s="5" t="n">
        <v>0.3714</v>
      </c>
      <c r="L77" s="6" t="n">
        <v>68.9215</v>
      </c>
      <c r="M77" s="5" t="n">
        <f aca="false">IF(AND(N(K77)&gt;0,N(L77)&gt;0),K77/L77,"")</f>
        <v>0.00538873936289837</v>
      </c>
      <c r="N77" s="2"/>
    </row>
    <row r="78" customFormat="false" ht="15" hidden="false" customHeight="false" outlineLevel="0" collapsed="false">
      <c r="A78" s="2" t="n">
        <v>77</v>
      </c>
      <c r="B78" s="2" t="s">
        <v>210</v>
      </c>
      <c r="C78" s="2" t="s">
        <v>211</v>
      </c>
      <c r="D78" s="2" t="s">
        <v>20</v>
      </c>
      <c r="E78" s="2" t="s">
        <v>114</v>
      </c>
      <c r="F78" s="3" t="n">
        <v>0.000704</v>
      </c>
      <c r="G78" s="3" t="n">
        <f aca="false">SUM($F$2:F78)</f>
        <v>0.998691</v>
      </c>
      <c r="H78" s="4" t="n">
        <v>4.58</v>
      </c>
      <c r="I78" s="5"/>
      <c r="J78" s="4"/>
      <c r="K78" s="5" t="n">
        <v>0.3474</v>
      </c>
      <c r="L78" s="6"/>
      <c r="M78" s="5" t="str">
        <f aca="false">IF(AND(N(K78)&gt;0,N(L78)&gt;0),K78/L78,"")</f>
        <v/>
      </c>
      <c r="N78" s="2" t="s">
        <v>125</v>
      </c>
    </row>
    <row r="79" customFormat="false" ht="15" hidden="false" customHeight="false" outlineLevel="0" collapsed="false">
      <c r="A79" s="2" t="n">
        <v>78</v>
      </c>
      <c r="B79" s="2" t="s">
        <v>212</v>
      </c>
      <c r="C79" s="2" t="s">
        <v>213</v>
      </c>
      <c r="D79" s="2"/>
      <c r="E79" s="2"/>
      <c r="F79" s="3" t="n">
        <v>0.000603</v>
      </c>
      <c r="G79" s="3" t="n">
        <f aca="false">SUM($F$2:F79)</f>
        <v>0.999294</v>
      </c>
      <c r="H79" s="4"/>
      <c r="I79" s="5"/>
      <c r="J79" s="4"/>
      <c r="K79" s="5"/>
      <c r="L79" s="6"/>
      <c r="M79" s="5" t="str">
        <f aca="false">IF(AND(N(K79)&gt;0,N(L79)&gt;0),K79/L79,"")</f>
        <v/>
      </c>
      <c r="N79" s="2" t="s">
        <v>76</v>
      </c>
    </row>
    <row r="80" customFormat="false" ht="15" hidden="false" customHeight="false" outlineLevel="0" collapsed="false">
      <c r="A80" s="2" t="n">
        <v>79</v>
      </c>
      <c r="B80" s="2" t="s">
        <v>214</v>
      </c>
      <c r="C80" s="2" t="s">
        <v>215</v>
      </c>
      <c r="D80" s="2" t="s">
        <v>16</v>
      </c>
      <c r="E80" s="2" t="s">
        <v>111</v>
      </c>
      <c r="F80" s="3" t="n">
        <v>0.000503</v>
      </c>
      <c r="G80" s="3" t="n">
        <f aca="false">SUM($F$2:F80)</f>
        <v>0.999797</v>
      </c>
      <c r="H80" s="4"/>
      <c r="I80" s="5" t="n">
        <v>326.3889</v>
      </c>
      <c r="J80" s="4" t="n">
        <v>0.72</v>
      </c>
      <c r="K80" s="5"/>
      <c r="L80" s="6" t="n">
        <v>12.8107</v>
      </c>
      <c r="M80" s="5" t="str">
        <f aca="false">IF(AND(N(K80)&gt;0,N(L80)&gt;0),K80/L80,"")</f>
        <v/>
      </c>
      <c r="N80" s="2" t="s">
        <v>26</v>
      </c>
    </row>
    <row r="81" customFormat="false" ht="15" hidden="false" customHeight="false" outlineLevel="0" collapsed="false">
      <c r="A81" s="2" t="n">
        <v>80</v>
      </c>
      <c r="B81" s="2" t="s">
        <v>216</v>
      </c>
      <c r="C81" s="2" t="s">
        <v>217</v>
      </c>
      <c r="D81" s="2" t="s">
        <v>29</v>
      </c>
      <c r="E81" s="2" t="s">
        <v>188</v>
      </c>
      <c r="F81" s="3" t="n">
        <v>0.000201</v>
      </c>
      <c r="G81" s="3" t="n">
        <f aca="false">SUM($F$2:F81)</f>
        <v>0.999998</v>
      </c>
      <c r="H81" s="4"/>
      <c r="I81" s="5"/>
      <c r="J81" s="4" t="n">
        <v>-1.16</v>
      </c>
      <c r="K81" s="5"/>
      <c r="L81" s="6" t="n">
        <v>1.0428</v>
      </c>
      <c r="M81" s="5" t="str">
        <f aca="false">IF(AND(N(K81)&gt;0,N(L81)&gt;0),K81/L81,"")</f>
        <v/>
      </c>
      <c r="N81" s="2" t="s">
        <v>69</v>
      </c>
    </row>
  </sheetData>
  <autoFilter ref="A1:N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.98"/>
    <col collapsed="false" customWidth="true" hidden="false" outlineLevel="0" max="2" min="2" style="0" width="16.01"/>
    <col collapsed="false" customWidth="true" hidden="false" outlineLevel="0" max="3" min="3" style="0" width="13.99"/>
    <col collapsed="false" customWidth="true" hidden="false" outlineLevel="0" max="4" min="4" style="0" width="20.04"/>
  </cols>
  <sheetData>
    <row r="1" customFormat="false" ht="15" hidden="false" customHeight="false" outlineLevel="0" collapsed="false">
      <c r="A1" s="7" t="s">
        <v>3</v>
      </c>
      <c r="B1" s="7" t="s">
        <v>218</v>
      </c>
      <c r="C1" s="7" t="s">
        <v>219</v>
      </c>
      <c r="D1" s="7" t="s">
        <v>220</v>
      </c>
    </row>
    <row r="2" customFormat="false" ht="15" hidden="false" customHeight="false" outlineLevel="0" collapsed="false">
      <c r="A2" s="2" t="s">
        <v>53</v>
      </c>
      <c r="B2" s="3" t="n">
        <f aca="false">SUMIF(Holdings!$D$2:$D$81,A2,Holdings!$F$2:$F$81)</f>
        <v>0.025848</v>
      </c>
      <c r="C2" s="2" t="n">
        <f aca="false">COUNTIF(Holdings!$D$2:$D$81,A2)</f>
        <v>2</v>
      </c>
      <c r="D2" s="8" t="n">
        <f aca="false">IFERROR(AVERAGEIFS(Holdings!$I$2:$I$81,Holdings!$D$2:$D$81,A2,Holdings!$I$2:$I$81,"&lt;=100"),"")</f>
        <v>16.9338</v>
      </c>
    </row>
    <row r="3" customFormat="false" ht="15" hidden="false" customHeight="false" outlineLevel="0" collapsed="false">
      <c r="A3" s="2" t="s">
        <v>40</v>
      </c>
      <c r="B3" s="3" t="n">
        <f aca="false">SUMIF(Holdings!$D$2:$D$81,A3,Holdings!$F$2:$F$81)</f>
        <v>0.061751</v>
      </c>
      <c r="C3" s="2" t="n">
        <f aca="false">COUNTIF(Holdings!$D$2:$D$81,A3)</f>
        <v>5</v>
      </c>
      <c r="D3" s="8" t="n">
        <f aca="false">IFERROR(AVERAGEIFS(Holdings!$I$2:$I$81,Holdings!$D$2:$D$81,A3,Holdings!$I$2:$I$81,"&lt;=100"),"")</f>
        <v>14.5</v>
      </c>
    </row>
    <row r="4" customFormat="false" ht="15" hidden="false" customHeight="false" outlineLevel="0" collapsed="false">
      <c r="A4" s="2" t="s">
        <v>221</v>
      </c>
      <c r="B4" s="3" t="n">
        <f aca="false">SUMIF(Holdings!$D$2:$D$81,A4,Holdings!$F$2:$F$81)</f>
        <v>0</v>
      </c>
      <c r="C4" s="2" t="n">
        <f aca="false">COUNTIF(Holdings!$D$2:$D$81,A4)</f>
        <v>0</v>
      </c>
      <c r="D4" s="8" t="str">
        <f aca="false">IFERROR(AVERAGEIFS(Holdings!$I$2:$I$81,Holdings!$D$2:$D$81,A4,Holdings!$I$2:$I$81,"&lt;=100"),"")</f>
        <v/>
      </c>
    </row>
    <row r="5" customFormat="false" ht="15" hidden="false" customHeight="false" outlineLevel="0" collapsed="false">
      <c r="A5" s="2" t="s">
        <v>222</v>
      </c>
      <c r="B5" s="3" t="n">
        <f aca="false">SUMIF(Holdings!$D$2:$D$81,A5,Holdings!$F$2:$F$81)</f>
        <v>0</v>
      </c>
      <c r="C5" s="2" t="n">
        <f aca="false">COUNTIF(Holdings!$D$2:$D$81,A5)</f>
        <v>0</v>
      </c>
      <c r="D5" s="8" t="str">
        <f aca="false">IFERROR(AVERAGEIFS(Holdings!$I$2:$I$81,Holdings!$D$2:$D$81,A5,Holdings!$I$2:$I$81,"&lt;=100"),"")</f>
        <v/>
      </c>
    </row>
    <row r="6" customFormat="false" ht="15" hidden="false" customHeight="false" outlineLevel="0" collapsed="false">
      <c r="A6" s="2" t="s">
        <v>223</v>
      </c>
      <c r="B6" s="3" t="n">
        <f aca="false">SUMIF(Holdings!$D$2:$D$81,A6,Holdings!$F$2:$F$81)</f>
        <v>0</v>
      </c>
      <c r="C6" s="2" t="n">
        <f aca="false">COUNTIF(Holdings!$D$2:$D$81,A6)</f>
        <v>0</v>
      </c>
      <c r="D6" s="8" t="str">
        <f aca="false">IFERROR(AVERAGEIFS(Holdings!$I$2:$I$81,Holdings!$D$2:$D$81,A6,Holdings!$I$2:$I$81,"&lt;=100"),"")</f>
        <v/>
      </c>
    </row>
    <row r="7" customFormat="false" ht="15" hidden="false" customHeight="false" outlineLevel="0" collapsed="false">
      <c r="A7" s="2" t="s">
        <v>16</v>
      </c>
      <c r="B7" s="3" t="n">
        <f aca="false">SUMIF(Holdings!$D$2:$D$81,A7,Holdings!$F$2:$F$81)</f>
        <v>0.111637</v>
      </c>
      <c r="C7" s="2" t="n">
        <f aca="false">COUNTIF(Holdings!$D$2:$D$81,A7)</f>
        <v>8</v>
      </c>
      <c r="D7" s="8" t="n">
        <f aca="false">IFERROR(AVERAGEIFS(Holdings!$I$2:$I$81,Holdings!$D$2:$D$81,A7,Holdings!$I$2:$I$81,"&lt;=100"),"")</f>
        <v>42.44905</v>
      </c>
    </row>
    <row r="8" customFormat="false" ht="15" hidden="false" customHeight="false" outlineLevel="0" collapsed="false">
      <c r="A8" s="2" t="s">
        <v>20</v>
      </c>
      <c r="B8" s="3" t="n">
        <f aca="false">SUMIF(Holdings!$D$2:$D$81,A8,Holdings!$F$2:$F$81)</f>
        <v>0.490193</v>
      </c>
      <c r="C8" s="2" t="n">
        <f aca="false">COUNTIF(Holdings!$D$2:$D$81,A8)</f>
        <v>40</v>
      </c>
      <c r="D8" s="8" t="n">
        <f aca="false">IFERROR(AVERAGEIFS(Holdings!$I$2:$I$81,Holdings!$D$2:$D$81,A8,Holdings!$I$2:$I$81,"&lt;=100"),"")</f>
        <v>31.7256117647059</v>
      </c>
    </row>
    <row r="9" customFormat="false" ht="15" hidden="false" customHeight="false" outlineLevel="0" collapsed="false">
      <c r="A9" s="2" t="s">
        <v>29</v>
      </c>
      <c r="B9" s="3" t="n">
        <f aca="false">SUMIF(Holdings!$D$2:$D$81,A9,Holdings!$F$2:$F$81)</f>
        <v>0.278285</v>
      </c>
      <c r="C9" s="2" t="n">
        <f aca="false">COUNTIF(Holdings!$D$2:$D$81,A9)</f>
        <v>18</v>
      </c>
      <c r="D9" s="8" t="n">
        <f aca="false">IFERROR(AVERAGEIFS(Holdings!$I$2:$I$81,Holdings!$D$2:$D$81,A9,Holdings!$I$2:$I$81,"&lt;=100"),"")</f>
        <v>52.7294875</v>
      </c>
    </row>
    <row r="10" customFormat="false" ht="15" hidden="false" customHeight="false" outlineLevel="0" collapsed="false">
      <c r="A10" s="2" t="s">
        <v>224</v>
      </c>
      <c r="B10" s="3" t="n">
        <f aca="false">SUMIF(Holdings!$D$2:$D$81,A10,Holdings!$F$2:$F$81)</f>
        <v>0</v>
      </c>
      <c r="C10" s="2" t="n">
        <f aca="false">COUNTIF(Holdings!$D$2:$D$81,A10)</f>
        <v>0</v>
      </c>
      <c r="D10" s="8" t="str">
        <f aca="false">IFERROR(AVERAGEIFS(Holdings!$I$2:$I$81,Holdings!$D$2:$D$81,A10,Holdings!$I$2:$I$81,"&lt;=100"),"")</f>
        <v/>
      </c>
    </row>
    <row r="11" customFormat="false" ht="15" hidden="false" customHeight="false" outlineLevel="0" collapsed="false">
      <c r="A11" s="2" t="s">
        <v>225</v>
      </c>
      <c r="B11" s="3" t="n">
        <f aca="false">SUMIF(Holdings!$D$2:$D$81,A11,Holdings!$F$2:$F$81)</f>
        <v>0</v>
      </c>
      <c r="C11" s="2" t="n">
        <f aca="false">COUNTIF(Holdings!$D$2:$D$81,A11)</f>
        <v>0</v>
      </c>
      <c r="D11" s="8" t="str">
        <f aca="false">IFERROR(AVERAGEIFS(Holdings!$I$2:$I$81,Holdings!$D$2:$D$81,A11,Holdings!$I$2:$I$81,"&lt;=100"),"")</f>
        <v/>
      </c>
    </row>
    <row r="12" customFormat="false" ht="15" hidden="false" customHeight="false" outlineLevel="0" collapsed="false">
      <c r="A12" s="2" t="s">
        <v>226</v>
      </c>
      <c r="B12" s="3" t="n">
        <f aca="false">SUMIF(Holdings!$D$2:$D$81,A12,Holdings!$F$2:$F$81)</f>
        <v>0</v>
      </c>
      <c r="C12" s="2" t="n">
        <f aca="false">COUNTIF(Holdings!$D$2:$D$81,A12)</f>
        <v>0</v>
      </c>
      <c r="D12" s="8" t="str">
        <f aca="false">IFERROR(AVERAGEIFS(Holdings!$I$2:$I$81,Holdings!$D$2:$D$81,A12,Holdings!$I$2:$I$81,"&lt;=100"),"")</f>
        <v/>
      </c>
    </row>
    <row r="13" customFormat="false" ht="15" hidden="false" customHeight="false" outlineLevel="0" collapsed="false">
      <c r="A13" s="2" t="s">
        <v>227</v>
      </c>
      <c r="B13" s="3" t="n">
        <f aca="false">1-SUM(B2:B12)</f>
        <v>0.032286</v>
      </c>
      <c r="C13" s="2" t="n">
        <f aca="false">COUNTBLANK(Holdings!$D$2:$D$81)</f>
        <v>7</v>
      </c>
      <c r="D13" s="8"/>
    </row>
    <row r="14" customFormat="false" ht="15" hidden="false" customHeight="false" outlineLevel="0" collapsed="false">
      <c r="A14" s="9" t="s">
        <v>228</v>
      </c>
      <c r="B14" s="10" t="n">
        <f aca="false">SUM(B2:B13)</f>
        <v>1</v>
      </c>
      <c r="C14" s="9" t="n">
        <f aca="false">SUM(C2:C13)</f>
        <v>80</v>
      </c>
      <c r="D1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2" t="s">
        <v>229</v>
      </c>
    </row>
    <row r="2" customFormat="false" ht="15" hidden="false" customHeight="false" outlineLevel="0" collapsed="false">
      <c r="A2" s="13" t="s">
        <v>230</v>
      </c>
    </row>
    <row r="3" customFormat="false" ht="15" hidden="false" customHeight="false" outlineLevel="0" collapsed="false">
      <c r="A3" s="13" t="s">
        <v>231</v>
      </c>
      <c r="B3" s="14" t="n">
        <v>0.235</v>
      </c>
    </row>
    <row r="4" customFormat="false" ht="15" hidden="false" customHeight="false" outlineLevel="0" collapsed="false">
      <c r="A4" s="13" t="s">
        <v>232</v>
      </c>
      <c r="B4" s="15" t="n">
        <v>0.135</v>
      </c>
    </row>
    <row r="6" customFormat="false" ht="15" hidden="false" customHeight="false" outlineLevel="0" collapsed="false">
      <c r="A6" s="1" t="s">
        <v>1</v>
      </c>
      <c r="B6" s="1" t="s">
        <v>233</v>
      </c>
      <c r="C6" s="1" t="s">
        <v>234</v>
      </c>
      <c r="D6" s="1" t="s">
        <v>235</v>
      </c>
    </row>
    <row r="7" customFormat="false" ht="15" hidden="false" customHeight="false" outlineLevel="0" collapsed="false">
      <c r="A7" s="13" t="s">
        <v>14</v>
      </c>
      <c r="B7" s="16" t="n">
        <v>0.0844</v>
      </c>
      <c r="C7" s="16" t="n">
        <v>0.002</v>
      </c>
      <c r="D7" s="17" t="n">
        <f aca="false">IF(C7&gt;0,B7/C7,"")</f>
        <v>42.2</v>
      </c>
    </row>
    <row r="8" customFormat="false" ht="15" hidden="false" customHeight="false" outlineLevel="0" collapsed="false">
      <c r="A8" s="13" t="s">
        <v>27</v>
      </c>
      <c r="B8" s="16" t="n">
        <v>0.0797</v>
      </c>
      <c r="C8" s="16" t="n">
        <v>0.0773</v>
      </c>
      <c r="D8" s="17" t="n">
        <f aca="false">IF(C8&gt;0,B8/C8,"")</f>
        <v>1.03104786545925</v>
      </c>
    </row>
    <row r="9" customFormat="false" ht="15" hidden="false" customHeight="false" outlineLevel="0" collapsed="false">
      <c r="A9" s="13" t="s">
        <v>48</v>
      </c>
      <c r="B9" s="16" t="n">
        <v>0.0207</v>
      </c>
      <c r="C9" s="16" t="n">
        <v>0.0208</v>
      </c>
      <c r="D9" s="17" t="n">
        <f aca="false">IF(C9&gt;0,B9/C9,"")</f>
        <v>0.995192307692308</v>
      </c>
    </row>
    <row r="10" customFormat="false" ht="15" hidden="false" customHeight="false" outlineLevel="0" collapsed="false">
      <c r="A10" s="13" t="s">
        <v>51</v>
      </c>
      <c r="B10" s="16" t="n">
        <v>0.0203</v>
      </c>
      <c r="C10" s="16" t="n">
        <v>0.0316</v>
      </c>
      <c r="D10" s="17" t="n">
        <f aca="false">IF(C10&gt;0,B10/C10,"")</f>
        <v>0.642405063291139</v>
      </c>
    </row>
    <row r="11" customFormat="false" ht="15" hidden="false" customHeight="false" outlineLevel="0" collapsed="false">
      <c r="A11" s="13" t="s">
        <v>61</v>
      </c>
      <c r="B11" s="16" t="n">
        <v>0.0196</v>
      </c>
      <c r="C11" s="16" t="n">
        <v>0.0026</v>
      </c>
      <c r="D11" s="17" t="n">
        <f aca="false">IF(C11&gt;0,B11/C11,"")</f>
        <v>7.53846153846154</v>
      </c>
    </row>
    <row r="12" customFormat="false" ht="15" hidden="false" customHeight="false" outlineLevel="0" collapsed="false">
      <c r="A12" s="13" t="s">
        <v>89</v>
      </c>
      <c r="B12" s="16" t="n">
        <v>0.0104</v>
      </c>
      <c r="C12" s="16" t="n">
        <v>0.0007</v>
      </c>
      <c r="D12" s="17" t="n">
        <f aca="false">IF(C12&gt;0,B12/C12,"")</f>
        <v>14.8571428571429</v>
      </c>
    </row>
    <row r="13" customFormat="false" ht="15" hidden="false" customHeight="false" outlineLevel="0" collapsed="false">
      <c r="A13" s="12" t="s">
        <v>236</v>
      </c>
      <c r="B13" s="14" t="n">
        <f aca="false">SUM(B7:B12)</f>
        <v>0.2351</v>
      </c>
      <c r="C13" s="15" t="n">
        <f aca="false">SUM(C7:C12)</f>
        <v>0.135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.04"/>
  </cols>
  <sheetData>
    <row r="1" customFormat="false" ht="15" hidden="false" customHeight="false" outlineLevel="0" collapsed="false">
      <c r="A1" s="18" t="s">
        <v>237</v>
      </c>
    </row>
    <row r="2" customFormat="false" ht="52.2" hidden="false" customHeight="false" outlineLevel="0" collapsed="false">
      <c r="A2" s="18" t="s">
        <v>238</v>
      </c>
    </row>
    <row r="3" customFormat="false" ht="39.55" hidden="false" customHeight="false" outlineLevel="0" collapsed="false">
      <c r="A3" s="18" t="s">
        <v>239</v>
      </c>
    </row>
    <row r="4" customFormat="false" ht="15" hidden="false" customHeight="false" outlineLevel="0" collapsed="false">
      <c r="A4" s="18" t="s">
        <v>240</v>
      </c>
    </row>
    <row r="5" customFormat="false" ht="39.55" hidden="false" customHeight="false" outlineLevel="0" collapsed="false">
      <c r="A5" s="18" t="s">
        <v>241</v>
      </c>
    </row>
    <row r="6" customFormat="false" ht="15" hidden="false" customHeight="false" outlineLevel="0" collapsed="false">
      <c r="A6" s="18" t="s">
        <v>242</v>
      </c>
    </row>
    <row r="7" customFormat="false" ht="26.85" hidden="false" customHeight="false" outlineLevel="0" collapsed="false">
      <c r="A7" s="18" t="s">
        <v>243</v>
      </c>
    </row>
    <row r="8" customFormat="false" ht="15" hidden="false" customHeight="false" outlineLevel="0" collapsed="false">
      <c r="A8" s="18" t="s">
        <v>244</v>
      </c>
    </row>
    <row r="9" customFormat="false" ht="15" hidden="false" customHeight="false" outlineLevel="0" collapsed="false">
      <c r="A9" s="18"/>
    </row>
    <row r="10" customFormat="false" ht="52.2" hidden="false" customHeight="false" outlineLevel="0" collapsed="false">
      <c r="A10" s="18" t="s">
        <v>245</v>
      </c>
    </row>
    <row r="11" customFormat="false" ht="15" hidden="false" customHeight="false" outlineLevel="0" collapsed="false">
      <c r="A11" s="18" t="s">
        <v>246</v>
      </c>
    </row>
    <row r="12" customFormat="false" ht="26.85" hidden="false" customHeight="false" outlineLevel="0" collapsed="false">
      <c r="A12" s="18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3.85" hidden="false" customHeight="false" outlineLevel="0" collapsed="false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</row>
    <row r="2" customFormat="false" ht="15" hidden="false" customHeight="false" outlineLevel="0" collapsed="false">
      <c r="A2" s="19" t="n">
        <v>2017</v>
      </c>
      <c r="B2" s="20" t="str">
        <f aca="false">INT(A2/10)*10&amp;"s"</f>
        <v>2010s</v>
      </c>
      <c r="C2" s="21" t="n">
        <v>0.58</v>
      </c>
      <c r="D2" s="21" t="n">
        <v>0.5801</v>
      </c>
      <c r="E2" s="21" t="n">
        <v>0.5474</v>
      </c>
      <c r="F2" s="21" t="n">
        <v>0.5475</v>
      </c>
      <c r="G2" s="20" t="str">
        <f aca="false">IF(D2&gt;=0,"Up","Down")</f>
        <v>Up</v>
      </c>
      <c r="H2" s="22" t="n">
        <f aca="false">1+D2</f>
        <v>1.5801</v>
      </c>
      <c r="I2" s="22" t="n">
        <f aca="false">1+C2</f>
        <v>1.58</v>
      </c>
      <c r="J2" s="21" t="n">
        <v>0.2171</v>
      </c>
    </row>
    <row r="3" customFormat="false" ht="15" hidden="false" customHeight="false" outlineLevel="0" collapsed="false">
      <c r="A3" s="19" t="n">
        <v>2018</v>
      </c>
      <c r="B3" s="20" t="str">
        <f aca="false">INT(A3/10)*10&amp;"s"</f>
        <v>2010s</v>
      </c>
      <c r="C3" s="21" t="n">
        <v>-0.2937</v>
      </c>
      <c r="D3" s="21" t="n">
        <v>-0.2834</v>
      </c>
      <c r="E3" s="21" t="n">
        <v>-0.3069</v>
      </c>
      <c r="F3" s="21" t="n">
        <v>-0.2969</v>
      </c>
      <c r="G3" s="20" t="str">
        <f aca="false">IF(D3&gt;=0,"Up","Down")</f>
        <v>Down</v>
      </c>
      <c r="H3" s="22" t="n">
        <f aca="false">H2*(1+D3)</f>
        <v>1.13229966</v>
      </c>
      <c r="I3" s="22" t="n">
        <f aca="false">I2*(1+C3)</f>
        <v>1.115954</v>
      </c>
      <c r="J3" s="21" t="n">
        <v>-0.0457</v>
      </c>
    </row>
    <row r="4" customFormat="false" ht="15" hidden="false" customHeight="false" outlineLevel="0" collapsed="false">
      <c r="A4" s="19" t="n">
        <v>2019</v>
      </c>
      <c r="B4" s="20" t="str">
        <f aca="false">INT(A4/10)*10&amp;"s"</f>
        <v>2010s</v>
      </c>
      <c r="C4" s="21" t="n">
        <v>0.3065</v>
      </c>
      <c r="D4" s="21" t="n">
        <v>0.318</v>
      </c>
      <c r="E4" s="21" t="n">
        <v>0.2773</v>
      </c>
      <c r="F4" s="21" t="n">
        <v>0.2886</v>
      </c>
      <c r="G4" s="20" t="str">
        <f aca="false">IF(D4&gt;=0,"Up","Down")</f>
        <v>Up</v>
      </c>
      <c r="H4" s="22" t="n">
        <f aca="false">H3*(1+D4)</f>
        <v>1.49237095188</v>
      </c>
      <c r="I4" s="22" t="n">
        <f aca="false">I3*(1+C4)</f>
        <v>1.457993901</v>
      </c>
      <c r="J4" s="21" t="n">
        <v>0.3122</v>
      </c>
    </row>
    <row r="5" customFormat="false" ht="15" hidden="false" customHeight="false" outlineLevel="0" collapsed="false">
      <c r="A5" s="19" t="n">
        <v>2020</v>
      </c>
      <c r="B5" s="20" t="str">
        <f aca="false">INT(A5/10)*10&amp;"s"</f>
        <v>2020s</v>
      </c>
      <c r="C5" s="21" t="n">
        <v>0.5151</v>
      </c>
      <c r="D5" s="21" t="n">
        <v>0.5192</v>
      </c>
      <c r="E5" s="21" t="n">
        <v>0.4947</v>
      </c>
      <c r="F5" s="21" t="n">
        <v>0.4988</v>
      </c>
      <c r="G5" s="20" t="str">
        <f aca="false">IF(D5&gt;=0,"Up","Down")</f>
        <v>Up</v>
      </c>
      <c r="H5" s="22" t="n">
        <f aca="false">H4*(1+D5)</f>
        <v>2.2672099500961</v>
      </c>
      <c r="I5" s="22" t="n">
        <f aca="false">I4*(1+C5)</f>
        <v>2.2090065594051</v>
      </c>
      <c r="J5" s="21" t="n">
        <v>0.1833</v>
      </c>
    </row>
    <row r="6" customFormat="false" ht="15" hidden="false" customHeight="false" outlineLevel="0" collapsed="false">
      <c r="A6" s="19" t="n">
        <v>2021</v>
      </c>
      <c r="B6" s="20" t="str">
        <f aca="false">INT(A6/10)*10&amp;"s"</f>
        <v>2020s</v>
      </c>
      <c r="C6" s="21" t="n">
        <v>0.0847</v>
      </c>
      <c r="D6" s="21" t="n">
        <v>0.0865</v>
      </c>
      <c r="E6" s="21" t="n">
        <v>0.0134</v>
      </c>
      <c r="F6" s="21" t="n">
        <v>0.015</v>
      </c>
      <c r="G6" s="20" t="str">
        <f aca="false">IF(D6&gt;=0,"Up","Down")</f>
        <v>Up</v>
      </c>
      <c r="H6" s="22" t="n">
        <f aca="false">H5*(1+D6)</f>
        <v>2.46332361077941</v>
      </c>
      <c r="I6" s="22" t="n">
        <f aca="false">I5*(1+C6)</f>
        <v>2.39610941498671</v>
      </c>
      <c r="J6" s="21" t="n">
        <v>0.2873</v>
      </c>
    </row>
    <row r="7" customFormat="false" ht="15" hidden="false" customHeight="false" outlineLevel="0" collapsed="false">
      <c r="A7" s="19" t="n">
        <v>2022</v>
      </c>
      <c r="B7" s="20" t="str">
        <f aca="false">INT(A7/10)*10&amp;"s"</f>
        <v>2020s</v>
      </c>
      <c r="C7" s="21" t="n">
        <v>-0.4282</v>
      </c>
      <c r="D7" s="21" t="n">
        <v>-0.4269</v>
      </c>
      <c r="E7" s="21" t="n">
        <v>-0.4629</v>
      </c>
      <c r="F7" s="21" t="n">
        <v>-0.4617</v>
      </c>
      <c r="G7" s="20" t="str">
        <f aca="false">IF(D7&gt;=0,"Up","Down")</f>
        <v>Down</v>
      </c>
      <c r="H7" s="22" t="n">
        <f aca="false">H6*(1+D7)</f>
        <v>1.41173076133768</v>
      </c>
      <c r="I7" s="22" t="n">
        <f aca="false">I6*(1+C7)</f>
        <v>1.3700953634894</v>
      </c>
      <c r="J7" s="21" t="n">
        <v>-0.1818</v>
      </c>
    </row>
    <row r="8" customFormat="false" ht="15" hidden="false" customHeight="false" outlineLevel="0" collapsed="false">
      <c r="A8" s="19" t="n">
        <v>2023</v>
      </c>
      <c r="B8" s="20" t="str">
        <f aca="false">INT(A8/10)*10&amp;"s"</f>
        <v>2020s</v>
      </c>
      <c r="C8" s="21" t="n">
        <v>0.3869</v>
      </c>
      <c r="D8" s="21" t="n">
        <v>0.3896</v>
      </c>
      <c r="E8" s="21" t="n">
        <v>0.3419</v>
      </c>
      <c r="F8" s="21" t="n">
        <v>0.3446</v>
      </c>
      <c r="G8" s="20" t="str">
        <f aca="false">IF(D8&gt;=0,"Up","Down")</f>
        <v>Up</v>
      </c>
      <c r="H8" s="22" t="n">
        <f aca="false">H7*(1+D8)</f>
        <v>1.96174106595484</v>
      </c>
      <c r="I8" s="22" t="n">
        <f aca="false">I7*(1+C8)</f>
        <v>1.90018525962345</v>
      </c>
      <c r="J8" s="21" t="n">
        <v>0.2618</v>
      </c>
    </row>
    <row r="9" customFormat="false" ht="15" hidden="false" customHeight="false" outlineLevel="0" collapsed="false">
      <c r="A9" s="19" t="n">
        <v>2024</v>
      </c>
      <c r="B9" s="20" t="str">
        <f aca="false">INT(A9/10)*10&amp;"s"</f>
        <v>2020s</v>
      </c>
      <c r="C9" s="21" t="n">
        <v>0.1211</v>
      </c>
      <c r="D9" s="21" t="n">
        <v>0.1226</v>
      </c>
      <c r="E9" s="21" t="n">
        <v>0.0896</v>
      </c>
      <c r="F9" s="21" t="n">
        <v>0.0911</v>
      </c>
      <c r="G9" s="20" t="str">
        <f aca="false">IF(D9&gt;=0,"Up","Down")</f>
        <v>Up</v>
      </c>
      <c r="H9" s="22" t="n">
        <f aca="false">H8*(1+D9)</f>
        <v>2.2022505206409</v>
      </c>
      <c r="I9" s="22" t="n">
        <f aca="false">I8*(1+C9)</f>
        <v>2.13029769456385</v>
      </c>
      <c r="J9" s="21" t="n">
        <v>0.2489</v>
      </c>
    </row>
    <row r="10" customFormat="false" ht="15" hidden="false" customHeight="false" outlineLevel="0" collapsed="false">
      <c r="A10" s="19" t="n">
        <v>2025</v>
      </c>
      <c r="B10" s="20" t="str">
        <f aca="false">INT(A10/10)*10&amp;"s"</f>
        <v>2020s</v>
      </c>
      <c r="C10" s="21" t="n">
        <v>0.134</v>
      </c>
      <c r="D10" s="21" t="n">
        <v>0.1416</v>
      </c>
      <c r="E10" s="21" t="n">
        <v>0.1044</v>
      </c>
      <c r="F10" s="21" t="n">
        <v>0.1119</v>
      </c>
      <c r="G10" s="20" t="str">
        <f aca="false">IF(D10&gt;=0,"Up","Down")</f>
        <v>Up</v>
      </c>
      <c r="H10" s="22" t="n">
        <f aca="false">H9*(1+D10)</f>
        <v>2.51408919436365</v>
      </c>
      <c r="I10" s="22" t="n">
        <f aca="false">I9*(1+C10)</f>
        <v>2.41575758563541</v>
      </c>
      <c r="J10" s="21" t="n">
        <v>0.1772</v>
      </c>
    </row>
    <row r="12" customFormat="false" ht="15" hidden="false" customHeight="false" outlineLevel="0" collapsed="false">
      <c r="A12" s="12" t="s">
        <v>258</v>
      </c>
    </row>
    <row r="13" customFormat="false" ht="15" hidden="false" customHeight="false" outlineLevel="0" collapsed="false">
      <c r="A13" s="13" t="s">
        <v>259</v>
      </c>
      <c r="C13" s="23" t="n">
        <f aca="false">COUNT(A2:A10)</f>
        <v>9</v>
      </c>
    </row>
    <row r="14" customFormat="false" ht="15" hidden="false" customHeight="false" outlineLevel="0" collapsed="false">
      <c r="A14" s="13" t="s">
        <v>260</v>
      </c>
      <c r="C14" s="23" t="n">
        <f aca="false">COUNTIF(D2:D10,"&gt;=0")</f>
        <v>7</v>
      </c>
    </row>
    <row r="15" customFormat="false" ht="15" hidden="false" customHeight="false" outlineLevel="0" collapsed="false">
      <c r="A15" s="13" t="s">
        <v>261</v>
      </c>
      <c r="C15" s="23" t="n">
        <f aca="false">COUNTIF(D2:D10,"&lt;0")</f>
        <v>2</v>
      </c>
    </row>
    <row r="16" customFormat="false" ht="15" hidden="false" customHeight="false" outlineLevel="0" collapsed="false">
      <c r="A16" s="13" t="s">
        <v>262</v>
      </c>
      <c r="C16" s="16" t="n">
        <f aca="false">AVERAGE(D2:D10)</f>
        <v>0.160811111111111</v>
      </c>
    </row>
    <row r="17" customFormat="false" ht="15" hidden="false" customHeight="false" outlineLevel="0" collapsed="false">
      <c r="A17" s="13" t="s">
        <v>263</v>
      </c>
      <c r="C17" s="16" t="n">
        <f aca="false">(H10)^(1/COUNT(A2:A10))-1</f>
        <v>0.107864745299627</v>
      </c>
    </row>
    <row r="18" customFormat="false" ht="15" hidden="false" customHeight="false" outlineLevel="0" collapsed="false">
      <c r="A18" s="13" t="s">
        <v>264</v>
      </c>
      <c r="C18" s="16" t="n">
        <f aca="false">AVERAGE(F2:F10)</f>
        <v>0.126544444444444</v>
      </c>
    </row>
    <row r="19" customFormat="false" ht="15" hidden="false" customHeight="false" outlineLevel="0" collapsed="false">
      <c r="A19" s="13" t="s">
        <v>265</v>
      </c>
      <c r="C19" s="16" t="n">
        <f aca="false">MAX(D2:D10)</f>
        <v>0.5801</v>
      </c>
    </row>
    <row r="20" customFormat="false" ht="15" hidden="false" customHeight="false" outlineLevel="0" collapsed="false">
      <c r="A20" s="13" t="s">
        <v>266</v>
      </c>
      <c r="C20" s="16" t="n">
        <f aca="false">MIN(D2:D10)</f>
        <v>-0.4269</v>
      </c>
    </row>
    <row r="21" customFormat="false" ht="15" hidden="false" customHeight="false" outlineLevel="0" collapsed="false">
      <c r="A21" s="13" t="s">
        <v>267</v>
      </c>
      <c r="C21" s="16" t="n">
        <f aca="false">STDEV(D2:D10)</f>
        <v>0.341206980601381</v>
      </c>
    </row>
    <row r="22" customFormat="false" ht="15" hidden="false" customHeight="false" outlineLevel="0" collapsed="false">
      <c r="A22" s="13" t="s">
        <v>268</v>
      </c>
      <c r="C22" s="24" t="n">
        <f aca="false">H10</f>
        <v>2.51408919436365</v>
      </c>
    </row>
    <row r="23" customFormat="false" ht="15" hidden="false" customHeight="false" outlineLevel="0" collapsed="false">
      <c r="A23" s="13" t="s">
        <v>269</v>
      </c>
      <c r="C23" s="16" t="n">
        <f aca="false">AVERAGE(J2:J10)</f>
        <v>0.162255555555556</v>
      </c>
    </row>
    <row r="24" customFormat="false" ht="15" hidden="false" customHeight="false" outlineLevel="0" collapsed="false">
      <c r="A24" s="13" t="s">
        <v>270</v>
      </c>
      <c r="C24" s="16" t="n">
        <f aca="false">EXP(SUMPRODUCT(LN(1+J2:J10)))^(1/COUNT(J2:J10))-1</f>
        <v>0.15021574397047</v>
      </c>
    </row>
    <row r="25" customFormat="false" ht="15" hidden="false" customHeight="false" outlineLevel="0" collapsed="false">
      <c r="A25" s="13" t="s">
        <v>271</v>
      </c>
      <c r="C25" s="24" t="n">
        <f aca="false">EXP(SUMPRODUCT(LN(1+J2:J10)))</f>
        <v>3.52382044274133</v>
      </c>
    </row>
    <row r="26" customFormat="false" ht="15" hidden="false" customHeight="false" outlineLevel="0" collapsed="false">
      <c r="A26" s="13" t="s">
        <v>272</v>
      </c>
      <c r="C26" s="16" t="n">
        <f aca="false">STDEV(J2:J10)</f>
        <v>0.16614363598338</v>
      </c>
    </row>
    <row r="28" customFormat="false" ht="15" hidden="false" customHeight="false" outlineLevel="0" collapsed="false">
      <c r="A28" s="25" t="s">
        <v>273</v>
      </c>
    </row>
    <row r="29" customFormat="false" ht="15" hidden="false" customHeight="false" outlineLevel="0" collapsed="false">
      <c r="A29" s="25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01"/>
    <col collapsed="false" customWidth="true" hidden="false" outlineLevel="0" max="2" min="2" style="0" width="11.97"/>
    <col collapsed="false" customWidth="true" hidden="false" outlineLevel="0" max="3" min="3" style="0" width="7.94"/>
    <col collapsed="false" customWidth="true" hidden="false" outlineLevel="0" max="5" min="4" style="0" width="13"/>
    <col collapsed="false" customWidth="true" hidden="false" outlineLevel="0" max="6" min="6" style="0" width="11.97"/>
    <col collapsed="false" customWidth="true" hidden="false" outlineLevel="0" max="7" min="7" style="0" width="13.05"/>
    <col collapsed="false" customWidth="true" hidden="false" outlineLevel="0" max="8" min="8" style="0" width="11.97"/>
    <col collapsed="false" customWidth="true" hidden="false" outlineLevel="0" max="9" min="9" style="0" width="13"/>
    <col collapsed="false" customWidth="true" hidden="false" outlineLevel="0" max="10" min="10" style="0" width="13.05"/>
    <col collapsed="false" customWidth="true" hidden="false" outlineLevel="0" max="11" min="11" style="0" width="13"/>
    <col collapsed="false" customWidth="true" hidden="false" outlineLevel="0" max="12" min="12" style="0" width="11.03"/>
    <col collapsed="false" customWidth="true" hidden="false" outlineLevel="0" max="15" min="13" style="0" width="13"/>
  </cols>
  <sheetData>
    <row r="1" customFormat="false" ht="35.05" hidden="false" customHeight="false" outlineLevel="0" collapsed="false">
      <c r="A1" s="1" t="s">
        <v>249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</row>
    <row r="2" customFormat="false" ht="15" hidden="false" customHeight="false" outlineLevel="0" collapsed="false">
      <c r="A2" s="20" t="s">
        <v>289</v>
      </c>
      <c r="B2" s="20" t="s">
        <v>290</v>
      </c>
      <c r="C2" s="20" t="n">
        <f aca="false">COUNTIF('Annual Returns'!$B$2:$B$10,"2010s")</f>
        <v>3</v>
      </c>
      <c r="D2" s="20" t="n">
        <f aca="false">COUNTIFS('Annual Returns'!$B$2:$B$10,"2010s",'Annual Returns'!$D$2:$D$10,"&gt;=0")</f>
        <v>2</v>
      </c>
      <c r="E2" s="20" t="n">
        <f aca="false">COUNTIFS('Annual Returns'!$B$2:$B$10,"2010s",'Annual Returns'!$D$2:$D$10,"&lt;0")</f>
        <v>1</v>
      </c>
      <c r="F2" s="21" t="n">
        <f aca="false">AVERAGEIF('Annual Returns'!$B$2:$B$10,"2010s",'Annual Returns'!$D$2:$D$10)</f>
        <v>0.2049</v>
      </c>
      <c r="G2" s="21" t="n">
        <f aca="false">(1+H2)^(1/C2)-1</f>
        <v>0.142770258644046</v>
      </c>
      <c r="H2" s="21" t="n">
        <f aca="false">EXP(SUMPRODUCT(('Annual Returns'!$B$2:$B$10="2010s")*LN(1+'Annual Returns'!$D$2:$D$10)))-1</f>
        <v>0.49237095188</v>
      </c>
      <c r="I2" s="21" t="n">
        <f aca="false">AVERAGEIF('Annual Returns'!$B$2:$B$10,"2010s",'Annual Returns'!$C$2:$C$10)</f>
        <v>0.1976</v>
      </c>
      <c r="J2" s="21" t="n">
        <f aca="false">(EXP(SUMPRODUCT(('Annual Returns'!$B$2:$B$10="2010s")*LN(1+'Annual Returns'!$C$2:$C$10))))^(1/C2)-1</f>
        <v>0.133927363780036</v>
      </c>
      <c r="K2" s="21" t="n">
        <f aca="false">AVERAGEIF('Annual Returns'!$B$2:$B$10,"2010s",'Annual Returns'!$F$2:$F$10)</f>
        <v>0.179733333333333</v>
      </c>
      <c r="L2" s="21" t="n">
        <f aca="false">_xlfn.MAXIFS('Annual Returns'!$D$2:$D$10,'Annual Returns'!$B$2:$B$10,"2010s")</f>
        <v>0.5801</v>
      </c>
      <c r="M2" s="21" t="n">
        <f aca="false">_xlfn.MINIFS('Annual Returns'!$D$2:$D$10,'Annual Returns'!$B$2:$B$10,"2010s")</f>
        <v>-0.2834</v>
      </c>
      <c r="N2" s="22" t="n">
        <f aca="false">1+H2</f>
        <v>1.49237095188</v>
      </c>
      <c r="O2" s="21" t="n">
        <f aca="false">(EXP(SUMPRODUCT(('Annual Returns'!$B$2:$B$10="2010s")*LN(1+'Annual Returns'!$J$2:$J$10))))^(1/C2)-1</f>
        <v>0.150810299008822</v>
      </c>
    </row>
    <row r="3" customFormat="false" ht="15" hidden="false" customHeight="false" outlineLevel="0" collapsed="false">
      <c r="A3" s="20" t="s">
        <v>291</v>
      </c>
      <c r="B3" s="20" t="s">
        <v>292</v>
      </c>
      <c r="C3" s="20" t="n">
        <f aca="false">COUNTIF('Annual Returns'!$B$2:$B$10,"2020s")</f>
        <v>6</v>
      </c>
      <c r="D3" s="20" t="n">
        <f aca="false">COUNTIFS('Annual Returns'!$B$2:$B$10,"2020s",'Annual Returns'!$D$2:$D$10,"&gt;=0")</f>
        <v>5</v>
      </c>
      <c r="E3" s="20" t="n">
        <f aca="false">COUNTIFS('Annual Returns'!$B$2:$B$10,"2020s",'Annual Returns'!$D$2:$D$10,"&lt;0")</f>
        <v>1</v>
      </c>
      <c r="F3" s="21" t="n">
        <f aca="false">AVERAGEIF('Annual Returns'!$B$2:$B$10,"2020s",'Annual Returns'!$D$2:$D$10)</f>
        <v>0.138766666666667</v>
      </c>
      <c r="G3" s="21" t="n">
        <f aca="false">(1+H3)^(1/C3)-1</f>
        <v>0.0908138638872704</v>
      </c>
      <c r="H3" s="21" t="n">
        <f aca="false">EXP(SUMPRODUCT(('Annual Returns'!$B$2:$B$10="2020s")*LN(1+'Annual Returns'!$D$2:$D$10)))-1</f>
        <v>0.684627532582669</v>
      </c>
      <c r="I3" s="21" t="n">
        <f aca="false">AVERAGEIF('Annual Returns'!$B$2:$B$10,"2020s",'Annual Returns'!$C$2:$C$10)</f>
        <v>0.1356</v>
      </c>
      <c r="J3" s="21" t="n">
        <f aca="false">(EXP(SUMPRODUCT(('Annual Returns'!$B$2:$B$10="2020s")*LN(1+'Annual Returns'!$C$2:$C$10))))^(1/C3)-1</f>
        <v>0.0878013850379795</v>
      </c>
      <c r="K3" s="21" t="n">
        <f aca="false">AVERAGEIF('Annual Returns'!$B$2:$B$10,"2020s",'Annual Returns'!$F$2:$F$10)</f>
        <v>0.09995</v>
      </c>
      <c r="L3" s="21" t="n">
        <f aca="false">_xlfn.MAXIFS('Annual Returns'!$D$2:$D$10,'Annual Returns'!$B$2:$B$10,"2020s")</f>
        <v>0.5192</v>
      </c>
      <c r="M3" s="21" t="n">
        <f aca="false">_xlfn.MINIFS('Annual Returns'!$D$2:$D$10,'Annual Returns'!$B$2:$B$10,"2020s")</f>
        <v>-0.4269</v>
      </c>
      <c r="N3" s="22" t="n">
        <f aca="false">1+H3</f>
        <v>1.68462753258267</v>
      </c>
      <c r="O3" s="21" t="n">
        <f aca="false">(EXP(SUMPRODUCT(('Annual Returns'!$B$2:$B$10="2020s")*LN(1+'Annual Returns'!$J$2:$J$10))))^(1/C3)-1</f>
        <v>0.149918581650387</v>
      </c>
    </row>
    <row r="4" customFormat="false" ht="15" hidden="false" customHeight="false" outlineLevel="0" collapsed="false">
      <c r="A4" s="26" t="s">
        <v>293</v>
      </c>
      <c r="B4" s="26" t="s">
        <v>294</v>
      </c>
      <c r="C4" s="26" t="n">
        <f aca="false">COUNT('Annual Returns'!$A$2:$A$10)</f>
        <v>9</v>
      </c>
      <c r="D4" s="26" t="n">
        <f aca="false">COUNTIF('Annual Returns'!$D$2:$D$10,"&gt;=0")</f>
        <v>7</v>
      </c>
      <c r="E4" s="26" t="n">
        <f aca="false">COUNTIF('Annual Returns'!$D$2:$D$10,"&lt;0")</f>
        <v>2</v>
      </c>
      <c r="F4" s="27" t="n">
        <f aca="false">AVERAGE('Annual Returns'!$D$2:$D$10)</f>
        <v>0.160811111111111</v>
      </c>
      <c r="G4" s="27" t="n">
        <f aca="false">(1+H4)^(1/C4)-1</f>
        <v>0.107864745299627</v>
      </c>
      <c r="H4" s="27" t="n">
        <f aca="false">EXP(SUMPRODUCT(LN(1+'Annual Returns'!$D$2:$D$10)))-1</f>
        <v>1.51408919436365</v>
      </c>
      <c r="I4" s="27" t="n">
        <f aca="false">AVERAGE('Annual Returns'!$C$2:$C$10)</f>
        <v>0.156266666666667</v>
      </c>
      <c r="J4" s="27" t="n">
        <f aca="false">(EXP(SUMPRODUCT(LN(1+'Annual Returns'!$C$2:$C$10))))^(1/C4)-1</f>
        <v>0.102964370675886</v>
      </c>
      <c r="K4" s="27" t="n">
        <f aca="false">AVERAGE('Annual Returns'!$F$2:$F$10)</f>
        <v>0.126544444444444</v>
      </c>
      <c r="L4" s="27" t="n">
        <f aca="false">MAX('Annual Returns'!$D$2:$D$10)</f>
        <v>0.5801</v>
      </c>
      <c r="M4" s="27" t="n">
        <f aca="false">MIN('Annual Returns'!$D$2:$D$10)</f>
        <v>-0.4269</v>
      </c>
      <c r="N4" s="28" t="n">
        <f aca="false">1+H4</f>
        <v>2.51408919436365</v>
      </c>
      <c r="O4" s="27" t="n">
        <f aca="false">(EXP(SUMPRODUCT(LN(1+'Annual Returns'!$J$2:$J$10))))^(1/C4)-1</f>
        <v>0.15021574397047</v>
      </c>
    </row>
    <row r="7" customFormat="false" ht="15" hidden="false" customHeight="false" outlineLevel="0" collapsed="false">
      <c r="A7" s="25" t="s">
        <v>295</v>
      </c>
    </row>
    <row r="8" customFormat="false" ht="15" hidden="false" customHeight="false" outlineLevel="0" collapsed="false">
      <c r="A8" s="25" t="s">
        <v>296</v>
      </c>
    </row>
    <row r="9" customFormat="false" ht="15" hidden="false" customHeight="false" outlineLevel="0" collapsed="false">
      <c r="A9" s="25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2026-09-24T12:56:01Z</dcterms:created>
  <dc:creator>openpyxl</dc:creator>
  <dc:description/>
  <dc:language>en-US</dc:language>
  <cp:lastModifiedBy/>
  <dcterms:modified xsi:type="dcterms:W3CDTF">2026-09-24T12:56:01Z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