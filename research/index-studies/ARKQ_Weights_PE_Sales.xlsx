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<sst xmlns="http://schemas.openxmlformats.org/spreadsheetml/2006/main" count="285" uniqueCount="196">
  <si>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</si>
  <si>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</si>
  <si>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</si>
  <si>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</si>
  <si>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</si>
  <si>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</si>
  <si>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</si>
  <si>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</si>
  <si>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</si>
  <si>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</si>
  <si>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</si>
  <si>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</si>
  <si>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</si>
  <si>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</si>
  <si>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TSLA</t>
  </si>
  <si>
    <t xml:space="preserve">Tesla, Inc.</t>
  </si>
  <si>
    <t xml:space="preserve">Consumer Discretionary</t>
  </si>
  <si>
    <t xml:space="preserve">Auto Manufacturers</t>
  </si>
  <si>
    <t xml:space="preserve">SPCX</t>
  </si>
  <si>
    <t xml:space="preserve">Space Exploration Technologies Corp.</t>
  </si>
  <si>
    <t xml:space="preserve">Industrials</t>
  </si>
  <si>
    <t xml:space="preserve">Aerospace &amp; Defense</t>
  </si>
  <si>
    <t xml:space="preserve">Negative trailing EPS; P/E blank; SpaceX; check listing and data quality</t>
  </si>
  <si>
    <t xml:space="preserve">TER</t>
  </si>
  <si>
    <t xml:space="preserve">Teradyne, Inc.</t>
  </si>
  <si>
    <t xml:space="preserve">Information Technology</t>
  </si>
  <si>
    <t xml:space="preserve">Semiconductor Equipment &amp; Materials</t>
  </si>
  <si>
    <t xml:space="preserve">KTOS</t>
  </si>
  <si>
    <t xml:space="preserve">Kratos Defense &amp; Security Solutions, Inc.</t>
  </si>
  <si>
    <t xml:space="preserve">NVDA</t>
  </si>
  <si>
    <t xml:space="preserve">NVIDIA Corporation</t>
  </si>
  <si>
    <t xml:space="preserve">Semiconductors</t>
  </si>
  <si>
    <t xml:space="preserve">AMD</t>
  </si>
  <si>
    <t xml:space="preserve">Advanced Micro Devices, Inc.</t>
  </si>
  <si>
    <t xml:space="preserve">GOOG</t>
  </si>
  <si>
    <t xml:space="preserve">Alphabet Inc.</t>
  </si>
  <si>
    <t xml:space="preserve">Communication Services</t>
  </si>
  <si>
    <t xml:space="preserve">Internet Content &amp; Information</t>
  </si>
  <si>
    <t xml:space="preserve">PLTR</t>
  </si>
  <si>
    <t xml:space="preserve">Palantir Technologies Inc.</t>
  </si>
  <si>
    <t xml:space="preserve">Software - Infrastructure</t>
  </si>
  <si>
    <t xml:space="preserve">RKLB UQ</t>
  </si>
  <si>
    <t xml:space="preserve">Rocket Lab Corporation</t>
  </si>
  <si>
    <t xml:space="preserve">Negative trailing EPS; P/E blank</t>
  </si>
  <si>
    <t xml:space="preserve">TSM</t>
  </si>
  <si>
    <t xml:space="preserve">Taiwan Semiconductor Manufacturing Company Limited</t>
  </si>
  <si>
    <t xml:space="preserve">ADR: Yahoo mixes USD price with TWD earnings; P/E, EPS, P/S blanked</t>
  </si>
  <si>
    <t xml:space="preserve">AMZN</t>
  </si>
  <si>
    <t xml:space="preserve">Amazon.com, Inc.</t>
  </si>
  <si>
    <t xml:space="preserve">Internet Retail</t>
  </si>
  <si>
    <t xml:space="preserve">DE</t>
  </si>
  <si>
    <t xml:space="preserve">Deere &amp; Company</t>
  </si>
  <si>
    <t xml:space="preserve">Farm &amp; Heavy Construction Machinery</t>
  </si>
  <si>
    <t xml:space="preserve">AVAV</t>
  </si>
  <si>
    <t xml:space="preserve">AeroVironment, Inc.</t>
  </si>
  <si>
    <t xml:space="preserve">LHX</t>
  </si>
  <si>
    <t xml:space="preserve">L3Harris Technologies, Inc.</t>
  </si>
  <si>
    <t xml:space="preserve">ACHR</t>
  </si>
  <si>
    <t xml:space="preserve">Archer Aviation Inc.</t>
  </si>
  <si>
    <t xml:space="preserve">AVGO</t>
  </si>
  <si>
    <t xml:space="preserve">Broadcom Inc.</t>
  </si>
  <si>
    <t xml:space="preserve">TRMB</t>
  </si>
  <si>
    <t xml:space="preserve">Trimble Inc.</t>
  </si>
  <si>
    <t xml:space="preserve">Scientific &amp; Technical Instruments</t>
  </si>
  <si>
    <t xml:space="preserve">LUNR</t>
  </si>
  <si>
    <t xml:space="preserve">Intuitive Machines, Inc.</t>
  </si>
  <si>
    <t xml:space="preserve">KMTUY</t>
  </si>
  <si>
    <t xml:space="preserve">Komatsu Ltd.</t>
  </si>
  <si>
    <t xml:space="preserve">ADR: Yahoo mixes USD price with JPY earnings; P/E, EPS, P/S blanked</t>
  </si>
  <si>
    <t xml:space="preserve">AUR</t>
  </si>
  <si>
    <t xml:space="preserve">Aurora Innovation, Inc.</t>
  </si>
  <si>
    <t xml:space="preserve">Auto Parts</t>
  </si>
  <si>
    <t xml:space="preserve">BWXT</t>
  </si>
  <si>
    <t xml:space="preserve">BWX Technologies, Inc.</t>
  </si>
  <si>
    <t xml:space="preserve">CCJ</t>
  </si>
  <si>
    <t xml:space="preserve">Cameco Corporation</t>
  </si>
  <si>
    <t xml:space="preserve">Energy</t>
  </si>
  <si>
    <t xml:space="preserve">Uranium</t>
  </si>
  <si>
    <t xml:space="preserve">ADR: Yahoo mixes USD price with CAD earnings; P/E, EPS, P/S blanked</t>
  </si>
  <si>
    <t xml:space="preserve">DASH</t>
  </si>
  <si>
    <t xml:space="preserve">DoorDash, Inc.</t>
  </si>
  <si>
    <t xml:space="preserve">SYM UQ</t>
  </si>
  <si>
    <t xml:space="preserve">Symbotic Inc.</t>
  </si>
  <si>
    <t xml:space="preserve">Specialty Industrial Machinery</t>
  </si>
  <si>
    <t xml:space="preserve">P/E reflects near-zero earnings</t>
  </si>
  <si>
    <t xml:space="preserve">ISRG</t>
  </si>
  <si>
    <t xml:space="preserve">Intuitive Surgical, Inc.</t>
  </si>
  <si>
    <t xml:space="preserve">Health Care</t>
  </si>
  <si>
    <t xml:space="preserve">Medical Instruments &amp; Supplies</t>
  </si>
  <si>
    <t xml:space="preserve">CAT</t>
  </si>
  <si>
    <t xml:space="preserve">Caterpillar Inc.</t>
  </si>
  <si>
    <t xml:space="preserve">XE</t>
  </si>
  <si>
    <t xml:space="preserve">X-Energy, Inc.</t>
  </si>
  <si>
    <t xml:space="preserve">ESLT</t>
  </si>
  <si>
    <t xml:space="preserve">Elbit Systems Ltd.</t>
  </si>
  <si>
    <t xml:space="preserve">JOBY</t>
  </si>
  <si>
    <t xml:space="preserve">Joby Aviation, Inc.</t>
  </si>
  <si>
    <t xml:space="preserve">Airports &amp; Air Services</t>
  </si>
  <si>
    <t xml:space="preserve">WRD</t>
  </si>
  <si>
    <t xml:space="preserve">WeRide Inc.</t>
  </si>
  <si>
    <t xml:space="preserve">Software - Application</t>
  </si>
  <si>
    <t xml:space="preserve">ADR: Yahoo mixes USD price with CNY earnings; P/E, EPS, P/S blanked</t>
  </si>
  <si>
    <t xml:space="preserve">PONY</t>
  </si>
  <si>
    <t xml:space="preserve">Pony AI Inc.</t>
  </si>
  <si>
    <t xml:space="preserve">Information Technology Services</t>
  </si>
  <si>
    <t xml:space="preserve">OKLO</t>
  </si>
  <si>
    <t xml:space="preserve">Oklo Inc.</t>
  </si>
  <si>
    <t xml:space="preserve">Utilities</t>
  </si>
  <si>
    <t xml:space="preserve">Utilities - Independent Power Producers</t>
  </si>
  <si>
    <t xml:space="preserve">SNPS</t>
  </si>
  <si>
    <t xml:space="preserve">Synopsys, Inc.</t>
  </si>
  <si>
    <t xml:space="preserve">BIDU</t>
  </si>
  <si>
    <t xml:space="preserve">Baidu, Inc.</t>
  </si>
  <si>
    <t xml:space="preserve">BYDDY</t>
  </si>
  <si>
    <t xml:space="preserve">BYD Company Limited</t>
  </si>
  <si>
    <t xml:space="preserve">KDK</t>
  </si>
  <si>
    <t xml:space="preserve">Kodiak AI, Inc.</t>
  </si>
  <si>
    <t xml:space="preserve">GOOGL</t>
  </si>
  <si>
    <t xml:space="preserve">Approx. Weight</t>
  </si>
  <si>
    <t xml:space="preserve"># of Tickers</t>
  </si>
  <si>
    <t xml:space="preserve">Avg P/E (simple, P/E&lt;=100)</t>
  </si>
  <si>
    <t xml:space="preserve">Consumer Staples</t>
  </si>
  <si>
    <t xml:space="preserve">Financials</t>
  </si>
  <si>
    <t xml:space="preserve">Materials</t>
  </si>
  <si>
    <t xml:space="preserve">Real Estate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</si>
  <si>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</si>
  <si>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</si>
  <si>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</si>
  <si>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16 of 37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</si>
  <si>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</si>
  <si>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</si>
  <si>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</si>
  <si>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</si>
  <si>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</si>
  <si>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</si>
  <si>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ARKQ: ARK Autonomous Technology &amp; Robotics ETF, constituents, weights, trailing P/E and fund history</t>
  </si>
  <si>
    <t xml:space="preserve">Holdings and weights: ARK Investment Management's daily holdings file (ark-funds.com). The cash line (~0.2%) is removed and weights rescaled to 100%. ARKQ is actively managed: a manager's portfolio of about 35-40 stocks, not a rules-based index, and holdings change frequently. As of 09/22/2026.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</si>
  <si>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</si>
  <si>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</si>
  <si>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Many ARKQ holdings are pre-profit (eVTOL, space, autonomy start-ups). Where trailing EPS is negative, P/E is left blank; expect far more blanks than in the S&amp;P 500 file.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</si>
  <si>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</si>
  <si>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</si>
  <si>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</si>
  <si>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(2015-2025) and 'By Decade': the fund launched September 30, 2014,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</si>
  <si>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</si>
  <si>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0.75%;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</si>
  <si>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</si>
  <si>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</si>
  <si>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</si>
  <si>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</si>
  <si>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</si>
  <si>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</si>
  <si>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</si>
  <si>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</si>
  <si>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</si>
  <si>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</si>
  <si>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</si>
  <si>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</si>
  <si>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</si>
  <si>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</si>
  <si>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</si>
  <si>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</si>
  <si>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total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</si>
  <si>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</si>
  <si>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</si>
  <si>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</si>
  <si>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2015-2025)</t>
  </si>
  <si>
    <t xml:space="preserve">S&amp;P 500 (SPY) average annual total return</t>
  </si>
  <si>
    <t xml:space="preserve">S&amp;P 500 (SPY) CAGR, same years</t>
  </si>
  <si>
    <t xml:space="preserve">S&amp;P 500 (SPY) $1 grew to</t>
  </si>
  <si>
    <t xml:space="preserve">S&amp;P 500 (SPY) standard deviation</t>
  </si>
  <si>
    <t xml:space="preserve">Fund returns from Yahoo Finance daily data (last trading day of each year). Total return reinvests distributions. Real returns are CPI-adjusted. 'Average' is the simple mean; 'Annualized / CAGR' is the compound rate actually earned.</t>
  </si>
  <si>
    <t xml:space="preserve">2014 (launch year, partial) and 2026 (incomplete) are excluded. See the Notes tab.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</si>
  <si>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</si>
  <si>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</si>
  <si>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</si>
  <si>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</si>
  <si>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</si>
  <si>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</si>
  <si>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</si>
  <si>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Price Return</t>
  </si>
  <si>
    <t xml:space="preserve">Annualized
(CAGR)
Price Return</t>
  </si>
  <si>
    <t xml:space="preserve">Avg Annual
Real Total Return</t>
  </si>
  <si>
    <t xml:space="preserve">Best Year
(Total)</t>
  </si>
  <si>
    <t xml:space="preserve">Worst Year
(Total)</t>
  </si>
  <si>
    <t xml:space="preserve">$1 Grew To
(Total)</t>
  </si>
  <si>
    <t xml:space="preserve">S&amp;P 500 (SPY)
CAGR, same years</t>
  </si>
  <si>
    <t xml:space="preserve">2010s</t>
  </si>
  <si>
    <t xml:space="preserve">2015–2019 (partial)</t>
  </si>
  <si>
    <t xml:space="preserve">2020s</t>
  </si>
  <si>
    <t xml:space="preserve">2020–2025 (partial)</t>
  </si>
  <si>
    <t xml:space="preserve">All years</t>
  </si>
  <si>
    <t xml:space="preserve">2015–2025</t>
  </si>
  <si>
    <t xml:space="preserve">Decades are calendar decades; partial decades are marked.</t>
  </si>
  <si>
    <t xml:space="preserve">Avg Annual = simple average of the yearly returns. Annualized (CAGR) = the compound rate that turns the starting dollar into the ending dollar.</t>
  </si>
  <si>
    <t xml:space="preserve">All figures pull live from the 'Annual Returns' tab. Source and methodology: see the Notes tab.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</si>
</sst>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  <numFmt numFmtId="172" formatCode="0"/>
    <numFmt numFmtId="173" formatCode="0.00%;[RED]\-0.00%"/>
    <numFmt numFmtId="174" formatCode="\$#,##0.00"/>
    <numFmt numFmtId="175" formatCode="\$#,##0.00"/>
    <numFmt numFmtId="17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0.10794</v>
      </c>
      <c r="G2" s="3" t="n">
        <f aca="false">SUM($F$2:F2)</f>
        <v>0.10794</v>
      </c>
      <c r="H2" s="4" t="n">
        <v>378</v>
      </c>
      <c r="I2" s="5" t="n">
        <v>346.789</v>
      </c>
      <c r="J2" s="4" t="n">
        <v>1.09</v>
      </c>
      <c r="K2" s="5" t="n">
        <v>1492.929</v>
      </c>
      <c r="L2" s="6" t="n">
        <v>14.4079</v>
      </c>
      <c r="M2" s="5" t="n">
        <f aca="false">IF(AND(N(K2)&gt;0,N(L2)&gt;0),K2/L2,"")</f>
        <v>103.618778586748</v>
      </c>
      <c r="N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3" t="n">
        <v>0.081506</v>
      </c>
      <c r="G3" s="3" t="n">
        <f aca="false">SUM($F$2:F3)</f>
        <v>0.189446</v>
      </c>
      <c r="H3" s="4" t="n">
        <v>153.03</v>
      </c>
      <c r="I3" s="5"/>
      <c r="J3" s="4" t="n">
        <v>-1.1</v>
      </c>
      <c r="K3" s="5" t="n">
        <v>2017.2078</v>
      </c>
      <c r="L3" s="6" t="n">
        <v>87.5372</v>
      </c>
      <c r="M3" s="5" t="n">
        <f aca="false">IF(AND(N(K3)&gt;0,N(L3)&gt;0),K3/L3,"")</f>
        <v>23.0440064338361</v>
      </c>
      <c r="N3" s="2" t="s">
        <v>22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3" t="n">
        <v>0.063182</v>
      </c>
      <c r="G4" s="3" t="n">
        <f aca="false">SUM($F$2:F4)</f>
        <v>0.252628</v>
      </c>
      <c r="H4" s="4" t="n">
        <v>385.69</v>
      </c>
      <c r="I4" s="5" t="n">
        <v>52.9794</v>
      </c>
      <c r="J4" s="4" t="n">
        <v>7.28</v>
      </c>
      <c r="K4" s="5" t="n">
        <v>60.2991</v>
      </c>
      <c r="L4" s="6" t="n">
        <v>13.5078</v>
      </c>
      <c r="M4" s="5" t="n">
        <f aca="false">IF(AND(N(K4)&gt;0,N(L4)&gt;0),K4/L4,"")</f>
        <v>4.46402078798916</v>
      </c>
      <c r="N4" s="2"/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28</v>
      </c>
      <c r="D5" s="2" t="s">
        <v>20</v>
      </c>
      <c r="E5" s="2" t="s">
        <v>21</v>
      </c>
      <c r="F5" s="3" t="n">
        <v>0.055572</v>
      </c>
      <c r="G5" s="3" t="n">
        <f aca="false">SUM($F$2:F5)</f>
        <v>0.3082</v>
      </c>
      <c r="H5" s="4" t="n">
        <v>46.7</v>
      </c>
      <c r="I5" s="5" t="n">
        <v>274.7229</v>
      </c>
      <c r="J5" s="4" t="n">
        <v>0.17</v>
      </c>
      <c r="K5" s="5" t="n">
        <v>8.7671</v>
      </c>
      <c r="L5" s="6" t="n">
        <v>5.7584</v>
      </c>
      <c r="M5" s="5" t="n">
        <f aca="false">IF(AND(N(K5)&gt;0,N(L5)&gt;0),K5/L5,"")</f>
        <v>1.52248888580161</v>
      </c>
      <c r="N5" s="2"/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30</v>
      </c>
      <c r="D6" s="2" t="s">
        <v>25</v>
      </c>
      <c r="E6" s="2" t="s">
        <v>31</v>
      </c>
      <c r="F6" s="3" t="n">
        <v>0.049765</v>
      </c>
      <c r="G6" s="3" t="n">
        <f aca="false">SUM($F$2:F6)</f>
        <v>0.357965</v>
      </c>
      <c r="H6" s="4" t="n">
        <v>228.06</v>
      </c>
      <c r="I6" s="5" t="n">
        <v>28.8306</v>
      </c>
      <c r="J6" s="4" t="n">
        <v>7.91</v>
      </c>
      <c r="K6" s="5" t="n">
        <v>5506.7232</v>
      </c>
      <c r="L6" s="6" t="n">
        <v>18.1766</v>
      </c>
      <c r="M6" s="5" t="n">
        <f aca="false">IF(AND(N(K6)&gt;0,N(L6)&gt;0),K6/L6,"")</f>
        <v>302.956724579955</v>
      </c>
      <c r="N6" s="2"/>
    </row>
    <row r="7" customFormat="false" ht="15" hidden="false" customHeight="false" outlineLevel="0" collapsed="false">
      <c r="A7" s="2" t="n">
        <v>6</v>
      </c>
      <c r="B7" s="2" t="s">
        <v>32</v>
      </c>
      <c r="C7" s="2" t="s">
        <v>33</v>
      </c>
      <c r="D7" s="2" t="s">
        <v>25</v>
      </c>
      <c r="E7" s="2" t="s">
        <v>31</v>
      </c>
      <c r="F7" s="3" t="n">
        <v>0.048864</v>
      </c>
      <c r="G7" s="3" t="n">
        <f aca="false">SUM($F$2:F7)</f>
        <v>0.406829</v>
      </c>
      <c r="H7" s="4" t="n">
        <v>619.86</v>
      </c>
      <c r="I7" s="5" t="n">
        <v>157.3236</v>
      </c>
      <c r="J7" s="4" t="n">
        <v>3.94</v>
      </c>
      <c r="K7" s="5" t="n">
        <v>1011.8978</v>
      </c>
      <c r="L7" s="6" t="n">
        <v>24.4982</v>
      </c>
      <c r="M7" s="5" t="n">
        <f aca="false">IF(AND(N(K7)&gt;0,N(L7)&gt;0),K7/L7,"")</f>
        <v>41.3049856724168</v>
      </c>
      <c r="N7" s="2"/>
    </row>
    <row r="8" customFormat="false" ht="15" hidden="false" customHeight="false" outlineLevel="0" collapsed="false">
      <c r="A8" s="2" t="n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3" t="n">
        <v>0.04646</v>
      </c>
      <c r="G8" s="3" t="n">
        <f aca="false">SUM($F$2:F8)</f>
        <v>0.453289</v>
      </c>
      <c r="H8" s="4" t="n">
        <v>356.38</v>
      </c>
      <c r="I8" s="5" t="n">
        <v>17.8886</v>
      </c>
      <c r="J8" s="4" t="n">
        <v>19.93</v>
      </c>
      <c r="K8" s="5" t="n">
        <v>4360.2162</v>
      </c>
      <c r="L8" s="6" t="n">
        <v>9.7752</v>
      </c>
      <c r="M8" s="5" t="n">
        <f aca="false">IF(AND(N(K8)&gt;0,N(L8)&gt;0),K8/L8,"")</f>
        <v>446.048796955561</v>
      </c>
      <c r="N8" s="2"/>
    </row>
    <row r="9" customFormat="false" ht="15" hidden="false" customHeight="false" outlineLevel="0" collapsed="false">
      <c r="A9" s="2" t="n">
        <v>8</v>
      </c>
      <c r="B9" s="2" t="s">
        <v>38</v>
      </c>
      <c r="C9" s="2" t="s">
        <v>39</v>
      </c>
      <c r="D9" s="2" t="s">
        <v>25</v>
      </c>
      <c r="E9" s="2" t="s">
        <v>40</v>
      </c>
      <c r="F9" s="3" t="n">
        <v>0.04636</v>
      </c>
      <c r="G9" s="3" t="n">
        <f aca="false">SUM($F$2:F9)</f>
        <v>0.499649</v>
      </c>
      <c r="H9" s="4" t="n">
        <v>183.65</v>
      </c>
      <c r="I9" s="5" t="n">
        <v>156.9658</v>
      </c>
      <c r="J9" s="4" t="n">
        <v>1.17</v>
      </c>
      <c r="K9" s="5" t="n">
        <v>441.3217</v>
      </c>
      <c r="L9" s="6" t="n">
        <v>71.6904</v>
      </c>
      <c r="M9" s="5" t="n">
        <f aca="false">IF(AND(N(K9)&gt;0,N(L9)&gt;0),K9/L9,"")</f>
        <v>6.155938591499</v>
      </c>
      <c r="N9" s="2"/>
    </row>
    <row r="10" customFormat="false" ht="15" hidden="false" customHeight="false" outlineLevel="0" collapsed="false">
      <c r="A10" s="2" t="n">
        <v>9</v>
      </c>
      <c r="B10" s="2" t="s">
        <v>41</v>
      </c>
      <c r="C10" s="2" t="s">
        <v>42</v>
      </c>
      <c r="D10" s="2" t="s">
        <v>20</v>
      </c>
      <c r="E10" s="2" t="s">
        <v>21</v>
      </c>
      <c r="F10" s="3" t="n">
        <v>0.039051</v>
      </c>
      <c r="G10" s="3" t="n">
        <f aca="false">SUM($F$2:F10)</f>
        <v>0.5387</v>
      </c>
      <c r="H10" s="4" t="n">
        <v>71.37</v>
      </c>
      <c r="I10" s="5"/>
      <c r="J10" s="4" t="n">
        <v>-0.27</v>
      </c>
      <c r="K10" s="5" t="n">
        <v>45.6348</v>
      </c>
      <c r="L10" s="6" t="n">
        <v>59.3317</v>
      </c>
      <c r="M10" s="5" t="n">
        <f aca="false">IF(AND(N(K10)&gt;0,N(L10)&gt;0),K10/L10,"")</f>
        <v>0.769147015844818</v>
      </c>
      <c r="N10" s="2" t="s">
        <v>43</v>
      </c>
    </row>
    <row r="11" customFormat="false" ht="15" hidden="false" customHeight="false" outlineLevel="0" collapsed="false">
      <c r="A11" s="2" t="n">
        <v>10</v>
      </c>
      <c r="B11" s="2" t="s">
        <v>44</v>
      </c>
      <c r="C11" s="2" t="s">
        <v>45</v>
      </c>
      <c r="D11" s="2" t="s">
        <v>25</v>
      </c>
      <c r="E11" s="2" t="s">
        <v>31</v>
      </c>
      <c r="F11" s="3" t="n">
        <v>0.036548</v>
      </c>
      <c r="G11" s="3" t="n">
        <f aca="false">SUM($F$2:F11)</f>
        <v>0.575248</v>
      </c>
      <c r="H11" s="4" t="n">
        <v>446.58</v>
      </c>
      <c r="I11" s="5"/>
      <c r="J11" s="4"/>
      <c r="K11" s="5" t="n">
        <v>2316.2014</v>
      </c>
      <c r="L11" s="6"/>
      <c r="M11" s="5" t="str">
        <f aca="false">IF(AND(N(K11)&gt;0,N(L11)&gt;0),K11/L11,"")</f>
        <v/>
      </c>
      <c r="N11" s="2" t="s">
        <v>46</v>
      </c>
    </row>
    <row r="12" customFormat="false" ht="15" hidden="false" customHeight="false" outlineLevel="0" collapsed="false">
      <c r="A12" s="2" t="n">
        <v>11</v>
      </c>
      <c r="B12" s="2" t="s">
        <v>47</v>
      </c>
      <c r="C12" s="2" t="s">
        <v>48</v>
      </c>
      <c r="D12" s="2" t="s">
        <v>16</v>
      </c>
      <c r="E12" s="2" t="s">
        <v>49</v>
      </c>
      <c r="F12" s="3" t="n">
        <v>0.034845</v>
      </c>
      <c r="G12" s="3" t="n">
        <f aca="false">SUM($F$2:F12)</f>
        <v>0.610093</v>
      </c>
      <c r="H12" s="4" t="n">
        <v>257.06</v>
      </c>
      <c r="I12" s="5" t="n">
        <v>20.681</v>
      </c>
      <c r="J12" s="4" t="n">
        <v>12.43</v>
      </c>
      <c r="K12" s="5" t="n">
        <v>2772.7836</v>
      </c>
      <c r="L12" s="6" t="n">
        <v>3.5746</v>
      </c>
      <c r="M12" s="5" t="n">
        <f aca="false">IF(AND(N(K12)&gt;0,N(L12)&gt;0),K12/L12,"")</f>
        <v>775.69059475186</v>
      </c>
      <c r="N12" s="2"/>
    </row>
    <row r="13" customFormat="false" ht="15" hidden="false" customHeight="false" outlineLevel="0" collapsed="false">
      <c r="A13" s="2" t="n">
        <v>12</v>
      </c>
      <c r="B13" s="2" t="s">
        <v>50</v>
      </c>
      <c r="C13" s="2" t="s">
        <v>51</v>
      </c>
      <c r="D13" s="2" t="s">
        <v>20</v>
      </c>
      <c r="E13" s="2" t="s">
        <v>52</v>
      </c>
      <c r="F13" s="3" t="n">
        <v>0.028837</v>
      </c>
      <c r="G13" s="3" t="n">
        <f aca="false">SUM($F$2:F13)</f>
        <v>0.63893</v>
      </c>
      <c r="H13" s="4" t="n">
        <v>691.43</v>
      </c>
      <c r="I13" s="5" t="n">
        <v>38.3914</v>
      </c>
      <c r="J13" s="4" t="n">
        <v>18.01</v>
      </c>
      <c r="K13" s="5" t="n">
        <v>186.4271</v>
      </c>
      <c r="L13" s="6" t="n">
        <v>3.8898</v>
      </c>
      <c r="M13" s="5" t="n">
        <f aca="false">IF(AND(N(K13)&gt;0,N(L13)&gt;0),K13/L13,"")</f>
        <v>47.9271684919533</v>
      </c>
      <c r="N13" s="2"/>
    </row>
    <row r="14" customFormat="false" ht="15" hidden="false" customHeight="false" outlineLevel="0" collapsed="false">
      <c r="A14" s="2" t="n">
        <v>13</v>
      </c>
      <c r="B14" s="2" t="s">
        <v>53</v>
      </c>
      <c r="C14" s="2" t="s">
        <v>54</v>
      </c>
      <c r="D14" s="2" t="s">
        <v>20</v>
      </c>
      <c r="E14" s="2" t="s">
        <v>21</v>
      </c>
      <c r="F14" s="3" t="n">
        <v>0.028036</v>
      </c>
      <c r="G14" s="3" t="n">
        <f aca="false">SUM($F$2:F14)</f>
        <v>0.666966</v>
      </c>
      <c r="H14" s="4" t="n">
        <v>156.05</v>
      </c>
      <c r="I14" s="5"/>
      <c r="J14" s="4" t="n">
        <v>-4.05</v>
      </c>
      <c r="K14" s="5" t="n">
        <v>7.9306</v>
      </c>
      <c r="L14" s="6" t="n">
        <v>3.96</v>
      </c>
      <c r="M14" s="5" t="n">
        <f aca="false">IF(AND(N(K14)&gt;0,N(L14)&gt;0),K14/L14,"")</f>
        <v>2.00267676767677</v>
      </c>
      <c r="N14" s="2" t="s">
        <v>43</v>
      </c>
    </row>
    <row r="15" customFormat="false" ht="15" hidden="false" customHeight="false" outlineLevel="0" collapsed="false">
      <c r="A15" s="2" t="n">
        <v>14</v>
      </c>
      <c r="B15" s="2" t="s">
        <v>55</v>
      </c>
      <c r="C15" s="2" t="s">
        <v>56</v>
      </c>
      <c r="D15" s="2" t="s">
        <v>20</v>
      </c>
      <c r="E15" s="2" t="s">
        <v>21</v>
      </c>
      <c r="F15" s="3" t="n">
        <v>0.027235</v>
      </c>
      <c r="G15" s="3" t="n">
        <f aca="false">SUM($F$2:F15)</f>
        <v>0.694201</v>
      </c>
      <c r="H15" s="4" t="n">
        <v>240.59</v>
      </c>
      <c r="I15" s="5" t="n">
        <v>24.3025</v>
      </c>
      <c r="J15" s="4" t="n">
        <v>9.9</v>
      </c>
      <c r="K15" s="5" t="n">
        <v>44.8023</v>
      </c>
      <c r="L15" s="6" t="n">
        <v>1.9537</v>
      </c>
      <c r="M15" s="5" t="n">
        <f aca="false">IF(AND(N(K15)&gt;0,N(L15)&gt;0),K15/L15,"")</f>
        <v>22.9320264114245</v>
      </c>
      <c r="N15" s="2"/>
    </row>
    <row r="16" customFormat="false" ht="15" hidden="false" customHeight="false" outlineLevel="0" collapsed="false">
      <c r="A16" s="2" t="n">
        <v>15</v>
      </c>
      <c r="B16" s="2" t="s">
        <v>57</v>
      </c>
      <c r="C16" s="2" t="s">
        <v>58</v>
      </c>
      <c r="D16" s="2" t="s">
        <v>20</v>
      </c>
      <c r="E16" s="2" t="s">
        <v>21</v>
      </c>
      <c r="F16" s="3" t="n">
        <v>0.024732</v>
      </c>
      <c r="G16" s="3" t="n">
        <f aca="false">SUM($F$2:F16)</f>
        <v>0.718933</v>
      </c>
      <c r="H16" s="4" t="n">
        <v>5.57</v>
      </c>
      <c r="I16" s="5"/>
      <c r="J16" s="4" t="n">
        <v>-1.08</v>
      </c>
      <c r="K16" s="5" t="n">
        <v>4.2896</v>
      </c>
      <c r="L16" s="6" t="n">
        <v>621.6795</v>
      </c>
      <c r="M16" s="5" t="n">
        <f aca="false">IF(AND(N(K16)&gt;0,N(L16)&gt;0),K16/L16,"")</f>
        <v>0.00690001841785036</v>
      </c>
      <c r="N16" s="2" t="s">
        <v>43</v>
      </c>
    </row>
    <row r="17" customFormat="false" ht="15" hidden="false" customHeight="false" outlineLevel="0" collapsed="false">
      <c r="A17" s="2" t="n">
        <v>16</v>
      </c>
      <c r="B17" s="2" t="s">
        <v>59</v>
      </c>
      <c r="C17" s="2" t="s">
        <v>60</v>
      </c>
      <c r="D17" s="2" t="s">
        <v>25</v>
      </c>
      <c r="E17" s="2" t="s">
        <v>31</v>
      </c>
      <c r="F17" s="3" t="n">
        <v>0.022429</v>
      </c>
      <c r="G17" s="3" t="n">
        <f aca="false">SUM($F$2:F17)</f>
        <v>0.741362</v>
      </c>
      <c r="H17" s="4" t="n">
        <v>362.29</v>
      </c>
      <c r="I17" s="5" t="n">
        <v>46.2688</v>
      </c>
      <c r="J17" s="4" t="n">
        <v>7.83</v>
      </c>
      <c r="K17" s="5" t="n">
        <v>1729.4146</v>
      </c>
      <c r="L17" s="6" t="n">
        <v>19.4089</v>
      </c>
      <c r="M17" s="5" t="n">
        <f aca="false">IF(AND(N(K17)&gt;0,N(L17)&gt;0),K17/L17,"")</f>
        <v>89.1042047720376</v>
      </c>
      <c r="N17" s="2"/>
    </row>
    <row r="18" customFormat="false" ht="15" hidden="false" customHeight="false" outlineLevel="0" collapsed="false">
      <c r="A18" s="2" t="n">
        <v>17</v>
      </c>
      <c r="B18" s="2" t="s">
        <v>61</v>
      </c>
      <c r="C18" s="2" t="s">
        <v>62</v>
      </c>
      <c r="D18" s="2" t="s">
        <v>25</v>
      </c>
      <c r="E18" s="2" t="s">
        <v>63</v>
      </c>
      <c r="F18" s="3" t="n">
        <v>0.019726</v>
      </c>
      <c r="G18" s="3" t="n">
        <f aca="false">SUM($F$2:F18)</f>
        <v>0.761088</v>
      </c>
      <c r="H18" s="4" t="n">
        <v>58.26</v>
      </c>
      <c r="I18" s="5"/>
      <c r="J18" s="4" t="n">
        <v>-0.48</v>
      </c>
      <c r="K18" s="5" t="n">
        <v>13.5851</v>
      </c>
      <c r="L18" s="6" t="n">
        <v>3.5912</v>
      </c>
      <c r="M18" s="5" t="n">
        <f aca="false">IF(AND(N(K18)&gt;0,N(L18)&gt;0),K18/L18,"")</f>
        <v>3.78288594341724</v>
      </c>
      <c r="N18" s="2" t="s">
        <v>43</v>
      </c>
    </row>
    <row r="19" customFormat="false" ht="15" hidden="false" customHeight="false" outlineLevel="0" collapsed="false">
      <c r="A19" s="2" t="n">
        <v>18</v>
      </c>
      <c r="B19" s="2" t="s">
        <v>64</v>
      </c>
      <c r="C19" s="2" t="s">
        <v>65</v>
      </c>
      <c r="D19" s="2" t="s">
        <v>20</v>
      </c>
      <c r="E19" s="2" t="s">
        <v>21</v>
      </c>
      <c r="F19" s="3" t="n">
        <v>0.018724</v>
      </c>
      <c r="G19" s="3" t="n">
        <f aca="false">SUM($F$2:F19)</f>
        <v>0.779812</v>
      </c>
      <c r="H19" s="4" t="n">
        <v>15.51</v>
      </c>
      <c r="I19" s="5"/>
      <c r="J19" s="4" t="n">
        <v>-0.94</v>
      </c>
      <c r="K19" s="5" t="n">
        <v>2.4878</v>
      </c>
      <c r="L19" s="6" t="n">
        <v>5.0759</v>
      </c>
      <c r="M19" s="5" t="n">
        <f aca="false">IF(AND(N(K19)&gt;0,N(L19)&gt;0),K19/L19,"")</f>
        <v>0.490119978722985</v>
      </c>
      <c r="N19" s="2" t="s">
        <v>43</v>
      </c>
    </row>
    <row r="20" customFormat="false" ht="15" hidden="false" customHeight="false" outlineLevel="0" collapsed="false">
      <c r="A20" s="2" t="n">
        <v>19</v>
      </c>
      <c r="B20" s="2" t="s">
        <v>66</v>
      </c>
      <c r="C20" s="2" t="s">
        <v>67</v>
      </c>
      <c r="D20" s="2" t="s">
        <v>20</v>
      </c>
      <c r="E20" s="2" t="s">
        <v>52</v>
      </c>
      <c r="F20" s="3" t="n">
        <v>0.018023</v>
      </c>
      <c r="G20" s="3" t="n">
        <f aca="false">SUM($F$2:F20)</f>
        <v>0.797835</v>
      </c>
      <c r="H20" s="4" t="n">
        <v>44.06</v>
      </c>
      <c r="I20" s="5"/>
      <c r="J20" s="4"/>
      <c r="K20" s="5" t="n">
        <v>39.1045</v>
      </c>
      <c r="L20" s="6"/>
      <c r="M20" s="5" t="str">
        <f aca="false">IF(AND(N(K20)&gt;0,N(L20)&gt;0),K20/L20,"")</f>
        <v/>
      </c>
      <c r="N20" s="2" t="s">
        <v>68</v>
      </c>
    </row>
    <row r="21" customFormat="false" ht="15" hidden="false" customHeight="false" outlineLevel="0" collapsed="false">
      <c r="A21" s="2" t="n">
        <v>20</v>
      </c>
      <c r="B21" s="2" t="s">
        <v>69</v>
      </c>
      <c r="C21" s="2" t="s">
        <v>70</v>
      </c>
      <c r="D21" s="2" t="s">
        <v>16</v>
      </c>
      <c r="E21" s="2" t="s">
        <v>71</v>
      </c>
      <c r="F21" s="3" t="n">
        <v>0.016822</v>
      </c>
      <c r="G21" s="3" t="n">
        <f aca="false">SUM($F$2:F21)</f>
        <v>0.814657</v>
      </c>
      <c r="H21" s="4" t="n">
        <v>6.5</v>
      </c>
      <c r="I21" s="5"/>
      <c r="J21" s="4" t="n">
        <v>-0.46</v>
      </c>
      <c r="K21" s="5" t="n">
        <v>13.027</v>
      </c>
      <c r="L21" s="6" t="n">
        <v>2605.4019</v>
      </c>
      <c r="M21" s="5" t="n">
        <f aca="false">IF(AND(N(K21)&gt;0,N(L21)&gt;0),K21/L21,"")</f>
        <v>0.00499999635372953</v>
      </c>
      <c r="N21" s="2" t="s">
        <v>43</v>
      </c>
    </row>
    <row r="22" customFormat="false" ht="15" hidden="false" customHeight="false" outlineLevel="0" collapsed="false">
      <c r="A22" s="2" t="n">
        <v>21</v>
      </c>
      <c r="B22" s="2" t="s">
        <v>72</v>
      </c>
      <c r="C22" s="2" t="s">
        <v>73</v>
      </c>
      <c r="D22" s="2" t="s">
        <v>20</v>
      </c>
      <c r="E22" s="2" t="s">
        <v>21</v>
      </c>
      <c r="F22" s="3" t="n">
        <v>0.01522</v>
      </c>
      <c r="G22" s="3" t="n">
        <f aca="false">SUM($F$2:F22)</f>
        <v>0.829877</v>
      </c>
      <c r="H22" s="4" t="n">
        <v>144.95</v>
      </c>
      <c r="I22" s="5" t="n">
        <v>37.5518</v>
      </c>
      <c r="J22" s="4" t="n">
        <v>3.86</v>
      </c>
      <c r="K22" s="5" t="n">
        <v>13.2806</v>
      </c>
      <c r="L22" s="6" t="n">
        <v>3.7794</v>
      </c>
      <c r="M22" s="5" t="n">
        <f aca="false">IF(AND(N(K22)&gt;0,N(L22)&gt;0),K22/L22,"")</f>
        <v>3.51394401227708</v>
      </c>
      <c r="N22" s="2"/>
    </row>
    <row r="23" customFormat="false" ht="15" hidden="false" customHeight="false" outlineLevel="0" collapsed="false">
      <c r="A23" s="2" t="n">
        <v>22</v>
      </c>
      <c r="B23" s="2" t="s">
        <v>74</v>
      </c>
      <c r="C23" s="2" t="s">
        <v>75</v>
      </c>
      <c r="D23" s="2" t="s">
        <v>76</v>
      </c>
      <c r="E23" s="2" t="s">
        <v>77</v>
      </c>
      <c r="F23" s="3" t="n">
        <v>0.01512</v>
      </c>
      <c r="G23" s="3" t="n">
        <f aca="false">SUM($F$2:F23)</f>
        <v>0.844997</v>
      </c>
      <c r="H23" s="4" t="n">
        <v>93.3</v>
      </c>
      <c r="I23" s="5"/>
      <c r="J23" s="4"/>
      <c r="K23" s="5" t="n">
        <v>40.633</v>
      </c>
      <c r="L23" s="6"/>
      <c r="M23" s="5" t="str">
        <f aca="false">IF(AND(N(K23)&gt;0,N(L23)&gt;0),K23/L23,"")</f>
        <v/>
      </c>
      <c r="N23" s="2" t="s">
        <v>78</v>
      </c>
    </row>
    <row r="24" customFormat="false" ht="15" hidden="false" customHeight="false" outlineLevel="0" collapsed="false">
      <c r="A24" s="2" t="n">
        <v>23</v>
      </c>
      <c r="B24" s="2" t="s">
        <v>79</v>
      </c>
      <c r="C24" s="2" t="s">
        <v>80</v>
      </c>
      <c r="D24" s="2" t="s">
        <v>16</v>
      </c>
      <c r="E24" s="2" t="s">
        <v>49</v>
      </c>
      <c r="F24" s="3" t="n">
        <v>0.014719</v>
      </c>
      <c r="G24" s="3" t="n">
        <f aca="false">SUM($F$2:F24)</f>
        <v>0.859716</v>
      </c>
      <c r="H24" s="4" t="n">
        <v>197.19</v>
      </c>
      <c r="I24" s="5" t="n">
        <v>102.7057</v>
      </c>
      <c r="J24" s="4" t="n">
        <v>1.92</v>
      </c>
      <c r="K24" s="5" t="n">
        <v>85.4442</v>
      </c>
      <c r="L24" s="6" t="n">
        <v>5.3769</v>
      </c>
      <c r="M24" s="5" t="n">
        <f aca="false">IF(AND(N(K24)&gt;0,N(L24)&gt;0),K24/L24,"")</f>
        <v>15.8909780728673</v>
      </c>
      <c r="N24" s="2"/>
    </row>
    <row r="25" customFormat="false" ht="15" hidden="false" customHeight="false" outlineLevel="0" collapsed="false">
      <c r="A25" s="2" t="n">
        <v>24</v>
      </c>
      <c r="B25" s="2" t="s">
        <v>81</v>
      </c>
      <c r="C25" s="2" t="s">
        <v>82</v>
      </c>
      <c r="D25" s="2" t="s">
        <v>20</v>
      </c>
      <c r="E25" s="2" t="s">
        <v>83</v>
      </c>
      <c r="F25" s="3" t="n">
        <v>0.014419</v>
      </c>
      <c r="G25" s="3" t="n">
        <f aca="false">SUM($F$2:F25)</f>
        <v>0.874135</v>
      </c>
      <c r="H25" s="4" t="n">
        <v>44.29</v>
      </c>
      <c r="I25" s="5" t="n">
        <v>1107.25</v>
      </c>
      <c r="J25" s="4" t="n">
        <v>0.04</v>
      </c>
      <c r="K25" s="5" t="n">
        <v>26.8116</v>
      </c>
      <c r="L25" s="6" t="n">
        <v>10.1338</v>
      </c>
      <c r="M25" s="5" t="n">
        <f aca="false">IF(AND(N(K25)&gt;0,N(L25)&gt;0),K25/L25,"")</f>
        <v>2.64575973474906</v>
      </c>
      <c r="N25" s="2" t="s">
        <v>84</v>
      </c>
    </row>
    <row r="26" customFormat="false" ht="15" hidden="false" customHeight="false" outlineLevel="0" collapsed="false">
      <c r="A26" s="2" t="n">
        <v>25</v>
      </c>
      <c r="B26" s="2" t="s">
        <v>85</v>
      </c>
      <c r="C26" s="2" t="s">
        <v>86</v>
      </c>
      <c r="D26" s="2" t="s">
        <v>87</v>
      </c>
      <c r="E26" s="2" t="s">
        <v>88</v>
      </c>
      <c r="F26" s="3" t="n">
        <v>0.013518</v>
      </c>
      <c r="G26" s="3" t="n">
        <f aca="false">SUM($F$2:F26)</f>
        <v>0.887653</v>
      </c>
      <c r="H26" s="4" t="n">
        <v>399.37</v>
      </c>
      <c r="I26" s="5" t="n">
        <v>45.7993</v>
      </c>
      <c r="J26" s="4" t="n">
        <v>8.72</v>
      </c>
      <c r="K26" s="5" t="n">
        <v>143.0855</v>
      </c>
      <c r="L26" s="6" t="n">
        <v>12.9672</v>
      </c>
      <c r="M26" s="5" t="n">
        <f aca="false">IF(AND(N(K26)&gt;0,N(L26)&gt;0),K26/L26,"")</f>
        <v>11.034417607502</v>
      </c>
      <c r="N26" s="2"/>
    </row>
    <row r="27" customFormat="false" ht="15" hidden="false" customHeight="false" outlineLevel="0" collapsed="false">
      <c r="A27" s="2" t="n">
        <v>26</v>
      </c>
      <c r="B27" s="2" t="s">
        <v>89</v>
      </c>
      <c r="C27" s="2" t="s">
        <v>90</v>
      </c>
      <c r="D27" s="2" t="s">
        <v>20</v>
      </c>
      <c r="E27" s="2" t="s">
        <v>52</v>
      </c>
      <c r="F27" s="3" t="n">
        <v>0.013417</v>
      </c>
      <c r="G27" s="3" t="n">
        <f aca="false">SUM($F$2:F27)</f>
        <v>0.90107</v>
      </c>
      <c r="H27" s="4" t="n">
        <v>810.01</v>
      </c>
      <c r="I27" s="5" t="n">
        <v>34.9293</v>
      </c>
      <c r="J27" s="4" t="n">
        <v>23.19</v>
      </c>
      <c r="K27" s="5" t="n">
        <v>372.3412</v>
      </c>
      <c r="L27" s="6" t="n">
        <v>4.9826</v>
      </c>
      <c r="M27" s="5" t="n">
        <f aca="false">IF(AND(N(K27)&gt;0,N(L27)&gt;0),K27/L27,"")</f>
        <v>74.7282944647373</v>
      </c>
      <c r="N27" s="2"/>
    </row>
    <row r="28" customFormat="false" ht="15" hidden="false" customHeight="false" outlineLevel="0" collapsed="false">
      <c r="A28" s="2" t="n">
        <v>27</v>
      </c>
      <c r="B28" s="2" t="s">
        <v>91</v>
      </c>
      <c r="C28" s="2" t="s">
        <v>92</v>
      </c>
      <c r="D28" s="2" t="s">
        <v>20</v>
      </c>
      <c r="E28" s="2" t="s">
        <v>83</v>
      </c>
      <c r="F28" s="3" t="n">
        <v>0.012416</v>
      </c>
      <c r="G28" s="3" t="n">
        <f aca="false">SUM($F$2:F28)</f>
        <v>0.913486</v>
      </c>
      <c r="H28" s="4" t="n">
        <v>16.45</v>
      </c>
      <c r="I28" s="5"/>
      <c r="J28" s="4" t="n">
        <v>-0.7</v>
      </c>
      <c r="K28" s="5" t="n">
        <v>6.6847</v>
      </c>
      <c r="L28" s="6" t="n">
        <v>44.4833</v>
      </c>
      <c r="M28" s="5" t="n">
        <f aca="false">IF(AND(N(K28)&gt;0,N(L28)&gt;0),K28/L28,"")</f>
        <v>0.150274372629728</v>
      </c>
      <c r="N28" s="2" t="s">
        <v>43</v>
      </c>
    </row>
    <row r="29" customFormat="false" ht="15" hidden="false" customHeight="false" outlineLevel="0" collapsed="false">
      <c r="A29" s="2" t="n">
        <v>28</v>
      </c>
      <c r="B29" s="2" t="s">
        <v>93</v>
      </c>
      <c r="C29" s="2" t="s">
        <v>94</v>
      </c>
      <c r="D29" s="2" t="s">
        <v>20</v>
      </c>
      <c r="E29" s="2" t="s">
        <v>21</v>
      </c>
      <c r="F29" s="3" t="n">
        <v>0.011215</v>
      </c>
      <c r="G29" s="3" t="n">
        <f aca="false">SUM($F$2:F29)</f>
        <v>0.924701</v>
      </c>
      <c r="H29" s="4" t="n">
        <v>740.71</v>
      </c>
      <c r="I29" s="5" t="n">
        <v>55.7344</v>
      </c>
      <c r="J29" s="4" t="n">
        <v>13.29</v>
      </c>
      <c r="K29" s="5" t="n">
        <v>34.7116</v>
      </c>
      <c r="L29" s="6" t="n">
        <v>4.0617</v>
      </c>
      <c r="M29" s="5" t="n">
        <f aca="false">IF(AND(N(K29)&gt;0,N(L29)&gt;0),K29/L29,"")</f>
        <v>8.5460767658862</v>
      </c>
      <c r="N29" s="2"/>
    </row>
    <row r="30" customFormat="false" ht="15" hidden="false" customHeight="false" outlineLevel="0" collapsed="false">
      <c r="A30" s="2" t="n">
        <v>29</v>
      </c>
      <c r="B30" s="2" t="s">
        <v>95</v>
      </c>
      <c r="C30" s="2" t="s">
        <v>96</v>
      </c>
      <c r="D30" s="2" t="s">
        <v>20</v>
      </c>
      <c r="E30" s="2" t="s">
        <v>97</v>
      </c>
      <c r="F30" s="3" t="n">
        <v>0.010614</v>
      </c>
      <c r="G30" s="3" t="n">
        <f aca="false">SUM($F$2:F30)</f>
        <v>0.935315</v>
      </c>
      <c r="H30" s="4" t="n">
        <v>6.38</v>
      </c>
      <c r="I30" s="5"/>
      <c r="J30" s="4" t="n">
        <v>-0.98</v>
      </c>
      <c r="K30" s="5" t="n">
        <v>6.3459</v>
      </c>
      <c r="L30" s="6" t="n">
        <v>54.5672</v>
      </c>
      <c r="M30" s="5" t="n">
        <f aca="false">IF(AND(N(K30)&gt;0,N(L30)&gt;0),K30/L30,"")</f>
        <v>0.116295137005381</v>
      </c>
      <c r="N30" s="2" t="s">
        <v>43</v>
      </c>
    </row>
    <row r="31" customFormat="false" ht="15" hidden="false" customHeight="false" outlineLevel="0" collapsed="false">
      <c r="A31" s="2" t="n">
        <v>30</v>
      </c>
      <c r="B31" s="2" t="s">
        <v>98</v>
      </c>
      <c r="C31" s="2" t="s">
        <v>99</v>
      </c>
      <c r="D31" s="2" t="s">
        <v>25</v>
      </c>
      <c r="E31" s="2" t="s">
        <v>100</v>
      </c>
      <c r="F31" s="3" t="n">
        <v>0.010514</v>
      </c>
      <c r="G31" s="3" t="n">
        <f aca="false">SUM($F$2:F31)</f>
        <v>0.945829</v>
      </c>
      <c r="H31" s="4" t="n">
        <v>5.92</v>
      </c>
      <c r="I31" s="5"/>
      <c r="J31" s="4"/>
      <c r="K31" s="5" t="n">
        <v>1.9458</v>
      </c>
      <c r="L31" s="6"/>
      <c r="M31" s="5" t="str">
        <f aca="false">IF(AND(N(K31)&gt;0,N(L31)&gt;0),K31/L31,"")</f>
        <v/>
      </c>
      <c r="N31" s="2" t="s">
        <v>101</v>
      </c>
    </row>
    <row r="32" customFormat="false" ht="15" hidden="false" customHeight="false" outlineLevel="0" collapsed="false">
      <c r="A32" s="2" t="n">
        <v>31</v>
      </c>
      <c r="B32" s="2" t="s">
        <v>102</v>
      </c>
      <c r="C32" s="2" t="s">
        <v>103</v>
      </c>
      <c r="D32" s="2" t="s">
        <v>25</v>
      </c>
      <c r="E32" s="2" t="s">
        <v>104</v>
      </c>
      <c r="F32" s="3" t="n">
        <v>0.009813</v>
      </c>
      <c r="G32" s="3" t="n">
        <f aca="false">SUM($F$2:F32)</f>
        <v>0.955642</v>
      </c>
      <c r="H32" s="4" t="n">
        <v>7.02</v>
      </c>
      <c r="I32" s="5"/>
      <c r="J32" s="4" t="n">
        <v>-0.33</v>
      </c>
      <c r="K32" s="5" t="n">
        <v>3.0496</v>
      </c>
      <c r="L32" s="6" t="n">
        <v>24.3894</v>
      </c>
      <c r="M32" s="5" t="n">
        <f aca="false">IF(AND(N(K32)&gt;0,N(L32)&gt;0),K32/L32,"")</f>
        <v>0.12503792631225</v>
      </c>
      <c r="N32" s="2" t="s">
        <v>43</v>
      </c>
    </row>
    <row r="33" customFormat="false" ht="15" hidden="false" customHeight="false" outlineLevel="0" collapsed="false">
      <c r="A33" s="2" t="n">
        <v>32</v>
      </c>
      <c r="B33" s="2" t="s">
        <v>105</v>
      </c>
      <c r="C33" s="2" t="s">
        <v>106</v>
      </c>
      <c r="D33" s="2" t="s">
        <v>107</v>
      </c>
      <c r="E33" s="2" t="s">
        <v>108</v>
      </c>
      <c r="F33" s="3" t="n">
        <v>0.009112</v>
      </c>
      <c r="G33" s="3" t="n">
        <f aca="false">SUM($F$2:F33)</f>
        <v>0.964754</v>
      </c>
      <c r="H33" s="4" t="n">
        <v>39.77</v>
      </c>
      <c r="I33" s="5"/>
      <c r="J33" s="4" t="n">
        <v>-0.94</v>
      </c>
      <c r="K33" s="5" t="n">
        <v>7.3979</v>
      </c>
      <c r="L33" s="6" t="n">
        <v>6113.954</v>
      </c>
      <c r="M33" s="5" t="n">
        <f aca="false">IF(AND(N(K33)&gt;0,N(L33)&gt;0),K33/L33,"")</f>
        <v>0.00121000256135391</v>
      </c>
      <c r="N33" s="2" t="s">
        <v>43</v>
      </c>
    </row>
    <row r="34" customFormat="false" ht="15" hidden="false" customHeight="false" outlineLevel="0" collapsed="false">
      <c r="A34" s="2" t="n">
        <v>33</v>
      </c>
      <c r="B34" s="2" t="s">
        <v>109</v>
      </c>
      <c r="C34" s="2" t="s">
        <v>110</v>
      </c>
      <c r="D34" s="2" t="s">
        <v>25</v>
      </c>
      <c r="E34" s="2" t="s">
        <v>40</v>
      </c>
      <c r="F34" s="3" t="n">
        <v>0.008811</v>
      </c>
      <c r="G34" s="3" t="n">
        <f aca="false">SUM($F$2:F34)</f>
        <v>0.973565</v>
      </c>
      <c r="H34" s="4" t="n">
        <v>408</v>
      </c>
      <c r="I34" s="5" t="n">
        <v>70.9565</v>
      </c>
      <c r="J34" s="4" t="n">
        <v>5.75</v>
      </c>
      <c r="K34" s="5" t="n">
        <v>78.1877</v>
      </c>
      <c r="L34" s="6" t="n">
        <v>8.3033</v>
      </c>
      <c r="M34" s="5" t="n">
        <f aca="false">IF(AND(N(K34)&gt;0,N(L34)&gt;0),K34/L34,"")</f>
        <v>9.41646092517433</v>
      </c>
      <c r="N34" s="2"/>
    </row>
    <row r="35" customFormat="false" ht="15" hidden="false" customHeight="false" outlineLevel="0" collapsed="false">
      <c r="A35" s="2" t="n">
        <v>34</v>
      </c>
      <c r="B35" s="2" t="s">
        <v>111</v>
      </c>
      <c r="C35" s="2" t="s">
        <v>112</v>
      </c>
      <c r="D35" s="2" t="s">
        <v>36</v>
      </c>
      <c r="E35" s="2" t="s">
        <v>37</v>
      </c>
      <c r="F35" s="3" t="n">
        <v>0.008711</v>
      </c>
      <c r="G35" s="3" t="n">
        <f aca="false">SUM($F$2:F35)</f>
        <v>0.982276</v>
      </c>
      <c r="H35" s="4" t="n">
        <v>92.78</v>
      </c>
      <c r="I35" s="5"/>
      <c r="J35" s="4"/>
      <c r="K35" s="5" t="n">
        <v>31.6314</v>
      </c>
      <c r="L35" s="6"/>
      <c r="M35" s="5" t="str">
        <f aca="false">IF(AND(N(K35)&gt;0,N(L35)&gt;0),K35/L35,"")</f>
        <v/>
      </c>
      <c r="N35" s="2" t="s">
        <v>101</v>
      </c>
    </row>
    <row r="36" customFormat="false" ht="15" hidden="false" customHeight="false" outlineLevel="0" collapsed="false">
      <c r="A36" s="2" t="n">
        <v>35</v>
      </c>
      <c r="B36" s="2" t="s">
        <v>113</v>
      </c>
      <c r="C36" s="2" t="s">
        <v>114</v>
      </c>
      <c r="D36" s="2" t="s">
        <v>16</v>
      </c>
      <c r="E36" s="2" t="s">
        <v>17</v>
      </c>
      <c r="F36" s="3" t="n">
        <v>0.008511</v>
      </c>
      <c r="G36" s="3" t="n">
        <f aca="false">SUM($F$2:F36)</f>
        <v>0.990787</v>
      </c>
      <c r="H36" s="4" t="n">
        <v>10.4</v>
      </c>
      <c r="I36" s="5"/>
      <c r="J36" s="4"/>
      <c r="K36" s="5" t="n">
        <v>94.8188</v>
      </c>
      <c r="L36" s="6"/>
      <c r="M36" s="5" t="str">
        <f aca="false">IF(AND(N(K36)&gt;0,N(L36)&gt;0),K36/L36,"")</f>
        <v/>
      </c>
      <c r="N36" s="2" t="s">
        <v>101</v>
      </c>
    </row>
    <row r="37" customFormat="false" ht="15" hidden="false" customHeight="false" outlineLevel="0" collapsed="false">
      <c r="A37" s="2" t="n">
        <v>36</v>
      </c>
      <c r="B37" s="2" t="s">
        <v>115</v>
      </c>
      <c r="C37" s="2" t="s">
        <v>116</v>
      </c>
      <c r="D37" s="2" t="s">
        <v>25</v>
      </c>
      <c r="E37" s="2" t="s">
        <v>40</v>
      </c>
      <c r="F37" s="3" t="n">
        <v>0.006408</v>
      </c>
      <c r="G37" s="3" t="n">
        <f aca="false">SUM($F$2:F37)</f>
        <v>0.997195</v>
      </c>
      <c r="H37" s="4" t="n">
        <v>3.29</v>
      </c>
      <c r="I37" s="5"/>
      <c r="J37" s="4" t="n">
        <v>-1.85</v>
      </c>
      <c r="K37" s="5" t="n">
        <v>0.66</v>
      </c>
      <c r="L37" s="6" t="n">
        <v>92.2866</v>
      </c>
      <c r="M37" s="5" t="n">
        <f aca="false">IF(AND(N(K37)&gt;0,N(L37)&gt;0),K37/L37,"")</f>
        <v>0.00715163414840291</v>
      </c>
      <c r="N37" s="2" t="s">
        <v>43</v>
      </c>
    </row>
    <row r="38" customFormat="false" ht="15" hidden="false" customHeight="false" outlineLevel="0" collapsed="false">
      <c r="A38" s="2" t="n">
        <v>37</v>
      </c>
      <c r="B38" s="2" t="s">
        <v>117</v>
      </c>
      <c r="C38" s="2" t="s">
        <v>35</v>
      </c>
      <c r="D38" s="2" t="s">
        <v>36</v>
      </c>
      <c r="E38" s="2" t="s">
        <v>37</v>
      </c>
      <c r="F38" s="3" t="n">
        <v>0.002804</v>
      </c>
      <c r="G38" s="3" t="n">
        <f aca="false">SUM($F$2:F38)</f>
        <v>0.999999</v>
      </c>
      <c r="H38" s="4" t="n">
        <v>361.54</v>
      </c>
      <c r="I38" s="5" t="n">
        <v>18.1588</v>
      </c>
      <c r="J38" s="4" t="n">
        <v>19.91</v>
      </c>
      <c r="K38" s="5" t="n">
        <v>4421.6227</v>
      </c>
      <c r="L38" s="6" t="n">
        <v>9.9169</v>
      </c>
      <c r="M38" s="5" t="n">
        <f aca="false">IF(AND(N(K38)&gt;0,N(L38)&gt;0),K38/L38,"")</f>
        <v>445.867428329417</v>
      </c>
      <c r="N38" s="2"/>
    </row>
  </sheetData>
  <autoFilter ref="A1:N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118</v>
      </c>
      <c r="C1" s="7" t="s">
        <v>119</v>
      </c>
      <c r="D1" s="7" t="s">
        <v>120</v>
      </c>
    </row>
    <row r="2" customFormat="false" ht="15" hidden="false" customHeight="false" outlineLevel="0" collapsed="false">
      <c r="A2" s="2" t="s">
        <v>36</v>
      </c>
      <c r="B2" s="3" t="n">
        <f aca="false">SUMIF(Holdings!$D$2:$D$38,A2,Holdings!$F$2:$F$38)</f>
        <v>0.057975</v>
      </c>
      <c r="C2" s="2" t="n">
        <f aca="false">COUNTIF(Holdings!$D$2:$D$38,A2)</f>
        <v>3</v>
      </c>
      <c r="D2" s="8" t="n">
        <f aca="false">IFERROR(AVERAGEIFS(Holdings!$I$2:$I$38,Holdings!$D$2:$D$38,A2,Holdings!$I$2:$I$38,"&lt;=100"),"")</f>
        <v>18.0237</v>
      </c>
    </row>
    <row r="3" customFormat="false" ht="15" hidden="false" customHeight="false" outlineLevel="0" collapsed="false">
      <c r="A3" s="2" t="s">
        <v>16</v>
      </c>
      <c r="B3" s="3" t="n">
        <f aca="false">SUMIF(Holdings!$D$2:$D$38,A3,Holdings!$F$2:$F$38)</f>
        <v>0.182837</v>
      </c>
      <c r="C3" s="2" t="n">
        <f aca="false">COUNTIF(Holdings!$D$2:$D$38,A3)</f>
        <v>5</v>
      </c>
      <c r="D3" s="8" t="n">
        <f aca="false">IFERROR(AVERAGEIFS(Holdings!$I$2:$I$38,Holdings!$D$2:$D$38,A3,Holdings!$I$2:$I$38,"&lt;=100"),"")</f>
        <v>20.681</v>
      </c>
    </row>
    <row r="4" customFormat="false" ht="15" hidden="false" customHeight="false" outlineLevel="0" collapsed="false">
      <c r="A4" s="2" t="s">
        <v>121</v>
      </c>
      <c r="B4" s="3" t="n">
        <f aca="false">SUMIF(Holdings!$D$2:$D$38,A4,Holdings!$F$2:$F$38)</f>
        <v>0</v>
      </c>
      <c r="C4" s="2" t="n">
        <f aca="false">COUNTIF(Holdings!$D$2:$D$38,A4)</f>
        <v>0</v>
      </c>
      <c r="D4" s="8" t="str">
        <f aca="false">IFERROR(AVERAGEIFS(Holdings!$I$2:$I$38,Holdings!$D$2:$D$38,A4,Holdings!$I$2:$I$38,"&lt;=100"),"")</f>
        <v/>
      </c>
    </row>
    <row r="5" customFormat="false" ht="15" hidden="false" customHeight="false" outlineLevel="0" collapsed="false">
      <c r="A5" s="2" t="s">
        <v>76</v>
      </c>
      <c r="B5" s="3" t="n">
        <f aca="false">SUMIF(Holdings!$D$2:$D$38,A5,Holdings!$F$2:$F$38)</f>
        <v>0.01512</v>
      </c>
      <c r="C5" s="2" t="n">
        <f aca="false">COUNTIF(Holdings!$D$2:$D$38,A5)</f>
        <v>1</v>
      </c>
      <c r="D5" s="8" t="str">
        <f aca="false">IFERROR(AVERAGEIFS(Holdings!$I$2:$I$38,Holdings!$D$2:$D$38,A5,Holdings!$I$2:$I$38,"&lt;=100"),"")</f>
        <v/>
      </c>
    </row>
    <row r="6" customFormat="false" ht="15" hidden="false" customHeight="false" outlineLevel="0" collapsed="false">
      <c r="A6" s="2" t="s">
        <v>122</v>
      </c>
      <c r="B6" s="3" t="n">
        <f aca="false">SUMIF(Holdings!$D$2:$D$38,A6,Holdings!$F$2:$F$38)</f>
        <v>0</v>
      </c>
      <c r="C6" s="2" t="n">
        <f aca="false">COUNTIF(Holdings!$D$2:$D$38,A6)</f>
        <v>0</v>
      </c>
      <c r="D6" s="8" t="str">
        <f aca="false">IFERROR(AVERAGEIFS(Holdings!$I$2:$I$38,Holdings!$D$2:$D$38,A6,Holdings!$I$2:$I$38,"&lt;=100"),"")</f>
        <v/>
      </c>
    </row>
    <row r="7" customFormat="false" ht="15" hidden="false" customHeight="false" outlineLevel="0" collapsed="false">
      <c r="A7" s="2" t="s">
        <v>87</v>
      </c>
      <c r="B7" s="3" t="n">
        <f aca="false">SUMIF(Holdings!$D$2:$D$38,A7,Holdings!$F$2:$F$38)</f>
        <v>0.013518</v>
      </c>
      <c r="C7" s="2" t="n">
        <f aca="false">COUNTIF(Holdings!$D$2:$D$38,A7)</f>
        <v>1</v>
      </c>
      <c r="D7" s="8" t="n">
        <f aca="false">IFERROR(AVERAGEIFS(Holdings!$I$2:$I$38,Holdings!$D$2:$D$38,A7,Holdings!$I$2:$I$38,"&lt;=100"),"")</f>
        <v>45.7993</v>
      </c>
    </row>
    <row r="8" customFormat="false" ht="15" hidden="false" customHeight="false" outlineLevel="0" collapsed="false">
      <c r="A8" s="2" t="s">
        <v>20</v>
      </c>
      <c r="B8" s="3" t="n">
        <f aca="false">SUMIF(Holdings!$D$2:$D$38,A8,Holdings!$F$2:$F$38)</f>
        <v>0.399017</v>
      </c>
      <c r="C8" s="2" t="n">
        <f aca="false">COUNTIF(Holdings!$D$2:$D$38,A8)</f>
        <v>15</v>
      </c>
      <c r="D8" s="8" t="n">
        <f aca="false">IFERROR(AVERAGEIFS(Holdings!$I$2:$I$38,Holdings!$D$2:$D$38,A8,Holdings!$I$2:$I$38,"&lt;=100"),"")</f>
        <v>38.18188</v>
      </c>
    </row>
    <row r="9" customFormat="false" ht="15" hidden="false" customHeight="false" outlineLevel="0" collapsed="false">
      <c r="A9" s="2" t="s">
        <v>25</v>
      </c>
      <c r="B9" s="3" t="n">
        <f aca="false">SUMIF(Holdings!$D$2:$D$38,A9,Holdings!$F$2:$F$38)</f>
        <v>0.32242</v>
      </c>
      <c r="C9" s="2" t="n">
        <f aca="false">COUNTIF(Holdings!$D$2:$D$38,A9)</f>
        <v>11</v>
      </c>
      <c r="D9" s="8" t="n">
        <f aca="false">IFERROR(AVERAGEIFS(Holdings!$I$2:$I$38,Holdings!$D$2:$D$38,A9,Holdings!$I$2:$I$38,"&lt;=100"),"")</f>
        <v>49.758825</v>
      </c>
    </row>
    <row r="10" customFormat="false" ht="15" hidden="false" customHeight="false" outlineLevel="0" collapsed="false">
      <c r="A10" s="2" t="s">
        <v>123</v>
      </c>
      <c r="B10" s="3" t="n">
        <f aca="false">SUMIF(Holdings!$D$2:$D$38,A10,Holdings!$F$2:$F$38)</f>
        <v>0</v>
      </c>
      <c r="C10" s="2" t="n">
        <f aca="false">COUNTIF(Holdings!$D$2:$D$38,A10)</f>
        <v>0</v>
      </c>
      <c r="D10" s="8" t="str">
        <f aca="false">IFERROR(AVERAGEIFS(Holdings!$I$2:$I$38,Holdings!$D$2:$D$38,A10,Holdings!$I$2:$I$38,"&lt;=100"),"")</f>
        <v/>
      </c>
    </row>
    <row r="11" customFormat="false" ht="15" hidden="false" customHeight="false" outlineLevel="0" collapsed="false">
      <c r="A11" s="2" t="s">
        <v>124</v>
      </c>
      <c r="B11" s="3" t="n">
        <f aca="false">SUMIF(Holdings!$D$2:$D$38,A11,Holdings!$F$2:$F$38)</f>
        <v>0</v>
      </c>
      <c r="C11" s="2" t="n">
        <f aca="false">COUNTIF(Holdings!$D$2:$D$38,A11)</f>
        <v>0</v>
      </c>
      <c r="D11" s="8" t="str">
        <f aca="false">IFERROR(AVERAGEIFS(Holdings!$I$2:$I$38,Holdings!$D$2:$D$38,A11,Holdings!$I$2:$I$38,"&lt;=100"),"")</f>
        <v/>
      </c>
    </row>
    <row r="12" customFormat="false" ht="15" hidden="false" customHeight="false" outlineLevel="0" collapsed="false">
      <c r="A12" s="2" t="s">
        <v>107</v>
      </c>
      <c r="B12" s="3" t="n">
        <f aca="false">SUMIF(Holdings!$D$2:$D$38,A12,Holdings!$F$2:$F$38)</f>
        <v>0.009112</v>
      </c>
      <c r="C12" s="2" t="n">
        <f aca="false">COUNTIF(Holdings!$D$2:$D$38,A12)</f>
        <v>1</v>
      </c>
      <c r="D12" s="8" t="str">
        <f aca="false">IFERROR(AVERAGEIFS(Holdings!$I$2:$I$38,Holdings!$D$2:$D$38,A12,Holdings!$I$2:$I$38,"&lt;=100"),"")</f>
        <v/>
      </c>
    </row>
    <row r="13" customFormat="false" ht="15" hidden="false" customHeight="false" outlineLevel="0" collapsed="false">
      <c r="A13" s="2" t="s">
        <v>125</v>
      </c>
      <c r="B13" s="3" t="n">
        <f aca="false">1-SUM(B2:B12)</f>
        <v>1.00000000002876E-006</v>
      </c>
      <c r="C13" s="2" t="n">
        <f aca="false">COUNTBLANK(Holdings!$D$2:$D$38)</f>
        <v>0</v>
      </c>
      <c r="D13" s="8"/>
    </row>
    <row r="14" customFormat="false" ht="15" hidden="false" customHeight="false" outlineLevel="0" collapsed="false">
      <c r="A14" s="9" t="s">
        <v>126</v>
      </c>
      <c r="B14" s="10" t="n">
        <f aca="false">SUM(B2:B13)</f>
        <v>1</v>
      </c>
      <c r="C14" s="9" t="n">
        <f aca="false">SUM(C2:C13)</f>
        <v>37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127</v>
      </c>
    </row>
    <row r="2" customFormat="false" ht="15" hidden="false" customHeight="false" outlineLevel="0" collapsed="false">
      <c r="A2" s="13" t="s">
        <v>128</v>
      </c>
    </row>
    <row r="3" customFormat="false" ht="15" hidden="false" customHeight="false" outlineLevel="0" collapsed="false">
      <c r="A3" s="13" t="s">
        <v>129</v>
      </c>
      <c r="B3" s="14" t="n">
        <v>0.5489</v>
      </c>
    </row>
    <row r="4" customFormat="false" ht="15" hidden="false" customHeight="false" outlineLevel="0" collapsed="false">
      <c r="A4" s="13" t="s">
        <v>130</v>
      </c>
      <c r="B4" s="15" t="n">
        <v>0.2567</v>
      </c>
    </row>
    <row r="6" customFormat="false" ht="15" hidden="false" customHeight="false" outlineLevel="0" collapsed="false">
      <c r="A6" s="1" t="s">
        <v>1</v>
      </c>
      <c r="B6" s="1" t="s">
        <v>131</v>
      </c>
      <c r="C6" s="1" t="s">
        <v>132</v>
      </c>
      <c r="D6" s="1" t="s">
        <v>133</v>
      </c>
    </row>
    <row r="7" customFormat="false" ht="15" hidden="false" customHeight="false" outlineLevel="0" collapsed="false">
      <c r="A7" s="13" t="s">
        <v>14</v>
      </c>
      <c r="B7" s="16" t="n">
        <v>0.1079</v>
      </c>
      <c r="C7" s="16" t="n">
        <v>0.0208</v>
      </c>
      <c r="D7" s="17" t="n">
        <f aca="false">IF(C7&gt;0,B7/C7,"")</f>
        <v>5.1875</v>
      </c>
    </row>
    <row r="8" customFormat="false" ht="15" hidden="false" customHeight="false" outlineLevel="0" collapsed="false">
      <c r="A8" s="13" t="s">
        <v>23</v>
      </c>
      <c r="B8" s="16" t="n">
        <v>0.0632</v>
      </c>
      <c r="C8" s="16" t="n">
        <v>0.0008</v>
      </c>
      <c r="D8" s="17" t="n">
        <f aca="false">IF(C8&gt;0,B8/C8,"")</f>
        <v>79</v>
      </c>
    </row>
    <row r="9" customFormat="false" ht="15" hidden="false" customHeight="false" outlineLevel="0" collapsed="false">
      <c r="A9" s="13" t="s">
        <v>29</v>
      </c>
      <c r="B9" s="16" t="n">
        <v>0.0498</v>
      </c>
      <c r="C9" s="16" t="n">
        <v>0.0773</v>
      </c>
      <c r="D9" s="17" t="n">
        <f aca="false">IF(C9&gt;0,B9/C9,"")</f>
        <v>0.644243208279431</v>
      </c>
    </row>
    <row r="10" customFormat="false" ht="15" hidden="false" customHeight="false" outlineLevel="0" collapsed="false">
      <c r="A10" s="13" t="s">
        <v>32</v>
      </c>
      <c r="B10" s="16" t="n">
        <v>0.0489</v>
      </c>
      <c r="C10" s="16" t="n">
        <v>0.0134</v>
      </c>
      <c r="D10" s="17" t="n">
        <f aca="false">IF(C10&gt;0,B10/C10,"")</f>
        <v>3.64925373134328</v>
      </c>
    </row>
    <row r="11" customFormat="false" ht="15" hidden="false" customHeight="false" outlineLevel="0" collapsed="false">
      <c r="A11" s="13" t="s">
        <v>34</v>
      </c>
      <c r="B11" s="16" t="n">
        <v>0.0465</v>
      </c>
      <c r="C11" s="16" t="n">
        <v>0.0294</v>
      </c>
      <c r="D11" s="17" t="n">
        <f aca="false">IF(C11&gt;0,B11/C11,"")</f>
        <v>1.58163265306122</v>
      </c>
    </row>
    <row r="12" customFormat="false" ht="15" hidden="false" customHeight="false" outlineLevel="0" collapsed="false">
      <c r="A12" s="13" t="s">
        <v>38</v>
      </c>
      <c r="B12" s="16" t="n">
        <v>0.0464</v>
      </c>
      <c r="C12" s="16" t="n">
        <v>0.0061</v>
      </c>
      <c r="D12" s="17" t="n">
        <f aca="false">IF(C12&gt;0,B12/C12,"")</f>
        <v>7.60655737704918</v>
      </c>
    </row>
    <row r="13" customFormat="false" ht="15" hidden="false" customHeight="false" outlineLevel="0" collapsed="false">
      <c r="A13" s="13" t="s">
        <v>47</v>
      </c>
      <c r="B13" s="16" t="n">
        <v>0.0348</v>
      </c>
      <c r="C13" s="16" t="n">
        <v>0.0394</v>
      </c>
      <c r="D13" s="17" t="n">
        <f aca="false">IF(C13&gt;0,B13/C13,"")</f>
        <v>0.883248730964467</v>
      </c>
    </row>
    <row r="14" customFormat="false" ht="15" hidden="false" customHeight="false" outlineLevel="0" collapsed="false">
      <c r="A14" s="13" t="s">
        <v>50</v>
      </c>
      <c r="B14" s="16" t="n">
        <v>0.0288</v>
      </c>
      <c r="C14" s="16" t="n">
        <v>0.0026</v>
      </c>
      <c r="D14" s="17" t="n">
        <f aca="false">IF(C14&gt;0,B14/C14,"")</f>
        <v>11.0769230769231</v>
      </c>
    </row>
    <row r="15" customFormat="false" ht="15" hidden="false" customHeight="false" outlineLevel="0" collapsed="false">
      <c r="A15" s="13" t="s">
        <v>55</v>
      </c>
      <c r="B15" s="16" t="n">
        <v>0.0272</v>
      </c>
      <c r="C15" s="16" t="n">
        <v>0.0007</v>
      </c>
      <c r="D15" s="17" t="n">
        <f aca="false">IF(C15&gt;0,B15/C15,"")</f>
        <v>38.8571428571429</v>
      </c>
    </row>
    <row r="16" customFormat="false" ht="15" hidden="false" customHeight="false" outlineLevel="0" collapsed="false">
      <c r="A16" s="13" t="s">
        <v>59</v>
      </c>
      <c r="B16" s="16" t="n">
        <v>0.0224</v>
      </c>
      <c r="C16" s="16" t="n">
        <v>0.0247</v>
      </c>
      <c r="D16" s="17" t="n">
        <f aca="false">IF(C16&gt;0,B16/C16,"")</f>
        <v>0.906882591093117</v>
      </c>
    </row>
    <row r="17" customFormat="false" ht="15" hidden="false" customHeight="false" outlineLevel="0" collapsed="false">
      <c r="A17" s="13" t="s">
        <v>61</v>
      </c>
      <c r="B17" s="16" t="n">
        <v>0.0197</v>
      </c>
      <c r="C17" s="16" t="n">
        <v>0.0002</v>
      </c>
      <c r="D17" s="17" t="n">
        <f aca="false">IF(C17&gt;0,B17/C17,"")</f>
        <v>98.5</v>
      </c>
    </row>
    <row r="18" customFormat="false" ht="15" hidden="false" customHeight="false" outlineLevel="0" collapsed="false">
      <c r="A18" s="13" t="s">
        <v>79</v>
      </c>
      <c r="B18" s="16" t="n">
        <v>0.0147</v>
      </c>
      <c r="C18" s="16" t="n">
        <v>0.0012</v>
      </c>
      <c r="D18" s="17" t="n">
        <f aca="false">IF(C18&gt;0,B18/C18,"")</f>
        <v>12.25</v>
      </c>
    </row>
    <row r="19" customFormat="false" ht="15" hidden="false" customHeight="false" outlineLevel="0" collapsed="false">
      <c r="A19" s="13" t="s">
        <v>85</v>
      </c>
      <c r="B19" s="16" t="n">
        <v>0.0135</v>
      </c>
      <c r="C19" s="16" t="n">
        <v>0.002</v>
      </c>
      <c r="D19" s="17" t="n">
        <f aca="false">IF(C19&gt;0,B19/C19,"")</f>
        <v>6.75</v>
      </c>
    </row>
    <row r="20" customFormat="false" ht="15" hidden="false" customHeight="false" outlineLevel="0" collapsed="false">
      <c r="A20" s="13" t="s">
        <v>89</v>
      </c>
      <c r="B20" s="16" t="n">
        <v>0.0134</v>
      </c>
      <c r="C20" s="16" t="n">
        <v>0.0054</v>
      </c>
      <c r="D20" s="17" t="n">
        <f aca="false">IF(C20&gt;0,B20/C20,"")</f>
        <v>2.48148148148148</v>
      </c>
    </row>
    <row r="21" customFormat="false" ht="15" hidden="false" customHeight="false" outlineLevel="0" collapsed="false">
      <c r="A21" s="13" t="s">
        <v>109</v>
      </c>
      <c r="B21" s="16" t="n">
        <v>0.0088</v>
      </c>
      <c r="C21" s="16" t="n">
        <v>0.0011</v>
      </c>
      <c r="D21" s="17" t="n">
        <f aca="false">IF(C21&gt;0,B21/C21,"")</f>
        <v>8</v>
      </c>
    </row>
    <row r="22" customFormat="false" ht="15" hidden="false" customHeight="false" outlineLevel="0" collapsed="false">
      <c r="A22" s="13" t="s">
        <v>117</v>
      </c>
      <c r="B22" s="16" t="n">
        <v>0.0028</v>
      </c>
      <c r="C22" s="16" t="n">
        <v>0.0316</v>
      </c>
      <c r="D22" s="17" t="n">
        <f aca="false">IF(C22&gt;0,B22/C22,"")</f>
        <v>0.0886075949367089</v>
      </c>
    </row>
    <row r="23" customFormat="false" ht="15" hidden="false" customHeight="false" outlineLevel="0" collapsed="false">
      <c r="A23" s="12" t="s">
        <v>134</v>
      </c>
      <c r="B23" s="14" t="n">
        <f aca="false">SUM(B7:B22)</f>
        <v>0.5488</v>
      </c>
      <c r="C23" s="15" t="n">
        <f aca="false">SUM(C7:C22)</f>
        <v>0.2567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135</v>
      </c>
    </row>
    <row r="2" customFormat="false" ht="39.55" hidden="false" customHeight="false" outlineLevel="0" collapsed="false">
      <c r="A2" s="18" t="s">
        <v>136</v>
      </c>
    </row>
    <row r="3" customFormat="false" ht="39.55" hidden="false" customHeight="false" outlineLevel="0" collapsed="false">
      <c r="A3" s="18" t="s">
        <v>137</v>
      </c>
    </row>
    <row r="4" customFormat="false" ht="15" hidden="false" customHeight="false" outlineLevel="0" collapsed="false">
      <c r="A4" s="18" t="s">
        <v>138</v>
      </c>
    </row>
    <row r="5" customFormat="false" ht="26.85" hidden="false" customHeight="false" outlineLevel="0" collapsed="false">
      <c r="A5" s="18" t="s">
        <v>139</v>
      </c>
    </row>
    <row r="6" customFormat="false" ht="15" hidden="false" customHeight="false" outlineLevel="0" collapsed="false">
      <c r="A6" s="18" t="s">
        <v>140</v>
      </c>
    </row>
    <row r="7" customFormat="false" ht="26.85" hidden="false" customHeight="false" outlineLevel="0" collapsed="false">
      <c r="A7" s="18" t="s">
        <v>141</v>
      </c>
    </row>
    <row r="8" customFormat="false" ht="15" hidden="false" customHeight="false" outlineLevel="0" collapsed="false">
      <c r="A8" s="18" t="s">
        <v>142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143</v>
      </c>
    </row>
    <row r="11" customFormat="false" ht="15" hidden="false" customHeight="false" outlineLevel="0" collapsed="false">
      <c r="A11" s="18" t="s">
        <v>144</v>
      </c>
    </row>
    <row r="12" customFormat="false" ht="26.85" hidden="false" customHeight="false" outlineLevel="0" collapsed="false">
      <c r="A12" s="18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customFormat="false" ht="15" hidden="false" customHeight="false" outlineLevel="0" collapsed="false">
      <c r="A2" s="19" t="n">
        <v>2015</v>
      </c>
      <c r="B2" s="20" t="str">
        <f aca="false">INT(A2/10)*10&amp;"s"</f>
        <v>2010s</v>
      </c>
      <c r="C2" s="21" t="n">
        <v>-0.0338</v>
      </c>
      <c r="D2" s="21" t="n">
        <v>-0.0245</v>
      </c>
      <c r="E2" s="21" t="n">
        <v>-0.0408</v>
      </c>
      <c r="F2" s="21" t="n">
        <v>-0.0315</v>
      </c>
      <c r="G2" s="20" t="str">
        <f aca="false">IF(D2&gt;=0,"Up","Down")</f>
        <v>Down</v>
      </c>
      <c r="H2" s="22" t="n">
        <f aca="false">1+D2</f>
        <v>0.9755</v>
      </c>
      <c r="I2" s="22" t="n">
        <f aca="false">1+C2</f>
        <v>0.9662</v>
      </c>
      <c r="J2" s="21" t="n">
        <v>0.0123</v>
      </c>
    </row>
    <row r="3" customFormat="false" ht="15" hidden="false" customHeight="false" outlineLevel="0" collapsed="false">
      <c r="A3" s="19" t="n">
        <v>2016</v>
      </c>
      <c r="B3" s="20" t="str">
        <f aca="false">INT(A3/10)*10&amp;"s"</f>
        <v>2010s</v>
      </c>
      <c r="C3" s="21" t="n">
        <v>0.1451</v>
      </c>
      <c r="D3" s="21" t="n">
        <v>0.1451</v>
      </c>
      <c r="E3" s="21" t="n">
        <v>0.1218</v>
      </c>
      <c r="F3" s="21" t="n">
        <v>0.1218</v>
      </c>
      <c r="G3" s="20" t="str">
        <f aca="false">IF(D3&gt;=0,"Up","Down")</f>
        <v>Up</v>
      </c>
      <c r="H3" s="22" t="n">
        <f aca="false">H2*(1+D3)</f>
        <v>1.11704505</v>
      </c>
      <c r="I3" s="22" t="n">
        <f aca="false">I2*(1+C3)</f>
        <v>1.10639562</v>
      </c>
      <c r="J3" s="21" t="n">
        <v>0.12</v>
      </c>
    </row>
    <row r="4" customFormat="false" ht="15" hidden="false" customHeight="false" outlineLevel="0" collapsed="false">
      <c r="A4" s="19" t="n">
        <v>2017</v>
      </c>
      <c r="B4" s="20" t="str">
        <f aca="false">INT(A4/10)*10&amp;"s"</f>
        <v>2010s</v>
      </c>
      <c r="C4" s="21" t="n">
        <v>0.4998</v>
      </c>
      <c r="D4" s="21" t="n">
        <v>0.5226</v>
      </c>
      <c r="E4" s="21" t="n">
        <v>0.4688</v>
      </c>
      <c r="F4" s="21" t="n">
        <v>0.4912</v>
      </c>
      <c r="G4" s="20" t="str">
        <f aca="false">IF(D4&gt;=0,"Up","Down")</f>
        <v>Up</v>
      </c>
      <c r="H4" s="22" t="n">
        <f aca="false">H3*(1+D4)</f>
        <v>1.70081279313</v>
      </c>
      <c r="I4" s="22" t="n">
        <f aca="false">I3*(1+C4)</f>
        <v>1.659372150876</v>
      </c>
      <c r="J4" s="21" t="n">
        <v>0.2171</v>
      </c>
    </row>
    <row r="5" customFormat="false" ht="15" hidden="false" customHeight="false" outlineLevel="0" collapsed="false">
      <c r="A5" s="19" t="n">
        <v>2018</v>
      </c>
      <c r="B5" s="20" t="str">
        <f aca="false">INT(A5/10)*10&amp;"s"</f>
        <v>2010s</v>
      </c>
      <c r="C5" s="21" t="n">
        <v>-0.1047</v>
      </c>
      <c r="D5" s="21" t="n">
        <v>-0.0789</v>
      </c>
      <c r="E5" s="21" t="n">
        <v>-0.1215</v>
      </c>
      <c r="F5" s="21" t="n">
        <v>-0.0962</v>
      </c>
      <c r="G5" s="20" t="str">
        <f aca="false">IF(D5&gt;=0,"Up","Down")</f>
        <v>Down</v>
      </c>
      <c r="H5" s="22" t="n">
        <f aca="false">H4*(1+D5)</f>
        <v>1.56661866375204</v>
      </c>
      <c r="I5" s="22" t="n">
        <f aca="false">I4*(1+C5)</f>
        <v>1.48563588667928</v>
      </c>
      <c r="J5" s="21" t="n">
        <v>-0.0457</v>
      </c>
    </row>
    <row r="6" customFormat="false" ht="15" hidden="false" customHeight="false" outlineLevel="0" collapsed="false">
      <c r="A6" s="19" t="n">
        <v>2019</v>
      </c>
      <c r="B6" s="20" t="str">
        <f aca="false">INT(A6/10)*10&amp;"s"</f>
        <v>2010s</v>
      </c>
      <c r="C6" s="21" t="n">
        <v>0.2594</v>
      </c>
      <c r="D6" s="21" t="n">
        <v>0.2594</v>
      </c>
      <c r="E6" s="21" t="n">
        <v>0.2313</v>
      </c>
      <c r="F6" s="21" t="n">
        <v>0.2313</v>
      </c>
      <c r="G6" s="20" t="str">
        <f aca="false">IF(D6&gt;=0,"Up","Down")</f>
        <v>Up</v>
      </c>
      <c r="H6" s="22" t="n">
        <f aca="false">H5*(1+D6)</f>
        <v>1.97299954512932</v>
      </c>
      <c r="I6" s="22" t="n">
        <f aca="false">I5*(1+C6)</f>
        <v>1.87100983568389</v>
      </c>
      <c r="J6" s="21" t="n">
        <v>0.3122</v>
      </c>
    </row>
    <row r="7" customFormat="false" ht="15" hidden="false" customHeight="false" outlineLevel="0" collapsed="false">
      <c r="A7" s="19" t="n">
        <v>2020</v>
      </c>
      <c r="B7" s="20" t="str">
        <f aca="false">INT(A7/10)*10&amp;"s"</f>
        <v>2020s</v>
      </c>
      <c r="C7" s="21" t="n">
        <v>1.0541</v>
      </c>
      <c r="D7" s="21" t="n">
        <v>1.072</v>
      </c>
      <c r="E7" s="21" t="n">
        <v>1.0265</v>
      </c>
      <c r="F7" s="21" t="n">
        <v>1.0442</v>
      </c>
      <c r="G7" s="20" t="str">
        <f aca="false">IF(D7&gt;=0,"Up","Down")</f>
        <v>Up</v>
      </c>
      <c r="H7" s="22" t="n">
        <f aca="false">H6*(1+D7)</f>
        <v>4.08805505750796</v>
      </c>
      <c r="I7" s="22" t="n">
        <f aca="false">I6*(1+C7)</f>
        <v>3.84324130347828</v>
      </c>
      <c r="J7" s="21" t="n">
        <v>0.1833</v>
      </c>
    </row>
    <row r="8" customFormat="false" ht="15" hidden="false" customHeight="false" outlineLevel="0" collapsed="false">
      <c r="A8" s="19" t="n">
        <v>2021</v>
      </c>
      <c r="B8" s="20" t="str">
        <f aca="false">INT(A8/10)*10&amp;"s"</f>
        <v>2020s</v>
      </c>
      <c r="C8" s="21" t="n">
        <v>0.0094</v>
      </c>
      <c r="D8" s="21" t="n">
        <v>0.0174</v>
      </c>
      <c r="E8" s="21" t="n">
        <v>-0.0569</v>
      </c>
      <c r="F8" s="21" t="n">
        <v>-0.0494</v>
      </c>
      <c r="G8" s="20" t="str">
        <f aca="false">IF(D8&gt;=0,"Up","Down")</f>
        <v>Up</v>
      </c>
      <c r="H8" s="22" t="n">
        <f aca="false">H7*(1+D8)</f>
        <v>4.1591872155086</v>
      </c>
      <c r="I8" s="22" t="n">
        <f aca="false">I7*(1+C8)</f>
        <v>3.87936777173097</v>
      </c>
      <c r="J8" s="21" t="n">
        <v>0.2873</v>
      </c>
    </row>
    <row r="9" customFormat="false" ht="15" hidden="false" customHeight="false" outlineLevel="0" collapsed="false">
      <c r="A9" s="19" t="n">
        <v>2022</v>
      </c>
      <c r="B9" s="20" t="str">
        <f aca="false">INT(A9/10)*10&amp;"s"</f>
        <v>2020s</v>
      </c>
      <c r="C9" s="21" t="n">
        <v>-0.4675</v>
      </c>
      <c r="D9" s="21" t="n">
        <v>-0.4675</v>
      </c>
      <c r="E9" s="21" t="n">
        <v>-0.4998</v>
      </c>
      <c r="F9" s="21" t="n">
        <v>-0.4998</v>
      </c>
      <c r="G9" s="20" t="str">
        <f aca="false">IF(D9&gt;=0,"Up","Down")</f>
        <v>Down</v>
      </c>
      <c r="H9" s="22" t="n">
        <f aca="false">H8*(1+D9)</f>
        <v>2.21476719225833</v>
      </c>
      <c r="I9" s="22" t="n">
        <f aca="false">I8*(1+C9)</f>
        <v>2.06576333844674</v>
      </c>
      <c r="J9" s="21" t="n">
        <v>-0.1818</v>
      </c>
    </row>
    <row r="10" customFormat="false" ht="15" hidden="false" customHeight="false" outlineLevel="0" collapsed="false">
      <c r="A10" s="19" t="n">
        <v>2023</v>
      </c>
      <c r="B10" s="20" t="str">
        <f aca="false">INT(A10/10)*10&amp;"s"</f>
        <v>2020s</v>
      </c>
      <c r="C10" s="21" t="n">
        <v>0.407</v>
      </c>
      <c r="D10" s="21" t="n">
        <v>0.407</v>
      </c>
      <c r="E10" s="21" t="n">
        <v>0.3613</v>
      </c>
      <c r="F10" s="21" t="n">
        <v>0.3613</v>
      </c>
      <c r="G10" s="20" t="str">
        <f aca="false">IF(D10&gt;=0,"Up","Down")</f>
        <v>Up</v>
      </c>
      <c r="H10" s="22" t="n">
        <f aca="false">H9*(1+D10)</f>
        <v>3.11617743950747</v>
      </c>
      <c r="I10" s="22" t="n">
        <f aca="false">I9*(1+C10)</f>
        <v>2.90652901719457</v>
      </c>
      <c r="J10" s="21" t="n">
        <v>0.2618</v>
      </c>
    </row>
    <row r="11" customFormat="false" ht="15" hidden="false" customHeight="false" outlineLevel="0" collapsed="false">
      <c r="A11" s="19" t="n">
        <v>2024</v>
      </c>
      <c r="B11" s="20" t="str">
        <f aca="false">INT(A11/10)*10&amp;"s"</f>
        <v>2020s</v>
      </c>
      <c r="C11" s="21" t="n">
        <v>0.3388</v>
      </c>
      <c r="D11" s="21" t="n">
        <v>0.3388</v>
      </c>
      <c r="E11" s="21" t="n">
        <v>0.3012</v>
      </c>
      <c r="F11" s="21" t="n">
        <v>0.3012</v>
      </c>
      <c r="G11" s="20" t="str">
        <f aca="false">IF(D11&gt;=0,"Up","Down")</f>
        <v>Up</v>
      </c>
      <c r="H11" s="22" t="n">
        <f aca="false">H10*(1+D11)</f>
        <v>4.1719383560126</v>
      </c>
      <c r="I11" s="22" t="n">
        <f aca="false">I10*(1+C11)</f>
        <v>3.89126104822009</v>
      </c>
      <c r="J11" s="21" t="n">
        <v>0.2489</v>
      </c>
    </row>
    <row r="12" customFormat="false" ht="15" hidden="false" customHeight="false" outlineLevel="0" collapsed="false">
      <c r="A12" s="19" t="n">
        <v>2025</v>
      </c>
      <c r="B12" s="20" t="str">
        <f aca="false">INT(A12/10)*10&amp;"s"</f>
        <v>2020s</v>
      </c>
      <c r="C12" s="21" t="n">
        <v>0.4843</v>
      </c>
      <c r="D12" s="21" t="n">
        <v>0.4881</v>
      </c>
      <c r="E12" s="21" t="n">
        <v>0.4456</v>
      </c>
      <c r="F12" s="21" t="n">
        <v>0.4493</v>
      </c>
      <c r="G12" s="20" t="str">
        <f aca="false">IF(D12&gt;=0,"Up","Down")</f>
        <v>Up</v>
      </c>
      <c r="H12" s="22" t="n">
        <f aca="false">H11*(1+D12)</f>
        <v>6.20826146758235</v>
      </c>
      <c r="I12" s="22" t="n">
        <f aca="false">I11*(1+C12)</f>
        <v>5.77579877387307</v>
      </c>
      <c r="J12" s="21" t="n">
        <v>0.1772</v>
      </c>
    </row>
    <row r="14" customFormat="false" ht="15" hidden="false" customHeight="false" outlineLevel="0" collapsed="false">
      <c r="A14" s="12" t="s">
        <v>156</v>
      </c>
    </row>
    <row r="15" customFormat="false" ht="15" hidden="false" customHeight="false" outlineLevel="0" collapsed="false">
      <c r="A15" s="13" t="s">
        <v>157</v>
      </c>
      <c r="C15" s="23" t="n">
        <f aca="false">COUNT(A2:A12)</f>
        <v>11</v>
      </c>
    </row>
    <row r="16" customFormat="false" ht="15" hidden="false" customHeight="false" outlineLevel="0" collapsed="false">
      <c r="A16" s="13" t="s">
        <v>158</v>
      </c>
      <c r="C16" s="23" t="n">
        <f aca="false">COUNTIF(D2:D12,"&gt;=0")</f>
        <v>8</v>
      </c>
    </row>
    <row r="17" customFormat="false" ht="15" hidden="false" customHeight="false" outlineLevel="0" collapsed="false">
      <c r="A17" s="13" t="s">
        <v>159</v>
      </c>
      <c r="C17" s="23" t="n">
        <f aca="false">COUNTIF(D2:D12,"&lt;0")</f>
        <v>3</v>
      </c>
    </row>
    <row r="18" customFormat="false" ht="15" hidden="false" customHeight="false" outlineLevel="0" collapsed="false">
      <c r="A18" s="13" t="s">
        <v>160</v>
      </c>
      <c r="C18" s="16" t="n">
        <f aca="false">AVERAGE(D2:D12)</f>
        <v>0.243590909090909</v>
      </c>
    </row>
    <row r="19" customFormat="false" ht="15" hidden="false" customHeight="false" outlineLevel="0" collapsed="false">
      <c r="A19" s="13" t="s">
        <v>161</v>
      </c>
      <c r="C19" s="16" t="n">
        <f aca="false">(H12)^(1/COUNT(A2:A12))-1</f>
        <v>0.180560319388258</v>
      </c>
    </row>
    <row r="20" customFormat="false" ht="15" hidden="false" customHeight="false" outlineLevel="0" collapsed="false">
      <c r="A20" s="13" t="s">
        <v>162</v>
      </c>
      <c r="C20" s="16" t="n">
        <f aca="false">AVERAGE(F2:F12)</f>
        <v>0.211218181818182</v>
      </c>
    </row>
    <row r="21" customFormat="false" ht="15" hidden="false" customHeight="false" outlineLevel="0" collapsed="false">
      <c r="A21" s="13" t="s">
        <v>163</v>
      </c>
      <c r="C21" s="16" t="n">
        <f aca="false">MAX(D2:D12)</f>
        <v>1.072</v>
      </c>
    </row>
    <row r="22" customFormat="false" ht="15" hidden="false" customHeight="false" outlineLevel="0" collapsed="false">
      <c r="A22" s="13" t="s">
        <v>164</v>
      </c>
      <c r="C22" s="16" t="n">
        <f aca="false">MIN(D2:D12)</f>
        <v>-0.4675</v>
      </c>
    </row>
    <row r="23" customFormat="false" ht="15" hidden="false" customHeight="false" outlineLevel="0" collapsed="false">
      <c r="A23" s="13" t="s">
        <v>165</v>
      </c>
      <c r="C23" s="16" t="n">
        <f aca="false">STDEV(D2:D12)</f>
        <v>0.400286873266025</v>
      </c>
    </row>
    <row r="24" customFormat="false" ht="15" hidden="false" customHeight="false" outlineLevel="0" collapsed="false">
      <c r="A24" s="13" t="s">
        <v>166</v>
      </c>
      <c r="C24" s="24" t="n">
        <f aca="false">H12</f>
        <v>6.20826146758235</v>
      </c>
    </row>
    <row r="25" customFormat="false" ht="15" hidden="false" customHeight="false" outlineLevel="0" collapsed="false">
      <c r="A25" s="13" t="s">
        <v>167</v>
      </c>
      <c r="C25" s="16" t="n">
        <f aca="false">AVERAGE(J2:J12)</f>
        <v>0.144781818181818</v>
      </c>
    </row>
    <row r="26" customFormat="false" ht="15" hidden="false" customHeight="false" outlineLevel="0" collapsed="false">
      <c r="A26" s="13" t="s">
        <v>168</v>
      </c>
      <c r="C26" s="16" t="n">
        <f aca="false">EXP(SUMPRODUCT(LN(1+J2:J12)))^(1/COUNT(J2:J12))-1</f>
        <v>0.134189306240105</v>
      </c>
    </row>
    <row r="27" customFormat="false" ht="15" hidden="false" customHeight="false" outlineLevel="0" collapsed="false">
      <c r="A27" s="13" t="s">
        <v>169</v>
      </c>
      <c r="C27" s="24" t="n">
        <f aca="false">EXP(SUMPRODUCT(LN(1+J2:J12)))</f>
        <v>3.9952230462895</v>
      </c>
    </row>
    <row r="28" customFormat="false" ht="15" hidden="false" customHeight="false" outlineLevel="0" collapsed="false">
      <c r="A28" s="13" t="s">
        <v>170</v>
      </c>
      <c r="C28" s="16" t="n">
        <f aca="false">STDEV(J2:J12)</f>
        <v>0.155480936568969</v>
      </c>
    </row>
    <row r="30" customFormat="false" ht="15" hidden="false" customHeight="false" outlineLevel="0" collapsed="false">
      <c r="A30" s="25" t="s">
        <v>171</v>
      </c>
    </row>
    <row r="31" customFormat="false" ht="15" hidden="false" customHeight="false" outlineLevel="0" collapsed="false">
      <c r="A31" s="2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5" min="13" style="0" width="13"/>
  </cols>
  <sheetData>
    <row r="1" customFormat="false" ht="35.05" hidden="false" customHeight="false" outlineLevel="0" collapsed="false">
      <c r="A1" s="1" t="s">
        <v>147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 customFormat="false" ht="15" hidden="false" customHeight="false" outlineLevel="0" collapsed="false">
      <c r="A2" s="20" t="s">
        <v>187</v>
      </c>
      <c r="B2" s="20" t="s">
        <v>188</v>
      </c>
      <c r="C2" s="20" t="n">
        <f aca="false">COUNTIF('Annual Returns'!$B$2:$B$12,"2010s")</f>
        <v>5</v>
      </c>
      <c r="D2" s="20" t="n">
        <f aca="false">COUNTIFS('Annual Returns'!$B$2:$B$12,"2010s",'Annual Returns'!$D$2:$D$12,"&gt;=0")</f>
        <v>3</v>
      </c>
      <c r="E2" s="20" t="n">
        <f aca="false">COUNTIFS('Annual Returns'!$B$2:$B$12,"2010s",'Annual Returns'!$D$2:$D$12,"&lt;0")</f>
        <v>2</v>
      </c>
      <c r="F2" s="21" t="n">
        <f aca="false">AVERAGEIF('Annual Returns'!$B$2:$B$12,"2010s",'Annual Returns'!$D$2:$D$12)</f>
        <v>0.16474</v>
      </c>
      <c r="G2" s="21" t="n">
        <f aca="false">(1+H2)^(1/C2)-1</f>
        <v>0.145579931640096</v>
      </c>
      <c r="H2" s="21" t="n">
        <f aca="false">EXP(SUMPRODUCT(('Annual Returns'!$B$2:$B$12="2010s")*LN(1+'Annual Returns'!$D$2:$D$12)))-1</f>
        <v>0.972999545129323</v>
      </c>
      <c r="I2" s="21" t="n">
        <f aca="false">AVERAGEIF('Annual Returns'!$B$2:$B$12,"2010s",'Annual Returns'!$C$2:$C$12)</f>
        <v>0.15316</v>
      </c>
      <c r="J2" s="21" t="n">
        <f aca="false">(EXP(SUMPRODUCT(('Annual Returns'!$B$2:$B$12="2010s")*LN(1+'Annual Returns'!$C$2:$C$12))))^(1/C2)-1</f>
        <v>0.13348353022041</v>
      </c>
      <c r="K2" s="21" t="n">
        <f aca="false">AVERAGEIF('Annual Returns'!$B$2:$B$12,"2010s",'Annual Returns'!$F$2:$F$12)</f>
        <v>0.14332</v>
      </c>
      <c r="L2" s="21" t="n">
        <f aca="false">_xlfn.MAXIFS('Annual Returns'!$D$2:$D$12,'Annual Returns'!$B$2:$B$12,"2010s")</f>
        <v>0.5226</v>
      </c>
      <c r="M2" s="21" t="n">
        <f aca="false">_xlfn.MINIFS('Annual Returns'!$D$2:$D$12,'Annual Returns'!$B$2:$B$12,"2010s")</f>
        <v>-0.0789</v>
      </c>
      <c r="N2" s="22" t="n">
        <f aca="false">1+H2</f>
        <v>1.97299954512932</v>
      </c>
      <c r="O2" s="21" t="n">
        <f aca="false">(EXP(SUMPRODUCT(('Annual Returns'!$B$2:$B$12="2010s")*LN(1+'Annual Returns'!$J$2:$J$12))))^(1/C2)-1</f>
        <v>0.115597919930413</v>
      </c>
    </row>
    <row r="3" customFormat="false" ht="15" hidden="false" customHeight="false" outlineLevel="0" collapsed="false">
      <c r="A3" s="20" t="s">
        <v>189</v>
      </c>
      <c r="B3" s="20" t="s">
        <v>190</v>
      </c>
      <c r="C3" s="20" t="n">
        <f aca="false">COUNTIF('Annual Returns'!$B$2:$B$12,"2020s")</f>
        <v>6</v>
      </c>
      <c r="D3" s="20" t="n">
        <f aca="false">COUNTIFS('Annual Returns'!$B$2:$B$12,"2020s",'Annual Returns'!$D$2:$D$12,"&gt;=0")</f>
        <v>5</v>
      </c>
      <c r="E3" s="20" t="n">
        <f aca="false">COUNTIFS('Annual Returns'!$B$2:$B$12,"2020s",'Annual Returns'!$D$2:$D$12,"&lt;0")</f>
        <v>1</v>
      </c>
      <c r="F3" s="21" t="n">
        <f aca="false">AVERAGEIF('Annual Returns'!$B$2:$B$12,"2020s",'Annual Returns'!$D$2:$D$12)</f>
        <v>0.3093</v>
      </c>
      <c r="G3" s="21" t="n">
        <f aca="false">(1+H3)^(1/C3)-1</f>
        <v>0.210525202664656</v>
      </c>
      <c r="H3" s="21" t="n">
        <f aca="false">EXP(SUMPRODUCT(('Annual Returns'!$B$2:$B$12="2020s")*LN(1+'Annual Returns'!$D$2:$D$12)))-1</f>
        <v>2.14661069380805</v>
      </c>
      <c r="I3" s="21" t="n">
        <f aca="false">AVERAGEIF('Annual Returns'!$B$2:$B$12,"2020s",'Annual Returns'!$C$2:$C$12)</f>
        <v>0.30435</v>
      </c>
      <c r="J3" s="21" t="n">
        <f aca="false">(EXP(SUMPRODUCT(('Annual Returns'!$B$2:$B$12="2020s")*LN(1+'Annual Returns'!$C$2:$C$12))))^(1/C3)-1</f>
        <v>0.206672264699319</v>
      </c>
      <c r="K3" s="21" t="n">
        <f aca="false">AVERAGEIF('Annual Returns'!$B$2:$B$12,"2020s",'Annual Returns'!$F$2:$F$12)</f>
        <v>0.2678</v>
      </c>
      <c r="L3" s="21" t="n">
        <f aca="false">_xlfn.MAXIFS('Annual Returns'!$D$2:$D$12,'Annual Returns'!$B$2:$B$12,"2020s")</f>
        <v>1.072</v>
      </c>
      <c r="M3" s="21" t="n">
        <f aca="false">_xlfn.MINIFS('Annual Returns'!$D$2:$D$12,'Annual Returns'!$B$2:$B$12,"2020s")</f>
        <v>-0.4675</v>
      </c>
      <c r="N3" s="22" t="n">
        <f aca="false">1+H3</f>
        <v>3.14661069380805</v>
      </c>
      <c r="O3" s="21" t="n">
        <f aca="false">(EXP(SUMPRODUCT(('Annual Returns'!$B$2:$B$12="2020s")*LN(1+'Annual Returns'!$J$2:$J$12))))^(1/C3)-1</f>
        <v>0.149918581650387</v>
      </c>
    </row>
    <row r="4" customFormat="false" ht="15" hidden="false" customHeight="false" outlineLevel="0" collapsed="false">
      <c r="A4" s="26" t="s">
        <v>191</v>
      </c>
      <c r="B4" s="26" t="s">
        <v>192</v>
      </c>
      <c r="C4" s="26" t="n">
        <f aca="false">COUNT('Annual Returns'!$A$2:$A$12)</f>
        <v>11</v>
      </c>
      <c r="D4" s="26" t="n">
        <f aca="false">COUNTIF('Annual Returns'!$D$2:$D$12,"&gt;=0")</f>
        <v>8</v>
      </c>
      <c r="E4" s="26" t="n">
        <f aca="false">COUNTIF('Annual Returns'!$D$2:$D$12,"&lt;0")</f>
        <v>3</v>
      </c>
      <c r="F4" s="27" t="n">
        <f aca="false">AVERAGE('Annual Returns'!$D$2:$D$12)</f>
        <v>0.243590909090909</v>
      </c>
      <c r="G4" s="27" t="n">
        <f aca="false">(1+H4)^(1/C4)-1</f>
        <v>0.180560319388258</v>
      </c>
      <c r="H4" s="27" t="n">
        <f aca="false">EXP(SUMPRODUCT(LN(1+'Annual Returns'!$D$2:$D$12)))-1</f>
        <v>5.20826146758235</v>
      </c>
      <c r="I4" s="27" t="n">
        <f aca="false">AVERAGE('Annual Returns'!$C$2:$C$12)</f>
        <v>0.235627272727273</v>
      </c>
      <c r="J4" s="27" t="n">
        <f aca="false">(EXP(SUMPRODUCT(LN(1+'Annual Returns'!$C$2:$C$12))))^(1/C4)-1</f>
        <v>0.172836462813528</v>
      </c>
      <c r="K4" s="27" t="n">
        <f aca="false">AVERAGE('Annual Returns'!$F$2:$F$12)</f>
        <v>0.211218181818182</v>
      </c>
      <c r="L4" s="27" t="n">
        <f aca="false">MAX('Annual Returns'!$D$2:$D$12)</f>
        <v>1.072</v>
      </c>
      <c r="M4" s="27" t="n">
        <f aca="false">MIN('Annual Returns'!$D$2:$D$12)</f>
        <v>-0.4675</v>
      </c>
      <c r="N4" s="28" t="n">
        <f aca="false">1+H4</f>
        <v>6.20826146758235</v>
      </c>
      <c r="O4" s="27" t="n">
        <f aca="false">(EXP(SUMPRODUCT(LN(1+'Annual Returns'!$J$2:$J$12))))^(1/C4)-1</f>
        <v>0.134189306240105</v>
      </c>
    </row>
    <row r="7" customFormat="false" ht="15" hidden="false" customHeight="false" outlineLevel="0" collapsed="false">
      <c r="A7" s="25" t="s">
        <v>193</v>
      </c>
    </row>
    <row r="8" customFormat="false" ht="15" hidden="false" customHeight="false" outlineLevel="0" collapsed="false">
      <c r="A8" s="25" t="s">
        <v>194</v>
      </c>
    </row>
    <row r="9" customFormat="false" ht="15" hidden="false" customHeight="false" outlineLevel="0" collapsed="false">
      <c r="A9" s="25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2026-09-23T11:50:44Z</dcterms:created>
  <dc:creator>openpyxl</dc:creator>
  <dc:description/>
  <dc:language>en-US</dc:language>
  <cp:lastModifiedBy/>
  <dcterms:modified xsi:type="dcterms:W3CDTF">2026-09-23T11:50:44Z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