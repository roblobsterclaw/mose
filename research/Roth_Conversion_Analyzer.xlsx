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harts/chart1.xml" ContentType="application/vnd.openxmlformats-officedocument.drawingml.chart+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mpare" sheetId="2" state="visible" r:id="rId4"/>
    <sheet name="Lump vs None" sheetId="3" state="visible" r:id="rId5"/>
    <sheet name="Inputs" sheetId="4" state="visible" r:id="rId6"/>
    <sheet name="Engine" sheetId="5" state="visible" r:id="rId7"/>
    <sheet name="Sensitivity" sheetId="6" state="visible" r:id="rId8"/>
    <sheet name="RMD &amp; heirs" sheetId="7" state="visible" r:id="rId9"/>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E5" authorId="0">
      <text>
        <r>
          <rPr>
            <sz val="10"/>
            <rFont val="Arial"/>
            <family val="2"/>
          </rPr>
          <t xml:space="preserve">Roth side also keeps whatever is left in the pool after paying the tax (zero when the pool equals the tax).</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Joe: own IRA ~$948k + Keli inherited ~$202k (IBKR, Sept 2026). CPA example used $100,000.</t>
        </r>
      </text>
    </comment>
    <comment ref="B4" authorId="0">
      <text>
        <r>
          <rPr>
            <sz val="10"/>
            <rFont val="Arial"/>
            <family val="2"/>
          </rPr>
          <t xml:space="preserve">Same investments in IRA, Roth and taxable, as the CPA assumed. 10% = long-run S&amp;P; CPA used 7%.</t>
        </r>
      </text>
    </comment>
    <comment ref="B5" authorId="0">
      <text>
        <r>
          <rPr>
            <sz val="10"/>
            <rFont val="Arial"/>
            <family val="2"/>
          </rPr>
          <t xml:space="preserve">Used for every year of the schedule below unless you overwrite a year. CPA used 25%.</t>
        </r>
      </text>
    </comment>
    <comment ref="B6" authorId="0">
      <text>
        <r>
          <rPr>
            <sz val="10"/>
            <rFont val="Arial"/>
            <family val="2"/>
          </rPr>
          <t xml:space="preserve">Rate you expect on IRA money when it eventually comes out (RMDs at 75, or earlier draws). Joe retired, single, NJ: ~24% fed + 6.4% NJ. CPA used 25%.</t>
        </r>
      </text>
    </comment>
    <comment ref="B7" authorId="0">
      <text>
        <r>
          <rPr>
            <sz val="10"/>
            <rFont val="Arial"/>
            <family val="2"/>
          </rPr>
          <t xml:space="preserve">Defaults to 1.75 x the tax on an all-at-once conversion (IRA x default rate x 1.75), enough to cover the slower schedules, which pay more total tax because the IRA keeps growing. Set it to the tax on a lump conversion (IRA x rate) to match the CPA exactly; the comparison between strategies does not change with the pool size as long as no strategy runs short (the Engine flags SHORT). Overwrite with the cash you actually have outside the IRA.</t>
        </r>
      </text>
    </comment>
    <comment ref="B8" authorId="0">
      <text>
        <r>
          <rPr>
            <sz val="10"/>
            <rFont val="Arial"/>
            <family val="2"/>
          </rPr>
          <t xml:space="preserve">An S&amp;P index fund pays ~1.3% dividends taxed ~30%, so about 4-5% of a 10% return is lost each year. CPA used 25% (return x 0.75). Enter 0.25 to match him.</t>
        </r>
      </text>
    </comment>
    <comment ref="B9" authorId="0">
      <text>
        <r>
          <rPr>
            <sz val="10"/>
            <rFont val="Arial"/>
            <family val="2"/>
          </rPr>
          <t xml:space="preserve">Deferred tax on the taxable pool's unrealized gains when it is finally sold: 20% federal + 3.8% NIIT + NJ ~6.4% at Joe's level. CPA assumed 0. Enter 0 to match him.</t>
        </r>
      </text>
    </comment>
    <comment ref="B10" authorId="0">
      <text>
        <r>
          <rPr>
            <sz val="10"/>
            <rFont val="Arial"/>
            <family val="2"/>
          </rPr>
          <t xml:space="preserve">Any whole number 1 to 40. "Update years" here and every tab follows.</t>
        </r>
      </text>
    </comment>
    <comment ref="B11" authorId="0">
      <text>
        <r>
          <rPr>
            <sz val="10"/>
            <rFont val="Arial"/>
            <family val="2"/>
          </rPr>
          <t xml:space="preserve">Calendar year of the first conversion.</t>
        </r>
      </text>
    </comment>
    <comment ref="B12" authorId="0">
      <text>
        <r>
          <rPr>
            <sz val="10"/>
            <rFont val="Arial"/>
            <family val="2"/>
          </rPr>
          <t xml:space="preserve">Used for the age column and the RMD tab (RMDs begin at 75).</t>
        </r>
      </text>
    </comment>
    <comment ref="B13" authorId="0">
      <text>
        <r>
          <rPr>
            <sz val="10"/>
            <rFont val="Arial"/>
            <family val="2"/>
          </rPr>
          <t xml:space="preserve">Kids must empty an inherited traditional IRA within 10 years and pay ordinary tax; an inherited Roth is tax-free. Rough guess for a working adult child in a high-tax state.</t>
        </r>
      </text>
    </comment>
    <comment ref="B14" authorId="0">
      <text>
        <r>
          <rPr>
            <sz val="10"/>
            <rFont val="Arial"/>
            <family val="2"/>
          </rPr>
          <t xml:space="preserve">IRS Publication 590-B, Table III, age 75 = 24.6. Source: irs.gov.</t>
        </r>
      </text>
    </comment>
    <comment ref="B15" authorId="0">
      <text>
        <r>
          <rPr>
            <sz val="10"/>
            <rFont val="Arial"/>
            <family val="2"/>
          </rPr>
          <t xml:space="preserve">A = flat schedule (every year = B5 unless overwritten). B = bracket-managed schedule pre-filled for Joe: 38% while joint / surviving spouse (years 1-3), 42% as head of household while still working (years 4-5), 30% once retired (year 6 on). Edit either column freely.</t>
        </r>
      </text>
    </comment>
    <comment ref="C19" authorId="0">
      <text>
        <r>
          <rPr>
            <sz val="10"/>
            <rFont val="Arial"/>
            <family val="2"/>
          </rPr>
          <t xml:space="preserve">Each year defaults to the rate in B5. Type a number over the formula to set that year.</t>
        </r>
      </text>
    </comment>
    <comment ref="D19" authorId="0">
      <text>
        <r>
          <rPr>
            <sz val="10"/>
            <rFont val="Arial"/>
            <family val="2"/>
          </rPr>
          <t xml:space="preserve">Joe (plan of Sept 2026): joint / qualifying surviving spouse 2026-2028 ~38%; head of household 2029-2030 while earning ~42%; retired from 2031 ~30% (24% federal + 6.4% NJ). Source: retirement-plan.md section 6 and the Five-Year Accumulation Plan PDF.</t>
        </r>
      </text>
    </comment>
  </commentList>
</comments>
</file>

<file path=xl/sharedStrings.xml><?xml version="1.0" encoding="utf-8"?>
<sst xmlns="http://schemas.openxmlformats.org/spreadsheetml/2006/main" count="285" uniqueCount="139">
  <si>
    <t xml:space="preserve">Roth Conversion Analyzer</t>
  </si>
  <si>
    <t xml:space="preserve">Built from Robert Mac Arthur's (KSM) 'IRA analysis.xlsx' framing: convert and pay the tax from outside cash, versus keep the IRA and invest that same outside cash. Extended to answer three questions: Is it worth converting at all? All at once, or over time? And how sensitive is the answer to the assumptions?</t>
  </si>
  <si>
    <t xml:space="preserve">HOW TO USE</t>
  </si>
  <si>
    <t xml:space="preserve">1. Change only the blue cells on yellow fill (tab 'Inputs'). Everything else is formulas.</t>
  </si>
  <si>
    <t xml:space="preserve">2. The 'Compare' tab is the answer page: after-tax wealth at your horizon for each strategy, the advantage over not converting, total tax paid, and the year each strategy pulls ahead.</t>
  </si>
  <si>
    <t xml:space="preserve">3. The 'Engine' tab holds six side-by-side strategies (no conversion, all at once, over 3 / 5 / 8 / 10 years). The number of conversion years in each block header is editable, so you can test any spread.</t>
  </si>
  <si>
    <t xml:space="preserve">4. The 'Lump vs None' tab is the CPA's original two-column layout, year by year, with the after-tax value of each side every year so you can see the crossover.</t>
  </si>
  <si>
    <t xml:space="preserve">5. 'Sensitivity' shows the lump-sum advantage across future tax rates and returns, and the break-even future tax rate.</t>
  </si>
  <si>
    <t xml:space="preserve">6. 'RMD &amp; heirs' shows what an unconverted IRA looks like at 75 (required withdrawals) and what the kids keep.</t>
  </si>
  <si>
    <t xml:space="preserve">THE FAIR COMPARISON (why this is apples to apples)</t>
  </si>
  <si>
    <t xml:space="preserve">Every strategy starts with the same resources: the IRA plus an outside cash pool. A conversion spends pool cash on tax. Not converting leaves that cash in the pool, invested in a taxable account. After-tax wealth each year = Roth (tax-free) + IRA x (1 - future tax rate) + pool (less the deferred tax on its gains). Comparing strategies on after-tax wealth from identical starting resources is the only way the 'all at once vs over time vs never' question is fair.</t>
  </si>
  <si>
    <t xml:space="preserve">WHAT THE CPA'S SHEET ASSUMED, AND WHAT THIS ONE ADDS</t>
  </si>
  <si>
    <t xml:space="preserve">- CPA: one tax rate now and later (25%), 7% return, 10 years, $100k, taxable account earns 75% of the return (a 25% drag), no tax on the taxable account at the end. Set Inputs to those values (and the pool to $25,000) and the Compare tab reproduces his ~$7.5k advantage.</t>
  </si>
  <si>
    <t xml:space="preserve">- Added: your IRA balance; a different rate now vs later; a year-by-year conversion tax rate schedule (so bracket management shows up); any number of conversion years; an explicit taxable-account drag plus a deferred capital-gains tax on the pool at liquidation; year and age columns; heirs' tax rate; RMD at 75; horizon lookup; break-even year; sensitivity grids; a chart.</t>
  </si>
  <si>
    <t xml:space="preserve">WHAT IT DOES NOT DO (read before trusting a number)</t>
  </si>
  <si>
    <t xml:space="preserve">- It does not compute brackets. The per-year conversion rate schedule on Inputs is where you put the bracket math (e.g. 38% while joint, 42% as head of household while working, 30% once retired). The 'Five-Year Accumulation Plan' PDF has those rates for Joe's situation.</t>
  </si>
  <si>
    <t xml:space="preserve">- Returns are a single constant; no volatility. A bad first year after a lump conversion hurts more than this shows.</t>
  </si>
  <si>
    <t xml:space="preserve">- It ignores the 5-year rule on converted principal (only matters if withdrawn before 59 1/2), IRMAA Medicare surcharges from 63 on, Social Security taxation, state moves, and NJ basis in the IRA.</t>
  </si>
  <si>
    <t xml:space="preserve">- 'Conversion years = N' converts equal slices of the remaining balance (1/N, 1/(N-1), ... all), so the IRA is empty after year N.</t>
  </si>
  <si>
    <t xml:space="preserve">- Conversion and tax happen at the start of each year; growth follows. The pool pays the tax; if the pool runs dry the Engine flags it in red.</t>
  </si>
  <si>
    <t xml:space="preserve">Illustrative only, not tax advice. Prepared October 2026 with Claude Code from the KSM worksheet dated the same month.</t>
  </si>
  <si>
    <t xml:space="preserve">Compare: after-tax wealth by strategy</t>
  </si>
  <si>
    <t xml:space="preserve">Strategy</t>
  </si>
  <si>
    <t xml:space="preserve">Conversion years</t>
  </si>
  <si>
    <t xml:space="preserve">After-tax wealth at horizon</t>
  </si>
  <si>
    <t xml:space="preserve">Advantage vs never ($)</t>
  </si>
  <si>
    <t xml:space="preserve">Advantage vs never (%)</t>
  </si>
  <si>
    <t xml:space="preserve">Total tax paid (from pool)</t>
  </si>
  <si>
    <t xml:space="preserve">Average conversion rate</t>
  </si>
  <si>
    <t xml:space="preserve">First year ahead of never</t>
  </si>
  <si>
    <t xml:space="preserve">Roth share at horizon</t>
  </si>
  <si>
    <t xml:space="preserve">Never convert</t>
  </si>
  <si>
    <t xml:space="preserve">All at once</t>
  </si>
  <si>
    <t xml:space="preserve">Over 3 years</t>
  </si>
  <si>
    <t xml:space="preserve">Over 5 years</t>
  </si>
  <si>
    <t xml:space="preserve">Over 8 years</t>
  </si>
  <si>
    <t xml:space="preserve">Over 10 years</t>
  </si>
  <si>
    <t xml:space="preserve">Best strategy at this horizon:</t>
  </si>
  <si>
    <t xml:space="preserve">Break-even future tax rate (lump sum):</t>
  </si>
  <si>
    <t xml:space="preserve">If your future withdrawal rate is above this, converting all at once beats never converting at this horizon. Below it, keeping the IRA wins. It is lower than the rate you pay now because the taxable pool is taxed along the way.</t>
  </si>
  <si>
    <t xml:space="preserve">Fixed horizons (after-tax wealth, $)</t>
  </si>
  <si>
    <t xml:space="preserve">5 yrs</t>
  </si>
  <si>
    <t xml:space="preserve">10 yrs</t>
  </si>
  <si>
    <t xml:space="preserve">15 yrs</t>
  </si>
  <si>
    <t xml:space="preserve">20 yrs</t>
  </si>
  <si>
    <t xml:space="preserve">25 yrs</t>
  </si>
  <si>
    <t xml:space="preserve">30 yrs</t>
  </si>
  <si>
    <t xml:space="preserve">Age 75 (RMD start)</t>
  </si>
  <si>
    <t xml:space="preserve">Advantage vs never, same horizons ($)</t>
  </si>
  <si>
    <t xml:space="preserve">Age 75</t>
  </si>
  <si>
    <t xml:space="preserve">The CPA's two-column layout, with Joe's inputs and the after-tax value of each side every year</t>
  </si>
  <si>
    <t xml:space="preserve">Left: pay the tax from outside cash, convert everything to Roth, let it grow. Right: keep the IRA, invest the same outside cash in a taxable account. Pulled from the Engine (blocks "All at once" and "Never convert").</t>
  </si>
  <si>
    <t xml:space="preserve">Year</t>
  </si>
  <si>
    <t xml:space="preserve">Age</t>
  </si>
  <si>
    <t xml:space="preserve">Calendar</t>
  </si>
  <si>
    <t xml:space="preserve">ROTH SIDE: Roth balance</t>
  </si>
  <si>
    <t xml:space="preserve">Roth after-tax (no tax due)</t>
  </si>
  <si>
    <t xml:space="preserve">IRA SIDE: IRA balance</t>
  </si>
  <si>
    <t xml:space="preserve">Tax if withdrawn now</t>
  </si>
  <si>
    <t xml:space="preserve">IRA after tax</t>
  </si>
  <si>
    <t xml:space="preserve">Taxable pool</t>
  </si>
  <si>
    <t xml:space="preserve">Deferred tax on pool gains</t>
  </si>
  <si>
    <t xml:space="preserve">IRA side after-tax total</t>
  </si>
  <si>
    <t xml:space="preserve">Roth side advantage ($)</t>
  </si>
  <si>
    <t xml:space="preserve">Roth side advantage (%)</t>
  </si>
  <si>
    <t xml:space="preserve">Inputs (blue on yellow = change me)</t>
  </si>
  <si>
    <t xml:space="preserve">Pre-tax IRA balance today</t>
  </si>
  <si>
    <t xml:space="preserve">Joe: own IRA ~$948k + Keli inherited ~$202k (IBKR, Sept 2026). CPA example used $100,000.</t>
  </si>
  <si>
    <t xml:space="preserve">Annual return, all accounts</t>
  </si>
  <si>
    <t xml:space="preserve">Same investments in IRA, Roth and taxable, as the CPA assumed. 10% = long-run S&amp;P; CPA used 7%.</t>
  </si>
  <si>
    <t xml:space="preserve">Default tax rate on conversions (combined federal + NJ)</t>
  </si>
  <si>
    <t xml:space="preserve">Used for every year of the schedule below unless you overwrite a year. CPA used 25%.</t>
  </si>
  <si>
    <t xml:space="preserve">Tax rate on IRA withdrawals later (combined)</t>
  </si>
  <si>
    <t xml:space="preserve">Rate you expect on IRA money when it eventually comes out (RMDs at 75, or earlier draws). Joe retired, single, NJ: ~24% fed + 6.4% NJ. CPA used 25%.</t>
  </si>
  <si>
    <t xml:space="preserve">Outside cash pool available for tax</t>
  </si>
  <si>
    <t xml:space="preserve">Defaults to 1.75 x the tax on an all-at-once conversion (IRA x default rate x 1.75), enough to cover the slower schedules, which pay more total tax because the IRA keeps growing. Set it to the tax on a lump conversion (IRA x rate) to match the CPA exactly; the comparison between strategies does not change with the pool size as long as no strategy runs short (the Engine flags SHORT). Overwrite with the cash you actually have outside the IRA.</t>
  </si>
  <si>
    <t xml:space="preserve">Taxable-account drag (share of return lost to annual tax)</t>
  </si>
  <si>
    <t xml:space="preserve">An S&amp;P index fund pays ~1.3% dividends taxed ~30%, so about 4-5% of a 10% return is lost each year. CPA used 25% (return x 0.75). Enter 0.25 to match him.</t>
  </si>
  <si>
    <t xml:space="preserve">Capital-gains tax on pool gains at liquidation (combined)</t>
  </si>
  <si>
    <t xml:space="preserve">Deferred tax on the taxable pool's unrealized gains when it is finally sold: 20% federal + 3.8% NIIT + NJ ~6.4% at Joe's level. CPA assumed 0. Enter 0 to match him.</t>
  </si>
  <si>
    <t xml:space="preserve">Horizon (years) for the Compare tab</t>
  </si>
  <si>
    <t xml:space="preserve">Any whole number 1 to 40. "Update years" here and every tab follows.</t>
  </si>
  <si>
    <t xml:space="preserve">Start year</t>
  </si>
  <si>
    <t xml:space="preserve">Calendar year of the first conversion.</t>
  </si>
  <si>
    <t xml:space="preserve">Age at start</t>
  </si>
  <si>
    <t xml:space="preserve">Used for the age column and the RMD tab (RMDs begin at 75).</t>
  </si>
  <si>
    <t xml:space="preserve">Heirs' tax rate on an inherited IRA (combined)</t>
  </si>
  <si>
    <t xml:space="preserve">Kids must empty an inherited traditional IRA within 10 years and pay ordinary tax; an inherited Roth is tax-free. Rough guess for a working adult child in a high-tax state.</t>
  </si>
  <si>
    <t xml:space="preserve">RMD divisor at age 75 (IRS Uniform Lifetime Table)</t>
  </si>
  <si>
    <t xml:space="preserve">IRS Publication 590-B, Table III, age 75 = 24.6. Source: irs.gov.</t>
  </si>
  <si>
    <t xml:space="preserve">Which conversion-rate schedule to use (A or B)</t>
  </si>
  <si>
    <t xml:space="preserve">A</t>
  </si>
  <si>
    <t xml:space="preserve">Type A or B. Schedule B is pre-filled with Joe's bracket-managed rates; schedule A is flat at B5. The Engine, Compare and every other tab follow whichever is selected.</t>
  </si>
  <si>
    <t xml:space="preserve">Conversion tax rate by year (overwrite any year)</t>
  </si>
  <si>
    <t xml:space="preserve">Year #</t>
  </si>
  <si>
    <t xml:space="preserve">Schedule A: flat (default = B5)</t>
  </si>
  <si>
    <t xml:space="preserve">Schedule B: bracket-managed (Joe)</t>
  </si>
  <si>
    <t xml:space="preserve">Legend: blue text on yellow = input you can change. Green = pulled from another tab. Black = formula. Illustrative, not tax advice.</t>
  </si>
  <si>
    <t xml:space="preserve">Engine: six strategies side by side. Each block: conversion years N in the yellow cell (0 = never convert, 1 = all at once). Rows = years 0 to 40.</t>
  </si>
  <si>
    <t xml:space="preserve">After-tax wealth = Roth + IRA x (1 - later rate) + Pool - (Pool - Pool basis) x liquidation rate. Pool pays every conversion tax; a red "SHORT" means the pool could not cover it.</t>
  </si>
  <si>
    <t xml:space="preserve">Conversion years N:</t>
  </si>
  <si>
    <t xml:space="preserve">Yr</t>
  </si>
  <si>
    <t xml:space="preserve">Rate</t>
  </si>
  <si>
    <t xml:space="preserve">IRA begin</t>
  </si>
  <si>
    <t xml:space="preserve">Converted</t>
  </si>
  <si>
    <t xml:space="preserve">Tax paid</t>
  </si>
  <si>
    <t xml:space="preserve">Pool after tax</t>
  </si>
  <si>
    <t xml:space="preserve">IRA end</t>
  </si>
  <si>
    <t xml:space="preserve">Roth end</t>
  </si>
  <si>
    <t xml:space="preserve">Pool end</t>
  </si>
  <si>
    <t xml:space="preserve">Pool basis</t>
  </si>
  <si>
    <t xml:space="preserve">After-tax wealth</t>
  </si>
  <si>
    <t xml:space="preserve">Roth share</t>
  </si>
  <si>
    <t xml:space="preserve">Beats never?</t>
  </si>
  <si>
    <t xml:space="preserve">Check</t>
  </si>
  <si>
    <t xml:space="preserve">Total converted</t>
  </si>
  <si>
    <t xml:space="preserve">&lt;- total tax</t>
  </si>
  <si>
    <t xml:space="preserve">Average rate</t>
  </si>
  <si>
    <t xml:space="preserve">First year ahead</t>
  </si>
  <si>
    <t xml:space="preserve">Pool short years</t>
  </si>
  <si>
    <t xml:space="preserve">Sensitivity: lump-sum conversion advantage over never converting, at the Compare horizon</t>
  </si>
  <si>
    <t xml:space="preserve">Closed form, so it responds instantly. Rows: tax rate on future withdrawals. Columns: annual return. Everything else from Inputs (rate now, drag, liquidation tax, horizon, IRA). Positive = converting wins.</t>
  </si>
  <si>
    <t xml:space="preserve">Later rate \ Return</t>
  </si>
  <si>
    <t xml:space="preserve">Break-even future tax rate by horizon and rate paid now</t>
  </si>
  <si>
    <t xml:space="preserve">Convert if your future rate is ABOVE the number. Return, drag and liquidation tax from Inputs.</t>
  </si>
  <si>
    <t xml:space="preserve">Rate now \ Horizon</t>
  </si>
  <si>
    <t xml:space="preserve">Reading it: the longer the money stays invested and the heavier the tax drag on the outside pool, the lower the future rate has to be before keeping the IRA wins. With a 10% return and 25+ years, converting at 38% beats never converting even if the future rate is in the low 20s.</t>
  </si>
  <si>
    <t xml:space="preserve">What an unconverted IRA looks like at 75, and what the kids keep</t>
  </si>
  <si>
    <t xml:space="preserve">Years until age 75</t>
  </si>
  <si>
    <t xml:space="preserve">IRA balance at 75 if never converted</t>
  </si>
  <si>
    <t xml:space="preserve">First required minimum distribution (balance / divisor)</t>
  </si>
  <si>
    <t xml:space="preserve">Forced ordinary income every year from 75, whether you need it or not; it also pushes Social Security into taxation and raises Medicare premiums (IRMAA).</t>
  </si>
  <si>
    <t xml:space="preserve">Tax on that first RMD at the later rate</t>
  </si>
  <si>
    <t xml:space="preserve">Roth balance at 75 if converted all at once (no RMDs)</t>
  </si>
  <si>
    <t xml:space="preserve">If the account passes to the kids at the Compare horizon</t>
  </si>
  <si>
    <t xml:space="preserve">Pre-tax IRA left</t>
  </si>
  <si>
    <t xml:space="preserve">Roth left</t>
  </si>
  <si>
    <t xml:space="preserve">What heirs keep after their tax (IRA x (1 - heirs' rate) + Roth + pool after liquidation tax)</t>
  </si>
  <si>
    <t xml:space="preserve">Heirs must empty an inherited traditional IRA within 10 years of death (SECURE Act), taxed as ordinary income in their bracket. An inherited Roth also empties in 10 years but tax-free, and can sit growing until year 10. The heirs' rate on Inputs drives column D.</t>
  </si>
</sst>
</file>

<file path=xl/styles.xml><?xml version="1.0" encoding="utf-8"?>
<styleSheet xmlns="http://schemas.openxmlformats.org/spreadsheetml/2006/main">
  <numFmts count="7">
    <numFmt numFmtId="164" formatCode="General"/>
    <numFmt numFmtId="165" formatCode="0"/>
    <numFmt numFmtId="166" formatCode="\$#,##0;&quot;($&quot;#,##0\);\-"/>
    <numFmt numFmtId="167" formatCode="0.0%"/>
    <numFmt numFmtId="168" formatCode="\$#,##0"/>
    <numFmt numFmtId="169" formatCode="0.0"/>
    <numFmt numFmtId="170" formatCode="0&quot; yrs&quot;"/>
  </numFmts>
  <fonts count="14">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i val="true"/>
      <sz val="9"/>
      <color rgb="FF555555"/>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sz val="10"/>
      <name val="Arial"/>
      <family val="2"/>
    </font>
    <font>
      <sz val="10"/>
      <color rgb="FF0000FF"/>
      <name val="Arial"/>
      <family val="0"/>
      <charset val="1"/>
    </font>
  </fonts>
  <fills count="4">
    <fill>
      <patternFill patternType="none"/>
    </fill>
    <fill>
      <patternFill patternType="gray125"/>
    </fill>
    <fill>
      <patternFill patternType="solid">
        <fgColor rgb="FFDDE6F0"/>
        <bgColor rgb="FFD9D9D9"/>
      </patternFill>
    </fill>
    <fill>
      <patternFill patternType="solid">
        <fgColor rgb="FFFFFF00"/>
        <bgColor rgb="FFFFFF00"/>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6" fontId="13" fillId="3" borderId="0" xfId="0" applyFont="true" applyBorder="false" applyAlignment="false" applyProtection="false">
      <alignment horizontal="general" vertical="bottom" textRotation="0" wrapText="false" indent="0" shrinkToFit="false"/>
      <protection locked="true" hidden="false"/>
    </xf>
    <xf numFmtId="167" fontId="13" fillId="3" borderId="0" xfId="0" applyFont="true" applyBorder="false" applyAlignment="false" applyProtection="false">
      <alignment horizontal="general" vertical="bottom" textRotation="0" wrapText="false" indent="0" shrinkToFit="false"/>
      <protection locked="true" hidden="false"/>
    </xf>
    <xf numFmtId="165" fontId="13" fillId="3" borderId="0" xfId="0" applyFont="true" applyBorder="false" applyAlignment="false" applyProtection="false">
      <alignment horizontal="general" vertical="bottom" textRotation="0" wrapText="false" indent="0" shrinkToFit="false"/>
      <protection locked="true" hidden="false"/>
    </xf>
    <xf numFmtId="169" fontId="13"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7" fontId="6" fillId="2" borderId="0" xfId="0" applyFont="true" applyBorder="false" applyAlignment="false" applyProtection="false">
      <alignment horizontal="general" vertical="bottom" textRotation="0" wrapText="false" indent="0" shrinkToFit="false"/>
      <protection locked="true" hidden="false"/>
    </xf>
    <xf numFmtId="170" fontId="6"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b val="1"/>
        <color rgb="FFFF0000"/>
      </font>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78787"/>
      <rgbColor rgb="FF9999FF"/>
      <rgbColor rgb="FFBE4B48"/>
      <rgbColor rgb="FFFFFFCC"/>
      <rgbColor rgb="FFDDE6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A7EBB"/>
      <rgbColor rgb="FF33CCCC"/>
      <rgbColor rgb="FF98B855"/>
      <rgbColor rgb="FFFFCC00"/>
      <rgbColor rgb="FFFF9900"/>
      <rgbColor rgb="FFFF6600"/>
      <rgbColor rgb="FF7D5FA0"/>
      <rgbColor rgb="FF969696"/>
      <rgbColor rgb="FF003366"/>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After-tax wealth by year</a:t>
            </a:r>
          </a:p>
        </c:rich>
      </c:tx>
      <c:overlay val="0"/>
      <c:spPr>
        <a:noFill/>
        <a:ln w="0">
          <a:noFill/>
        </a:ln>
      </c:spPr>
    </c:title>
    <c:autoTitleDeleted val="0"/>
    <c:plotArea>
      <c:lineChart>
        <c:grouping val="standard"/>
        <c:varyColors val="0"/>
        <c:ser>
          <c:idx val="0"/>
          <c:order val="0"/>
          <c:tx>
            <c:strRef>
              <c:f>Engine!M6</c:f>
              <c:strCache>
                <c:ptCount val="1"/>
                <c:pt idx="0">
                  <c:v>After-tax wealth</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Engine!$A$7:$A$37</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Engine!$M$7:$M$37</c:f>
              <c:numCache>
                <c:formatCode>\$#,##0;"($"#,##0\);\-</c:formatCode>
                <c:ptCount val="31"/>
                <c:pt idx="0">
                  <c:v>1569750</c:v>
                </c:pt>
                <c:pt idx="1">
                  <c:v>1704011.925</c:v>
                </c:pt>
                <c:pt idx="2">
                  <c:v>1851431.232875</c:v>
                </c:pt>
                <c:pt idx="3">
                  <c:v>2013298.12499813</c:v>
                </c:pt>
                <c:pt idx="4">
                  <c:v>2191029.39687295</c:v>
                </c:pt>
                <c:pt idx="5">
                  <c:v>2386180.86707588</c:v>
                </c:pt>
                <c:pt idx="6">
                  <c:v>2600461.02719809</c:v>
                </c:pt>
                <c:pt idx="7">
                  <c:v>2835746.0328069</c:v>
                </c:pt>
                <c:pt idx="8">
                  <c:v>3094096.16725106</c:v>
                </c:pt>
                <c:pt idx="9">
                  <c:v>3377773.92310016</c:v>
                </c:pt>
                <c:pt idx="10">
                  <c:v>3689263.86025095</c:v>
                </c:pt>
                <c:pt idx="11">
                  <c:v>4031294.41537669</c:v>
                </c:pt>
                <c:pt idx="12">
                  <c:v>4406861.85457957</c:v>
                </c:pt>
                <c:pt idx="13">
                  <c:v>4819256.57998093</c:v>
                </c:pt>
                <c:pt idx="14">
                  <c:v>5272092.02171706</c:v>
                </c:pt>
                <c:pt idx="15">
                  <c:v>5769336.3695819</c:v>
                </c:pt>
                <c:pt idx="16">
                  <c:v>6315347.42357408</c:v>
                </c:pt>
                <c:pt idx="17">
                  <c:v>6914910.87008371</c:v>
                </c:pt>
                <c:pt idx="18">
                  <c:v>7573282.32063875</c:v>
                </c:pt>
                <c:pt idx="19">
                  <c:v>8296233.48328624</c:v>
                </c:pt>
                <c:pt idx="20">
                  <c:v>9090102.87310392</c:v>
                </c:pt>
                <c:pt idx="21">
                  <c:v>9961851.50834483</c:v>
                </c:pt>
                <c:pt idx="22">
                  <c:v>10919124.0826632</c:v>
                </c:pt>
                <c:pt idx="23">
                  <c:v>11970316.1521444</c:v>
                </c:pt>
                <c:pt idx="24">
                  <c:v>13124647.9288892</c:v>
                </c:pt>
                <c:pt idx="25">
                  <c:v>14392245.3311538</c:v>
                </c:pt>
                <c:pt idx="26">
                  <c:v>15784229.0040355</c:v>
                </c:pt>
                <c:pt idx="27">
                  <c:v>17312812.0949833</c:v>
                </c:pt>
                <c:pt idx="28">
                  <c:v>18991407.6456275</c:v>
                </c:pt>
                <c:pt idx="29">
                  <c:v>20834746.5462449</c:v>
                </c:pt>
                <c:pt idx="30">
                  <c:v>22859007.0923494</c:v>
                </c:pt>
              </c:numCache>
            </c:numRef>
          </c:val>
          <c:smooth val="1"/>
        </c:ser>
        <c:ser>
          <c:idx val="1"/>
          <c:order val="1"/>
          <c:tx>
            <c:strRef>
              <c:f>Engine!AD6</c:f>
              <c:strCache>
                <c:ptCount val="1"/>
                <c:pt idx="0">
                  <c:v>After-tax wealth</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Engine!$A$7:$A$37</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Engine!$AD$7:$AD$37</c:f>
              <c:numCache>
                <c:formatCode>\$#,##0;"($"#,##0\);\-</c:formatCode>
                <c:ptCount val="31"/>
                <c:pt idx="0">
                  <c:v>1569750</c:v>
                </c:pt>
                <c:pt idx="1">
                  <c:v>1615790.825</c:v>
                </c:pt>
                <c:pt idx="2">
                  <c:v>1767520.528375</c:v>
                </c:pt>
                <c:pt idx="3">
                  <c:v>1934297.05357063</c:v>
                </c:pt>
                <c:pt idx="4">
                  <c:v>2117613.09865984</c:v>
                </c:pt>
                <c:pt idx="5">
                  <c:v>2319109.49303252</c:v>
                </c:pt>
                <c:pt idx="6">
                  <c:v>2540589.90237061</c:v>
                </c:pt>
                <c:pt idx="7">
                  <c:v>2784036.99384582</c:v>
                </c:pt>
                <c:pt idx="8">
                  <c:v>3051630.20658617</c:v>
                </c:pt>
                <c:pt idx="9">
                  <c:v>3345765.28686936</c:v>
                </c:pt>
                <c:pt idx="10">
                  <c:v>3669075.76334519</c:v>
                </c:pt>
                <c:pt idx="11">
                  <c:v>4024456.55500856</c:v>
                </c:pt>
                <c:pt idx="12">
                  <c:v>4415089.92379451</c:v>
                </c:pt>
                <c:pt idx="13">
                  <c:v>4844474.00472113</c:v>
                </c:pt>
                <c:pt idx="14">
                  <c:v>5316454.1696524</c:v>
                </c:pt>
                <c:pt idx="15">
                  <c:v>5835257.50620042</c:v>
                </c:pt>
                <c:pt idx="16">
                  <c:v>6405530.7212636</c:v>
                </c:pt>
                <c:pt idx="17">
                  <c:v>7032381.80945519</c:v>
                </c:pt>
                <c:pt idx="18">
                  <c:v>7721425.86049215</c:v>
                </c:pt>
                <c:pt idx="19">
                  <c:v>8478835.41679148</c:v>
                </c:pt>
                <c:pt idx="20">
                  <c:v>9311395.83339451</c:v>
                </c:pt>
                <c:pt idx="21">
                  <c:v>10226566.1372756</c:v>
                </c:pt>
                <c:pt idx="22">
                  <c:v>11232545.9324963</c:v>
                </c:pt>
                <c:pt idx="23">
                  <c:v>12338348.9519809</c:v>
                </c:pt>
                <c:pt idx="24">
                  <c:v>13553883.9164062</c:v>
                </c:pt>
                <c:pt idx="25">
                  <c:v>14890043.4263507</c:v>
                </c:pt>
                <c:pt idx="26">
                  <c:v>16358801.6860285</c:v>
                </c:pt>
                <c:pt idx="27">
                  <c:v>17973321.9362931</c:v>
                </c:pt>
                <c:pt idx="28">
                  <c:v>19748074.5618421</c:v>
                </c:pt>
                <c:pt idx="29">
                  <c:v>21698966.9334784</c:v>
                </c:pt>
                <c:pt idx="30">
                  <c:v>23843486.1517462</c:v>
                </c:pt>
              </c:numCache>
            </c:numRef>
          </c:val>
          <c:smooth val="1"/>
        </c:ser>
        <c:ser>
          <c:idx val="2"/>
          <c:order val="2"/>
          <c:tx>
            <c:strRef>
              <c:f>Engine!BL6</c:f>
              <c:strCache>
                <c:ptCount val="1"/>
                <c:pt idx="0">
                  <c:v>After-tax wealth</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Engine!$A$7:$A$37</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Engine!$BL$7:$BL$37</c:f>
              <c:numCache>
                <c:formatCode>\$#,##0;"($"#,##0\);\-</c:formatCode>
                <c:ptCount val="31"/>
                <c:pt idx="0">
                  <c:v>1569750</c:v>
                </c:pt>
                <c:pt idx="1">
                  <c:v>1686367.705</c:v>
                </c:pt>
                <c:pt idx="2">
                  <c:v>1817409.08741792</c:v>
                </c:pt>
                <c:pt idx="3">
                  <c:v>1964420.72804976</c:v>
                </c:pt>
                <c:pt idx="4">
                  <c:v>2129116.66549481</c:v>
                </c:pt>
                <c:pt idx="5">
                  <c:v>2313396.73332062</c:v>
                </c:pt>
                <c:pt idx="6">
                  <c:v>2534433.45605544</c:v>
                </c:pt>
                <c:pt idx="7">
                  <c:v>2777394.71070007</c:v>
                </c:pt>
                <c:pt idx="8">
                  <c:v>3044455.93211094</c:v>
                </c:pt>
                <c:pt idx="9">
                  <c:v>3338008.48188834</c:v>
                </c:pt>
                <c:pt idx="10">
                  <c:v>3660681.08746035</c:v>
                </c:pt>
                <c:pt idx="11">
                  <c:v>4015363.41048402</c:v>
                </c:pt>
                <c:pt idx="12">
                  <c:v>4405231.9561095</c:v>
                </c:pt>
                <c:pt idx="13">
                  <c:v>4833778.55567541</c:v>
                </c:pt>
                <c:pt idx="14">
                  <c:v>5304841.6785167</c:v>
                </c:pt>
                <c:pt idx="15">
                  <c:v>5822640.85397618</c:v>
                </c:pt>
                <c:pt idx="16">
                  <c:v>6391814.51264742</c:v>
                </c:pt>
                <c:pt idx="17">
                  <c:v>7017461.58658985</c:v>
                </c:pt>
                <c:pt idx="18">
                  <c:v>7705187.24202396</c:v>
                </c:pt>
                <c:pt idx="19">
                  <c:v>8461153.15513818</c:v>
                </c:pt>
                <c:pt idx="20">
                  <c:v>9292132.78245351</c:v>
                </c:pt>
                <c:pt idx="21">
                  <c:v>10205572.1220646</c:v>
                </c:pt>
                <c:pt idx="22">
                  <c:v>11209656.5114096</c:v>
                </c:pt>
                <c:pt idx="23">
                  <c:v>12313384.0614603</c:v>
                </c:pt>
                <c:pt idx="24">
                  <c:v>13526646.3868555</c:v>
                </c:pt>
                <c:pt idx="25">
                  <c:v>14860317.3570621</c:v>
                </c:pt>
                <c:pt idx="26">
                  <c:v>16326350.6657268</c:v>
                </c:pt>
                <c:pt idx="27">
                  <c:v>17937887.0946322</c:v>
                </c:pt>
                <c:pt idx="28">
                  <c:v>19709372.4357927</c:v>
                </c:pt>
                <c:pt idx="29">
                  <c:v>21656687.1310236</c:v>
                </c:pt>
                <c:pt idx="30">
                  <c:v>23797288.7936276</c:v>
                </c:pt>
              </c:numCache>
            </c:numRef>
          </c:val>
          <c:smooth val="1"/>
        </c:ser>
        <c:ser>
          <c:idx val="3"/>
          <c:order val="3"/>
          <c:tx>
            <c:strRef>
              <c:f>Engine!CT6</c:f>
              <c:strCache>
                <c:ptCount val="1"/>
                <c:pt idx="0">
                  <c:v>After-tax wealth</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Engine!$A$7:$A$37</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strCache>
            </c:strRef>
          </c:cat>
          <c:val>
            <c:numRef>
              <c:f>Engine!$CT$7:$CT$37</c:f>
              <c:numCache>
                <c:formatCode>\$#,##0;"($"#,##0\);\-</c:formatCode>
                <c:ptCount val="31"/>
                <c:pt idx="0">
                  <c:v>1569750</c:v>
                </c:pt>
                <c:pt idx="1">
                  <c:v>1695189.815</c:v>
                </c:pt>
                <c:pt idx="2">
                  <c:v>1834420.16014646</c:v>
                </c:pt>
                <c:pt idx="3">
                  <c:v>1988859.42652394</c:v>
                </c:pt>
                <c:pt idx="4">
                  <c:v>2160073.03118388</c:v>
                </c:pt>
                <c:pt idx="5">
                  <c:v>2349788.80019825</c:v>
                </c:pt>
                <c:pt idx="6">
                  <c:v>2559913.97362771</c:v>
                </c:pt>
                <c:pt idx="7">
                  <c:v>2792554.00443593</c:v>
                </c:pt>
                <c:pt idx="8">
                  <c:v>3050033.34170965</c:v>
                </c:pt>
                <c:pt idx="9">
                  <c:v>3334918.40883035</c:v>
                </c:pt>
                <c:pt idx="10">
                  <c:v>3650043.00969803</c:v>
                </c:pt>
                <c:pt idx="11">
                  <c:v>4003840.20459935</c:v>
                </c:pt>
                <c:pt idx="12">
                  <c:v>4392739.53493086</c:v>
                </c:pt>
                <c:pt idx="13">
                  <c:v>4820224.84374988</c:v>
                </c:pt>
                <c:pt idx="14">
                  <c:v>5290125.85322332</c:v>
                </c:pt>
                <c:pt idx="15">
                  <c:v>5806652.51454501</c:v>
                </c:pt>
                <c:pt idx="16">
                  <c:v>6374432.77023537</c:v>
                </c:pt>
                <c:pt idx="17">
                  <c:v>6998554.06791372</c:v>
                </c:pt>
                <c:pt idx="18">
                  <c:v>7684608.99833868</c:v>
                </c:pt>
                <c:pt idx="19">
                  <c:v>8438745.46756787</c:v>
                </c:pt>
                <c:pt idx="20">
                  <c:v>9267721.8538291</c:v>
                </c:pt>
                <c:pt idx="21">
                  <c:v>10178967.6444859</c:v>
                </c:pt>
                <c:pt idx="22">
                  <c:v>11180650.097726</c:v>
                </c:pt>
                <c:pt idx="23">
                  <c:v>12281747.5277419</c:v>
                </c:pt>
                <c:pt idx="24">
                  <c:v>13492129.8716989</c:v>
                </c:pt>
                <c:pt idx="25">
                  <c:v>14822647.2622307</c:v>
                </c:pt>
                <c:pt idx="26">
                  <c:v>16285227.4011515</c:v>
                </c:pt>
                <c:pt idx="27">
                  <c:v>17892982.6091873</c:v>
                </c:pt>
                <c:pt idx="28">
                  <c:v>19660327.5134956</c:v>
                </c:pt>
                <c:pt idx="29">
                  <c:v>21603108.4303734</c:v>
                </c:pt>
                <c:pt idx="30">
                  <c:v>23738745.6056807</c:v>
                </c:pt>
              </c:numCache>
            </c:numRef>
          </c:val>
          <c:smooth val="1"/>
        </c:ser>
        <c:hiLowLines>
          <c:spPr>
            <a:ln w="0">
              <a:noFill/>
            </a:ln>
          </c:spPr>
        </c:hiLowLines>
        <c:marker val="0"/>
        <c:axId val="96857946"/>
        <c:axId val="25459225"/>
      </c:lineChart>
      <c:catAx>
        <c:axId val="9685794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459225"/>
        <c:crosses val="autoZero"/>
        <c:auto val="1"/>
        <c:lblAlgn val="ctr"/>
        <c:lblOffset val="100"/>
        <c:noMultiLvlLbl val="0"/>
      </c:catAx>
      <c:valAx>
        <c:axId val="2545922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85794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32</xdr:row>
      <xdr:rowOff>176040</xdr:rowOff>
    </xdr:from>
    <xdr:to>
      <xdr:col>6</xdr:col>
      <xdr:colOff>377640</xdr:colOff>
      <xdr:row>49</xdr:row>
      <xdr:rowOff>177120</xdr:rowOff>
    </xdr:to>
    <xdr:graphicFrame>
      <xdr:nvGraphicFramePr>
        <xdr:cNvPr id="0" name="Chart 1"/>
        <xdr:cNvGraphicFramePr/>
      </xdr:nvGraphicFramePr>
      <xdr:xfrm>
        <a:off x="0" y="697248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6.15" hidden="false" customHeight="false" outlineLevel="0" collapsed="false">
      <c r="A1" s="1" t="s">
        <v>0</v>
      </c>
    </row>
    <row r="2" customFormat="false" ht="35.0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23.85" hidden="false" customHeight="false" outlineLevel="0" collapsed="false">
      <c r="A6" s="2" t="s">
        <v>4</v>
      </c>
    </row>
    <row r="7" customFormat="false" ht="23.85" hidden="false" customHeight="false" outlineLevel="0" collapsed="false">
      <c r="A7" s="2" t="s">
        <v>5</v>
      </c>
    </row>
    <row r="8" customFormat="false" ht="23.8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row>
    <row r="12" customFormat="false" ht="15" hidden="false" customHeight="false" outlineLevel="0" collapsed="false">
      <c r="A12" s="3" t="s">
        <v>9</v>
      </c>
    </row>
    <row r="13" customFormat="false" ht="46.2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35.05" hidden="false" customHeight="false" outlineLevel="0" collapsed="false">
      <c r="A16" s="2" t="s">
        <v>12</v>
      </c>
    </row>
    <row r="17" customFormat="false" ht="35.0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3" t="s">
        <v>14</v>
      </c>
    </row>
    <row r="20" customFormat="false" ht="23.85" hidden="false" customHeight="false" outlineLevel="0" collapsed="false">
      <c r="A20" s="2" t="s">
        <v>15</v>
      </c>
    </row>
    <row r="21" customFormat="false" ht="15" hidden="false" customHeight="false" outlineLevel="0" collapsed="false">
      <c r="A21" s="2" t="s">
        <v>16</v>
      </c>
    </row>
    <row r="22" customFormat="false" ht="23.85" hidden="false" customHeight="false" outlineLevel="0" collapsed="false">
      <c r="A22" s="2" t="s">
        <v>17</v>
      </c>
    </row>
    <row r="23" customFormat="false" ht="15" hidden="false" customHeight="false" outlineLevel="0" collapsed="false">
      <c r="A23" s="2" t="s">
        <v>18</v>
      </c>
    </row>
    <row r="24" customFormat="false" ht="23.85" hidden="false" customHeight="false" outlineLevel="0" collapsed="false">
      <c r="A24" s="2" t="s">
        <v>19</v>
      </c>
    </row>
    <row r="25" customFormat="false" ht="15" hidden="false" customHeight="false" outlineLevel="0" collapsed="false">
      <c r="A25" s="2"/>
    </row>
    <row r="26" customFormat="false" ht="15" hidden="false" customHeight="false" outlineLevel="0" collapsed="false">
      <c r="A26" s="4"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9" min="2" style="0" width="17"/>
  </cols>
  <sheetData>
    <row r="1" customFormat="false" ht="16.15" hidden="false" customHeight="false" outlineLevel="0" collapsed="false">
      <c r="A1" s="5" t="s">
        <v>21</v>
      </c>
    </row>
    <row r="2" customFormat="false" ht="15" hidden="false" customHeight="false" outlineLevel="0" collapsed="false">
      <c r="A2" s="6" t="str">
        <f aca="false">"Horizon: "&amp;Inputs!B10&amp;" years (change on Inputs). Start year "&amp;Inputs!B11&amp;", age "&amp;Inputs!B12&amp;" to "&amp;(Inputs!B12+Inputs!B10)&amp;". IRA $"&amp;TEXT(Inputs!B3,"#,##0")&amp;", return "&amp;TEXT(Inputs!B4,"0.0%")&amp;", rate now "&amp;TEXT(Inputs!B5,"0%")&amp;", rate later "&amp;TEXT(Inputs!B6,"0%")&amp;"."</f>
        <v>Horizon: 10 years (change on Inputs). Start year 2026, age 57 to 67. IRA $1,150,000, return 10.0%, rate now 38%, rate later 30%.</v>
      </c>
    </row>
    <row r="4" customFormat="false" ht="42" hidden="false" customHeight="true" outlineLevel="0" collapsed="false">
      <c r="A4" s="7" t="s">
        <v>22</v>
      </c>
      <c r="B4" s="7" t="s">
        <v>23</v>
      </c>
      <c r="C4" s="7" t="s">
        <v>24</v>
      </c>
      <c r="D4" s="7" t="s">
        <v>25</v>
      </c>
      <c r="E4" s="7" t="s">
        <v>26</v>
      </c>
      <c r="F4" s="7" t="s">
        <v>27</v>
      </c>
      <c r="G4" s="7" t="s">
        <v>28</v>
      </c>
      <c r="H4" s="7" t="s">
        <v>29</v>
      </c>
      <c r="I4" s="7" t="s">
        <v>30</v>
      </c>
    </row>
    <row r="5" customFormat="false" ht="15" hidden="false" customHeight="false" outlineLevel="0" collapsed="false">
      <c r="A5" s="8" t="s">
        <v>31</v>
      </c>
      <c r="B5" s="9" t="n">
        <f aca="false">Engine!$F$4</f>
        <v>0</v>
      </c>
      <c r="C5" s="10" t="n">
        <f aca="false">INDEX(Engine!M7:M47,Inputs!$B$10+1)</f>
        <v>3689263.86025095</v>
      </c>
      <c r="D5" s="11" t="n">
        <f aca="false">C5-$C$5</f>
        <v>0</v>
      </c>
      <c r="E5" s="12" t="n">
        <f aca="false">IF($C$5=0,0,D5/$C$5)</f>
        <v>0</v>
      </c>
      <c r="F5" s="10" t="n">
        <f aca="false">Engine!G49</f>
        <v>0</v>
      </c>
      <c r="G5" s="13" t="n">
        <f aca="false">Engine!F50</f>
        <v>0</v>
      </c>
      <c r="H5" s="14" t="str">
        <f aca="false">Engine!F51</f>
        <v>never</v>
      </c>
      <c r="I5" s="13" t="n">
        <f aca="false">INDEX(Engine!N7:N47,Inputs!$B$10+1)</f>
        <v>0</v>
      </c>
    </row>
    <row r="6" customFormat="false" ht="15" hidden="false" customHeight="false" outlineLevel="0" collapsed="false">
      <c r="A6" s="8" t="s">
        <v>32</v>
      </c>
      <c r="B6" s="9" t="n">
        <f aca="false">Engine!$W$4</f>
        <v>1</v>
      </c>
      <c r="C6" s="10" t="n">
        <f aca="false">INDEX(Engine!AD7:AD47,Inputs!$B$10+1)</f>
        <v>3669075.76334519</v>
      </c>
      <c r="D6" s="11" t="n">
        <f aca="false">C6-$C$5</f>
        <v>-20188.0969057563</v>
      </c>
      <c r="E6" s="12" t="n">
        <f aca="false">IF($C$5=0,0,D6/$C$5)</f>
        <v>-0.00547212063720025</v>
      </c>
      <c r="F6" s="10" t="n">
        <f aca="false">Engine!X49</f>
        <v>437000</v>
      </c>
      <c r="G6" s="13" t="n">
        <f aca="false">Engine!W50</f>
        <v>0.38</v>
      </c>
      <c r="H6" s="9" t="n">
        <f aca="false">Engine!W51</f>
        <v>12</v>
      </c>
      <c r="I6" s="13" t="n">
        <f aca="false">INDEX(Engine!AE7:AE47,Inputs!$B$10+1)</f>
        <v>0.785973672652523</v>
      </c>
    </row>
    <row r="7" customFormat="false" ht="15" hidden="false" customHeight="false" outlineLevel="0" collapsed="false">
      <c r="A7" s="8" t="s">
        <v>33</v>
      </c>
      <c r="B7" s="9" t="n">
        <f aca="false">Engine!$AN$4</f>
        <v>3</v>
      </c>
      <c r="C7" s="10" t="n">
        <f aca="false">INDEX(Engine!AU7:AU47,Inputs!$B$10+1)</f>
        <v>3664891.18807479</v>
      </c>
      <c r="D7" s="11" t="n">
        <f aca="false">C7-$C$5</f>
        <v>-24372.6721761571</v>
      </c>
      <c r="E7" s="12" t="n">
        <f aca="false">IF($C$5=0,0,D7/$C$5)</f>
        <v>-0.00660637815547822</v>
      </c>
      <c r="F7" s="10" t="n">
        <f aca="false">Engine!AO49</f>
        <v>482156.666666667</v>
      </c>
      <c r="G7" s="13" t="n">
        <f aca="false">Engine!AN50</f>
        <v>0.38</v>
      </c>
      <c r="H7" s="9" t="n">
        <f aca="false">Engine!AN51</f>
        <v>12</v>
      </c>
      <c r="I7" s="13" t="n">
        <f aca="false">INDEX(Engine!AV7:AV47,Inputs!$B$10+1)</f>
        <v>0.787000736597962</v>
      </c>
    </row>
    <row r="8" customFormat="false" ht="15" hidden="false" customHeight="false" outlineLevel="0" collapsed="false">
      <c r="A8" s="8" t="s">
        <v>34</v>
      </c>
      <c r="B8" s="9" t="n">
        <f aca="false">Engine!$BE$4</f>
        <v>5</v>
      </c>
      <c r="C8" s="10" t="n">
        <f aca="false">INDEX(Engine!BL7:BL47,Inputs!$B$10+1)</f>
        <v>3660681.08746035</v>
      </c>
      <c r="D8" s="11" t="n">
        <f aca="false">C8-$C$5</f>
        <v>-28582.7727906019</v>
      </c>
      <c r="E8" s="12" t="n">
        <f aca="false">IF($C$5=0,0,D8/$C$5)</f>
        <v>-0.00774755449144201</v>
      </c>
      <c r="F8" s="10" t="n">
        <f aca="false">Engine!BF49</f>
        <v>533585.74</v>
      </c>
      <c r="G8" s="13" t="n">
        <f aca="false">Engine!BE50</f>
        <v>0.38</v>
      </c>
      <c r="H8" s="9" t="n">
        <f aca="false">Engine!BE51</f>
        <v>13</v>
      </c>
      <c r="I8" s="13" t="n">
        <f aca="false">INDEX(Engine!BM7:BM47,Inputs!$B$10+1)</f>
        <v>0.788036777883652</v>
      </c>
    </row>
    <row r="9" customFormat="false" ht="15" hidden="false" customHeight="false" outlineLevel="0" collapsed="false">
      <c r="A9" s="8" t="s">
        <v>35</v>
      </c>
      <c r="B9" s="9" t="n">
        <f aca="false">Engine!$BV$4</f>
        <v>8</v>
      </c>
      <c r="C9" s="10" t="n">
        <f aca="false">INDEX(Engine!CC7:CC47,Inputs!$B$10+1)</f>
        <v>3654317.69293912</v>
      </c>
      <c r="D9" s="11" t="n">
        <f aca="false">C9-$C$5</f>
        <v>-34946.1673118346</v>
      </c>
      <c r="E9" s="12" t="n">
        <f aca="false">IF($C$5=0,0,D9/$C$5)</f>
        <v>-0.00947239575036998</v>
      </c>
      <c r="F9" s="10" t="n">
        <f aca="false">Engine!BW49</f>
        <v>624685.3874625</v>
      </c>
      <c r="G9" s="13" t="n">
        <f aca="false">Engine!BV50</f>
        <v>0.38</v>
      </c>
      <c r="H9" s="9" t="n">
        <f aca="false">Engine!BV51</f>
        <v>13</v>
      </c>
      <c r="I9" s="13" t="n">
        <f aca="false">INDEX(Engine!CD7:CD47,Inputs!$B$10+1)</f>
        <v>0.789607899422873</v>
      </c>
    </row>
    <row r="10" customFormat="false" ht="15" hidden="false" customHeight="false" outlineLevel="0" collapsed="false">
      <c r="A10" s="8" t="s">
        <v>36</v>
      </c>
      <c r="B10" s="9" t="n">
        <f aca="false">Engine!$CM$4</f>
        <v>10</v>
      </c>
      <c r="C10" s="10" t="n">
        <f aca="false">INDEX(Engine!CT7:CT47,Inputs!$B$10+1)</f>
        <v>3650043.00969803</v>
      </c>
      <c r="D10" s="11" t="n">
        <f aca="false">C10-$C$5</f>
        <v>-39220.8505529235</v>
      </c>
      <c r="E10" s="12" t="n">
        <f aca="false">IF($C$5=0,0,D10/$C$5)</f>
        <v>-0.0106310776454617</v>
      </c>
      <c r="F10" s="10" t="n">
        <f aca="false">Engine!CN49</f>
        <v>696465.4550637</v>
      </c>
      <c r="G10" s="13" t="n">
        <f aca="false">Engine!CM50</f>
        <v>0.38</v>
      </c>
      <c r="H10" s="9" t="n">
        <f aca="false">Engine!CM51</f>
        <v>13</v>
      </c>
      <c r="I10" s="13" t="n">
        <f aca="false">INDEX(Engine!CU7:CU47,Inputs!$B$10+1)</f>
        <v>0.790666840780912</v>
      </c>
    </row>
    <row r="12" customFormat="false" ht="15" hidden="false" customHeight="false" outlineLevel="0" collapsed="false">
      <c r="A12" s="8" t="s">
        <v>37</v>
      </c>
      <c r="B12" s="8" t="str">
        <f aca="false">INDEX(A5:A10,MATCH(MAX(C5:C10),C5:C10,0))</f>
        <v>Never convert</v>
      </c>
    </row>
    <row r="13" customFormat="false" ht="42" hidden="false" customHeight="true" outlineLevel="0" collapsed="false">
      <c r="A13" s="8" t="s">
        <v>38</v>
      </c>
      <c r="B13" s="15" t="n">
        <f aca="false">(Inputs!$B$5*(1+Inputs!$B$4*(1-Inputs!$B$8))^Inputs!$B$10*(1-Inputs!$B$9)+Inputs!$B$5*Inputs!$B$9)/(1+Inputs!$B$4)^Inputs!$B$10</f>
        <v>0.306768161120319</v>
      </c>
      <c r="C13" s="16" t="s">
        <v>39</v>
      </c>
      <c r="D13" s="16"/>
      <c r="E13" s="16"/>
      <c r="F13" s="16"/>
      <c r="G13" s="16"/>
      <c r="H13" s="16"/>
      <c r="I13" s="16"/>
    </row>
    <row r="15" customFormat="false" ht="15" hidden="false" customHeight="false" outlineLevel="0" collapsed="false">
      <c r="A15" s="8" t="s">
        <v>40</v>
      </c>
    </row>
    <row r="16" customFormat="false" ht="15" hidden="false" customHeight="false" outlineLevel="0" collapsed="false">
      <c r="A16" s="17" t="s">
        <v>22</v>
      </c>
      <c r="B16" s="17" t="s">
        <v>41</v>
      </c>
      <c r="C16" s="17" t="s">
        <v>42</v>
      </c>
      <c r="D16" s="17" t="s">
        <v>43</v>
      </c>
      <c r="E16" s="17" t="s">
        <v>44</v>
      </c>
      <c r="F16" s="17" t="s">
        <v>45</v>
      </c>
      <c r="G16" s="17" t="s">
        <v>46</v>
      </c>
      <c r="H16" s="17" t="s">
        <v>47</v>
      </c>
    </row>
    <row r="17" customFormat="false" ht="15" hidden="false" customHeight="false" outlineLevel="0" collapsed="false">
      <c r="A17" s="18" t="s">
        <v>31</v>
      </c>
      <c r="B17" s="10" t="n">
        <f aca="false">INDEX(Engine!M7:M47,5+1)</f>
        <v>2386180.86707588</v>
      </c>
      <c r="C17" s="10" t="n">
        <f aca="false">INDEX(Engine!M7:M47,10+1)</f>
        <v>3689263.86025095</v>
      </c>
      <c r="D17" s="10" t="n">
        <f aca="false">INDEX(Engine!M7:M47,15+1)</f>
        <v>5769336.3695819</v>
      </c>
      <c r="E17" s="10" t="n">
        <f aca="false">INDEX(Engine!M7:M47,20+1)</f>
        <v>9090102.87310392</v>
      </c>
      <c r="F17" s="10" t="n">
        <f aca="false">INDEX(Engine!M7:M47,25+1)</f>
        <v>14392245.3311538</v>
      </c>
      <c r="G17" s="10" t="n">
        <f aca="false">INDEX(Engine!M7:M47,30+1)</f>
        <v>22859007.0923494</v>
      </c>
      <c r="H17" s="10" t="n">
        <f aca="false">INDEX(Engine!M7:M47,MIN(40,75-Inputs!$B$12)+1)</f>
        <v>7573282.32063875</v>
      </c>
    </row>
    <row r="18" customFormat="false" ht="15" hidden="false" customHeight="false" outlineLevel="0" collapsed="false">
      <c r="A18" s="18" t="s">
        <v>32</v>
      </c>
      <c r="B18" s="10" t="n">
        <f aca="false">INDEX(Engine!AD7:AD47,5+1)</f>
        <v>2319109.49303252</v>
      </c>
      <c r="C18" s="10" t="n">
        <f aca="false">INDEX(Engine!AD7:AD47,10+1)</f>
        <v>3669075.76334519</v>
      </c>
      <c r="D18" s="10" t="n">
        <f aca="false">INDEX(Engine!AD7:AD47,15+1)</f>
        <v>5835257.50620042</v>
      </c>
      <c r="E18" s="10" t="n">
        <f aca="false">INDEX(Engine!AD7:AD47,20+1)</f>
        <v>9311395.83339451</v>
      </c>
      <c r="F18" s="10" t="n">
        <f aca="false">INDEX(Engine!AD7:AD47,25+1)</f>
        <v>14890043.4263507</v>
      </c>
      <c r="G18" s="10" t="n">
        <f aca="false">INDEX(Engine!AD7:AD47,30+1)</f>
        <v>23843486.1517462</v>
      </c>
      <c r="H18" s="10" t="n">
        <f aca="false">INDEX(Engine!AD7:AD47,MIN(40,75-Inputs!$B$12)+1)</f>
        <v>7721425.86049215</v>
      </c>
    </row>
    <row r="19" customFormat="false" ht="15" hidden="false" customHeight="false" outlineLevel="0" collapsed="false">
      <c r="A19" s="18" t="s">
        <v>33</v>
      </c>
      <c r="B19" s="10" t="n">
        <f aca="false">INDEX(Engine!AU7:AU47,5+1)</f>
        <v>2316261.79845275</v>
      </c>
      <c r="C19" s="10" t="n">
        <f aca="false">INDEX(Engine!AU7:AU47,10+1)</f>
        <v>3664891.18807479</v>
      </c>
      <c r="D19" s="10" t="n">
        <f aca="false">INDEX(Engine!AU7:AU47,15+1)</f>
        <v>5828968.36155481</v>
      </c>
      <c r="E19" s="10" t="n">
        <f aca="false">INDEX(Engine!AU7:AU47,20+1)</f>
        <v>9301793.59410548</v>
      </c>
      <c r="F19" s="10" t="n">
        <f aca="false">INDEX(Engine!AU7:AU47,25+1)</f>
        <v>14875225.5851216</v>
      </c>
      <c r="G19" s="10" t="n">
        <f aca="false">INDEX(Engine!AU7:AU47,30+1)</f>
        <v>23820457.7078857</v>
      </c>
      <c r="H19" s="10" t="n">
        <f aca="false">INDEX(Engine!AU7:AU47,MIN(40,75-Inputs!$B$12)+1)</f>
        <v>7713331.2393061</v>
      </c>
    </row>
    <row r="20" customFormat="false" ht="15" hidden="false" customHeight="false" outlineLevel="0" collapsed="false">
      <c r="A20" s="18" t="s">
        <v>34</v>
      </c>
      <c r="B20" s="10" t="n">
        <f aca="false">INDEX(Engine!BL7:BL47,5+1)</f>
        <v>2313396.73332062</v>
      </c>
      <c r="C20" s="10" t="n">
        <f aca="false">INDEX(Engine!BL7:BL47,10+1)</f>
        <v>3660681.08746035</v>
      </c>
      <c r="D20" s="10" t="n">
        <f aca="false">INDEX(Engine!BL7:BL47,15+1)</f>
        <v>5822640.85397618</v>
      </c>
      <c r="E20" s="10" t="n">
        <f aca="false">INDEX(Engine!BL7:BL47,20+1)</f>
        <v>9292132.78245351</v>
      </c>
      <c r="F20" s="10" t="n">
        <f aca="false">INDEX(Engine!BL7:BL47,25+1)</f>
        <v>14860317.3570621</v>
      </c>
      <c r="G20" s="10" t="n">
        <f aca="false">INDEX(Engine!BL7:BL47,30+1)</f>
        <v>23797288.7936276</v>
      </c>
      <c r="H20" s="10" t="n">
        <f aca="false">INDEX(Engine!BL7:BL47,MIN(40,75-Inputs!$B$12)+1)</f>
        <v>7705187.24202396</v>
      </c>
    </row>
    <row r="21" customFormat="false" ht="15" hidden="false" customHeight="false" outlineLevel="0" collapsed="false">
      <c r="A21" s="18" t="s">
        <v>35</v>
      </c>
      <c r="B21" s="10" t="n">
        <f aca="false">INDEX(Engine!CC7:CC47,5+1)</f>
        <v>2340690.78347884</v>
      </c>
      <c r="C21" s="10" t="n">
        <f aca="false">INDEX(Engine!CC7:CC47,10+1)</f>
        <v>3654317.69293912</v>
      </c>
      <c r="D21" s="10" t="n">
        <f aca="false">INDEX(Engine!CC7:CC47,15+1)</f>
        <v>5813077.0856138</v>
      </c>
      <c r="E21" s="10" t="n">
        <f aca="false">INDEX(Engine!CC7:CC47,20+1)</f>
        <v>9277530.8616049</v>
      </c>
      <c r="F21" s="10" t="n">
        <f aca="false">INDEX(Engine!CC7:CC47,25+1)</f>
        <v>14837784.1813869</v>
      </c>
      <c r="G21" s="10" t="n">
        <f aca="false">INDEX(Engine!CC7:CC47,30+1)</f>
        <v>23762269.9293403</v>
      </c>
      <c r="H21" s="10" t="n">
        <f aca="false">INDEX(Engine!CC7:CC47,MIN(40,75-Inputs!$B$12)+1)</f>
        <v>7692877.92392635</v>
      </c>
    </row>
    <row r="22" customFormat="false" ht="15" hidden="false" customHeight="false" outlineLevel="0" collapsed="false">
      <c r="A22" s="18" t="s">
        <v>36</v>
      </c>
      <c r="B22" s="10" t="n">
        <f aca="false">INDEX(Engine!CT7:CT47,5+1)</f>
        <v>2349788.80019825</v>
      </c>
      <c r="C22" s="10" t="n">
        <f aca="false">INDEX(Engine!CT7:CT47,10+1)</f>
        <v>3650043.00969803</v>
      </c>
      <c r="D22" s="10" t="n">
        <f aca="false">INDEX(Engine!CT7:CT47,15+1)</f>
        <v>5806652.51454501</v>
      </c>
      <c r="E22" s="10" t="n">
        <f aca="false">INDEX(Engine!CT7:CT47,20+1)</f>
        <v>9267721.8538291</v>
      </c>
      <c r="F22" s="10" t="n">
        <f aca="false">INDEX(Engine!CT7:CT47,25+1)</f>
        <v>14822647.2622307</v>
      </c>
      <c r="G22" s="10" t="n">
        <f aca="false">INDEX(Engine!CT7:CT47,30+1)</f>
        <v>23738745.6056807</v>
      </c>
      <c r="H22" s="10" t="n">
        <f aca="false">INDEX(Engine!CT7:CT47,MIN(40,75-Inputs!$B$12)+1)</f>
        <v>7684608.99833868</v>
      </c>
    </row>
    <row r="24" customFormat="false" ht="15" hidden="false" customHeight="false" outlineLevel="0" collapsed="false">
      <c r="A24" s="8" t="s">
        <v>48</v>
      </c>
    </row>
    <row r="25" customFormat="false" ht="15" hidden="false" customHeight="false" outlineLevel="0" collapsed="false">
      <c r="A25" s="17" t="s">
        <v>22</v>
      </c>
      <c r="B25" s="17" t="s">
        <v>41</v>
      </c>
      <c r="C25" s="17" t="s">
        <v>42</v>
      </c>
      <c r="D25" s="17" t="s">
        <v>43</v>
      </c>
      <c r="E25" s="17" t="s">
        <v>44</v>
      </c>
      <c r="F25" s="17" t="s">
        <v>45</v>
      </c>
      <c r="G25" s="17" t="s">
        <v>46</v>
      </c>
      <c r="H25" s="17" t="s">
        <v>49</v>
      </c>
    </row>
    <row r="26" customFormat="false" ht="15" hidden="false" customHeight="false" outlineLevel="0" collapsed="false">
      <c r="A26" s="18" t="s">
        <v>31</v>
      </c>
      <c r="B26" s="11" t="n">
        <f aca="false">B17-B$17</f>
        <v>0</v>
      </c>
      <c r="C26" s="11" t="n">
        <f aca="false">C17-C$17</f>
        <v>0</v>
      </c>
      <c r="D26" s="11" t="n">
        <f aca="false">D17-D$17</f>
        <v>0</v>
      </c>
      <c r="E26" s="11" t="n">
        <f aca="false">E17-E$17</f>
        <v>0</v>
      </c>
      <c r="F26" s="11" t="n">
        <f aca="false">F17-F$17</f>
        <v>0</v>
      </c>
      <c r="G26" s="11" t="n">
        <f aca="false">G17-G$17</f>
        <v>0</v>
      </c>
      <c r="H26" s="11" t="n">
        <f aca="false">H17-H$17</f>
        <v>0</v>
      </c>
    </row>
    <row r="27" customFormat="false" ht="15" hidden="false" customHeight="false" outlineLevel="0" collapsed="false">
      <c r="A27" s="18" t="s">
        <v>32</v>
      </c>
      <c r="B27" s="11" t="n">
        <f aca="false">B18-B$17</f>
        <v>-67071.374043358</v>
      </c>
      <c r="C27" s="11" t="n">
        <f aca="false">C18-C$17</f>
        <v>-20188.0969057563</v>
      </c>
      <c r="D27" s="11" t="n">
        <f aca="false">D18-D$17</f>
        <v>65921.1366185164</v>
      </c>
      <c r="E27" s="11" t="n">
        <f aca="false">E18-E$17</f>
        <v>221292.960290588</v>
      </c>
      <c r="F27" s="11" t="n">
        <f aca="false">F18-F$17</f>
        <v>497798.095196918</v>
      </c>
      <c r="G27" s="11" t="n">
        <f aca="false">G18-G$17</f>
        <v>984479.059396811</v>
      </c>
      <c r="H27" s="11" t="n">
        <f aca="false">H18-H$17</f>
        <v>148143.539853392</v>
      </c>
    </row>
    <row r="28" customFormat="false" ht="15" hidden="false" customHeight="false" outlineLevel="0" collapsed="false">
      <c r="A28" s="18" t="s">
        <v>33</v>
      </c>
      <c r="B28" s="11" t="n">
        <f aca="false">B19-B$17</f>
        <v>-69919.0686231242</v>
      </c>
      <c r="C28" s="11" t="n">
        <f aca="false">C19-C$17</f>
        <v>-24372.6721761571</v>
      </c>
      <c r="D28" s="11" t="n">
        <f aca="false">D19-D$17</f>
        <v>59631.9919729093</v>
      </c>
      <c r="E28" s="11" t="n">
        <f aca="false">E19-E$17</f>
        <v>211690.721001552</v>
      </c>
      <c r="F28" s="11" t="n">
        <f aca="false">F19-F$17</f>
        <v>482980.253967812</v>
      </c>
      <c r="G28" s="11" t="n">
        <f aca="false">G19-G$17</f>
        <v>961450.615536351</v>
      </c>
      <c r="H28" s="11" t="n">
        <f aca="false">H19-H$17</f>
        <v>140048.918667346</v>
      </c>
    </row>
    <row r="29" customFormat="false" ht="15" hidden="false" customHeight="false" outlineLevel="0" collapsed="false">
      <c r="A29" s="18" t="s">
        <v>34</v>
      </c>
      <c r="B29" s="11" t="n">
        <f aca="false">B20-B$17</f>
        <v>-72784.1337552597</v>
      </c>
      <c r="C29" s="11" t="n">
        <f aca="false">C20-C$17</f>
        <v>-28582.7727906019</v>
      </c>
      <c r="D29" s="11" t="n">
        <f aca="false">D20-D$17</f>
        <v>53304.484394283</v>
      </c>
      <c r="E29" s="11" t="n">
        <f aca="false">E20-E$17</f>
        <v>202029.909349583</v>
      </c>
      <c r="F29" s="11" t="n">
        <f aca="false">F20-F$17</f>
        <v>468072.025908276</v>
      </c>
      <c r="G29" s="11" t="n">
        <f aca="false">G20-G$17</f>
        <v>938281.70127821</v>
      </c>
      <c r="H29" s="11" t="n">
        <f aca="false">H20-H$17</f>
        <v>131904.921385203</v>
      </c>
    </row>
    <row r="30" customFormat="false" ht="15" hidden="false" customHeight="false" outlineLevel="0" collapsed="false">
      <c r="A30" s="18" t="s">
        <v>35</v>
      </c>
      <c r="B30" s="11" t="n">
        <f aca="false">B21-B$17</f>
        <v>-45490.0835970375</v>
      </c>
      <c r="C30" s="11" t="n">
        <f aca="false">C21-C$17</f>
        <v>-34946.1673118346</v>
      </c>
      <c r="D30" s="11" t="n">
        <f aca="false">D21-D$17</f>
        <v>43740.7160318941</v>
      </c>
      <c r="E30" s="11" t="n">
        <f aca="false">E21-E$17</f>
        <v>187427.988500977</v>
      </c>
      <c r="F30" s="11" t="n">
        <f aca="false">F21-F$17</f>
        <v>445538.850233126</v>
      </c>
      <c r="G30" s="11" t="n">
        <f aca="false">G21-G$17</f>
        <v>903262.836990893</v>
      </c>
      <c r="H30" s="11" t="n">
        <f aca="false">H21-H$17</f>
        <v>119595.603287595</v>
      </c>
    </row>
    <row r="31" customFormat="false" ht="15" hidden="false" customHeight="false" outlineLevel="0" collapsed="false">
      <c r="A31" s="18" t="s">
        <v>36</v>
      </c>
      <c r="B31" s="11" t="n">
        <f aca="false">B22-B$17</f>
        <v>-36392.0668776305</v>
      </c>
      <c r="C31" s="11" t="n">
        <f aca="false">C22-C$17</f>
        <v>-39220.8505529235</v>
      </c>
      <c r="D31" s="11" t="n">
        <f aca="false">D22-D$17</f>
        <v>37316.1449631117</v>
      </c>
      <c r="E31" s="11" t="n">
        <f aca="false">E22-E$17</f>
        <v>177618.980725173</v>
      </c>
      <c r="F31" s="11" t="n">
        <f aca="false">F22-F$17</f>
        <v>430401.931076895</v>
      </c>
      <c r="G31" s="11" t="n">
        <f aca="false">G22-G$17</f>
        <v>879738.513331324</v>
      </c>
      <c r="H31" s="11" t="n">
        <f aca="false">H22-H$17</f>
        <v>111326.677699922</v>
      </c>
    </row>
  </sheetData>
  <mergeCells count="1">
    <mergeCell ref="C13:I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9"/>
    <col collapsed="false" customWidth="true" hidden="false" outlineLevel="0" max="13" min="4" style="0" width="15"/>
  </cols>
  <sheetData>
    <row r="1" customFormat="false" ht="16.15" hidden="false" customHeight="false" outlineLevel="0" collapsed="false">
      <c r="A1" s="5" t="s">
        <v>50</v>
      </c>
    </row>
    <row r="2" customFormat="false" ht="15" hidden="false" customHeight="false" outlineLevel="0" collapsed="false">
      <c r="A2" s="6" t="s">
        <v>51</v>
      </c>
    </row>
    <row r="4" customFormat="false" ht="43.5" hidden="false" customHeight="true" outlineLevel="0" collapsed="false">
      <c r="A4" s="7" t="s">
        <v>52</v>
      </c>
      <c r="B4" s="7" t="s">
        <v>53</v>
      </c>
      <c r="C4" s="7" t="s">
        <v>54</v>
      </c>
      <c r="D4" s="7" t="s">
        <v>55</v>
      </c>
      <c r="E4" s="7" t="s">
        <v>56</v>
      </c>
      <c r="F4" s="7" t="s">
        <v>57</v>
      </c>
      <c r="G4" s="7" t="s">
        <v>58</v>
      </c>
      <c r="H4" s="7" t="s">
        <v>59</v>
      </c>
      <c r="I4" s="7" t="s">
        <v>60</v>
      </c>
      <c r="J4" s="7" t="s">
        <v>61</v>
      </c>
      <c r="K4" s="7" t="s">
        <v>62</v>
      </c>
      <c r="L4" s="7" t="s">
        <v>63</v>
      </c>
      <c r="M4" s="7" t="s">
        <v>64</v>
      </c>
    </row>
    <row r="5" customFormat="false" ht="15" hidden="false" customHeight="false" outlineLevel="0" collapsed="false">
      <c r="A5" s="19" t="n">
        <v>0</v>
      </c>
      <c r="B5" s="9" t="n">
        <f aca="false">Engine!S7</f>
        <v>57</v>
      </c>
      <c r="C5" s="9" t="n">
        <f aca="false">Engine!T7</f>
        <v>2025</v>
      </c>
      <c r="D5" s="10" t="n">
        <f aca="false">Engine!AA7</f>
        <v>0</v>
      </c>
      <c r="E5" s="11" t="n">
        <f aca="false">D5+Engine!AB7-(Engine!AB7-Engine!AC7)*Inputs!$B$9</f>
        <v>764750</v>
      </c>
      <c r="F5" s="10" t="n">
        <f aca="false">Engine!I7</f>
        <v>1150000</v>
      </c>
      <c r="G5" s="11" t="n">
        <f aca="false">-F5*Inputs!$B$6</f>
        <v>-345000</v>
      </c>
      <c r="H5" s="11" t="n">
        <f aca="false">F5+G5</f>
        <v>805000</v>
      </c>
      <c r="I5" s="10" t="n">
        <f aca="false">Engine!K7</f>
        <v>764750</v>
      </c>
      <c r="J5" s="11" t="n">
        <f aca="false">-(I5-Engine!L7)*Inputs!$B$9</f>
        <v>-0</v>
      </c>
      <c r="K5" s="11" t="n">
        <f aca="false">H5+I5+J5</f>
        <v>1569750</v>
      </c>
      <c r="L5" s="20" t="n">
        <f aca="false">E5-K5</f>
        <v>-805000</v>
      </c>
      <c r="M5" s="12" t="n">
        <f aca="false">IF(K5=0,0,L5/K5)</f>
        <v>-0.512820512820513</v>
      </c>
    </row>
    <row r="6" customFormat="false" ht="15" hidden="false" customHeight="false" outlineLevel="0" collapsed="false">
      <c r="A6" s="19" t="n">
        <v>1</v>
      </c>
      <c r="B6" s="9" t="n">
        <f aca="false">Engine!S8</f>
        <v>58</v>
      </c>
      <c r="C6" s="9" t="n">
        <f aca="false">Engine!T8</f>
        <v>2026</v>
      </c>
      <c r="D6" s="10" t="n">
        <f aca="false">Engine!AA8</f>
        <v>1265000</v>
      </c>
      <c r="E6" s="11" t="n">
        <f aca="false">D6+Engine!AB8-(Engine!AB8-Engine!AC8)*Inputs!$B$9</f>
        <v>1615790.825</v>
      </c>
      <c r="F6" s="10" t="n">
        <f aca="false">Engine!I8</f>
        <v>1265000</v>
      </c>
      <c r="G6" s="11" t="n">
        <f aca="false">-F6*Inputs!$B$6</f>
        <v>-379500</v>
      </c>
      <c r="H6" s="11" t="n">
        <f aca="false">F6+G6</f>
        <v>885500</v>
      </c>
      <c r="I6" s="10" t="n">
        <f aca="false">Engine!K8</f>
        <v>837401.25</v>
      </c>
      <c r="J6" s="11" t="n">
        <f aca="false">-(I6-Engine!L8)*Inputs!$B$9</f>
        <v>-18889.325</v>
      </c>
      <c r="K6" s="11" t="n">
        <f aca="false">H6+I6+J6</f>
        <v>1704011.925</v>
      </c>
      <c r="L6" s="20" t="n">
        <f aca="false">E6-K6</f>
        <v>-88221.1000000001</v>
      </c>
      <c r="M6" s="12" t="n">
        <f aca="false">IF(K6=0,0,L6/K6)</f>
        <v>-0.0517725836924528</v>
      </c>
    </row>
    <row r="7" customFormat="false" ht="15" hidden="false" customHeight="false" outlineLevel="0" collapsed="false">
      <c r="A7" s="19" t="n">
        <v>2</v>
      </c>
      <c r="B7" s="9" t="n">
        <f aca="false">Engine!S9</f>
        <v>59</v>
      </c>
      <c r="C7" s="9" t="n">
        <f aca="false">Engine!T9</f>
        <v>2027</v>
      </c>
      <c r="D7" s="10" t="n">
        <f aca="false">Engine!AA9</f>
        <v>1391500</v>
      </c>
      <c r="E7" s="11" t="n">
        <f aca="false">D7+Engine!AB9-(Engine!AB9-Engine!AC9)*Inputs!$B$9</f>
        <v>1767520.528375</v>
      </c>
      <c r="F7" s="10" t="n">
        <f aca="false">Engine!I9</f>
        <v>1391500</v>
      </c>
      <c r="G7" s="11" t="n">
        <f aca="false">-F7*Inputs!$B$6</f>
        <v>-417450</v>
      </c>
      <c r="H7" s="11" t="n">
        <f aca="false">F7+G7</f>
        <v>974050</v>
      </c>
      <c r="I7" s="10" t="n">
        <f aca="false">Engine!K9</f>
        <v>916954.36875</v>
      </c>
      <c r="J7" s="11" t="n">
        <f aca="false">-(I7-Engine!L9)*Inputs!$B$9</f>
        <v>-39573.135875</v>
      </c>
      <c r="K7" s="11" t="n">
        <f aca="false">H7+I7+J7</f>
        <v>1851431.232875</v>
      </c>
      <c r="L7" s="20" t="n">
        <f aca="false">E7-K7</f>
        <v>-83910.7045</v>
      </c>
      <c r="M7" s="12" t="n">
        <f aca="false">IF(K7=0,0,L7/K7)</f>
        <v>-0.0453220746253152</v>
      </c>
    </row>
    <row r="8" customFormat="false" ht="15" hidden="false" customHeight="false" outlineLevel="0" collapsed="false">
      <c r="A8" s="19" t="n">
        <v>3</v>
      </c>
      <c r="B8" s="9" t="n">
        <f aca="false">Engine!S10</f>
        <v>60</v>
      </c>
      <c r="C8" s="9" t="n">
        <f aca="false">Engine!T10</f>
        <v>2028</v>
      </c>
      <c r="D8" s="10" t="n">
        <f aca="false">Engine!AA10</f>
        <v>1530650</v>
      </c>
      <c r="E8" s="11" t="n">
        <f aca="false">D8+Engine!AB10-(Engine!AB10-Engine!AC10)*Inputs!$B$9</f>
        <v>1934297.05357063</v>
      </c>
      <c r="F8" s="10" t="n">
        <f aca="false">Engine!I10</f>
        <v>1530650</v>
      </c>
      <c r="G8" s="11" t="n">
        <f aca="false">-F8*Inputs!$B$6</f>
        <v>-459195</v>
      </c>
      <c r="H8" s="11" t="n">
        <f aca="false">F8+G8</f>
        <v>1071455</v>
      </c>
      <c r="I8" s="10" t="n">
        <f aca="false">Engine!K10</f>
        <v>1004065.03378125</v>
      </c>
      <c r="J8" s="11" t="n">
        <f aca="false">-(I8-Engine!L10)*Inputs!$B$9</f>
        <v>-62221.908783125</v>
      </c>
      <c r="K8" s="11" t="n">
        <f aca="false">H8+I8+J8</f>
        <v>2013298.12499813</v>
      </c>
      <c r="L8" s="20" t="n">
        <f aca="false">E8-K8</f>
        <v>-79001.0714275001</v>
      </c>
      <c r="M8" s="12" t="n">
        <f aca="false">IF(K8=0,0,L8/K8)</f>
        <v>-0.0392396289682998</v>
      </c>
    </row>
    <row r="9" customFormat="false" ht="15" hidden="false" customHeight="false" outlineLevel="0" collapsed="false">
      <c r="A9" s="19" t="n">
        <v>4</v>
      </c>
      <c r="B9" s="9" t="n">
        <f aca="false">Engine!S11</f>
        <v>61</v>
      </c>
      <c r="C9" s="9" t="n">
        <f aca="false">Engine!T11</f>
        <v>2029</v>
      </c>
      <c r="D9" s="10" t="n">
        <f aca="false">Engine!AA11</f>
        <v>1683715</v>
      </c>
      <c r="E9" s="11" t="n">
        <f aca="false">D9+Engine!AB11-(Engine!AB11-Engine!AC11)*Inputs!$B$9</f>
        <v>2117613.09865984</v>
      </c>
      <c r="F9" s="10" t="n">
        <f aca="false">Engine!I11</f>
        <v>1683715</v>
      </c>
      <c r="G9" s="11" t="n">
        <f aca="false">-F9*Inputs!$B$6</f>
        <v>-505114.5</v>
      </c>
      <c r="H9" s="11" t="n">
        <f aca="false">F9+G9</f>
        <v>1178600.5</v>
      </c>
      <c r="I9" s="10" t="n">
        <f aca="false">Engine!K11</f>
        <v>1099451.21199047</v>
      </c>
      <c r="J9" s="11" t="n">
        <f aca="false">-(I9-Engine!L11)*Inputs!$B$9</f>
        <v>-87022.3151175219</v>
      </c>
      <c r="K9" s="11" t="n">
        <f aca="false">H9+I9+J9</f>
        <v>2191029.39687295</v>
      </c>
      <c r="L9" s="20" t="n">
        <f aca="false">E9-K9</f>
        <v>-73416.2982131126</v>
      </c>
      <c r="M9" s="12" t="n">
        <f aca="false">IF(K9=0,0,L9/K9)</f>
        <v>-0.0335076737527543</v>
      </c>
    </row>
    <row r="10" customFormat="false" ht="15" hidden="false" customHeight="false" outlineLevel="0" collapsed="false">
      <c r="A10" s="19" t="n">
        <v>5</v>
      </c>
      <c r="B10" s="9" t="n">
        <f aca="false">Engine!S12</f>
        <v>62</v>
      </c>
      <c r="C10" s="9" t="n">
        <f aca="false">Engine!T12</f>
        <v>2030</v>
      </c>
      <c r="D10" s="10" t="n">
        <f aca="false">Engine!AA12</f>
        <v>1852086.5</v>
      </c>
      <c r="E10" s="11" t="n">
        <f aca="false">D10+Engine!AB12-(Engine!AB12-Engine!AC12)*Inputs!$B$9</f>
        <v>2319109.49303252</v>
      </c>
      <c r="F10" s="10" t="n">
        <f aca="false">Engine!I12</f>
        <v>1852086.5</v>
      </c>
      <c r="G10" s="11" t="n">
        <f aca="false">-F10*Inputs!$B$6</f>
        <v>-555625.95</v>
      </c>
      <c r="H10" s="11" t="n">
        <f aca="false">F10+G10</f>
        <v>1296460.55</v>
      </c>
      <c r="I10" s="10" t="n">
        <f aca="false">Engine!K12</f>
        <v>1203899.07712956</v>
      </c>
      <c r="J10" s="11" t="n">
        <f aca="false">-(I10-Engine!L12)*Inputs!$B$9</f>
        <v>-114178.760053686</v>
      </c>
      <c r="K10" s="11" t="n">
        <f aca="false">H10+I10+J10</f>
        <v>2386180.86707588</v>
      </c>
      <c r="L10" s="20" t="n">
        <f aca="false">E10-K10</f>
        <v>-67071.374043358</v>
      </c>
      <c r="M10" s="12" t="n">
        <f aca="false">IF(K10=0,0,L10/K10)</f>
        <v>-0.0281082523830434</v>
      </c>
    </row>
    <row r="11" customFormat="false" ht="15" hidden="false" customHeight="false" outlineLevel="0" collapsed="false">
      <c r="A11" s="19" t="n">
        <v>6</v>
      </c>
      <c r="B11" s="9" t="n">
        <f aca="false">Engine!S13</f>
        <v>63</v>
      </c>
      <c r="C11" s="9" t="n">
        <f aca="false">Engine!T13</f>
        <v>2031</v>
      </c>
      <c r="D11" s="10" t="n">
        <f aca="false">Engine!AA13</f>
        <v>2037295.15</v>
      </c>
      <c r="E11" s="11" t="n">
        <f aca="false">D11+Engine!AB13-(Engine!AB13-Engine!AC13)*Inputs!$B$9</f>
        <v>2540589.90237061</v>
      </c>
      <c r="F11" s="10" t="n">
        <f aca="false">Engine!I13</f>
        <v>2037295.15</v>
      </c>
      <c r="G11" s="11" t="n">
        <f aca="false">-F11*Inputs!$B$6</f>
        <v>-611188.545</v>
      </c>
      <c r="H11" s="11" t="n">
        <f aca="false">F11+G11</f>
        <v>1426106.605</v>
      </c>
      <c r="I11" s="10" t="n">
        <f aca="false">Engine!K13</f>
        <v>1318269.48945687</v>
      </c>
      <c r="J11" s="11" t="n">
        <f aca="false">-(I11-Engine!L13)*Inputs!$B$9</f>
        <v>-143915.067258787</v>
      </c>
      <c r="K11" s="11" t="n">
        <f aca="false">H11+I11+J11</f>
        <v>2600461.02719809</v>
      </c>
      <c r="L11" s="20" t="n">
        <f aca="false">E11-K11</f>
        <v>-59871.1248274767</v>
      </c>
      <c r="M11" s="12" t="n">
        <f aca="false">IF(K11=0,0,L11/K11)</f>
        <v>-0.0230232732585829</v>
      </c>
    </row>
    <row r="12" customFormat="false" ht="15" hidden="false" customHeight="false" outlineLevel="0" collapsed="false">
      <c r="A12" s="19" t="n">
        <v>7</v>
      </c>
      <c r="B12" s="9" t="n">
        <f aca="false">Engine!S14</f>
        <v>64</v>
      </c>
      <c r="C12" s="9" t="n">
        <f aca="false">Engine!T14</f>
        <v>2032</v>
      </c>
      <c r="D12" s="10" t="n">
        <f aca="false">Engine!AA14</f>
        <v>2241024.665</v>
      </c>
      <c r="E12" s="11" t="n">
        <f aca="false">D12+Engine!AB14-(Engine!AB14-Engine!AC14)*Inputs!$B$9</f>
        <v>2784036.99384582</v>
      </c>
      <c r="F12" s="10" t="n">
        <f aca="false">Engine!I14</f>
        <v>2241024.665</v>
      </c>
      <c r="G12" s="11" t="n">
        <f aca="false">-F12*Inputs!$B$6</f>
        <v>-672307.3995</v>
      </c>
      <c r="H12" s="11" t="n">
        <f aca="false">F12+G12</f>
        <v>1568717.2655</v>
      </c>
      <c r="I12" s="10" t="n">
        <f aca="false">Engine!K14</f>
        <v>1443505.09095527</v>
      </c>
      <c r="J12" s="11" t="n">
        <f aca="false">-(I12-Engine!L14)*Inputs!$B$9</f>
        <v>-176476.323648371</v>
      </c>
      <c r="K12" s="11" t="n">
        <f aca="false">H12+I12+J12</f>
        <v>2835746.0328069</v>
      </c>
      <c r="L12" s="20" t="n">
        <f aca="false">E12-K12</f>
        <v>-51709.0389610869</v>
      </c>
      <c r="M12" s="12" t="n">
        <f aca="false">IF(K12=0,0,L12/K12)</f>
        <v>-0.0182347214323364</v>
      </c>
    </row>
    <row r="13" customFormat="false" ht="15" hidden="false" customHeight="false" outlineLevel="0" collapsed="false">
      <c r="A13" s="19" t="n">
        <v>8</v>
      </c>
      <c r="B13" s="9" t="n">
        <f aca="false">Engine!S15</f>
        <v>65</v>
      </c>
      <c r="C13" s="9" t="n">
        <f aca="false">Engine!T15</f>
        <v>2033</v>
      </c>
      <c r="D13" s="10" t="n">
        <f aca="false">Engine!AA15</f>
        <v>2465127.1315</v>
      </c>
      <c r="E13" s="11" t="n">
        <f aca="false">D13+Engine!AB15-(Engine!AB15-Engine!AC15)*Inputs!$B$9</f>
        <v>3051630.20658617</v>
      </c>
      <c r="F13" s="10" t="n">
        <f aca="false">Engine!I15</f>
        <v>2465127.1315</v>
      </c>
      <c r="G13" s="11" t="n">
        <f aca="false">-F13*Inputs!$B$6</f>
        <v>-739538.13945</v>
      </c>
      <c r="H13" s="11" t="n">
        <f aca="false">F13+G13</f>
        <v>1725588.99205</v>
      </c>
      <c r="I13" s="10" t="n">
        <f aca="false">Engine!K15</f>
        <v>1580638.07459603</v>
      </c>
      <c r="J13" s="11" t="n">
        <f aca="false">-(I13-Engine!L15)*Inputs!$B$9</f>
        <v>-212130.899394967</v>
      </c>
      <c r="K13" s="11" t="n">
        <f aca="false">H13+I13+J13</f>
        <v>3094096.16725106</v>
      </c>
      <c r="L13" s="20" t="n">
        <f aca="false">E13-K13</f>
        <v>-42465.9606648912</v>
      </c>
      <c r="M13" s="12" t="n">
        <f aca="false">IF(K13=0,0,L13/K13)</f>
        <v>-0.0137248354186159</v>
      </c>
    </row>
    <row r="14" customFormat="false" ht="15" hidden="false" customHeight="false" outlineLevel="0" collapsed="false">
      <c r="A14" s="19" t="n">
        <v>9</v>
      </c>
      <c r="B14" s="9" t="n">
        <f aca="false">Engine!S16</f>
        <v>66</v>
      </c>
      <c r="C14" s="9" t="n">
        <f aca="false">Engine!T16</f>
        <v>2034</v>
      </c>
      <c r="D14" s="10" t="n">
        <f aca="false">Engine!AA16</f>
        <v>2711639.84465</v>
      </c>
      <c r="E14" s="11" t="n">
        <f aca="false">D14+Engine!AB16-(Engine!AB16-Engine!AC16)*Inputs!$B$9</f>
        <v>3345765.28686936</v>
      </c>
      <c r="F14" s="10" t="n">
        <f aca="false">Engine!I16</f>
        <v>2711639.84465</v>
      </c>
      <c r="G14" s="11" t="n">
        <f aca="false">-F14*Inputs!$B$6</f>
        <v>-813491.953395</v>
      </c>
      <c r="H14" s="11" t="n">
        <f aca="false">F14+G14</f>
        <v>1898147.891255</v>
      </c>
      <c r="I14" s="10" t="n">
        <f aca="false">Engine!K16</f>
        <v>1730798.69168265</v>
      </c>
      <c r="J14" s="11" t="n">
        <f aca="false">-(I14-Engine!L16)*Inputs!$B$9</f>
        <v>-251172.659837488</v>
      </c>
      <c r="K14" s="11" t="n">
        <f aca="false">H14+I14+J14</f>
        <v>3377773.92310016</v>
      </c>
      <c r="L14" s="20" t="n">
        <f aca="false">E14-K14</f>
        <v>-32008.636230805</v>
      </c>
      <c r="M14" s="12" t="n">
        <f aca="false">IF(K14=0,0,L14/K14)</f>
        <v>-0.0094762518035627</v>
      </c>
    </row>
    <row r="15" customFormat="false" ht="15" hidden="false" customHeight="false" outlineLevel="0" collapsed="false">
      <c r="A15" s="19" t="n">
        <v>10</v>
      </c>
      <c r="B15" s="9" t="n">
        <f aca="false">Engine!S17</f>
        <v>67</v>
      </c>
      <c r="C15" s="9" t="n">
        <f aca="false">Engine!T17</f>
        <v>2035</v>
      </c>
      <c r="D15" s="10" t="n">
        <f aca="false">Engine!AA17</f>
        <v>2982803.829115</v>
      </c>
      <c r="E15" s="11" t="n">
        <f aca="false">D15+Engine!AB17-(Engine!AB17-Engine!AC17)*Inputs!$B$9</f>
        <v>3669075.76334519</v>
      </c>
      <c r="F15" s="10" t="n">
        <f aca="false">Engine!I17</f>
        <v>2982803.829115</v>
      </c>
      <c r="G15" s="11" t="n">
        <f aca="false">-F15*Inputs!$B$6</f>
        <v>-894841.1487345</v>
      </c>
      <c r="H15" s="11" t="n">
        <f aca="false">F15+G15</f>
        <v>2087962.6803805</v>
      </c>
      <c r="I15" s="10" t="n">
        <f aca="false">Engine!K17</f>
        <v>1895224.5673925</v>
      </c>
      <c r="J15" s="11" t="n">
        <f aca="false">-(I15-Engine!L17)*Inputs!$B$9</f>
        <v>-293923.38752205</v>
      </c>
      <c r="K15" s="11" t="n">
        <f aca="false">H15+I15+J15</f>
        <v>3689263.86025095</v>
      </c>
      <c r="L15" s="20" t="n">
        <f aca="false">E15-K15</f>
        <v>-20188.0969057563</v>
      </c>
      <c r="M15" s="12" t="n">
        <f aca="false">IF(K15=0,0,L15/K15)</f>
        <v>-0.00547212063720025</v>
      </c>
    </row>
    <row r="16" customFormat="false" ht="15" hidden="false" customHeight="false" outlineLevel="0" collapsed="false">
      <c r="A16" s="19" t="n">
        <v>11</v>
      </c>
      <c r="B16" s="9" t="n">
        <f aca="false">Engine!S18</f>
        <v>68</v>
      </c>
      <c r="C16" s="9" t="n">
        <f aca="false">Engine!T18</f>
        <v>2036</v>
      </c>
      <c r="D16" s="10" t="n">
        <f aca="false">Engine!AA18</f>
        <v>3281084.2120265</v>
      </c>
      <c r="E16" s="11" t="n">
        <f aca="false">D16+Engine!AB18-(Engine!AB18-Engine!AC18)*Inputs!$B$9</f>
        <v>4024456.55500856</v>
      </c>
      <c r="F16" s="10" t="n">
        <f aca="false">Engine!I18</f>
        <v>3281084.2120265</v>
      </c>
      <c r="G16" s="11" t="n">
        <f aca="false">-F16*Inputs!$B$6</f>
        <v>-984325.263607951</v>
      </c>
      <c r="H16" s="11" t="n">
        <f aca="false">F16+G16</f>
        <v>2296758.94841855</v>
      </c>
      <c r="I16" s="10" t="n">
        <f aca="false">Engine!K18</f>
        <v>2075270.90129479</v>
      </c>
      <c r="J16" s="11" t="n">
        <f aca="false">-(I16-Engine!L18)*Inputs!$B$9</f>
        <v>-340735.434336645</v>
      </c>
      <c r="K16" s="11" t="n">
        <f aca="false">H16+I16+J16</f>
        <v>4031294.41537669</v>
      </c>
      <c r="L16" s="20" t="n">
        <f aca="false">E16-K16</f>
        <v>-6837.86036813119</v>
      </c>
      <c r="M16" s="12" t="n">
        <f aca="false">IF(K16=0,0,L16/K16)</f>
        <v>-0.00169619473637285</v>
      </c>
    </row>
    <row r="17" customFormat="false" ht="15" hidden="false" customHeight="false" outlineLevel="0" collapsed="false">
      <c r="A17" s="19" t="n">
        <v>12</v>
      </c>
      <c r="B17" s="9" t="n">
        <f aca="false">Engine!S19</f>
        <v>69</v>
      </c>
      <c r="C17" s="9" t="n">
        <f aca="false">Engine!T19</f>
        <v>2037</v>
      </c>
      <c r="D17" s="10" t="n">
        <f aca="false">Engine!AA19</f>
        <v>3609192.63322915</v>
      </c>
      <c r="E17" s="11" t="n">
        <f aca="false">D17+Engine!AB19-(Engine!AB19-Engine!AC19)*Inputs!$B$9</f>
        <v>4415089.92379451</v>
      </c>
      <c r="F17" s="10" t="n">
        <f aca="false">Engine!I19</f>
        <v>3609192.63322915</v>
      </c>
      <c r="G17" s="11" t="n">
        <f aca="false">-F17*Inputs!$B$6</f>
        <v>-1082757.78996875</v>
      </c>
      <c r="H17" s="11" t="n">
        <f aca="false">F17+G17</f>
        <v>2526434.84326041</v>
      </c>
      <c r="I17" s="10" t="n">
        <f aca="false">Engine!K19</f>
        <v>2272421.63691779</v>
      </c>
      <c r="J17" s="11" t="n">
        <f aca="false">-(I17-Engine!L19)*Inputs!$B$9</f>
        <v>-391994.625598626</v>
      </c>
      <c r="K17" s="11" t="n">
        <f aca="false">H17+I17+J17</f>
        <v>4406861.85457957</v>
      </c>
      <c r="L17" s="20" t="n">
        <f aca="false">E17-K17</f>
        <v>8228.06921493728</v>
      </c>
      <c r="M17" s="12" t="n">
        <f aca="false">IF(K17=0,0,L17/K17)</f>
        <v>0.00186710395888329</v>
      </c>
    </row>
    <row r="18" customFormat="false" ht="15" hidden="false" customHeight="false" outlineLevel="0" collapsed="false">
      <c r="A18" s="19" t="n">
        <v>13</v>
      </c>
      <c r="B18" s="9" t="n">
        <f aca="false">Engine!S20</f>
        <v>70</v>
      </c>
      <c r="C18" s="9" t="n">
        <f aca="false">Engine!T20</f>
        <v>2038</v>
      </c>
      <c r="D18" s="10" t="n">
        <f aca="false">Engine!AA20</f>
        <v>3970111.89655207</v>
      </c>
      <c r="E18" s="11" t="n">
        <f aca="false">D18+Engine!AB20-(Engine!AB20-Engine!AC20)*Inputs!$B$9</f>
        <v>4844474.00472113</v>
      </c>
      <c r="F18" s="10" t="n">
        <f aca="false">Engine!I20</f>
        <v>3970111.89655207</v>
      </c>
      <c r="G18" s="11" t="n">
        <f aca="false">-F18*Inputs!$B$6</f>
        <v>-1191033.56896562</v>
      </c>
      <c r="H18" s="11" t="n">
        <f aca="false">F18+G18</f>
        <v>2779078.32758645</v>
      </c>
      <c r="I18" s="10" t="n">
        <f aca="false">Engine!K20</f>
        <v>2488301.69242498</v>
      </c>
      <c r="J18" s="11" t="n">
        <f aca="false">-(I18-Engine!L20)*Inputs!$B$9</f>
        <v>-448123.440030495</v>
      </c>
      <c r="K18" s="11" t="n">
        <f aca="false">H18+I18+J18</f>
        <v>4819256.57998093</v>
      </c>
      <c r="L18" s="20" t="n">
        <f aca="false">E18-K18</f>
        <v>25217.424740199</v>
      </c>
      <c r="M18" s="12" t="n">
        <f aca="false">IF(K18=0,0,L18/K18)</f>
        <v>0.00523263792281812</v>
      </c>
    </row>
    <row r="19" customFormat="false" ht="15" hidden="false" customHeight="false" outlineLevel="0" collapsed="false">
      <c r="A19" s="19" t="n">
        <v>14</v>
      </c>
      <c r="B19" s="9" t="n">
        <f aca="false">Engine!S21</f>
        <v>71</v>
      </c>
      <c r="C19" s="9" t="n">
        <f aca="false">Engine!T21</f>
        <v>2039</v>
      </c>
      <c r="D19" s="10" t="n">
        <f aca="false">Engine!AA21</f>
        <v>4367123.08620728</v>
      </c>
      <c r="E19" s="11" t="n">
        <f aca="false">D19+Engine!AB21-(Engine!AB21-Engine!AC21)*Inputs!$B$9</f>
        <v>5316454.1696524</v>
      </c>
      <c r="F19" s="10" t="n">
        <f aca="false">Engine!I21</f>
        <v>4367123.08620728</v>
      </c>
      <c r="G19" s="11" t="n">
        <f aca="false">-F19*Inputs!$B$6</f>
        <v>-1310136.92586218</v>
      </c>
      <c r="H19" s="11" t="n">
        <f aca="false">F19+G19</f>
        <v>3056986.16034509</v>
      </c>
      <c r="I19" s="10" t="n">
        <f aca="false">Engine!K21</f>
        <v>2724690.35320535</v>
      </c>
      <c r="J19" s="11" t="n">
        <f aca="false">-(I19-Engine!L21)*Inputs!$B$9</f>
        <v>-509584.491833392</v>
      </c>
      <c r="K19" s="11" t="n">
        <f aca="false">H19+I19+J19</f>
        <v>5272092.02171706</v>
      </c>
      <c r="L19" s="20" t="n">
        <f aca="false">E19-K19</f>
        <v>44362.1479353467</v>
      </c>
      <c r="M19" s="12" t="n">
        <f aca="false">IF(K19=0,0,L19/K19)</f>
        <v>0.00841452458580162</v>
      </c>
    </row>
    <row r="20" customFormat="false" ht="15" hidden="false" customHeight="false" outlineLevel="0" collapsed="false">
      <c r="A20" s="19" t="n">
        <v>15</v>
      </c>
      <c r="B20" s="9" t="n">
        <f aca="false">Engine!S22</f>
        <v>72</v>
      </c>
      <c r="C20" s="9" t="n">
        <f aca="false">Engine!T22</f>
        <v>2040</v>
      </c>
      <c r="D20" s="10" t="n">
        <f aca="false">Engine!AA22</f>
        <v>4803835.394828</v>
      </c>
      <c r="E20" s="11" t="n">
        <f aca="false">D20+Engine!AB22-(Engine!AB22-Engine!AC22)*Inputs!$B$9</f>
        <v>5835257.50620042</v>
      </c>
      <c r="F20" s="10" t="n">
        <f aca="false">Engine!I22</f>
        <v>4803835.394828</v>
      </c>
      <c r="G20" s="11" t="n">
        <f aca="false">-F20*Inputs!$B$6</f>
        <v>-1441150.6184484</v>
      </c>
      <c r="H20" s="11" t="n">
        <f aca="false">F20+G20</f>
        <v>3362684.7763796</v>
      </c>
      <c r="I20" s="10" t="n">
        <f aca="false">Engine!K22</f>
        <v>2983535.93675986</v>
      </c>
      <c r="J20" s="11" t="n">
        <f aca="false">-(I20-Engine!L22)*Inputs!$B$9</f>
        <v>-576884.343557564</v>
      </c>
      <c r="K20" s="11" t="n">
        <f aca="false">H20+I20+J20</f>
        <v>5769336.3695819</v>
      </c>
      <c r="L20" s="20" t="n">
        <f aca="false">E20-K20</f>
        <v>65921.1366185164</v>
      </c>
      <c r="M20" s="12" t="n">
        <f aca="false">IF(K20=0,0,L20/K20)</f>
        <v>0.0114261212027916</v>
      </c>
    </row>
    <row r="21" customFormat="false" ht="15" hidden="false" customHeight="false" outlineLevel="0" collapsed="false">
      <c r="A21" s="19" t="n">
        <v>16</v>
      </c>
      <c r="B21" s="9" t="n">
        <f aca="false">Engine!S23</f>
        <v>73</v>
      </c>
      <c r="C21" s="9" t="n">
        <f aca="false">Engine!T23</f>
        <v>2041</v>
      </c>
      <c r="D21" s="10" t="n">
        <f aca="false">Engine!AA23</f>
        <v>5284218.9343108</v>
      </c>
      <c r="E21" s="11" t="n">
        <f aca="false">D21+Engine!AB23-(Engine!AB23-Engine!AC23)*Inputs!$B$9</f>
        <v>6405530.7212636</v>
      </c>
      <c r="F21" s="10" t="n">
        <f aca="false">Engine!I23</f>
        <v>5284218.9343108</v>
      </c>
      <c r="G21" s="11" t="n">
        <f aca="false">-F21*Inputs!$B$6</f>
        <v>-1585265.68029324</v>
      </c>
      <c r="H21" s="11" t="n">
        <f aca="false">F21+G21</f>
        <v>3698953.25401756</v>
      </c>
      <c r="I21" s="10" t="n">
        <f aca="false">Engine!K23</f>
        <v>3266971.85075205</v>
      </c>
      <c r="J21" s="11" t="n">
        <f aca="false">-(I21-Engine!L23)*Inputs!$B$9</f>
        <v>-650577.681195533</v>
      </c>
      <c r="K21" s="11" t="n">
        <f aca="false">H21+I21+J21</f>
        <v>6315347.42357408</v>
      </c>
      <c r="L21" s="20" t="n">
        <f aca="false">E21-K21</f>
        <v>90183.297689517</v>
      </c>
      <c r="M21" s="12" t="n">
        <f aca="false">IF(K21=0,0,L21/K21)</f>
        <v>0.0142800216109851</v>
      </c>
    </row>
    <row r="22" customFormat="false" ht="15" hidden="false" customHeight="false" outlineLevel="0" collapsed="false">
      <c r="A22" s="19" t="n">
        <v>17</v>
      </c>
      <c r="B22" s="9" t="n">
        <f aca="false">Engine!S24</f>
        <v>74</v>
      </c>
      <c r="C22" s="9" t="n">
        <f aca="false">Engine!T24</f>
        <v>2042</v>
      </c>
      <c r="D22" s="10" t="n">
        <f aca="false">Engine!AA24</f>
        <v>5812640.82774188</v>
      </c>
      <c r="E22" s="11" t="n">
        <f aca="false">D22+Engine!AB24-(Engine!AB24-Engine!AC24)*Inputs!$B$9</f>
        <v>7032381.80945519</v>
      </c>
      <c r="F22" s="10" t="n">
        <f aca="false">Engine!I24</f>
        <v>5812640.82774188</v>
      </c>
      <c r="G22" s="11" t="n">
        <f aca="false">-F22*Inputs!$B$6</f>
        <v>-1743792.24832257</v>
      </c>
      <c r="H22" s="11" t="n">
        <f aca="false">F22+G22</f>
        <v>4068848.57941932</v>
      </c>
      <c r="I22" s="10" t="n">
        <f aca="false">Engine!K24</f>
        <v>3577334.1765735</v>
      </c>
      <c r="J22" s="11" t="n">
        <f aca="false">-(I22-Engine!L24)*Inputs!$B$9</f>
        <v>-731271.885909109</v>
      </c>
      <c r="K22" s="11" t="n">
        <f aca="false">H22+I22+J22</f>
        <v>6914910.87008371</v>
      </c>
      <c r="L22" s="20" t="n">
        <f aca="false">E22-K22</f>
        <v>117470.939371487</v>
      </c>
      <c r="M22" s="12" t="n">
        <f aca="false">IF(K22=0,0,L22/K22)</f>
        <v>0.016988062692132</v>
      </c>
    </row>
    <row r="23" customFormat="false" ht="15" hidden="false" customHeight="false" outlineLevel="0" collapsed="false">
      <c r="A23" s="19" t="n">
        <v>18</v>
      </c>
      <c r="B23" s="9" t="n">
        <f aca="false">Engine!S25</f>
        <v>75</v>
      </c>
      <c r="C23" s="9" t="n">
        <f aca="false">Engine!T25</f>
        <v>2043</v>
      </c>
      <c r="D23" s="10" t="n">
        <f aca="false">Engine!AA25</f>
        <v>6393904.91051607</v>
      </c>
      <c r="E23" s="11" t="n">
        <f aca="false">D23+Engine!AB25-(Engine!AB25-Engine!AC25)*Inputs!$B$9</f>
        <v>7721425.86049215</v>
      </c>
      <c r="F23" s="10" t="n">
        <f aca="false">Engine!I25</f>
        <v>6393904.91051607</v>
      </c>
      <c r="G23" s="11" t="n">
        <f aca="false">-F23*Inputs!$B$6</f>
        <v>-1918171.47315482</v>
      </c>
      <c r="H23" s="11" t="n">
        <f aca="false">F23+G23</f>
        <v>4475733.43736125</v>
      </c>
      <c r="I23" s="10" t="n">
        <f aca="false">Engine!K25</f>
        <v>3917180.92334798</v>
      </c>
      <c r="J23" s="11" t="n">
        <f aca="false">-(I23-Engine!L25)*Inputs!$B$9</f>
        <v>-819632.040070474</v>
      </c>
      <c r="K23" s="11" t="n">
        <f aca="false">H23+I23+J23</f>
        <v>7573282.32063875</v>
      </c>
      <c r="L23" s="20" t="n">
        <f aca="false">E23-K23</f>
        <v>148143.539853392</v>
      </c>
      <c r="M23" s="12" t="n">
        <f aca="false">IF(K23=0,0,L23/K23)</f>
        <v>0.0195613386087127</v>
      </c>
    </row>
    <row r="24" customFormat="false" ht="15" hidden="false" customHeight="false" outlineLevel="0" collapsed="false">
      <c r="A24" s="19" t="n">
        <v>19</v>
      </c>
      <c r="B24" s="9" t="n">
        <f aca="false">Engine!S26</f>
        <v>76</v>
      </c>
      <c r="C24" s="9" t="n">
        <f aca="false">Engine!T26</f>
        <v>2044</v>
      </c>
      <c r="D24" s="10" t="n">
        <f aca="false">Engine!AA26</f>
        <v>7033295.40156768</v>
      </c>
      <c r="E24" s="11" t="n">
        <f aca="false">D24+Engine!AB26-(Engine!AB26-Engine!AC26)*Inputs!$B$9</f>
        <v>8478835.41679148</v>
      </c>
      <c r="F24" s="10" t="n">
        <f aca="false">Engine!I26</f>
        <v>7033295.40156768</v>
      </c>
      <c r="G24" s="11" t="n">
        <f aca="false">-F24*Inputs!$B$6</f>
        <v>-2109988.6204703</v>
      </c>
      <c r="H24" s="11" t="n">
        <f aca="false">F24+G24</f>
        <v>4923306.78109738</v>
      </c>
      <c r="I24" s="10" t="n">
        <f aca="false">Engine!K26</f>
        <v>4289313.11106604</v>
      </c>
      <c r="J24" s="11" t="n">
        <f aca="false">-(I24-Engine!L26)*Inputs!$B$9</f>
        <v>-916386.408877169</v>
      </c>
      <c r="K24" s="11" t="n">
        <f aca="false">H24+I24+J24</f>
        <v>8296233.48328624</v>
      </c>
      <c r="L24" s="20" t="n">
        <f aca="false">E24-K24</f>
        <v>182601.933505238</v>
      </c>
      <c r="M24" s="12" t="n">
        <f aca="false">IF(K24=0,0,L24/K24)</f>
        <v>0.0220102211290354</v>
      </c>
    </row>
    <row r="25" customFormat="false" ht="15" hidden="false" customHeight="false" outlineLevel="0" collapsed="false">
      <c r="A25" s="19" t="n">
        <v>20</v>
      </c>
      <c r="B25" s="9" t="n">
        <f aca="false">Engine!S27</f>
        <v>77</v>
      </c>
      <c r="C25" s="9" t="n">
        <f aca="false">Engine!T27</f>
        <v>2045</v>
      </c>
      <c r="D25" s="10" t="n">
        <f aca="false">Engine!AA27</f>
        <v>7736624.94172445</v>
      </c>
      <c r="E25" s="11" t="n">
        <f aca="false">D25+Engine!AB27-(Engine!AB27-Engine!AC27)*Inputs!$B$9</f>
        <v>9311395.83339451</v>
      </c>
      <c r="F25" s="10" t="n">
        <f aca="false">Engine!I27</f>
        <v>7736624.94172445</v>
      </c>
      <c r="G25" s="11" t="n">
        <f aca="false">-F25*Inputs!$B$6</f>
        <v>-2320987.48251733</v>
      </c>
      <c r="H25" s="11" t="n">
        <f aca="false">F25+G25</f>
        <v>5415637.45920712</v>
      </c>
      <c r="I25" s="10" t="n">
        <f aca="false">Engine!K27</f>
        <v>4696797.85661731</v>
      </c>
      <c r="J25" s="11" t="n">
        <f aca="false">-(I25-Engine!L27)*Inputs!$B$9</f>
        <v>-1022332.4427205</v>
      </c>
      <c r="K25" s="11" t="n">
        <f aca="false">H25+I25+J25</f>
        <v>9090102.87310392</v>
      </c>
      <c r="L25" s="20" t="n">
        <f aca="false">E25-K25</f>
        <v>221292.960290588</v>
      </c>
      <c r="M25" s="12" t="n">
        <f aca="false">IF(K25=0,0,L25/K25)</f>
        <v>0.0243443845883589</v>
      </c>
    </row>
    <row r="26" customFormat="false" ht="15" hidden="false" customHeight="false" outlineLevel="0" collapsed="false">
      <c r="A26" s="19" t="n">
        <v>21</v>
      </c>
      <c r="B26" s="9" t="n">
        <f aca="false">Engine!S28</f>
        <v>78</v>
      </c>
      <c r="C26" s="9" t="n">
        <f aca="false">Engine!T28</f>
        <v>2046</v>
      </c>
      <c r="D26" s="10" t="n">
        <f aca="false">Engine!AA28</f>
        <v>8510287.4358969</v>
      </c>
      <c r="E26" s="11" t="n">
        <f aca="false">D26+Engine!AB28-(Engine!AB28-Engine!AC28)*Inputs!$B$9</f>
        <v>10226566.1372756</v>
      </c>
      <c r="F26" s="10" t="n">
        <f aca="false">Engine!I28</f>
        <v>8510287.4358969</v>
      </c>
      <c r="G26" s="11" t="n">
        <f aca="false">-F26*Inputs!$B$6</f>
        <v>-2553086.23076907</v>
      </c>
      <c r="H26" s="11" t="n">
        <f aca="false">F26+G26</f>
        <v>5957201.20512783</v>
      </c>
      <c r="I26" s="10" t="n">
        <f aca="false">Engine!K28</f>
        <v>5142993.65299595</v>
      </c>
      <c r="J26" s="11" t="n">
        <f aca="false">-(I26-Engine!L28)*Inputs!$B$9</f>
        <v>-1138343.34977895</v>
      </c>
      <c r="K26" s="11" t="n">
        <f aca="false">H26+I26+J26</f>
        <v>9961851.50834483</v>
      </c>
      <c r="L26" s="20" t="n">
        <f aca="false">E26-K26</f>
        <v>264714.628930781</v>
      </c>
      <c r="M26" s="12" t="n">
        <f aca="false">IF(K26=0,0,L26/K26)</f>
        <v>0.0265728342476331</v>
      </c>
    </row>
    <row r="27" customFormat="false" ht="15" hidden="false" customHeight="false" outlineLevel="0" collapsed="false">
      <c r="A27" s="19" t="n">
        <v>22</v>
      </c>
      <c r="B27" s="9" t="n">
        <f aca="false">Engine!S29</f>
        <v>79</v>
      </c>
      <c r="C27" s="9" t="n">
        <f aca="false">Engine!T29</f>
        <v>2047</v>
      </c>
      <c r="D27" s="10" t="n">
        <f aca="false">Engine!AA29</f>
        <v>9361316.17948659</v>
      </c>
      <c r="E27" s="11" t="n">
        <f aca="false">D27+Engine!AB29-(Engine!AB29-Engine!AC29)*Inputs!$B$9</f>
        <v>11232545.9324963</v>
      </c>
      <c r="F27" s="10" t="n">
        <f aca="false">Engine!I29</f>
        <v>9361316.17948659</v>
      </c>
      <c r="G27" s="11" t="n">
        <f aca="false">-F27*Inputs!$B$6</f>
        <v>-2808394.85384598</v>
      </c>
      <c r="H27" s="11" t="n">
        <f aca="false">F27+G27</f>
        <v>6552921.32564061</v>
      </c>
      <c r="I27" s="10" t="n">
        <f aca="false">Engine!K29</f>
        <v>5631578.05003057</v>
      </c>
      <c r="J27" s="11" t="n">
        <f aca="false">-(I27-Engine!L29)*Inputs!$B$9</f>
        <v>-1265375.29300795</v>
      </c>
      <c r="K27" s="11" t="n">
        <f aca="false">H27+I27+J27</f>
        <v>10919124.0826632</v>
      </c>
      <c r="L27" s="20" t="n">
        <f aca="false">E27-K27</f>
        <v>313421.849833049</v>
      </c>
      <c r="M27" s="12" t="n">
        <f aca="false">IF(K27=0,0,L27/K27)</f>
        <v>0.0287039370063284</v>
      </c>
    </row>
    <row r="28" customFormat="false" ht="15" hidden="false" customHeight="false" outlineLevel="0" collapsed="false">
      <c r="A28" s="19" t="n">
        <v>23</v>
      </c>
      <c r="B28" s="9" t="n">
        <f aca="false">Engine!S30</f>
        <v>80</v>
      </c>
      <c r="C28" s="9" t="n">
        <f aca="false">Engine!T30</f>
        <v>2048</v>
      </c>
      <c r="D28" s="10" t="n">
        <f aca="false">Engine!AA30</f>
        <v>10297447.7974352</v>
      </c>
      <c r="E28" s="11" t="n">
        <f aca="false">D28+Engine!AB30-(Engine!AB30-Engine!AC30)*Inputs!$B$9</f>
        <v>12338348.9519809</v>
      </c>
      <c r="F28" s="10" t="n">
        <f aca="false">Engine!I30</f>
        <v>10297447.7974352</v>
      </c>
      <c r="G28" s="11" t="n">
        <f aca="false">-F28*Inputs!$B$6</f>
        <v>-3089234.33923057</v>
      </c>
      <c r="H28" s="11" t="n">
        <f aca="false">F28+G28</f>
        <v>7208213.45820467</v>
      </c>
      <c r="I28" s="10" t="n">
        <f aca="false">Engine!K30</f>
        <v>6166577.96478347</v>
      </c>
      <c r="J28" s="11" t="n">
        <f aca="false">-(I28-Engine!L30)*Inputs!$B$9</f>
        <v>-1404475.2708437</v>
      </c>
      <c r="K28" s="11" t="n">
        <f aca="false">H28+I28+J28</f>
        <v>11970316.1521444</v>
      </c>
      <c r="L28" s="20" t="n">
        <f aca="false">E28-K28</f>
        <v>368032.79983642</v>
      </c>
      <c r="M28" s="12" t="n">
        <f aca="false">IF(K28=0,0,L28/K28)</f>
        <v>0.0307454536002784</v>
      </c>
    </row>
    <row r="29" customFormat="false" ht="15" hidden="false" customHeight="false" outlineLevel="0" collapsed="false">
      <c r="A29" s="19" t="n">
        <v>24</v>
      </c>
      <c r="B29" s="9" t="n">
        <f aca="false">Engine!S31</f>
        <v>81</v>
      </c>
      <c r="C29" s="9" t="n">
        <f aca="false">Engine!T31</f>
        <v>2049</v>
      </c>
      <c r="D29" s="10" t="n">
        <f aca="false">Engine!AA31</f>
        <v>11327192.5771788</v>
      </c>
      <c r="E29" s="11" t="n">
        <f aca="false">D29+Engine!AB31-(Engine!AB31-Engine!AC31)*Inputs!$B$9</f>
        <v>13553883.9164062</v>
      </c>
      <c r="F29" s="10" t="n">
        <f aca="false">Engine!I31</f>
        <v>11327192.5771788</v>
      </c>
      <c r="G29" s="11" t="n">
        <f aca="false">-F29*Inputs!$B$6</f>
        <v>-3398157.77315363</v>
      </c>
      <c r="H29" s="11" t="n">
        <f aca="false">F29+G29</f>
        <v>7929034.80402514</v>
      </c>
      <c r="I29" s="10" t="n">
        <f aca="false">Engine!K31</f>
        <v>6752402.8714379</v>
      </c>
      <c r="J29" s="11" t="n">
        <f aca="false">-(I29-Engine!L31)*Inputs!$B$9</f>
        <v>-1556789.74657385</v>
      </c>
      <c r="K29" s="11" t="n">
        <f aca="false">H29+I29+J29</f>
        <v>13124647.9288892</v>
      </c>
      <c r="L29" s="20" t="n">
        <f aca="false">E29-K29</f>
        <v>429235.987517033</v>
      </c>
      <c r="M29" s="12" t="n">
        <f aca="false">IF(K29=0,0,L29/K29)</f>
        <v>0.0327045715696666</v>
      </c>
    </row>
    <row r="30" customFormat="false" ht="15" hidden="false" customHeight="false" outlineLevel="0" collapsed="false">
      <c r="A30" s="19" t="n">
        <v>25</v>
      </c>
      <c r="B30" s="9" t="n">
        <f aca="false">Engine!S32</f>
        <v>82</v>
      </c>
      <c r="C30" s="9" t="n">
        <f aca="false">Engine!T32</f>
        <v>2050</v>
      </c>
      <c r="D30" s="10" t="n">
        <f aca="false">Engine!AA32</f>
        <v>12459911.8348966</v>
      </c>
      <c r="E30" s="11" t="n">
        <f aca="false">D30+Engine!AB32-(Engine!AB32-Engine!AC32)*Inputs!$B$9</f>
        <v>14890043.4263507</v>
      </c>
      <c r="F30" s="10" t="n">
        <f aca="false">Engine!I32</f>
        <v>12459911.8348966</v>
      </c>
      <c r="G30" s="11" t="n">
        <f aca="false">-F30*Inputs!$B$6</f>
        <v>-3737973.55046899</v>
      </c>
      <c r="H30" s="11" t="n">
        <f aca="false">F30+G30</f>
        <v>8721938.28442765</v>
      </c>
      <c r="I30" s="10" t="n">
        <f aca="false">Engine!K32</f>
        <v>7393881.1442245</v>
      </c>
      <c r="J30" s="11" t="n">
        <f aca="false">-(I30-Engine!L32)*Inputs!$B$9</f>
        <v>-1723574.09749837</v>
      </c>
      <c r="K30" s="11" t="n">
        <f aca="false">H30+I30+J30</f>
        <v>14392245.3311538</v>
      </c>
      <c r="L30" s="20" t="n">
        <f aca="false">E30-K30</f>
        <v>497798.095196918</v>
      </c>
      <c r="M30" s="12" t="n">
        <f aca="false">IF(K30=0,0,L30/K30)</f>
        <v>0.0345879384170427</v>
      </c>
    </row>
    <row r="31" customFormat="false" ht="15" hidden="false" customHeight="false" outlineLevel="0" collapsed="false">
      <c r="A31" s="19" t="n">
        <v>26</v>
      </c>
      <c r="B31" s="9" t="n">
        <f aca="false">Engine!S33</f>
        <v>83</v>
      </c>
      <c r="C31" s="9" t="n">
        <f aca="false">Engine!T33</f>
        <v>2051</v>
      </c>
      <c r="D31" s="10" t="n">
        <f aca="false">Engine!AA33</f>
        <v>13705903.0183863</v>
      </c>
      <c r="E31" s="11" t="n">
        <f aca="false">D31+Engine!AB33-(Engine!AB33-Engine!AC33)*Inputs!$B$9</f>
        <v>16358801.6860285</v>
      </c>
      <c r="F31" s="10" t="n">
        <f aca="false">Engine!I33</f>
        <v>13705903.0183863</v>
      </c>
      <c r="G31" s="11" t="n">
        <f aca="false">-F31*Inputs!$B$6</f>
        <v>-4111770.90551589</v>
      </c>
      <c r="H31" s="11" t="n">
        <f aca="false">F31+G31</f>
        <v>9594132.11287042</v>
      </c>
      <c r="I31" s="10" t="n">
        <f aca="false">Engine!K33</f>
        <v>8096299.85292583</v>
      </c>
      <c r="J31" s="11" t="n">
        <f aca="false">-(I31-Engine!L33)*Inputs!$B$9</f>
        <v>-1906202.96176072</v>
      </c>
      <c r="K31" s="11" t="n">
        <f aca="false">H31+I31+J31</f>
        <v>15784229.0040355</v>
      </c>
      <c r="L31" s="20" t="n">
        <f aca="false">E31-K31</f>
        <v>574572.681992974</v>
      </c>
      <c r="M31" s="12" t="n">
        <f aca="false">IF(K31=0,0,L31/K31)</f>
        <v>0.0364016944917661</v>
      </c>
    </row>
    <row r="32" customFormat="false" ht="15" hidden="false" customHeight="false" outlineLevel="0" collapsed="false">
      <c r="A32" s="19" t="n">
        <v>27</v>
      </c>
      <c r="B32" s="9" t="n">
        <f aca="false">Engine!S34</f>
        <v>84</v>
      </c>
      <c r="C32" s="9" t="n">
        <f aca="false">Engine!T34</f>
        <v>2052</v>
      </c>
      <c r="D32" s="10" t="n">
        <f aca="false">Engine!AA34</f>
        <v>15076493.3202249</v>
      </c>
      <c r="E32" s="11" t="n">
        <f aca="false">D32+Engine!AB34-(Engine!AB34-Engine!AC34)*Inputs!$B$9</f>
        <v>17973321.9362931</v>
      </c>
      <c r="F32" s="10" t="n">
        <f aca="false">Engine!I34</f>
        <v>15076493.3202249</v>
      </c>
      <c r="G32" s="11" t="n">
        <f aca="false">-F32*Inputs!$B$6</f>
        <v>-4522947.99606748</v>
      </c>
      <c r="H32" s="11" t="n">
        <f aca="false">F32+G32</f>
        <v>10553545.3241575</v>
      </c>
      <c r="I32" s="10" t="n">
        <f aca="false">Engine!K34</f>
        <v>8865448.33895378</v>
      </c>
      <c r="J32" s="11" t="n">
        <f aca="false">-(I32-Engine!L34)*Inputs!$B$9</f>
        <v>-2106181.56812798</v>
      </c>
      <c r="K32" s="11" t="n">
        <f aca="false">H32+I32+J32</f>
        <v>17312812.0949833</v>
      </c>
      <c r="L32" s="20" t="n">
        <f aca="false">E32-K32</f>
        <v>660509.841309886</v>
      </c>
      <c r="M32" s="12" t="n">
        <f aca="false">IF(K32=0,0,L32/K32)</f>
        <v>0.038151505237054</v>
      </c>
    </row>
    <row r="33" customFormat="false" ht="15" hidden="false" customHeight="false" outlineLevel="0" collapsed="false">
      <c r="A33" s="19" t="n">
        <v>28</v>
      </c>
      <c r="B33" s="9" t="n">
        <f aca="false">Engine!S35</f>
        <v>85</v>
      </c>
      <c r="C33" s="9" t="n">
        <f aca="false">Engine!T35</f>
        <v>2053</v>
      </c>
      <c r="D33" s="10" t="n">
        <f aca="false">Engine!AA35</f>
        <v>16584142.6522474</v>
      </c>
      <c r="E33" s="11" t="n">
        <f aca="false">D33+Engine!AB35-(Engine!AB35-Engine!AC35)*Inputs!$B$9</f>
        <v>19748074.5618421</v>
      </c>
      <c r="F33" s="10" t="n">
        <f aca="false">Engine!I35</f>
        <v>16584142.6522474</v>
      </c>
      <c r="G33" s="11" t="n">
        <f aca="false">-F33*Inputs!$B$6</f>
        <v>-4975242.79567423</v>
      </c>
      <c r="H33" s="11" t="n">
        <f aca="false">F33+G33</f>
        <v>11608899.8565732</v>
      </c>
      <c r="I33" s="10" t="n">
        <f aca="false">Engine!K35</f>
        <v>9707665.93115439</v>
      </c>
      <c r="J33" s="11" t="n">
        <f aca="false">-(I33-Engine!L35)*Inputs!$B$9</f>
        <v>-2325158.14210014</v>
      </c>
      <c r="K33" s="11" t="n">
        <f aca="false">H33+I33+J33</f>
        <v>18991407.6456275</v>
      </c>
      <c r="L33" s="20" t="n">
        <f aca="false">E33-K33</f>
        <v>756666.91621466</v>
      </c>
      <c r="M33" s="12" t="n">
        <f aca="false">IF(K33=0,0,L33/K33)</f>
        <v>0.0398425925204588</v>
      </c>
    </row>
    <row r="34" customFormat="false" ht="15" hidden="false" customHeight="false" outlineLevel="0" collapsed="false">
      <c r="A34" s="19" t="n">
        <v>29</v>
      </c>
      <c r="B34" s="9" t="n">
        <f aca="false">Engine!S36</f>
        <v>86</v>
      </c>
      <c r="C34" s="9" t="n">
        <f aca="false">Engine!T36</f>
        <v>2054</v>
      </c>
      <c r="D34" s="10" t="n">
        <f aca="false">Engine!AA36</f>
        <v>18242556.9174722</v>
      </c>
      <c r="E34" s="11" t="n">
        <f aca="false">D34+Engine!AB36-(Engine!AB36-Engine!AC36)*Inputs!$B$9</f>
        <v>21698966.9334784</v>
      </c>
      <c r="F34" s="10" t="n">
        <f aca="false">Engine!I36</f>
        <v>18242556.9174722</v>
      </c>
      <c r="G34" s="11" t="n">
        <f aca="false">-F34*Inputs!$B$6</f>
        <v>-5472767.07524166</v>
      </c>
      <c r="H34" s="11" t="n">
        <f aca="false">F34+G34</f>
        <v>12769789.8422305</v>
      </c>
      <c r="I34" s="10" t="n">
        <f aca="false">Engine!K36</f>
        <v>10629894.1946141</v>
      </c>
      <c r="J34" s="11" t="n">
        <f aca="false">-(I34-Engine!L36)*Inputs!$B$9</f>
        <v>-2564937.49059966</v>
      </c>
      <c r="K34" s="11" t="n">
        <f aca="false">H34+I34+J34</f>
        <v>20834746.5462449</v>
      </c>
      <c r="L34" s="20" t="n">
        <f aca="false">E34-K34</f>
        <v>864220.387233425</v>
      </c>
      <c r="M34" s="12" t="n">
        <f aca="false">IF(K34=0,0,L34/K34)</f>
        <v>0.0414797648397208</v>
      </c>
    </row>
    <row r="35" customFormat="false" ht="15" hidden="false" customHeight="false" outlineLevel="0" collapsed="false">
      <c r="A35" s="19" t="n">
        <v>30</v>
      </c>
      <c r="B35" s="9" t="n">
        <f aca="false">Engine!S37</f>
        <v>87</v>
      </c>
      <c r="C35" s="9" t="n">
        <f aca="false">Engine!T37</f>
        <v>2055</v>
      </c>
      <c r="D35" s="10" t="n">
        <f aca="false">Engine!AA37</f>
        <v>20066812.6092194</v>
      </c>
      <c r="E35" s="11" t="n">
        <f aca="false">D35+Engine!AB37-(Engine!AB37-Engine!AC37)*Inputs!$B$9</f>
        <v>23843486.1517462</v>
      </c>
      <c r="F35" s="10" t="n">
        <f aca="false">Engine!I37</f>
        <v>20066812.6092194</v>
      </c>
      <c r="G35" s="11" t="n">
        <f aca="false">-F35*Inputs!$B$6</f>
        <v>-6020043.78276582</v>
      </c>
      <c r="H35" s="11" t="n">
        <f aca="false">F35+G35</f>
        <v>14046768.8264536</v>
      </c>
      <c r="I35" s="10" t="n">
        <f aca="false">Engine!K37</f>
        <v>11639734.1431024</v>
      </c>
      <c r="J35" s="11" t="n">
        <f aca="false">-(I35-Engine!L37)*Inputs!$B$9</f>
        <v>-2827495.87720662</v>
      </c>
      <c r="K35" s="11" t="n">
        <f aca="false">H35+I35+J35</f>
        <v>22859007.0923494</v>
      </c>
      <c r="L35" s="20" t="n">
        <f aca="false">E35-K35</f>
        <v>984479.059396811</v>
      </c>
      <c r="M35" s="12" t="n">
        <f aca="false">IF(K35=0,0,L35/K35)</f>
        <v>0.0430674462551921</v>
      </c>
    </row>
    <row r="36" customFormat="false" ht="15" hidden="false" customHeight="false" outlineLevel="0" collapsed="false">
      <c r="A36" s="19" t="n">
        <v>31</v>
      </c>
      <c r="B36" s="9" t="n">
        <f aca="false">Engine!S38</f>
        <v>88</v>
      </c>
      <c r="C36" s="9" t="n">
        <f aca="false">Engine!T38</f>
        <v>2056</v>
      </c>
      <c r="D36" s="10" t="n">
        <f aca="false">Engine!AA38</f>
        <v>22073493.8701414</v>
      </c>
      <c r="E36" s="11" t="n">
        <f aca="false">D36+Engine!AB38-(Engine!AB38-Engine!AC38)*Inputs!$B$9</f>
        <v>26200855.9742082</v>
      </c>
      <c r="F36" s="10" t="n">
        <f aca="false">Engine!I38</f>
        <v>22073493.8701414</v>
      </c>
      <c r="G36" s="11" t="n">
        <f aca="false">-F36*Inputs!$B$6</f>
        <v>-6622048.16104241</v>
      </c>
      <c r="H36" s="11" t="n">
        <f aca="false">F36+G36</f>
        <v>15451445.7090989</v>
      </c>
      <c r="I36" s="10" t="n">
        <f aca="false">Engine!K38</f>
        <v>12745508.8866971</v>
      </c>
      <c r="J36" s="11" t="n">
        <f aca="false">-(I36-Engine!L38)*Inputs!$B$9</f>
        <v>-3114997.31054125</v>
      </c>
      <c r="K36" s="11" t="n">
        <f aca="false">H36+I36+J36</f>
        <v>25081957.2852548</v>
      </c>
      <c r="L36" s="20" t="n">
        <f aca="false">E36-K36</f>
        <v>1118898.68895334</v>
      </c>
      <c r="M36" s="12" t="n">
        <f aca="false">IF(K36=0,0,L36/K36)</f>
        <v>0.0446097039488668</v>
      </c>
    </row>
    <row r="37" customFormat="false" ht="15" hidden="false" customHeight="false" outlineLevel="0" collapsed="false">
      <c r="A37" s="19" t="n">
        <v>32</v>
      </c>
      <c r="B37" s="9" t="n">
        <f aca="false">Engine!S39</f>
        <v>89</v>
      </c>
      <c r="C37" s="9" t="n">
        <f aca="false">Engine!T39</f>
        <v>2057</v>
      </c>
      <c r="D37" s="10" t="n">
        <f aca="false">Engine!AA39</f>
        <v>24280843.2571555</v>
      </c>
      <c r="E37" s="11" t="n">
        <f aca="false">D37+Engine!AB39-(Engine!AB39-Engine!AC39)*Inputs!$B$9</f>
        <v>28792209.3361086</v>
      </c>
      <c r="F37" s="10" t="n">
        <f aca="false">Engine!I39</f>
        <v>24280843.2571555</v>
      </c>
      <c r="G37" s="11" t="n">
        <f aca="false">-F37*Inputs!$B$6</f>
        <v>-7284252.97714665</v>
      </c>
      <c r="H37" s="11" t="n">
        <f aca="false">F37+G37</f>
        <v>16996590.2800088</v>
      </c>
      <c r="I37" s="10" t="n">
        <f aca="false">Engine!K39</f>
        <v>13956332.2309333</v>
      </c>
      <c r="J37" s="11" t="n">
        <f aca="false">-(I37-Engine!L39)*Inputs!$B$9</f>
        <v>-3429811.38004267</v>
      </c>
      <c r="K37" s="11" t="n">
        <f aca="false">H37+I37+J37</f>
        <v>27523111.1308995</v>
      </c>
      <c r="L37" s="20" t="n">
        <f aca="false">E37-K37</f>
        <v>1269098.20520912</v>
      </c>
      <c r="M37" s="12" t="n">
        <f aca="false">IF(K37=0,0,L37/K37)</f>
        <v>0.0461102743499203</v>
      </c>
    </row>
    <row r="38" customFormat="false" ht="15" hidden="false" customHeight="false" outlineLevel="0" collapsed="false">
      <c r="A38" s="19" t="n">
        <v>33</v>
      </c>
      <c r="B38" s="9" t="n">
        <f aca="false">Engine!S40</f>
        <v>90</v>
      </c>
      <c r="C38" s="9" t="n">
        <f aca="false">Engine!T40</f>
        <v>2058</v>
      </c>
      <c r="D38" s="10" t="n">
        <f aca="false">Engine!AA40</f>
        <v>26708927.582871</v>
      </c>
      <c r="E38" s="11" t="n">
        <f aca="false">D38+Engine!AB40-(Engine!AB40-Engine!AC40)*Inputs!$B$9</f>
        <v>31640778.0143247</v>
      </c>
      <c r="F38" s="10" t="n">
        <f aca="false">Engine!I40</f>
        <v>26708927.582871</v>
      </c>
      <c r="G38" s="11" t="n">
        <f aca="false">-F38*Inputs!$B$6</f>
        <v>-8012678.27486131</v>
      </c>
      <c r="H38" s="11" t="n">
        <f aca="false">F38+G38</f>
        <v>18696249.3080097</v>
      </c>
      <c r="I38" s="10" t="n">
        <f aca="false">Engine!K40</f>
        <v>15282183.792872</v>
      </c>
      <c r="J38" s="11" t="n">
        <f aca="false">-(I38-Engine!L40)*Inputs!$B$9</f>
        <v>-3774532.78614672</v>
      </c>
      <c r="K38" s="11" t="n">
        <f aca="false">H38+I38+J38</f>
        <v>30203900.314735</v>
      </c>
      <c r="L38" s="20" t="n">
        <f aca="false">E38-K38</f>
        <v>1436877.69958971</v>
      </c>
      <c r="M38" s="12" t="n">
        <f aca="false">IF(K38=0,0,L38/K38)</f>
        <v>0.0475725877988258</v>
      </c>
    </row>
    <row r="39" customFormat="false" ht="15" hidden="false" customHeight="false" outlineLevel="0" collapsed="false">
      <c r="A39" s="19" t="n">
        <v>34</v>
      </c>
      <c r="B39" s="9" t="n">
        <f aca="false">Engine!S41</f>
        <v>91</v>
      </c>
      <c r="C39" s="9" t="n">
        <f aca="false">Engine!T41</f>
        <v>2059</v>
      </c>
      <c r="D39" s="10" t="n">
        <f aca="false">Engine!AA41</f>
        <v>29379820.3411581</v>
      </c>
      <c r="E39" s="11" t="n">
        <f aca="false">D39+Engine!AB41-(Engine!AB41-Engine!AC41)*Inputs!$B$9</f>
        <v>34772101.1385999</v>
      </c>
      <c r="F39" s="10" t="n">
        <f aca="false">Engine!I41</f>
        <v>29379820.3411581</v>
      </c>
      <c r="G39" s="11" t="n">
        <f aca="false">-F39*Inputs!$B$6</f>
        <v>-8813946.10234744</v>
      </c>
      <c r="H39" s="11" t="n">
        <f aca="false">F39+G39</f>
        <v>20565874.2388107</v>
      </c>
      <c r="I39" s="10" t="n">
        <f aca="false">Engine!K41</f>
        <v>16733991.2531949</v>
      </c>
      <c r="J39" s="11" t="n">
        <f aca="false">-(I39-Engine!L41)*Inputs!$B$9</f>
        <v>-4152002.72583066</v>
      </c>
      <c r="K39" s="11" t="n">
        <f aca="false">H39+I39+J39</f>
        <v>33147862.7661749</v>
      </c>
      <c r="L39" s="20" t="n">
        <f aca="false">E39-K39</f>
        <v>1624238.37242505</v>
      </c>
      <c r="M39" s="12" t="n">
        <f aca="false">IF(K39=0,0,L39/K39)</f>
        <v>0.0489997917477343</v>
      </c>
    </row>
    <row r="40" customFormat="false" ht="15" hidden="false" customHeight="false" outlineLevel="0" collapsed="false">
      <c r="A40" s="19" t="n">
        <v>35</v>
      </c>
      <c r="B40" s="9" t="n">
        <f aca="false">Engine!S42</f>
        <v>92</v>
      </c>
      <c r="C40" s="9" t="n">
        <f aca="false">Engine!T42</f>
        <v>2060</v>
      </c>
      <c r="D40" s="10" t="n">
        <f aca="false">Engine!AA42</f>
        <v>32317802.375274</v>
      </c>
      <c r="E40" s="11" t="n">
        <f aca="false">D40+Engine!AB42-(Engine!AB42-Engine!AC42)*Inputs!$B$9</f>
        <v>38214254.4234727</v>
      </c>
      <c r="F40" s="10" t="n">
        <f aca="false">Engine!I42</f>
        <v>32317802.375274</v>
      </c>
      <c r="G40" s="11" t="n">
        <f aca="false">-F40*Inputs!$B$6</f>
        <v>-9695340.71258219</v>
      </c>
      <c r="H40" s="11" t="n">
        <f aca="false">F40+G40</f>
        <v>22622461.6626918</v>
      </c>
      <c r="I40" s="10" t="n">
        <f aca="false">Engine!K42</f>
        <v>18323720.4222484</v>
      </c>
      <c r="J40" s="11" t="n">
        <f aca="false">-(I40-Engine!L42)*Inputs!$B$9</f>
        <v>-4565332.30978458</v>
      </c>
      <c r="K40" s="11" t="n">
        <f aca="false">H40+I40+J40</f>
        <v>36380849.7751556</v>
      </c>
      <c r="L40" s="20" t="n">
        <f aca="false">E40-K40</f>
        <v>1833404.64831717</v>
      </c>
      <c r="M40" s="12" t="n">
        <f aca="false">IF(K40=0,0,L40/K40)</f>
        <v>0.0503947725148851</v>
      </c>
    </row>
    <row r="41" customFormat="false" ht="15" hidden="false" customHeight="false" outlineLevel="0" collapsed="false">
      <c r="A41" s="19" t="n">
        <v>36</v>
      </c>
      <c r="B41" s="9" t="n">
        <f aca="false">Engine!S43</f>
        <v>93</v>
      </c>
      <c r="C41" s="9" t="n">
        <f aca="false">Engine!T43</f>
        <v>2061</v>
      </c>
      <c r="D41" s="10" t="n">
        <f aca="false">Engine!AA43</f>
        <v>35549582.6128014</v>
      </c>
      <c r="E41" s="11" t="n">
        <f aca="false">D41+Engine!AB43-(Engine!AB43-Engine!AC43)*Inputs!$B$9</f>
        <v>41998102.180579</v>
      </c>
      <c r="F41" s="10" t="n">
        <f aca="false">Engine!I43</f>
        <v>35549582.6128014</v>
      </c>
      <c r="G41" s="11" t="n">
        <f aca="false">-F41*Inputs!$B$6</f>
        <v>-10664874.7838404</v>
      </c>
      <c r="H41" s="11" t="n">
        <f aca="false">F41+G41</f>
        <v>24884707.828961</v>
      </c>
      <c r="I41" s="10" t="n">
        <f aca="false">Engine!K43</f>
        <v>20064473.862362</v>
      </c>
      <c r="J41" s="11" t="n">
        <f aca="false">-(I41-Engine!L43)*Inputs!$B$9</f>
        <v>-5017928.20421411</v>
      </c>
      <c r="K41" s="11" t="n">
        <f aca="false">H41+I41+J41</f>
        <v>39931253.4871088</v>
      </c>
      <c r="L41" s="20" t="n">
        <f aca="false">E41-K41</f>
        <v>2066848.69347021</v>
      </c>
      <c r="M41" s="12" t="n">
        <f aca="false">IF(K41=0,0,L41/K41)</f>
        <v>0.0517601756262788</v>
      </c>
    </row>
    <row r="42" customFormat="false" ht="15" hidden="false" customHeight="false" outlineLevel="0" collapsed="false">
      <c r="A42" s="19" t="n">
        <v>37</v>
      </c>
      <c r="B42" s="9" t="n">
        <f aca="false">Engine!S44</f>
        <v>94</v>
      </c>
      <c r="C42" s="9" t="n">
        <f aca="false">Engine!T44</f>
        <v>2062</v>
      </c>
      <c r="D42" s="10" t="n">
        <f aca="false">Engine!AA44</f>
        <v>39104540.8740815</v>
      </c>
      <c r="E42" s="11" t="n">
        <f aca="false">D42+Engine!AB44-(Engine!AB44-Engine!AC44)*Inputs!$B$9</f>
        <v>46157574.375798</v>
      </c>
      <c r="F42" s="10" t="n">
        <f aca="false">Engine!I44</f>
        <v>39104540.8740815</v>
      </c>
      <c r="G42" s="11" t="n">
        <f aca="false">-F42*Inputs!$B$6</f>
        <v>-11731362.2622244</v>
      </c>
      <c r="H42" s="11" t="n">
        <f aca="false">F42+G42</f>
        <v>27373178.6118571</v>
      </c>
      <c r="I42" s="10" t="n">
        <f aca="false">Engine!K44</f>
        <v>21970598.8792863</v>
      </c>
      <c r="J42" s="11" t="n">
        <f aca="false">-(I42-Engine!L44)*Inputs!$B$9</f>
        <v>-5513520.70861445</v>
      </c>
      <c r="K42" s="11" t="n">
        <f aca="false">H42+I42+J42</f>
        <v>43830256.7825289</v>
      </c>
      <c r="L42" s="20" t="n">
        <f aca="false">E42-K42</f>
        <v>2327317.59326909</v>
      </c>
      <c r="M42" s="12" t="n">
        <f aca="false">IF(K42=0,0,L42/K42)</f>
        <v>0.053098424789443</v>
      </c>
    </row>
    <row r="43" customFormat="false" ht="15" hidden="false" customHeight="false" outlineLevel="0" collapsed="false">
      <c r="A43" s="19" t="n">
        <v>38</v>
      </c>
      <c r="B43" s="9" t="n">
        <f aca="false">Engine!S45</f>
        <v>95</v>
      </c>
      <c r="C43" s="9" t="n">
        <f aca="false">Engine!T45</f>
        <v>2063</v>
      </c>
      <c r="D43" s="10" t="n">
        <f aca="false">Engine!AA45</f>
        <v>43014994.9614897</v>
      </c>
      <c r="E43" s="11" t="n">
        <f aca="false">D43+Engine!AB45-(Engine!AB45-Engine!AC45)*Inputs!$B$9</f>
        <v>50729971.2208693</v>
      </c>
      <c r="F43" s="10" t="n">
        <f aca="false">Engine!I45</f>
        <v>43014994.9614897</v>
      </c>
      <c r="G43" s="11" t="n">
        <f aca="false">-F43*Inputs!$B$6</f>
        <v>-12904498.4884469</v>
      </c>
      <c r="H43" s="11" t="n">
        <f aca="false">F43+G43</f>
        <v>30110496.4730428</v>
      </c>
      <c r="I43" s="10" t="n">
        <f aca="false">Engine!K45</f>
        <v>24057805.7728185</v>
      </c>
      <c r="J43" s="11" t="n">
        <f aca="false">-(I43-Engine!L45)*Inputs!$B$9</f>
        <v>-6056194.50093282</v>
      </c>
      <c r="K43" s="11" t="n">
        <f aca="false">H43+I43+J43</f>
        <v>48112107.7449285</v>
      </c>
      <c r="L43" s="20" t="n">
        <f aca="false">E43-K43</f>
        <v>2617863.47594076</v>
      </c>
      <c r="M43" s="12" t="n">
        <f aca="false">IF(K43=0,0,L43/K43)</f>
        <v>0.0544117395525394</v>
      </c>
    </row>
    <row r="44" customFormat="false" ht="15" hidden="false" customHeight="false" outlineLevel="0" collapsed="false">
      <c r="A44" s="19" t="n">
        <v>39</v>
      </c>
      <c r="B44" s="9" t="n">
        <f aca="false">Engine!S46</f>
        <v>96</v>
      </c>
      <c r="C44" s="9" t="n">
        <f aca="false">Engine!T46</f>
        <v>2064</v>
      </c>
      <c r="D44" s="10" t="n">
        <f aca="false">Engine!AA46</f>
        <v>47316494.4576386</v>
      </c>
      <c r="E44" s="11" t="n">
        <f aca="false">D44+Engine!AB46-(Engine!AB46-Engine!AC46)*Inputs!$B$9</f>
        <v>55756298.0366593</v>
      </c>
      <c r="F44" s="10" t="n">
        <f aca="false">Engine!I46</f>
        <v>47316494.4576386</v>
      </c>
      <c r="G44" s="11" t="n">
        <f aca="false">-F44*Inputs!$B$6</f>
        <v>-14194948.3372916</v>
      </c>
      <c r="H44" s="11" t="n">
        <f aca="false">F44+G44</f>
        <v>33121546.120347</v>
      </c>
      <c r="I44" s="10" t="n">
        <f aca="false">Engine!K46</f>
        <v>26343297.3212363</v>
      </c>
      <c r="J44" s="11" t="n">
        <f aca="false">-(I44-Engine!L46)*Inputs!$B$9</f>
        <v>-6650422.30352144</v>
      </c>
      <c r="K44" s="11" t="n">
        <f aca="false">H44+I44+J44</f>
        <v>52814421.1380619</v>
      </c>
      <c r="L44" s="20" t="n">
        <f aca="false">E44-K44</f>
        <v>2941876.89859737</v>
      </c>
      <c r="M44" s="12" t="n">
        <f aca="false">IF(K44=0,0,L44/K44)</f>
        <v>0.0557021517079023</v>
      </c>
    </row>
    <row r="45" customFormat="false" ht="15" hidden="false" customHeight="false" outlineLevel="0" collapsed="false">
      <c r="A45" s="19" t="n">
        <v>40</v>
      </c>
      <c r="B45" s="9" t="n">
        <f aca="false">Engine!S47</f>
        <v>97</v>
      </c>
      <c r="C45" s="9" t="n">
        <f aca="false">Engine!T47</f>
        <v>2065</v>
      </c>
      <c r="D45" s="10" t="n">
        <f aca="false">Engine!AA47</f>
        <v>52048143.9034025</v>
      </c>
      <c r="E45" s="11" t="n">
        <f aca="false">D45+Engine!AB47-(Engine!AB47-Engine!AC47)*Inputs!$B$9</f>
        <v>61281633.3974301</v>
      </c>
      <c r="F45" s="10" t="n">
        <f aca="false">Engine!I47</f>
        <v>52048143.9034025</v>
      </c>
      <c r="G45" s="11" t="n">
        <f aca="false">-F45*Inputs!$B$6</f>
        <v>-15614443.1710207</v>
      </c>
      <c r="H45" s="11" t="n">
        <f aca="false">F45+G45</f>
        <v>36433700.7323817</v>
      </c>
      <c r="I45" s="10" t="n">
        <f aca="false">Engine!K47</f>
        <v>28845910.5667538</v>
      </c>
      <c r="J45" s="11" t="n">
        <f aca="false">-(I45-Engine!L47)*Inputs!$B$9</f>
        <v>-7301101.74735598</v>
      </c>
      <c r="K45" s="11" t="n">
        <f aca="false">H45+I45+J45</f>
        <v>57978509.5517795</v>
      </c>
      <c r="L45" s="20" t="n">
        <f aca="false">E45-K45</f>
        <v>3303123.84565059</v>
      </c>
      <c r="M45" s="12" t="n">
        <f aca="false">IF(K45=0,0,L45/K45)</f>
        <v>0.0569715205027931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 collapsed="false" customWidth="true" hidden="false" outlineLevel="0" max="4" min="4" style="0" width="30"/>
  </cols>
  <sheetData>
    <row r="1" customFormat="false" ht="16.15" hidden="false" customHeight="false" outlineLevel="0" collapsed="false">
      <c r="A1" s="5" t="s">
        <v>65</v>
      </c>
    </row>
    <row r="3" customFormat="false" ht="22.35" hidden="false" customHeight="false" outlineLevel="0" collapsed="false">
      <c r="A3" s="18" t="s">
        <v>66</v>
      </c>
      <c r="B3" s="21" t="n">
        <v>1150000</v>
      </c>
      <c r="C3" s="4" t="s">
        <v>67</v>
      </c>
    </row>
    <row r="4" customFormat="false" ht="22.35" hidden="false" customHeight="false" outlineLevel="0" collapsed="false">
      <c r="A4" s="18" t="s">
        <v>68</v>
      </c>
      <c r="B4" s="22" t="n">
        <v>0.1</v>
      </c>
      <c r="C4" s="4" t="s">
        <v>69</v>
      </c>
    </row>
    <row r="5" customFormat="false" ht="15" hidden="false" customHeight="false" outlineLevel="0" collapsed="false">
      <c r="A5" s="18" t="s">
        <v>70</v>
      </c>
      <c r="B5" s="22" t="n">
        <v>0.38</v>
      </c>
      <c r="C5" s="4" t="s">
        <v>71</v>
      </c>
    </row>
    <row r="6" customFormat="false" ht="22.35" hidden="false" customHeight="false" outlineLevel="0" collapsed="false">
      <c r="A6" s="18" t="s">
        <v>72</v>
      </c>
      <c r="B6" s="22" t="n">
        <v>0.3</v>
      </c>
      <c r="C6" s="4" t="s">
        <v>73</v>
      </c>
    </row>
    <row r="7" customFormat="false" ht="53.7" hidden="false" customHeight="false" outlineLevel="0" collapsed="false">
      <c r="A7" s="18" t="s">
        <v>74</v>
      </c>
      <c r="B7" s="11" t="n">
        <f aca="false">B3*B5*1.75</f>
        <v>764750</v>
      </c>
      <c r="C7" s="4" t="s">
        <v>75</v>
      </c>
    </row>
    <row r="8" customFormat="false" ht="22.35" hidden="false" customHeight="false" outlineLevel="0" collapsed="false">
      <c r="A8" s="18" t="s">
        <v>76</v>
      </c>
      <c r="B8" s="22" t="n">
        <v>0.05</v>
      </c>
      <c r="C8" s="4" t="s">
        <v>77</v>
      </c>
    </row>
    <row r="9" customFormat="false" ht="22.35" hidden="false" customHeight="false" outlineLevel="0" collapsed="false">
      <c r="A9" s="18" t="s">
        <v>78</v>
      </c>
      <c r="B9" s="22" t="n">
        <v>0.26</v>
      </c>
      <c r="C9" s="4" t="s">
        <v>79</v>
      </c>
    </row>
    <row r="10" customFormat="false" ht="15" hidden="false" customHeight="false" outlineLevel="0" collapsed="false">
      <c r="A10" s="18" t="s">
        <v>80</v>
      </c>
      <c r="B10" s="23" t="n">
        <v>10</v>
      </c>
      <c r="C10" s="4" t="s">
        <v>81</v>
      </c>
    </row>
    <row r="11" customFormat="false" ht="15" hidden="false" customHeight="false" outlineLevel="0" collapsed="false">
      <c r="A11" s="18" t="s">
        <v>82</v>
      </c>
      <c r="B11" s="23" t="n">
        <v>2026</v>
      </c>
      <c r="C11" s="4" t="s">
        <v>83</v>
      </c>
    </row>
    <row r="12" customFormat="false" ht="15" hidden="false" customHeight="false" outlineLevel="0" collapsed="false">
      <c r="A12" s="18" t="s">
        <v>84</v>
      </c>
      <c r="B12" s="23" t="n">
        <v>57</v>
      </c>
      <c r="C12" s="4" t="s">
        <v>85</v>
      </c>
    </row>
    <row r="13" customFormat="false" ht="22.35" hidden="false" customHeight="false" outlineLevel="0" collapsed="false">
      <c r="A13" s="18" t="s">
        <v>86</v>
      </c>
      <c r="B13" s="22" t="n">
        <v>0.35</v>
      </c>
      <c r="C13" s="4" t="s">
        <v>87</v>
      </c>
    </row>
    <row r="14" customFormat="false" ht="15" hidden="false" customHeight="false" outlineLevel="0" collapsed="false">
      <c r="A14" s="18" t="s">
        <v>88</v>
      </c>
      <c r="B14" s="24" t="n">
        <v>24.6</v>
      </c>
      <c r="C14" s="4" t="s">
        <v>89</v>
      </c>
    </row>
    <row r="15" customFormat="false" ht="22.35" hidden="false" customHeight="false" outlineLevel="0" collapsed="false">
      <c r="A15" s="18" t="s">
        <v>90</v>
      </c>
      <c r="B15" s="25" t="s">
        <v>91</v>
      </c>
      <c r="C15" s="4" t="s">
        <v>92</v>
      </c>
    </row>
    <row r="17" customFormat="false" ht="15" hidden="false" customHeight="false" outlineLevel="0" collapsed="false">
      <c r="A17" s="8" t="s">
        <v>93</v>
      </c>
    </row>
    <row r="18" customFormat="false" ht="15" hidden="false" customHeight="false" outlineLevel="0" collapsed="false">
      <c r="A18" s="18" t="s">
        <v>94</v>
      </c>
      <c r="B18" s="18" t="s">
        <v>54</v>
      </c>
      <c r="C18" s="18" t="s">
        <v>95</v>
      </c>
      <c r="D18" s="18" t="s">
        <v>96</v>
      </c>
    </row>
    <row r="19" customFormat="false" ht="15" hidden="false" customHeight="false" outlineLevel="0" collapsed="false">
      <c r="A19" s="19" t="n">
        <v>1</v>
      </c>
      <c r="B19" s="19" t="n">
        <f aca="false">Inputs!$B$11+1-1</f>
        <v>2026</v>
      </c>
      <c r="C19" s="22" t="n">
        <f aca="false">Inputs!$B$5</f>
        <v>0.38</v>
      </c>
      <c r="D19" s="22" t="n">
        <v>0.38</v>
      </c>
    </row>
    <row r="20" customFormat="false" ht="15" hidden="false" customHeight="false" outlineLevel="0" collapsed="false">
      <c r="A20" s="19" t="n">
        <v>2</v>
      </c>
      <c r="B20" s="19" t="n">
        <f aca="false">Inputs!$B$11+2-1</f>
        <v>2027</v>
      </c>
      <c r="C20" s="22" t="n">
        <f aca="false">Inputs!$B$5</f>
        <v>0.38</v>
      </c>
      <c r="D20" s="22" t="n">
        <v>0.38</v>
      </c>
    </row>
    <row r="21" customFormat="false" ht="15" hidden="false" customHeight="false" outlineLevel="0" collapsed="false">
      <c r="A21" s="19" t="n">
        <v>3</v>
      </c>
      <c r="B21" s="19" t="n">
        <f aca="false">Inputs!$B$11+3-1</f>
        <v>2028</v>
      </c>
      <c r="C21" s="22" t="n">
        <f aca="false">Inputs!$B$5</f>
        <v>0.38</v>
      </c>
      <c r="D21" s="22" t="n">
        <v>0.38</v>
      </c>
    </row>
    <row r="22" customFormat="false" ht="15" hidden="false" customHeight="false" outlineLevel="0" collapsed="false">
      <c r="A22" s="19" t="n">
        <v>4</v>
      </c>
      <c r="B22" s="19" t="n">
        <f aca="false">Inputs!$B$11+4-1</f>
        <v>2029</v>
      </c>
      <c r="C22" s="22" t="n">
        <f aca="false">Inputs!$B$5</f>
        <v>0.38</v>
      </c>
      <c r="D22" s="22" t="n">
        <v>0.42</v>
      </c>
    </row>
    <row r="23" customFormat="false" ht="15" hidden="false" customHeight="false" outlineLevel="0" collapsed="false">
      <c r="A23" s="19" t="n">
        <v>5</v>
      </c>
      <c r="B23" s="19" t="n">
        <f aca="false">Inputs!$B$11+5-1</f>
        <v>2030</v>
      </c>
      <c r="C23" s="22" t="n">
        <f aca="false">Inputs!$B$5</f>
        <v>0.38</v>
      </c>
      <c r="D23" s="22" t="n">
        <v>0.42</v>
      </c>
    </row>
    <row r="24" customFormat="false" ht="15" hidden="false" customHeight="false" outlineLevel="0" collapsed="false">
      <c r="A24" s="19" t="n">
        <v>6</v>
      </c>
      <c r="B24" s="19" t="n">
        <f aca="false">Inputs!$B$11+6-1</f>
        <v>2031</v>
      </c>
      <c r="C24" s="22" t="n">
        <f aca="false">Inputs!$B$5</f>
        <v>0.38</v>
      </c>
      <c r="D24" s="22" t="n">
        <v>0.3</v>
      </c>
    </row>
    <row r="25" customFormat="false" ht="15" hidden="false" customHeight="false" outlineLevel="0" collapsed="false">
      <c r="A25" s="19" t="n">
        <v>7</v>
      </c>
      <c r="B25" s="19" t="n">
        <f aca="false">Inputs!$B$11+7-1</f>
        <v>2032</v>
      </c>
      <c r="C25" s="22" t="n">
        <f aca="false">Inputs!$B$5</f>
        <v>0.38</v>
      </c>
      <c r="D25" s="22" t="n">
        <v>0.3</v>
      </c>
    </row>
    <row r="26" customFormat="false" ht="15" hidden="false" customHeight="false" outlineLevel="0" collapsed="false">
      <c r="A26" s="19" t="n">
        <v>8</v>
      </c>
      <c r="B26" s="19" t="n">
        <f aca="false">Inputs!$B$11+8-1</f>
        <v>2033</v>
      </c>
      <c r="C26" s="22" t="n">
        <f aca="false">Inputs!$B$5</f>
        <v>0.38</v>
      </c>
      <c r="D26" s="22" t="n">
        <v>0.3</v>
      </c>
    </row>
    <row r="27" customFormat="false" ht="15" hidden="false" customHeight="false" outlineLevel="0" collapsed="false">
      <c r="A27" s="19" t="n">
        <v>9</v>
      </c>
      <c r="B27" s="19" t="n">
        <f aca="false">Inputs!$B$11+9-1</f>
        <v>2034</v>
      </c>
      <c r="C27" s="22" t="n">
        <f aca="false">Inputs!$B$5</f>
        <v>0.38</v>
      </c>
      <c r="D27" s="22" t="n">
        <v>0.3</v>
      </c>
    </row>
    <row r="28" customFormat="false" ht="15" hidden="false" customHeight="false" outlineLevel="0" collapsed="false">
      <c r="A28" s="19" t="n">
        <v>10</v>
      </c>
      <c r="B28" s="19" t="n">
        <f aca="false">Inputs!$B$11+10-1</f>
        <v>2035</v>
      </c>
      <c r="C28" s="22" t="n">
        <f aca="false">Inputs!$B$5</f>
        <v>0.38</v>
      </c>
      <c r="D28" s="22" t="n">
        <v>0.3</v>
      </c>
    </row>
    <row r="29" customFormat="false" ht="15" hidden="false" customHeight="false" outlineLevel="0" collapsed="false">
      <c r="A29" s="19" t="n">
        <v>11</v>
      </c>
      <c r="B29" s="19" t="n">
        <f aca="false">Inputs!$B$11+11-1</f>
        <v>2036</v>
      </c>
      <c r="C29" s="22" t="n">
        <f aca="false">Inputs!$B$5</f>
        <v>0.38</v>
      </c>
      <c r="D29" s="22" t="n">
        <v>0.3</v>
      </c>
    </row>
    <row r="30" customFormat="false" ht="15" hidden="false" customHeight="false" outlineLevel="0" collapsed="false">
      <c r="A30" s="19" t="n">
        <v>12</v>
      </c>
      <c r="B30" s="19" t="n">
        <f aca="false">Inputs!$B$11+12-1</f>
        <v>2037</v>
      </c>
      <c r="C30" s="22" t="n">
        <f aca="false">Inputs!$B$5</f>
        <v>0.38</v>
      </c>
      <c r="D30" s="22" t="n">
        <v>0.3</v>
      </c>
    </row>
    <row r="31" customFormat="false" ht="15" hidden="false" customHeight="false" outlineLevel="0" collapsed="false">
      <c r="A31" s="19" t="n">
        <v>13</v>
      </c>
      <c r="B31" s="19" t="n">
        <f aca="false">Inputs!$B$11+13-1</f>
        <v>2038</v>
      </c>
      <c r="C31" s="22" t="n">
        <f aca="false">Inputs!$B$5</f>
        <v>0.38</v>
      </c>
      <c r="D31" s="22" t="n">
        <v>0.3</v>
      </c>
    </row>
    <row r="32" customFormat="false" ht="15" hidden="false" customHeight="false" outlineLevel="0" collapsed="false">
      <c r="A32" s="19" t="n">
        <v>14</v>
      </c>
      <c r="B32" s="19" t="n">
        <f aca="false">Inputs!$B$11+14-1</f>
        <v>2039</v>
      </c>
      <c r="C32" s="22" t="n">
        <f aca="false">Inputs!$B$5</f>
        <v>0.38</v>
      </c>
      <c r="D32" s="22" t="n">
        <v>0.3</v>
      </c>
    </row>
    <row r="33" customFormat="false" ht="15" hidden="false" customHeight="false" outlineLevel="0" collapsed="false">
      <c r="A33" s="19" t="n">
        <v>15</v>
      </c>
      <c r="B33" s="19" t="n">
        <f aca="false">Inputs!$B$11+15-1</f>
        <v>2040</v>
      </c>
      <c r="C33" s="22" t="n">
        <f aca="false">Inputs!$B$5</f>
        <v>0.38</v>
      </c>
      <c r="D33" s="22" t="n">
        <v>0.3</v>
      </c>
    </row>
    <row r="34" customFormat="false" ht="15" hidden="false" customHeight="false" outlineLevel="0" collapsed="false">
      <c r="A34" s="19" t="n">
        <v>16</v>
      </c>
      <c r="B34" s="19" t="n">
        <f aca="false">Inputs!$B$11+16-1</f>
        <v>2041</v>
      </c>
      <c r="C34" s="22" t="n">
        <f aca="false">Inputs!$B$5</f>
        <v>0.38</v>
      </c>
      <c r="D34" s="22" t="n">
        <v>0.3</v>
      </c>
    </row>
    <row r="35" customFormat="false" ht="15" hidden="false" customHeight="false" outlineLevel="0" collapsed="false">
      <c r="A35" s="19" t="n">
        <v>17</v>
      </c>
      <c r="B35" s="19" t="n">
        <f aca="false">Inputs!$B$11+17-1</f>
        <v>2042</v>
      </c>
      <c r="C35" s="22" t="n">
        <f aca="false">Inputs!$B$5</f>
        <v>0.38</v>
      </c>
      <c r="D35" s="22" t="n">
        <v>0.3</v>
      </c>
    </row>
    <row r="36" customFormat="false" ht="15" hidden="false" customHeight="false" outlineLevel="0" collapsed="false">
      <c r="A36" s="19" t="n">
        <v>18</v>
      </c>
      <c r="B36" s="19" t="n">
        <f aca="false">Inputs!$B$11+18-1</f>
        <v>2043</v>
      </c>
      <c r="C36" s="22" t="n">
        <f aca="false">Inputs!$B$5</f>
        <v>0.38</v>
      </c>
      <c r="D36" s="22" t="n">
        <v>0.3</v>
      </c>
    </row>
    <row r="37" customFormat="false" ht="15" hidden="false" customHeight="false" outlineLevel="0" collapsed="false">
      <c r="A37" s="19" t="n">
        <v>19</v>
      </c>
      <c r="B37" s="19" t="n">
        <f aca="false">Inputs!$B$11+19-1</f>
        <v>2044</v>
      </c>
      <c r="C37" s="22" t="n">
        <f aca="false">Inputs!$B$5</f>
        <v>0.38</v>
      </c>
      <c r="D37" s="22" t="n">
        <v>0.3</v>
      </c>
    </row>
    <row r="38" customFormat="false" ht="15" hidden="false" customHeight="false" outlineLevel="0" collapsed="false">
      <c r="A38" s="19" t="n">
        <v>20</v>
      </c>
      <c r="B38" s="19" t="n">
        <f aca="false">Inputs!$B$11+20-1</f>
        <v>2045</v>
      </c>
      <c r="C38" s="22" t="n">
        <f aca="false">Inputs!$B$5</f>
        <v>0.38</v>
      </c>
      <c r="D38" s="22" t="n">
        <v>0.3</v>
      </c>
    </row>
    <row r="39" customFormat="false" ht="15" hidden="false" customHeight="false" outlineLevel="0" collapsed="false">
      <c r="A39" s="19" t="n">
        <v>21</v>
      </c>
      <c r="B39" s="19" t="n">
        <f aca="false">Inputs!$B$11+21-1</f>
        <v>2046</v>
      </c>
      <c r="C39" s="22" t="n">
        <f aca="false">Inputs!$B$5</f>
        <v>0.38</v>
      </c>
      <c r="D39" s="22" t="n">
        <v>0.3</v>
      </c>
    </row>
    <row r="40" customFormat="false" ht="15" hidden="false" customHeight="false" outlineLevel="0" collapsed="false">
      <c r="A40" s="19" t="n">
        <v>22</v>
      </c>
      <c r="B40" s="19" t="n">
        <f aca="false">Inputs!$B$11+22-1</f>
        <v>2047</v>
      </c>
      <c r="C40" s="22" t="n">
        <f aca="false">Inputs!$B$5</f>
        <v>0.38</v>
      </c>
      <c r="D40" s="22" t="n">
        <v>0.3</v>
      </c>
    </row>
    <row r="41" customFormat="false" ht="15" hidden="false" customHeight="false" outlineLevel="0" collapsed="false">
      <c r="A41" s="19" t="n">
        <v>23</v>
      </c>
      <c r="B41" s="19" t="n">
        <f aca="false">Inputs!$B$11+23-1</f>
        <v>2048</v>
      </c>
      <c r="C41" s="22" t="n">
        <f aca="false">Inputs!$B$5</f>
        <v>0.38</v>
      </c>
      <c r="D41" s="22" t="n">
        <v>0.3</v>
      </c>
    </row>
    <row r="42" customFormat="false" ht="15" hidden="false" customHeight="false" outlineLevel="0" collapsed="false">
      <c r="A42" s="19" t="n">
        <v>24</v>
      </c>
      <c r="B42" s="19" t="n">
        <f aca="false">Inputs!$B$11+24-1</f>
        <v>2049</v>
      </c>
      <c r="C42" s="22" t="n">
        <f aca="false">Inputs!$B$5</f>
        <v>0.38</v>
      </c>
      <c r="D42" s="22" t="n">
        <v>0.3</v>
      </c>
    </row>
    <row r="43" customFormat="false" ht="15" hidden="false" customHeight="false" outlineLevel="0" collapsed="false">
      <c r="A43" s="19" t="n">
        <v>25</v>
      </c>
      <c r="B43" s="19" t="n">
        <f aca="false">Inputs!$B$11+25-1</f>
        <v>2050</v>
      </c>
      <c r="C43" s="22" t="n">
        <f aca="false">Inputs!$B$5</f>
        <v>0.38</v>
      </c>
      <c r="D43" s="22" t="n">
        <v>0.3</v>
      </c>
    </row>
    <row r="44" customFormat="false" ht="15" hidden="false" customHeight="false" outlineLevel="0" collapsed="false">
      <c r="A44" s="19" t="n">
        <v>26</v>
      </c>
      <c r="B44" s="19" t="n">
        <f aca="false">Inputs!$B$11+26-1</f>
        <v>2051</v>
      </c>
      <c r="C44" s="22" t="n">
        <f aca="false">Inputs!$B$5</f>
        <v>0.38</v>
      </c>
      <c r="D44" s="22" t="n">
        <v>0.3</v>
      </c>
    </row>
    <row r="45" customFormat="false" ht="15" hidden="false" customHeight="false" outlineLevel="0" collapsed="false">
      <c r="A45" s="19" t="n">
        <v>27</v>
      </c>
      <c r="B45" s="19" t="n">
        <f aca="false">Inputs!$B$11+27-1</f>
        <v>2052</v>
      </c>
      <c r="C45" s="22" t="n">
        <f aca="false">Inputs!$B$5</f>
        <v>0.38</v>
      </c>
      <c r="D45" s="22" t="n">
        <v>0.3</v>
      </c>
    </row>
    <row r="46" customFormat="false" ht="15" hidden="false" customHeight="false" outlineLevel="0" collapsed="false">
      <c r="A46" s="19" t="n">
        <v>28</v>
      </c>
      <c r="B46" s="19" t="n">
        <f aca="false">Inputs!$B$11+28-1</f>
        <v>2053</v>
      </c>
      <c r="C46" s="22" t="n">
        <f aca="false">Inputs!$B$5</f>
        <v>0.38</v>
      </c>
      <c r="D46" s="22" t="n">
        <v>0.3</v>
      </c>
    </row>
    <row r="47" customFormat="false" ht="15" hidden="false" customHeight="false" outlineLevel="0" collapsed="false">
      <c r="A47" s="19" t="n">
        <v>29</v>
      </c>
      <c r="B47" s="19" t="n">
        <f aca="false">Inputs!$B$11+29-1</f>
        <v>2054</v>
      </c>
      <c r="C47" s="22" t="n">
        <f aca="false">Inputs!$B$5</f>
        <v>0.38</v>
      </c>
      <c r="D47" s="22" t="n">
        <v>0.3</v>
      </c>
    </row>
    <row r="48" customFormat="false" ht="15" hidden="false" customHeight="false" outlineLevel="0" collapsed="false">
      <c r="A48" s="19" t="n">
        <v>30</v>
      </c>
      <c r="B48" s="19" t="n">
        <f aca="false">Inputs!$B$11+30-1</f>
        <v>2055</v>
      </c>
      <c r="C48" s="22" t="n">
        <f aca="false">Inputs!$B$5</f>
        <v>0.38</v>
      </c>
      <c r="D48" s="22" t="n">
        <v>0.3</v>
      </c>
    </row>
    <row r="49" customFormat="false" ht="15" hidden="false" customHeight="false" outlineLevel="0" collapsed="false">
      <c r="A49" s="19" t="n">
        <v>31</v>
      </c>
      <c r="B49" s="19" t="n">
        <f aca="false">Inputs!$B$11+31-1</f>
        <v>2056</v>
      </c>
      <c r="C49" s="22" t="n">
        <f aca="false">Inputs!$B$5</f>
        <v>0.38</v>
      </c>
      <c r="D49" s="22" t="n">
        <v>0.3</v>
      </c>
    </row>
    <row r="50" customFormat="false" ht="15" hidden="false" customHeight="false" outlineLevel="0" collapsed="false">
      <c r="A50" s="19" t="n">
        <v>32</v>
      </c>
      <c r="B50" s="19" t="n">
        <f aca="false">Inputs!$B$11+32-1</f>
        <v>2057</v>
      </c>
      <c r="C50" s="22" t="n">
        <f aca="false">Inputs!$B$5</f>
        <v>0.38</v>
      </c>
      <c r="D50" s="22" t="n">
        <v>0.3</v>
      </c>
    </row>
    <row r="51" customFormat="false" ht="15" hidden="false" customHeight="false" outlineLevel="0" collapsed="false">
      <c r="A51" s="19" t="n">
        <v>33</v>
      </c>
      <c r="B51" s="19" t="n">
        <f aca="false">Inputs!$B$11+33-1</f>
        <v>2058</v>
      </c>
      <c r="C51" s="22" t="n">
        <f aca="false">Inputs!$B$5</f>
        <v>0.38</v>
      </c>
      <c r="D51" s="22" t="n">
        <v>0.3</v>
      </c>
    </row>
    <row r="52" customFormat="false" ht="15" hidden="false" customHeight="false" outlineLevel="0" collapsed="false">
      <c r="A52" s="19" t="n">
        <v>34</v>
      </c>
      <c r="B52" s="19" t="n">
        <f aca="false">Inputs!$B$11+34-1</f>
        <v>2059</v>
      </c>
      <c r="C52" s="22" t="n">
        <f aca="false">Inputs!$B$5</f>
        <v>0.38</v>
      </c>
      <c r="D52" s="22" t="n">
        <v>0.3</v>
      </c>
    </row>
    <row r="53" customFormat="false" ht="15" hidden="false" customHeight="false" outlineLevel="0" collapsed="false">
      <c r="A53" s="19" t="n">
        <v>35</v>
      </c>
      <c r="B53" s="19" t="n">
        <f aca="false">Inputs!$B$11+35-1</f>
        <v>2060</v>
      </c>
      <c r="C53" s="22" t="n">
        <f aca="false">Inputs!$B$5</f>
        <v>0.38</v>
      </c>
      <c r="D53" s="22" t="n">
        <v>0.3</v>
      </c>
    </row>
    <row r="54" customFormat="false" ht="15" hidden="false" customHeight="false" outlineLevel="0" collapsed="false">
      <c r="A54" s="19" t="n">
        <v>36</v>
      </c>
      <c r="B54" s="19" t="n">
        <f aca="false">Inputs!$B$11+36-1</f>
        <v>2061</v>
      </c>
      <c r="C54" s="22" t="n">
        <f aca="false">Inputs!$B$5</f>
        <v>0.38</v>
      </c>
      <c r="D54" s="22" t="n">
        <v>0.3</v>
      </c>
    </row>
    <row r="55" customFormat="false" ht="15" hidden="false" customHeight="false" outlineLevel="0" collapsed="false">
      <c r="A55" s="19" t="n">
        <v>37</v>
      </c>
      <c r="B55" s="19" t="n">
        <f aca="false">Inputs!$B$11+37-1</f>
        <v>2062</v>
      </c>
      <c r="C55" s="22" t="n">
        <f aca="false">Inputs!$B$5</f>
        <v>0.38</v>
      </c>
      <c r="D55" s="22" t="n">
        <v>0.3</v>
      </c>
    </row>
    <row r="56" customFormat="false" ht="15" hidden="false" customHeight="false" outlineLevel="0" collapsed="false">
      <c r="A56" s="19" t="n">
        <v>38</v>
      </c>
      <c r="B56" s="19" t="n">
        <f aca="false">Inputs!$B$11+38-1</f>
        <v>2063</v>
      </c>
      <c r="C56" s="22" t="n">
        <f aca="false">Inputs!$B$5</f>
        <v>0.38</v>
      </c>
      <c r="D56" s="22" t="n">
        <v>0.3</v>
      </c>
    </row>
    <row r="57" customFormat="false" ht="15" hidden="false" customHeight="false" outlineLevel="0" collapsed="false">
      <c r="A57" s="19" t="n">
        <v>39</v>
      </c>
      <c r="B57" s="19" t="n">
        <f aca="false">Inputs!$B$11+39-1</f>
        <v>2064</v>
      </c>
      <c r="C57" s="22" t="n">
        <f aca="false">Inputs!$B$5</f>
        <v>0.38</v>
      </c>
      <c r="D57" s="22" t="n">
        <v>0.3</v>
      </c>
    </row>
    <row r="58" customFormat="false" ht="15" hidden="false" customHeight="false" outlineLevel="0" collapsed="false">
      <c r="A58" s="19" t="n">
        <v>40</v>
      </c>
      <c r="B58" s="19" t="n">
        <f aca="false">Inputs!$B$11+40-1</f>
        <v>2065</v>
      </c>
      <c r="C58" s="22" t="n">
        <f aca="false">Inputs!$B$5</f>
        <v>0.38</v>
      </c>
      <c r="D58" s="22" t="n">
        <v>0.3</v>
      </c>
    </row>
    <row r="60" customFormat="false" ht="30" hidden="false" customHeight="true" outlineLevel="0" collapsed="false">
      <c r="A60" s="4"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W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8"/>
    <col collapsed="false" customWidth="true" hidden="false" outlineLevel="0" max="16" min="4" style="0" width="13"/>
    <col collapsed="false" customWidth="true" hidden="false" outlineLevel="0" max="17" min="17" style="0" width="3"/>
    <col collapsed="false" customWidth="true" hidden="false" outlineLevel="0" max="20" min="18" style="0" width="8"/>
    <col collapsed="false" customWidth="true" hidden="false" outlineLevel="0" max="33" min="21" style="0" width="13"/>
    <col collapsed="false" customWidth="true" hidden="false" outlineLevel="0" max="34" min="34" style="0" width="3"/>
    <col collapsed="false" customWidth="true" hidden="false" outlineLevel="0" max="37" min="35" style="0" width="8"/>
    <col collapsed="false" customWidth="true" hidden="false" outlineLevel="0" max="50" min="38" style="0" width="13"/>
    <col collapsed="false" customWidth="true" hidden="false" outlineLevel="0" max="51" min="51" style="0" width="3"/>
    <col collapsed="false" customWidth="true" hidden="false" outlineLevel="0" max="54" min="52" style="0" width="8"/>
    <col collapsed="false" customWidth="true" hidden="false" outlineLevel="0" max="67" min="55" style="0" width="13"/>
    <col collapsed="false" customWidth="true" hidden="false" outlineLevel="0" max="68" min="68" style="0" width="3"/>
    <col collapsed="false" customWidth="true" hidden="false" outlineLevel="0" max="71" min="69" style="0" width="8"/>
    <col collapsed="false" customWidth="true" hidden="false" outlineLevel="0" max="84" min="72" style="0" width="13"/>
    <col collapsed="false" customWidth="true" hidden="false" outlineLevel="0" max="85" min="85" style="0" width="3"/>
    <col collapsed="false" customWidth="true" hidden="false" outlineLevel="0" max="88" min="86" style="0" width="8"/>
    <col collapsed="false" customWidth="true" hidden="false" outlineLevel="0" max="101" min="89" style="0" width="13"/>
    <col collapsed="false" customWidth="true" hidden="false" outlineLevel="0" max="102" min="102" style="0" width="3"/>
  </cols>
  <sheetData>
    <row r="1" customFormat="false" ht="15" hidden="false" customHeight="false" outlineLevel="0" collapsed="false">
      <c r="A1" s="8" t="s">
        <v>98</v>
      </c>
    </row>
    <row r="2" customFormat="false" ht="15" hidden="false" customHeight="false" outlineLevel="0" collapsed="false">
      <c r="A2" s="6" t="s">
        <v>99</v>
      </c>
    </row>
    <row r="4" customFormat="false" ht="16.15" hidden="false" customHeight="false" outlineLevel="0" collapsed="false">
      <c r="A4" s="5" t="s">
        <v>31</v>
      </c>
      <c r="E4" s="8" t="s">
        <v>100</v>
      </c>
      <c r="F4" s="23" t="n">
        <v>0</v>
      </c>
      <c r="R4" s="5" t="s">
        <v>32</v>
      </c>
      <c r="V4" s="8" t="s">
        <v>100</v>
      </c>
      <c r="W4" s="23" t="n">
        <v>1</v>
      </c>
      <c r="AI4" s="5" t="s">
        <v>33</v>
      </c>
      <c r="AM4" s="8" t="s">
        <v>100</v>
      </c>
      <c r="AN4" s="23" t="n">
        <v>3</v>
      </c>
      <c r="AZ4" s="5" t="s">
        <v>34</v>
      </c>
      <c r="BD4" s="8" t="s">
        <v>100</v>
      </c>
      <c r="BE4" s="23" t="n">
        <v>5</v>
      </c>
      <c r="BQ4" s="5" t="s">
        <v>35</v>
      </c>
      <c r="BU4" s="8" t="s">
        <v>100</v>
      </c>
      <c r="BV4" s="23" t="n">
        <v>8</v>
      </c>
      <c r="CH4" s="5" t="s">
        <v>36</v>
      </c>
      <c r="CL4" s="8" t="s">
        <v>100</v>
      </c>
      <c r="CM4" s="23" t="n">
        <v>10</v>
      </c>
    </row>
    <row r="6" customFormat="false" ht="30" hidden="false" customHeight="true" outlineLevel="0" collapsed="false">
      <c r="A6" s="7" t="s">
        <v>101</v>
      </c>
      <c r="B6" s="7" t="s">
        <v>53</v>
      </c>
      <c r="C6" s="7" t="s">
        <v>54</v>
      </c>
      <c r="D6" s="7" t="s">
        <v>102</v>
      </c>
      <c r="E6" s="7" t="s">
        <v>103</v>
      </c>
      <c r="F6" s="7" t="s">
        <v>104</v>
      </c>
      <c r="G6" s="7" t="s">
        <v>105</v>
      </c>
      <c r="H6" s="7" t="s">
        <v>106</v>
      </c>
      <c r="I6" s="7" t="s">
        <v>107</v>
      </c>
      <c r="J6" s="7" t="s">
        <v>108</v>
      </c>
      <c r="K6" s="7" t="s">
        <v>109</v>
      </c>
      <c r="L6" s="7" t="s">
        <v>110</v>
      </c>
      <c r="M6" s="7" t="s">
        <v>111</v>
      </c>
      <c r="N6" s="7" t="s">
        <v>112</v>
      </c>
      <c r="O6" s="7" t="s">
        <v>113</v>
      </c>
      <c r="P6" s="7" t="s">
        <v>114</v>
      </c>
      <c r="R6" s="7" t="s">
        <v>101</v>
      </c>
      <c r="S6" s="7" t="s">
        <v>53</v>
      </c>
      <c r="T6" s="7" t="s">
        <v>54</v>
      </c>
      <c r="U6" s="7" t="s">
        <v>102</v>
      </c>
      <c r="V6" s="7" t="s">
        <v>103</v>
      </c>
      <c r="W6" s="7" t="s">
        <v>104</v>
      </c>
      <c r="X6" s="7" t="s">
        <v>105</v>
      </c>
      <c r="Y6" s="7" t="s">
        <v>106</v>
      </c>
      <c r="Z6" s="7" t="s">
        <v>107</v>
      </c>
      <c r="AA6" s="7" t="s">
        <v>108</v>
      </c>
      <c r="AB6" s="7" t="s">
        <v>109</v>
      </c>
      <c r="AC6" s="7" t="s">
        <v>110</v>
      </c>
      <c r="AD6" s="7" t="s">
        <v>111</v>
      </c>
      <c r="AE6" s="7" t="s">
        <v>112</v>
      </c>
      <c r="AF6" s="7" t="s">
        <v>113</v>
      </c>
      <c r="AG6" s="7" t="s">
        <v>114</v>
      </c>
      <c r="AI6" s="7" t="s">
        <v>101</v>
      </c>
      <c r="AJ6" s="7" t="s">
        <v>53</v>
      </c>
      <c r="AK6" s="7" t="s">
        <v>54</v>
      </c>
      <c r="AL6" s="7" t="s">
        <v>102</v>
      </c>
      <c r="AM6" s="7" t="s">
        <v>103</v>
      </c>
      <c r="AN6" s="7" t="s">
        <v>104</v>
      </c>
      <c r="AO6" s="7" t="s">
        <v>105</v>
      </c>
      <c r="AP6" s="7" t="s">
        <v>106</v>
      </c>
      <c r="AQ6" s="7" t="s">
        <v>107</v>
      </c>
      <c r="AR6" s="7" t="s">
        <v>108</v>
      </c>
      <c r="AS6" s="7" t="s">
        <v>109</v>
      </c>
      <c r="AT6" s="7" t="s">
        <v>110</v>
      </c>
      <c r="AU6" s="7" t="s">
        <v>111</v>
      </c>
      <c r="AV6" s="7" t="s">
        <v>112</v>
      </c>
      <c r="AW6" s="7" t="s">
        <v>113</v>
      </c>
      <c r="AX6" s="7" t="s">
        <v>114</v>
      </c>
      <c r="AZ6" s="7" t="s">
        <v>101</v>
      </c>
      <c r="BA6" s="7" t="s">
        <v>53</v>
      </c>
      <c r="BB6" s="7" t="s">
        <v>54</v>
      </c>
      <c r="BC6" s="7" t="s">
        <v>102</v>
      </c>
      <c r="BD6" s="7" t="s">
        <v>103</v>
      </c>
      <c r="BE6" s="7" t="s">
        <v>104</v>
      </c>
      <c r="BF6" s="7" t="s">
        <v>105</v>
      </c>
      <c r="BG6" s="7" t="s">
        <v>106</v>
      </c>
      <c r="BH6" s="7" t="s">
        <v>107</v>
      </c>
      <c r="BI6" s="7" t="s">
        <v>108</v>
      </c>
      <c r="BJ6" s="7" t="s">
        <v>109</v>
      </c>
      <c r="BK6" s="7" t="s">
        <v>110</v>
      </c>
      <c r="BL6" s="7" t="s">
        <v>111</v>
      </c>
      <c r="BM6" s="7" t="s">
        <v>112</v>
      </c>
      <c r="BN6" s="7" t="s">
        <v>113</v>
      </c>
      <c r="BO6" s="7" t="s">
        <v>114</v>
      </c>
      <c r="BQ6" s="7" t="s">
        <v>101</v>
      </c>
      <c r="BR6" s="7" t="s">
        <v>53</v>
      </c>
      <c r="BS6" s="7" t="s">
        <v>54</v>
      </c>
      <c r="BT6" s="7" t="s">
        <v>102</v>
      </c>
      <c r="BU6" s="7" t="s">
        <v>103</v>
      </c>
      <c r="BV6" s="7" t="s">
        <v>104</v>
      </c>
      <c r="BW6" s="7" t="s">
        <v>105</v>
      </c>
      <c r="BX6" s="7" t="s">
        <v>106</v>
      </c>
      <c r="BY6" s="7" t="s">
        <v>107</v>
      </c>
      <c r="BZ6" s="7" t="s">
        <v>108</v>
      </c>
      <c r="CA6" s="7" t="s">
        <v>109</v>
      </c>
      <c r="CB6" s="7" t="s">
        <v>110</v>
      </c>
      <c r="CC6" s="7" t="s">
        <v>111</v>
      </c>
      <c r="CD6" s="7" t="s">
        <v>112</v>
      </c>
      <c r="CE6" s="7" t="s">
        <v>113</v>
      </c>
      <c r="CF6" s="7" t="s">
        <v>114</v>
      </c>
      <c r="CH6" s="7" t="s">
        <v>101</v>
      </c>
      <c r="CI6" s="7" t="s">
        <v>53</v>
      </c>
      <c r="CJ6" s="7" t="s">
        <v>54</v>
      </c>
      <c r="CK6" s="7" t="s">
        <v>102</v>
      </c>
      <c r="CL6" s="7" t="s">
        <v>103</v>
      </c>
      <c r="CM6" s="7" t="s">
        <v>104</v>
      </c>
      <c r="CN6" s="7" t="s">
        <v>105</v>
      </c>
      <c r="CO6" s="7" t="s">
        <v>106</v>
      </c>
      <c r="CP6" s="7" t="s">
        <v>107</v>
      </c>
      <c r="CQ6" s="7" t="s">
        <v>108</v>
      </c>
      <c r="CR6" s="7" t="s">
        <v>109</v>
      </c>
      <c r="CS6" s="7" t="s">
        <v>110</v>
      </c>
      <c r="CT6" s="7" t="s">
        <v>111</v>
      </c>
      <c r="CU6" s="7" t="s">
        <v>112</v>
      </c>
      <c r="CV6" s="7" t="s">
        <v>113</v>
      </c>
      <c r="CW6" s="7" t="s">
        <v>114</v>
      </c>
    </row>
    <row r="7" customFormat="false" ht="15" hidden="false" customHeight="false" outlineLevel="0" collapsed="false">
      <c r="A7" s="19" t="n">
        <v>0</v>
      </c>
      <c r="B7" s="9" t="n">
        <f aca="false">Inputs!$B$12</f>
        <v>57</v>
      </c>
      <c r="C7" s="9" t="n">
        <f aca="false">Inputs!$B$11-1</f>
        <v>2025</v>
      </c>
      <c r="I7" s="10" t="n">
        <f aca="false">Inputs!$B$3</f>
        <v>1150000</v>
      </c>
      <c r="J7" s="11" t="n">
        <v>0</v>
      </c>
      <c r="K7" s="10" t="n">
        <f aca="false">Inputs!$B$7</f>
        <v>764750</v>
      </c>
      <c r="L7" s="10" t="n">
        <f aca="false">Inputs!$B$7</f>
        <v>764750</v>
      </c>
      <c r="M7" s="11" t="n">
        <f aca="false">J7+I7*(1-Inputs!$B$6)+K7-(K7-L7)*Inputs!$B$9</f>
        <v>1569750</v>
      </c>
      <c r="N7" s="12" t="n">
        <f aca="false">IF(M7=0,0,J7/(J7+I7+K7))</f>
        <v>0</v>
      </c>
      <c r="R7" s="19" t="n">
        <v>0</v>
      </c>
      <c r="S7" s="9" t="n">
        <f aca="false">Inputs!$B$12</f>
        <v>57</v>
      </c>
      <c r="T7" s="9" t="n">
        <f aca="false">Inputs!$B$11-1</f>
        <v>2025</v>
      </c>
      <c r="Z7" s="10" t="n">
        <f aca="false">Inputs!$B$3</f>
        <v>1150000</v>
      </c>
      <c r="AA7" s="11" t="n">
        <v>0</v>
      </c>
      <c r="AB7" s="10" t="n">
        <f aca="false">Inputs!$B$7</f>
        <v>764750</v>
      </c>
      <c r="AC7" s="10" t="n">
        <f aca="false">Inputs!$B$7</f>
        <v>764750</v>
      </c>
      <c r="AD7" s="11" t="n">
        <f aca="false">AA7+Z7*(1-Inputs!$B$6)+AB7-(AB7-AC7)*Inputs!$B$9</f>
        <v>1569750</v>
      </c>
      <c r="AE7" s="12" t="n">
        <f aca="false">IF(AD7=0,0,AA7/(AA7+Z7+AB7))</f>
        <v>0</v>
      </c>
      <c r="AI7" s="19" t="n">
        <v>0</v>
      </c>
      <c r="AJ7" s="9" t="n">
        <f aca="false">Inputs!$B$12</f>
        <v>57</v>
      </c>
      <c r="AK7" s="9" t="n">
        <f aca="false">Inputs!$B$11-1</f>
        <v>2025</v>
      </c>
      <c r="AQ7" s="10" t="n">
        <f aca="false">Inputs!$B$3</f>
        <v>1150000</v>
      </c>
      <c r="AR7" s="11" t="n">
        <v>0</v>
      </c>
      <c r="AS7" s="10" t="n">
        <f aca="false">Inputs!$B$7</f>
        <v>764750</v>
      </c>
      <c r="AT7" s="10" t="n">
        <f aca="false">Inputs!$B$7</f>
        <v>764750</v>
      </c>
      <c r="AU7" s="11" t="n">
        <f aca="false">AR7+AQ7*(1-Inputs!$B$6)+AS7-(AS7-AT7)*Inputs!$B$9</f>
        <v>1569750</v>
      </c>
      <c r="AV7" s="12" t="n">
        <f aca="false">IF(AU7=0,0,AR7/(AR7+AQ7+AS7))</f>
        <v>0</v>
      </c>
      <c r="AZ7" s="19" t="n">
        <v>0</v>
      </c>
      <c r="BA7" s="9" t="n">
        <f aca="false">Inputs!$B$12</f>
        <v>57</v>
      </c>
      <c r="BB7" s="9" t="n">
        <f aca="false">Inputs!$B$11-1</f>
        <v>2025</v>
      </c>
      <c r="BH7" s="10" t="n">
        <f aca="false">Inputs!$B$3</f>
        <v>1150000</v>
      </c>
      <c r="BI7" s="11" t="n">
        <v>0</v>
      </c>
      <c r="BJ7" s="10" t="n">
        <f aca="false">Inputs!$B$7</f>
        <v>764750</v>
      </c>
      <c r="BK7" s="10" t="n">
        <f aca="false">Inputs!$B$7</f>
        <v>764750</v>
      </c>
      <c r="BL7" s="11" t="n">
        <f aca="false">BI7+BH7*(1-Inputs!$B$6)+BJ7-(BJ7-BK7)*Inputs!$B$9</f>
        <v>1569750</v>
      </c>
      <c r="BM7" s="12" t="n">
        <f aca="false">IF(BL7=0,0,BI7/(BI7+BH7+BJ7))</f>
        <v>0</v>
      </c>
      <c r="BQ7" s="19" t="n">
        <v>0</v>
      </c>
      <c r="BR7" s="9" t="n">
        <f aca="false">Inputs!$B$12</f>
        <v>57</v>
      </c>
      <c r="BS7" s="9" t="n">
        <f aca="false">Inputs!$B$11-1</f>
        <v>2025</v>
      </c>
      <c r="BY7" s="10" t="n">
        <f aca="false">Inputs!$B$3</f>
        <v>1150000</v>
      </c>
      <c r="BZ7" s="11" t="n">
        <v>0</v>
      </c>
      <c r="CA7" s="10" t="n">
        <f aca="false">Inputs!$B$7</f>
        <v>764750</v>
      </c>
      <c r="CB7" s="10" t="n">
        <f aca="false">Inputs!$B$7</f>
        <v>764750</v>
      </c>
      <c r="CC7" s="11" t="n">
        <f aca="false">BZ7+BY7*(1-Inputs!$B$6)+CA7-(CA7-CB7)*Inputs!$B$9</f>
        <v>1569750</v>
      </c>
      <c r="CD7" s="12" t="n">
        <f aca="false">IF(CC7=0,0,BZ7/(BZ7+BY7+CA7))</f>
        <v>0</v>
      </c>
      <c r="CH7" s="19" t="n">
        <v>0</v>
      </c>
      <c r="CI7" s="9" t="n">
        <f aca="false">Inputs!$B$12</f>
        <v>57</v>
      </c>
      <c r="CJ7" s="9" t="n">
        <f aca="false">Inputs!$B$11-1</f>
        <v>2025</v>
      </c>
      <c r="CP7" s="10" t="n">
        <f aca="false">Inputs!$B$3</f>
        <v>1150000</v>
      </c>
      <c r="CQ7" s="11" t="n">
        <v>0</v>
      </c>
      <c r="CR7" s="10" t="n">
        <f aca="false">Inputs!$B$7</f>
        <v>764750</v>
      </c>
      <c r="CS7" s="10" t="n">
        <f aca="false">Inputs!$B$7</f>
        <v>764750</v>
      </c>
      <c r="CT7" s="11" t="n">
        <f aca="false">CQ7+CP7*(1-Inputs!$B$6)+CR7-(CR7-CS7)*Inputs!$B$9</f>
        <v>1569750</v>
      </c>
      <c r="CU7" s="12" t="n">
        <f aca="false">IF(CT7=0,0,CQ7/(CQ7+CP7+CR7))</f>
        <v>0</v>
      </c>
    </row>
    <row r="8" customFormat="false" ht="15" hidden="false" customHeight="false" outlineLevel="0" collapsed="false">
      <c r="A8" s="19" t="n">
        <v>1</v>
      </c>
      <c r="B8" s="19" t="n">
        <f aca="false">B7+1</f>
        <v>58</v>
      </c>
      <c r="C8" s="19" t="n">
        <f aca="false">C7+1</f>
        <v>2026</v>
      </c>
      <c r="D8" s="13" t="n">
        <f aca="false">IF(Inputs!$B$15="B",Inputs!$D$19,Inputs!$C$19)</f>
        <v>0.38</v>
      </c>
      <c r="E8" s="11" t="n">
        <f aca="false">I7</f>
        <v>1150000</v>
      </c>
      <c r="F8" s="11" t="n">
        <f aca="false">IF(A8&lt;=$F$4,E8/($F$4-A8+1),0)</f>
        <v>0</v>
      </c>
      <c r="G8" s="11" t="n">
        <f aca="false">F8*D8</f>
        <v>0</v>
      </c>
      <c r="H8" s="11" t="n">
        <f aca="false">K7-G8</f>
        <v>764750</v>
      </c>
      <c r="I8" s="11" t="n">
        <f aca="false">(E8-F8)*(1+Inputs!$B$4)</f>
        <v>1265000</v>
      </c>
      <c r="J8" s="11" t="n">
        <f aca="false">(J7+F8)*(1+Inputs!$B$4)</f>
        <v>0</v>
      </c>
      <c r="K8" s="11" t="n">
        <f aca="false">H8*(1+Inputs!$B$4*(1-Inputs!$B$8))</f>
        <v>837401.25</v>
      </c>
      <c r="L8" s="11" t="n">
        <f aca="false">IF(K7&lt;=0,0,L7*H8/K7)</f>
        <v>764750</v>
      </c>
      <c r="M8" s="11" t="n">
        <f aca="false">J8+I8*(1-Inputs!$B$6)+K8-(K8-L8)*Inputs!$B$9</f>
        <v>1704011.925</v>
      </c>
      <c r="N8" s="12" t="n">
        <f aca="false">J8/(J8+I8+K8)</f>
        <v>0</v>
      </c>
      <c r="O8" s="19" t="n">
        <f aca="false">IF(M8&gt;M8,1,0)</f>
        <v>0</v>
      </c>
      <c r="P8" s="18" t="str">
        <f aca="false">IF(H8&lt;0,"SHORT","ok")</f>
        <v>ok</v>
      </c>
      <c r="R8" s="19" t="n">
        <v>1</v>
      </c>
      <c r="S8" s="19" t="n">
        <f aca="false">S7+1</f>
        <v>58</v>
      </c>
      <c r="T8" s="19" t="n">
        <f aca="false">T7+1</f>
        <v>2026</v>
      </c>
      <c r="U8" s="13" t="n">
        <f aca="false">IF(Inputs!$B$15="B",Inputs!$D$19,Inputs!$C$19)</f>
        <v>0.38</v>
      </c>
      <c r="V8" s="11" t="n">
        <f aca="false">Z7</f>
        <v>1150000</v>
      </c>
      <c r="W8" s="11" t="n">
        <f aca="false">IF(R8&lt;=$W$4,V8/($W$4-R8+1),0)</f>
        <v>1150000</v>
      </c>
      <c r="X8" s="11" t="n">
        <f aca="false">W8*U8</f>
        <v>437000</v>
      </c>
      <c r="Y8" s="11" t="n">
        <f aca="false">AB7-X8</f>
        <v>327750</v>
      </c>
      <c r="Z8" s="11" t="n">
        <f aca="false">(V8-W8)*(1+Inputs!$B$4)</f>
        <v>0</v>
      </c>
      <c r="AA8" s="11" t="n">
        <f aca="false">(AA7+W8)*(1+Inputs!$B$4)</f>
        <v>1265000</v>
      </c>
      <c r="AB8" s="11" t="n">
        <f aca="false">Y8*(1+Inputs!$B$4*(1-Inputs!$B$8))</f>
        <v>358886.25</v>
      </c>
      <c r="AC8" s="11" t="n">
        <f aca="false">IF(AB7&lt;=0,0,AC7*Y8/AB7)</f>
        <v>327750</v>
      </c>
      <c r="AD8" s="11" t="n">
        <f aca="false">AA8+Z8*(1-Inputs!$B$6)+AB8-(AB8-AC8)*Inputs!$B$9</f>
        <v>1615790.825</v>
      </c>
      <c r="AE8" s="12" t="n">
        <f aca="false">AA8/(AA8+Z8+AB8)</f>
        <v>0.778995449958395</v>
      </c>
      <c r="AF8" s="19" t="n">
        <f aca="false">IF(AD8&gt;M8,1,0)</f>
        <v>0</v>
      </c>
      <c r="AG8" s="18" t="str">
        <f aca="false">IF(Y8&lt;0,"SHORT","ok")</f>
        <v>ok</v>
      </c>
      <c r="AI8" s="19" t="n">
        <v>1</v>
      </c>
      <c r="AJ8" s="19" t="n">
        <f aca="false">AJ7+1</f>
        <v>58</v>
      </c>
      <c r="AK8" s="19" t="n">
        <f aca="false">AK7+1</f>
        <v>2026</v>
      </c>
      <c r="AL8" s="13" t="n">
        <f aca="false">IF(Inputs!$B$15="B",Inputs!$D$19,Inputs!$C$19)</f>
        <v>0.38</v>
      </c>
      <c r="AM8" s="11" t="n">
        <f aca="false">AQ7</f>
        <v>1150000</v>
      </c>
      <c r="AN8" s="11" t="n">
        <f aca="false">IF(AI8&lt;=$AN$4,AM8/($AN$4-AI8+1),0)</f>
        <v>383333.333333333</v>
      </c>
      <c r="AO8" s="11" t="n">
        <f aca="false">AN8*AL8</f>
        <v>145666.666666667</v>
      </c>
      <c r="AP8" s="11" t="n">
        <f aca="false">AS7-AO8</f>
        <v>619083.333333333</v>
      </c>
      <c r="AQ8" s="11" t="n">
        <f aca="false">(AM8-AN8)*(1+Inputs!$B$4)</f>
        <v>843333.333333334</v>
      </c>
      <c r="AR8" s="11" t="n">
        <f aca="false">(AR7+AN8)*(1+Inputs!$B$4)</f>
        <v>421666.666666667</v>
      </c>
      <c r="AS8" s="11" t="n">
        <f aca="false">AP8*(1+Inputs!$B$4*(1-Inputs!$B$8))</f>
        <v>677896.25</v>
      </c>
      <c r="AT8" s="11" t="n">
        <f aca="false">IF(AS7&lt;=0,0,AT7*AP8/AS7)</f>
        <v>619083.333333333</v>
      </c>
      <c r="AU8" s="11" t="n">
        <f aca="false">AR8+AQ8*(1-Inputs!$B$6)+AS8-(AS8-AT8)*Inputs!$B$9</f>
        <v>1674604.89166667</v>
      </c>
      <c r="AV8" s="12" t="n">
        <f aca="false">AR8/(AR8+AQ8+AS8)</f>
        <v>0.217029945199939</v>
      </c>
      <c r="AW8" s="19" t="n">
        <f aca="false">IF(AU8&gt;M8,1,0)</f>
        <v>0</v>
      </c>
      <c r="AX8" s="18" t="str">
        <f aca="false">IF(AP8&lt;0,"SHORT","ok")</f>
        <v>ok</v>
      </c>
      <c r="AZ8" s="19" t="n">
        <v>1</v>
      </c>
      <c r="BA8" s="19" t="n">
        <f aca="false">BA7+1</f>
        <v>58</v>
      </c>
      <c r="BB8" s="19" t="n">
        <f aca="false">BB7+1</f>
        <v>2026</v>
      </c>
      <c r="BC8" s="13" t="n">
        <f aca="false">IF(Inputs!$B$15="B",Inputs!$D$19,Inputs!$C$19)</f>
        <v>0.38</v>
      </c>
      <c r="BD8" s="11" t="n">
        <f aca="false">BH7</f>
        <v>1150000</v>
      </c>
      <c r="BE8" s="11" t="n">
        <f aca="false">IF(AZ8&lt;=$BE$4,BD8/($BE$4-AZ8+1),0)</f>
        <v>230000</v>
      </c>
      <c r="BF8" s="11" t="n">
        <f aca="false">BE8*BC8</f>
        <v>87400</v>
      </c>
      <c r="BG8" s="11" t="n">
        <f aca="false">BJ7-BF8</f>
        <v>677350</v>
      </c>
      <c r="BH8" s="11" t="n">
        <f aca="false">(BD8-BE8)*(1+Inputs!$B$4)</f>
        <v>1012000</v>
      </c>
      <c r="BI8" s="11" t="n">
        <f aca="false">(BI7+BE8)*(1+Inputs!$B$4)</f>
        <v>253000</v>
      </c>
      <c r="BJ8" s="11" t="n">
        <f aca="false">BG8*(1+Inputs!$B$4*(1-Inputs!$B$8))</f>
        <v>741698.25</v>
      </c>
      <c r="BK8" s="11" t="n">
        <f aca="false">IF(BJ7&lt;=0,0,BK7*BG8/BJ7)</f>
        <v>677350</v>
      </c>
      <c r="BL8" s="11" t="n">
        <f aca="false">BI8+BH8*(1-Inputs!$B$6)+BJ8-(BJ8-BK8)*Inputs!$B$9</f>
        <v>1686367.705</v>
      </c>
      <c r="BM8" s="12" t="n">
        <f aca="false">BI8/(BI8+BH8+BJ8)</f>
        <v>0.126077749856013</v>
      </c>
      <c r="BN8" s="19" t="n">
        <f aca="false">IF(BL8&gt;M8,1,0)</f>
        <v>0</v>
      </c>
      <c r="BO8" s="18" t="str">
        <f aca="false">IF(BG8&lt;0,"SHORT","ok")</f>
        <v>ok</v>
      </c>
      <c r="BQ8" s="19" t="n">
        <v>1</v>
      </c>
      <c r="BR8" s="19" t="n">
        <f aca="false">BR7+1</f>
        <v>58</v>
      </c>
      <c r="BS8" s="19" t="n">
        <f aca="false">BS7+1</f>
        <v>2026</v>
      </c>
      <c r="BT8" s="13" t="n">
        <f aca="false">IF(Inputs!$B$15="B",Inputs!$D$19,Inputs!$C$19)</f>
        <v>0.38</v>
      </c>
      <c r="BU8" s="11" t="n">
        <f aca="false">BY7</f>
        <v>1150000</v>
      </c>
      <c r="BV8" s="11" t="n">
        <f aca="false">IF(BQ8&lt;=$BV$4,BU8/($BV$4-BQ8+1),0)</f>
        <v>143750</v>
      </c>
      <c r="BW8" s="11" t="n">
        <f aca="false">BV8*BT8</f>
        <v>54625</v>
      </c>
      <c r="BX8" s="11" t="n">
        <f aca="false">CA7-BW8</f>
        <v>710125</v>
      </c>
      <c r="BY8" s="11" t="n">
        <f aca="false">(BU8-BV8)*(1+Inputs!$B$4)</f>
        <v>1106875</v>
      </c>
      <c r="BZ8" s="11" t="n">
        <f aca="false">(BZ7+BV8)*(1+Inputs!$B$4)</f>
        <v>158125</v>
      </c>
      <c r="CA8" s="11" t="n">
        <f aca="false">BX8*(1+Inputs!$B$4*(1-Inputs!$B$8))</f>
        <v>777586.875</v>
      </c>
      <c r="CB8" s="11" t="n">
        <f aca="false">IF(CA7&lt;=0,0,CB7*BX8/CA7)</f>
        <v>710125</v>
      </c>
      <c r="CC8" s="11" t="n">
        <f aca="false">BZ8+BY8*(1-Inputs!$B$6)+CA8-(CA8-CB8)*Inputs!$B$9</f>
        <v>1692984.2875</v>
      </c>
      <c r="CD8" s="12" t="n">
        <f aca="false">BZ8/(BZ8+BY8+CA8)</f>
        <v>0.0774140879564792</v>
      </c>
      <c r="CE8" s="19" t="n">
        <f aca="false">IF(CC8&gt;M8,1,0)</f>
        <v>0</v>
      </c>
      <c r="CF8" s="18" t="str">
        <f aca="false">IF(BX8&lt;0,"SHORT","ok")</f>
        <v>ok</v>
      </c>
      <c r="CH8" s="19" t="n">
        <v>1</v>
      </c>
      <c r="CI8" s="19" t="n">
        <f aca="false">CI7+1</f>
        <v>58</v>
      </c>
      <c r="CJ8" s="19" t="n">
        <f aca="false">CJ7+1</f>
        <v>2026</v>
      </c>
      <c r="CK8" s="13" t="n">
        <f aca="false">IF(Inputs!$B$15="B",Inputs!$D$19,Inputs!$C$19)</f>
        <v>0.38</v>
      </c>
      <c r="CL8" s="11" t="n">
        <f aca="false">CP7</f>
        <v>1150000</v>
      </c>
      <c r="CM8" s="11" t="n">
        <f aca="false">IF(CH8&lt;=$CM$4,CL8/($CM$4-CH8+1),0)</f>
        <v>115000</v>
      </c>
      <c r="CN8" s="11" t="n">
        <f aca="false">CM8*CK8</f>
        <v>43700</v>
      </c>
      <c r="CO8" s="11" t="n">
        <f aca="false">CR7-CN8</f>
        <v>721050</v>
      </c>
      <c r="CP8" s="11" t="n">
        <f aca="false">(CL8-CM8)*(1+Inputs!$B$4)</f>
        <v>1138500</v>
      </c>
      <c r="CQ8" s="11" t="n">
        <f aca="false">(CQ7+CM8)*(1+Inputs!$B$4)</f>
        <v>126500</v>
      </c>
      <c r="CR8" s="11" t="n">
        <f aca="false">CO8*(1+Inputs!$B$4*(1-Inputs!$B$8))</f>
        <v>789549.75</v>
      </c>
      <c r="CS8" s="11" t="n">
        <f aca="false">IF(CR7&lt;=0,0,CS7*CO8/CR7)</f>
        <v>721050</v>
      </c>
      <c r="CT8" s="11" t="n">
        <f aca="false">CQ8+CP8*(1-Inputs!$B$6)+CR8-(CR8-CS8)*Inputs!$B$9</f>
        <v>1695189.815</v>
      </c>
      <c r="CU8" s="12" t="n">
        <f aca="false">CQ8/(CQ8+CP8+CR8)</f>
        <v>0.0615706677338916</v>
      </c>
      <c r="CV8" s="19" t="n">
        <f aca="false">IF(CT8&gt;M8,1,0)</f>
        <v>0</v>
      </c>
      <c r="CW8" s="18" t="str">
        <f aca="false">IF(CO8&lt;0,"SHORT","ok")</f>
        <v>ok</v>
      </c>
    </row>
    <row r="9" customFormat="false" ht="15" hidden="false" customHeight="false" outlineLevel="0" collapsed="false">
      <c r="A9" s="19" t="n">
        <v>2</v>
      </c>
      <c r="B9" s="19" t="n">
        <f aca="false">B8+1</f>
        <v>59</v>
      </c>
      <c r="C9" s="19" t="n">
        <f aca="false">C8+1</f>
        <v>2027</v>
      </c>
      <c r="D9" s="13" t="n">
        <f aca="false">IF(Inputs!$B$15="B",Inputs!$D$20,Inputs!$C$20)</f>
        <v>0.38</v>
      </c>
      <c r="E9" s="11" t="n">
        <f aca="false">I8</f>
        <v>1265000</v>
      </c>
      <c r="F9" s="11" t="n">
        <f aca="false">IF(A9&lt;=$F$4,E9/($F$4-A9+1),0)</f>
        <v>0</v>
      </c>
      <c r="G9" s="11" t="n">
        <f aca="false">F9*D9</f>
        <v>0</v>
      </c>
      <c r="H9" s="11" t="n">
        <f aca="false">K8-G9</f>
        <v>837401.25</v>
      </c>
      <c r="I9" s="11" t="n">
        <f aca="false">(E9-F9)*(1+Inputs!$B$4)</f>
        <v>1391500</v>
      </c>
      <c r="J9" s="11" t="n">
        <f aca="false">(J8+F9)*(1+Inputs!$B$4)</f>
        <v>0</v>
      </c>
      <c r="K9" s="11" t="n">
        <f aca="false">H9*(1+Inputs!$B$4*(1-Inputs!$B$8))</f>
        <v>916954.36875</v>
      </c>
      <c r="L9" s="11" t="n">
        <f aca="false">IF(K8&lt;=0,0,L8*H9/K8)</f>
        <v>764750</v>
      </c>
      <c r="M9" s="11" t="n">
        <f aca="false">J9+I9*(1-Inputs!$B$6)+K9-(K9-L9)*Inputs!$B$9</f>
        <v>1851431.232875</v>
      </c>
      <c r="N9" s="12" t="n">
        <f aca="false">J9/(J9+I9+K9)</f>
        <v>0</v>
      </c>
      <c r="O9" s="19" t="n">
        <f aca="false">IF(M9&gt;M9,1,0)</f>
        <v>0</v>
      </c>
      <c r="P9" s="18" t="str">
        <f aca="false">IF(H9&lt;0,"SHORT","ok")</f>
        <v>ok</v>
      </c>
      <c r="R9" s="19" t="n">
        <v>2</v>
      </c>
      <c r="S9" s="19" t="n">
        <f aca="false">S8+1</f>
        <v>59</v>
      </c>
      <c r="T9" s="19" t="n">
        <f aca="false">T8+1</f>
        <v>2027</v>
      </c>
      <c r="U9" s="13" t="n">
        <f aca="false">IF(Inputs!$B$15="B",Inputs!$D$20,Inputs!$C$20)</f>
        <v>0.38</v>
      </c>
      <c r="V9" s="11" t="n">
        <f aca="false">Z8</f>
        <v>0</v>
      </c>
      <c r="W9" s="11" t="n">
        <f aca="false">IF(R9&lt;=$W$4,V9/($W$4-R9+1),0)</f>
        <v>0</v>
      </c>
      <c r="X9" s="11" t="n">
        <f aca="false">W9*U9</f>
        <v>0</v>
      </c>
      <c r="Y9" s="11" t="n">
        <f aca="false">AB8-X9</f>
        <v>358886.25</v>
      </c>
      <c r="Z9" s="11" t="n">
        <f aca="false">(V9-W9)*(1+Inputs!$B$4)</f>
        <v>0</v>
      </c>
      <c r="AA9" s="11" t="n">
        <f aca="false">(AA8+W9)*(1+Inputs!$B$4)</f>
        <v>1391500</v>
      </c>
      <c r="AB9" s="11" t="n">
        <f aca="false">Y9*(1+Inputs!$B$4*(1-Inputs!$B$8))</f>
        <v>392980.44375</v>
      </c>
      <c r="AC9" s="11" t="n">
        <f aca="false">IF(AB8&lt;=0,0,AC8*Y9/AB8)</f>
        <v>327750</v>
      </c>
      <c r="AD9" s="11" t="n">
        <f aca="false">AA9+Z9*(1-Inputs!$B$6)+AB9-(AB9-AC9)*Inputs!$B$9</f>
        <v>1767520.528375</v>
      </c>
      <c r="AE9" s="12" t="n">
        <f aca="false">AA9/(AA9+Z9+AB9)</f>
        <v>0.779778789324152</v>
      </c>
      <c r="AF9" s="19" t="n">
        <f aca="false">IF(AD9&gt;M9,1,0)</f>
        <v>0</v>
      </c>
      <c r="AG9" s="18" t="str">
        <f aca="false">IF(Y9&lt;0,"SHORT","ok")</f>
        <v>ok</v>
      </c>
      <c r="AI9" s="19" t="n">
        <v>2</v>
      </c>
      <c r="AJ9" s="19" t="n">
        <f aca="false">AJ8+1</f>
        <v>59</v>
      </c>
      <c r="AK9" s="19" t="n">
        <f aca="false">AK8+1</f>
        <v>2027</v>
      </c>
      <c r="AL9" s="13" t="n">
        <f aca="false">IF(Inputs!$B$15="B",Inputs!$D$20,Inputs!$C$20)</f>
        <v>0.38</v>
      </c>
      <c r="AM9" s="11" t="n">
        <f aca="false">AQ8</f>
        <v>843333.333333334</v>
      </c>
      <c r="AN9" s="11" t="n">
        <f aca="false">IF(AI9&lt;=$AN$4,AM9/($AN$4-AI9+1),0)</f>
        <v>421666.666666667</v>
      </c>
      <c r="AO9" s="11" t="n">
        <f aca="false">AN9*AL9</f>
        <v>160233.333333333</v>
      </c>
      <c r="AP9" s="11" t="n">
        <f aca="false">AS8-AO9</f>
        <v>517662.916666667</v>
      </c>
      <c r="AQ9" s="11" t="n">
        <f aca="false">(AM9-AN9)*(1+Inputs!$B$4)</f>
        <v>463833.333333333</v>
      </c>
      <c r="AR9" s="11" t="n">
        <f aca="false">(AR8+AN9)*(1+Inputs!$B$4)</f>
        <v>927666.666666667</v>
      </c>
      <c r="AS9" s="11" t="n">
        <f aca="false">AP9*(1+Inputs!$B$4*(1-Inputs!$B$8))</f>
        <v>566840.89375</v>
      </c>
      <c r="AT9" s="11" t="n">
        <f aca="false">IF(AS8&lt;=0,0,AT8*AP9/AS8)</f>
        <v>472751.522070015</v>
      </c>
      <c r="AU9" s="11" t="n">
        <f aca="false">AR9+AQ9*(1-Inputs!$B$6)+AS9-(AS9-AT9)*Inputs!$B$9</f>
        <v>1794727.6571132</v>
      </c>
      <c r="AV9" s="12" t="n">
        <f aca="false">AR9/(AR9+AQ9+AS9)</f>
        <v>0.473700298874059</v>
      </c>
      <c r="AW9" s="19" t="n">
        <f aca="false">IF(AU9&gt;M9,1,0)</f>
        <v>0</v>
      </c>
      <c r="AX9" s="18" t="str">
        <f aca="false">IF(AP9&lt;0,"SHORT","ok")</f>
        <v>ok</v>
      </c>
      <c r="AZ9" s="19" t="n">
        <v>2</v>
      </c>
      <c r="BA9" s="19" t="n">
        <f aca="false">BA8+1</f>
        <v>59</v>
      </c>
      <c r="BB9" s="19" t="n">
        <f aca="false">BB8+1</f>
        <v>2027</v>
      </c>
      <c r="BC9" s="13" t="n">
        <f aca="false">IF(Inputs!$B$15="B",Inputs!$D$20,Inputs!$C$20)</f>
        <v>0.38</v>
      </c>
      <c r="BD9" s="11" t="n">
        <f aca="false">BH8</f>
        <v>1012000</v>
      </c>
      <c r="BE9" s="11" t="n">
        <f aca="false">IF(AZ9&lt;=$BE$4,BD9/($BE$4-AZ9+1),0)</f>
        <v>253000</v>
      </c>
      <c r="BF9" s="11" t="n">
        <f aca="false">BE9*BC9</f>
        <v>96140</v>
      </c>
      <c r="BG9" s="11" t="n">
        <f aca="false">BJ8-BF9</f>
        <v>645558.25</v>
      </c>
      <c r="BH9" s="11" t="n">
        <f aca="false">(BD9-BE9)*(1+Inputs!$B$4)</f>
        <v>834900</v>
      </c>
      <c r="BI9" s="11" t="n">
        <f aca="false">(BI8+BE9)*(1+Inputs!$B$4)</f>
        <v>556600</v>
      </c>
      <c r="BJ9" s="11" t="n">
        <f aca="false">BG9*(1+Inputs!$B$4*(1-Inputs!$B$8))</f>
        <v>706886.28375</v>
      </c>
      <c r="BK9" s="11" t="n">
        <f aca="false">IF(BJ8&lt;=0,0,BK8*BG9/BJ8)</f>
        <v>589550.913242009</v>
      </c>
      <c r="BL9" s="11" t="n">
        <f aca="false">BI9+BH9*(1-Inputs!$B$6)+BJ9-(BJ9-BK9)*Inputs!$B$9</f>
        <v>1817409.08741792</v>
      </c>
      <c r="BM9" s="12" t="n">
        <f aca="false">BI9/(BI9+BH9+BJ9)</f>
        <v>0.265251447891333</v>
      </c>
      <c r="BN9" s="19" t="n">
        <f aca="false">IF(BL9&gt;M9,1,0)</f>
        <v>0</v>
      </c>
      <c r="BO9" s="18" t="str">
        <f aca="false">IF(BG9&lt;0,"SHORT","ok")</f>
        <v>ok</v>
      </c>
      <c r="BQ9" s="19" t="n">
        <v>2</v>
      </c>
      <c r="BR9" s="19" t="n">
        <f aca="false">BR8+1</f>
        <v>59</v>
      </c>
      <c r="BS9" s="19" t="n">
        <f aca="false">BS8+1</f>
        <v>2027</v>
      </c>
      <c r="BT9" s="13" t="n">
        <f aca="false">IF(Inputs!$B$15="B",Inputs!$D$20,Inputs!$C$20)</f>
        <v>0.38</v>
      </c>
      <c r="BU9" s="11" t="n">
        <f aca="false">BY8</f>
        <v>1106875</v>
      </c>
      <c r="BV9" s="11" t="n">
        <f aca="false">IF(BQ9&lt;=$BV$4,BU9/($BV$4-BQ9+1),0)</f>
        <v>158125</v>
      </c>
      <c r="BW9" s="11" t="n">
        <f aca="false">BV9*BT9</f>
        <v>60087.5</v>
      </c>
      <c r="BX9" s="11" t="n">
        <f aca="false">CA8-BW9</f>
        <v>717499.375</v>
      </c>
      <c r="BY9" s="11" t="n">
        <f aca="false">(BU9-BV9)*(1+Inputs!$B$4)</f>
        <v>1043625</v>
      </c>
      <c r="BZ9" s="11" t="n">
        <f aca="false">(BZ8+BV9)*(1+Inputs!$B$4)</f>
        <v>347875</v>
      </c>
      <c r="CA9" s="11" t="n">
        <f aca="false">BX9*(1+Inputs!$B$4*(1-Inputs!$B$8))</f>
        <v>785661.815625</v>
      </c>
      <c r="CB9" s="11" t="n">
        <f aca="false">IF(CA8&lt;=0,0,CB8*BX9/CA8)</f>
        <v>655250.570776256</v>
      </c>
      <c r="CC9" s="11" t="n">
        <f aca="false">BZ9+BY9*(1-Inputs!$B$6)+CA9-(CA9-CB9)*Inputs!$B$9</f>
        <v>1830167.39196433</v>
      </c>
      <c r="CD9" s="12" t="n">
        <f aca="false">BZ9/(BZ9+BY9+CA9)</f>
        <v>0.159783713596013</v>
      </c>
      <c r="CE9" s="19" t="n">
        <f aca="false">IF(CC9&gt;M9,1,0)</f>
        <v>0</v>
      </c>
      <c r="CF9" s="18" t="str">
        <f aca="false">IF(BX9&lt;0,"SHORT","ok")</f>
        <v>ok</v>
      </c>
      <c r="CH9" s="19" t="n">
        <v>2</v>
      </c>
      <c r="CI9" s="19" t="n">
        <f aca="false">CI8+1</f>
        <v>59</v>
      </c>
      <c r="CJ9" s="19" t="n">
        <f aca="false">CJ8+1</f>
        <v>2027</v>
      </c>
      <c r="CK9" s="13" t="n">
        <f aca="false">IF(Inputs!$B$15="B",Inputs!$D$20,Inputs!$C$20)</f>
        <v>0.38</v>
      </c>
      <c r="CL9" s="11" t="n">
        <f aca="false">CP8</f>
        <v>1138500</v>
      </c>
      <c r="CM9" s="11" t="n">
        <f aca="false">IF(CH9&lt;=$CM$4,CL9/($CM$4-CH9+1),0)</f>
        <v>126500</v>
      </c>
      <c r="CN9" s="11" t="n">
        <f aca="false">CM9*CK9</f>
        <v>48070</v>
      </c>
      <c r="CO9" s="11" t="n">
        <f aca="false">CR8-CN9</f>
        <v>741479.75</v>
      </c>
      <c r="CP9" s="11" t="n">
        <f aca="false">(CL9-CM9)*(1+Inputs!$B$4)</f>
        <v>1113200</v>
      </c>
      <c r="CQ9" s="11" t="n">
        <f aca="false">(CQ8+CM9)*(1+Inputs!$B$4)</f>
        <v>278300</v>
      </c>
      <c r="CR9" s="11" t="n">
        <f aca="false">CO9*(1+Inputs!$B$4*(1-Inputs!$B$8))</f>
        <v>811920.32625</v>
      </c>
      <c r="CS9" s="11" t="n">
        <f aca="false">IF(CR8&lt;=0,0,CS8*CO9/CR8)</f>
        <v>677150.456621005</v>
      </c>
      <c r="CT9" s="11" t="n">
        <f aca="false">CQ9+CP9*(1-Inputs!$B$6)+CR9-(CR9-CS9)*Inputs!$B$9</f>
        <v>1834420.16014646</v>
      </c>
      <c r="CU9" s="12" t="n">
        <f aca="false">CQ9/(CQ9+CP9+CR9)</f>
        <v>0.126303636525691</v>
      </c>
      <c r="CV9" s="19" t="n">
        <f aca="false">IF(CT9&gt;M9,1,0)</f>
        <v>0</v>
      </c>
      <c r="CW9" s="18" t="str">
        <f aca="false">IF(CO9&lt;0,"SHORT","ok")</f>
        <v>ok</v>
      </c>
    </row>
    <row r="10" customFormat="false" ht="15" hidden="false" customHeight="false" outlineLevel="0" collapsed="false">
      <c r="A10" s="19" t="n">
        <v>3</v>
      </c>
      <c r="B10" s="19" t="n">
        <f aca="false">B9+1</f>
        <v>60</v>
      </c>
      <c r="C10" s="19" t="n">
        <f aca="false">C9+1</f>
        <v>2028</v>
      </c>
      <c r="D10" s="13" t="n">
        <f aca="false">IF(Inputs!$B$15="B",Inputs!$D$21,Inputs!$C$21)</f>
        <v>0.38</v>
      </c>
      <c r="E10" s="11" t="n">
        <f aca="false">I9</f>
        <v>1391500</v>
      </c>
      <c r="F10" s="11" t="n">
        <f aca="false">IF(A10&lt;=$F$4,E10/($F$4-A10+1),0)</f>
        <v>0</v>
      </c>
      <c r="G10" s="11" t="n">
        <f aca="false">F10*D10</f>
        <v>0</v>
      </c>
      <c r="H10" s="11" t="n">
        <f aca="false">K9-G10</f>
        <v>916954.36875</v>
      </c>
      <c r="I10" s="11" t="n">
        <f aca="false">(E10-F10)*(1+Inputs!$B$4)</f>
        <v>1530650</v>
      </c>
      <c r="J10" s="11" t="n">
        <f aca="false">(J9+F10)*(1+Inputs!$B$4)</f>
        <v>0</v>
      </c>
      <c r="K10" s="11" t="n">
        <f aca="false">H10*(1+Inputs!$B$4*(1-Inputs!$B$8))</f>
        <v>1004065.03378125</v>
      </c>
      <c r="L10" s="11" t="n">
        <f aca="false">IF(K9&lt;=0,0,L9*H10/K9)</f>
        <v>764750</v>
      </c>
      <c r="M10" s="11" t="n">
        <f aca="false">J10+I10*(1-Inputs!$B$6)+K10-(K10-L10)*Inputs!$B$9</f>
        <v>2013298.12499813</v>
      </c>
      <c r="N10" s="12" t="n">
        <f aca="false">J10/(J10+I10+K10)</f>
        <v>0</v>
      </c>
      <c r="O10" s="19" t="n">
        <f aca="false">IF(M10&gt;M10,1,0)</f>
        <v>0</v>
      </c>
      <c r="P10" s="18" t="str">
        <f aca="false">IF(H10&lt;0,"SHORT","ok")</f>
        <v>ok</v>
      </c>
      <c r="R10" s="19" t="n">
        <v>3</v>
      </c>
      <c r="S10" s="19" t="n">
        <f aca="false">S9+1</f>
        <v>60</v>
      </c>
      <c r="T10" s="19" t="n">
        <f aca="false">T9+1</f>
        <v>2028</v>
      </c>
      <c r="U10" s="13" t="n">
        <f aca="false">IF(Inputs!$B$15="B",Inputs!$D$21,Inputs!$C$21)</f>
        <v>0.38</v>
      </c>
      <c r="V10" s="11" t="n">
        <f aca="false">Z9</f>
        <v>0</v>
      </c>
      <c r="W10" s="11" t="n">
        <f aca="false">IF(R10&lt;=$W$4,V10/($W$4-R10+1),0)</f>
        <v>0</v>
      </c>
      <c r="X10" s="11" t="n">
        <f aca="false">W10*U10</f>
        <v>0</v>
      </c>
      <c r="Y10" s="11" t="n">
        <f aca="false">AB9-X10</f>
        <v>392980.44375</v>
      </c>
      <c r="Z10" s="11" t="n">
        <f aca="false">(V10-W10)*(1+Inputs!$B$4)</f>
        <v>0</v>
      </c>
      <c r="AA10" s="11" t="n">
        <f aca="false">(AA9+W10)*(1+Inputs!$B$4)</f>
        <v>1530650</v>
      </c>
      <c r="AB10" s="11" t="n">
        <f aca="false">Y10*(1+Inputs!$B$4*(1-Inputs!$B$8))</f>
        <v>430313.58590625</v>
      </c>
      <c r="AC10" s="11" t="n">
        <f aca="false">IF(AB9&lt;=0,0,AC9*Y10/AB9)</f>
        <v>327750</v>
      </c>
      <c r="AD10" s="11" t="n">
        <f aca="false">AA10+Z10*(1-Inputs!$B$6)+AB10-(AB10-AC10)*Inputs!$B$9</f>
        <v>1934297.05357063</v>
      </c>
      <c r="AE10" s="12" t="n">
        <f aca="false">AA10/(AA10+Z10+AB10)</f>
        <v>0.780560134314079</v>
      </c>
      <c r="AF10" s="19" t="n">
        <f aca="false">IF(AD10&gt;M10,1,0)</f>
        <v>0</v>
      </c>
      <c r="AG10" s="18" t="str">
        <f aca="false">IF(Y10&lt;0,"SHORT","ok")</f>
        <v>ok</v>
      </c>
      <c r="AI10" s="19" t="n">
        <v>3</v>
      </c>
      <c r="AJ10" s="19" t="n">
        <f aca="false">AJ9+1</f>
        <v>60</v>
      </c>
      <c r="AK10" s="19" t="n">
        <f aca="false">AK9+1</f>
        <v>2028</v>
      </c>
      <c r="AL10" s="13" t="n">
        <f aca="false">IF(Inputs!$B$15="B",Inputs!$D$21,Inputs!$C$21)</f>
        <v>0.38</v>
      </c>
      <c r="AM10" s="11" t="n">
        <f aca="false">AQ9</f>
        <v>463833.333333333</v>
      </c>
      <c r="AN10" s="11" t="n">
        <f aca="false">IF(AI10&lt;=$AN$4,AM10/($AN$4-AI10+1),0)</f>
        <v>463833.333333333</v>
      </c>
      <c r="AO10" s="11" t="n">
        <f aca="false">AN10*AL10</f>
        <v>176256.666666667</v>
      </c>
      <c r="AP10" s="11" t="n">
        <f aca="false">AS9-AO10</f>
        <v>390584.227083333</v>
      </c>
      <c r="AQ10" s="11" t="n">
        <f aca="false">(AM10-AN10)*(1+Inputs!$B$4)</f>
        <v>0</v>
      </c>
      <c r="AR10" s="11" t="n">
        <f aca="false">(AR9+AN10)*(1+Inputs!$B$4)</f>
        <v>1530650</v>
      </c>
      <c r="AS10" s="11" t="n">
        <f aca="false">AP10*(1+Inputs!$B$4*(1-Inputs!$B$8))</f>
        <v>427689.72865625</v>
      </c>
      <c r="AT10" s="11" t="n">
        <f aca="false">IF(AS9&lt;=0,0,AT9*AP10/AS9)</f>
        <v>325751.529020107</v>
      </c>
      <c r="AU10" s="11" t="n">
        <f aca="false">AR10+AQ10*(1-Inputs!$B$6)+AS10-(AS10-AT10)*Inputs!$B$9</f>
        <v>1931835.79675085</v>
      </c>
      <c r="AV10" s="12" t="n">
        <f aca="false">AR10/(AR10+AQ10+AS10)</f>
        <v>0.781605958150215</v>
      </c>
      <c r="AW10" s="19" t="n">
        <f aca="false">IF(AU10&gt;M10,1,0)</f>
        <v>0</v>
      </c>
      <c r="AX10" s="18" t="str">
        <f aca="false">IF(AP10&lt;0,"SHORT","ok")</f>
        <v>ok</v>
      </c>
      <c r="AZ10" s="19" t="n">
        <v>3</v>
      </c>
      <c r="BA10" s="19" t="n">
        <f aca="false">BA9+1</f>
        <v>60</v>
      </c>
      <c r="BB10" s="19" t="n">
        <f aca="false">BB9+1</f>
        <v>2028</v>
      </c>
      <c r="BC10" s="13" t="n">
        <f aca="false">IF(Inputs!$B$15="B",Inputs!$D$21,Inputs!$C$21)</f>
        <v>0.38</v>
      </c>
      <c r="BD10" s="11" t="n">
        <f aca="false">BH9</f>
        <v>834900</v>
      </c>
      <c r="BE10" s="11" t="n">
        <f aca="false">IF(AZ10&lt;=$BE$4,BD10/($BE$4-AZ10+1),0)</f>
        <v>278300</v>
      </c>
      <c r="BF10" s="11" t="n">
        <f aca="false">BE10*BC10</f>
        <v>105754</v>
      </c>
      <c r="BG10" s="11" t="n">
        <f aca="false">BJ9-BF10</f>
        <v>601132.28375</v>
      </c>
      <c r="BH10" s="11" t="n">
        <f aca="false">(BD10-BE10)*(1+Inputs!$B$4)</f>
        <v>612260</v>
      </c>
      <c r="BI10" s="11" t="n">
        <f aca="false">(BI9+BE10)*(1+Inputs!$B$4)</f>
        <v>918390</v>
      </c>
      <c r="BJ10" s="11" t="n">
        <f aca="false">BG10*(1+Inputs!$B$4*(1-Inputs!$B$8))</f>
        <v>658239.85070625</v>
      </c>
      <c r="BK10" s="11" t="n">
        <f aca="false">IF(BJ9&lt;=0,0,BK9*BG10/BJ9)</f>
        <v>501350.917412064</v>
      </c>
      <c r="BL10" s="11" t="n">
        <f aca="false">BI10+BH10*(1-Inputs!$B$6)+BJ10-(BJ10-BK10)*Inputs!$B$9</f>
        <v>1964420.72804976</v>
      </c>
      <c r="BM10" s="12" t="n">
        <f aca="false">BI10/(BI10+BH10+BJ10)</f>
        <v>0.419568851170688</v>
      </c>
      <c r="BN10" s="19" t="n">
        <f aca="false">IF(BL10&gt;M10,1,0)</f>
        <v>0</v>
      </c>
      <c r="BO10" s="18" t="str">
        <f aca="false">IF(BG10&lt;0,"SHORT","ok")</f>
        <v>ok</v>
      </c>
      <c r="BQ10" s="19" t="n">
        <v>3</v>
      </c>
      <c r="BR10" s="19" t="n">
        <f aca="false">BR9+1</f>
        <v>60</v>
      </c>
      <c r="BS10" s="19" t="n">
        <f aca="false">BS9+1</f>
        <v>2028</v>
      </c>
      <c r="BT10" s="13" t="n">
        <f aca="false">IF(Inputs!$B$15="B",Inputs!$D$21,Inputs!$C$21)</f>
        <v>0.38</v>
      </c>
      <c r="BU10" s="11" t="n">
        <f aca="false">BY9</f>
        <v>1043625</v>
      </c>
      <c r="BV10" s="11" t="n">
        <f aca="false">IF(BQ10&lt;=$BV$4,BU10/($BV$4-BQ10+1),0)</f>
        <v>173937.5</v>
      </c>
      <c r="BW10" s="11" t="n">
        <f aca="false">BV10*BT10</f>
        <v>66096.25</v>
      </c>
      <c r="BX10" s="11" t="n">
        <f aca="false">CA9-BW10</f>
        <v>719565.565625</v>
      </c>
      <c r="BY10" s="11" t="n">
        <f aca="false">(BU10-BV10)*(1+Inputs!$B$4)</f>
        <v>956656.25</v>
      </c>
      <c r="BZ10" s="11" t="n">
        <f aca="false">(BZ9+BV10)*(1+Inputs!$B$4)</f>
        <v>573993.75</v>
      </c>
      <c r="CA10" s="11" t="n">
        <f aca="false">BX10*(1+Inputs!$B$4*(1-Inputs!$B$8))</f>
        <v>787924.294359375</v>
      </c>
      <c r="CB10" s="11" t="n">
        <f aca="false">IF(CA9&lt;=0,0,CB9*BX10/CA9)</f>
        <v>600125.57338254</v>
      </c>
      <c r="CC10" s="11" t="n">
        <f aca="false">BZ10+BY10*(1-Inputs!$B$6)+CA10-(CA10-CB10)*Inputs!$B$9</f>
        <v>1982749.7519054</v>
      </c>
      <c r="CD10" s="12" t="n">
        <f aca="false">BZ10/(BZ10+BY10+CA10)</f>
        <v>0.247563233749469</v>
      </c>
      <c r="CE10" s="19" t="n">
        <f aca="false">IF(CC10&gt;M10,1,0)</f>
        <v>0</v>
      </c>
      <c r="CF10" s="18" t="str">
        <f aca="false">IF(BX10&lt;0,"SHORT","ok")</f>
        <v>ok</v>
      </c>
      <c r="CH10" s="19" t="n">
        <v>3</v>
      </c>
      <c r="CI10" s="19" t="n">
        <f aca="false">CI9+1</f>
        <v>60</v>
      </c>
      <c r="CJ10" s="19" t="n">
        <f aca="false">CJ9+1</f>
        <v>2028</v>
      </c>
      <c r="CK10" s="13" t="n">
        <f aca="false">IF(Inputs!$B$15="B",Inputs!$D$21,Inputs!$C$21)</f>
        <v>0.38</v>
      </c>
      <c r="CL10" s="11" t="n">
        <f aca="false">CP9</f>
        <v>1113200</v>
      </c>
      <c r="CM10" s="11" t="n">
        <f aca="false">IF(CH10&lt;=$CM$4,CL10/($CM$4-CH10+1),0)</f>
        <v>139150</v>
      </c>
      <c r="CN10" s="11" t="n">
        <f aca="false">CM10*CK10</f>
        <v>52877</v>
      </c>
      <c r="CO10" s="11" t="n">
        <f aca="false">CR9-CN10</f>
        <v>759043.32625</v>
      </c>
      <c r="CP10" s="11" t="n">
        <f aca="false">(CL10-CM10)*(1+Inputs!$B$4)</f>
        <v>1071455</v>
      </c>
      <c r="CQ10" s="11" t="n">
        <f aca="false">(CQ9+CM10)*(1+Inputs!$B$4)</f>
        <v>459195</v>
      </c>
      <c r="CR10" s="11" t="n">
        <f aca="false">CO10*(1+Inputs!$B$4*(1-Inputs!$B$8))</f>
        <v>831152.44224375</v>
      </c>
      <c r="CS10" s="11" t="n">
        <f aca="false">IF(CR9&lt;=0,0,CS9*CO10/CR9)</f>
        <v>633050.458706032</v>
      </c>
      <c r="CT10" s="11" t="n">
        <f aca="false">CQ10+CP10*(1-Inputs!$B$6)+CR10-(CR10-CS10)*Inputs!$B$9</f>
        <v>1988859.42652394</v>
      </c>
      <c r="CU10" s="12" t="n">
        <f aca="false">CQ10/(CQ10+CP10+CR10)</f>
        <v>0.194425660583092</v>
      </c>
      <c r="CV10" s="19" t="n">
        <f aca="false">IF(CT10&gt;M10,1,0)</f>
        <v>0</v>
      </c>
      <c r="CW10" s="18" t="str">
        <f aca="false">IF(CO10&lt;0,"SHORT","ok")</f>
        <v>ok</v>
      </c>
    </row>
    <row r="11" customFormat="false" ht="15" hidden="false" customHeight="false" outlineLevel="0" collapsed="false">
      <c r="A11" s="19" t="n">
        <v>4</v>
      </c>
      <c r="B11" s="19" t="n">
        <f aca="false">B10+1</f>
        <v>61</v>
      </c>
      <c r="C11" s="19" t="n">
        <f aca="false">C10+1</f>
        <v>2029</v>
      </c>
      <c r="D11" s="13" t="n">
        <f aca="false">IF(Inputs!$B$15="B",Inputs!$D$22,Inputs!$C$22)</f>
        <v>0.38</v>
      </c>
      <c r="E11" s="11" t="n">
        <f aca="false">I10</f>
        <v>1530650</v>
      </c>
      <c r="F11" s="11" t="n">
        <f aca="false">IF(A11&lt;=$F$4,E11/($F$4-A11+1),0)</f>
        <v>0</v>
      </c>
      <c r="G11" s="11" t="n">
        <f aca="false">F11*D11</f>
        <v>0</v>
      </c>
      <c r="H11" s="11" t="n">
        <f aca="false">K10-G11</f>
        <v>1004065.03378125</v>
      </c>
      <c r="I11" s="11" t="n">
        <f aca="false">(E11-F11)*(1+Inputs!$B$4)</f>
        <v>1683715</v>
      </c>
      <c r="J11" s="11" t="n">
        <f aca="false">(J10+F11)*(1+Inputs!$B$4)</f>
        <v>0</v>
      </c>
      <c r="K11" s="11" t="n">
        <f aca="false">H11*(1+Inputs!$B$4*(1-Inputs!$B$8))</f>
        <v>1099451.21199047</v>
      </c>
      <c r="L11" s="11" t="n">
        <f aca="false">IF(K10&lt;=0,0,L10*H11/K10)</f>
        <v>764750</v>
      </c>
      <c r="M11" s="11" t="n">
        <f aca="false">J11+I11*(1-Inputs!$B$6)+K11-(K11-L11)*Inputs!$B$9</f>
        <v>2191029.39687295</v>
      </c>
      <c r="N11" s="12" t="n">
        <f aca="false">J11/(J11+I11+K11)</f>
        <v>0</v>
      </c>
      <c r="O11" s="19" t="n">
        <f aca="false">IF(M11&gt;M11,1,0)</f>
        <v>0</v>
      </c>
      <c r="P11" s="18" t="str">
        <f aca="false">IF(H11&lt;0,"SHORT","ok")</f>
        <v>ok</v>
      </c>
      <c r="R11" s="19" t="n">
        <v>4</v>
      </c>
      <c r="S11" s="19" t="n">
        <f aca="false">S10+1</f>
        <v>61</v>
      </c>
      <c r="T11" s="19" t="n">
        <f aca="false">T10+1</f>
        <v>2029</v>
      </c>
      <c r="U11" s="13" t="n">
        <f aca="false">IF(Inputs!$B$15="B",Inputs!$D$22,Inputs!$C$22)</f>
        <v>0.38</v>
      </c>
      <c r="V11" s="11" t="n">
        <f aca="false">Z10</f>
        <v>0</v>
      </c>
      <c r="W11" s="11" t="n">
        <f aca="false">IF(R11&lt;=$W$4,V11/($W$4-R11+1),0)</f>
        <v>0</v>
      </c>
      <c r="X11" s="11" t="n">
        <f aca="false">W11*U11</f>
        <v>0</v>
      </c>
      <c r="Y11" s="11" t="n">
        <f aca="false">AB10-X11</f>
        <v>430313.58590625</v>
      </c>
      <c r="Z11" s="11" t="n">
        <f aca="false">(V11-W11)*(1+Inputs!$B$4)</f>
        <v>0</v>
      </c>
      <c r="AA11" s="11" t="n">
        <f aca="false">(AA10+W11)*(1+Inputs!$B$4)</f>
        <v>1683715</v>
      </c>
      <c r="AB11" s="11" t="n">
        <f aca="false">Y11*(1+Inputs!$B$4*(1-Inputs!$B$8))</f>
        <v>471193.376567344</v>
      </c>
      <c r="AC11" s="11" t="n">
        <f aca="false">IF(AB10&lt;=0,0,AC10*Y11/AB10)</f>
        <v>327750</v>
      </c>
      <c r="AD11" s="11" t="n">
        <f aca="false">AA11+Z11*(1-Inputs!$B$6)+AB11-(AB11-AC11)*Inputs!$B$9</f>
        <v>2117613.09865984</v>
      </c>
      <c r="AE11" s="12" t="n">
        <f aca="false">AA11/(AA11+Z11+AB11)</f>
        <v>0.781339484457372</v>
      </c>
      <c r="AF11" s="19" t="n">
        <f aca="false">IF(AD11&gt;M11,1,0)</f>
        <v>0</v>
      </c>
      <c r="AG11" s="18" t="str">
        <f aca="false">IF(Y11&lt;0,"SHORT","ok")</f>
        <v>ok</v>
      </c>
      <c r="AI11" s="19" t="n">
        <v>4</v>
      </c>
      <c r="AJ11" s="19" t="n">
        <f aca="false">AJ10+1</f>
        <v>61</v>
      </c>
      <c r="AK11" s="19" t="n">
        <f aca="false">AK10+1</f>
        <v>2029</v>
      </c>
      <c r="AL11" s="13" t="n">
        <f aca="false">IF(Inputs!$B$15="B",Inputs!$D$22,Inputs!$C$22)</f>
        <v>0.38</v>
      </c>
      <c r="AM11" s="11" t="n">
        <f aca="false">AQ10</f>
        <v>0</v>
      </c>
      <c r="AN11" s="11" t="n">
        <f aca="false">IF(AI11&lt;=$AN$4,AM11/($AN$4-AI11+1),0)</f>
        <v>0</v>
      </c>
      <c r="AO11" s="11" t="n">
        <f aca="false">AN11*AL11</f>
        <v>0</v>
      </c>
      <c r="AP11" s="11" t="n">
        <f aca="false">AS10-AO11</f>
        <v>427689.72865625</v>
      </c>
      <c r="AQ11" s="11" t="n">
        <f aca="false">(AM11-AN11)*(1+Inputs!$B$4)</f>
        <v>0</v>
      </c>
      <c r="AR11" s="11" t="n">
        <f aca="false">(AR10+AN11)*(1+Inputs!$B$4)</f>
        <v>1683715</v>
      </c>
      <c r="AS11" s="11" t="n">
        <f aca="false">AP11*(1+Inputs!$B$4*(1-Inputs!$B$8))</f>
        <v>468320.252878594</v>
      </c>
      <c r="AT11" s="11" t="n">
        <f aca="false">IF(AS10&lt;=0,0,AT10*AP11/AS10)</f>
        <v>325751.529020107</v>
      </c>
      <c r="AU11" s="11" t="n">
        <f aca="false">AR11+AQ11*(1-Inputs!$B$6)+AS11-(AS11-AT11)*Inputs!$B$9</f>
        <v>2114967.38467539</v>
      </c>
      <c r="AV11" s="12" t="n">
        <f aca="false">AR11/(AR11+AQ11+AS11)</f>
        <v>0.782382629535385</v>
      </c>
      <c r="AW11" s="19" t="n">
        <f aca="false">IF(AU11&gt;M11,1,0)</f>
        <v>0</v>
      </c>
      <c r="AX11" s="18" t="str">
        <f aca="false">IF(AP11&lt;0,"SHORT","ok")</f>
        <v>ok</v>
      </c>
      <c r="AZ11" s="19" t="n">
        <v>4</v>
      </c>
      <c r="BA11" s="19" t="n">
        <f aca="false">BA10+1</f>
        <v>61</v>
      </c>
      <c r="BB11" s="19" t="n">
        <f aca="false">BB10+1</f>
        <v>2029</v>
      </c>
      <c r="BC11" s="13" t="n">
        <f aca="false">IF(Inputs!$B$15="B",Inputs!$D$22,Inputs!$C$22)</f>
        <v>0.38</v>
      </c>
      <c r="BD11" s="11" t="n">
        <f aca="false">BH10</f>
        <v>612260</v>
      </c>
      <c r="BE11" s="11" t="n">
        <f aca="false">IF(AZ11&lt;=$BE$4,BD11/($BE$4-AZ11+1),0)</f>
        <v>306130</v>
      </c>
      <c r="BF11" s="11" t="n">
        <f aca="false">BE11*BC11</f>
        <v>116329.4</v>
      </c>
      <c r="BG11" s="11" t="n">
        <f aca="false">BJ10-BF11</f>
        <v>541910.45070625</v>
      </c>
      <c r="BH11" s="11" t="n">
        <f aca="false">(BD11-BE11)*(1+Inputs!$B$4)</f>
        <v>336743</v>
      </c>
      <c r="BI11" s="11" t="n">
        <f aca="false">(BI10+BE11)*(1+Inputs!$B$4)</f>
        <v>1346972</v>
      </c>
      <c r="BJ11" s="11" t="n">
        <f aca="false">BG11*(1+Inputs!$B$4*(1-Inputs!$B$8))</f>
        <v>593391.943523344</v>
      </c>
      <c r="BK11" s="11" t="n">
        <f aca="false">IF(BJ10&lt;=0,0,BK10*BG11/BJ10)</f>
        <v>412748.181875133</v>
      </c>
      <c r="BL11" s="11" t="n">
        <f aca="false">BI11+BH11*(1-Inputs!$B$6)+BJ11-(BJ11-BK11)*Inputs!$B$9</f>
        <v>2129116.66549481</v>
      </c>
      <c r="BM11" s="12" t="n">
        <f aca="false">BI11/(BI11+BH11+BJ11)</f>
        <v>0.591527773357822</v>
      </c>
      <c r="BN11" s="19" t="n">
        <f aca="false">IF(BL11&gt;M11,1,0)</f>
        <v>0</v>
      </c>
      <c r="BO11" s="18" t="str">
        <f aca="false">IF(BG11&lt;0,"SHORT","ok")</f>
        <v>ok</v>
      </c>
      <c r="BQ11" s="19" t="n">
        <v>4</v>
      </c>
      <c r="BR11" s="19" t="n">
        <f aca="false">BR10+1</f>
        <v>61</v>
      </c>
      <c r="BS11" s="19" t="n">
        <f aca="false">BS10+1</f>
        <v>2029</v>
      </c>
      <c r="BT11" s="13" t="n">
        <f aca="false">IF(Inputs!$B$15="B",Inputs!$D$22,Inputs!$C$22)</f>
        <v>0.38</v>
      </c>
      <c r="BU11" s="11" t="n">
        <f aca="false">BY10</f>
        <v>956656.25</v>
      </c>
      <c r="BV11" s="11" t="n">
        <f aca="false">IF(BQ11&lt;=$BV$4,BU11/($BV$4-BQ11+1),0)</f>
        <v>191331.25</v>
      </c>
      <c r="BW11" s="11" t="n">
        <f aca="false">BV11*BT11</f>
        <v>72705.875</v>
      </c>
      <c r="BX11" s="11" t="n">
        <f aca="false">CA10-BW11</f>
        <v>715218.419359375</v>
      </c>
      <c r="BY11" s="11" t="n">
        <f aca="false">(BU11-BV11)*(1+Inputs!$B$4)</f>
        <v>841857.5</v>
      </c>
      <c r="BZ11" s="11" t="n">
        <f aca="false">(BZ10+BV11)*(1+Inputs!$B$4)</f>
        <v>841857.5</v>
      </c>
      <c r="CA11" s="11" t="n">
        <f aca="false">BX11*(1+Inputs!$B$4*(1-Inputs!$B$8))</f>
        <v>783164.169198516</v>
      </c>
      <c r="CB11" s="11" t="n">
        <f aca="false">IF(CA10&lt;=0,0,CB10*BX11/CA10)</f>
        <v>544748.863671958</v>
      </c>
      <c r="CC11" s="11" t="n">
        <f aca="false">BZ11+BY11*(1-Inputs!$B$6)+CA11-(CA11-CB11)*Inputs!$B$9</f>
        <v>2152333.93976161</v>
      </c>
      <c r="CD11" s="12" t="n">
        <f aca="false">BZ11/(BZ11+BY11+CA11)</f>
        <v>0.341264181282749</v>
      </c>
      <c r="CE11" s="19" t="n">
        <f aca="false">IF(CC11&gt;M11,1,0)</f>
        <v>0</v>
      </c>
      <c r="CF11" s="18" t="str">
        <f aca="false">IF(BX11&lt;0,"SHORT","ok")</f>
        <v>ok</v>
      </c>
      <c r="CH11" s="19" t="n">
        <v>4</v>
      </c>
      <c r="CI11" s="19" t="n">
        <f aca="false">CI10+1</f>
        <v>61</v>
      </c>
      <c r="CJ11" s="19" t="n">
        <f aca="false">CJ10+1</f>
        <v>2029</v>
      </c>
      <c r="CK11" s="13" t="n">
        <f aca="false">IF(Inputs!$B$15="B",Inputs!$D$22,Inputs!$C$22)</f>
        <v>0.38</v>
      </c>
      <c r="CL11" s="11" t="n">
        <f aca="false">CP10</f>
        <v>1071455</v>
      </c>
      <c r="CM11" s="11" t="n">
        <f aca="false">IF(CH11&lt;=$CM$4,CL11/($CM$4-CH11+1),0)</f>
        <v>153065</v>
      </c>
      <c r="CN11" s="11" t="n">
        <f aca="false">CM11*CK11</f>
        <v>58164.7</v>
      </c>
      <c r="CO11" s="11" t="n">
        <f aca="false">CR10-CN11</f>
        <v>772987.74224375</v>
      </c>
      <c r="CP11" s="11" t="n">
        <f aca="false">(CL11-CM11)*(1+Inputs!$B$4)</f>
        <v>1010229</v>
      </c>
      <c r="CQ11" s="11" t="n">
        <f aca="false">(CQ10+CM11)*(1+Inputs!$B$4)</f>
        <v>673486</v>
      </c>
      <c r="CR11" s="11" t="n">
        <f aca="false">CO11*(1+Inputs!$B$4*(1-Inputs!$B$8))</f>
        <v>846421.577756906</v>
      </c>
      <c r="CS11" s="11" t="n">
        <f aca="false">IF(CR10&lt;=0,0,CS10*CO11/CR10)</f>
        <v>588749.090937566</v>
      </c>
      <c r="CT11" s="11" t="n">
        <f aca="false">CQ11+CP11*(1-Inputs!$B$6)+CR11-(CR11-CS11)*Inputs!$B$9</f>
        <v>2160073.03118388</v>
      </c>
      <c r="CU11" s="12" t="n">
        <f aca="false">CQ11/(CQ11+CP11+CR11)</f>
        <v>0.266185630420426</v>
      </c>
      <c r="CV11" s="19" t="n">
        <f aca="false">IF(CT11&gt;M11,1,0)</f>
        <v>0</v>
      </c>
      <c r="CW11" s="18" t="str">
        <f aca="false">IF(CO11&lt;0,"SHORT","ok")</f>
        <v>ok</v>
      </c>
    </row>
    <row r="12" customFormat="false" ht="15" hidden="false" customHeight="false" outlineLevel="0" collapsed="false">
      <c r="A12" s="19" t="n">
        <v>5</v>
      </c>
      <c r="B12" s="19" t="n">
        <f aca="false">B11+1</f>
        <v>62</v>
      </c>
      <c r="C12" s="19" t="n">
        <f aca="false">C11+1</f>
        <v>2030</v>
      </c>
      <c r="D12" s="13" t="n">
        <f aca="false">IF(Inputs!$B$15="B",Inputs!$D$23,Inputs!$C$23)</f>
        <v>0.38</v>
      </c>
      <c r="E12" s="11" t="n">
        <f aca="false">I11</f>
        <v>1683715</v>
      </c>
      <c r="F12" s="11" t="n">
        <f aca="false">IF(A12&lt;=$F$4,E12/($F$4-A12+1),0)</f>
        <v>0</v>
      </c>
      <c r="G12" s="11" t="n">
        <f aca="false">F12*D12</f>
        <v>0</v>
      </c>
      <c r="H12" s="11" t="n">
        <f aca="false">K11-G12</f>
        <v>1099451.21199047</v>
      </c>
      <c r="I12" s="11" t="n">
        <f aca="false">(E12-F12)*(1+Inputs!$B$4)</f>
        <v>1852086.5</v>
      </c>
      <c r="J12" s="11" t="n">
        <f aca="false">(J11+F12)*(1+Inputs!$B$4)</f>
        <v>0</v>
      </c>
      <c r="K12" s="11" t="n">
        <f aca="false">H12*(1+Inputs!$B$4*(1-Inputs!$B$8))</f>
        <v>1203899.07712956</v>
      </c>
      <c r="L12" s="11" t="n">
        <f aca="false">IF(K11&lt;=0,0,L11*H12/K11)</f>
        <v>764750</v>
      </c>
      <c r="M12" s="11" t="n">
        <f aca="false">J12+I12*(1-Inputs!$B$6)+K12-(K12-L12)*Inputs!$B$9</f>
        <v>2386180.86707588</v>
      </c>
      <c r="N12" s="12" t="n">
        <f aca="false">J12/(J12+I12+K12)</f>
        <v>0</v>
      </c>
      <c r="O12" s="19" t="n">
        <f aca="false">IF(M12&gt;M12,1,0)</f>
        <v>0</v>
      </c>
      <c r="P12" s="18" t="str">
        <f aca="false">IF(H12&lt;0,"SHORT","ok")</f>
        <v>ok</v>
      </c>
      <c r="R12" s="19" t="n">
        <v>5</v>
      </c>
      <c r="S12" s="19" t="n">
        <f aca="false">S11+1</f>
        <v>62</v>
      </c>
      <c r="T12" s="19" t="n">
        <f aca="false">T11+1</f>
        <v>2030</v>
      </c>
      <c r="U12" s="13" t="n">
        <f aca="false">IF(Inputs!$B$15="B",Inputs!$D$23,Inputs!$C$23)</f>
        <v>0.38</v>
      </c>
      <c r="V12" s="11" t="n">
        <f aca="false">Z11</f>
        <v>0</v>
      </c>
      <c r="W12" s="11" t="n">
        <f aca="false">IF(R12&lt;=$W$4,V12/($W$4-R12+1),0)</f>
        <v>0</v>
      </c>
      <c r="X12" s="11" t="n">
        <f aca="false">W12*U12</f>
        <v>0</v>
      </c>
      <c r="Y12" s="11" t="n">
        <f aca="false">AB11-X12</f>
        <v>471193.376567344</v>
      </c>
      <c r="Z12" s="11" t="n">
        <f aca="false">(V12-W12)*(1+Inputs!$B$4)</f>
        <v>0</v>
      </c>
      <c r="AA12" s="11" t="n">
        <f aca="false">(AA11+W12)*(1+Inputs!$B$4)</f>
        <v>1852086.5</v>
      </c>
      <c r="AB12" s="11" t="n">
        <f aca="false">Y12*(1+Inputs!$B$4*(1-Inputs!$B$8))</f>
        <v>515956.747341241</v>
      </c>
      <c r="AC12" s="11" t="n">
        <f aca="false">IF(AB11&lt;=0,0,AC11*Y12/AB11)</f>
        <v>327750</v>
      </c>
      <c r="AD12" s="11" t="n">
        <f aca="false">AA12+Z12*(1-Inputs!$B$6)+AB12-(AB12-AC12)*Inputs!$B$9</f>
        <v>2319109.49303252</v>
      </c>
      <c r="AE12" s="12" t="n">
        <f aca="false">AA12/(AA12+Z12+AB12)</f>
        <v>0.782116839326925</v>
      </c>
      <c r="AF12" s="19" t="n">
        <f aca="false">IF(AD12&gt;M12,1,0)</f>
        <v>0</v>
      </c>
      <c r="AG12" s="18" t="str">
        <f aca="false">IF(Y12&lt;0,"SHORT","ok")</f>
        <v>ok</v>
      </c>
      <c r="AI12" s="19" t="n">
        <v>5</v>
      </c>
      <c r="AJ12" s="19" t="n">
        <f aca="false">AJ11+1</f>
        <v>62</v>
      </c>
      <c r="AK12" s="19" t="n">
        <f aca="false">AK11+1</f>
        <v>2030</v>
      </c>
      <c r="AL12" s="13" t="n">
        <f aca="false">IF(Inputs!$B$15="B",Inputs!$D$23,Inputs!$C$23)</f>
        <v>0.38</v>
      </c>
      <c r="AM12" s="11" t="n">
        <f aca="false">AQ11</f>
        <v>0</v>
      </c>
      <c r="AN12" s="11" t="n">
        <f aca="false">IF(AI12&lt;=$AN$4,AM12/($AN$4-AI12+1),0)</f>
        <v>0</v>
      </c>
      <c r="AO12" s="11" t="n">
        <f aca="false">AN12*AL12</f>
        <v>0</v>
      </c>
      <c r="AP12" s="11" t="n">
        <f aca="false">AS11-AO12</f>
        <v>468320.252878594</v>
      </c>
      <c r="AQ12" s="11" t="n">
        <f aca="false">(AM12-AN12)*(1+Inputs!$B$4)</f>
        <v>0</v>
      </c>
      <c r="AR12" s="11" t="n">
        <f aca="false">(AR11+AN12)*(1+Inputs!$B$4)</f>
        <v>1852086.5</v>
      </c>
      <c r="AS12" s="11" t="n">
        <f aca="false">AP12*(1+Inputs!$B$4*(1-Inputs!$B$8))</f>
        <v>512810.67690206</v>
      </c>
      <c r="AT12" s="11" t="n">
        <f aca="false">IF(AS11&lt;=0,0,AT11*AP12/AS11)</f>
        <v>325751.529020107</v>
      </c>
      <c r="AU12" s="11" t="n">
        <f aca="false">AR12+AQ12*(1-Inputs!$B$6)+AS12-(AS12-AT12)*Inputs!$B$9</f>
        <v>2316261.79845275</v>
      </c>
      <c r="AV12" s="12" t="n">
        <f aca="false">AR12/(AR12+AQ12+AS12)</f>
        <v>0.783157305141771</v>
      </c>
      <c r="AW12" s="19" t="n">
        <f aca="false">IF(AU12&gt;M12,1,0)</f>
        <v>0</v>
      </c>
      <c r="AX12" s="18" t="str">
        <f aca="false">IF(AP12&lt;0,"SHORT","ok")</f>
        <v>ok</v>
      </c>
      <c r="AZ12" s="19" t="n">
        <v>5</v>
      </c>
      <c r="BA12" s="19" t="n">
        <f aca="false">BA11+1</f>
        <v>62</v>
      </c>
      <c r="BB12" s="19" t="n">
        <f aca="false">BB11+1</f>
        <v>2030</v>
      </c>
      <c r="BC12" s="13" t="n">
        <f aca="false">IF(Inputs!$B$15="B",Inputs!$D$23,Inputs!$C$23)</f>
        <v>0.38</v>
      </c>
      <c r="BD12" s="11" t="n">
        <f aca="false">BH11</f>
        <v>336743</v>
      </c>
      <c r="BE12" s="11" t="n">
        <f aca="false">IF(AZ12&lt;=$BE$4,BD12/($BE$4-AZ12+1),0)</f>
        <v>336743</v>
      </c>
      <c r="BF12" s="11" t="n">
        <f aca="false">BE12*BC12</f>
        <v>127962.34</v>
      </c>
      <c r="BG12" s="11" t="n">
        <f aca="false">BJ11-BF12</f>
        <v>465429.603523344</v>
      </c>
      <c r="BH12" s="11" t="n">
        <f aca="false">(BD12-BE12)*(1+Inputs!$B$4)</f>
        <v>0</v>
      </c>
      <c r="BI12" s="11" t="n">
        <f aca="false">(BI11+BE12)*(1+Inputs!$B$4)</f>
        <v>1852086.5</v>
      </c>
      <c r="BJ12" s="11" t="n">
        <f aca="false">BG12*(1+Inputs!$B$4*(1-Inputs!$B$8))</f>
        <v>509645.415858061</v>
      </c>
      <c r="BK12" s="11" t="n">
        <f aca="false">IF(BJ11&lt;=0,0,BK11*BG12/BJ11)</f>
        <v>323740.86763712</v>
      </c>
      <c r="BL12" s="11" t="n">
        <f aca="false">BI12+BH12*(1-Inputs!$B$6)+BJ12-(BJ12-BK12)*Inputs!$B$9</f>
        <v>2313396.73332062</v>
      </c>
      <c r="BM12" s="12" t="n">
        <f aca="false">BI12/(BI12+BH12+BJ12)</f>
        <v>0.784206915088033</v>
      </c>
      <c r="BN12" s="19" t="n">
        <f aca="false">IF(BL12&gt;M12,1,0)</f>
        <v>0</v>
      </c>
      <c r="BO12" s="18" t="str">
        <f aca="false">IF(BG12&lt;0,"SHORT","ok")</f>
        <v>ok</v>
      </c>
      <c r="BQ12" s="19" t="n">
        <v>5</v>
      </c>
      <c r="BR12" s="19" t="n">
        <f aca="false">BR11+1</f>
        <v>62</v>
      </c>
      <c r="BS12" s="19" t="n">
        <f aca="false">BS11+1</f>
        <v>2030</v>
      </c>
      <c r="BT12" s="13" t="n">
        <f aca="false">IF(Inputs!$B$15="B",Inputs!$D$23,Inputs!$C$23)</f>
        <v>0.38</v>
      </c>
      <c r="BU12" s="11" t="n">
        <f aca="false">BY11</f>
        <v>841857.5</v>
      </c>
      <c r="BV12" s="11" t="n">
        <f aca="false">IF(BQ12&lt;=$BV$4,BU12/($BV$4-BQ12+1),0)</f>
        <v>210464.375</v>
      </c>
      <c r="BW12" s="11" t="n">
        <f aca="false">BV12*BT12</f>
        <v>79976.4625</v>
      </c>
      <c r="BX12" s="11" t="n">
        <f aca="false">CA11-BW12</f>
        <v>703187.706698516</v>
      </c>
      <c r="BY12" s="11" t="n">
        <f aca="false">(BU12-BV12)*(1+Inputs!$B$4)</f>
        <v>694532.4375</v>
      </c>
      <c r="BZ12" s="11" t="n">
        <f aca="false">(BZ11+BV12)*(1+Inputs!$B$4)</f>
        <v>1157554.0625</v>
      </c>
      <c r="CA12" s="11" t="n">
        <f aca="false">BX12*(1+Inputs!$B$4*(1-Inputs!$B$8))</f>
        <v>769990.538834874</v>
      </c>
      <c r="CB12" s="11" t="n">
        <f aca="false">IF(CA11&lt;=0,0,CB11*BX12/CA11)</f>
        <v>489119.2922732</v>
      </c>
      <c r="CC12" s="11" t="n">
        <f aca="false">BZ12+BY12*(1-Inputs!$B$6)+CA12-(CA12-CB12)*Inputs!$B$9</f>
        <v>2340690.78347884</v>
      </c>
      <c r="CD12" s="12" t="n">
        <f aca="false">BZ12/(BZ12+BY12+CA12)</f>
        <v>0.441464550947886</v>
      </c>
      <c r="CE12" s="19" t="n">
        <f aca="false">IF(CC12&gt;M12,1,0)</f>
        <v>0</v>
      </c>
      <c r="CF12" s="18" t="str">
        <f aca="false">IF(BX12&lt;0,"SHORT","ok")</f>
        <v>ok</v>
      </c>
      <c r="CH12" s="19" t="n">
        <v>5</v>
      </c>
      <c r="CI12" s="19" t="n">
        <f aca="false">CI11+1</f>
        <v>62</v>
      </c>
      <c r="CJ12" s="19" t="n">
        <f aca="false">CJ11+1</f>
        <v>2030</v>
      </c>
      <c r="CK12" s="13" t="n">
        <f aca="false">IF(Inputs!$B$15="B",Inputs!$D$23,Inputs!$C$23)</f>
        <v>0.38</v>
      </c>
      <c r="CL12" s="11" t="n">
        <f aca="false">CP11</f>
        <v>1010229</v>
      </c>
      <c r="CM12" s="11" t="n">
        <f aca="false">IF(CH12&lt;=$CM$4,CL12/($CM$4-CH12+1),0)</f>
        <v>168371.5</v>
      </c>
      <c r="CN12" s="11" t="n">
        <f aca="false">CM12*CK12</f>
        <v>63981.17</v>
      </c>
      <c r="CO12" s="11" t="n">
        <f aca="false">CR11-CN12</f>
        <v>782440.407756906</v>
      </c>
      <c r="CP12" s="11" t="n">
        <f aca="false">(CL12-CM12)*(1+Inputs!$B$4)</f>
        <v>926043.25</v>
      </c>
      <c r="CQ12" s="11" t="n">
        <f aca="false">(CQ11+CM12)*(1+Inputs!$B$4)</f>
        <v>926043.25</v>
      </c>
      <c r="CR12" s="11" t="n">
        <f aca="false">CO12*(1+Inputs!$B$4*(1-Inputs!$B$8))</f>
        <v>856772.246493812</v>
      </c>
      <c r="CS12" s="11" t="n">
        <f aca="false">IF(CR11&lt;=0,0,CS11*CO12/CR11)</f>
        <v>544245.43381856</v>
      </c>
      <c r="CT12" s="11" t="n">
        <f aca="false">CQ12+CP12*(1-Inputs!$B$6)+CR12-(CR12-CS12)*Inputs!$B$9</f>
        <v>2349788.80019825</v>
      </c>
      <c r="CU12" s="12" t="n">
        <f aca="false">CQ12/(CQ12+CP12+CR12)</f>
        <v>0.341857341656746</v>
      </c>
      <c r="CV12" s="19" t="n">
        <f aca="false">IF(CT12&gt;M12,1,0)</f>
        <v>0</v>
      </c>
      <c r="CW12" s="18" t="str">
        <f aca="false">IF(CO12&lt;0,"SHORT","ok")</f>
        <v>ok</v>
      </c>
    </row>
    <row r="13" customFormat="false" ht="15" hidden="false" customHeight="false" outlineLevel="0" collapsed="false">
      <c r="A13" s="19" t="n">
        <v>6</v>
      </c>
      <c r="B13" s="19" t="n">
        <f aca="false">B12+1</f>
        <v>63</v>
      </c>
      <c r="C13" s="19" t="n">
        <f aca="false">C12+1</f>
        <v>2031</v>
      </c>
      <c r="D13" s="13" t="n">
        <f aca="false">IF(Inputs!$B$15="B",Inputs!$D$24,Inputs!$C$24)</f>
        <v>0.38</v>
      </c>
      <c r="E13" s="11" t="n">
        <f aca="false">I12</f>
        <v>1852086.5</v>
      </c>
      <c r="F13" s="11" t="n">
        <f aca="false">IF(A13&lt;=$F$4,E13/($F$4-A13+1),0)</f>
        <v>0</v>
      </c>
      <c r="G13" s="11" t="n">
        <f aca="false">F13*D13</f>
        <v>0</v>
      </c>
      <c r="H13" s="11" t="n">
        <f aca="false">K12-G13</f>
        <v>1203899.07712956</v>
      </c>
      <c r="I13" s="11" t="n">
        <f aca="false">(E13-F13)*(1+Inputs!$B$4)</f>
        <v>2037295.15</v>
      </c>
      <c r="J13" s="11" t="n">
        <f aca="false">(J12+F13)*(1+Inputs!$B$4)</f>
        <v>0</v>
      </c>
      <c r="K13" s="11" t="n">
        <f aca="false">H13*(1+Inputs!$B$4*(1-Inputs!$B$8))</f>
        <v>1318269.48945687</v>
      </c>
      <c r="L13" s="11" t="n">
        <f aca="false">IF(K12&lt;=0,0,L12*H13/K12)</f>
        <v>764750</v>
      </c>
      <c r="M13" s="11" t="n">
        <f aca="false">J13+I13*(1-Inputs!$B$6)+K13-(K13-L13)*Inputs!$B$9</f>
        <v>2600461.02719809</v>
      </c>
      <c r="N13" s="12" t="n">
        <f aca="false">J13/(J13+I13+K13)</f>
        <v>0</v>
      </c>
      <c r="O13" s="19" t="n">
        <f aca="false">IF(M13&gt;M13,1,0)</f>
        <v>0</v>
      </c>
      <c r="P13" s="18" t="str">
        <f aca="false">IF(H13&lt;0,"SHORT","ok")</f>
        <v>ok</v>
      </c>
      <c r="R13" s="19" t="n">
        <v>6</v>
      </c>
      <c r="S13" s="19" t="n">
        <f aca="false">S12+1</f>
        <v>63</v>
      </c>
      <c r="T13" s="19" t="n">
        <f aca="false">T12+1</f>
        <v>2031</v>
      </c>
      <c r="U13" s="13" t="n">
        <f aca="false">IF(Inputs!$B$15="B",Inputs!$D$24,Inputs!$C$24)</f>
        <v>0.38</v>
      </c>
      <c r="V13" s="11" t="n">
        <f aca="false">Z12</f>
        <v>0</v>
      </c>
      <c r="W13" s="11" t="n">
        <f aca="false">IF(R13&lt;=$W$4,V13/($W$4-R13+1),0)</f>
        <v>0</v>
      </c>
      <c r="X13" s="11" t="n">
        <f aca="false">W13*U13</f>
        <v>0</v>
      </c>
      <c r="Y13" s="11" t="n">
        <f aca="false">AB12-X13</f>
        <v>515956.747341241</v>
      </c>
      <c r="Z13" s="11" t="n">
        <f aca="false">(V13-W13)*(1+Inputs!$B$4)</f>
        <v>0</v>
      </c>
      <c r="AA13" s="11" t="n">
        <f aca="false">(AA12+W13)*(1+Inputs!$B$4)</f>
        <v>2037295.15</v>
      </c>
      <c r="AB13" s="11" t="n">
        <f aca="false">Y13*(1+Inputs!$B$4*(1-Inputs!$B$8))</f>
        <v>564972.638338659</v>
      </c>
      <c r="AC13" s="11" t="n">
        <f aca="false">IF(AB12&lt;=0,0,AC12*Y13/AB12)</f>
        <v>327750</v>
      </c>
      <c r="AD13" s="11" t="n">
        <f aca="false">AA13+Z13*(1-Inputs!$B$6)+AB13-(AB13-AC13)*Inputs!$B$9</f>
        <v>2540589.90237061</v>
      </c>
      <c r="AE13" s="12" t="n">
        <f aca="false">AA13/(AA13+Z13+AB13)</f>
        <v>0.782892198539125</v>
      </c>
      <c r="AF13" s="19" t="n">
        <f aca="false">IF(AD13&gt;M13,1,0)</f>
        <v>0</v>
      </c>
      <c r="AG13" s="18" t="str">
        <f aca="false">IF(Y13&lt;0,"SHORT","ok")</f>
        <v>ok</v>
      </c>
      <c r="AI13" s="19" t="n">
        <v>6</v>
      </c>
      <c r="AJ13" s="19" t="n">
        <f aca="false">AJ12+1</f>
        <v>63</v>
      </c>
      <c r="AK13" s="19" t="n">
        <f aca="false">AK12+1</f>
        <v>2031</v>
      </c>
      <c r="AL13" s="13" t="n">
        <f aca="false">IF(Inputs!$B$15="B",Inputs!$D$24,Inputs!$C$24)</f>
        <v>0.38</v>
      </c>
      <c r="AM13" s="11" t="n">
        <f aca="false">AQ12</f>
        <v>0</v>
      </c>
      <c r="AN13" s="11" t="n">
        <f aca="false">IF(AI13&lt;=$AN$4,AM13/($AN$4-AI13+1),0)</f>
        <v>0</v>
      </c>
      <c r="AO13" s="11" t="n">
        <f aca="false">AN13*AL13</f>
        <v>0</v>
      </c>
      <c r="AP13" s="11" t="n">
        <f aca="false">AS12-AO13</f>
        <v>512810.67690206</v>
      </c>
      <c r="AQ13" s="11" t="n">
        <f aca="false">(AM13-AN13)*(1+Inputs!$B$4)</f>
        <v>0</v>
      </c>
      <c r="AR13" s="11" t="n">
        <f aca="false">(AR12+AN13)*(1+Inputs!$B$4)</f>
        <v>2037295.15</v>
      </c>
      <c r="AS13" s="11" t="n">
        <f aca="false">AP13*(1+Inputs!$B$4*(1-Inputs!$B$8))</f>
        <v>561527.691207756</v>
      </c>
      <c r="AT13" s="11" t="n">
        <f aca="false">IF(AS12&lt;=0,0,AT12*AP13/AS12)</f>
        <v>325751.529020107</v>
      </c>
      <c r="AU13" s="11" t="n">
        <f aca="false">AR13+AQ13*(1-Inputs!$B$6)+AS13-(AS13-AT13)*Inputs!$B$9</f>
        <v>2537521.03903897</v>
      </c>
      <c r="AV13" s="12" t="n">
        <f aca="false">AR13/(AR13+AQ13+AS13)</f>
        <v>0.783929984643819</v>
      </c>
      <c r="AW13" s="19" t="n">
        <f aca="false">IF(AU13&gt;M13,1,0)</f>
        <v>0</v>
      </c>
      <c r="AX13" s="18" t="str">
        <f aca="false">IF(AP13&lt;0,"SHORT","ok")</f>
        <v>ok</v>
      </c>
      <c r="AZ13" s="19" t="n">
        <v>6</v>
      </c>
      <c r="BA13" s="19" t="n">
        <f aca="false">BA12+1</f>
        <v>63</v>
      </c>
      <c r="BB13" s="19" t="n">
        <f aca="false">BB12+1</f>
        <v>2031</v>
      </c>
      <c r="BC13" s="13" t="n">
        <f aca="false">IF(Inputs!$B$15="B",Inputs!$D$24,Inputs!$C$24)</f>
        <v>0.38</v>
      </c>
      <c r="BD13" s="11" t="n">
        <f aca="false">BH12</f>
        <v>0</v>
      </c>
      <c r="BE13" s="11" t="n">
        <f aca="false">IF(AZ13&lt;=$BE$4,BD13/($BE$4-AZ13+1),0)</f>
        <v>0</v>
      </c>
      <c r="BF13" s="11" t="n">
        <f aca="false">BE13*BC13</f>
        <v>0</v>
      </c>
      <c r="BG13" s="11" t="n">
        <f aca="false">BJ12-BF13</f>
        <v>509645.415858061</v>
      </c>
      <c r="BH13" s="11" t="n">
        <f aca="false">(BD13-BE13)*(1+Inputs!$B$4)</f>
        <v>0</v>
      </c>
      <c r="BI13" s="11" t="n">
        <f aca="false">(BI12+BE13)*(1+Inputs!$B$4)</f>
        <v>2037295.15</v>
      </c>
      <c r="BJ13" s="11" t="n">
        <f aca="false">BG13*(1+Inputs!$B$4*(1-Inputs!$B$8))</f>
        <v>558061.730364577</v>
      </c>
      <c r="BK13" s="11" t="n">
        <f aca="false">IF(BJ12&lt;=0,0,BK12*BG13/BJ12)</f>
        <v>323740.86763712</v>
      </c>
      <c r="BL13" s="11" t="n">
        <f aca="false">BI13+BH13*(1-Inputs!$B$6)+BJ13-(BJ13-BK13)*Inputs!$B$9</f>
        <v>2534433.45605544</v>
      </c>
      <c r="BM13" s="12" t="n">
        <f aca="false">BI13/(BI13+BH13+BJ13)</f>
        <v>0.784976881373561</v>
      </c>
      <c r="BN13" s="19" t="n">
        <f aca="false">IF(BL13&gt;M13,1,0)</f>
        <v>0</v>
      </c>
      <c r="BO13" s="18" t="str">
        <f aca="false">IF(BG13&lt;0,"SHORT","ok")</f>
        <v>ok</v>
      </c>
      <c r="BQ13" s="19" t="n">
        <v>6</v>
      </c>
      <c r="BR13" s="19" t="n">
        <f aca="false">BR12+1</f>
        <v>63</v>
      </c>
      <c r="BS13" s="19" t="n">
        <f aca="false">BS12+1</f>
        <v>2031</v>
      </c>
      <c r="BT13" s="13" t="n">
        <f aca="false">IF(Inputs!$B$15="B",Inputs!$D$24,Inputs!$C$24)</f>
        <v>0.38</v>
      </c>
      <c r="BU13" s="11" t="n">
        <f aca="false">BY12</f>
        <v>694532.4375</v>
      </c>
      <c r="BV13" s="11" t="n">
        <f aca="false">IF(BQ13&lt;=$BV$4,BU13/($BV$4-BQ13+1),0)</f>
        <v>231510.8125</v>
      </c>
      <c r="BW13" s="11" t="n">
        <f aca="false">BV13*BT13</f>
        <v>87974.10875</v>
      </c>
      <c r="BX13" s="11" t="n">
        <f aca="false">CA12-BW13</f>
        <v>682016.430084874</v>
      </c>
      <c r="BY13" s="11" t="n">
        <f aca="false">(BU13-BV13)*(1+Inputs!$B$4)</f>
        <v>509323.7875</v>
      </c>
      <c r="BZ13" s="11" t="n">
        <f aca="false">(BZ12+BV13)*(1+Inputs!$B$4)</f>
        <v>1527971.3625</v>
      </c>
      <c r="CA13" s="11" t="n">
        <f aca="false">BX13*(1+Inputs!$B$4*(1-Inputs!$B$8))</f>
        <v>746807.990942937</v>
      </c>
      <c r="CB13" s="11" t="n">
        <f aca="false">IF(CA12&lt;=0,0,CB12*BX13/CA12)</f>
        <v>433235.704566685</v>
      </c>
      <c r="CC13" s="11" t="n">
        <f aca="false">BZ13+BY13*(1-Inputs!$B$6)+CA13-(CA13-CB13)*Inputs!$B$9</f>
        <v>2549777.21023511</v>
      </c>
      <c r="CD13" s="12" t="n">
        <f aca="false">BZ13/(BZ13+BY13+CA13)</f>
        <v>0.548819955708429</v>
      </c>
      <c r="CE13" s="19" t="n">
        <f aca="false">IF(CC13&gt;M13,1,0)</f>
        <v>0</v>
      </c>
      <c r="CF13" s="18" t="str">
        <f aca="false">IF(BX13&lt;0,"SHORT","ok")</f>
        <v>ok</v>
      </c>
      <c r="CH13" s="19" t="n">
        <v>6</v>
      </c>
      <c r="CI13" s="19" t="n">
        <f aca="false">CI12+1</f>
        <v>63</v>
      </c>
      <c r="CJ13" s="19" t="n">
        <f aca="false">CJ12+1</f>
        <v>2031</v>
      </c>
      <c r="CK13" s="13" t="n">
        <f aca="false">IF(Inputs!$B$15="B",Inputs!$D$24,Inputs!$C$24)</f>
        <v>0.38</v>
      </c>
      <c r="CL13" s="11" t="n">
        <f aca="false">CP12</f>
        <v>926043.25</v>
      </c>
      <c r="CM13" s="11" t="n">
        <f aca="false">IF(CH13&lt;=$CM$4,CL13/($CM$4-CH13+1),0)</f>
        <v>185208.65</v>
      </c>
      <c r="CN13" s="11" t="n">
        <f aca="false">CM13*CK13</f>
        <v>70379.287</v>
      </c>
      <c r="CO13" s="11" t="n">
        <f aca="false">CR12-CN13</f>
        <v>786392.959493812</v>
      </c>
      <c r="CP13" s="11" t="n">
        <f aca="false">(CL13-CM13)*(1+Inputs!$B$4)</f>
        <v>814918.06</v>
      </c>
      <c r="CQ13" s="11" t="n">
        <f aca="false">(CQ12+CM13)*(1+Inputs!$B$4)</f>
        <v>1222377.09</v>
      </c>
      <c r="CR13" s="11" t="n">
        <f aca="false">CO13*(1+Inputs!$B$4*(1-Inputs!$B$8))</f>
        <v>861100.290645724</v>
      </c>
      <c r="CS13" s="11" t="n">
        <f aca="false">IF(CR12&lt;=0,0,CS12*CO13/CR12)</f>
        <v>499538.563653348</v>
      </c>
      <c r="CT13" s="11" t="n">
        <f aca="false">CQ13+CP13*(1-Inputs!$B$6)+CR13-(CR13-CS13)*Inputs!$B$9</f>
        <v>2559913.97362771</v>
      </c>
      <c r="CU13" s="12" t="n">
        <f aca="false">CQ13/(CQ13+CP13+CR13)</f>
        <v>0.42174269006153</v>
      </c>
      <c r="CV13" s="19" t="n">
        <f aca="false">IF(CT13&gt;M13,1,0)</f>
        <v>0</v>
      </c>
      <c r="CW13" s="18" t="str">
        <f aca="false">IF(CO13&lt;0,"SHORT","ok")</f>
        <v>ok</v>
      </c>
    </row>
    <row r="14" customFormat="false" ht="15" hidden="false" customHeight="false" outlineLevel="0" collapsed="false">
      <c r="A14" s="19" t="n">
        <v>7</v>
      </c>
      <c r="B14" s="19" t="n">
        <f aca="false">B13+1</f>
        <v>64</v>
      </c>
      <c r="C14" s="19" t="n">
        <f aca="false">C13+1</f>
        <v>2032</v>
      </c>
      <c r="D14" s="13" t="n">
        <f aca="false">IF(Inputs!$B$15="B",Inputs!$D$25,Inputs!$C$25)</f>
        <v>0.38</v>
      </c>
      <c r="E14" s="11" t="n">
        <f aca="false">I13</f>
        <v>2037295.15</v>
      </c>
      <c r="F14" s="11" t="n">
        <f aca="false">IF(A14&lt;=$F$4,E14/($F$4-A14+1),0)</f>
        <v>0</v>
      </c>
      <c r="G14" s="11" t="n">
        <f aca="false">F14*D14</f>
        <v>0</v>
      </c>
      <c r="H14" s="11" t="n">
        <f aca="false">K13-G14</f>
        <v>1318269.48945687</v>
      </c>
      <c r="I14" s="11" t="n">
        <f aca="false">(E14-F14)*(1+Inputs!$B$4)</f>
        <v>2241024.665</v>
      </c>
      <c r="J14" s="11" t="n">
        <f aca="false">(J13+F14)*(1+Inputs!$B$4)</f>
        <v>0</v>
      </c>
      <c r="K14" s="11" t="n">
        <f aca="false">H14*(1+Inputs!$B$4*(1-Inputs!$B$8))</f>
        <v>1443505.09095527</v>
      </c>
      <c r="L14" s="11" t="n">
        <f aca="false">IF(K13&lt;=0,0,L13*H14/K13)</f>
        <v>764750</v>
      </c>
      <c r="M14" s="11" t="n">
        <f aca="false">J14+I14*(1-Inputs!$B$6)+K14-(K14-L14)*Inputs!$B$9</f>
        <v>2835746.0328069</v>
      </c>
      <c r="N14" s="12" t="n">
        <f aca="false">J14/(J14+I14+K14)</f>
        <v>0</v>
      </c>
      <c r="O14" s="19" t="n">
        <f aca="false">IF(M14&gt;M14,1,0)</f>
        <v>0</v>
      </c>
      <c r="P14" s="18" t="str">
        <f aca="false">IF(H14&lt;0,"SHORT","ok")</f>
        <v>ok</v>
      </c>
      <c r="R14" s="19" t="n">
        <v>7</v>
      </c>
      <c r="S14" s="19" t="n">
        <f aca="false">S13+1</f>
        <v>64</v>
      </c>
      <c r="T14" s="19" t="n">
        <f aca="false">T13+1</f>
        <v>2032</v>
      </c>
      <c r="U14" s="13" t="n">
        <f aca="false">IF(Inputs!$B$15="B",Inputs!$D$25,Inputs!$C$25)</f>
        <v>0.38</v>
      </c>
      <c r="V14" s="11" t="n">
        <f aca="false">Z13</f>
        <v>0</v>
      </c>
      <c r="W14" s="11" t="n">
        <f aca="false">IF(R14&lt;=$W$4,V14/($W$4-R14+1),0)</f>
        <v>0</v>
      </c>
      <c r="X14" s="11" t="n">
        <f aca="false">W14*U14</f>
        <v>0</v>
      </c>
      <c r="Y14" s="11" t="n">
        <f aca="false">AB13-X14</f>
        <v>564972.638338659</v>
      </c>
      <c r="Z14" s="11" t="n">
        <f aca="false">(V14-W14)*(1+Inputs!$B$4)</f>
        <v>0</v>
      </c>
      <c r="AA14" s="11" t="n">
        <f aca="false">(AA13+W14)*(1+Inputs!$B$4)</f>
        <v>2241024.665</v>
      </c>
      <c r="AB14" s="11" t="n">
        <f aca="false">Y14*(1+Inputs!$B$4*(1-Inputs!$B$8))</f>
        <v>618645.038980832</v>
      </c>
      <c r="AC14" s="11" t="n">
        <f aca="false">IF(AB13&lt;=0,0,AC13*Y14/AB13)</f>
        <v>327750</v>
      </c>
      <c r="AD14" s="11" t="n">
        <f aca="false">AA14+Z14*(1-Inputs!$B$6)+AB14-(AB14-AC14)*Inputs!$B$9</f>
        <v>2784036.99384582</v>
      </c>
      <c r="AE14" s="12" t="n">
        <f aca="false">AA14/(AA14+Z14+AB14)</f>
        <v>0.783665561753639</v>
      </c>
      <c r="AF14" s="19" t="n">
        <f aca="false">IF(AD14&gt;M14,1,0)</f>
        <v>0</v>
      </c>
      <c r="AG14" s="18" t="str">
        <f aca="false">IF(Y14&lt;0,"SHORT","ok")</f>
        <v>ok</v>
      </c>
      <c r="AI14" s="19" t="n">
        <v>7</v>
      </c>
      <c r="AJ14" s="19" t="n">
        <f aca="false">AJ13+1</f>
        <v>64</v>
      </c>
      <c r="AK14" s="19" t="n">
        <f aca="false">AK13+1</f>
        <v>2032</v>
      </c>
      <c r="AL14" s="13" t="n">
        <f aca="false">IF(Inputs!$B$15="B",Inputs!$D$25,Inputs!$C$25)</f>
        <v>0.38</v>
      </c>
      <c r="AM14" s="11" t="n">
        <f aca="false">AQ13</f>
        <v>0</v>
      </c>
      <c r="AN14" s="11" t="n">
        <f aca="false">IF(AI14&lt;=$AN$4,AM14/($AN$4-AI14+1),0)</f>
        <v>0</v>
      </c>
      <c r="AO14" s="11" t="n">
        <f aca="false">AN14*AL14</f>
        <v>0</v>
      </c>
      <c r="AP14" s="11" t="n">
        <f aca="false">AS13-AO14</f>
        <v>561527.691207756</v>
      </c>
      <c r="AQ14" s="11" t="n">
        <f aca="false">(AM14-AN14)*(1+Inputs!$B$4)</f>
        <v>0</v>
      </c>
      <c r="AR14" s="11" t="n">
        <f aca="false">(AR13+AN14)*(1+Inputs!$B$4)</f>
        <v>2241024.665</v>
      </c>
      <c r="AS14" s="11" t="n">
        <f aca="false">AP14*(1+Inputs!$B$4*(1-Inputs!$B$8))</f>
        <v>614872.821872492</v>
      </c>
      <c r="AT14" s="11" t="n">
        <f aca="false">IF(AS13&lt;=0,0,AT13*AP14/AS13)</f>
        <v>325751.529020107</v>
      </c>
      <c r="AU14" s="11" t="n">
        <f aca="false">AR14+AQ14*(1-Inputs!$B$6)+AS14-(AS14-AT14)*Inputs!$B$9</f>
        <v>2780725.95073087</v>
      </c>
      <c r="AV14" s="12" t="n">
        <f aca="false">AR14/(AR14+AQ14+AS14)</f>
        <v>0.784700667758967</v>
      </c>
      <c r="AW14" s="19" t="n">
        <f aca="false">IF(AU14&gt;M14,1,0)</f>
        <v>0</v>
      </c>
      <c r="AX14" s="18" t="str">
        <f aca="false">IF(AP14&lt;0,"SHORT","ok")</f>
        <v>ok</v>
      </c>
      <c r="AZ14" s="19" t="n">
        <v>7</v>
      </c>
      <c r="BA14" s="19" t="n">
        <f aca="false">BA13+1</f>
        <v>64</v>
      </c>
      <c r="BB14" s="19" t="n">
        <f aca="false">BB13+1</f>
        <v>2032</v>
      </c>
      <c r="BC14" s="13" t="n">
        <f aca="false">IF(Inputs!$B$15="B",Inputs!$D$25,Inputs!$C$25)</f>
        <v>0.38</v>
      </c>
      <c r="BD14" s="11" t="n">
        <f aca="false">BH13</f>
        <v>0</v>
      </c>
      <c r="BE14" s="11" t="n">
        <f aca="false">IF(AZ14&lt;=$BE$4,BD14/($BE$4-AZ14+1),0)</f>
        <v>0</v>
      </c>
      <c r="BF14" s="11" t="n">
        <f aca="false">BE14*BC14</f>
        <v>0</v>
      </c>
      <c r="BG14" s="11" t="n">
        <f aca="false">BJ13-BF14</f>
        <v>558061.730364577</v>
      </c>
      <c r="BH14" s="11" t="n">
        <f aca="false">(BD14-BE14)*(1+Inputs!$B$4)</f>
        <v>0</v>
      </c>
      <c r="BI14" s="11" t="n">
        <f aca="false">(BI13+BE14)*(1+Inputs!$B$4)</f>
        <v>2241024.665</v>
      </c>
      <c r="BJ14" s="11" t="n">
        <f aca="false">BG14*(1+Inputs!$B$4*(1-Inputs!$B$8))</f>
        <v>611077.594749212</v>
      </c>
      <c r="BK14" s="11" t="n">
        <f aca="false">IF(BJ13&lt;=0,0,BK13*BG14/BJ13)</f>
        <v>323740.86763712</v>
      </c>
      <c r="BL14" s="11" t="n">
        <f aca="false">BI14+BH14*(1-Inputs!$B$6)+BJ14-(BJ14-BK14)*Inputs!$B$9</f>
        <v>2777394.71070007</v>
      </c>
      <c r="BM14" s="12" t="n">
        <f aca="false">BI14/(BI14+BH14+BJ14)</f>
        <v>0.785744850956731</v>
      </c>
      <c r="BN14" s="19" t="n">
        <f aca="false">IF(BL14&gt;M14,1,0)</f>
        <v>0</v>
      </c>
      <c r="BO14" s="18" t="str">
        <f aca="false">IF(BG14&lt;0,"SHORT","ok")</f>
        <v>ok</v>
      </c>
      <c r="BQ14" s="19" t="n">
        <v>7</v>
      </c>
      <c r="BR14" s="19" t="n">
        <f aca="false">BR13+1</f>
        <v>64</v>
      </c>
      <c r="BS14" s="19" t="n">
        <f aca="false">BS13+1</f>
        <v>2032</v>
      </c>
      <c r="BT14" s="13" t="n">
        <f aca="false">IF(Inputs!$B$15="B",Inputs!$D$25,Inputs!$C$25)</f>
        <v>0.38</v>
      </c>
      <c r="BU14" s="11" t="n">
        <f aca="false">BY13</f>
        <v>509323.7875</v>
      </c>
      <c r="BV14" s="11" t="n">
        <f aca="false">IF(BQ14&lt;=$BV$4,BU14/($BV$4-BQ14+1),0)</f>
        <v>254661.89375</v>
      </c>
      <c r="BW14" s="11" t="n">
        <f aca="false">BV14*BT14</f>
        <v>96771.5196250001</v>
      </c>
      <c r="BX14" s="11" t="n">
        <f aca="false">CA13-BW14</f>
        <v>650036.471317937</v>
      </c>
      <c r="BY14" s="11" t="n">
        <f aca="false">(BU14-BV14)*(1+Inputs!$B$4)</f>
        <v>280128.083125</v>
      </c>
      <c r="BZ14" s="11" t="n">
        <f aca="false">(BZ13+BV14)*(1+Inputs!$B$4)</f>
        <v>1960896.581875</v>
      </c>
      <c r="CA14" s="11" t="n">
        <f aca="false">BX14*(1+Inputs!$B$4*(1-Inputs!$B$8))</f>
        <v>711789.936093141</v>
      </c>
      <c r="CB14" s="11" t="n">
        <f aca="false">IF(CA13&lt;=0,0,CB13*BX14/CA13)</f>
        <v>377096.940660596</v>
      </c>
      <c r="CC14" s="11" t="n">
        <f aca="false">BZ14+BY14*(1-Inputs!$B$6)+CA14-(CA14-CB14)*Inputs!$B$9</f>
        <v>2781755.99734318</v>
      </c>
      <c r="CD14" s="12" t="n">
        <f aca="false">BZ14/(BZ14+BY14+CA14)</f>
        <v>0.664077108379602</v>
      </c>
      <c r="CE14" s="19" t="n">
        <f aca="false">IF(CC14&gt;M14,1,0)</f>
        <v>0</v>
      </c>
      <c r="CF14" s="18" t="str">
        <f aca="false">IF(BX14&lt;0,"SHORT","ok")</f>
        <v>ok</v>
      </c>
      <c r="CH14" s="19" t="n">
        <v>7</v>
      </c>
      <c r="CI14" s="19" t="n">
        <f aca="false">CI13+1</f>
        <v>64</v>
      </c>
      <c r="CJ14" s="19" t="n">
        <f aca="false">CJ13+1</f>
        <v>2032</v>
      </c>
      <c r="CK14" s="13" t="n">
        <f aca="false">IF(Inputs!$B$15="B",Inputs!$D$25,Inputs!$C$25)</f>
        <v>0.38</v>
      </c>
      <c r="CL14" s="11" t="n">
        <f aca="false">CP13</f>
        <v>814918.06</v>
      </c>
      <c r="CM14" s="11" t="n">
        <f aca="false">IF(CH14&lt;=$CM$4,CL14/($CM$4-CH14+1),0)</f>
        <v>203729.515</v>
      </c>
      <c r="CN14" s="11" t="n">
        <f aca="false">CM14*CK14</f>
        <v>77417.2157</v>
      </c>
      <c r="CO14" s="11" t="n">
        <f aca="false">CR13-CN14</f>
        <v>783683.074945724</v>
      </c>
      <c r="CP14" s="11" t="n">
        <f aca="false">(CL14-CM14)*(1+Inputs!$B$4)</f>
        <v>672307.3995</v>
      </c>
      <c r="CQ14" s="11" t="n">
        <f aca="false">(CQ13+CM14)*(1+Inputs!$B$4)</f>
        <v>1568717.2655</v>
      </c>
      <c r="CR14" s="11" t="n">
        <f aca="false">CO14*(1+Inputs!$B$4*(1-Inputs!$B$8))</f>
        <v>858132.967065568</v>
      </c>
      <c r="CS14" s="11" t="n">
        <f aca="false">IF(CR13&lt;=0,0,CS13*CO14/CR13)</f>
        <v>454627.552528477</v>
      </c>
      <c r="CT14" s="11" t="n">
        <f aca="false">CQ14+CP14*(1-Inputs!$B$6)+CR14-(CR14-CS14)*Inputs!$B$9</f>
        <v>2792554.00443593</v>
      </c>
      <c r="CU14" s="12" t="n">
        <f aca="false">CQ14/(CQ14+CP14+CR14)</f>
        <v>0.506175371420027</v>
      </c>
      <c r="CV14" s="19" t="n">
        <f aca="false">IF(CT14&gt;M14,1,0)</f>
        <v>0</v>
      </c>
      <c r="CW14" s="18" t="str">
        <f aca="false">IF(CO14&lt;0,"SHORT","ok")</f>
        <v>ok</v>
      </c>
    </row>
    <row r="15" customFormat="false" ht="15" hidden="false" customHeight="false" outlineLevel="0" collapsed="false">
      <c r="A15" s="19" t="n">
        <v>8</v>
      </c>
      <c r="B15" s="19" t="n">
        <f aca="false">B14+1</f>
        <v>65</v>
      </c>
      <c r="C15" s="19" t="n">
        <f aca="false">C14+1</f>
        <v>2033</v>
      </c>
      <c r="D15" s="13" t="n">
        <f aca="false">IF(Inputs!$B$15="B",Inputs!$D$26,Inputs!$C$26)</f>
        <v>0.38</v>
      </c>
      <c r="E15" s="11" t="n">
        <f aca="false">I14</f>
        <v>2241024.665</v>
      </c>
      <c r="F15" s="11" t="n">
        <f aca="false">IF(A15&lt;=$F$4,E15/($F$4-A15+1),0)</f>
        <v>0</v>
      </c>
      <c r="G15" s="11" t="n">
        <f aca="false">F15*D15</f>
        <v>0</v>
      </c>
      <c r="H15" s="11" t="n">
        <f aca="false">K14-G15</f>
        <v>1443505.09095527</v>
      </c>
      <c r="I15" s="11" t="n">
        <f aca="false">(E15-F15)*(1+Inputs!$B$4)</f>
        <v>2465127.1315</v>
      </c>
      <c r="J15" s="11" t="n">
        <f aca="false">(J14+F15)*(1+Inputs!$B$4)</f>
        <v>0</v>
      </c>
      <c r="K15" s="11" t="n">
        <f aca="false">H15*(1+Inputs!$B$4*(1-Inputs!$B$8))</f>
        <v>1580638.07459603</v>
      </c>
      <c r="L15" s="11" t="n">
        <f aca="false">IF(K14&lt;=0,0,L14*H15/K14)</f>
        <v>764750</v>
      </c>
      <c r="M15" s="11" t="n">
        <f aca="false">J15+I15*(1-Inputs!$B$6)+K15-(K15-L15)*Inputs!$B$9</f>
        <v>3094096.16725106</v>
      </c>
      <c r="N15" s="12" t="n">
        <f aca="false">J15/(J15+I15+K15)</f>
        <v>0</v>
      </c>
      <c r="O15" s="19" t="n">
        <f aca="false">IF(M15&gt;M15,1,0)</f>
        <v>0</v>
      </c>
      <c r="P15" s="18" t="str">
        <f aca="false">IF(H15&lt;0,"SHORT","ok")</f>
        <v>ok</v>
      </c>
      <c r="R15" s="19" t="n">
        <v>8</v>
      </c>
      <c r="S15" s="19" t="n">
        <f aca="false">S14+1</f>
        <v>65</v>
      </c>
      <c r="T15" s="19" t="n">
        <f aca="false">T14+1</f>
        <v>2033</v>
      </c>
      <c r="U15" s="13" t="n">
        <f aca="false">IF(Inputs!$B$15="B",Inputs!$D$26,Inputs!$C$26)</f>
        <v>0.38</v>
      </c>
      <c r="V15" s="11" t="n">
        <f aca="false">Z14</f>
        <v>0</v>
      </c>
      <c r="W15" s="11" t="n">
        <f aca="false">IF(R15&lt;=$W$4,V15/($W$4-R15+1),0)</f>
        <v>0</v>
      </c>
      <c r="X15" s="11" t="n">
        <f aca="false">W15*U15</f>
        <v>0</v>
      </c>
      <c r="Y15" s="11" t="n">
        <f aca="false">AB14-X15</f>
        <v>618645.038980832</v>
      </c>
      <c r="Z15" s="11" t="n">
        <f aca="false">(V15-W15)*(1+Inputs!$B$4)</f>
        <v>0</v>
      </c>
      <c r="AA15" s="11" t="n">
        <f aca="false">(AA14+W15)*(1+Inputs!$B$4)</f>
        <v>2465127.1315</v>
      </c>
      <c r="AB15" s="11" t="n">
        <f aca="false">Y15*(1+Inputs!$B$4*(1-Inputs!$B$8))</f>
        <v>677416.317684011</v>
      </c>
      <c r="AC15" s="11" t="n">
        <f aca="false">IF(AB14&lt;=0,0,AC14*Y15/AB14)</f>
        <v>327750</v>
      </c>
      <c r="AD15" s="11" t="n">
        <f aca="false">AA15+Z15*(1-Inputs!$B$6)+AB15-(AB15-AC15)*Inputs!$B$9</f>
        <v>3051630.20658617</v>
      </c>
      <c r="AE15" s="12" t="n">
        <f aca="false">AA15/(AA15+Z15+AB15)</f>
        <v>0.784436928673203</v>
      </c>
      <c r="AF15" s="19" t="n">
        <f aca="false">IF(AD15&gt;M15,1,0)</f>
        <v>0</v>
      </c>
      <c r="AG15" s="18" t="str">
        <f aca="false">IF(Y15&lt;0,"SHORT","ok")</f>
        <v>ok</v>
      </c>
      <c r="AI15" s="19" t="n">
        <v>8</v>
      </c>
      <c r="AJ15" s="19" t="n">
        <f aca="false">AJ14+1</f>
        <v>65</v>
      </c>
      <c r="AK15" s="19" t="n">
        <f aca="false">AK14+1</f>
        <v>2033</v>
      </c>
      <c r="AL15" s="13" t="n">
        <f aca="false">IF(Inputs!$B$15="B",Inputs!$D$26,Inputs!$C$26)</f>
        <v>0.38</v>
      </c>
      <c r="AM15" s="11" t="n">
        <f aca="false">AQ14</f>
        <v>0</v>
      </c>
      <c r="AN15" s="11" t="n">
        <f aca="false">IF(AI15&lt;=$AN$4,AM15/($AN$4-AI15+1),0)</f>
        <v>0</v>
      </c>
      <c r="AO15" s="11" t="n">
        <f aca="false">AN15*AL15</f>
        <v>0</v>
      </c>
      <c r="AP15" s="11" t="n">
        <f aca="false">AS14-AO15</f>
        <v>614872.821872492</v>
      </c>
      <c r="AQ15" s="11" t="n">
        <f aca="false">(AM15-AN15)*(1+Inputs!$B$4)</f>
        <v>0</v>
      </c>
      <c r="AR15" s="11" t="n">
        <f aca="false">(AR14+AN15)*(1+Inputs!$B$4)</f>
        <v>2465127.1315</v>
      </c>
      <c r="AS15" s="11" t="n">
        <f aca="false">AP15*(1+Inputs!$B$4*(1-Inputs!$B$8))</f>
        <v>673285.739950379</v>
      </c>
      <c r="AT15" s="11" t="n">
        <f aca="false">IF(AS14&lt;=0,0,AT14*AP15/AS14)</f>
        <v>325751.529020107</v>
      </c>
      <c r="AU15" s="11" t="n">
        <f aca="false">AR15+AQ15*(1-Inputs!$B$6)+AS15-(AS15-AT15)*Inputs!$B$9</f>
        <v>3048053.97660851</v>
      </c>
      <c r="AV15" s="12" t="n">
        <f aca="false">AR15/(AR15+AQ15+AS15)</f>
        <v>0.785469354247446</v>
      </c>
      <c r="AW15" s="19" t="n">
        <f aca="false">IF(AU15&gt;M15,1,0)</f>
        <v>0</v>
      </c>
      <c r="AX15" s="18" t="str">
        <f aca="false">IF(AP15&lt;0,"SHORT","ok")</f>
        <v>ok</v>
      </c>
      <c r="AZ15" s="19" t="n">
        <v>8</v>
      </c>
      <c r="BA15" s="19" t="n">
        <f aca="false">BA14+1</f>
        <v>65</v>
      </c>
      <c r="BB15" s="19" t="n">
        <f aca="false">BB14+1</f>
        <v>2033</v>
      </c>
      <c r="BC15" s="13" t="n">
        <f aca="false">IF(Inputs!$B$15="B",Inputs!$D$26,Inputs!$C$26)</f>
        <v>0.38</v>
      </c>
      <c r="BD15" s="11" t="n">
        <f aca="false">BH14</f>
        <v>0</v>
      </c>
      <c r="BE15" s="11" t="n">
        <f aca="false">IF(AZ15&lt;=$BE$4,BD15/($BE$4-AZ15+1),0)</f>
        <v>0</v>
      </c>
      <c r="BF15" s="11" t="n">
        <f aca="false">BE15*BC15</f>
        <v>0</v>
      </c>
      <c r="BG15" s="11" t="n">
        <f aca="false">BJ14-BF15</f>
        <v>611077.594749212</v>
      </c>
      <c r="BH15" s="11" t="n">
        <f aca="false">(BD15-BE15)*(1+Inputs!$B$4)</f>
        <v>0</v>
      </c>
      <c r="BI15" s="11" t="n">
        <f aca="false">(BI14+BE15)*(1+Inputs!$B$4)</f>
        <v>2465127.1315</v>
      </c>
      <c r="BJ15" s="11" t="n">
        <f aca="false">BG15*(1+Inputs!$B$4*(1-Inputs!$B$8))</f>
        <v>669129.966250387</v>
      </c>
      <c r="BK15" s="11" t="n">
        <f aca="false">IF(BJ14&lt;=0,0,BK14*BG15/BJ14)</f>
        <v>323740.86763712</v>
      </c>
      <c r="BL15" s="11" t="n">
        <f aca="false">BI15+BH15*(1-Inputs!$B$6)+BJ15-(BJ15-BK15)*Inputs!$B$9</f>
        <v>3044455.93211094</v>
      </c>
      <c r="BM15" s="12" t="n">
        <f aca="false">BI15/(BI15+BH15+BJ15)</f>
        <v>0.786510823655579</v>
      </c>
      <c r="BN15" s="19" t="n">
        <f aca="false">IF(BL15&gt;M15,1,0)</f>
        <v>0</v>
      </c>
      <c r="BO15" s="18" t="str">
        <f aca="false">IF(BG15&lt;0,"SHORT","ok")</f>
        <v>ok</v>
      </c>
      <c r="BQ15" s="19" t="n">
        <v>8</v>
      </c>
      <c r="BR15" s="19" t="n">
        <f aca="false">BR14+1</f>
        <v>65</v>
      </c>
      <c r="BS15" s="19" t="n">
        <f aca="false">BS14+1</f>
        <v>2033</v>
      </c>
      <c r="BT15" s="13" t="n">
        <f aca="false">IF(Inputs!$B$15="B",Inputs!$D$26,Inputs!$C$26)</f>
        <v>0.38</v>
      </c>
      <c r="BU15" s="11" t="n">
        <f aca="false">BY14</f>
        <v>280128.083125</v>
      </c>
      <c r="BV15" s="11" t="n">
        <f aca="false">IF(BQ15&lt;=$BV$4,BU15/($BV$4-BQ15+1),0)</f>
        <v>280128.083125</v>
      </c>
      <c r="BW15" s="11" t="n">
        <f aca="false">BV15*BT15</f>
        <v>106448.6715875</v>
      </c>
      <c r="BX15" s="11" t="n">
        <f aca="false">CA14-BW15</f>
        <v>605341.264505641</v>
      </c>
      <c r="BY15" s="11" t="n">
        <f aca="false">(BU15-BV15)*(1+Inputs!$B$4)</f>
        <v>0</v>
      </c>
      <c r="BZ15" s="11" t="n">
        <f aca="false">(BZ14+BV15)*(1+Inputs!$B$4)</f>
        <v>2465127.1315</v>
      </c>
      <c r="CA15" s="11" t="n">
        <f aca="false">BX15*(1+Inputs!$B$4*(1-Inputs!$B$8))</f>
        <v>662848.684633677</v>
      </c>
      <c r="CB15" s="11" t="n">
        <f aca="false">IF(CA14&lt;=0,0,CB14*BX15/CA14)</f>
        <v>320701.835366809</v>
      </c>
      <c r="CC15" s="11" t="n">
        <f aca="false">BZ15+BY15*(1-Inputs!$B$6)+CA15-(CA15-CB15)*Inputs!$B$9</f>
        <v>3039017.63532429</v>
      </c>
      <c r="CD15" s="12" t="n">
        <f aca="false">BZ15/(BZ15+BY15+CA15)</f>
        <v>0.788090214376085</v>
      </c>
      <c r="CE15" s="19" t="n">
        <f aca="false">IF(CC15&gt;M15,1,0)</f>
        <v>0</v>
      </c>
      <c r="CF15" s="18" t="str">
        <f aca="false">IF(BX15&lt;0,"SHORT","ok")</f>
        <v>ok</v>
      </c>
      <c r="CH15" s="19" t="n">
        <v>8</v>
      </c>
      <c r="CI15" s="19" t="n">
        <f aca="false">CI14+1</f>
        <v>65</v>
      </c>
      <c r="CJ15" s="19" t="n">
        <f aca="false">CJ14+1</f>
        <v>2033</v>
      </c>
      <c r="CK15" s="13" t="n">
        <f aca="false">IF(Inputs!$B$15="B",Inputs!$D$26,Inputs!$C$26)</f>
        <v>0.38</v>
      </c>
      <c r="CL15" s="11" t="n">
        <f aca="false">CP14</f>
        <v>672307.3995</v>
      </c>
      <c r="CM15" s="11" t="n">
        <f aca="false">IF(CH15&lt;=$CM$4,CL15/($CM$4-CH15+1),0)</f>
        <v>224102.4665</v>
      </c>
      <c r="CN15" s="11" t="n">
        <f aca="false">CM15*CK15</f>
        <v>85158.93727</v>
      </c>
      <c r="CO15" s="11" t="n">
        <f aca="false">CR14-CN15</f>
        <v>772974.029795568</v>
      </c>
      <c r="CP15" s="11" t="n">
        <f aca="false">(CL15-CM15)*(1+Inputs!$B$4)</f>
        <v>493025.4263</v>
      </c>
      <c r="CQ15" s="11" t="n">
        <f aca="false">(CQ14+CM15)*(1+Inputs!$B$4)</f>
        <v>1972101.7052</v>
      </c>
      <c r="CR15" s="11" t="n">
        <f aca="false">CO15*(1+Inputs!$B$4*(1-Inputs!$B$8))</f>
        <v>846406.562626147</v>
      </c>
      <c r="CS15" s="11" t="n">
        <f aca="false">IF(CR14&lt;=0,0,CS14*CO15/CR14)</f>
        <v>409511.468293447</v>
      </c>
      <c r="CT15" s="11" t="n">
        <f aca="false">CQ15+CP15*(1-Inputs!$B$6)+CR15-(CR15-CS15)*Inputs!$B$9</f>
        <v>3050033.34170965</v>
      </c>
      <c r="CU15" s="12" t="n">
        <f aca="false">CQ15/(CQ15+CP15+CR15)</f>
        <v>0.595525181790549</v>
      </c>
      <c r="CV15" s="19" t="n">
        <f aca="false">IF(CT15&gt;M15,1,0)</f>
        <v>0</v>
      </c>
      <c r="CW15" s="18" t="str">
        <f aca="false">IF(CO15&lt;0,"SHORT","ok")</f>
        <v>ok</v>
      </c>
    </row>
    <row r="16" customFormat="false" ht="15" hidden="false" customHeight="false" outlineLevel="0" collapsed="false">
      <c r="A16" s="19" t="n">
        <v>9</v>
      </c>
      <c r="B16" s="19" t="n">
        <f aca="false">B15+1</f>
        <v>66</v>
      </c>
      <c r="C16" s="19" t="n">
        <f aca="false">C15+1</f>
        <v>2034</v>
      </c>
      <c r="D16" s="13" t="n">
        <f aca="false">IF(Inputs!$B$15="B",Inputs!$D$27,Inputs!$C$27)</f>
        <v>0.38</v>
      </c>
      <c r="E16" s="11" t="n">
        <f aca="false">I15</f>
        <v>2465127.1315</v>
      </c>
      <c r="F16" s="11" t="n">
        <f aca="false">IF(A16&lt;=$F$4,E16/($F$4-A16+1),0)</f>
        <v>0</v>
      </c>
      <c r="G16" s="11" t="n">
        <f aca="false">F16*D16</f>
        <v>0</v>
      </c>
      <c r="H16" s="11" t="n">
        <f aca="false">K15-G16</f>
        <v>1580638.07459603</v>
      </c>
      <c r="I16" s="11" t="n">
        <f aca="false">(E16-F16)*(1+Inputs!$B$4)</f>
        <v>2711639.84465</v>
      </c>
      <c r="J16" s="11" t="n">
        <f aca="false">(J15+F16)*(1+Inputs!$B$4)</f>
        <v>0</v>
      </c>
      <c r="K16" s="11" t="n">
        <f aca="false">H16*(1+Inputs!$B$4*(1-Inputs!$B$8))</f>
        <v>1730798.69168265</v>
      </c>
      <c r="L16" s="11" t="n">
        <f aca="false">IF(K15&lt;=0,0,L15*H16/K15)</f>
        <v>764750</v>
      </c>
      <c r="M16" s="11" t="n">
        <f aca="false">J16+I16*(1-Inputs!$B$6)+K16-(K16-L16)*Inputs!$B$9</f>
        <v>3377773.92310016</v>
      </c>
      <c r="N16" s="12" t="n">
        <f aca="false">J16/(J16+I16+K16)</f>
        <v>0</v>
      </c>
      <c r="O16" s="19" t="n">
        <f aca="false">IF(M16&gt;M16,1,0)</f>
        <v>0</v>
      </c>
      <c r="P16" s="18" t="str">
        <f aca="false">IF(H16&lt;0,"SHORT","ok")</f>
        <v>ok</v>
      </c>
      <c r="R16" s="19" t="n">
        <v>9</v>
      </c>
      <c r="S16" s="19" t="n">
        <f aca="false">S15+1</f>
        <v>66</v>
      </c>
      <c r="T16" s="19" t="n">
        <f aca="false">T15+1</f>
        <v>2034</v>
      </c>
      <c r="U16" s="13" t="n">
        <f aca="false">IF(Inputs!$B$15="B",Inputs!$D$27,Inputs!$C$27)</f>
        <v>0.38</v>
      </c>
      <c r="V16" s="11" t="n">
        <f aca="false">Z15</f>
        <v>0</v>
      </c>
      <c r="W16" s="11" t="n">
        <f aca="false">IF(R16&lt;=$W$4,V16/($W$4-R16+1),0)</f>
        <v>0</v>
      </c>
      <c r="X16" s="11" t="n">
        <f aca="false">W16*U16</f>
        <v>0</v>
      </c>
      <c r="Y16" s="11" t="n">
        <f aca="false">AB15-X16</f>
        <v>677416.317684011</v>
      </c>
      <c r="Z16" s="11" t="n">
        <f aca="false">(V16-W16)*(1+Inputs!$B$4)</f>
        <v>0</v>
      </c>
      <c r="AA16" s="11" t="n">
        <f aca="false">(AA15+W16)*(1+Inputs!$B$4)</f>
        <v>2711639.84465</v>
      </c>
      <c r="AB16" s="11" t="n">
        <f aca="false">Y16*(1+Inputs!$B$4*(1-Inputs!$B$8))</f>
        <v>741770.867863992</v>
      </c>
      <c r="AC16" s="11" t="n">
        <f aca="false">IF(AB15&lt;=0,0,AC15*Y16/AB15)</f>
        <v>327750</v>
      </c>
      <c r="AD16" s="11" t="n">
        <f aca="false">AA16+Z16*(1-Inputs!$B$6)+AB16-(AB16-AC16)*Inputs!$B$9</f>
        <v>3345765.28686936</v>
      </c>
      <c r="AE16" s="12" t="n">
        <f aca="false">AA16/(AA16+Z16+AB16)</f>
        <v>0.785206299043417</v>
      </c>
      <c r="AF16" s="19" t="n">
        <f aca="false">IF(AD16&gt;M16,1,0)</f>
        <v>0</v>
      </c>
      <c r="AG16" s="18" t="str">
        <f aca="false">IF(Y16&lt;0,"SHORT","ok")</f>
        <v>ok</v>
      </c>
      <c r="AI16" s="19" t="n">
        <v>9</v>
      </c>
      <c r="AJ16" s="19" t="n">
        <f aca="false">AJ15+1</f>
        <v>66</v>
      </c>
      <c r="AK16" s="19" t="n">
        <f aca="false">AK15+1</f>
        <v>2034</v>
      </c>
      <c r="AL16" s="13" t="n">
        <f aca="false">IF(Inputs!$B$15="B",Inputs!$D$27,Inputs!$C$27)</f>
        <v>0.38</v>
      </c>
      <c r="AM16" s="11" t="n">
        <f aca="false">AQ15</f>
        <v>0</v>
      </c>
      <c r="AN16" s="11" t="n">
        <f aca="false">IF(AI16&lt;=$AN$4,AM16/($AN$4-AI16+1),0)</f>
        <v>0</v>
      </c>
      <c r="AO16" s="11" t="n">
        <f aca="false">AN16*AL16</f>
        <v>0</v>
      </c>
      <c r="AP16" s="11" t="n">
        <f aca="false">AS15-AO16</f>
        <v>673285.739950379</v>
      </c>
      <c r="AQ16" s="11" t="n">
        <f aca="false">(AM16-AN16)*(1+Inputs!$B$4)</f>
        <v>0</v>
      </c>
      <c r="AR16" s="11" t="n">
        <f aca="false">(AR15+AN16)*(1+Inputs!$B$4)</f>
        <v>2711639.84465</v>
      </c>
      <c r="AS16" s="11" t="n">
        <f aca="false">AP16*(1+Inputs!$B$4*(1-Inputs!$B$8))</f>
        <v>737247.885245665</v>
      </c>
      <c r="AT16" s="11" t="n">
        <f aca="false">IF(AS15&lt;=0,0,AT15*AP16/AS15)</f>
        <v>325751.529020107</v>
      </c>
      <c r="AU16" s="11" t="n">
        <f aca="false">AR16+AQ16*(1-Inputs!$B$6)+AS16-(AS16-AT16)*Inputs!$B$9</f>
        <v>3341898.67727702</v>
      </c>
      <c r="AV16" s="12" t="n">
        <f aca="false">AR16/(AR16+AQ16+AS16)</f>
        <v>0.786236043912056</v>
      </c>
      <c r="AW16" s="19" t="n">
        <f aca="false">IF(AU16&gt;M16,1,0)</f>
        <v>0</v>
      </c>
      <c r="AX16" s="18" t="str">
        <f aca="false">IF(AP16&lt;0,"SHORT","ok")</f>
        <v>ok</v>
      </c>
      <c r="AZ16" s="19" t="n">
        <v>9</v>
      </c>
      <c r="BA16" s="19" t="n">
        <f aca="false">BA15+1</f>
        <v>66</v>
      </c>
      <c r="BB16" s="19" t="n">
        <f aca="false">BB15+1</f>
        <v>2034</v>
      </c>
      <c r="BC16" s="13" t="n">
        <f aca="false">IF(Inputs!$B$15="B",Inputs!$D$27,Inputs!$C$27)</f>
        <v>0.38</v>
      </c>
      <c r="BD16" s="11" t="n">
        <f aca="false">BH15</f>
        <v>0</v>
      </c>
      <c r="BE16" s="11" t="n">
        <f aca="false">IF(AZ16&lt;=$BE$4,BD16/($BE$4-AZ16+1),0)</f>
        <v>0</v>
      </c>
      <c r="BF16" s="11" t="n">
        <f aca="false">BE16*BC16</f>
        <v>0</v>
      </c>
      <c r="BG16" s="11" t="n">
        <f aca="false">BJ15-BF16</f>
        <v>669129.966250387</v>
      </c>
      <c r="BH16" s="11" t="n">
        <f aca="false">(BD16-BE16)*(1+Inputs!$B$4)</f>
        <v>0</v>
      </c>
      <c r="BI16" s="11" t="n">
        <f aca="false">(BI15+BE16)*(1+Inputs!$B$4)</f>
        <v>2711639.84465</v>
      </c>
      <c r="BJ16" s="11" t="n">
        <f aca="false">BG16*(1+Inputs!$B$4*(1-Inputs!$B$8))</f>
        <v>732697.313044174</v>
      </c>
      <c r="BK16" s="11" t="n">
        <f aca="false">IF(BJ15&lt;=0,0,BK15*BG16/BJ15)</f>
        <v>323740.86763712</v>
      </c>
      <c r="BL16" s="11" t="n">
        <f aca="false">BI16+BH16*(1-Inputs!$B$6)+BJ16-(BJ16-BK16)*Inputs!$B$9</f>
        <v>3338008.48188834</v>
      </c>
      <c r="BM16" s="12" t="n">
        <f aca="false">BI16/(BI16+BH16+BJ16)</f>
        <v>0.787274799330423</v>
      </c>
      <c r="BN16" s="19" t="n">
        <f aca="false">IF(BL16&gt;M16,1,0)</f>
        <v>0</v>
      </c>
      <c r="BO16" s="18" t="str">
        <f aca="false">IF(BG16&lt;0,"SHORT","ok")</f>
        <v>ok</v>
      </c>
      <c r="BQ16" s="19" t="n">
        <v>9</v>
      </c>
      <c r="BR16" s="19" t="n">
        <f aca="false">BR15+1</f>
        <v>66</v>
      </c>
      <c r="BS16" s="19" t="n">
        <f aca="false">BS15+1</f>
        <v>2034</v>
      </c>
      <c r="BT16" s="13" t="n">
        <f aca="false">IF(Inputs!$B$15="B",Inputs!$D$27,Inputs!$C$27)</f>
        <v>0.38</v>
      </c>
      <c r="BU16" s="11" t="n">
        <f aca="false">BY15</f>
        <v>0</v>
      </c>
      <c r="BV16" s="11" t="n">
        <f aca="false">IF(BQ16&lt;=$BV$4,BU16/($BV$4-BQ16+1),0)</f>
        <v>0</v>
      </c>
      <c r="BW16" s="11" t="n">
        <f aca="false">BV16*BT16</f>
        <v>0</v>
      </c>
      <c r="BX16" s="11" t="n">
        <f aca="false">CA15-BW16</f>
        <v>662848.684633677</v>
      </c>
      <c r="BY16" s="11" t="n">
        <f aca="false">(BU16-BV16)*(1+Inputs!$B$4)</f>
        <v>0</v>
      </c>
      <c r="BZ16" s="11" t="n">
        <f aca="false">(BZ15+BV16)*(1+Inputs!$B$4)</f>
        <v>2711639.84465</v>
      </c>
      <c r="CA16" s="11" t="n">
        <f aca="false">BX16*(1+Inputs!$B$4*(1-Inputs!$B$8))</f>
        <v>725819.309673877</v>
      </c>
      <c r="CB16" s="11" t="n">
        <f aca="false">IF(CA15&lt;=0,0,CB15*BX16/CA15)</f>
        <v>320701.835366809</v>
      </c>
      <c r="CC16" s="11" t="n">
        <f aca="false">BZ16+BY16*(1-Inputs!$B$6)+CA16-(CA16-CB16)*Inputs!$B$9</f>
        <v>3332128.61100404</v>
      </c>
      <c r="CD16" s="12" t="n">
        <f aca="false">BZ16/(BZ16+BY16+CA16)</f>
        <v>0.788850055494946</v>
      </c>
      <c r="CE16" s="19" t="n">
        <f aca="false">IF(CC16&gt;M16,1,0)</f>
        <v>0</v>
      </c>
      <c r="CF16" s="18" t="str">
        <f aca="false">IF(BX16&lt;0,"SHORT","ok")</f>
        <v>ok</v>
      </c>
      <c r="CH16" s="19" t="n">
        <v>9</v>
      </c>
      <c r="CI16" s="19" t="n">
        <f aca="false">CI15+1</f>
        <v>66</v>
      </c>
      <c r="CJ16" s="19" t="n">
        <f aca="false">CJ15+1</f>
        <v>2034</v>
      </c>
      <c r="CK16" s="13" t="n">
        <f aca="false">IF(Inputs!$B$15="B",Inputs!$D$27,Inputs!$C$27)</f>
        <v>0.38</v>
      </c>
      <c r="CL16" s="11" t="n">
        <f aca="false">CP15</f>
        <v>493025.4263</v>
      </c>
      <c r="CM16" s="11" t="n">
        <f aca="false">IF(CH16&lt;=$CM$4,CL16/($CM$4-CH16+1),0)</f>
        <v>246512.71315</v>
      </c>
      <c r="CN16" s="11" t="n">
        <f aca="false">CM16*CK16</f>
        <v>93674.830997</v>
      </c>
      <c r="CO16" s="11" t="n">
        <f aca="false">CR15-CN16</f>
        <v>752731.731629147</v>
      </c>
      <c r="CP16" s="11" t="n">
        <f aca="false">(CL16-CM16)*(1+Inputs!$B$4)</f>
        <v>271163.984465</v>
      </c>
      <c r="CQ16" s="11" t="n">
        <f aca="false">(CQ15+CM16)*(1+Inputs!$B$4)</f>
        <v>2440475.860185</v>
      </c>
      <c r="CR16" s="11" t="n">
        <f aca="false">CO16*(1+Inputs!$B$4*(1-Inputs!$B$8))</f>
        <v>824241.246133916</v>
      </c>
      <c r="CS16" s="11" t="n">
        <f aca="false">IF(CR15&lt;=0,0,CS15*CO16/CR15)</f>
        <v>364189.374541363</v>
      </c>
      <c r="CT16" s="11" t="n">
        <f aca="false">CQ16+CP16*(1-Inputs!$B$6)+CR16-(CR16-CS16)*Inputs!$B$9</f>
        <v>3334918.40883035</v>
      </c>
      <c r="CU16" s="12" t="n">
        <f aca="false">CQ16/(CQ16+CP16+CR16)</f>
        <v>0.690203034979307</v>
      </c>
      <c r="CV16" s="19" t="n">
        <f aca="false">IF(CT16&gt;M16,1,0)</f>
        <v>0</v>
      </c>
      <c r="CW16" s="18" t="str">
        <f aca="false">IF(CO16&lt;0,"SHORT","ok")</f>
        <v>ok</v>
      </c>
    </row>
    <row r="17" customFormat="false" ht="15" hidden="false" customHeight="false" outlineLevel="0" collapsed="false">
      <c r="A17" s="19" t="n">
        <v>10</v>
      </c>
      <c r="B17" s="19" t="n">
        <f aca="false">B16+1</f>
        <v>67</v>
      </c>
      <c r="C17" s="19" t="n">
        <f aca="false">C16+1</f>
        <v>2035</v>
      </c>
      <c r="D17" s="13" t="n">
        <f aca="false">IF(Inputs!$B$15="B",Inputs!$D$28,Inputs!$C$28)</f>
        <v>0.38</v>
      </c>
      <c r="E17" s="11" t="n">
        <f aca="false">I16</f>
        <v>2711639.84465</v>
      </c>
      <c r="F17" s="11" t="n">
        <f aca="false">IF(A17&lt;=$F$4,E17/($F$4-A17+1),0)</f>
        <v>0</v>
      </c>
      <c r="G17" s="11" t="n">
        <f aca="false">F17*D17</f>
        <v>0</v>
      </c>
      <c r="H17" s="11" t="n">
        <f aca="false">K16-G17</f>
        <v>1730798.69168265</v>
      </c>
      <c r="I17" s="11" t="n">
        <f aca="false">(E17-F17)*(1+Inputs!$B$4)</f>
        <v>2982803.829115</v>
      </c>
      <c r="J17" s="11" t="n">
        <f aca="false">(J16+F17)*(1+Inputs!$B$4)</f>
        <v>0</v>
      </c>
      <c r="K17" s="11" t="n">
        <f aca="false">H17*(1+Inputs!$B$4*(1-Inputs!$B$8))</f>
        <v>1895224.5673925</v>
      </c>
      <c r="L17" s="11" t="n">
        <f aca="false">IF(K16&lt;=0,0,L16*H17/K16)</f>
        <v>764750</v>
      </c>
      <c r="M17" s="11" t="n">
        <f aca="false">J17+I17*(1-Inputs!$B$6)+K17-(K17-L17)*Inputs!$B$9</f>
        <v>3689263.86025095</v>
      </c>
      <c r="N17" s="12" t="n">
        <f aca="false">J17/(J17+I17+K17)</f>
        <v>0</v>
      </c>
      <c r="O17" s="19" t="n">
        <f aca="false">IF(M17&gt;M17,1,0)</f>
        <v>0</v>
      </c>
      <c r="P17" s="18" t="str">
        <f aca="false">IF(H17&lt;0,"SHORT","ok")</f>
        <v>ok</v>
      </c>
      <c r="R17" s="19" t="n">
        <v>10</v>
      </c>
      <c r="S17" s="19" t="n">
        <f aca="false">S16+1</f>
        <v>67</v>
      </c>
      <c r="T17" s="19" t="n">
        <f aca="false">T16+1</f>
        <v>2035</v>
      </c>
      <c r="U17" s="13" t="n">
        <f aca="false">IF(Inputs!$B$15="B",Inputs!$D$28,Inputs!$C$28)</f>
        <v>0.38</v>
      </c>
      <c r="V17" s="11" t="n">
        <f aca="false">Z16</f>
        <v>0</v>
      </c>
      <c r="W17" s="11" t="n">
        <f aca="false">IF(R17&lt;=$W$4,V17/($W$4-R17+1),0)</f>
        <v>0</v>
      </c>
      <c r="X17" s="11" t="n">
        <f aca="false">W17*U17</f>
        <v>0</v>
      </c>
      <c r="Y17" s="11" t="n">
        <f aca="false">AB16-X17</f>
        <v>741770.867863992</v>
      </c>
      <c r="Z17" s="11" t="n">
        <f aca="false">(V17-W17)*(1+Inputs!$B$4)</f>
        <v>0</v>
      </c>
      <c r="AA17" s="11" t="n">
        <f aca="false">(AA16+W17)*(1+Inputs!$B$4)</f>
        <v>2982803.829115</v>
      </c>
      <c r="AB17" s="11" t="n">
        <f aca="false">Y17*(1+Inputs!$B$4*(1-Inputs!$B$8))</f>
        <v>812239.100311071</v>
      </c>
      <c r="AC17" s="11" t="n">
        <f aca="false">IF(AB16&lt;=0,0,AC16*Y17/AB16)</f>
        <v>327750</v>
      </c>
      <c r="AD17" s="11" t="n">
        <f aca="false">AA17+Z17*(1-Inputs!$B$6)+AB17-(AB17-AC17)*Inputs!$B$9</f>
        <v>3669075.76334519</v>
      </c>
      <c r="AE17" s="12" t="n">
        <f aca="false">AA17/(AA17+Z17+AB17)</f>
        <v>0.785973672652523</v>
      </c>
      <c r="AF17" s="19" t="n">
        <f aca="false">IF(AD17&gt;M17,1,0)</f>
        <v>0</v>
      </c>
      <c r="AG17" s="18" t="str">
        <f aca="false">IF(Y17&lt;0,"SHORT","ok")</f>
        <v>ok</v>
      </c>
      <c r="AI17" s="19" t="n">
        <v>10</v>
      </c>
      <c r="AJ17" s="19" t="n">
        <f aca="false">AJ16+1</f>
        <v>67</v>
      </c>
      <c r="AK17" s="19" t="n">
        <f aca="false">AK16+1</f>
        <v>2035</v>
      </c>
      <c r="AL17" s="13" t="n">
        <f aca="false">IF(Inputs!$B$15="B",Inputs!$D$28,Inputs!$C$28)</f>
        <v>0.38</v>
      </c>
      <c r="AM17" s="11" t="n">
        <f aca="false">AQ16</f>
        <v>0</v>
      </c>
      <c r="AN17" s="11" t="n">
        <f aca="false">IF(AI17&lt;=$AN$4,AM17/($AN$4-AI17+1),0)</f>
        <v>0</v>
      </c>
      <c r="AO17" s="11" t="n">
        <f aca="false">AN17*AL17</f>
        <v>0</v>
      </c>
      <c r="AP17" s="11" t="n">
        <f aca="false">AS16-AO17</f>
        <v>737247.885245665</v>
      </c>
      <c r="AQ17" s="11" t="n">
        <f aca="false">(AM17-AN17)*(1+Inputs!$B$4)</f>
        <v>0</v>
      </c>
      <c r="AR17" s="11" t="n">
        <f aca="false">(AR16+AN17)*(1+Inputs!$B$4)</f>
        <v>2982803.829115</v>
      </c>
      <c r="AS17" s="11" t="n">
        <f aca="false">AP17*(1+Inputs!$B$4*(1-Inputs!$B$8))</f>
        <v>807286.434344003</v>
      </c>
      <c r="AT17" s="11" t="n">
        <f aca="false">IF(AS16&lt;=0,0,AT16*AP17/AS16)</f>
        <v>325751.529020107</v>
      </c>
      <c r="AU17" s="11" t="n">
        <f aca="false">AR17+AQ17*(1-Inputs!$B$6)+AS17-(AS17-AT17)*Inputs!$B$9</f>
        <v>3664891.18807479</v>
      </c>
      <c r="AV17" s="12" t="n">
        <f aca="false">AR17/(AR17+AQ17+AS17)</f>
        <v>0.787000736597962</v>
      </c>
      <c r="AW17" s="19" t="n">
        <f aca="false">IF(AU17&gt;M17,1,0)</f>
        <v>0</v>
      </c>
      <c r="AX17" s="18" t="str">
        <f aca="false">IF(AP17&lt;0,"SHORT","ok")</f>
        <v>ok</v>
      </c>
      <c r="AZ17" s="19" t="n">
        <v>10</v>
      </c>
      <c r="BA17" s="19" t="n">
        <f aca="false">BA16+1</f>
        <v>67</v>
      </c>
      <c r="BB17" s="19" t="n">
        <f aca="false">BB16+1</f>
        <v>2035</v>
      </c>
      <c r="BC17" s="13" t="n">
        <f aca="false">IF(Inputs!$B$15="B",Inputs!$D$28,Inputs!$C$28)</f>
        <v>0.38</v>
      </c>
      <c r="BD17" s="11" t="n">
        <f aca="false">BH16</f>
        <v>0</v>
      </c>
      <c r="BE17" s="11" t="n">
        <f aca="false">IF(AZ17&lt;=$BE$4,BD17/($BE$4-AZ17+1),0)</f>
        <v>0</v>
      </c>
      <c r="BF17" s="11" t="n">
        <f aca="false">BE17*BC17</f>
        <v>0</v>
      </c>
      <c r="BG17" s="11" t="n">
        <f aca="false">BJ16-BF17</f>
        <v>732697.313044174</v>
      </c>
      <c r="BH17" s="11" t="n">
        <f aca="false">(BD17-BE17)*(1+Inputs!$B$4)</f>
        <v>0</v>
      </c>
      <c r="BI17" s="11" t="n">
        <f aca="false">(BI16+BE17)*(1+Inputs!$B$4)</f>
        <v>2982803.829115</v>
      </c>
      <c r="BJ17" s="11" t="n">
        <f aca="false">BG17*(1+Inputs!$B$4*(1-Inputs!$B$8))</f>
        <v>802303.55778337</v>
      </c>
      <c r="BK17" s="11" t="n">
        <f aca="false">IF(BJ16&lt;=0,0,BK16*BG17/BJ16)</f>
        <v>323740.86763712</v>
      </c>
      <c r="BL17" s="11" t="n">
        <f aca="false">BI17+BH17*(1-Inputs!$B$6)+BJ17-(BJ17-BK17)*Inputs!$B$9</f>
        <v>3660681.08746035</v>
      </c>
      <c r="BM17" s="12" t="n">
        <f aca="false">BI17/(BI17+BH17+BJ17)</f>
        <v>0.788036777883652</v>
      </c>
      <c r="BN17" s="19" t="n">
        <f aca="false">IF(BL17&gt;M17,1,0)</f>
        <v>0</v>
      </c>
      <c r="BO17" s="18" t="str">
        <f aca="false">IF(BG17&lt;0,"SHORT","ok")</f>
        <v>ok</v>
      </c>
      <c r="BQ17" s="19" t="n">
        <v>10</v>
      </c>
      <c r="BR17" s="19" t="n">
        <f aca="false">BR16+1</f>
        <v>67</v>
      </c>
      <c r="BS17" s="19" t="n">
        <f aca="false">BS16+1</f>
        <v>2035</v>
      </c>
      <c r="BT17" s="13" t="n">
        <f aca="false">IF(Inputs!$B$15="B",Inputs!$D$28,Inputs!$C$28)</f>
        <v>0.38</v>
      </c>
      <c r="BU17" s="11" t="n">
        <f aca="false">BY16</f>
        <v>0</v>
      </c>
      <c r="BV17" s="11" t="n">
        <f aca="false">IF(BQ17&lt;=$BV$4,BU17/($BV$4-BQ17+1),0)</f>
        <v>0</v>
      </c>
      <c r="BW17" s="11" t="n">
        <f aca="false">BV17*BT17</f>
        <v>0</v>
      </c>
      <c r="BX17" s="11" t="n">
        <f aca="false">CA16-BW17</f>
        <v>725819.309673877</v>
      </c>
      <c r="BY17" s="11" t="n">
        <f aca="false">(BU17-BV17)*(1+Inputs!$B$4)</f>
        <v>0</v>
      </c>
      <c r="BZ17" s="11" t="n">
        <f aca="false">(BZ16+BV17)*(1+Inputs!$B$4)</f>
        <v>2982803.829115</v>
      </c>
      <c r="CA17" s="11" t="n">
        <f aca="false">BX17*(1+Inputs!$B$4*(1-Inputs!$B$8))</f>
        <v>794772.144092895</v>
      </c>
      <c r="CB17" s="11" t="n">
        <f aca="false">IF(CA16&lt;=0,0,CB16*BX17/CA16)</f>
        <v>320701.835366809</v>
      </c>
      <c r="CC17" s="11" t="n">
        <f aca="false">BZ17+BY17*(1-Inputs!$B$6)+CA17-(CA17-CB17)*Inputs!$B$9</f>
        <v>3654317.69293912</v>
      </c>
      <c r="CD17" s="12" t="n">
        <f aca="false">BZ17/(BZ17+BY17+CA17)</f>
        <v>0.789607899422873</v>
      </c>
      <c r="CE17" s="19" t="n">
        <f aca="false">IF(CC17&gt;M17,1,0)</f>
        <v>0</v>
      </c>
      <c r="CF17" s="18" t="str">
        <f aca="false">IF(BX17&lt;0,"SHORT","ok")</f>
        <v>ok</v>
      </c>
      <c r="CH17" s="19" t="n">
        <v>10</v>
      </c>
      <c r="CI17" s="19" t="n">
        <f aca="false">CI16+1</f>
        <v>67</v>
      </c>
      <c r="CJ17" s="19" t="n">
        <f aca="false">CJ16+1</f>
        <v>2035</v>
      </c>
      <c r="CK17" s="13" t="n">
        <f aca="false">IF(Inputs!$B$15="B",Inputs!$D$28,Inputs!$C$28)</f>
        <v>0.38</v>
      </c>
      <c r="CL17" s="11" t="n">
        <f aca="false">CP16</f>
        <v>271163.984465</v>
      </c>
      <c r="CM17" s="11" t="n">
        <f aca="false">IF(CH17&lt;=$CM$4,CL17/($CM$4-CH17+1),0)</f>
        <v>271163.984465</v>
      </c>
      <c r="CN17" s="11" t="n">
        <f aca="false">CM17*CK17</f>
        <v>103042.3140967</v>
      </c>
      <c r="CO17" s="11" t="n">
        <f aca="false">CR16-CN17</f>
        <v>721198.932037216</v>
      </c>
      <c r="CP17" s="11" t="n">
        <f aca="false">(CL17-CM17)*(1+Inputs!$B$4)</f>
        <v>0</v>
      </c>
      <c r="CQ17" s="11" t="n">
        <f aca="false">(CQ16+CM17)*(1+Inputs!$B$4)</f>
        <v>2982803.829115</v>
      </c>
      <c r="CR17" s="11" t="n">
        <f aca="false">CO17*(1+Inputs!$B$4*(1-Inputs!$B$8))</f>
        <v>789712.830580751</v>
      </c>
      <c r="CS17" s="11" t="n">
        <f aca="false">IF(CR16&lt;=0,0,CS16*CO17/CR16)</f>
        <v>318660.330589497</v>
      </c>
      <c r="CT17" s="11" t="n">
        <f aca="false">CQ17+CP17*(1-Inputs!$B$6)+CR17-(CR17-CS17)*Inputs!$B$9</f>
        <v>3650043.00969803</v>
      </c>
      <c r="CU17" s="12" t="n">
        <f aca="false">CQ17/(CQ17+CP17+CR17)</f>
        <v>0.790666840780912</v>
      </c>
      <c r="CV17" s="19" t="n">
        <f aca="false">IF(CT17&gt;M17,1,0)</f>
        <v>0</v>
      </c>
      <c r="CW17" s="18" t="str">
        <f aca="false">IF(CO17&lt;0,"SHORT","ok")</f>
        <v>ok</v>
      </c>
    </row>
    <row r="18" customFormat="false" ht="15" hidden="false" customHeight="false" outlineLevel="0" collapsed="false">
      <c r="A18" s="19" t="n">
        <v>11</v>
      </c>
      <c r="B18" s="19" t="n">
        <f aca="false">B17+1</f>
        <v>68</v>
      </c>
      <c r="C18" s="19" t="n">
        <f aca="false">C17+1</f>
        <v>2036</v>
      </c>
      <c r="D18" s="13" t="n">
        <f aca="false">IF(Inputs!$B$15="B",Inputs!$D$29,Inputs!$C$29)</f>
        <v>0.38</v>
      </c>
      <c r="E18" s="11" t="n">
        <f aca="false">I17</f>
        <v>2982803.829115</v>
      </c>
      <c r="F18" s="11" t="n">
        <f aca="false">IF(A18&lt;=$F$4,E18/($F$4-A18+1),0)</f>
        <v>0</v>
      </c>
      <c r="G18" s="11" t="n">
        <f aca="false">F18*D18</f>
        <v>0</v>
      </c>
      <c r="H18" s="11" t="n">
        <f aca="false">K17-G18</f>
        <v>1895224.5673925</v>
      </c>
      <c r="I18" s="11" t="n">
        <f aca="false">(E18-F18)*(1+Inputs!$B$4)</f>
        <v>3281084.2120265</v>
      </c>
      <c r="J18" s="11" t="n">
        <f aca="false">(J17+F18)*(1+Inputs!$B$4)</f>
        <v>0</v>
      </c>
      <c r="K18" s="11" t="n">
        <f aca="false">H18*(1+Inputs!$B$4*(1-Inputs!$B$8))</f>
        <v>2075270.90129479</v>
      </c>
      <c r="L18" s="11" t="n">
        <f aca="false">IF(K17&lt;=0,0,L17*H18/K17)</f>
        <v>764750</v>
      </c>
      <c r="M18" s="11" t="n">
        <f aca="false">J18+I18*(1-Inputs!$B$6)+K18-(K18-L18)*Inputs!$B$9</f>
        <v>4031294.41537669</v>
      </c>
      <c r="N18" s="12" t="n">
        <f aca="false">J18/(J18+I18+K18)</f>
        <v>0</v>
      </c>
      <c r="O18" s="19" t="n">
        <f aca="false">IF(M18&gt;M18,1,0)</f>
        <v>0</v>
      </c>
      <c r="P18" s="18" t="str">
        <f aca="false">IF(H18&lt;0,"SHORT","ok")</f>
        <v>ok</v>
      </c>
      <c r="R18" s="19" t="n">
        <v>11</v>
      </c>
      <c r="S18" s="19" t="n">
        <f aca="false">S17+1</f>
        <v>68</v>
      </c>
      <c r="T18" s="19" t="n">
        <f aca="false">T17+1</f>
        <v>2036</v>
      </c>
      <c r="U18" s="13" t="n">
        <f aca="false">IF(Inputs!$B$15="B",Inputs!$D$29,Inputs!$C$29)</f>
        <v>0.38</v>
      </c>
      <c r="V18" s="11" t="n">
        <f aca="false">Z17</f>
        <v>0</v>
      </c>
      <c r="W18" s="11" t="n">
        <f aca="false">IF(R18&lt;=$W$4,V18/($W$4-R18+1),0)</f>
        <v>0</v>
      </c>
      <c r="X18" s="11" t="n">
        <f aca="false">W18*U18</f>
        <v>0</v>
      </c>
      <c r="Y18" s="11" t="n">
        <f aca="false">AB17-X18</f>
        <v>812239.100311071</v>
      </c>
      <c r="Z18" s="11" t="n">
        <f aca="false">(V18-W18)*(1+Inputs!$B$4)</f>
        <v>0</v>
      </c>
      <c r="AA18" s="11" t="n">
        <f aca="false">(AA17+W18)*(1+Inputs!$B$4)</f>
        <v>3281084.2120265</v>
      </c>
      <c r="AB18" s="11" t="n">
        <f aca="false">Y18*(1+Inputs!$B$4*(1-Inputs!$B$8))</f>
        <v>889401.814840623</v>
      </c>
      <c r="AC18" s="11" t="n">
        <f aca="false">IF(AB17&lt;=0,0,AC17*Y18/AB17)</f>
        <v>327750</v>
      </c>
      <c r="AD18" s="11" t="n">
        <f aca="false">AA18+Z18*(1-Inputs!$B$6)+AB18-(AB18-AC18)*Inputs!$B$9</f>
        <v>4024456.55500856</v>
      </c>
      <c r="AE18" s="12" t="n">
        <f aca="false">AA18/(AA18+Z18+AB18)</f>
        <v>0.786739049331202</v>
      </c>
      <c r="AF18" s="19" t="n">
        <f aca="false">IF(AD18&gt;M18,1,0)</f>
        <v>0</v>
      </c>
      <c r="AG18" s="18" t="str">
        <f aca="false">IF(Y18&lt;0,"SHORT","ok")</f>
        <v>ok</v>
      </c>
      <c r="AI18" s="19" t="n">
        <v>11</v>
      </c>
      <c r="AJ18" s="19" t="n">
        <f aca="false">AJ17+1</f>
        <v>68</v>
      </c>
      <c r="AK18" s="19" t="n">
        <f aca="false">AK17+1</f>
        <v>2036</v>
      </c>
      <c r="AL18" s="13" t="n">
        <f aca="false">IF(Inputs!$B$15="B",Inputs!$D$29,Inputs!$C$29)</f>
        <v>0.38</v>
      </c>
      <c r="AM18" s="11" t="n">
        <f aca="false">AQ17</f>
        <v>0</v>
      </c>
      <c r="AN18" s="11" t="n">
        <f aca="false">IF(AI18&lt;=$AN$4,AM18/($AN$4-AI18+1),0)</f>
        <v>0</v>
      </c>
      <c r="AO18" s="11" t="n">
        <f aca="false">AN18*AL18</f>
        <v>0</v>
      </c>
      <c r="AP18" s="11" t="n">
        <f aca="false">AS17-AO18</f>
        <v>807286.434344003</v>
      </c>
      <c r="AQ18" s="11" t="n">
        <f aca="false">(AM18-AN18)*(1+Inputs!$B$4)</f>
        <v>0</v>
      </c>
      <c r="AR18" s="11" t="n">
        <f aca="false">(AR17+AN18)*(1+Inputs!$B$4)</f>
        <v>3281084.2120265</v>
      </c>
      <c r="AS18" s="11" t="n">
        <f aca="false">AP18*(1+Inputs!$B$4*(1-Inputs!$B$8))</f>
        <v>883978.645606684</v>
      </c>
      <c r="AT18" s="11" t="n">
        <f aca="false">IF(AS17&lt;=0,0,AT17*AP18/AS17)</f>
        <v>325751.529020107</v>
      </c>
      <c r="AU18" s="11" t="n">
        <f aca="false">AR18+AQ18*(1-Inputs!$B$6)+AS18-(AS18-AT18)*Inputs!$B$9</f>
        <v>4019923.80732068</v>
      </c>
      <c r="AV18" s="12" t="n">
        <f aca="false">AR18/(AR18+AQ18+AS18)</f>
        <v>0.787763432192472</v>
      </c>
      <c r="AW18" s="19" t="n">
        <f aca="false">IF(AU18&gt;M18,1,0)</f>
        <v>0</v>
      </c>
      <c r="AX18" s="18" t="str">
        <f aca="false">IF(AP18&lt;0,"SHORT","ok")</f>
        <v>ok</v>
      </c>
      <c r="AZ18" s="19" t="n">
        <v>11</v>
      </c>
      <c r="BA18" s="19" t="n">
        <f aca="false">BA17+1</f>
        <v>68</v>
      </c>
      <c r="BB18" s="19" t="n">
        <f aca="false">BB17+1</f>
        <v>2036</v>
      </c>
      <c r="BC18" s="13" t="n">
        <f aca="false">IF(Inputs!$B$15="B",Inputs!$D$29,Inputs!$C$29)</f>
        <v>0.38</v>
      </c>
      <c r="BD18" s="11" t="n">
        <f aca="false">BH17</f>
        <v>0</v>
      </c>
      <c r="BE18" s="11" t="n">
        <f aca="false">IF(AZ18&lt;=$BE$4,BD18/($BE$4-AZ18+1),0)</f>
        <v>0</v>
      </c>
      <c r="BF18" s="11" t="n">
        <f aca="false">BE18*BC18</f>
        <v>0</v>
      </c>
      <c r="BG18" s="11" t="n">
        <f aca="false">BJ17-BF18</f>
        <v>802303.55778337</v>
      </c>
      <c r="BH18" s="11" t="n">
        <f aca="false">(BD18-BE18)*(1+Inputs!$B$4)</f>
        <v>0</v>
      </c>
      <c r="BI18" s="11" t="n">
        <f aca="false">(BI17+BE18)*(1+Inputs!$B$4)</f>
        <v>3281084.2120265</v>
      </c>
      <c r="BJ18" s="11" t="n">
        <f aca="false">BG18*(1+Inputs!$B$4*(1-Inputs!$B$8))</f>
        <v>878522.39577279</v>
      </c>
      <c r="BK18" s="11" t="n">
        <f aca="false">IF(BJ17&lt;=0,0,BK17*BG18/BJ17)</f>
        <v>323740.86763712</v>
      </c>
      <c r="BL18" s="11" t="n">
        <f aca="false">BI18+BH18*(1-Inputs!$B$6)+BJ18-(BJ18-BK18)*Inputs!$B$9</f>
        <v>4015363.41048402</v>
      </c>
      <c r="BM18" s="12" t="n">
        <f aca="false">BI18/(BI18+BH18+BJ18)</f>
        <v>0.788796759259505</v>
      </c>
      <c r="BN18" s="19" t="n">
        <f aca="false">IF(BL18&gt;M18,1,0)</f>
        <v>0</v>
      </c>
      <c r="BO18" s="18" t="str">
        <f aca="false">IF(BG18&lt;0,"SHORT","ok")</f>
        <v>ok</v>
      </c>
      <c r="BQ18" s="19" t="n">
        <v>11</v>
      </c>
      <c r="BR18" s="19" t="n">
        <f aca="false">BR17+1</f>
        <v>68</v>
      </c>
      <c r="BS18" s="19" t="n">
        <f aca="false">BS17+1</f>
        <v>2036</v>
      </c>
      <c r="BT18" s="13" t="n">
        <f aca="false">IF(Inputs!$B$15="B",Inputs!$D$29,Inputs!$C$29)</f>
        <v>0.38</v>
      </c>
      <c r="BU18" s="11" t="n">
        <f aca="false">BY17</f>
        <v>0</v>
      </c>
      <c r="BV18" s="11" t="n">
        <f aca="false">IF(BQ18&lt;=$BV$4,BU18/($BV$4-BQ18+1),0)</f>
        <v>0</v>
      </c>
      <c r="BW18" s="11" t="n">
        <f aca="false">BV18*BT18</f>
        <v>0</v>
      </c>
      <c r="BX18" s="11" t="n">
        <f aca="false">CA17-BW18</f>
        <v>794772.144092895</v>
      </c>
      <c r="BY18" s="11" t="n">
        <f aca="false">(BU18-BV18)*(1+Inputs!$B$4)</f>
        <v>0</v>
      </c>
      <c r="BZ18" s="11" t="n">
        <f aca="false">(BZ17+BV18)*(1+Inputs!$B$4)</f>
        <v>3281084.2120265</v>
      </c>
      <c r="CA18" s="11" t="n">
        <f aca="false">BX18*(1+Inputs!$B$4*(1-Inputs!$B$8))</f>
        <v>870275.49778172</v>
      </c>
      <c r="CB18" s="11" t="n">
        <f aca="false">IF(CA17&lt;=0,0,CB17*BX18/CA17)</f>
        <v>320701.835366809</v>
      </c>
      <c r="CC18" s="11" t="n">
        <f aca="false">BZ18+BY18*(1-Inputs!$B$6)+CA18-(CA18-CB18)*Inputs!$B$9</f>
        <v>4008470.55758035</v>
      </c>
      <c r="CD18" s="12" t="n">
        <f aca="false">BZ18/(BZ18+BY18+CA18)</f>
        <v>0.790363746190059</v>
      </c>
      <c r="CE18" s="19" t="n">
        <f aca="false">IF(CC18&gt;M18,1,0)</f>
        <v>0</v>
      </c>
      <c r="CF18" s="18" t="str">
        <f aca="false">IF(BX18&lt;0,"SHORT","ok")</f>
        <v>ok</v>
      </c>
      <c r="CH18" s="19" t="n">
        <v>11</v>
      </c>
      <c r="CI18" s="19" t="n">
        <f aca="false">CI17+1</f>
        <v>68</v>
      </c>
      <c r="CJ18" s="19" t="n">
        <f aca="false">CJ17+1</f>
        <v>2036</v>
      </c>
      <c r="CK18" s="13" t="n">
        <f aca="false">IF(Inputs!$B$15="B",Inputs!$D$29,Inputs!$C$29)</f>
        <v>0.38</v>
      </c>
      <c r="CL18" s="11" t="n">
        <f aca="false">CP17</f>
        <v>0</v>
      </c>
      <c r="CM18" s="11" t="n">
        <f aca="false">IF(CH18&lt;=$CM$4,CL18/($CM$4-CH18+1),0)</f>
        <v>0</v>
      </c>
      <c r="CN18" s="11" t="n">
        <f aca="false">CM18*CK18</f>
        <v>0</v>
      </c>
      <c r="CO18" s="11" t="n">
        <f aca="false">CR17-CN18</f>
        <v>789712.830580751</v>
      </c>
      <c r="CP18" s="11" t="n">
        <f aca="false">(CL18-CM18)*(1+Inputs!$B$4)</f>
        <v>0</v>
      </c>
      <c r="CQ18" s="11" t="n">
        <f aca="false">(CQ17+CM18)*(1+Inputs!$B$4)</f>
        <v>3281084.2120265</v>
      </c>
      <c r="CR18" s="11" t="n">
        <f aca="false">CO18*(1+Inputs!$B$4*(1-Inputs!$B$8))</f>
        <v>864735.549485923</v>
      </c>
      <c r="CS18" s="11" t="n">
        <f aca="false">IF(CR17&lt;=0,0,CS17*CO18/CR17)</f>
        <v>318660.330589497</v>
      </c>
      <c r="CT18" s="11" t="n">
        <f aca="false">CQ18+CP18*(1-Inputs!$B$6)+CR18-(CR18-CS18)*Inputs!$B$9</f>
        <v>4003840.20459935</v>
      </c>
      <c r="CU18" s="12" t="n">
        <f aca="false">CQ18/(CQ18+CP18+CR18)</f>
        <v>0.791419888169364</v>
      </c>
      <c r="CV18" s="19" t="n">
        <f aca="false">IF(CT18&gt;M18,1,0)</f>
        <v>0</v>
      </c>
      <c r="CW18" s="18" t="str">
        <f aca="false">IF(CO18&lt;0,"SHORT","ok")</f>
        <v>ok</v>
      </c>
    </row>
    <row r="19" customFormat="false" ht="15" hidden="false" customHeight="false" outlineLevel="0" collapsed="false">
      <c r="A19" s="19" t="n">
        <v>12</v>
      </c>
      <c r="B19" s="19" t="n">
        <f aca="false">B18+1</f>
        <v>69</v>
      </c>
      <c r="C19" s="19" t="n">
        <f aca="false">C18+1</f>
        <v>2037</v>
      </c>
      <c r="D19" s="13" t="n">
        <f aca="false">IF(Inputs!$B$15="B",Inputs!$D$30,Inputs!$C$30)</f>
        <v>0.38</v>
      </c>
      <c r="E19" s="11" t="n">
        <f aca="false">I18</f>
        <v>3281084.2120265</v>
      </c>
      <c r="F19" s="11" t="n">
        <f aca="false">IF(A19&lt;=$F$4,E19/($F$4-A19+1),0)</f>
        <v>0</v>
      </c>
      <c r="G19" s="11" t="n">
        <f aca="false">F19*D19</f>
        <v>0</v>
      </c>
      <c r="H19" s="11" t="n">
        <f aca="false">K18-G19</f>
        <v>2075270.90129479</v>
      </c>
      <c r="I19" s="11" t="n">
        <f aca="false">(E19-F19)*(1+Inputs!$B$4)</f>
        <v>3609192.63322915</v>
      </c>
      <c r="J19" s="11" t="n">
        <f aca="false">(J18+F19)*(1+Inputs!$B$4)</f>
        <v>0</v>
      </c>
      <c r="K19" s="11" t="n">
        <f aca="false">H19*(1+Inputs!$B$4*(1-Inputs!$B$8))</f>
        <v>2272421.63691779</v>
      </c>
      <c r="L19" s="11" t="n">
        <f aca="false">IF(K18&lt;=0,0,L18*H19/K18)</f>
        <v>764750</v>
      </c>
      <c r="M19" s="11" t="n">
        <f aca="false">J19+I19*(1-Inputs!$B$6)+K19-(K19-L19)*Inputs!$B$9</f>
        <v>4406861.85457957</v>
      </c>
      <c r="N19" s="12" t="n">
        <f aca="false">J19/(J19+I19+K19)</f>
        <v>0</v>
      </c>
      <c r="O19" s="19" t="n">
        <f aca="false">IF(M19&gt;M19,1,0)</f>
        <v>0</v>
      </c>
      <c r="P19" s="18" t="str">
        <f aca="false">IF(H19&lt;0,"SHORT","ok")</f>
        <v>ok</v>
      </c>
      <c r="R19" s="19" t="n">
        <v>12</v>
      </c>
      <c r="S19" s="19" t="n">
        <f aca="false">S18+1</f>
        <v>69</v>
      </c>
      <c r="T19" s="19" t="n">
        <f aca="false">T18+1</f>
        <v>2037</v>
      </c>
      <c r="U19" s="13" t="n">
        <f aca="false">IF(Inputs!$B$15="B",Inputs!$D$30,Inputs!$C$30)</f>
        <v>0.38</v>
      </c>
      <c r="V19" s="11" t="n">
        <f aca="false">Z18</f>
        <v>0</v>
      </c>
      <c r="W19" s="11" t="n">
        <f aca="false">IF(R19&lt;=$W$4,V19/($W$4-R19+1),0)</f>
        <v>0</v>
      </c>
      <c r="X19" s="11" t="n">
        <f aca="false">W19*U19</f>
        <v>0</v>
      </c>
      <c r="Y19" s="11" t="n">
        <f aca="false">AB18-X19</f>
        <v>889401.814840623</v>
      </c>
      <c r="Z19" s="11" t="n">
        <f aca="false">(V19-W19)*(1+Inputs!$B$4)</f>
        <v>0</v>
      </c>
      <c r="AA19" s="11" t="n">
        <f aca="false">(AA18+W19)*(1+Inputs!$B$4)</f>
        <v>3609192.63322915</v>
      </c>
      <c r="AB19" s="11" t="n">
        <f aca="false">Y19*(1+Inputs!$B$4*(1-Inputs!$B$8))</f>
        <v>973894.987250482</v>
      </c>
      <c r="AC19" s="11" t="n">
        <f aca="false">IF(AB18&lt;=0,0,AC18*Y19/AB18)</f>
        <v>327750</v>
      </c>
      <c r="AD19" s="11" t="n">
        <f aca="false">AA19+Z19*(1-Inputs!$B$6)+AB19-(AB19-AC19)*Inputs!$B$9</f>
        <v>4415089.92379451</v>
      </c>
      <c r="AE19" s="12" t="n">
        <f aca="false">AA19/(AA19+Z19+AB19)</f>
        <v>0.787502428952349</v>
      </c>
      <c r="AF19" s="19" t="n">
        <f aca="false">IF(AD19&gt;M19,1,0)</f>
        <v>1</v>
      </c>
      <c r="AG19" s="18" t="str">
        <f aca="false">IF(Y19&lt;0,"SHORT","ok")</f>
        <v>ok</v>
      </c>
      <c r="AI19" s="19" t="n">
        <v>12</v>
      </c>
      <c r="AJ19" s="19" t="n">
        <f aca="false">AJ18+1</f>
        <v>69</v>
      </c>
      <c r="AK19" s="19" t="n">
        <f aca="false">AK18+1</f>
        <v>2037</v>
      </c>
      <c r="AL19" s="13" t="n">
        <f aca="false">IF(Inputs!$B$15="B",Inputs!$D$30,Inputs!$C$30)</f>
        <v>0.38</v>
      </c>
      <c r="AM19" s="11" t="n">
        <f aca="false">AQ18</f>
        <v>0</v>
      </c>
      <c r="AN19" s="11" t="n">
        <f aca="false">IF(AI19&lt;=$AN$4,AM19/($AN$4-AI19+1),0)</f>
        <v>0</v>
      </c>
      <c r="AO19" s="11" t="n">
        <f aca="false">AN19*AL19</f>
        <v>0</v>
      </c>
      <c r="AP19" s="11" t="n">
        <f aca="false">AS18-AO19</f>
        <v>883978.645606684</v>
      </c>
      <c r="AQ19" s="11" t="n">
        <f aca="false">(AM19-AN19)*(1+Inputs!$B$4)</f>
        <v>0</v>
      </c>
      <c r="AR19" s="11" t="n">
        <f aca="false">(AR18+AN19)*(1+Inputs!$B$4)</f>
        <v>3609192.63322915</v>
      </c>
      <c r="AS19" s="11" t="n">
        <f aca="false">AP19*(1+Inputs!$B$4*(1-Inputs!$B$8))</f>
        <v>967956.616939318</v>
      </c>
      <c r="AT19" s="11" t="n">
        <f aca="false">IF(AS18&lt;=0,0,AT18*AP19/AS18)</f>
        <v>325751.529020107</v>
      </c>
      <c r="AU19" s="11" t="n">
        <f aca="false">AR19+AQ19*(1-Inputs!$B$6)+AS19-(AS19-AT19)*Inputs!$B$9</f>
        <v>4410175.92730948</v>
      </c>
      <c r="AV19" s="12" t="n">
        <f aca="false">AR19/(AR19+AQ19+AS19)</f>
        <v>0.788524130624823</v>
      </c>
      <c r="AW19" s="19" t="n">
        <f aca="false">IF(AU19&gt;M19,1,0)</f>
        <v>1</v>
      </c>
      <c r="AX19" s="18" t="str">
        <f aca="false">IF(AP19&lt;0,"SHORT","ok")</f>
        <v>ok</v>
      </c>
      <c r="AZ19" s="19" t="n">
        <v>12</v>
      </c>
      <c r="BA19" s="19" t="n">
        <f aca="false">BA18+1</f>
        <v>69</v>
      </c>
      <c r="BB19" s="19" t="n">
        <f aca="false">BB18+1</f>
        <v>2037</v>
      </c>
      <c r="BC19" s="13" t="n">
        <f aca="false">IF(Inputs!$B$15="B",Inputs!$D$30,Inputs!$C$30)</f>
        <v>0.38</v>
      </c>
      <c r="BD19" s="11" t="n">
        <f aca="false">BH18</f>
        <v>0</v>
      </c>
      <c r="BE19" s="11" t="n">
        <f aca="false">IF(AZ19&lt;=$BE$4,BD19/($BE$4-AZ19+1),0)</f>
        <v>0</v>
      </c>
      <c r="BF19" s="11" t="n">
        <f aca="false">BE19*BC19</f>
        <v>0</v>
      </c>
      <c r="BG19" s="11" t="n">
        <f aca="false">BJ18-BF19</f>
        <v>878522.39577279</v>
      </c>
      <c r="BH19" s="11" t="n">
        <f aca="false">(BD19-BE19)*(1+Inputs!$B$4)</f>
        <v>0</v>
      </c>
      <c r="BI19" s="11" t="n">
        <f aca="false">(BI18+BE19)*(1+Inputs!$B$4)</f>
        <v>3609192.63322916</v>
      </c>
      <c r="BJ19" s="11" t="n">
        <f aca="false">BG19*(1+Inputs!$B$4*(1-Inputs!$B$8))</f>
        <v>961982.023371205</v>
      </c>
      <c r="BK19" s="11" t="n">
        <f aca="false">IF(BJ18&lt;=0,0,BK18*BG19/BJ18)</f>
        <v>323740.86763712</v>
      </c>
      <c r="BL19" s="11" t="n">
        <f aca="false">BI19+BH19*(1-Inputs!$B$6)+BJ19-(BJ19-BK19)*Inputs!$B$9</f>
        <v>4405231.9561095</v>
      </c>
      <c r="BM19" s="12" t="n">
        <f aca="false">BI19/(BI19+BH19+BJ19)</f>
        <v>0.789554743443856</v>
      </c>
      <c r="BN19" s="19" t="n">
        <f aca="false">IF(BL19&gt;M19,1,0)</f>
        <v>0</v>
      </c>
      <c r="BO19" s="18" t="str">
        <f aca="false">IF(BG19&lt;0,"SHORT","ok")</f>
        <v>ok</v>
      </c>
      <c r="BQ19" s="19" t="n">
        <v>12</v>
      </c>
      <c r="BR19" s="19" t="n">
        <f aca="false">BR18+1</f>
        <v>69</v>
      </c>
      <c r="BS19" s="19" t="n">
        <f aca="false">BS18+1</f>
        <v>2037</v>
      </c>
      <c r="BT19" s="13" t="n">
        <f aca="false">IF(Inputs!$B$15="B",Inputs!$D$30,Inputs!$C$30)</f>
        <v>0.38</v>
      </c>
      <c r="BU19" s="11" t="n">
        <f aca="false">BY18</f>
        <v>0</v>
      </c>
      <c r="BV19" s="11" t="n">
        <f aca="false">IF(BQ19&lt;=$BV$4,BU19/($BV$4-BQ19+1),0)</f>
        <v>0</v>
      </c>
      <c r="BW19" s="11" t="n">
        <f aca="false">BV19*BT19</f>
        <v>0</v>
      </c>
      <c r="BX19" s="11" t="n">
        <f aca="false">CA18-BW19</f>
        <v>870275.49778172</v>
      </c>
      <c r="BY19" s="11" t="n">
        <f aca="false">(BU19-BV19)*(1+Inputs!$B$4)</f>
        <v>0</v>
      </c>
      <c r="BZ19" s="11" t="n">
        <f aca="false">(BZ18+BV19)*(1+Inputs!$B$4)</f>
        <v>3609192.63322915</v>
      </c>
      <c r="CA19" s="11" t="n">
        <f aca="false">BX19*(1+Inputs!$B$4*(1-Inputs!$B$8))</f>
        <v>952951.670070983</v>
      </c>
      <c r="CB19" s="11" t="n">
        <f aca="false">IF(CA18&lt;=0,0,CB18*BX19/CA18)</f>
        <v>320701.835366809</v>
      </c>
      <c r="CC19" s="11" t="n">
        <f aca="false">BZ19+BY19*(1-Inputs!$B$6)+CA19-(CA19-CB19)*Inputs!$B$9</f>
        <v>4397759.34627705</v>
      </c>
      <c r="CD19" s="12" t="n">
        <f aca="false">BZ19/(BZ19+BY19+CA19)</f>
        <v>0.791117595867881</v>
      </c>
      <c r="CE19" s="19" t="n">
        <f aca="false">IF(CC19&gt;M19,1,0)</f>
        <v>0</v>
      </c>
      <c r="CF19" s="18" t="str">
        <f aca="false">IF(BX19&lt;0,"SHORT","ok")</f>
        <v>ok</v>
      </c>
      <c r="CH19" s="19" t="n">
        <v>12</v>
      </c>
      <c r="CI19" s="19" t="n">
        <f aca="false">CI18+1</f>
        <v>69</v>
      </c>
      <c r="CJ19" s="19" t="n">
        <f aca="false">CJ18+1</f>
        <v>2037</v>
      </c>
      <c r="CK19" s="13" t="n">
        <f aca="false">IF(Inputs!$B$15="B",Inputs!$D$30,Inputs!$C$30)</f>
        <v>0.38</v>
      </c>
      <c r="CL19" s="11" t="n">
        <f aca="false">CP18</f>
        <v>0</v>
      </c>
      <c r="CM19" s="11" t="n">
        <f aca="false">IF(CH19&lt;=$CM$4,CL19/($CM$4-CH19+1),0)</f>
        <v>0</v>
      </c>
      <c r="CN19" s="11" t="n">
        <f aca="false">CM19*CK19</f>
        <v>0</v>
      </c>
      <c r="CO19" s="11" t="n">
        <f aca="false">CR18-CN19</f>
        <v>864735.549485923</v>
      </c>
      <c r="CP19" s="11" t="n">
        <f aca="false">(CL19-CM19)*(1+Inputs!$B$4)</f>
        <v>0</v>
      </c>
      <c r="CQ19" s="11" t="n">
        <f aca="false">(CQ18+CM19)*(1+Inputs!$B$4)</f>
        <v>3609192.63322915</v>
      </c>
      <c r="CR19" s="11" t="n">
        <f aca="false">CO19*(1+Inputs!$B$4*(1-Inputs!$B$8))</f>
        <v>946885.426687085</v>
      </c>
      <c r="CS19" s="11" t="n">
        <f aca="false">IF(CR18&lt;=0,0,CS18*CO19/CR18)</f>
        <v>318660.330589497</v>
      </c>
      <c r="CT19" s="11" t="n">
        <f aca="false">CQ19+CP19*(1-Inputs!$B$6)+CR19-(CR19-CS19)*Inputs!$B$9</f>
        <v>4392739.53493086</v>
      </c>
      <c r="CU19" s="12" t="n">
        <f aca="false">CQ19/(CQ19+CP19+CR19)</f>
        <v>0.792170938637409</v>
      </c>
      <c r="CV19" s="19" t="n">
        <f aca="false">IF(CT19&gt;M19,1,0)</f>
        <v>0</v>
      </c>
      <c r="CW19" s="18" t="str">
        <f aca="false">IF(CO19&lt;0,"SHORT","ok")</f>
        <v>ok</v>
      </c>
    </row>
    <row r="20" customFormat="false" ht="15" hidden="false" customHeight="false" outlineLevel="0" collapsed="false">
      <c r="A20" s="19" t="n">
        <v>13</v>
      </c>
      <c r="B20" s="19" t="n">
        <f aca="false">B19+1</f>
        <v>70</v>
      </c>
      <c r="C20" s="19" t="n">
        <f aca="false">C19+1</f>
        <v>2038</v>
      </c>
      <c r="D20" s="13" t="n">
        <f aca="false">IF(Inputs!$B$15="B",Inputs!$D$31,Inputs!$C$31)</f>
        <v>0.38</v>
      </c>
      <c r="E20" s="11" t="n">
        <f aca="false">I19</f>
        <v>3609192.63322915</v>
      </c>
      <c r="F20" s="11" t="n">
        <f aca="false">IF(A20&lt;=$F$4,E20/($F$4-A20+1),0)</f>
        <v>0</v>
      </c>
      <c r="G20" s="11" t="n">
        <f aca="false">F20*D20</f>
        <v>0</v>
      </c>
      <c r="H20" s="11" t="n">
        <f aca="false">K19-G20</f>
        <v>2272421.63691779</v>
      </c>
      <c r="I20" s="11" t="n">
        <f aca="false">(E20-F20)*(1+Inputs!$B$4)</f>
        <v>3970111.89655207</v>
      </c>
      <c r="J20" s="11" t="n">
        <f aca="false">(J19+F20)*(1+Inputs!$B$4)</f>
        <v>0</v>
      </c>
      <c r="K20" s="11" t="n">
        <f aca="false">H20*(1+Inputs!$B$4*(1-Inputs!$B$8))</f>
        <v>2488301.69242498</v>
      </c>
      <c r="L20" s="11" t="n">
        <f aca="false">IF(K19&lt;=0,0,L19*H20/K19)</f>
        <v>764750</v>
      </c>
      <c r="M20" s="11" t="n">
        <f aca="false">J20+I20*(1-Inputs!$B$6)+K20-(K20-L20)*Inputs!$B$9</f>
        <v>4819256.57998093</v>
      </c>
      <c r="N20" s="12" t="n">
        <f aca="false">J20/(J20+I20+K20)</f>
        <v>0</v>
      </c>
      <c r="O20" s="19" t="n">
        <f aca="false">IF(M20&gt;M20,1,0)</f>
        <v>0</v>
      </c>
      <c r="P20" s="18" t="str">
        <f aca="false">IF(H20&lt;0,"SHORT","ok")</f>
        <v>ok</v>
      </c>
      <c r="R20" s="19" t="n">
        <v>13</v>
      </c>
      <c r="S20" s="19" t="n">
        <f aca="false">S19+1</f>
        <v>70</v>
      </c>
      <c r="T20" s="19" t="n">
        <f aca="false">T19+1</f>
        <v>2038</v>
      </c>
      <c r="U20" s="13" t="n">
        <f aca="false">IF(Inputs!$B$15="B",Inputs!$D$31,Inputs!$C$31)</f>
        <v>0.38</v>
      </c>
      <c r="V20" s="11" t="n">
        <f aca="false">Z19</f>
        <v>0</v>
      </c>
      <c r="W20" s="11" t="n">
        <f aca="false">IF(R20&lt;=$W$4,V20/($W$4-R20+1),0)</f>
        <v>0</v>
      </c>
      <c r="X20" s="11" t="n">
        <f aca="false">W20*U20</f>
        <v>0</v>
      </c>
      <c r="Y20" s="11" t="n">
        <f aca="false">AB19-X20</f>
        <v>973894.987250482</v>
      </c>
      <c r="Z20" s="11" t="n">
        <f aca="false">(V20-W20)*(1+Inputs!$B$4)</f>
        <v>0</v>
      </c>
      <c r="AA20" s="11" t="n">
        <f aca="false">(AA19+W20)*(1+Inputs!$B$4)</f>
        <v>3970111.89655207</v>
      </c>
      <c r="AB20" s="11" t="n">
        <f aca="false">Y20*(1+Inputs!$B$4*(1-Inputs!$B$8))</f>
        <v>1066415.01103928</v>
      </c>
      <c r="AC20" s="11" t="n">
        <f aca="false">IF(AB19&lt;=0,0,AC19*Y20/AB19)</f>
        <v>327750</v>
      </c>
      <c r="AD20" s="11" t="n">
        <f aca="false">AA20+Z20*(1-Inputs!$B$6)+AB20-(AB20-AC20)*Inputs!$B$9</f>
        <v>4844474.00472113</v>
      </c>
      <c r="AE20" s="12" t="n">
        <f aca="false">AA20/(AA20+Z20+AB20)</f>
        <v>0.788263811430866</v>
      </c>
      <c r="AF20" s="19" t="n">
        <f aca="false">IF(AD20&gt;M20,1,0)</f>
        <v>1</v>
      </c>
      <c r="AG20" s="18" t="str">
        <f aca="false">IF(Y20&lt;0,"SHORT","ok")</f>
        <v>ok</v>
      </c>
      <c r="AI20" s="19" t="n">
        <v>13</v>
      </c>
      <c r="AJ20" s="19" t="n">
        <f aca="false">AJ19+1</f>
        <v>70</v>
      </c>
      <c r="AK20" s="19" t="n">
        <f aca="false">AK19+1</f>
        <v>2038</v>
      </c>
      <c r="AL20" s="13" t="n">
        <f aca="false">IF(Inputs!$B$15="B",Inputs!$D$31,Inputs!$C$31)</f>
        <v>0.38</v>
      </c>
      <c r="AM20" s="11" t="n">
        <f aca="false">AQ19</f>
        <v>0</v>
      </c>
      <c r="AN20" s="11" t="n">
        <f aca="false">IF(AI20&lt;=$AN$4,AM20/($AN$4-AI20+1),0)</f>
        <v>0</v>
      </c>
      <c r="AO20" s="11" t="n">
        <f aca="false">AN20*AL20</f>
        <v>0</v>
      </c>
      <c r="AP20" s="11" t="n">
        <f aca="false">AS19-AO20</f>
        <v>967956.616939318</v>
      </c>
      <c r="AQ20" s="11" t="n">
        <f aca="false">(AM20-AN20)*(1+Inputs!$B$4)</f>
        <v>0</v>
      </c>
      <c r="AR20" s="11" t="n">
        <f aca="false">(AR19+AN20)*(1+Inputs!$B$4)</f>
        <v>3970111.89655207</v>
      </c>
      <c r="AS20" s="11" t="n">
        <f aca="false">AP20*(1+Inputs!$B$4*(1-Inputs!$B$8))</f>
        <v>1059912.49554855</v>
      </c>
      <c r="AT20" s="11" t="n">
        <f aca="false">IF(AS19&lt;=0,0,AT19*AP20/AS19)</f>
        <v>325751.529020107</v>
      </c>
      <c r="AU20" s="11" t="n">
        <f aca="false">AR20+AQ20*(1-Inputs!$B$6)+AS20-(AS20-AT20)*Inputs!$B$9</f>
        <v>4839142.54080323</v>
      </c>
      <c r="AV20" s="12" t="n">
        <f aca="false">AR20/(AR20+AQ20+AS20)</f>
        <v>0.789282831865967</v>
      </c>
      <c r="AW20" s="19" t="n">
        <f aca="false">IF(AU20&gt;M20,1,0)</f>
        <v>1</v>
      </c>
      <c r="AX20" s="18" t="str">
        <f aca="false">IF(AP20&lt;0,"SHORT","ok")</f>
        <v>ok</v>
      </c>
      <c r="AZ20" s="19" t="n">
        <v>13</v>
      </c>
      <c r="BA20" s="19" t="n">
        <f aca="false">BA19+1</f>
        <v>70</v>
      </c>
      <c r="BB20" s="19" t="n">
        <f aca="false">BB19+1</f>
        <v>2038</v>
      </c>
      <c r="BC20" s="13" t="n">
        <f aca="false">IF(Inputs!$B$15="B",Inputs!$D$31,Inputs!$C$31)</f>
        <v>0.38</v>
      </c>
      <c r="BD20" s="11" t="n">
        <f aca="false">BH19</f>
        <v>0</v>
      </c>
      <c r="BE20" s="11" t="n">
        <f aca="false">IF(AZ20&lt;=$BE$4,BD20/($BE$4-AZ20+1),0)</f>
        <v>0</v>
      </c>
      <c r="BF20" s="11" t="n">
        <f aca="false">BE20*BC20</f>
        <v>0</v>
      </c>
      <c r="BG20" s="11" t="n">
        <f aca="false">BJ19-BF20</f>
        <v>961982.023371205</v>
      </c>
      <c r="BH20" s="11" t="n">
        <f aca="false">(BD20-BE20)*(1+Inputs!$B$4)</f>
        <v>0</v>
      </c>
      <c r="BI20" s="11" t="n">
        <f aca="false">(BI19+BE20)*(1+Inputs!$B$4)</f>
        <v>3970111.89655207</v>
      </c>
      <c r="BJ20" s="11" t="n">
        <f aca="false">BG20*(1+Inputs!$B$4*(1-Inputs!$B$8))</f>
        <v>1053370.31559147</v>
      </c>
      <c r="BK20" s="11" t="n">
        <f aca="false">IF(BJ19&lt;=0,0,BK19*BG20/BJ19)</f>
        <v>323740.86763712</v>
      </c>
      <c r="BL20" s="11" t="n">
        <f aca="false">BI20+BH20*(1-Inputs!$B$6)+BJ20-(BJ20-BK20)*Inputs!$B$9</f>
        <v>4833778.55567541</v>
      </c>
      <c r="BM20" s="12" t="n">
        <f aca="false">BI20/(BI20+BH20+BJ20)</f>
        <v>0.790310730464</v>
      </c>
      <c r="BN20" s="19" t="n">
        <f aca="false">IF(BL20&gt;M20,1,0)</f>
        <v>1</v>
      </c>
      <c r="BO20" s="18" t="str">
        <f aca="false">IF(BG20&lt;0,"SHORT","ok")</f>
        <v>ok</v>
      </c>
      <c r="BQ20" s="19" t="n">
        <v>13</v>
      </c>
      <c r="BR20" s="19" t="n">
        <f aca="false">BR19+1</f>
        <v>70</v>
      </c>
      <c r="BS20" s="19" t="n">
        <f aca="false">BS19+1</f>
        <v>2038</v>
      </c>
      <c r="BT20" s="13" t="n">
        <f aca="false">IF(Inputs!$B$15="B",Inputs!$D$31,Inputs!$C$31)</f>
        <v>0.38</v>
      </c>
      <c r="BU20" s="11" t="n">
        <f aca="false">BY19</f>
        <v>0</v>
      </c>
      <c r="BV20" s="11" t="n">
        <f aca="false">IF(BQ20&lt;=$BV$4,BU20/($BV$4-BQ20+1),0)</f>
        <v>0</v>
      </c>
      <c r="BW20" s="11" t="n">
        <f aca="false">BV20*BT20</f>
        <v>0</v>
      </c>
      <c r="BX20" s="11" t="n">
        <f aca="false">CA19-BW20</f>
        <v>952951.670070983</v>
      </c>
      <c r="BY20" s="11" t="n">
        <f aca="false">(BU20-BV20)*(1+Inputs!$B$4)</f>
        <v>0</v>
      </c>
      <c r="BZ20" s="11" t="n">
        <f aca="false">(BZ19+BV20)*(1+Inputs!$B$4)</f>
        <v>3970111.89655207</v>
      </c>
      <c r="CA20" s="11" t="n">
        <f aca="false">BX20*(1+Inputs!$B$4*(1-Inputs!$B$8))</f>
        <v>1043482.07872773</v>
      </c>
      <c r="CB20" s="11" t="n">
        <f aca="false">IF(CA19&lt;=0,0,CB19*BX20/CA19)</f>
        <v>320701.835366809</v>
      </c>
      <c r="CC20" s="11" t="n">
        <f aca="false">BZ20+BY20*(1-Inputs!$B$6)+CA20-(CA20-CB20)*Inputs!$B$9</f>
        <v>4825671.11200596</v>
      </c>
      <c r="CD20" s="12" t="n">
        <f aca="false">BZ20/(BZ20+BY20+CA20)</f>
        <v>0.79186944856868</v>
      </c>
      <c r="CE20" s="19" t="n">
        <f aca="false">IF(CC20&gt;M20,1,0)</f>
        <v>1</v>
      </c>
      <c r="CF20" s="18" t="str">
        <f aca="false">IF(BX20&lt;0,"SHORT","ok")</f>
        <v>ok</v>
      </c>
      <c r="CH20" s="19" t="n">
        <v>13</v>
      </c>
      <c r="CI20" s="19" t="n">
        <f aca="false">CI19+1</f>
        <v>70</v>
      </c>
      <c r="CJ20" s="19" t="n">
        <f aca="false">CJ19+1</f>
        <v>2038</v>
      </c>
      <c r="CK20" s="13" t="n">
        <f aca="false">IF(Inputs!$B$15="B",Inputs!$D$31,Inputs!$C$31)</f>
        <v>0.38</v>
      </c>
      <c r="CL20" s="11" t="n">
        <f aca="false">CP19</f>
        <v>0</v>
      </c>
      <c r="CM20" s="11" t="n">
        <f aca="false">IF(CH20&lt;=$CM$4,CL20/($CM$4-CH20+1),0)</f>
        <v>0</v>
      </c>
      <c r="CN20" s="11" t="n">
        <f aca="false">CM20*CK20</f>
        <v>0</v>
      </c>
      <c r="CO20" s="11" t="n">
        <f aca="false">CR19-CN20</f>
        <v>946885.426687085</v>
      </c>
      <c r="CP20" s="11" t="n">
        <f aca="false">(CL20-CM20)*(1+Inputs!$B$4)</f>
        <v>0</v>
      </c>
      <c r="CQ20" s="11" t="n">
        <f aca="false">(CQ19+CM20)*(1+Inputs!$B$4)</f>
        <v>3970111.89655207</v>
      </c>
      <c r="CR20" s="11" t="n">
        <f aca="false">CO20*(1+Inputs!$B$4*(1-Inputs!$B$8))</f>
        <v>1036839.54222236</v>
      </c>
      <c r="CS20" s="11" t="n">
        <f aca="false">IF(CR19&lt;=0,0,CS19*CO20/CR19)</f>
        <v>318660.330589497</v>
      </c>
      <c r="CT20" s="11" t="n">
        <f aca="false">CQ20+CP20*(1-Inputs!$B$6)+CR20-(CR20-CS20)*Inputs!$B$9</f>
        <v>4820224.84374988</v>
      </c>
      <c r="CU20" s="12" t="n">
        <f aca="false">CQ20/(CQ20+CP20+CR20)</f>
        <v>0.792919992354439</v>
      </c>
      <c r="CV20" s="19" t="n">
        <f aca="false">IF(CT20&gt;M20,1,0)</f>
        <v>1</v>
      </c>
      <c r="CW20" s="18" t="str">
        <f aca="false">IF(CO20&lt;0,"SHORT","ok")</f>
        <v>ok</v>
      </c>
    </row>
    <row r="21" customFormat="false" ht="15" hidden="false" customHeight="false" outlineLevel="0" collapsed="false">
      <c r="A21" s="19" t="n">
        <v>14</v>
      </c>
      <c r="B21" s="19" t="n">
        <f aca="false">B20+1</f>
        <v>71</v>
      </c>
      <c r="C21" s="19" t="n">
        <f aca="false">C20+1</f>
        <v>2039</v>
      </c>
      <c r="D21" s="13" t="n">
        <f aca="false">IF(Inputs!$B$15="B",Inputs!$D$32,Inputs!$C$32)</f>
        <v>0.38</v>
      </c>
      <c r="E21" s="11" t="n">
        <f aca="false">I20</f>
        <v>3970111.89655207</v>
      </c>
      <c r="F21" s="11" t="n">
        <f aca="false">IF(A21&lt;=$F$4,E21/($F$4-A21+1),0)</f>
        <v>0</v>
      </c>
      <c r="G21" s="11" t="n">
        <f aca="false">F21*D21</f>
        <v>0</v>
      </c>
      <c r="H21" s="11" t="n">
        <f aca="false">K20-G21</f>
        <v>2488301.69242498</v>
      </c>
      <c r="I21" s="11" t="n">
        <f aca="false">(E21-F21)*(1+Inputs!$B$4)</f>
        <v>4367123.08620728</v>
      </c>
      <c r="J21" s="11" t="n">
        <f aca="false">(J20+F21)*(1+Inputs!$B$4)</f>
        <v>0</v>
      </c>
      <c r="K21" s="11" t="n">
        <f aca="false">H21*(1+Inputs!$B$4*(1-Inputs!$B$8))</f>
        <v>2724690.35320535</v>
      </c>
      <c r="L21" s="11" t="n">
        <f aca="false">IF(K20&lt;=0,0,L20*H21/K20)</f>
        <v>764750</v>
      </c>
      <c r="M21" s="11" t="n">
        <f aca="false">J21+I21*(1-Inputs!$B$6)+K21-(K21-L21)*Inputs!$B$9</f>
        <v>5272092.02171706</v>
      </c>
      <c r="N21" s="12" t="n">
        <f aca="false">J21/(J21+I21+K21)</f>
        <v>0</v>
      </c>
      <c r="O21" s="19" t="n">
        <f aca="false">IF(M21&gt;M21,1,0)</f>
        <v>0</v>
      </c>
      <c r="P21" s="18" t="str">
        <f aca="false">IF(H21&lt;0,"SHORT","ok")</f>
        <v>ok</v>
      </c>
      <c r="R21" s="19" t="n">
        <v>14</v>
      </c>
      <c r="S21" s="19" t="n">
        <f aca="false">S20+1</f>
        <v>71</v>
      </c>
      <c r="T21" s="19" t="n">
        <f aca="false">T20+1</f>
        <v>2039</v>
      </c>
      <c r="U21" s="13" t="n">
        <f aca="false">IF(Inputs!$B$15="B",Inputs!$D$32,Inputs!$C$32)</f>
        <v>0.38</v>
      </c>
      <c r="V21" s="11" t="n">
        <f aca="false">Z20</f>
        <v>0</v>
      </c>
      <c r="W21" s="11" t="n">
        <f aca="false">IF(R21&lt;=$W$4,V21/($W$4-R21+1),0)</f>
        <v>0</v>
      </c>
      <c r="X21" s="11" t="n">
        <f aca="false">W21*U21</f>
        <v>0</v>
      </c>
      <c r="Y21" s="11" t="n">
        <f aca="false">AB20-X21</f>
        <v>1066415.01103928</v>
      </c>
      <c r="Z21" s="11" t="n">
        <f aca="false">(V21-W21)*(1+Inputs!$B$4)</f>
        <v>0</v>
      </c>
      <c r="AA21" s="11" t="n">
        <f aca="false">(AA20+W21)*(1+Inputs!$B$4)</f>
        <v>4367123.08620728</v>
      </c>
      <c r="AB21" s="11" t="n">
        <f aca="false">Y21*(1+Inputs!$B$4*(1-Inputs!$B$8))</f>
        <v>1167724.43708801</v>
      </c>
      <c r="AC21" s="11" t="n">
        <f aca="false">IF(AB20&lt;=0,0,AC20*Y21/AB20)</f>
        <v>327750</v>
      </c>
      <c r="AD21" s="11" t="n">
        <f aca="false">AA21+Z21*(1-Inputs!$B$6)+AB21-(AB21-AC21)*Inputs!$B$9</f>
        <v>5316454.1696524</v>
      </c>
      <c r="AE21" s="12" t="n">
        <f aca="false">AA21/(AA21+Z21+AB21)</f>
        <v>0.789023196723443</v>
      </c>
      <c r="AF21" s="19" t="n">
        <f aca="false">IF(AD21&gt;M21,1,0)</f>
        <v>1</v>
      </c>
      <c r="AG21" s="18" t="str">
        <f aca="false">IF(Y21&lt;0,"SHORT","ok")</f>
        <v>ok</v>
      </c>
      <c r="AI21" s="19" t="n">
        <v>14</v>
      </c>
      <c r="AJ21" s="19" t="n">
        <f aca="false">AJ20+1</f>
        <v>71</v>
      </c>
      <c r="AK21" s="19" t="n">
        <f aca="false">AK20+1</f>
        <v>2039</v>
      </c>
      <c r="AL21" s="13" t="n">
        <f aca="false">IF(Inputs!$B$15="B",Inputs!$D$32,Inputs!$C$32)</f>
        <v>0.38</v>
      </c>
      <c r="AM21" s="11" t="n">
        <f aca="false">AQ20</f>
        <v>0</v>
      </c>
      <c r="AN21" s="11" t="n">
        <f aca="false">IF(AI21&lt;=$AN$4,AM21/($AN$4-AI21+1),0)</f>
        <v>0</v>
      </c>
      <c r="AO21" s="11" t="n">
        <f aca="false">AN21*AL21</f>
        <v>0</v>
      </c>
      <c r="AP21" s="11" t="n">
        <f aca="false">AS20-AO21</f>
        <v>1059912.49554855</v>
      </c>
      <c r="AQ21" s="11" t="n">
        <f aca="false">(AM21-AN21)*(1+Inputs!$B$4)</f>
        <v>0</v>
      </c>
      <c r="AR21" s="11" t="n">
        <f aca="false">(AR20+AN21)*(1+Inputs!$B$4)</f>
        <v>4367123.08620728</v>
      </c>
      <c r="AS21" s="11" t="n">
        <f aca="false">AP21*(1+Inputs!$B$4*(1-Inputs!$B$8))</f>
        <v>1160604.18262567</v>
      </c>
      <c r="AT21" s="11" t="n">
        <f aca="false">IF(AS20&lt;=0,0,AT20*AP21/AS20)</f>
        <v>325751.529020107</v>
      </c>
      <c r="AU21" s="11" t="n">
        <f aca="false">AR21+AQ21*(1-Inputs!$B$6)+AS21-(AS21-AT21)*Inputs!$B$9</f>
        <v>5310665.5788955</v>
      </c>
      <c r="AV21" s="12" t="n">
        <f aca="false">AR21/(AR21+AQ21+AS21)</f>
        <v>0.790039535928352</v>
      </c>
      <c r="AW21" s="19" t="n">
        <f aca="false">IF(AU21&gt;M21,1,0)</f>
        <v>1</v>
      </c>
      <c r="AX21" s="18" t="str">
        <f aca="false">IF(AP21&lt;0,"SHORT","ok")</f>
        <v>ok</v>
      </c>
      <c r="AZ21" s="19" t="n">
        <v>14</v>
      </c>
      <c r="BA21" s="19" t="n">
        <f aca="false">BA20+1</f>
        <v>71</v>
      </c>
      <c r="BB21" s="19" t="n">
        <f aca="false">BB20+1</f>
        <v>2039</v>
      </c>
      <c r="BC21" s="13" t="n">
        <f aca="false">IF(Inputs!$B$15="B",Inputs!$D$32,Inputs!$C$32)</f>
        <v>0.38</v>
      </c>
      <c r="BD21" s="11" t="n">
        <f aca="false">BH20</f>
        <v>0</v>
      </c>
      <c r="BE21" s="11" t="n">
        <f aca="false">IF(AZ21&lt;=$BE$4,BD21/($BE$4-AZ21+1),0)</f>
        <v>0</v>
      </c>
      <c r="BF21" s="11" t="n">
        <f aca="false">BE21*BC21</f>
        <v>0</v>
      </c>
      <c r="BG21" s="11" t="n">
        <f aca="false">BJ20-BF21</f>
        <v>1053370.31559147</v>
      </c>
      <c r="BH21" s="11" t="n">
        <f aca="false">(BD21-BE21)*(1+Inputs!$B$4)</f>
        <v>0</v>
      </c>
      <c r="BI21" s="11" t="n">
        <f aca="false">(BI20+BE21)*(1+Inputs!$B$4)</f>
        <v>4367123.08620728</v>
      </c>
      <c r="BJ21" s="11" t="n">
        <f aca="false">BG21*(1+Inputs!$B$4*(1-Inputs!$B$8))</f>
        <v>1153440.49557266</v>
      </c>
      <c r="BK21" s="11" t="n">
        <f aca="false">IF(BJ20&lt;=0,0,BK20*BG21/BJ20)</f>
        <v>323740.86763712</v>
      </c>
      <c r="BL21" s="11" t="n">
        <f aca="false">BI21+BH21*(1-Inputs!$B$6)+BJ21-(BJ21-BK21)*Inputs!$B$9</f>
        <v>5304841.6785167</v>
      </c>
      <c r="BM21" s="12" t="n">
        <f aca="false">BI21/(BI21+BH21+BJ21)</f>
        <v>0.791064720388427</v>
      </c>
      <c r="BN21" s="19" t="n">
        <f aca="false">IF(BL21&gt;M21,1,0)</f>
        <v>1</v>
      </c>
      <c r="BO21" s="18" t="str">
        <f aca="false">IF(BG21&lt;0,"SHORT","ok")</f>
        <v>ok</v>
      </c>
      <c r="BQ21" s="19" t="n">
        <v>14</v>
      </c>
      <c r="BR21" s="19" t="n">
        <f aca="false">BR20+1</f>
        <v>71</v>
      </c>
      <c r="BS21" s="19" t="n">
        <f aca="false">BS20+1</f>
        <v>2039</v>
      </c>
      <c r="BT21" s="13" t="n">
        <f aca="false">IF(Inputs!$B$15="B",Inputs!$D$32,Inputs!$C$32)</f>
        <v>0.38</v>
      </c>
      <c r="BU21" s="11" t="n">
        <f aca="false">BY20</f>
        <v>0</v>
      </c>
      <c r="BV21" s="11" t="n">
        <f aca="false">IF(BQ21&lt;=$BV$4,BU21/($BV$4-BQ21+1),0)</f>
        <v>0</v>
      </c>
      <c r="BW21" s="11" t="n">
        <f aca="false">BV21*BT21</f>
        <v>0</v>
      </c>
      <c r="BX21" s="11" t="n">
        <f aca="false">CA20-BW21</f>
        <v>1043482.07872773</v>
      </c>
      <c r="BY21" s="11" t="n">
        <f aca="false">(BU21-BV21)*(1+Inputs!$B$4)</f>
        <v>0</v>
      </c>
      <c r="BZ21" s="11" t="n">
        <f aca="false">(BZ20+BV21)*(1+Inputs!$B$4)</f>
        <v>4367123.08620728</v>
      </c>
      <c r="CA21" s="11" t="n">
        <f aca="false">BX21*(1+Inputs!$B$4*(1-Inputs!$B$8))</f>
        <v>1142612.87620686</v>
      </c>
      <c r="CB21" s="11" t="n">
        <f aca="false">IF(CA20&lt;=0,0,CB20*BX21/CA20)</f>
        <v>320701.835366809</v>
      </c>
      <c r="CC21" s="11" t="n">
        <f aca="false">BZ21+BY21*(1-Inputs!$B$6)+CA21-(CA21-CB21)*Inputs!$B$9</f>
        <v>5296039.09179573</v>
      </c>
      <c r="CD21" s="12" t="n">
        <f aca="false">BZ21/(BZ21+BY21+CA21)</f>
        <v>0.792619304445541</v>
      </c>
      <c r="CE21" s="19" t="n">
        <f aca="false">IF(CC21&gt;M21,1,0)</f>
        <v>1</v>
      </c>
      <c r="CF21" s="18" t="str">
        <f aca="false">IF(BX21&lt;0,"SHORT","ok")</f>
        <v>ok</v>
      </c>
      <c r="CH21" s="19" t="n">
        <v>14</v>
      </c>
      <c r="CI21" s="19" t="n">
        <f aca="false">CI20+1</f>
        <v>71</v>
      </c>
      <c r="CJ21" s="19" t="n">
        <f aca="false">CJ20+1</f>
        <v>2039</v>
      </c>
      <c r="CK21" s="13" t="n">
        <f aca="false">IF(Inputs!$B$15="B",Inputs!$D$32,Inputs!$C$32)</f>
        <v>0.38</v>
      </c>
      <c r="CL21" s="11" t="n">
        <f aca="false">CP20</f>
        <v>0</v>
      </c>
      <c r="CM21" s="11" t="n">
        <f aca="false">IF(CH21&lt;=$CM$4,CL21/($CM$4-CH21+1),0)</f>
        <v>0</v>
      </c>
      <c r="CN21" s="11" t="n">
        <f aca="false">CM21*CK21</f>
        <v>0</v>
      </c>
      <c r="CO21" s="11" t="n">
        <f aca="false">CR20-CN21</f>
        <v>1036839.54222236</v>
      </c>
      <c r="CP21" s="11" t="n">
        <f aca="false">(CL21-CM21)*(1+Inputs!$B$4)</f>
        <v>0</v>
      </c>
      <c r="CQ21" s="11" t="n">
        <f aca="false">(CQ20+CM21)*(1+Inputs!$B$4)</f>
        <v>4367123.08620728</v>
      </c>
      <c r="CR21" s="11" t="n">
        <f aca="false">CO21*(1+Inputs!$B$4*(1-Inputs!$B$8))</f>
        <v>1135339.29873348</v>
      </c>
      <c r="CS21" s="11" t="n">
        <f aca="false">IF(CR20&lt;=0,0,CS20*CO21/CR20)</f>
        <v>318660.330589497</v>
      </c>
      <c r="CT21" s="11" t="n">
        <f aca="false">CQ21+CP21*(1-Inputs!$B$6)+CR21-(CR21-CS21)*Inputs!$B$9</f>
        <v>5290125.85322332</v>
      </c>
      <c r="CU21" s="12" t="n">
        <f aca="false">CQ21/(CQ21+CP21+CR21)</f>
        <v>0.793667049530279</v>
      </c>
      <c r="CV21" s="19" t="n">
        <f aca="false">IF(CT21&gt;M21,1,0)</f>
        <v>1</v>
      </c>
      <c r="CW21" s="18" t="str">
        <f aca="false">IF(CO21&lt;0,"SHORT","ok")</f>
        <v>ok</v>
      </c>
    </row>
    <row r="22" customFormat="false" ht="15" hidden="false" customHeight="false" outlineLevel="0" collapsed="false">
      <c r="A22" s="19" t="n">
        <v>15</v>
      </c>
      <c r="B22" s="19" t="n">
        <f aca="false">B21+1</f>
        <v>72</v>
      </c>
      <c r="C22" s="19" t="n">
        <f aca="false">C21+1</f>
        <v>2040</v>
      </c>
      <c r="D22" s="13" t="n">
        <f aca="false">IF(Inputs!$B$15="B",Inputs!$D$33,Inputs!$C$33)</f>
        <v>0.38</v>
      </c>
      <c r="E22" s="11" t="n">
        <f aca="false">I21</f>
        <v>4367123.08620728</v>
      </c>
      <c r="F22" s="11" t="n">
        <f aca="false">IF(A22&lt;=$F$4,E22/($F$4-A22+1),0)</f>
        <v>0</v>
      </c>
      <c r="G22" s="11" t="n">
        <f aca="false">F22*D22</f>
        <v>0</v>
      </c>
      <c r="H22" s="11" t="n">
        <f aca="false">K21-G22</f>
        <v>2724690.35320535</v>
      </c>
      <c r="I22" s="11" t="n">
        <f aca="false">(E22-F22)*(1+Inputs!$B$4)</f>
        <v>4803835.394828</v>
      </c>
      <c r="J22" s="11" t="n">
        <f aca="false">(J21+F22)*(1+Inputs!$B$4)</f>
        <v>0</v>
      </c>
      <c r="K22" s="11" t="n">
        <f aca="false">H22*(1+Inputs!$B$4*(1-Inputs!$B$8))</f>
        <v>2983535.93675986</v>
      </c>
      <c r="L22" s="11" t="n">
        <f aca="false">IF(K21&lt;=0,0,L21*H22/K21)</f>
        <v>764750</v>
      </c>
      <c r="M22" s="11" t="n">
        <f aca="false">J22+I22*(1-Inputs!$B$6)+K22-(K22-L22)*Inputs!$B$9</f>
        <v>5769336.3695819</v>
      </c>
      <c r="N22" s="12" t="n">
        <f aca="false">J22/(J22+I22+K22)</f>
        <v>0</v>
      </c>
      <c r="O22" s="19" t="n">
        <f aca="false">IF(M22&gt;M22,1,0)</f>
        <v>0</v>
      </c>
      <c r="P22" s="18" t="str">
        <f aca="false">IF(H22&lt;0,"SHORT","ok")</f>
        <v>ok</v>
      </c>
      <c r="R22" s="19" t="n">
        <v>15</v>
      </c>
      <c r="S22" s="19" t="n">
        <f aca="false">S21+1</f>
        <v>72</v>
      </c>
      <c r="T22" s="19" t="n">
        <f aca="false">T21+1</f>
        <v>2040</v>
      </c>
      <c r="U22" s="13" t="n">
        <f aca="false">IF(Inputs!$B$15="B",Inputs!$D$33,Inputs!$C$33)</f>
        <v>0.38</v>
      </c>
      <c r="V22" s="11" t="n">
        <f aca="false">Z21</f>
        <v>0</v>
      </c>
      <c r="W22" s="11" t="n">
        <f aca="false">IF(R22&lt;=$W$4,V22/($W$4-R22+1),0)</f>
        <v>0</v>
      </c>
      <c r="X22" s="11" t="n">
        <f aca="false">W22*U22</f>
        <v>0</v>
      </c>
      <c r="Y22" s="11" t="n">
        <f aca="false">AB21-X22</f>
        <v>1167724.43708801</v>
      </c>
      <c r="Z22" s="11" t="n">
        <f aca="false">(V22-W22)*(1+Inputs!$B$4)</f>
        <v>0</v>
      </c>
      <c r="AA22" s="11" t="n">
        <f aca="false">(AA21+W22)*(1+Inputs!$B$4)</f>
        <v>4803835.394828</v>
      </c>
      <c r="AB22" s="11" t="n">
        <f aca="false">Y22*(1+Inputs!$B$4*(1-Inputs!$B$8))</f>
        <v>1278658.25861137</v>
      </c>
      <c r="AC22" s="11" t="n">
        <f aca="false">IF(AB21&lt;=0,0,AC21*Y22/AB21)</f>
        <v>327750</v>
      </c>
      <c r="AD22" s="11" t="n">
        <f aca="false">AA22+Z22*(1-Inputs!$B$6)+AB22-(AB22-AC22)*Inputs!$B$9</f>
        <v>5835257.50620042</v>
      </c>
      <c r="AE22" s="12" t="n">
        <f aca="false">AA22/(AA22+Z22+AB22)</f>
        <v>0.789780584828338</v>
      </c>
      <c r="AF22" s="19" t="n">
        <f aca="false">IF(AD22&gt;M22,1,0)</f>
        <v>1</v>
      </c>
      <c r="AG22" s="18" t="str">
        <f aca="false">IF(Y22&lt;0,"SHORT","ok")</f>
        <v>ok</v>
      </c>
      <c r="AI22" s="19" t="n">
        <v>15</v>
      </c>
      <c r="AJ22" s="19" t="n">
        <f aca="false">AJ21+1</f>
        <v>72</v>
      </c>
      <c r="AK22" s="19" t="n">
        <f aca="false">AK21+1</f>
        <v>2040</v>
      </c>
      <c r="AL22" s="13" t="n">
        <f aca="false">IF(Inputs!$B$15="B",Inputs!$D$33,Inputs!$C$33)</f>
        <v>0.38</v>
      </c>
      <c r="AM22" s="11" t="n">
        <f aca="false">AQ21</f>
        <v>0</v>
      </c>
      <c r="AN22" s="11" t="n">
        <f aca="false">IF(AI22&lt;=$AN$4,AM22/($AN$4-AI22+1),0)</f>
        <v>0</v>
      </c>
      <c r="AO22" s="11" t="n">
        <f aca="false">AN22*AL22</f>
        <v>0</v>
      </c>
      <c r="AP22" s="11" t="n">
        <f aca="false">AS21-AO22</f>
        <v>1160604.18262567</v>
      </c>
      <c r="AQ22" s="11" t="n">
        <f aca="false">(AM22-AN22)*(1+Inputs!$B$4)</f>
        <v>0</v>
      </c>
      <c r="AR22" s="11" t="n">
        <f aca="false">(AR21+AN22)*(1+Inputs!$B$4)</f>
        <v>4803835.39482801</v>
      </c>
      <c r="AS22" s="11" t="n">
        <f aca="false">AP22*(1+Inputs!$B$4*(1-Inputs!$B$8))</f>
        <v>1270861.5799751</v>
      </c>
      <c r="AT22" s="11" t="n">
        <f aca="false">IF(AS21&lt;=0,0,AT21*AP22/AS21)</f>
        <v>325751.529020107</v>
      </c>
      <c r="AU22" s="11" t="n">
        <f aca="false">AR22+AQ22*(1-Inputs!$B$6)+AS22-(AS22-AT22)*Inputs!$B$9</f>
        <v>5828968.36155481</v>
      </c>
      <c r="AV22" s="12" t="n">
        <f aca="false">AR22/(AR22+AQ22+AS22)</f>
        <v>0.790794242865704</v>
      </c>
      <c r="AW22" s="19" t="n">
        <f aca="false">IF(AU22&gt;M22,1,0)</f>
        <v>1</v>
      </c>
      <c r="AX22" s="18" t="str">
        <f aca="false">IF(AP22&lt;0,"SHORT","ok")</f>
        <v>ok</v>
      </c>
      <c r="AZ22" s="19" t="n">
        <v>15</v>
      </c>
      <c r="BA22" s="19" t="n">
        <f aca="false">BA21+1</f>
        <v>72</v>
      </c>
      <c r="BB22" s="19" t="n">
        <f aca="false">BB21+1</f>
        <v>2040</v>
      </c>
      <c r="BC22" s="13" t="n">
        <f aca="false">IF(Inputs!$B$15="B",Inputs!$D$33,Inputs!$C$33)</f>
        <v>0.38</v>
      </c>
      <c r="BD22" s="11" t="n">
        <f aca="false">BH21</f>
        <v>0</v>
      </c>
      <c r="BE22" s="11" t="n">
        <f aca="false">IF(AZ22&lt;=$BE$4,BD22/($BE$4-AZ22+1),0)</f>
        <v>0</v>
      </c>
      <c r="BF22" s="11" t="n">
        <f aca="false">BE22*BC22</f>
        <v>0</v>
      </c>
      <c r="BG22" s="11" t="n">
        <f aca="false">BJ21-BF22</f>
        <v>1153440.49557266</v>
      </c>
      <c r="BH22" s="11" t="n">
        <f aca="false">(BD22-BE22)*(1+Inputs!$B$4)</f>
        <v>0</v>
      </c>
      <c r="BI22" s="11" t="n">
        <f aca="false">(BI21+BE22)*(1+Inputs!$B$4)</f>
        <v>4803835.39482801</v>
      </c>
      <c r="BJ22" s="11" t="n">
        <f aca="false">BG22*(1+Inputs!$B$4*(1-Inputs!$B$8))</f>
        <v>1263017.34265206</v>
      </c>
      <c r="BK22" s="11" t="n">
        <f aca="false">IF(BJ21&lt;=0,0,BK21*BG22/BJ21)</f>
        <v>323740.86763712</v>
      </c>
      <c r="BL22" s="11" t="n">
        <f aca="false">BI22+BH22*(1-Inputs!$B$6)+BJ22-(BJ22-BK22)*Inputs!$B$9</f>
        <v>5822640.85397618</v>
      </c>
      <c r="BM22" s="12" t="n">
        <f aca="false">BI22/(BI22+BH22+BJ22)</f>
        <v>0.791816713326609</v>
      </c>
      <c r="BN22" s="19" t="n">
        <f aca="false">IF(BL22&gt;M22,1,0)</f>
        <v>1</v>
      </c>
      <c r="BO22" s="18" t="str">
        <f aca="false">IF(BG22&lt;0,"SHORT","ok")</f>
        <v>ok</v>
      </c>
      <c r="BQ22" s="19" t="n">
        <v>15</v>
      </c>
      <c r="BR22" s="19" t="n">
        <f aca="false">BR21+1</f>
        <v>72</v>
      </c>
      <c r="BS22" s="19" t="n">
        <f aca="false">BS21+1</f>
        <v>2040</v>
      </c>
      <c r="BT22" s="13" t="n">
        <f aca="false">IF(Inputs!$B$15="B",Inputs!$D$33,Inputs!$C$33)</f>
        <v>0.38</v>
      </c>
      <c r="BU22" s="11" t="n">
        <f aca="false">BY21</f>
        <v>0</v>
      </c>
      <c r="BV22" s="11" t="n">
        <f aca="false">IF(BQ22&lt;=$BV$4,BU22/($BV$4-BQ22+1),0)</f>
        <v>0</v>
      </c>
      <c r="BW22" s="11" t="n">
        <f aca="false">BV22*BT22</f>
        <v>0</v>
      </c>
      <c r="BX22" s="11" t="n">
        <f aca="false">CA21-BW22</f>
        <v>1142612.87620686</v>
      </c>
      <c r="BY22" s="11" t="n">
        <f aca="false">(BU22-BV22)*(1+Inputs!$B$4)</f>
        <v>0</v>
      </c>
      <c r="BZ22" s="11" t="n">
        <f aca="false">(BZ21+BV22)*(1+Inputs!$B$4)</f>
        <v>4803835.39482801</v>
      </c>
      <c r="CA22" s="11" t="n">
        <f aca="false">BX22*(1+Inputs!$B$4*(1-Inputs!$B$8))</f>
        <v>1251161.09944651</v>
      </c>
      <c r="CB22" s="11" t="n">
        <f aca="false">IF(CA21&lt;=0,0,CB21*BX22/CA21)</f>
        <v>320701.835366809</v>
      </c>
      <c r="CC22" s="11" t="n">
        <f aca="false">BZ22+BY22*(1-Inputs!$B$6)+CA22-(CA22-CB22)*Inputs!$B$9</f>
        <v>5813077.0856138</v>
      </c>
      <c r="CD22" s="12" t="n">
        <f aca="false">BZ22/(BZ22+BY22+CA22)</f>
        <v>0.793367163692071</v>
      </c>
      <c r="CE22" s="19" t="n">
        <f aca="false">IF(CC22&gt;M22,1,0)</f>
        <v>1</v>
      </c>
      <c r="CF22" s="18" t="str">
        <f aca="false">IF(BX22&lt;0,"SHORT","ok")</f>
        <v>ok</v>
      </c>
      <c r="CH22" s="19" t="n">
        <v>15</v>
      </c>
      <c r="CI22" s="19" t="n">
        <f aca="false">CI21+1</f>
        <v>72</v>
      </c>
      <c r="CJ22" s="19" t="n">
        <f aca="false">CJ21+1</f>
        <v>2040</v>
      </c>
      <c r="CK22" s="13" t="n">
        <f aca="false">IF(Inputs!$B$15="B",Inputs!$D$33,Inputs!$C$33)</f>
        <v>0.38</v>
      </c>
      <c r="CL22" s="11" t="n">
        <f aca="false">CP21</f>
        <v>0</v>
      </c>
      <c r="CM22" s="11" t="n">
        <f aca="false">IF(CH22&lt;=$CM$4,CL22/($CM$4-CH22+1),0)</f>
        <v>0</v>
      </c>
      <c r="CN22" s="11" t="n">
        <f aca="false">CM22*CK22</f>
        <v>0</v>
      </c>
      <c r="CO22" s="11" t="n">
        <f aca="false">CR21-CN22</f>
        <v>1135339.29873348</v>
      </c>
      <c r="CP22" s="11" t="n">
        <f aca="false">(CL22-CM22)*(1+Inputs!$B$4)</f>
        <v>0</v>
      </c>
      <c r="CQ22" s="11" t="n">
        <f aca="false">(CQ21+CM22)*(1+Inputs!$B$4)</f>
        <v>4803835.394828</v>
      </c>
      <c r="CR22" s="11" t="n">
        <f aca="false">CO22*(1+Inputs!$B$4*(1-Inputs!$B$8))</f>
        <v>1243196.53211316</v>
      </c>
      <c r="CS22" s="11" t="n">
        <f aca="false">IF(CR21&lt;=0,0,CS21*CO22/CR21)</f>
        <v>318660.330589497</v>
      </c>
      <c r="CT22" s="11" t="n">
        <f aca="false">CQ22+CP22*(1-Inputs!$B$6)+CR22-(CR22-CS22)*Inputs!$B$9</f>
        <v>5806652.51454501</v>
      </c>
      <c r="CU22" s="12" t="n">
        <f aca="false">CQ22/(CQ22+CP22+CR22)</f>
        <v>0.794412110414965</v>
      </c>
      <c r="CV22" s="19" t="n">
        <f aca="false">IF(CT22&gt;M22,1,0)</f>
        <v>1</v>
      </c>
      <c r="CW22" s="18" t="str">
        <f aca="false">IF(CO22&lt;0,"SHORT","ok")</f>
        <v>ok</v>
      </c>
    </row>
    <row r="23" customFormat="false" ht="15" hidden="false" customHeight="false" outlineLevel="0" collapsed="false">
      <c r="A23" s="19" t="n">
        <v>16</v>
      </c>
      <c r="B23" s="19" t="n">
        <f aca="false">B22+1</f>
        <v>73</v>
      </c>
      <c r="C23" s="19" t="n">
        <f aca="false">C22+1</f>
        <v>2041</v>
      </c>
      <c r="D23" s="13" t="n">
        <f aca="false">IF(Inputs!$B$15="B",Inputs!$D$34,Inputs!$C$34)</f>
        <v>0.38</v>
      </c>
      <c r="E23" s="11" t="n">
        <f aca="false">I22</f>
        <v>4803835.394828</v>
      </c>
      <c r="F23" s="11" t="n">
        <f aca="false">IF(A23&lt;=$F$4,E23/($F$4-A23+1),0)</f>
        <v>0</v>
      </c>
      <c r="G23" s="11" t="n">
        <f aca="false">F23*D23</f>
        <v>0</v>
      </c>
      <c r="H23" s="11" t="n">
        <f aca="false">K22-G23</f>
        <v>2983535.93675986</v>
      </c>
      <c r="I23" s="11" t="n">
        <f aca="false">(E23-F23)*(1+Inputs!$B$4)</f>
        <v>5284218.9343108</v>
      </c>
      <c r="J23" s="11" t="n">
        <f aca="false">(J22+F23)*(1+Inputs!$B$4)</f>
        <v>0</v>
      </c>
      <c r="K23" s="11" t="n">
        <f aca="false">H23*(1+Inputs!$B$4*(1-Inputs!$B$8))</f>
        <v>3266971.85075205</v>
      </c>
      <c r="L23" s="11" t="n">
        <f aca="false">IF(K22&lt;=0,0,L22*H23/K22)</f>
        <v>764750</v>
      </c>
      <c r="M23" s="11" t="n">
        <f aca="false">J23+I23*(1-Inputs!$B$6)+K23-(K23-L23)*Inputs!$B$9</f>
        <v>6315347.42357408</v>
      </c>
      <c r="N23" s="12" t="n">
        <f aca="false">J23/(J23+I23+K23)</f>
        <v>0</v>
      </c>
      <c r="O23" s="19" t="n">
        <f aca="false">IF(M23&gt;M23,1,0)</f>
        <v>0</v>
      </c>
      <c r="P23" s="18" t="str">
        <f aca="false">IF(H23&lt;0,"SHORT","ok")</f>
        <v>ok</v>
      </c>
      <c r="R23" s="19" t="n">
        <v>16</v>
      </c>
      <c r="S23" s="19" t="n">
        <f aca="false">S22+1</f>
        <v>73</v>
      </c>
      <c r="T23" s="19" t="n">
        <f aca="false">T22+1</f>
        <v>2041</v>
      </c>
      <c r="U23" s="13" t="n">
        <f aca="false">IF(Inputs!$B$15="B",Inputs!$D$34,Inputs!$C$34)</f>
        <v>0.38</v>
      </c>
      <c r="V23" s="11" t="n">
        <f aca="false">Z22</f>
        <v>0</v>
      </c>
      <c r="W23" s="11" t="n">
        <f aca="false">IF(R23&lt;=$W$4,V23/($W$4-R23+1),0)</f>
        <v>0</v>
      </c>
      <c r="X23" s="11" t="n">
        <f aca="false">W23*U23</f>
        <v>0</v>
      </c>
      <c r="Y23" s="11" t="n">
        <f aca="false">AB22-X23</f>
        <v>1278658.25861137</v>
      </c>
      <c r="Z23" s="11" t="n">
        <f aca="false">(V23-W23)*(1+Inputs!$B$4)</f>
        <v>0</v>
      </c>
      <c r="AA23" s="11" t="n">
        <f aca="false">(AA22+W23)*(1+Inputs!$B$4)</f>
        <v>5284218.9343108</v>
      </c>
      <c r="AB23" s="11" t="n">
        <f aca="false">Y23*(1+Inputs!$B$4*(1-Inputs!$B$8))</f>
        <v>1400130.79317945</v>
      </c>
      <c r="AC23" s="11" t="n">
        <f aca="false">IF(AB22&lt;=0,0,AC22*Y23/AB22)</f>
        <v>327750</v>
      </c>
      <c r="AD23" s="11" t="n">
        <f aca="false">AA23+Z23*(1-Inputs!$B$6)+AB23-(AB23-AC23)*Inputs!$B$9</f>
        <v>6405530.7212636</v>
      </c>
      <c r="AE23" s="12" t="n">
        <f aca="false">AA23/(AA23+Z23+AB23)</f>
        <v>0.790535975785164</v>
      </c>
      <c r="AF23" s="19" t="n">
        <f aca="false">IF(AD23&gt;M23,1,0)</f>
        <v>1</v>
      </c>
      <c r="AG23" s="18" t="str">
        <f aca="false">IF(Y23&lt;0,"SHORT","ok")</f>
        <v>ok</v>
      </c>
      <c r="AI23" s="19" t="n">
        <v>16</v>
      </c>
      <c r="AJ23" s="19" t="n">
        <f aca="false">AJ22+1</f>
        <v>73</v>
      </c>
      <c r="AK23" s="19" t="n">
        <f aca="false">AK22+1</f>
        <v>2041</v>
      </c>
      <c r="AL23" s="13" t="n">
        <f aca="false">IF(Inputs!$B$15="B",Inputs!$D$34,Inputs!$C$34)</f>
        <v>0.38</v>
      </c>
      <c r="AM23" s="11" t="n">
        <f aca="false">AQ22</f>
        <v>0</v>
      </c>
      <c r="AN23" s="11" t="n">
        <f aca="false">IF(AI23&lt;=$AN$4,AM23/($AN$4-AI23+1),0)</f>
        <v>0</v>
      </c>
      <c r="AO23" s="11" t="n">
        <f aca="false">AN23*AL23</f>
        <v>0</v>
      </c>
      <c r="AP23" s="11" t="n">
        <f aca="false">AS22-AO23</f>
        <v>1270861.5799751</v>
      </c>
      <c r="AQ23" s="11" t="n">
        <f aca="false">(AM23-AN23)*(1+Inputs!$B$4)</f>
        <v>0</v>
      </c>
      <c r="AR23" s="11" t="n">
        <f aca="false">(AR22+AN23)*(1+Inputs!$B$4)</f>
        <v>5284218.93431081</v>
      </c>
      <c r="AS23" s="11" t="n">
        <f aca="false">AP23*(1+Inputs!$B$4*(1-Inputs!$B$8))</f>
        <v>1391593.43007274</v>
      </c>
      <c r="AT23" s="11" t="n">
        <f aca="false">IF(AS22&lt;=0,0,AT22*AP23/AS22)</f>
        <v>325751.529020107</v>
      </c>
      <c r="AU23" s="11" t="n">
        <f aca="false">AR23+AQ23*(1-Inputs!$B$6)+AS23-(AS23-AT23)*Inputs!$B$9</f>
        <v>6398693.47010986</v>
      </c>
      <c r="AV23" s="12" t="n">
        <f aca="false">AR23/(AR23+AQ23+AS23)</f>
        <v>0.791546952772805</v>
      </c>
      <c r="AW23" s="19" t="n">
        <f aca="false">IF(AU23&gt;M23,1,0)</f>
        <v>1</v>
      </c>
      <c r="AX23" s="18" t="str">
        <f aca="false">IF(AP23&lt;0,"SHORT","ok")</f>
        <v>ok</v>
      </c>
      <c r="AZ23" s="19" t="n">
        <v>16</v>
      </c>
      <c r="BA23" s="19" t="n">
        <f aca="false">BA22+1</f>
        <v>73</v>
      </c>
      <c r="BB23" s="19" t="n">
        <f aca="false">BB22+1</f>
        <v>2041</v>
      </c>
      <c r="BC23" s="13" t="n">
        <f aca="false">IF(Inputs!$B$15="B",Inputs!$D$34,Inputs!$C$34)</f>
        <v>0.38</v>
      </c>
      <c r="BD23" s="11" t="n">
        <f aca="false">BH22</f>
        <v>0</v>
      </c>
      <c r="BE23" s="11" t="n">
        <f aca="false">IF(AZ23&lt;=$BE$4,BD23/($BE$4-AZ23+1),0)</f>
        <v>0</v>
      </c>
      <c r="BF23" s="11" t="n">
        <f aca="false">BE23*BC23</f>
        <v>0</v>
      </c>
      <c r="BG23" s="11" t="n">
        <f aca="false">BJ22-BF23</f>
        <v>1263017.34265206</v>
      </c>
      <c r="BH23" s="11" t="n">
        <f aca="false">(BD23-BE23)*(1+Inputs!$B$4)</f>
        <v>0</v>
      </c>
      <c r="BI23" s="11" t="n">
        <f aca="false">(BI22+BE23)*(1+Inputs!$B$4)</f>
        <v>5284218.93431081</v>
      </c>
      <c r="BJ23" s="11" t="n">
        <f aca="false">BG23*(1+Inputs!$B$4*(1-Inputs!$B$8))</f>
        <v>1383003.99020401</v>
      </c>
      <c r="BK23" s="11" t="n">
        <f aca="false">IF(BJ22&lt;=0,0,BK22*BG23/BJ22)</f>
        <v>323740.86763712</v>
      </c>
      <c r="BL23" s="11" t="n">
        <f aca="false">BI23+BH23*(1-Inputs!$B$6)+BJ23-(BJ23-BK23)*Inputs!$B$9</f>
        <v>6391814.51264742</v>
      </c>
      <c r="BM23" s="12" t="n">
        <f aca="false">BI23/(BI23+BH23+BJ23)</f>
        <v>0.792566709428776</v>
      </c>
      <c r="BN23" s="19" t="n">
        <f aca="false">IF(BL23&gt;M23,1,0)</f>
        <v>1</v>
      </c>
      <c r="BO23" s="18" t="str">
        <f aca="false">IF(BG23&lt;0,"SHORT","ok")</f>
        <v>ok</v>
      </c>
      <c r="BQ23" s="19" t="n">
        <v>16</v>
      </c>
      <c r="BR23" s="19" t="n">
        <f aca="false">BR22+1</f>
        <v>73</v>
      </c>
      <c r="BS23" s="19" t="n">
        <f aca="false">BS22+1</f>
        <v>2041</v>
      </c>
      <c r="BT23" s="13" t="n">
        <f aca="false">IF(Inputs!$B$15="B",Inputs!$D$34,Inputs!$C$34)</f>
        <v>0.38</v>
      </c>
      <c r="BU23" s="11" t="n">
        <f aca="false">BY22</f>
        <v>0</v>
      </c>
      <c r="BV23" s="11" t="n">
        <f aca="false">IF(BQ23&lt;=$BV$4,BU23/($BV$4-BQ23+1),0)</f>
        <v>0</v>
      </c>
      <c r="BW23" s="11" t="n">
        <f aca="false">BV23*BT23</f>
        <v>0</v>
      </c>
      <c r="BX23" s="11" t="n">
        <f aca="false">CA22-BW23</f>
        <v>1251161.09944651</v>
      </c>
      <c r="BY23" s="11" t="n">
        <f aca="false">(BU23-BV23)*(1+Inputs!$B$4)</f>
        <v>0</v>
      </c>
      <c r="BZ23" s="11" t="n">
        <f aca="false">(BZ22+BV23)*(1+Inputs!$B$4)</f>
        <v>5284218.93431081</v>
      </c>
      <c r="CA23" s="11" t="n">
        <f aca="false">BX23*(1+Inputs!$B$4*(1-Inputs!$B$8))</f>
        <v>1370021.40389393</v>
      </c>
      <c r="CB23" s="11" t="n">
        <f aca="false">IF(CA22&lt;=0,0,CB22*BX23/CA22)</f>
        <v>320701.835366809</v>
      </c>
      <c r="CC23" s="11" t="n">
        <f aca="false">BZ23+BY23*(1-Inputs!$B$6)+CA23-(CA23-CB23)*Inputs!$B$9</f>
        <v>6381417.25038769</v>
      </c>
      <c r="CD23" s="12" t="n">
        <f aca="false">BZ23/(BZ23+BY23+CA23)</f>
        <v>0.794113026542178</v>
      </c>
      <c r="CE23" s="19" t="n">
        <f aca="false">IF(CC23&gt;M23,1,0)</f>
        <v>1</v>
      </c>
      <c r="CF23" s="18" t="str">
        <f aca="false">IF(BX23&lt;0,"SHORT","ok")</f>
        <v>ok</v>
      </c>
      <c r="CH23" s="19" t="n">
        <v>16</v>
      </c>
      <c r="CI23" s="19" t="n">
        <f aca="false">CI22+1</f>
        <v>73</v>
      </c>
      <c r="CJ23" s="19" t="n">
        <f aca="false">CJ22+1</f>
        <v>2041</v>
      </c>
      <c r="CK23" s="13" t="n">
        <f aca="false">IF(Inputs!$B$15="B",Inputs!$D$34,Inputs!$C$34)</f>
        <v>0.38</v>
      </c>
      <c r="CL23" s="11" t="n">
        <f aca="false">CP22</f>
        <v>0</v>
      </c>
      <c r="CM23" s="11" t="n">
        <f aca="false">IF(CH23&lt;=$CM$4,CL23/($CM$4-CH23+1),0)</f>
        <v>0</v>
      </c>
      <c r="CN23" s="11" t="n">
        <f aca="false">CM23*CK23</f>
        <v>0</v>
      </c>
      <c r="CO23" s="11" t="n">
        <f aca="false">CR22-CN23</f>
        <v>1243196.53211316</v>
      </c>
      <c r="CP23" s="11" t="n">
        <f aca="false">(CL23-CM23)*(1+Inputs!$B$4)</f>
        <v>0</v>
      </c>
      <c r="CQ23" s="11" t="n">
        <f aca="false">(CQ22+CM23)*(1+Inputs!$B$4)</f>
        <v>5284218.9343108</v>
      </c>
      <c r="CR23" s="11" t="n">
        <f aca="false">CO23*(1+Inputs!$B$4*(1-Inputs!$B$8))</f>
        <v>1361300.20266391</v>
      </c>
      <c r="CS23" s="11" t="n">
        <f aca="false">IF(CR22&lt;=0,0,CS22*CO23/CR22)</f>
        <v>318660.330589497</v>
      </c>
      <c r="CT23" s="11" t="n">
        <f aca="false">CQ23+CP23*(1-Inputs!$B$6)+CR23-(CR23-CS23)*Inputs!$B$9</f>
        <v>6374432.77023537</v>
      </c>
      <c r="CU23" s="12" t="n">
        <f aca="false">CQ23/(CQ23+CP23+CR23)</f>
        <v>0.79515517529852</v>
      </c>
      <c r="CV23" s="19" t="n">
        <f aca="false">IF(CT23&gt;M23,1,0)</f>
        <v>1</v>
      </c>
      <c r="CW23" s="18" t="str">
        <f aca="false">IF(CO23&lt;0,"SHORT","ok")</f>
        <v>ok</v>
      </c>
    </row>
    <row r="24" customFormat="false" ht="15" hidden="false" customHeight="false" outlineLevel="0" collapsed="false">
      <c r="A24" s="19" t="n">
        <v>17</v>
      </c>
      <c r="B24" s="19" t="n">
        <f aca="false">B23+1</f>
        <v>74</v>
      </c>
      <c r="C24" s="19" t="n">
        <f aca="false">C23+1</f>
        <v>2042</v>
      </c>
      <c r="D24" s="13" t="n">
        <f aca="false">IF(Inputs!$B$15="B",Inputs!$D$35,Inputs!$C$35)</f>
        <v>0.38</v>
      </c>
      <c r="E24" s="11" t="n">
        <f aca="false">I23</f>
        <v>5284218.9343108</v>
      </c>
      <c r="F24" s="11" t="n">
        <f aca="false">IF(A24&lt;=$F$4,E24/($F$4-A24+1),0)</f>
        <v>0</v>
      </c>
      <c r="G24" s="11" t="n">
        <f aca="false">F24*D24</f>
        <v>0</v>
      </c>
      <c r="H24" s="11" t="n">
        <f aca="false">K23-G24</f>
        <v>3266971.85075205</v>
      </c>
      <c r="I24" s="11" t="n">
        <f aca="false">(E24-F24)*(1+Inputs!$B$4)</f>
        <v>5812640.82774188</v>
      </c>
      <c r="J24" s="11" t="n">
        <f aca="false">(J23+F24)*(1+Inputs!$B$4)</f>
        <v>0</v>
      </c>
      <c r="K24" s="11" t="n">
        <f aca="false">H24*(1+Inputs!$B$4*(1-Inputs!$B$8))</f>
        <v>3577334.1765735</v>
      </c>
      <c r="L24" s="11" t="n">
        <f aca="false">IF(K23&lt;=0,0,L23*H24/K23)</f>
        <v>764750</v>
      </c>
      <c r="M24" s="11" t="n">
        <f aca="false">J24+I24*(1-Inputs!$B$6)+K24-(K24-L24)*Inputs!$B$9</f>
        <v>6914910.87008371</v>
      </c>
      <c r="N24" s="12" t="n">
        <f aca="false">J24/(J24+I24+K24)</f>
        <v>0</v>
      </c>
      <c r="O24" s="19" t="n">
        <f aca="false">IF(M24&gt;M24,1,0)</f>
        <v>0</v>
      </c>
      <c r="P24" s="18" t="str">
        <f aca="false">IF(H24&lt;0,"SHORT","ok")</f>
        <v>ok</v>
      </c>
      <c r="R24" s="19" t="n">
        <v>17</v>
      </c>
      <c r="S24" s="19" t="n">
        <f aca="false">S23+1</f>
        <v>74</v>
      </c>
      <c r="T24" s="19" t="n">
        <f aca="false">T23+1</f>
        <v>2042</v>
      </c>
      <c r="U24" s="13" t="n">
        <f aca="false">IF(Inputs!$B$15="B",Inputs!$D$35,Inputs!$C$35)</f>
        <v>0.38</v>
      </c>
      <c r="V24" s="11" t="n">
        <f aca="false">Z23</f>
        <v>0</v>
      </c>
      <c r="W24" s="11" t="n">
        <f aca="false">IF(R24&lt;=$W$4,V24/($W$4-R24+1),0)</f>
        <v>0</v>
      </c>
      <c r="X24" s="11" t="n">
        <f aca="false">W24*U24</f>
        <v>0</v>
      </c>
      <c r="Y24" s="11" t="n">
        <f aca="false">AB23-X24</f>
        <v>1400130.79317945</v>
      </c>
      <c r="Z24" s="11" t="n">
        <f aca="false">(V24-W24)*(1+Inputs!$B$4)</f>
        <v>0</v>
      </c>
      <c r="AA24" s="11" t="n">
        <f aca="false">(AA23+W24)*(1+Inputs!$B$4)</f>
        <v>5812640.82774188</v>
      </c>
      <c r="AB24" s="11" t="n">
        <f aca="false">Y24*(1+Inputs!$B$4*(1-Inputs!$B$8))</f>
        <v>1533143.2185315</v>
      </c>
      <c r="AC24" s="11" t="n">
        <f aca="false">IF(AB23&lt;=0,0,AC23*Y24/AB23)</f>
        <v>327750</v>
      </c>
      <c r="AD24" s="11" t="n">
        <f aca="false">AA24+Z24*(1-Inputs!$B$6)+AB24-(AB24-AC24)*Inputs!$B$9</f>
        <v>7032381.80945519</v>
      </c>
      <c r="AE24" s="12" t="n">
        <f aca="false">AA24/(AA24+Z24+AB24)</f>
        <v>0.791289369674666</v>
      </c>
      <c r="AF24" s="19" t="n">
        <f aca="false">IF(AD24&gt;M24,1,0)</f>
        <v>1</v>
      </c>
      <c r="AG24" s="18" t="str">
        <f aca="false">IF(Y24&lt;0,"SHORT","ok")</f>
        <v>ok</v>
      </c>
      <c r="AI24" s="19" t="n">
        <v>17</v>
      </c>
      <c r="AJ24" s="19" t="n">
        <f aca="false">AJ23+1</f>
        <v>74</v>
      </c>
      <c r="AK24" s="19" t="n">
        <f aca="false">AK23+1</f>
        <v>2042</v>
      </c>
      <c r="AL24" s="13" t="n">
        <f aca="false">IF(Inputs!$B$15="B",Inputs!$D$35,Inputs!$C$35)</f>
        <v>0.38</v>
      </c>
      <c r="AM24" s="11" t="n">
        <f aca="false">AQ23</f>
        <v>0</v>
      </c>
      <c r="AN24" s="11" t="n">
        <f aca="false">IF(AI24&lt;=$AN$4,AM24/($AN$4-AI24+1),0)</f>
        <v>0</v>
      </c>
      <c r="AO24" s="11" t="n">
        <f aca="false">AN24*AL24</f>
        <v>0</v>
      </c>
      <c r="AP24" s="11" t="n">
        <f aca="false">AS23-AO24</f>
        <v>1391593.43007274</v>
      </c>
      <c r="AQ24" s="11" t="n">
        <f aca="false">(AM24-AN24)*(1+Inputs!$B$4)</f>
        <v>0</v>
      </c>
      <c r="AR24" s="11" t="n">
        <f aca="false">(AR23+AN24)*(1+Inputs!$B$4)</f>
        <v>5812640.82774189</v>
      </c>
      <c r="AS24" s="11" t="n">
        <f aca="false">AP24*(1+Inputs!$B$4*(1-Inputs!$B$8))</f>
        <v>1523794.80592965</v>
      </c>
      <c r="AT24" s="11" t="n">
        <f aca="false">IF(AS23&lt;=0,0,AT23*AP24/AS23)</f>
        <v>325751.529020107</v>
      </c>
      <c r="AU24" s="11" t="n">
        <f aca="false">AR24+AQ24*(1-Inputs!$B$6)+AS24-(AS24-AT24)*Inputs!$B$9</f>
        <v>7024944.38167506</v>
      </c>
      <c r="AV24" s="12" t="n">
        <f aca="false">AR24/(AR24+AQ24+AS24)</f>
        <v>0.792297665785277</v>
      </c>
      <c r="AW24" s="19" t="n">
        <f aca="false">IF(AU24&gt;M24,1,0)</f>
        <v>1</v>
      </c>
      <c r="AX24" s="18" t="str">
        <f aca="false">IF(AP24&lt;0,"SHORT","ok")</f>
        <v>ok</v>
      </c>
      <c r="AZ24" s="19" t="n">
        <v>17</v>
      </c>
      <c r="BA24" s="19" t="n">
        <f aca="false">BA23+1</f>
        <v>74</v>
      </c>
      <c r="BB24" s="19" t="n">
        <f aca="false">BB23+1</f>
        <v>2042</v>
      </c>
      <c r="BC24" s="13" t="n">
        <f aca="false">IF(Inputs!$B$15="B",Inputs!$D$35,Inputs!$C$35)</f>
        <v>0.38</v>
      </c>
      <c r="BD24" s="11" t="n">
        <f aca="false">BH23</f>
        <v>0</v>
      </c>
      <c r="BE24" s="11" t="n">
        <f aca="false">IF(AZ24&lt;=$BE$4,BD24/($BE$4-AZ24+1),0)</f>
        <v>0</v>
      </c>
      <c r="BF24" s="11" t="n">
        <f aca="false">BE24*BC24</f>
        <v>0</v>
      </c>
      <c r="BG24" s="11" t="n">
        <f aca="false">BJ23-BF24</f>
        <v>1383003.99020401</v>
      </c>
      <c r="BH24" s="11" t="n">
        <f aca="false">(BD24-BE24)*(1+Inputs!$B$4)</f>
        <v>0</v>
      </c>
      <c r="BI24" s="11" t="n">
        <f aca="false">(BI23+BE24)*(1+Inputs!$B$4)</f>
        <v>5812640.82774189</v>
      </c>
      <c r="BJ24" s="11" t="n">
        <f aca="false">BG24*(1+Inputs!$B$4*(1-Inputs!$B$8))</f>
        <v>1514389.36927339</v>
      </c>
      <c r="BK24" s="11" t="n">
        <f aca="false">IF(BJ23&lt;=0,0,BK23*BG24/BJ23)</f>
        <v>323740.86763712</v>
      </c>
      <c r="BL24" s="11" t="n">
        <f aca="false">BI24+BH24*(1-Inputs!$B$6)+BJ24-(BJ24-BK24)*Inputs!$B$9</f>
        <v>7017461.58658985</v>
      </c>
      <c r="BM24" s="12" t="n">
        <f aca="false">BI24/(BI24+BH24+BJ24)</f>
        <v>0.793314708885697</v>
      </c>
      <c r="BN24" s="19" t="n">
        <f aca="false">IF(BL24&gt;M24,1,0)</f>
        <v>1</v>
      </c>
      <c r="BO24" s="18" t="str">
        <f aca="false">IF(BG24&lt;0,"SHORT","ok")</f>
        <v>ok</v>
      </c>
      <c r="BQ24" s="19" t="n">
        <v>17</v>
      </c>
      <c r="BR24" s="19" t="n">
        <f aca="false">BR23+1</f>
        <v>74</v>
      </c>
      <c r="BS24" s="19" t="n">
        <f aca="false">BS23+1</f>
        <v>2042</v>
      </c>
      <c r="BT24" s="13" t="n">
        <f aca="false">IF(Inputs!$B$15="B",Inputs!$D$35,Inputs!$C$35)</f>
        <v>0.38</v>
      </c>
      <c r="BU24" s="11" t="n">
        <f aca="false">BY23</f>
        <v>0</v>
      </c>
      <c r="BV24" s="11" t="n">
        <f aca="false">IF(BQ24&lt;=$BV$4,BU24/($BV$4-BQ24+1),0)</f>
        <v>0</v>
      </c>
      <c r="BW24" s="11" t="n">
        <f aca="false">BV24*BT24</f>
        <v>0</v>
      </c>
      <c r="BX24" s="11" t="n">
        <f aca="false">CA23-BW24</f>
        <v>1370021.40389393</v>
      </c>
      <c r="BY24" s="11" t="n">
        <f aca="false">(BU24-BV24)*(1+Inputs!$B$4)</f>
        <v>0</v>
      </c>
      <c r="BZ24" s="11" t="n">
        <f aca="false">(BZ23+BV24)*(1+Inputs!$B$4)</f>
        <v>5812640.82774189</v>
      </c>
      <c r="CA24" s="11" t="n">
        <f aca="false">BX24*(1+Inputs!$B$4*(1-Inputs!$B$8))</f>
        <v>1500173.43726385</v>
      </c>
      <c r="CB24" s="11" t="n">
        <f aca="false">IF(CA23&lt;=0,0,CB23*BX24/CA23)</f>
        <v>320701.835366809</v>
      </c>
      <c r="CC24" s="11" t="n">
        <f aca="false">BZ24+BY24*(1-Inputs!$B$6)+CA24-(CA24-CB24)*Inputs!$B$9</f>
        <v>7006151.64851251</v>
      </c>
      <c r="CD24" s="12" t="n">
        <f aca="false">BZ24/(BZ24+BY24+CA24)</f>
        <v>0.794856893269848</v>
      </c>
      <c r="CE24" s="19" t="n">
        <f aca="false">IF(CC24&gt;M24,1,0)</f>
        <v>1</v>
      </c>
      <c r="CF24" s="18" t="str">
        <f aca="false">IF(BX24&lt;0,"SHORT","ok")</f>
        <v>ok</v>
      </c>
      <c r="CH24" s="19" t="n">
        <v>17</v>
      </c>
      <c r="CI24" s="19" t="n">
        <f aca="false">CI23+1</f>
        <v>74</v>
      </c>
      <c r="CJ24" s="19" t="n">
        <f aca="false">CJ23+1</f>
        <v>2042</v>
      </c>
      <c r="CK24" s="13" t="n">
        <f aca="false">IF(Inputs!$B$15="B",Inputs!$D$35,Inputs!$C$35)</f>
        <v>0.38</v>
      </c>
      <c r="CL24" s="11" t="n">
        <f aca="false">CP23</f>
        <v>0</v>
      </c>
      <c r="CM24" s="11" t="n">
        <f aca="false">IF(CH24&lt;=$CM$4,CL24/($CM$4-CH24+1),0)</f>
        <v>0</v>
      </c>
      <c r="CN24" s="11" t="n">
        <f aca="false">CM24*CK24</f>
        <v>0</v>
      </c>
      <c r="CO24" s="11" t="n">
        <f aca="false">CR23-CN24</f>
        <v>1361300.20266391</v>
      </c>
      <c r="CP24" s="11" t="n">
        <f aca="false">(CL24-CM24)*(1+Inputs!$B$4)</f>
        <v>0</v>
      </c>
      <c r="CQ24" s="11" t="n">
        <f aca="false">(CQ23+CM24)*(1+Inputs!$B$4)</f>
        <v>5812640.82774188</v>
      </c>
      <c r="CR24" s="11" t="n">
        <f aca="false">CO24*(1+Inputs!$B$4*(1-Inputs!$B$8))</f>
        <v>1490623.72191699</v>
      </c>
      <c r="CS24" s="11" t="n">
        <f aca="false">IF(CR23&lt;=0,0,CS23*CO24/CR23)</f>
        <v>318660.330589497</v>
      </c>
      <c r="CT24" s="11" t="n">
        <f aca="false">CQ24+CP24*(1-Inputs!$B$6)+CR24-(CR24-CS24)*Inputs!$B$9</f>
        <v>6998554.06791372</v>
      </c>
      <c r="CU24" s="12" t="n">
        <f aca="false">CQ24/(CQ24+CP24+CR24)</f>
        <v>0.795896244510736</v>
      </c>
      <c r="CV24" s="19" t="n">
        <f aca="false">IF(CT24&gt;M24,1,0)</f>
        <v>1</v>
      </c>
      <c r="CW24" s="18" t="str">
        <f aca="false">IF(CO24&lt;0,"SHORT","ok")</f>
        <v>ok</v>
      </c>
    </row>
    <row r="25" customFormat="false" ht="15" hidden="false" customHeight="false" outlineLevel="0" collapsed="false">
      <c r="A25" s="19" t="n">
        <v>18</v>
      </c>
      <c r="B25" s="19" t="n">
        <f aca="false">B24+1</f>
        <v>75</v>
      </c>
      <c r="C25" s="19" t="n">
        <f aca="false">C24+1</f>
        <v>2043</v>
      </c>
      <c r="D25" s="13" t="n">
        <f aca="false">IF(Inputs!$B$15="B",Inputs!$D$36,Inputs!$C$36)</f>
        <v>0.38</v>
      </c>
      <c r="E25" s="11" t="n">
        <f aca="false">I24</f>
        <v>5812640.82774188</v>
      </c>
      <c r="F25" s="11" t="n">
        <f aca="false">IF(A25&lt;=$F$4,E25/($F$4-A25+1),0)</f>
        <v>0</v>
      </c>
      <c r="G25" s="11" t="n">
        <f aca="false">F25*D25</f>
        <v>0</v>
      </c>
      <c r="H25" s="11" t="n">
        <f aca="false">K24-G25</f>
        <v>3577334.1765735</v>
      </c>
      <c r="I25" s="11" t="n">
        <f aca="false">(E25-F25)*(1+Inputs!$B$4)</f>
        <v>6393904.91051607</v>
      </c>
      <c r="J25" s="11" t="n">
        <f aca="false">(J24+F25)*(1+Inputs!$B$4)</f>
        <v>0</v>
      </c>
      <c r="K25" s="11" t="n">
        <f aca="false">H25*(1+Inputs!$B$4*(1-Inputs!$B$8))</f>
        <v>3917180.92334798</v>
      </c>
      <c r="L25" s="11" t="n">
        <f aca="false">IF(K24&lt;=0,0,L24*H25/K24)</f>
        <v>764750</v>
      </c>
      <c r="M25" s="11" t="n">
        <f aca="false">J25+I25*(1-Inputs!$B$6)+K25-(K25-L25)*Inputs!$B$9</f>
        <v>7573282.32063875</v>
      </c>
      <c r="N25" s="12" t="n">
        <f aca="false">J25/(J25+I25+K25)</f>
        <v>0</v>
      </c>
      <c r="O25" s="19" t="n">
        <f aca="false">IF(M25&gt;M25,1,0)</f>
        <v>0</v>
      </c>
      <c r="P25" s="18" t="str">
        <f aca="false">IF(H25&lt;0,"SHORT","ok")</f>
        <v>ok</v>
      </c>
      <c r="R25" s="19" t="n">
        <v>18</v>
      </c>
      <c r="S25" s="19" t="n">
        <f aca="false">S24+1</f>
        <v>75</v>
      </c>
      <c r="T25" s="19" t="n">
        <f aca="false">T24+1</f>
        <v>2043</v>
      </c>
      <c r="U25" s="13" t="n">
        <f aca="false">IF(Inputs!$B$15="B",Inputs!$D$36,Inputs!$C$36)</f>
        <v>0.38</v>
      </c>
      <c r="V25" s="11" t="n">
        <f aca="false">Z24</f>
        <v>0</v>
      </c>
      <c r="W25" s="11" t="n">
        <f aca="false">IF(R25&lt;=$W$4,V25/($W$4-R25+1),0)</f>
        <v>0</v>
      </c>
      <c r="X25" s="11" t="n">
        <f aca="false">W25*U25</f>
        <v>0</v>
      </c>
      <c r="Y25" s="11" t="n">
        <f aca="false">AB24-X25</f>
        <v>1533143.2185315</v>
      </c>
      <c r="Z25" s="11" t="n">
        <f aca="false">(V25-W25)*(1+Inputs!$B$4)</f>
        <v>0</v>
      </c>
      <c r="AA25" s="11" t="n">
        <f aca="false">(AA24+W25)*(1+Inputs!$B$4)</f>
        <v>6393904.91051607</v>
      </c>
      <c r="AB25" s="11" t="n">
        <f aca="false">Y25*(1+Inputs!$B$4*(1-Inputs!$B$8))</f>
        <v>1678791.82429199</v>
      </c>
      <c r="AC25" s="11" t="n">
        <f aca="false">IF(AB24&lt;=0,0,AC24*Y25/AB24)</f>
        <v>327750</v>
      </c>
      <c r="AD25" s="11" t="n">
        <f aca="false">AA25+Z25*(1-Inputs!$B$6)+AB25-(AB25-AC25)*Inputs!$B$9</f>
        <v>7721425.86049215</v>
      </c>
      <c r="AE25" s="12" t="n">
        <f aca="false">AA25/(AA25+Z25+AB25)</f>
        <v>0.792040766618504</v>
      </c>
      <c r="AF25" s="19" t="n">
        <f aca="false">IF(AD25&gt;M25,1,0)</f>
        <v>1</v>
      </c>
      <c r="AG25" s="18" t="str">
        <f aca="false">IF(Y25&lt;0,"SHORT","ok")</f>
        <v>ok</v>
      </c>
      <c r="AI25" s="19" t="n">
        <v>18</v>
      </c>
      <c r="AJ25" s="19" t="n">
        <f aca="false">AJ24+1</f>
        <v>75</v>
      </c>
      <c r="AK25" s="19" t="n">
        <f aca="false">AK24+1</f>
        <v>2043</v>
      </c>
      <c r="AL25" s="13" t="n">
        <f aca="false">IF(Inputs!$B$15="B",Inputs!$D$36,Inputs!$C$36)</f>
        <v>0.38</v>
      </c>
      <c r="AM25" s="11" t="n">
        <f aca="false">AQ24</f>
        <v>0</v>
      </c>
      <c r="AN25" s="11" t="n">
        <f aca="false">IF(AI25&lt;=$AN$4,AM25/($AN$4-AI25+1),0)</f>
        <v>0</v>
      </c>
      <c r="AO25" s="11" t="n">
        <f aca="false">AN25*AL25</f>
        <v>0</v>
      </c>
      <c r="AP25" s="11" t="n">
        <f aca="false">AS24-AO25</f>
        <v>1523794.80592965</v>
      </c>
      <c r="AQ25" s="11" t="n">
        <f aca="false">(AM25-AN25)*(1+Inputs!$B$4)</f>
        <v>0</v>
      </c>
      <c r="AR25" s="11" t="n">
        <f aca="false">(AR24+AN25)*(1+Inputs!$B$4)</f>
        <v>6393904.91051608</v>
      </c>
      <c r="AS25" s="11" t="n">
        <f aca="false">AP25*(1+Inputs!$B$4*(1-Inputs!$B$8))</f>
        <v>1668555.31249297</v>
      </c>
      <c r="AT25" s="11" t="n">
        <f aca="false">IF(AS24&lt;=0,0,AT24*AP25/AS24)</f>
        <v>325751.529020107</v>
      </c>
      <c r="AU25" s="11" t="n">
        <f aca="false">AR25+AQ25*(1-Inputs!$B$6)+AS25-(AS25-AT25)*Inputs!$B$9</f>
        <v>7713331.2393061</v>
      </c>
      <c r="AV25" s="12" t="n">
        <f aca="false">AR25/(AR25+AQ25+AS25)</f>
        <v>0.793046382079361</v>
      </c>
      <c r="AW25" s="19" t="n">
        <f aca="false">IF(AU25&gt;M25,1,0)</f>
        <v>1</v>
      </c>
      <c r="AX25" s="18" t="str">
        <f aca="false">IF(AP25&lt;0,"SHORT","ok")</f>
        <v>ok</v>
      </c>
      <c r="AZ25" s="19" t="n">
        <v>18</v>
      </c>
      <c r="BA25" s="19" t="n">
        <f aca="false">BA24+1</f>
        <v>75</v>
      </c>
      <c r="BB25" s="19" t="n">
        <f aca="false">BB24+1</f>
        <v>2043</v>
      </c>
      <c r="BC25" s="13" t="n">
        <f aca="false">IF(Inputs!$B$15="B",Inputs!$D$36,Inputs!$C$36)</f>
        <v>0.38</v>
      </c>
      <c r="BD25" s="11" t="n">
        <f aca="false">BH24</f>
        <v>0</v>
      </c>
      <c r="BE25" s="11" t="n">
        <f aca="false">IF(AZ25&lt;=$BE$4,BD25/($BE$4-AZ25+1),0)</f>
        <v>0</v>
      </c>
      <c r="BF25" s="11" t="n">
        <f aca="false">BE25*BC25</f>
        <v>0</v>
      </c>
      <c r="BG25" s="11" t="n">
        <f aca="false">BJ24-BF25</f>
        <v>1514389.36927339</v>
      </c>
      <c r="BH25" s="11" t="n">
        <f aca="false">(BD25-BE25)*(1+Inputs!$B$4)</f>
        <v>0</v>
      </c>
      <c r="BI25" s="11" t="n">
        <f aca="false">(BI24+BE25)*(1+Inputs!$B$4)</f>
        <v>6393904.91051608</v>
      </c>
      <c r="BJ25" s="11" t="n">
        <f aca="false">BG25*(1+Inputs!$B$4*(1-Inputs!$B$8))</f>
        <v>1658256.35935436</v>
      </c>
      <c r="BK25" s="11" t="n">
        <f aca="false">IF(BJ24&lt;=0,0,BK24*BG25/BJ24)</f>
        <v>323740.86763712</v>
      </c>
      <c r="BL25" s="11" t="n">
        <f aca="false">BI25+BH25*(1-Inputs!$B$6)+BJ25-(BJ25-BK25)*Inputs!$B$9</f>
        <v>7705187.24202396</v>
      </c>
      <c r="BM25" s="12" t="n">
        <f aca="false">BI25/(BI25+BH25+BJ25)</f>
        <v>0.794060711928458</v>
      </c>
      <c r="BN25" s="19" t="n">
        <f aca="false">IF(BL25&gt;M25,1,0)</f>
        <v>1</v>
      </c>
      <c r="BO25" s="18" t="str">
        <f aca="false">IF(BG25&lt;0,"SHORT","ok")</f>
        <v>ok</v>
      </c>
      <c r="BQ25" s="19" t="n">
        <v>18</v>
      </c>
      <c r="BR25" s="19" t="n">
        <f aca="false">BR24+1</f>
        <v>75</v>
      </c>
      <c r="BS25" s="19" t="n">
        <f aca="false">BS24+1</f>
        <v>2043</v>
      </c>
      <c r="BT25" s="13" t="n">
        <f aca="false">IF(Inputs!$B$15="B",Inputs!$D$36,Inputs!$C$36)</f>
        <v>0.38</v>
      </c>
      <c r="BU25" s="11" t="n">
        <f aca="false">BY24</f>
        <v>0</v>
      </c>
      <c r="BV25" s="11" t="n">
        <f aca="false">IF(BQ25&lt;=$BV$4,BU25/($BV$4-BQ25+1),0)</f>
        <v>0</v>
      </c>
      <c r="BW25" s="11" t="n">
        <f aca="false">BV25*BT25</f>
        <v>0</v>
      </c>
      <c r="BX25" s="11" t="n">
        <f aca="false">CA24-BW25</f>
        <v>1500173.43726385</v>
      </c>
      <c r="BY25" s="11" t="n">
        <f aca="false">(BU25-BV25)*(1+Inputs!$B$4)</f>
        <v>0</v>
      </c>
      <c r="BZ25" s="11" t="n">
        <f aca="false">(BZ24+BV25)*(1+Inputs!$B$4)</f>
        <v>6393904.91051608</v>
      </c>
      <c r="CA25" s="11" t="n">
        <f aca="false">BX25*(1+Inputs!$B$4*(1-Inputs!$B$8))</f>
        <v>1642689.91380392</v>
      </c>
      <c r="CB25" s="11" t="n">
        <f aca="false">IF(CA24&lt;=0,0,CB24*BX25/CA24)</f>
        <v>320701.835366809</v>
      </c>
      <c r="CC25" s="11" t="n">
        <f aca="false">BZ25+BY25*(1-Inputs!$B$6)+CA25-(CA25-CB25)*Inputs!$B$9</f>
        <v>7692877.92392635</v>
      </c>
      <c r="CD25" s="12" t="n">
        <f aca="false">BZ25/(BZ25+BY25+CA25)</f>
        <v>0.795598764188922</v>
      </c>
      <c r="CE25" s="19" t="n">
        <f aca="false">IF(CC25&gt;M25,1,0)</f>
        <v>1</v>
      </c>
      <c r="CF25" s="18" t="str">
        <f aca="false">IF(BX25&lt;0,"SHORT","ok")</f>
        <v>ok</v>
      </c>
      <c r="CH25" s="19" t="n">
        <v>18</v>
      </c>
      <c r="CI25" s="19" t="n">
        <f aca="false">CI24+1</f>
        <v>75</v>
      </c>
      <c r="CJ25" s="19" t="n">
        <f aca="false">CJ24+1</f>
        <v>2043</v>
      </c>
      <c r="CK25" s="13" t="n">
        <f aca="false">IF(Inputs!$B$15="B",Inputs!$D$36,Inputs!$C$36)</f>
        <v>0.38</v>
      </c>
      <c r="CL25" s="11" t="n">
        <f aca="false">CP24</f>
        <v>0</v>
      </c>
      <c r="CM25" s="11" t="n">
        <f aca="false">IF(CH25&lt;=$CM$4,CL25/($CM$4-CH25+1),0)</f>
        <v>0</v>
      </c>
      <c r="CN25" s="11" t="n">
        <f aca="false">CM25*CK25</f>
        <v>0</v>
      </c>
      <c r="CO25" s="11" t="n">
        <f aca="false">CR24-CN25</f>
        <v>1490623.72191699</v>
      </c>
      <c r="CP25" s="11" t="n">
        <f aca="false">(CL25-CM25)*(1+Inputs!$B$4)</f>
        <v>0</v>
      </c>
      <c r="CQ25" s="11" t="n">
        <f aca="false">(CQ24+CM25)*(1+Inputs!$B$4)</f>
        <v>6393904.91051607</v>
      </c>
      <c r="CR25" s="11" t="n">
        <f aca="false">CO25*(1+Inputs!$B$4*(1-Inputs!$B$8))</f>
        <v>1632232.9754991</v>
      </c>
      <c r="CS25" s="11" t="n">
        <f aca="false">IF(CR24&lt;=0,0,CS24*CO25/CR24)</f>
        <v>318660.330589497</v>
      </c>
      <c r="CT25" s="11" t="n">
        <f aca="false">CQ25+CP25*(1-Inputs!$B$6)+CR25-(CR25-CS25)*Inputs!$B$9</f>
        <v>7684608.99833868</v>
      </c>
      <c r="CU25" s="12" t="n">
        <f aca="false">CQ25/(CQ25+CP25+CR25)</f>
        <v>0.796635318420941</v>
      </c>
      <c r="CV25" s="19" t="n">
        <f aca="false">IF(CT25&gt;M25,1,0)</f>
        <v>1</v>
      </c>
      <c r="CW25" s="18" t="str">
        <f aca="false">IF(CO25&lt;0,"SHORT","ok")</f>
        <v>ok</v>
      </c>
    </row>
    <row r="26" customFormat="false" ht="15" hidden="false" customHeight="false" outlineLevel="0" collapsed="false">
      <c r="A26" s="19" t="n">
        <v>19</v>
      </c>
      <c r="B26" s="19" t="n">
        <f aca="false">B25+1</f>
        <v>76</v>
      </c>
      <c r="C26" s="19" t="n">
        <f aca="false">C25+1</f>
        <v>2044</v>
      </c>
      <c r="D26" s="13" t="n">
        <f aca="false">IF(Inputs!$B$15="B",Inputs!$D$37,Inputs!$C$37)</f>
        <v>0.38</v>
      </c>
      <c r="E26" s="11" t="n">
        <f aca="false">I25</f>
        <v>6393904.91051607</v>
      </c>
      <c r="F26" s="11" t="n">
        <f aca="false">IF(A26&lt;=$F$4,E26/($F$4-A26+1),0)</f>
        <v>0</v>
      </c>
      <c r="G26" s="11" t="n">
        <f aca="false">F26*D26</f>
        <v>0</v>
      </c>
      <c r="H26" s="11" t="n">
        <f aca="false">K25-G26</f>
        <v>3917180.92334798</v>
      </c>
      <c r="I26" s="11" t="n">
        <f aca="false">(E26-F26)*(1+Inputs!$B$4)</f>
        <v>7033295.40156768</v>
      </c>
      <c r="J26" s="11" t="n">
        <f aca="false">(J25+F26)*(1+Inputs!$B$4)</f>
        <v>0</v>
      </c>
      <c r="K26" s="11" t="n">
        <f aca="false">H26*(1+Inputs!$B$4*(1-Inputs!$B$8))</f>
        <v>4289313.11106604</v>
      </c>
      <c r="L26" s="11" t="n">
        <f aca="false">IF(K25&lt;=0,0,L25*H26/K25)</f>
        <v>764750</v>
      </c>
      <c r="M26" s="11" t="n">
        <f aca="false">J26+I26*(1-Inputs!$B$6)+K26-(K26-L26)*Inputs!$B$9</f>
        <v>8296233.48328624</v>
      </c>
      <c r="N26" s="12" t="n">
        <f aca="false">J26/(J26+I26+K26)</f>
        <v>0</v>
      </c>
      <c r="O26" s="19" t="n">
        <f aca="false">IF(M26&gt;M26,1,0)</f>
        <v>0</v>
      </c>
      <c r="P26" s="18" t="str">
        <f aca="false">IF(H26&lt;0,"SHORT","ok")</f>
        <v>ok</v>
      </c>
      <c r="R26" s="19" t="n">
        <v>19</v>
      </c>
      <c r="S26" s="19" t="n">
        <f aca="false">S25+1</f>
        <v>76</v>
      </c>
      <c r="T26" s="19" t="n">
        <f aca="false">T25+1</f>
        <v>2044</v>
      </c>
      <c r="U26" s="13" t="n">
        <f aca="false">IF(Inputs!$B$15="B",Inputs!$D$37,Inputs!$C$37)</f>
        <v>0.38</v>
      </c>
      <c r="V26" s="11" t="n">
        <f aca="false">Z25</f>
        <v>0</v>
      </c>
      <c r="W26" s="11" t="n">
        <f aca="false">IF(R26&lt;=$W$4,V26/($W$4-R26+1),0)</f>
        <v>0</v>
      </c>
      <c r="X26" s="11" t="n">
        <f aca="false">W26*U26</f>
        <v>0</v>
      </c>
      <c r="Y26" s="11" t="n">
        <f aca="false">AB25-X26</f>
        <v>1678791.82429199</v>
      </c>
      <c r="Z26" s="11" t="n">
        <f aca="false">(V26-W26)*(1+Inputs!$B$4)</f>
        <v>0</v>
      </c>
      <c r="AA26" s="11" t="n">
        <f aca="false">(AA25+W26)*(1+Inputs!$B$4)</f>
        <v>7033295.40156768</v>
      </c>
      <c r="AB26" s="11" t="n">
        <f aca="false">Y26*(1+Inputs!$B$4*(1-Inputs!$B$8))</f>
        <v>1838277.04759973</v>
      </c>
      <c r="AC26" s="11" t="n">
        <f aca="false">IF(AB25&lt;=0,0,AC25*Y26/AB25)</f>
        <v>327750</v>
      </c>
      <c r="AD26" s="11" t="n">
        <f aca="false">AA26+Z26*(1-Inputs!$B$6)+AB26-(AB26-AC26)*Inputs!$B$9</f>
        <v>8478835.41679148</v>
      </c>
      <c r="AE26" s="12" t="n">
        <f aca="false">AA26/(AA26+Z26+AB26)</f>
        <v>0.79279016677903</v>
      </c>
      <c r="AF26" s="19" t="n">
        <f aca="false">IF(AD26&gt;M26,1,0)</f>
        <v>1</v>
      </c>
      <c r="AG26" s="18" t="str">
        <f aca="false">IF(Y26&lt;0,"SHORT","ok")</f>
        <v>ok</v>
      </c>
      <c r="AI26" s="19" t="n">
        <v>19</v>
      </c>
      <c r="AJ26" s="19" t="n">
        <f aca="false">AJ25+1</f>
        <v>76</v>
      </c>
      <c r="AK26" s="19" t="n">
        <f aca="false">AK25+1</f>
        <v>2044</v>
      </c>
      <c r="AL26" s="13" t="n">
        <f aca="false">IF(Inputs!$B$15="B",Inputs!$D$37,Inputs!$C$37)</f>
        <v>0.38</v>
      </c>
      <c r="AM26" s="11" t="n">
        <f aca="false">AQ25</f>
        <v>0</v>
      </c>
      <c r="AN26" s="11" t="n">
        <f aca="false">IF(AI26&lt;=$AN$4,AM26/($AN$4-AI26+1),0)</f>
        <v>0</v>
      </c>
      <c r="AO26" s="11" t="n">
        <f aca="false">AN26*AL26</f>
        <v>0</v>
      </c>
      <c r="AP26" s="11" t="n">
        <f aca="false">AS25-AO26</f>
        <v>1668555.31249297</v>
      </c>
      <c r="AQ26" s="11" t="n">
        <f aca="false">(AM26-AN26)*(1+Inputs!$B$4)</f>
        <v>0</v>
      </c>
      <c r="AR26" s="11" t="n">
        <f aca="false">(AR25+AN26)*(1+Inputs!$B$4)</f>
        <v>7033295.40156769</v>
      </c>
      <c r="AS26" s="11" t="n">
        <f aca="false">AP26*(1+Inputs!$B$4*(1-Inputs!$B$8))</f>
        <v>1827068.0671798</v>
      </c>
      <c r="AT26" s="11" t="n">
        <f aca="false">IF(AS25&lt;=0,0,AT25*AP26/AS25)</f>
        <v>325751.529020107</v>
      </c>
      <c r="AU26" s="11" t="n">
        <f aca="false">AR26+AQ26*(1-Inputs!$B$6)+AS26-(AS26-AT26)*Inputs!$B$9</f>
        <v>8470021.16882596</v>
      </c>
      <c r="AV26" s="12" t="n">
        <f aca="false">AR26/(AR26+AQ26+AS26)</f>
        <v>0.793793101871692</v>
      </c>
      <c r="AW26" s="19" t="n">
        <f aca="false">IF(AU26&gt;M26,1,0)</f>
        <v>1</v>
      </c>
      <c r="AX26" s="18" t="str">
        <f aca="false">IF(AP26&lt;0,"SHORT","ok")</f>
        <v>ok</v>
      </c>
      <c r="AZ26" s="19" t="n">
        <v>19</v>
      </c>
      <c r="BA26" s="19" t="n">
        <f aca="false">BA25+1</f>
        <v>76</v>
      </c>
      <c r="BB26" s="19" t="n">
        <f aca="false">BB25+1</f>
        <v>2044</v>
      </c>
      <c r="BC26" s="13" t="n">
        <f aca="false">IF(Inputs!$B$15="B",Inputs!$D$37,Inputs!$C$37)</f>
        <v>0.38</v>
      </c>
      <c r="BD26" s="11" t="n">
        <f aca="false">BH25</f>
        <v>0</v>
      </c>
      <c r="BE26" s="11" t="n">
        <f aca="false">IF(AZ26&lt;=$BE$4,BD26/($BE$4-AZ26+1),0)</f>
        <v>0</v>
      </c>
      <c r="BF26" s="11" t="n">
        <f aca="false">BE26*BC26</f>
        <v>0</v>
      </c>
      <c r="BG26" s="11" t="n">
        <f aca="false">BJ25-BF26</f>
        <v>1658256.35935436</v>
      </c>
      <c r="BH26" s="11" t="n">
        <f aca="false">(BD26-BE26)*(1+Inputs!$B$4)</f>
        <v>0</v>
      </c>
      <c r="BI26" s="11" t="n">
        <f aca="false">(BI25+BE26)*(1+Inputs!$B$4)</f>
        <v>7033295.40156769</v>
      </c>
      <c r="BJ26" s="11" t="n">
        <f aca="false">BG26*(1+Inputs!$B$4*(1-Inputs!$B$8))</f>
        <v>1815790.71349302</v>
      </c>
      <c r="BK26" s="11" t="n">
        <f aca="false">IF(BJ25&lt;=0,0,BK25*BG26/BJ25)</f>
        <v>323740.86763712</v>
      </c>
      <c r="BL26" s="11" t="n">
        <f aca="false">BI26+BH26*(1-Inputs!$B$6)+BJ26-(BJ26-BK26)*Inputs!$B$9</f>
        <v>8461153.15513818</v>
      </c>
      <c r="BM26" s="12" t="n">
        <f aca="false">BI26/(BI26+BH26+BJ26)</f>
        <v>0.794804718828237</v>
      </c>
      <c r="BN26" s="19" t="n">
        <f aca="false">IF(BL26&gt;M26,1,0)</f>
        <v>1</v>
      </c>
      <c r="BO26" s="18" t="str">
        <f aca="false">IF(BG26&lt;0,"SHORT","ok")</f>
        <v>ok</v>
      </c>
      <c r="BQ26" s="19" t="n">
        <v>19</v>
      </c>
      <c r="BR26" s="19" t="n">
        <f aca="false">BR25+1</f>
        <v>76</v>
      </c>
      <c r="BS26" s="19" t="n">
        <f aca="false">BS25+1</f>
        <v>2044</v>
      </c>
      <c r="BT26" s="13" t="n">
        <f aca="false">IF(Inputs!$B$15="B",Inputs!$D$37,Inputs!$C$37)</f>
        <v>0.38</v>
      </c>
      <c r="BU26" s="11" t="n">
        <f aca="false">BY25</f>
        <v>0</v>
      </c>
      <c r="BV26" s="11" t="n">
        <f aca="false">IF(BQ26&lt;=$BV$4,BU26/($BV$4-BQ26+1),0)</f>
        <v>0</v>
      </c>
      <c r="BW26" s="11" t="n">
        <f aca="false">BV26*BT26</f>
        <v>0</v>
      </c>
      <c r="BX26" s="11" t="n">
        <f aca="false">CA25-BW26</f>
        <v>1642689.91380392</v>
      </c>
      <c r="BY26" s="11" t="n">
        <f aca="false">(BU26-BV26)*(1+Inputs!$B$4)</f>
        <v>0</v>
      </c>
      <c r="BZ26" s="11" t="n">
        <f aca="false">(BZ25+BV26)*(1+Inputs!$B$4)</f>
        <v>7033295.40156769</v>
      </c>
      <c r="CA26" s="11" t="n">
        <f aca="false">BX26*(1+Inputs!$B$4*(1-Inputs!$B$8))</f>
        <v>1798745.45561529</v>
      </c>
      <c r="CB26" s="11" t="n">
        <f aca="false">IF(CA25&lt;=0,0,CB25*BX26/CA25)</f>
        <v>320701.835366809</v>
      </c>
      <c r="CC26" s="11" t="n">
        <f aca="false">BZ26+BY26*(1-Inputs!$B$6)+CA26-(CA26-CB26)*Inputs!$B$9</f>
        <v>8447749.51591837</v>
      </c>
      <c r="CD26" s="12" t="n">
        <f aca="false">BZ26/(BZ26+BY26+CA26)</f>
        <v>0.796338639652873</v>
      </c>
      <c r="CE26" s="19" t="n">
        <f aca="false">IF(CC26&gt;M26,1,0)</f>
        <v>1</v>
      </c>
      <c r="CF26" s="18" t="str">
        <f aca="false">IF(BX26&lt;0,"SHORT","ok")</f>
        <v>ok</v>
      </c>
      <c r="CH26" s="19" t="n">
        <v>19</v>
      </c>
      <c r="CI26" s="19" t="n">
        <f aca="false">CI25+1</f>
        <v>76</v>
      </c>
      <c r="CJ26" s="19" t="n">
        <f aca="false">CJ25+1</f>
        <v>2044</v>
      </c>
      <c r="CK26" s="13" t="n">
        <f aca="false">IF(Inputs!$B$15="B",Inputs!$D$37,Inputs!$C$37)</f>
        <v>0.38</v>
      </c>
      <c r="CL26" s="11" t="n">
        <f aca="false">CP25</f>
        <v>0</v>
      </c>
      <c r="CM26" s="11" t="n">
        <f aca="false">IF(CH26&lt;=$CM$4,CL26/($CM$4-CH26+1),0)</f>
        <v>0</v>
      </c>
      <c r="CN26" s="11" t="n">
        <f aca="false">CM26*CK26</f>
        <v>0</v>
      </c>
      <c r="CO26" s="11" t="n">
        <f aca="false">CR25-CN26</f>
        <v>1632232.9754991</v>
      </c>
      <c r="CP26" s="11" t="n">
        <f aca="false">(CL26-CM26)*(1+Inputs!$B$4)</f>
        <v>0</v>
      </c>
      <c r="CQ26" s="11" t="n">
        <f aca="false">(CQ25+CM26)*(1+Inputs!$B$4)</f>
        <v>7033295.40156768</v>
      </c>
      <c r="CR26" s="11" t="n">
        <f aca="false">CO26*(1+Inputs!$B$4*(1-Inputs!$B$8))</f>
        <v>1787295.10817151</v>
      </c>
      <c r="CS26" s="11" t="n">
        <f aca="false">IF(CR25&lt;=0,0,CS25*CO26/CR25)</f>
        <v>318660.330589497</v>
      </c>
      <c r="CT26" s="11" t="n">
        <f aca="false">CQ26+CP26*(1-Inputs!$B$6)+CR26-(CR26-CS26)*Inputs!$B$9</f>
        <v>8438745.46756787</v>
      </c>
      <c r="CU26" s="12" t="n">
        <f aca="false">CQ26/(CQ26+CP26+CR26)</f>
        <v>0.797372397437781</v>
      </c>
      <c r="CV26" s="19" t="n">
        <f aca="false">IF(CT26&gt;M26,1,0)</f>
        <v>1</v>
      </c>
      <c r="CW26" s="18" t="str">
        <f aca="false">IF(CO26&lt;0,"SHORT","ok")</f>
        <v>ok</v>
      </c>
    </row>
    <row r="27" customFormat="false" ht="15" hidden="false" customHeight="false" outlineLevel="0" collapsed="false">
      <c r="A27" s="19" t="n">
        <v>20</v>
      </c>
      <c r="B27" s="19" t="n">
        <f aca="false">B26+1</f>
        <v>77</v>
      </c>
      <c r="C27" s="19" t="n">
        <f aca="false">C26+1</f>
        <v>2045</v>
      </c>
      <c r="D27" s="13" t="n">
        <f aca="false">IF(Inputs!$B$15="B",Inputs!$D$38,Inputs!$C$38)</f>
        <v>0.38</v>
      </c>
      <c r="E27" s="11" t="n">
        <f aca="false">I26</f>
        <v>7033295.40156768</v>
      </c>
      <c r="F27" s="11" t="n">
        <f aca="false">IF(A27&lt;=$F$4,E27/($F$4-A27+1),0)</f>
        <v>0</v>
      </c>
      <c r="G27" s="11" t="n">
        <f aca="false">F27*D27</f>
        <v>0</v>
      </c>
      <c r="H27" s="11" t="n">
        <f aca="false">K26-G27</f>
        <v>4289313.11106604</v>
      </c>
      <c r="I27" s="11" t="n">
        <f aca="false">(E27-F27)*(1+Inputs!$B$4)</f>
        <v>7736624.94172445</v>
      </c>
      <c r="J27" s="11" t="n">
        <f aca="false">(J26+F27)*(1+Inputs!$B$4)</f>
        <v>0</v>
      </c>
      <c r="K27" s="11" t="n">
        <f aca="false">H27*(1+Inputs!$B$4*(1-Inputs!$B$8))</f>
        <v>4696797.85661731</v>
      </c>
      <c r="L27" s="11" t="n">
        <f aca="false">IF(K26&lt;=0,0,L26*H27/K26)</f>
        <v>764750</v>
      </c>
      <c r="M27" s="11" t="n">
        <f aca="false">J27+I27*(1-Inputs!$B$6)+K27-(K27-L27)*Inputs!$B$9</f>
        <v>9090102.87310392</v>
      </c>
      <c r="N27" s="12" t="n">
        <f aca="false">J27/(J27+I27+K27)</f>
        <v>0</v>
      </c>
      <c r="O27" s="19" t="n">
        <f aca="false">IF(M27&gt;M27,1,0)</f>
        <v>0</v>
      </c>
      <c r="P27" s="18" t="str">
        <f aca="false">IF(H27&lt;0,"SHORT","ok")</f>
        <v>ok</v>
      </c>
      <c r="R27" s="19" t="n">
        <v>20</v>
      </c>
      <c r="S27" s="19" t="n">
        <f aca="false">S26+1</f>
        <v>77</v>
      </c>
      <c r="T27" s="19" t="n">
        <f aca="false">T26+1</f>
        <v>2045</v>
      </c>
      <c r="U27" s="13" t="n">
        <f aca="false">IF(Inputs!$B$15="B",Inputs!$D$38,Inputs!$C$38)</f>
        <v>0.38</v>
      </c>
      <c r="V27" s="11" t="n">
        <f aca="false">Z26</f>
        <v>0</v>
      </c>
      <c r="W27" s="11" t="n">
        <f aca="false">IF(R27&lt;=$W$4,V27/($W$4-R27+1),0)</f>
        <v>0</v>
      </c>
      <c r="X27" s="11" t="n">
        <f aca="false">W27*U27</f>
        <v>0</v>
      </c>
      <c r="Y27" s="11" t="n">
        <f aca="false">AB26-X27</f>
        <v>1838277.04759973</v>
      </c>
      <c r="Z27" s="11" t="n">
        <f aca="false">(V27-W27)*(1+Inputs!$B$4)</f>
        <v>0</v>
      </c>
      <c r="AA27" s="11" t="n">
        <f aca="false">(AA26+W27)*(1+Inputs!$B$4)</f>
        <v>7736624.94172445</v>
      </c>
      <c r="AB27" s="11" t="n">
        <f aca="false">Y27*(1+Inputs!$B$4*(1-Inputs!$B$8))</f>
        <v>2012913.3671217</v>
      </c>
      <c r="AC27" s="11" t="n">
        <f aca="false">IF(AB26&lt;=0,0,AC26*Y27/AB26)</f>
        <v>327750</v>
      </c>
      <c r="AD27" s="11" t="n">
        <f aca="false">AA27+Z27*(1-Inputs!$B$6)+AB27-(AB27-AC27)*Inputs!$B$9</f>
        <v>9311395.83339451</v>
      </c>
      <c r="AE27" s="12" t="n">
        <f aca="false">AA27/(AA27+Z27+AB27)</f>
        <v>0.79353757035907</v>
      </c>
      <c r="AF27" s="19" t="n">
        <f aca="false">IF(AD27&gt;M27,1,0)</f>
        <v>1</v>
      </c>
      <c r="AG27" s="18" t="str">
        <f aca="false">IF(Y27&lt;0,"SHORT","ok")</f>
        <v>ok</v>
      </c>
      <c r="AI27" s="19" t="n">
        <v>20</v>
      </c>
      <c r="AJ27" s="19" t="n">
        <f aca="false">AJ26+1</f>
        <v>77</v>
      </c>
      <c r="AK27" s="19" t="n">
        <f aca="false">AK26+1</f>
        <v>2045</v>
      </c>
      <c r="AL27" s="13" t="n">
        <f aca="false">IF(Inputs!$B$15="B",Inputs!$D$38,Inputs!$C$38)</f>
        <v>0.38</v>
      </c>
      <c r="AM27" s="11" t="n">
        <f aca="false">AQ26</f>
        <v>0</v>
      </c>
      <c r="AN27" s="11" t="n">
        <f aca="false">IF(AI27&lt;=$AN$4,AM27/($AN$4-AI27+1),0)</f>
        <v>0</v>
      </c>
      <c r="AO27" s="11" t="n">
        <f aca="false">AN27*AL27</f>
        <v>0</v>
      </c>
      <c r="AP27" s="11" t="n">
        <f aca="false">AS26-AO27</f>
        <v>1827068.0671798</v>
      </c>
      <c r="AQ27" s="11" t="n">
        <f aca="false">(AM27-AN27)*(1+Inputs!$B$4)</f>
        <v>0</v>
      </c>
      <c r="AR27" s="11" t="n">
        <f aca="false">(AR26+AN27)*(1+Inputs!$B$4)</f>
        <v>7736624.94172446</v>
      </c>
      <c r="AS27" s="11" t="n">
        <f aca="false">AP27*(1+Inputs!$B$4*(1-Inputs!$B$8))</f>
        <v>2000639.53356188</v>
      </c>
      <c r="AT27" s="11" t="n">
        <f aca="false">IF(AS26&lt;=0,0,AT26*AP27/AS26)</f>
        <v>325751.529020107</v>
      </c>
      <c r="AU27" s="11" t="n">
        <f aca="false">AR27+AQ27*(1-Inputs!$B$6)+AS27-(AS27-AT27)*Inputs!$B$9</f>
        <v>9301793.59410548</v>
      </c>
      <c r="AV27" s="12" t="n">
        <f aca="false">AR27/(AR27+AQ27+AS27)</f>
        <v>0.794537825419079</v>
      </c>
      <c r="AW27" s="19" t="n">
        <f aca="false">IF(AU27&gt;M27,1,0)</f>
        <v>1</v>
      </c>
      <c r="AX27" s="18" t="str">
        <f aca="false">IF(AP27&lt;0,"SHORT","ok")</f>
        <v>ok</v>
      </c>
      <c r="AZ27" s="19" t="n">
        <v>20</v>
      </c>
      <c r="BA27" s="19" t="n">
        <f aca="false">BA26+1</f>
        <v>77</v>
      </c>
      <c r="BB27" s="19" t="n">
        <f aca="false">BB26+1</f>
        <v>2045</v>
      </c>
      <c r="BC27" s="13" t="n">
        <f aca="false">IF(Inputs!$B$15="B",Inputs!$D$38,Inputs!$C$38)</f>
        <v>0.38</v>
      </c>
      <c r="BD27" s="11" t="n">
        <f aca="false">BH26</f>
        <v>0</v>
      </c>
      <c r="BE27" s="11" t="n">
        <f aca="false">IF(AZ27&lt;=$BE$4,BD27/($BE$4-AZ27+1),0)</f>
        <v>0</v>
      </c>
      <c r="BF27" s="11" t="n">
        <f aca="false">BE27*BC27</f>
        <v>0</v>
      </c>
      <c r="BG27" s="11" t="n">
        <f aca="false">BJ26-BF27</f>
        <v>1815790.71349302</v>
      </c>
      <c r="BH27" s="11" t="n">
        <f aca="false">(BD27-BE27)*(1+Inputs!$B$4)</f>
        <v>0</v>
      </c>
      <c r="BI27" s="11" t="n">
        <f aca="false">(BI26+BE27)*(1+Inputs!$B$4)</f>
        <v>7736624.94172446</v>
      </c>
      <c r="BJ27" s="11" t="n">
        <f aca="false">BG27*(1+Inputs!$B$4*(1-Inputs!$B$8))</f>
        <v>1988290.83127486</v>
      </c>
      <c r="BK27" s="11" t="n">
        <f aca="false">IF(BJ26&lt;=0,0,BK26*BG27/BJ26)</f>
        <v>323740.86763712</v>
      </c>
      <c r="BL27" s="11" t="n">
        <f aca="false">BI27+BH27*(1-Inputs!$B$6)+BJ27-(BJ27-BK27)*Inputs!$B$9</f>
        <v>9292132.78245351</v>
      </c>
      <c r="BM27" s="12" t="n">
        <f aca="false">BI27/(BI27+BH27+BJ27)</f>
        <v>0.795546729896084</v>
      </c>
      <c r="BN27" s="19" t="n">
        <f aca="false">IF(BL27&gt;M27,1,0)</f>
        <v>1</v>
      </c>
      <c r="BO27" s="18" t="str">
        <f aca="false">IF(BG27&lt;0,"SHORT","ok")</f>
        <v>ok</v>
      </c>
      <c r="BQ27" s="19" t="n">
        <v>20</v>
      </c>
      <c r="BR27" s="19" t="n">
        <f aca="false">BR26+1</f>
        <v>77</v>
      </c>
      <c r="BS27" s="19" t="n">
        <f aca="false">BS26+1</f>
        <v>2045</v>
      </c>
      <c r="BT27" s="13" t="n">
        <f aca="false">IF(Inputs!$B$15="B",Inputs!$D$38,Inputs!$C$38)</f>
        <v>0.38</v>
      </c>
      <c r="BU27" s="11" t="n">
        <f aca="false">BY26</f>
        <v>0</v>
      </c>
      <c r="BV27" s="11" t="n">
        <f aca="false">IF(BQ27&lt;=$BV$4,BU27/($BV$4-BQ27+1),0)</f>
        <v>0</v>
      </c>
      <c r="BW27" s="11" t="n">
        <f aca="false">BV27*BT27</f>
        <v>0</v>
      </c>
      <c r="BX27" s="11" t="n">
        <f aca="false">CA26-BW27</f>
        <v>1798745.45561529</v>
      </c>
      <c r="BY27" s="11" t="n">
        <f aca="false">(BU27-BV27)*(1+Inputs!$B$4)</f>
        <v>0</v>
      </c>
      <c r="BZ27" s="11" t="n">
        <f aca="false">(BZ26+BV27)*(1+Inputs!$B$4)</f>
        <v>7736624.94172446</v>
      </c>
      <c r="CA27" s="11" t="n">
        <f aca="false">BX27*(1+Inputs!$B$4*(1-Inputs!$B$8))</f>
        <v>1969626.27389875</v>
      </c>
      <c r="CB27" s="11" t="n">
        <f aca="false">IF(CA26&lt;=0,0,CB26*BX27/CA26)</f>
        <v>320701.835366809</v>
      </c>
      <c r="CC27" s="11" t="n">
        <f aca="false">BZ27+BY27*(1-Inputs!$B$6)+CA27-(CA27-CB27)*Inputs!$B$9</f>
        <v>9277530.8616049</v>
      </c>
      <c r="CD27" s="12" t="n">
        <f aca="false">BZ27/(BZ27+BY27+CA27)</f>
        <v>0.797076520054578</v>
      </c>
      <c r="CE27" s="19" t="n">
        <f aca="false">IF(CC27&gt;M27,1,0)</f>
        <v>1</v>
      </c>
      <c r="CF27" s="18" t="str">
        <f aca="false">IF(BX27&lt;0,"SHORT","ok")</f>
        <v>ok</v>
      </c>
      <c r="CH27" s="19" t="n">
        <v>20</v>
      </c>
      <c r="CI27" s="19" t="n">
        <f aca="false">CI26+1</f>
        <v>77</v>
      </c>
      <c r="CJ27" s="19" t="n">
        <f aca="false">CJ26+1</f>
        <v>2045</v>
      </c>
      <c r="CK27" s="13" t="n">
        <f aca="false">IF(Inputs!$B$15="B",Inputs!$D$38,Inputs!$C$38)</f>
        <v>0.38</v>
      </c>
      <c r="CL27" s="11" t="n">
        <f aca="false">CP26</f>
        <v>0</v>
      </c>
      <c r="CM27" s="11" t="n">
        <f aca="false">IF(CH27&lt;=$CM$4,CL27/($CM$4-CH27+1),0)</f>
        <v>0</v>
      </c>
      <c r="CN27" s="11" t="n">
        <f aca="false">CM27*CK27</f>
        <v>0</v>
      </c>
      <c r="CO27" s="11" t="n">
        <f aca="false">CR26-CN27</f>
        <v>1787295.10817151</v>
      </c>
      <c r="CP27" s="11" t="n">
        <f aca="false">(CL27-CM27)*(1+Inputs!$B$4)</f>
        <v>0</v>
      </c>
      <c r="CQ27" s="11" t="n">
        <f aca="false">(CQ26+CM27)*(1+Inputs!$B$4)</f>
        <v>7736624.94172445</v>
      </c>
      <c r="CR27" s="11" t="n">
        <f aca="false">CO27*(1+Inputs!$B$4*(1-Inputs!$B$8))</f>
        <v>1957088.14344781</v>
      </c>
      <c r="CS27" s="11" t="n">
        <f aca="false">IF(CR26&lt;=0,0,CS26*CO27/CR26)</f>
        <v>318660.330589497</v>
      </c>
      <c r="CT27" s="11" t="n">
        <f aca="false">CQ27+CP27*(1-Inputs!$B$6)+CR27-(CR27-CS27)*Inputs!$B$9</f>
        <v>9267721.8538291</v>
      </c>
      <c r="CU27" s="12" t="n">
        <f aca="false">CQ27/(CQ27+CP27+CR27)</f>
        <v>0.798107482008992</v>
      </c>
      <c r="CV27" s="19" t="n">
        <f aca="false">IF(CT27&gt;M27,1,0)</f>
        <v>1</v>
      </c>
      <c r="CW27" s="18" t="str">
        <f aca="false">IF(CO27&lt;0,"SHORT","ok")</f>
        <v>ok</v>
      </c>
    </row>
    <row r="28" customFormat="false" ht="15" hidden="false" customHeight="false" outlineLevel="0" collapsed="false">
      <c r="A28" s="19" t="n">
        <v>21</v>
      </c>
      <c r="B28" s="19" t="n">
        <f aca="false">B27+1</f>
        <v>78</v>
      </c>
      <c r="C28" s="19" t="n">
        <f aca="false">C27+1</f>
        <v>2046</v>
      </c>
      <c r="D28" s="13" t="n">
        <f aca="false">IF(Inputs!$B$15="B",Inputs!$D$39,Inputs!$C$39)</f>
        <v>0.38</v>
      </c>
      <c r="E28" s="11" t="n">
        <f aca="false">I27</f>
        <v>7736624.94172445</v>
      </c>
      <c r="F28" s="11" t="n">
        <f aca="false">IF(A28&lt;=$F$4,E28/($F$4-A28+1),0)</f>
        <v>0</v>
      </c>
      <c r="G28" s="11" t="n">
        <f aca="false">F28*D28</f>
        <v>0</v>
      </c>
      <c r="H28" s="11" t="n">
        <f aca="false">K27-G28</f>
        <v>4696797.85661731</v>
      </c>
      <c r="I28" s="11" t="n">
        <f aca="false">(E28-F28)*(1+Inputs!$B$4)</f>
        <v>8510287.4358969</v>
      </c>
      <c r="J28" s="11" t="n">
        <f aca="false">(J27+F28)*(1+Inputs!$B$4)</f>
        <v>0</v>
      </c>
      <c r="K28" s="11" t="n">
        <f aca="false">H28*(1+Inputs!$B$4*(1-Inputs!$B$8))</f>
        <v>5142993.65299595</v>
      </c>
      <c r="L28" s="11" t="n">
        <f aca="false">IF(K27&lt;=0,0,L27*H28/K27)</f>
        <v>764750</v>
      </c>
      <c r="M28" s="11" t="n">
        <f aca="false">J28+I28*(1-Inputs!$B$6)+K28-(K28-L28)*Inputs!$B$9</f>
        <v>9961851.50834483</v>
      </c>
      <c r="N28" s="12" t="n">
        <f aca="false">J28/(J28+I28+K28)</f>
        <v>0</v>
      </c>
      <c r="O28" s="19" t="n">
        <f aca="false">IF(M28&gt;M28,1,0)</f>
        <v>0</v>
      </c>
      <c r="P28" s="18" t="str">
        <f aca="false">IF(H28&lt;0,"SHORT","ok")</f>
        <v>ok</v>
      </c>
      <c r="R28" s="19" t="n">
        <v>21</v>
      </c>
      <c r="S28" s="19" t="n">
        <f aca="false">S27+1</f>
        <v>78</v>
      </c>
      <c r="T28" s="19" t="n">
        <f aca="false">T27+1</f>
        <v>2046</v>
      </c>
      <c r="U28" s="13" t="n">
        <f aca="false">IF(Inputs!$B$15="B",Inputs!$D$39,Inputs!$C$39)</f>
        <v>0.38</v>
      </c>
      <c r="V28" s="11" t="n">
        <f aca="false">Z27</f>
        <v>0</v>
      </c>
      <c r="W28" s="11" t="n">
        <f aca="false">IF(R28&lt;=$W$4,V28/($W$4-R28+1),0)</f>
        <v>0</v>
      </c>
      <c r="X28" s="11" t="n">
        <f aca="false">W28*U28</f>
        <v>0</v>
      </c>
      <c r="Y28" s="11" t="n">
        <f aca="false">AB27-X28</f>
        <v>2012913.3671217</v>
      </c>
      <c r="Z28" s="11" t="n">
        <f aca="false">(V28-W28)*(1+Inputs!$B$4)</f>
        <v>0</v>
      </c>
      <c r="AA28" s="11" t="n">
        <f aca="false">(AA27+W28)*(1+Inputs!$B$4)</f>
        <v>8510287.4358969</v>
      </c>
      <c r="AB28" s="11" t="n">
        <f aca="false">Y28*(1+Inputs!$B$4*(1-Inputs!$B$8))</f>
        <v>2204140.13699827</v>
      </c>
      <c r="AC28" s="11" t="n">
        <f aca="false">IF(AB27&lt;=0,0,AC27*Y28/AB27)</f>
        <v>327750</v>
      </c>
      <c r="AD28" s="11" t="n">
        <f aca="false">AA28+Z28*(1-Inputs!$B$6)+AB28-(AB28-AC28)*Inputs!$B$9</f>
        <v>10226566.1372756</v>
      </c>
      <c r="AE28" s="12" t="n">
        <f aca="false">AA28/(AA28+Z28+AB28)</f>
        <v>0.794282977601697</v>
      </c>
      <c r="AF28" s="19" t="n">
        <f aca="false">IF(AD28&gt;M28,1,0)</f>
        <v>1</v>
      </c>
      <c r="AG28" s="18" t="str">
        <f aca="false">IF(Y28&lt;0,"SHORT","ok")</f>
        <v>ok</v>
      </c>
      <c r="AI28" s="19" t="n">
        <v>21</v>
      </c>
      <c r="AJ28" s="19" t="n">
        <f aca="false">AJ27+1</f>
        <v>78</v>
      </c>
      <c r="AK28" s="19" t="n">
        <f aca="false">AK27+1</f>
        <v>2046</v>
      </c>
      <c r="AL28" s="13" t="n">
        <f aca="false">IF(Inputs!$B$15="B",Inputs!$D$39,Inputs!$C$39)</f>
        <v>0.38</v>
      </c>
      <c r="AM28" s="11" t="n">
        <f aca="false">AQ27</f>
        <v>0</v>
      </c>
      <c r="AN28" s="11" t="n">
        <f aca="false">IF(AI28&lt;=$AN$4,AM28/($AN$4-AI28+1),0)</f>
        <v>0</v>
      </c>
      <c r="AO28" s="11" t="n">
        <f aca="false">AN28*AL28</f>
        <v>0</v>
      </c>
      <c r="AP28" s="11" t="n">
        <f aca="false">AS27-AO28</f>
        <v>2000639.53356188</v>
      </c>
      <c r="AQ28" s="11" t="n">
        <f aca="false">(AM28-AN28)*(1+Inputs!$B$4)</f>
        <v>0</v>
      </c>
      <c r="AR28" s="11" t="n">
        <f aca="false">(AR27+AN28)*(1+Inputs!$B$4)</f>
        <v>8510287.4358969</v>
      </c>
      <c r="AS28" s="11" t="n">
        <f aca="false">AP28*(1+Inputs!$B$4*(1-Inputs!$B$8))</f>
        <v>2190700.28925026</v>
      </c>
      <c r="AT28" s="11" t="n">
        <f aca="false">IF(AS27&lt;=0,0,AT27*AP28/AS27)</f>
        <v>325751.529020107</v>
      </c>
      <c r="AU28" s="11" t="n">
        <f aca="false">AR28+AQ28*(1-Inputs!$B$6)+AS28-(AS28-AT28)*Inputs!$B$9</f>
        <v>10216101.0474873</v>
      </c>
      <c r="AV28" s="12" t="n">
        <f aca="false">AR28/(AR28+AQ28+AS28)</f>
        <v>0.795280553018284</v>
      </c>
      <c r="AW28" s="19" t="n">
        <f aca="false">IF(AU28&gt;M28,1,0)</f>
        <v>1</v>
      </c>
      <c r="AX28" s="18" t="str">
        <f aca="false">IF(AP28&lt;0,"SHORT","ok")</f>
        <v>ok</v>
      </c>
      <c r="AZ28" s="19" t="n">
        <v>21</v>
      </c>
      <c r="BA28" s="19" t="n">
        <f aca="false">BA27+1</f>
        <v>78</v>
      </c>
      <c r="BB28" s="19" t="n">
        <f aca="false">BB27+1</f>
        <v>2046</v>
      </c>
      <c r="BC28" s="13" t="n">
        <f aca="false">IF(Inputs!$B$15="B",Inputs!$D$39,Inputs!$C$39)</f>
        <v>0.38</v>
      </c>
      <c r="BD28" s="11" t="n">
        <f aca="false">BH27</f>
        <v>0</v>
      </c>
      <c r="BE28" s="11" t="n">
        <f aca="false">IF(AZ28&lt;=$BE$4,BD28/($BE$4-AZ28+1),0)</f>
        <v>0</v>
      </c>
      <c r="BF28" s="11" t="n">
        <f aca="false">BE28*BC28</f>
        <v>0</v>
      </c>
      <c r="BG28" s="11" t="n">
        <f aca="false">BJ27-BF28</f>
        <v>1988290.83127486</v>
      </c>
      <c r="BH28" s="11" t="n">
        <f aca="false">(BD28-BE28)*(1+Inputs!$B$4)</f>
        <v>0</v>
      </c>
      <c r="BI28" s="11" t="n">
        <f aca="false">(BI27+BE28)*(1+Inputs!$B$4)</f>
        <v>8510287.4358969</v>
      </c>
      <c r="BJ28" s="11" t="n">
        <f aca="false">BG28*(1+Inputs!$B$4*(1-Inputs!$B$8))</f>
        <v>2177178.46024597</v>
      </c>
      <c r="BK28" s="11" t="n">
        <f aca="false">IF(BJ27&lt;=0,0,BK27*BG28/BJ27)</f>
        <v>323740.86763712</v>
      </c>
      <c r="BL28" s="11" t="n">
        <f aca="false">BI28+BH28*(1-Inputs!$B$6)+BJ28-(BJ28-BK28)*Inputs!$B$9</f>
        <v>10205572.1220646</v>
      </c>
      <c r="BM28" s="12" t="n">
        <f aca="false">BI28/(BI28+BH28+BJ28)</f>
        <v>0.796286745482695</v>
      </c>
      <c r="BN28" s="19" t="n">
        <f aca="false">IF(BL28&gt;M28,1,0)</f>
        <v>1</v>
      </c>
      <c r="BO28" s="18" t="str">
        <f aca="false">IF(BG28&lt;0,"SHORT","ok")</f>
        <v>ok</v>
      </c>
      <c r="BQ28" s="19" t="n">
        <v>21</v>
      </c>
      <c r="BR28" s="19" t="n">
        <f aca="false">BR27+1</f>
        <v>78</v>
      </c>
      <c r="BS28" s="19" t="n">
        <f aca="false">BS27+1</f>
        <v>2046</v>
      </c>
      <c r="BT28" s="13" t="n">
        <f aca="false">IF(Inputs!$B$15="B",Inputs!$D$39,Inputs!$C$39)</f>
        <v>0.38</v>
      </c>
      <c r="BU28" s="11" t="n">
        <f aca="false">BY27</f>
        <v>0</v>
      </c>
      <c r="BV28" s="11" t="n">
        <f aca="false">IF(BQ28&lt;=$BV$4,BU28/($BV$4-BQ28+1),0)</f>
        <v>0</v>
      </c>
      <c r="BW28" s="11" t="n">
        <f aca="false">BV28*BT28</f>
        <v>0</v>
      </c>
      <c r="BX28" s="11" t="n">
        <f aca="false">CA27-BW28</f>
        <v>1969626.27389875</v>
      </c>
      <c r="BY28" s="11" t="n">
        <f aca="false">(BU28-BV28)*(1+Inputs!$B$4)</f>
        <v>0</v>
      </c>
      <c r="BZ28" s="11" t="n">
        <f aca="false">(BZ27+BV28)*(1+Inputs!$B$4)</f>
        <v>8510287.4358969</v>
      </c>
      <c r="CA28" s="11" t="n">
        <f aca="false">BX28*(1+Inputs!$B$4*(1-Inputs!$B$8))</f>
        <v>2156740.76991913</v>
      </c>
      <c r="CB28" s="11" t="n">
        <f aca="false">IF(CA27&lt;=0,0,CB27*BX28/CA27)</f>
        <v>320701.835366809</v>
      </c>
      <c r="CC28" s="11" t="n">
        <f aca="false">BZ28+BY28*(1-Inputs!$B$6)+CA28-(CA28-CB28)*Inputs!$B$9</f>
        <v>10189658.0828324</v>
      </c>
      <c r="CD28" s="12" t="n">
        <f aca="false">BZ28/(BZ28+BY28+CA28)</f>
        <v>0.797812405826095</v>
      </c>
      <c r="CE28" s="19" t="n">
        <f aca="false">IF(CC28&gt;M28,1,0)</f>
        <v>1</v>
      </c>
      <c r="CF28" s="18" t="str">
        <f aca="false">IF(BX28&lt;0,"SHORT","ok")</f>
        <v>ok</v>
      </c>
      <c r="CH28" s="19" t="n">
        <v>21</v>
      </c>
      <c r="CI28" s="19" t="n">
        <f aca="false">CI27+1</f>
        <v>78</v>
      </c>
      <c r="CJ28" s="19" t="n">
        <f aca="false">CJ27+1</f>
        <v>2046</v>
      </c>
      <c r="CK28" s="13" t="n">
        <f aca="false">IF(Inputs!$B$15="B",Inputs!$D$39,Inputs!$C$39)</f>
        <v>0.38</v>
      </c>
      <c r="CL28" s="11" t="n">
        <f aca="false">CP27</f>
        <v>0</v>
      </c>
      <c r="CM28" s="11" t="n">
        <f aca="false">IF(CH28&lt;=$CM$4,CL28/($CM$4-CH28+1),0)</f>
        <v>0</v>
      </c>
      <c r="CN28" s="11" t="n">
        <f aca="false">CM28*CK28</f>
        <v>0</v>
      </c>
      <c r="CO28" s="11" t="n">
        <f aca="false">CR27-CN28</f>
        <v>1957088.14344781</v>
      </c>
      <c r="CP28" s="11" t="n">
        <f aca="false">(CL28-CM28)*(1+Inputs!$B$4)</f>
        <v>0</v>
      </c>
      <c r="CQ28" s="11" t="n">
        <f aca="false">(CQ27+CM28)*(1+Inputs!$B$4)</f>
        <v>8510287.4358969</v>
      </c>
      <c r="CR28" s="11" t="n">
        <f aca="false">CO28*(1+Inputs!$B$4*(1-Inputs!$B$8))</f>
        <v>2143011.51707535</v>
      </c>
      <c r="CS28" s="11" t="n">
        <f aca="false">IF(CR27&lt;=0,0,CS27*CO28/CR27)</f>
        <v>318660.330589497</v>
      </c>
      <c r="CT28" s="11" t="n">
        <f aca="false">CQ28+CP28*(1-Inputs!$B$6)+CR28-(CR28-CS28)*Inputs!$B$9</f>
        <v>10178967.6444859</v>
      </c>
      <c r="CU28" s="12" t="n">
        <f aca="false">CQ28/(CQ28+CP28+CR28)</f>
        <v>0.798840572621174</v>
      </c>
      <c r="CV28" s="19" t="n">
        <f aca="false">IF(CT28&gt;M28,1,0)</f>
        <v>1</v>
      </c>
      <c r="CW28" s="18" t="str">
        <f aca="false">IF(CO28&lt;0,"SHORT","ok")</f>
        <v>ok</v>
      </c>
    </row>
    <row r="29" customFormat="false" ht="15" hidden="false" customHeight="false" outlineLevel="0" collapsed="false">
      <c r="A29" s="19" t="n">
        <v>22</v>
      </c>
      <c r="B29" s="19" t="n">
        <f aca="false">B28+1</f>
        <v>79</v>
      </c>
      <c r="C29" s="19" t="n">
        <f aca="false">C28+1</f>
        <v>2047</v>
      </c>
      <c r="D29" s="13" t="n">
        <f aca="false">IF(Inputs!$B$15="B",Inputs!$D$40,Inputs!$C$40)</f>
        <v>0.38</v>
      </c>
      <c r="E29" s="11" t="n">
        <f aca="false">I28</f>
        <v>8510287.4358969</v>
      </c>
      <c r="F29" s="11" t="n">
        <f aca="false">IF(A29&lt;=$F$4,E29/($F$4-A29+1),0)</f>
        <v>0</v>
      </c>
      <c r="G29" s="11" t="n">
        <f aca="false">F29*D29</f>
        <v>0</v>
      </c>
      <c r="H29" s="11" t="n">
        <f aca="false">K28-G29</f>
        <v>5142993.65299595</v>
      </c>
      <c r="I29" s="11" t="n">
        <f aca="false">(E29-F29)*(1+Inputs!$B$4)</f>
        <v>9361316.17948659</v>
      </c>
      <c r="J29" s="11" t="n">
        <f aca="false">(J28+F29)*(1+Inputs!$B$4)</f>
        <v>0</v>
      </c>
      <c r="K29" s="11" t="n">
        <f aca="false">H29*(1+Inputs!$B$4*(1-Inputs!$B$8))</f>
        <v>5631578.05003057</v>
      </c>
      <c r="L29" s="11" t="n">
        <f aca="false">IF(K28&lt;=0,0,L28*H29/K28)</f>
        <v>764750</v>
      </c>
      <c r="M29" s="11" t="n">
        <f aca="false">J29+I29*(1-Inputs!$B$6)+K29-(K29-L29)*Inputs!$B$9</f>
        <v>10919124.0826632</v>
      </c>
      <c r="N29" s="12" t="n">
        <f aca="false">J29/(J29+I29+K29)</f>
        <v>0</v>
      </c>
      <c r="O29" s="19" t="n">
        <f aca="false">IF(M29&gt;M29,1,0)</f>
        <v>0</v>
      </c>
      <c r="P29" s="18" t="str">
        <f aca="false">IF(H29&lt;0,"SHORT","ok")</f>
        <v>ok</v>
      </c>
      <c r="R29" s="19" t="n">
        <v>22</v>
      </c>
      <c r="S29" s="19" t="n">
        <f aca="false">S28+1</f>
        <v>79</v>
      </c>
      <c r="T29" s="19" t="n">
        <f aca="false">T28+1</f>
        <v>2047</v>
      </c>
      <c r="U29" s="13" t="n">
        <f aca="false">IF(Inputs!$B$15="B",Inputs!$D$40,Inputs!$C$40)</f>
        <v>0.38</v>
      </c>
      <c r="V29" s="11" t="n">
        <f aca="false">Z28</f>
        <v>0</v>
      </c>
      <c r="W29" s="11" t="n">
        <f aca="false">IF(R29&lt;=$W$4,V29/($W$4-R29+1),0)</f>
        <v>0</v>
      </c>
      <c r="X29" s="11" t="n">
        <f aca="false">W29*U29</f>
        <v>0</v>
      </c>
      <c r="Y29" s="11" t="n">
        <f aca="false">AB28-X29</f>
        <v>2204140.13699827</v>
      </c>
      <c r="Z29" s="11" t="n">
        <f aca="false">(V29-W29)*(1+Inputs!$B$4)</f>
        <v>0</v>
      </c>
      <c r="AA29" s="11" t="n">
        <f aca="false">(AA28+W29)*(1+Inputs!$B$4)</f>
        <v>9361316.17948659</v>
      </c>
      <c r="AB29" s="11" t="n">
        <f aca="false">Y29*(1+Inputs!$B$4*(1-Inputs!$B$8))</f>
        <v>2413533.4500131</v>
      </c>
      <c r="AC29" s="11" t="n">
        <f aca="false">IF(AB28&lt;=0,0,AC28*Y29/AB28)</f>
        <v>327750</v>
      </c>
      <c r="AD29" s="11" t="n">
        <f aca="false">AA29+Z29*(1-Inputs!$B$6)+AB29-(AB29-AC29)*Inputs!$B$9</f>
        <v>11232545.9324963</v>
      </c>
      <c r="AE29" s="12" t="n">
        <f aca="false">AA29/(AA29+Z29+AB29)</f>
        <v>0.795026388790015</v>
      </c>
      <c r="AF29" s="19" t="n">
        <f aca="false">IF(AD29&gt;M29,1,0)</f>
        <v>1</v>
      </c>
      <c r="AG29" s="18" t="str">
        <f aca="false">IF(Y29&lt;0,"SHORT","ok")</f>
        <v>ok</v>
      </c>
      <c r="AI29" s="19" t="n">
        <v>22</v>
      </c>
      <c r="AJ29" s="19" t="n">
        <f aca="false">AJ28+1</f>
        <v>79</v>
      </c>
      <c r="AK29" s="19" t="n">
        <f aca="false">AK28+1</f>
        <v>2047</v>
      </c>
      <c r="AL29" s="13" t="n">
        <f aca="false">IF(Inputs!$B$15="B",Inputs!$D$40,Inputs!$C$40)</f>
        <v>0.38</v>
      </c>
      <c r="AM29" s="11" t="n">
        <f aca="false">AQ28</f>
        <v>0</v>
      </c>
      <c r="AN29" s="11" t="n">
        <f aca="false">IF(AI29&lt;=$AN$4,AM29/($AN$4-AI29+1),0)</f>
        <v>0</v>
      </c>
      <c r="AO29" s="11" t="n">
        <f aca="false">AN29*AL29</f>
        <v>0</v>
      </c>
      <c r="AP29" s="11" t="n">
        <f aca="false">AS28-AO29</f>
        <v>2190700.28925026</v>
      </c>
      <c r="AQ29" s="11" t="n">
        <f aca="false">(AM29-AN29)*(1+Inputs!$B$4)</f>
        <v>0</v>
      </c>
      <c r="AR29" s="11" t="n">
        <f aca="false">(AR28+AN29)*(1+Inputs!$B$4)</f>
        <v>9361316.17948659</v>
      </c>
      <c r="AS29" s="11" t="n">
        <f aca="false">AP29*(1+Inputs!$B$4*(1-Inputs!$B$8))</f>
        <v>2398816.81672903</v>
      </c>
      <c r="AT29" s="11" t="n">
        <f aca="false">IF(AS28&lt;=0,0,AT28*AP29/AS28)</f>
        <v>325751.529020107</v>
      </c>
      <c r="AU29" s="11" t="n">
        <f aca="false">AR29+AQ29*(1-Inputs!$B$6)+AS29-(AS29-AT29)*Inputs!$B$9</f>
        <v>11221136.0214113</v>
      </c>
      <c r="AV29" s="12" t="n">
        <f aca="false">AR29/(AR29+AQ29+AS29)</f>
        <v>0.796021285005794</v>
      </c>
      <c r="AW29" s="19" t="n">
        <f aca="false">IF(AU29&gt;M29,1,0)</f>
        <v>1</v>
      </c>
      <c r="AX29" s="18" t="str">
        <f aca="false">IF(AP29&lt;0,"SHORT","ok")</f>
        <v>ok</v>
      </c>
      <c r="AZ29" s="19" t="n">
        <v>22</v>
      </c>
      <c r="BA29" s="19" t="n">
        <f aca="false">BA28+1</f>
        <v>79</v>
      </c>
      <c r="BB29" s="19" t="n">
        <f aca="false">BB28+1</f>
        <v>2047</v>
      </c>
      <c r="BC29" s="13" t="n">
        <f aca="false">IF(Inputs!$B$15="B",Inputs!$D$40,Inputs!$C$40)</f>
        <v>0.38</v>
      </c>
      <c r="BD29" s="11" t="n">
        <f aca="false">BH28</f>
        <v>0</v>
      </c>
      <c r="BE29" s="11" t="n">
        <f aca="false">IF(AZ29&lt;=$BE$4,BD29/($BE$4-AZ29+1),0)</f>
        <v>0</v>
      </c>
      <c r="BF29" s="11" t="n">
        <f aca="false">BE29*BC29</f>
        <v>0</v>
      </c>
      <c r="BG29" s="11" t="n">
        <f aca="false">BJ28-BF29</f>
        <v>2177178.46024597</v>
      </c>
      <c r="BH29" s="11" t="n">
        <f aca="false">(BD29-BE29)*(1+Inputs!$B$4)</f>
        <v>0</v>
      </c>
      <c r="BI29" s="11" t="n">
        <f aca="false">(BI28+BE29)*(1+Inputs!$B$4)</f>
        <v>9361316.1794866</v>
      </c>
      <c r="BJ29" s="11" t="n">
        <f aca="false">BG29*(1+Inputs!$B$4*(1-Inputs!$B$8))</f>
        <v>2384010.41396934</v>
      </c>
      <c r="BK29" s="11" t="n">
        <f aca="false">IF(BJ28&lt;=0,0,BK28*BG29/BJ28)</f>
        <v>323740.86763712</v>
      </c>
      <c r="BL29" s="11" t="n">
        <f aca="false">BI29+BH29*(1-Inputs!$B$6)+BJ29-(BJ29-BK29)*Inputs!$B$9</f>
        <v>11209656.5114096</v>
      </c>
      <c r="BM29" s="12" t="n">
        <f aca="false">BI29/(BI29+BH29+BJ29)</f>
        <v>0.797024765978187</v>
      </c>
      <c r="BN29" s="19" t="n">
        <f aca="false">IF(BL29&gt;M29,1,0)</f>
        <v>1</v>
      </c>
      <c r="BO29" s="18" t="str">
        <f aca="false">IF(BG29&lt;0,"SHORT","ok")</f>
        <v>ok</v>
      </c>
      <c r="BQ29" s="19" t="n">
        <v>22</v>
      </c>
      <c r="BR29" s="19" t="n">
        <f aca="false">BR28+1</f>
        <v>79</v>
      </c>
      <c r="BS29" s="19" t="n">
        <f aca="false">BS28+1</f>
        <v>2047</v>
      </c>
      <c r="BT29" s="13" t="n">
        <f aca="false">IF(Inputs!$B$15="B",Inputs!$D$40,Inputs!$C$40)</f>
        <v>0.38</v>
      </c>
      <c r="BU29" s="11" t="n">
        <f aca="false">BY28</f>
        <v>0</v>
      </c>
      <c r="BV29" s="11" t="n">
        <f aca="false">IF(BQ29&lt;=$BV$4,BU29/($BV$4-BQ29+1),0)</f>
        <v>0</v>
      </c>
      <c r="BW29" s="11" t="n">
        <f aca="false">BV29*BT29</f>
        <v>0</v>
      </c>
      <c r="BX29" s="11" t="n">
        <f aca="false">CA28-BW29</f>
        <v>2156740.76991913</v>
      </c>
      <c r="BY29" s="11" t="n">
        <f aca="false">(BU29-BV29)*(1+Inputs!$B$4)</f>
        <v>0</v>
      </c>
      <c r="BZ29" s="11" t="n">
        <f aca="false">(BZ28+BV29)*(1+Inputs!$B$4)</f>
        <v>9361316.17948659</v>
      </c>
      <c r="CA29" s="11" t="n">
        <f aca="false">BX29*(1+Inputs!$B$4*(1-Inputs!$B$8))</f>
        <v>2361631.14306144</v>
      </c>
      <c r="CB29" s="11" t="n">
        <f aca="false">IF(CA28&lt;=0,0,CB28*BX29/CA28)</f>
        <v>320701.835366809</v>
      </c>
      <c r="CC29" s="11" t="n">
        <f aca="false">BZ29+BY29*(1-Inputs!$B$6)+CA29-(CA29-CB29)*Inputs!$B$9</f>
        <v>11192305.7025474</v>
      </c>
      <c r="CD29" s="12" t="n">
        <f aca="false">BZ29/(BZ29+BY29+CA29)</f>
        <v>0.798546297438439</v>
      </c>
      <c r="CE29" s="19" t="n">
        <f aca="false">IF(CC29&gt;M29,1,0)</f>
        <v>1</v>
      </c>
      <c r="CF29" s="18" t="str">
        <f aca="false">IF(BX29&lt;0,"SHORT","ok")</f>
        <v>ok</v>
      </c>
      <c r="CH29" s="19" t="n">
        <v>22</v>
      </c>
      <c r="CI29" s="19" t="n">
        <f aca="false">CI28+1</f>
        <v>79</v>
      </c>
      <c r="CJ29" s="19" t="n">
        <f aca="false">CJ28+1</f>
        <v>2047</v>
      </c>
      <c r="CK29" s="13" t="n">
        <f aca="false">IF(Inputs!$B$15="B",Inputs!$D$40,Inputs!$C$40)</f>
        <v>0.38</v>
      </c>
      <c r="CL29" s="11" t="n">
        <f aca="false">CP28</f>
        <v>0</v>
      </c>
      <c r="CM29" s="11" t="n">
        <f aca="false">IF(CH29&lt;=$CM$4,CL29/($CM$4-CH29+1),0)</f>
        <v>0</v>
      </c>
      <c r="CN29" s="11" t="n">
        <f aca="false">CM29*CK29</f>
        <v>0</v>
      </c>
      <c r="CO29" s="11" t="n">
        <f aca="false">CR28-CN29</f>
        <v>2143011.51707535</v>
      </c>
      <c r="CP29" s="11" t="n">
        <f aca="false">(CL29-CM29)*(1+Inputs!$B$4)</f>
        <v>0</v>
      </c>
      <c r="CQ29" s="11" t="n">
        <f aca="false">(CQ28+CM29)*(1+Inputs!$B$4)</f>
        <v>9361316.17948659</v>
      </c>
      <c r="CR29" s="11" t="n">
        <f aca="false">CO29*(1+Inputs!$B$4*(1-Inputs!$B$8))</f>
        <v>2346597.61119751</v>
      </c>
      <c r="CS29" s="11" t="n">
        <f aca="false">IF(CR28&lt;=0,0,CS28*CO29/CR28)</f>
        <v>318660.330589497</v>
      </c>
      <c r="CT29" s="11" t="n">
        <f aca="false">CQ29+CP29*(1-Inputs!$B$6)+CR29-(CR29-CS29)*Inputs!$B$9</f>
        <v>11180650.097726</v>
      </c>
      <c r="CU29" s="12" t="n">
        <f aca="false">CQ29/(CQ29+CP29+CR29)</f>
        <v>0.799571669799561</v>
      </c>
      <c r="CV29" s="19" t="n">
        <f aca="false">IF(CT29&gt;M29,1,0)</f>
        <v>1</v>
      </c>
      <c r="CW29" s="18" t="str">
        <f aca="false">IF(CO29&lt;0,"SHORT","ok")</f>
        <v>ok</v>
      </c>
    </row>
    <row r="30" customFormat="false" ht="15" hidden="false" customHeight="false" outlineLevel="0" collapsed="false">
      <c r="A30" s="19" t="n">
        <v>23</v>
      </c>
      <c r="B30" s="19" t="n">
        <f aca="false">B29+1</f>
        <v>80</v>
      </c>
      <c r="C30" s="19" t="n">
        <f aca="false">C29+1</f>
        <v>2048</v>
      </c>
      <c r="D30" s="13" t="n">
        <f aca="false">IF(Inputs!$B$15="B",Inputs!$D$41,Inputs!$C$41)</f>
        <v>0.38</v>
      </c>
      <c r="E30" s="11" t="n">
        <f aca="false">I29</f>
        <v>9361316.17948659</v>
      </c>
      <c r="F30" s="11" t="n">
        <f aca="false">IF(A30&lt;=$F$4,E30/($F$4-A30+1),0)</f>
        <v>0</v>
      </c>
      <c r="G30" s="11" t="n">
        <f aca="false">F30*D30</f>
        <v>0</v>
      </c>
      <c r="H30" s="11" t="n">
        <f aca="false">K29-G30</f>
        <v>5631578.05003057</v>
      </c>
      <c r="I30" s="11" t="n">
        <f aca="false">(E30-F30)*(1+Inputs!$B$4)</f>
        <v>10297447.7974352</v>
      </c>
      <c r="J30" s="11" t="n">
        <f aca="false">(J29+F30)*(1+Inputs!$B$4)</f>
        <v>0</v>
      </c>
      <c r="K30" s="11" t="n">
        <f aca="false">H30*(1+Inputs!$B$4*(1-Inputs!$B$8))</f>
        <v>6166577.96478347</v>
      </c>
      <c r="L30" s="11" t="n">
        <f aca="false">IF(K29&lt;=0,0,L29*H30/K29)</f>
        <v>764750</v>
      </c>
      <c r="M30" s="11" t="n">
        <f aca="false">J30+I30*(1-Inputs!$B$6)+K30-(K30-L30)*Inputs!$B$9</f>
        <v>11970316.1521444</v>
      </c>
      <c r="N30" s="12" t="n">
        <f aca="false">J30/(J30+I30+K30)</f>
        <v>0</v>
      </c>
      <c r="O30" s="19" t="n">
        <f aca="false">IF(M30&gt;M30,1,0)</f>
        <v>0</v>
      </c>
      <c r="P30" s="18" t="str">
        <f aca="false">IF(H30&lt;0,"SHORT","ok")</f>
        <v>ok</v>
      </c>
      <c r="R30" s="19" t="n">
        <v>23</v>
      </c>
      <c r="S30" s="19" t="n">
        <f aca="false">S29+1</f>
        <v>80</v>
      </c>
      <c r="T30" s="19" t="n">
        <f aca="false">T29+1</f>
        <v>2048</v>
      </c>
      <c r="U30" s="13" t="n">
        <f aca="false">IF(Inputs!$B$15="B",Inputs!$D$41,Inputs!$C$41)</f>
        <v>0.38</v>
      </c>
      <c r="V30" s="11" t="n">
        <f aca="false">Z29</f>
        <v>0</v>
      </c>
      <c r="W30" s="11" t="n">
        <f aca="false">IF(R30&lt;=$W$4,V30/($W$4-R30+1),0)</f>
        <v>0</v>
      </c>
      <c r="X30" s="11" t="n">
        <f aca="false">W30*U30</f>
        <v>0</v>
      </c>
      <c r="Y30" s="11" t="n">
        <f aca="false">AB29-X30</f>
        <v>2413533.4500131</v>
      </c>
      <c r="Z30" s="11" t="n">
        <f aca="false">(V30-W30)*(1+Inputs!$B$4)</f>
        <v>0</v>
      </c>
      <c r="AA30" s="11" t="n">
        <f aca="false">(AA29+W30)*(1+Inputs!$B$4)</f>
        <v>10297447.7974352</v>
      </c>
      <c r="AB30" s="11" t="n">
        <f aca="false">Y30*(1+Inputs!$B$4*(1-Inputs!$B$8))</f>
        <v>2642819.12776434</v>
      </c>
      <c r="AC30" s="11" t="n">
        <f aca="false">IF(AB29&lt;=0,0,AC29*Y30/AB29)</f>
        <v>327750</v>
      </c>
      <c r="AD30" s="11" t="n">
        <f aca="false">AA30+Z30*(1-Inputs!$B$6)+AB30-(AB30-AC30)*Inputs!$B$9</f>
        <v>12338348.9519809</v>
      </c>
      <c r="AE30" s="12" t="n">
        <f aca="false">AA30/(AA30+Z30+AB30)</f>
        <v>0.79576780424693</v>
      </c>
      <c r="AF30" s="19" t="n">
        <f aca="false">IF(AD30&gt;M30,1,0)</f>
        <v>1</v>
      </c>
      <c r="AG30" s="18" t="str">
        <f aca="false">IF(Y30&lt;0,"SHORT","ok")</f>
        <v>ok</v>
      </c>
      <c r="AI30" s="19" t="n">
        <v>23</v>
      </c>
      <c r="AJ30" s="19" t="n">
        <f aca="false">AJ29+1</f>
        <v>80</v>
      </c>
      <c r="AK30" s="19" t="n">
        <f aca="false">AK29+1</f>
        <v>2048</v>
      </c>
      <c r="AL30" s="13" t="n">
        <f aca="false">IF(Inputs!$B$15="B",Inputs!$D$41,Inputs!$C$41)</f>
        <v>0.38</v>
      </c>
      <c r="AM30" s="11" t="n">
        <f aca="false">AQ29</f>
        <v>0</v>
      </c>
      <c r="AN30" s="11" t="n">
        <f aca="false">IF(AI30&lt;=$AN$4,AM30/($AN$4-AI30+1),0)</f>
        <v>0</v>
      </c>
      <c r="AO30" s="11" t="n">
        <f aca="false">AN30*AL30</f>
        <v>0</v>
      </c>
      <c r="AP30" s="11" t="n">
        <f aca="false">AS29-AO30</f>
        <v>2398816.81672903</v>
      </c>
      <c r="AQ30" s="11" t="n">
        <f aca="false">(AM30-AN30)*(1+Inputs!$B$4)</f>
        <v>0</v>
      </c>
      <c r="AR30" s="11" t="n">
        <f aca="false">(AR29+AN30)*(1+Inputs!$B$4)</f>
        <v>10297447.7974353</v>
      </c>
      <c r="AS30" s="11" t="n">
        <f aca="false">AP30*(1+Inputs!$B$4*(1-Inputs!$B$8))</f>
        <v>2626704.41431829</v>
      </c>
      <c r="AT30" s="11" t="n">
        <f aca="false">IF(AS29&lt;=0,0,AT29*AP30/AS29)</f>
        <v>325751.529020107</v>
      </c>
      <c r="AU30" s="11" t="n">
        <f aca="false">AR30+AQ30*(1-Inputs!$B$6)+AS30-(AS30-AT30)*Inputs!$B$9</f>
        <v>12325904.461576</v>
      </c>
      <c r="AV30" s="12" t="n">
        <f aca="false">AR30/(AR30+AQ30+AS30)</f>
        <v>0.796760021757598</v>
      </c>
      <c r="AW30" s="19" t="n">
        <f aca="false">IF(AU30&gt;M30,1,0)</f>
        <v>1</v>
      </c>
      <c r="AX30" s="18" t="str">
        <f aca="false">IF(AP30&lt;0,"SHORT","ok")</f>
        <v>ok</v>
      </c>
      <c r="AZ30" s="19" t="n">
        <v>23</v>
      </c>
      <c r="BA30" s="19" t="n">
        <f aca="false">BA29+1</f>
        <v>80</v>
      </c>
      <c r="BB30" s="19" t="n">
        <f aca="false">BB29+1</f>
        <v>2048</v>
      </c>
      <c r="BC30" s="13" t="n">
        <f aca="false">IF(Inputs!$B$15="B",Inputs!$D$41,Inputs!$C$41)</f>
        <v>0.38</v>
      </c>
      <c r="BD30" s="11" t="n">
        <f aca="false">BH29</f>
        <v>0</v>
      </c>
      <c r="BE30" s="11" t="n">
        <f aca="false">IF(AZ30&lt;=$BE$4,BD30/($BE$4-AZ30+1),0)</f>
        <v>0</v>
      </c>
      <c r="BF30" s="11" t="n">
        <f aca="false">BE30*BC30</f>
        <v>0</v>
      </c>
      <c r="BG30" s="11" t="n">
        <f aca="false">BJ29-BF30</f>
        <v>2384010.41396934</v>
      </c>
      <c r="BH30" s="11" t="n">
        <f aca="false">(BD30-BE30)*(1+Inputs!$B$4)</f>
        <v>0</v>
      </c>
      <c r="BI30" s="11" t="n">
        <f aca="false">(BI29+BE30)*(1+Inputs!$B$4)</f>
        <v>10297447.7974353</v>
      </c>
      <c r="BJ30" s="11" t="n">
        <f aca="false">BG30*(1+Inputs!$B$4*(1-Inputs!$B$8))</f>
        <v>2610491.40329643</v>
      </c>
      <c r="BK30" s="11" t="n">
        <f aca="false">IF(BJ29&lt;=0,0,BK29*BG30/BJ29)</f>
        <v>323740.86763712</v>
      </c>
      <c r="BL30" s="11" t="n">
        <f aca="false">BI30+BH30*(1-Inputs!$B$6)+BJ30-(BJ30-BK30)*Inputs!$B$9</f>
        <v>12313384.0614603</v>
      </c>
      <c r="BM30" s="12" t="n">
        <f aca="false">BI30/(BI30+BH30+BJ30)</f>
        <v>0.797760791811876</v>
      </c>
      <c r="BN30" s="19" t="n">
        <f aca="false">IF(BL30&gt;M30,1,0)</f>
        <v>1</v>
      </c>
      <c r="BO30" s="18" t="str">
        <f aca="false">IF(BG30&lt;0,"SHORT","ok")</f>
        <v>ok</v>
      </c>
      <c r="BQ30" s="19" t="n">
        <v>23</v>
      </c>
      <c r="BR30" s="19" t="n">
        <f aca="false">BR29+1</f>
        <v>80</v>
      </c>
      <c r="BS30" s="19" t="n">
        <f aca="false">BS29+1</f>
        <v>2048</v>
      </c>
      <c r="BT30" s="13" t="n">
        <f aca="false">IF(Inputs!$B$15="B",Inputs!$D$41,Inputs!$C$41)</f>
        <v>0.38</v>
      </c>
      <c r="BU30" s="11" t="n">
        <f aca="false">BY29</f>
        <v>0</v>
      </c>
      <c r="BV30" s="11" t="n">
        <f aca="false">IF(BQ30&lt;=$BV$4,BU30/($BV$4-BQ30+1),0)</f>
        <v>0</v>
      </c>
      <c r="BW30" s="11" t="n">
        <f aca="false">BV30*BT30</f>
        <v>0</v>
      </c>
      <c r="BX30" s="11" t="n">
        <f aca="false">CA29-BW30</f>
        <v>2361631.14306144</v>
      </c>
      <c r="BY30" s="11" t="n">
        <f aca="false">(BU30-BV30)*(1+Inputs!$B$4)</f>
        <v>0</v>
      </c>
      <c r="BZ30" s="11" t="n">
        <f aca="false">(BZ29+BV30)*(1+Inputs!$B$4)</f>
        <v>10297447.7974353</v>
      </c>
      <c r="CA30" s="11" t="n">
        <f aca="false">BX30*(1+Inputs!$B$4*(1-Inputs!$B$8))</f>
        <v>2585986.10165228</v>
      </c>
      <c r="CB30" s="11" t="n">
        <f aca="false">IF(CA29&lt;=0,0,CB29*BX30/CA29)</f>
        <v>320701.835366809</v>
      </c>
      <c r="CC30" s="11" t="n">
        <f aca="false">BZ30+BY30*(1-Inputs!$B$6)+CA30-(CA30-CB30)*Inputs!$B$9</f>
        <v>12294459.9898533</v>
      </c>
      <c r="CD30" s="12" t="n">
        <f aca="false">BZ30/(BZ30+BY30+CA30)</f>
        <v>0.799278195401349</v>
      </c>
      <c r="CE30" s="19" t="n">
        <f aca="false">IF(CC30&gt;M30,1,0)</f>
        <v>1</v>
      </c>
      <c r="CF30" s="18" t="str">
        <f aca="false">IF(BX30&lt;0,"SHORT","ok")</f>
        <v>ok</v>
      </c>
      <c r="CH30" s="19" t="n">
        <v>23</v>
      </c>
      <c r="CI30" s="19" t="n">
        <f aca="false">CI29+1</f>
        <v>80</v>
      </c>
      <c r="CJ30" s="19" t="n">
        <f aca="false">CJ29+1</f>
        <v>2048</v>
      </c>
      <c r="CK30" s="13" t="n">
        <f aca="false">IF(Inputs!$B$15="B",Inputs!$D$41,Inputs!$C$41)</f>
        <v>0.38</v>
      </c>
      <c r="CL30" s="11" t="n">
        <f aca="false">CP29</f>
        <v>0</v>
      </c>
      <c r="CM30" s="11" t="n">
        <f aca="false">IF(CH30&lt;=$CM$4,CL30/($CM$4-CH30+1),0)</f>
        <v>0</v>
      </c>
      <c r="CN30" s="11" t="n">
        <f aca="false">CM30*CK30</f>
        <v>0</v>
      </c>
      <c r="CO30" s="11" t="n">
        <f aca="false">CR29-CN30</f>
        <v>2346597.61119751</v>
      </c>
      <c r="CP30" s="11" t="n">
        <f aca="false">(CL30-CM30)*(1+Inputs!$B$4)</f>
        <v>0</v>
      </c>
      <c r="CQ30" s="11" t="n">
        <f aca="false">(CQ29+CM30)*(1+Inputs!$B$4)</f>
        <v>10297447.7974352</v>
      </c>
      <c r="CR30" s="11" t="n">
        <f aca="false">CO30*(1+Inputs!$B$4*(1-Inputs!$B$8))</f>
        <v>2569524.38426127</v>
      </c>
      <c r="CS30" s="11" t="n">
        <f aca="false">IF(CR29&lt;=0,0,CS29*CO30/CR29)</f>
        <v>318660.330589497</v>
      </c>
      <c r="CT30" s="11" t="n">
        <f aca="false">CQ30+CP30*(1-Inputs!$B$6)+CR30-(CR30-CS30)*Inputs!$B$9</f>
        <v>12281747.5277419</v>
      </c>
      <c r="CU30" s="12" t="n">
        <f aca="false">CQ30/(CQ30+CP30+CR30)</f>
        <v>0.8003007741078</v>
      </c>
      <c r="CV30" s="19" t="n">
        <f aca="false">IF(CT30&gt;M30,1,0)</f>
        <v>1</v>
      </c>
      <c r="CW30" s="18" t="str">
        <f aca="false">IF(CO30&lt;0,"SHORT","ok")</f>
        <v>ok</v>
      </c>
    </row>
    <row r="31" customFormat="false" ht="15" hidden="false" customHeight="false" outlineLevel="0" collapsed="false">
      <c r="A31" s="19" t="n">
        <v>24</v>
      </c>
      <c r="B31" s="19" t="n">
        <f aca="false">B30+1</f>
        <v>81</v>
      </c>
      <c r="C31" s="19" t="n">
        <f aca="false">C30+1</f>
        <v>2049</v>
      </c>
      <c r="D31" s="13" t="n">
        <f aca="false">IF(Inputs!$B$15="B",Inputs!$D$42,Inputs!$C$42)</f>
        <v>0.38</v>
      </c>
      <c r="E31" s="11" t="n">
        <f aca="false">I30</f>
        <v>10297447.7974352</v>
      </c>
      <c r="F31" s="11" t="n">
        <f aca="false">IF(A31&lt;=$F$4,E31/($F$4-A31+1),0)</f>
        <v>0</v>
      </c>
      <c r="G31" s="11" t="n">
        <f aca="false">F31*D31</f>
        <v>0</v>
      </c>
      <c r="H31" s="11" t="n">
        <f aca="false">K30-G31</f>
        <v>6166577.96478347</v>
      </c>
      <c r="I31" s="11" t="n">
        <f aca="false">(E31-F31)*(1+Inputs!$B$4)</f>
        <v>11327192.5771788</v>
      </c>
      <c r="J31" s="11" t="n">
        <f aca="false">(J30+F31)*(1+Inputs!$B$4)</f>
        <v>0</v>
      </c>
      <c r="K31" s="11" t="n">
        <f aca="false">H31*(1+Inputs!$B$4*(1-Inputs!$B$8))</f>
        <v>6752402.8714379</v>
      </c>
      <c r="L31" s="11" t="n">
        <f aca="false">IF(K30&lt;=0,0,L30*H31/K30)</f>
        <v>764750</v>
      </c>
      <c r="M31" s="11" t="n">
        <f aca="false">J31+I31*(1-Inputs!$B$6)+K31-(K31-L31)*Inputs!$B$9</f>
        <v>13124647.9288892</v>
      </c>
      <c r="N31" s="12" t="n">
        <f aca="false">J31/(J31+I31+K31)</f>
        <v>0</v>
      </c>
      <c r="O31" s="19" t="n">
        <f aca="false">IF(M31&gt;M31,1,0)</f>
        <v>0</v>
      </c>
      <c r="P31" s="18" t="str">
        <f aca="false">IF(H31&lt;0,"SHORT","ok")</f>
        <v>ok</v>
      </c>
      <c r="R31" s="19" t="n">
        <v>24</v>
      </c>
      <c r="S31" s="19" t="n">
        <f aca="false">S30+1</f>
        <v>81</v>
      </c>
      <c r="T31" s="19" t="n">
        <f aca="false">T30+1</f>
        <v>2049</v>
      </c>
      <c r="U31" s="13" t="n">
        <f aca="false">IF(Inputs!$B$15="B",Inputs!$D$42,Inputs!$C$42)</f>
        <v>0.38</v>
      </c>
      <c r="V31" s="11" t="n">
        <f aca="false">Z30</f>
        <v>0</v>
      </c>
      <c r="W31" s="11" t="n">
        <f aca="false">IF(R31&lt;=$W$4,V31/($W$4-R31+1),0)</f>
        <v>0</v>
      </c>
      <c r="X31" s="11" t="n">
        <f aca="false">W31*U31</f>
        <v>0</v>
      </c>
      <c r="Y31" s="11" t="n">
        <f aca="false">AB30-X31</f>
        <v>2642819.12776434</v>
      </c>
      <c r="Z31" s="11" t="n">
        <f aca="false">(V31-W31)*(1+Inputs!$B$4)</f>
        <v>0</v>
      </c>
      <c r="AA31" s="11" t="n">
        <f aca="false">(AA30+W31)*(1+Inputs!$B$4)</f>
        <v>11327192.5771788</v>
      </c>
      <c r="AB31" s="11" t="n">
        <f aca="false">Y31*(1+Inputs!$B$4*(1-Inputs!$B$8))</f>
        <v>2893886.94490196</v>
      </c>
      <c r="AC31" s="11" t="n">
        <f aca="false">IF(AB30&lt;=0,0,AC30*Y31/AB30)</f>
        <v>327750</v>
      </c>
      <c r="AD31" s="11" t="n">
        <f aca="false">AA31+Z31*(1-Inputs!$B$6)+AB31-(AB31-AC31)*Inputs!$B$9</f>
        <v>13553883.9164062</v>
      </c>
      <c r="AE31" s="12" t="n">
        <f aca="false">AA31/(AA31+Z31+AB31)</f>
        <v>0.796507224334926</v>
      </c>
      <c r="AF31" s="19" t="n">
        <f aca="false">IF(AD31&gt;M31,1,0)</f>
        <v>1</v>
      </c>
      <c r="AG31" s="18" t="str">
        <f aca="false">IF(Y31&lt;0,"SHORT","ok")</f>
        <v>ok</v>
      </c>
      <c r="AI31" s="19" t="n">
        <v>24</v>
      </c>
      <c r="AJ31" s="19" t="n">
        <f aca="false">AJ30+1</f>
        <v>81</v>
      </c>
      <c r="AK31" s="19" t="n">
        <f aca="false">AK30+1</f>
        <v>2049</v>
      </c>
      <c r="AL31" s="13" t="n">
        <f aca="false">IF(Inputs!$B$15="B",Inputs!$D$42,Inputs!$C$42)</f>
        <v>0.38</v>
      </c>
      <c r="AM31" s="11" t="n">
        <f aca="false">AQ30</f>
        <v>0</v>
      </c>
      <c r="AN31" s="11" t="n">
        <f aca="false">IF(AI31&lt;=$AN$4,AM31/($AN$4-AI31+1),0)</f>
        <v>0</v>
      </c>
      <c r="AO31" s="11" t="n">
        <f aca="false">AN31*AL31</f>
        <v>0</v>
      </c>
      <c r="AP31" s="11" t="n">
        <f aca="false">AS30-AO31</f>
        <v>2626704.41431829</v>
      </c>
      <c r="AQ31" s="11" t="n">
        <f aca="false">(AM31-AN31)*(1+Inputs!$B$4)</f>
        <v>0</v>
      </c>
      <c r="AR31" s="11" t="n">
        <f aca="false">(AR30+AN31)*(1+Inputs!$B$4)</f>
        <v>11327192.5771788</v>
      </c>
      <c r="AS31" s="11" t="n">
        <f aca="false">AP31*(1+Inputs!$B$4*(1-Inputs!$B$8))</f>
        <v>2876241.33367853</v>
      </c>
      <c r="AT31" s="11" t="n">
        <f aca="false">IF(AS30&lt;=0,0,AT30*AP31/AS30)</f>
        <v>325751.529020107</v>
      </c>
      <c r="AU31" s="11" t="n">
        <f aca="false">AR31+AQ31*(1-Inputs!$B$6)+AS31-(AS31-AT31)*Inputs!$B$9</f>
        <v>13540306.5616461</v>
      </c>
      <c r="AV31" s="12" t="n">
        <f aca="false">AR31/(AR31+AQ31+AS31)</f>
        <v>0.797496763688964</v>
      </c>
      <c r="AW31" s="19" t="n">
        <f aca="false">IF(AU31&gt;M31,1,0)</f>
        <v>1</v>
      </c>
      <c r="AX31" s="18" t="str">
        <f aca="false">IF(AP31&lt;0,"SHORT","ok")</f>
        <v>ok</v>
      </c>
      <c r="AZ31" s="19" t="n">
        <v>24</v>
      </c>
      <c r="BA31" s="19" t="n">
        <f aca="false">BA30+1</f>
        <v>81</v>
      </c>
      <c r="BB31" s="19" t="n">
        <f aca="false">BB30+1</f>
        <v>2049</v>
      </c>
      <c r="BC31" s="13" t="n">
        <f aca="false">IF(Inputs!$B$15="B",Inputs!$D$42,Inputs!$C$42)</f>
        <v>0.38</v>
      </c>
      <c r="BD31" s="11" t="n">
        <f aca="false">BH30</f>
        <v>0</v>
      </c>
      <c r="BE31" s="11" t="n">
        <f aca="false">IF(AZ31&lt;=$BE$4,BD31/($BE$4-AZ31+1),0)</f>
        <v>0</v>
      </c>
      <c r="BF31" s="11" t="n">
        <f aca="false">BE31*BC31</f>
        <v>0</v>
      </c>
      <c r="BG31" s="11" t="n">
        <f aca="false">BJ30-BF31</f>
        <v>2610491.40329643</v>
      </c>
      <c r="BH31" s="11" t="n">
        <f aca="false">(BD31-BE31)*(1+Inputs!$B$4)</f>
        <v>0</v>
      </c>
      <c r="BI31" s="11" t="n">
        <f aca="false">(BI30+BE31)*(1+Inputs!$B$4)</f>
        <v>11327192.5771788</v>
      </c>
      <c r="BJ31" s="11" t="n">
        <f aca="false">BG31*(1+Inputs!$B$4*(1-Inputs!$B$8))</f>
        <v>2858488.08660959</v>
      </c>
      <c r="BK31" s="11" t="n">
        <f aca="false">IF(BJ30&lt;=0,0,BK30*BG31/BJ30)</f>
        <v>323740.86763712</v>
      </c>
      <c r="BL31" s="11" t="n">
        <f aca="false">BI31+BH31*(1-Inputs!$B$6)+BJ31-(BJ31-BK31)*Inputs!$B$9</f>
        <v>13526646.3868555</v>
      </c>
      <c r="BM31" s="12" t="n">
        <f aca="false">BI31/(BI31+BH31+BJ31)</f>
        <v>0.798494823452045</v>
      </c>
      <c r="BN31" s="19" t="n">
        <f aca="false">IF(BL31&gt;M31,1,0)</f>
        <v>1</v>
      </c>
      <c r="BO31" s="18" t="str">
        <f aca="false">IF(BG31&lt;0,"SHORT","ok")</f>
        <v>ok</v>
      </c>
      <c r="BQ31" s="19" t="n">
        <v>24</v>
      </c>
      <c r="BR31" s="19" t="n">
        <f aca="false">BR30+1</f>
        <v>81</v>
      </c>
      <c r="BS31" s="19" t="n">
        <f aca="false">BS30+1</f>
        <v>2049</v>
      </c>
      <c r="BT31" s="13" t="n">
        <f aca="false">IF(Inputs!$B$15="B",Inputs!$D$42,Inputs!$C$42)</f>
        <v>0.38</v>
      </c>
      <c r="BU31" s="11" t="n">
        <f aca="false">BY30</f>
        <v>0</v>
      </c>
      <c r="BV31" s="11" t="n">
        <f aca="false">IF(BQ31&lt;=$BV$4,BU31/($BV$4-BQ31+1),0)</f>
        <v>0</v>
      </c>
      <c r="BW31" s="11" t="n">
        <f aca="false">BV31*BT31</f>
        <v>0</v>
      </c>
      <c r="BX31" s="11" t="n">
        <f aca="false">CA30-BW31</f>
        <v>2585986.10165228</v>
      </c>
      <c r="BY31" s="11" t="n">
        <f aca="false">(BU31-BV31)*(1+Inputs!$B$4)</f>
        <v>0</v>
      </c>
      <c r="BZ31" s="11" t="n">
        <f aca="false">(BZ30+BV31)*(1+Inputs!$B$4)</f>
        <v>11327192.5771788</v>
      </c>
      <c r="CA31" s="11" t="n">
        <f aca="false">BX31*(1+Inputs!$B$4*(1-Inputs!$B$8))</f>
        <v>2831654.78130925</v>
      </c>
      <c r="CB31" s="11" t="n">
        <f aca="false">IF(CA30&lt;=0,0,CB30*BX31/CA30)</f>
        <v>320701.835366809</v>
      </c>
      <c r="CC31" s="11" t="n">
        <f aca="false">BZ31+BY31*(1-Inputs!$B$6)+CA31-(CA31-CB31)*Inputs!$B$9</f>
        <v>13505999.592543</v>
      </c>
      <c r="CD31" s="12" t="n">
        <f aca="false">BZ31/(BZ31+BY31+CA31)</f>
        <v>0.800008100263069</v>
      </c>
      <c r="CE31" s="19" t="n">
        <f aca="false">IF(CC31&gt;M31,1,0)</f>
        <v>1</v>
      </c>
      <c r="CF31" s="18" t="str">
        <f aca="false">IF(BX31&lt;0,"SHORT","ok")</f>
        <v>ok</v>
      </c>
      <c r="CH31" s="19" t="n">
        <v>24</v>
      </c>
      <c r="CI31" s="19" t="n">
        <f aca="false">CI30+1</f>
        <v>81</v>
      </c>
      <c r="CJ31" s="19" t="n">
        <f aca="false">CJ30+1</f>
        <v>2049</v>
      </c>
      <c r="CK31" s="13" t="n">
        <f aca="false">IF(Inputs!$B$15="B",Inputs!$D$42,Inputs!$C$42)</f>
        <v>0.38</v>
      </c>
      <c r="CL31" s="11" t="n">
        <f aca="false">CP30</f>
        <v>0</v>
      </c>
      <c r="CM31" s="11" t="n">
        <f aca="false">IF(CH31&lt;=$CM$4,CL31/($CM$4-CH31+1),0)</f>
        <v>0</v>
      </c>
      <c r="CN31" s="11" t="n">
        <f aca="false">CM31*CK31</f>
        <v>0</v>
      </c>
      <c r="CO31" s="11" t="n">
        <f aca="false">CR30-CN31</f>
        <v>2569524.38426127</v>
      </c>
      <c r="CP31" s="11" t="n">
        <f aca="false">(CL31-CM31)*(1+Inputs!$B$4)</f>
        <v>0</v>
      </c>
      <c r="CQ31" s="11" t="n">
        <f aca="false">(CQ30+CM31)*(1+Inputs!$B$4)</f>
        <v>11327192.5771788</v>
      </c>
      <c r="CR31" s="11" t="n">
        <f aca="false">CO31*(1+Inputs!$B$4*(1-Inputs!$B$8))</f>
        <v>2813629.20076609</v>
      </c>
      <c r="CS31" s="11" t="n">
        <f aca="false">IF(CR30&lt;=0,0,CS30*CO31/CR30)</f>
        <v>318660.330589497</v>
      </c>
      <c r="CT31" s="11" t="n">
        <f aca="false">CQ31+CP31*(1-Inputs!$B$6)+CR31-(CR31-CS31)*Inputs!$B$9</f>
        <v>13492129.8716989</v>
      </c>
      <c r="CU31" s="12" t="n">
        <f aca="false">CQ31/(CQ31+CP31+CR31)</f>
        <v>0.801027886147717</v>
      </c>
      <c r="CV31" s="19" t="n">
        <f aca="false">IF(CT31&gt;M31,1,0)</f>
        <v>1</v>
      </c>
      <c r="CW31" s="18" t="str">
        <f aca="false">IF(CO31&lt;0,"SHORT","ok")</f>
        <v>ok</v>
      </c>
    </row>
    <row r="32" customFormat="false" ht="15" hidden="false" customHeight="false" outlineLevel="0" collapsed="false">
      <c r="A32" s="19" t="n">
        <v>25</v>
      </c>
      <c r="B32" s="19" t="n">
        <f aca="false">B31+1</f>
        <v>82</v>
      </c>
      <c r="C32" s="19" t="n">
        <f aca="false">C31+1</f>
        <v>2050</v>
      </c>
      <c r="D32" s="13" t="n">
        <f aca="false">IF(Inputs!$B$15="B",Inputs!$D$43,Inputs!$C$43)</f>
        <v>0.38</v>
      </c>
      <c r="E32" s="11" t="n">
        <f aca="false">I31</f>
        <v>11327192.5771788</v>
      </c>
      <c r="F32" s="11" t="n">
        <f aca="false">IF(A32&lt;=$F$4,E32/($F$4-A32+1),0)</f>
        <v>0</v>
      </c>
      <c r="G32" s="11" t="n">
        <f aca="false">F32*D32</f>
        <v>0</v>
      </c>
      <c r="H32" s="11" t="n">
        <f aca="false">K31-G32</f>
        <v>6752402.8714379</v>
      </c>
      <c r="I32" s="11" t="n">
        <f aca="false">(E32-F32)*(1+Inputs!$B$4)</f>
        <v>12459911.8348966</v>
      </c>
      <c r="J32" s="11" t="n">
        <f aca="false">(J31+F32)*(1+Inputs!$B$4)</f>
        <v>0</v>
      </c>
      <c r="K32" s="11" t="n">
        <f aca="false">H32*(1+Inputs!$B$4*(1-Inputs!$B$8))</f>
        <v>7393881.1442245</v>
      </c>
      <c r="L32" s="11" t="n">
        <f aca="false">IF(K31&lt;=0,0,L31*H32/K31)</f>
        <v>764750</v>
      </c>
      <c r="M32" s="11" t="n">
        <f aca="false">J32+I32*(1-Inputs!$B$6)+K32-(K32-L32)*Inputs!$B$9</f>
        <v>14392245.3311538</v>
      </c>
      <c r="N32" s="12" t="n">
        <f aca="false">J32/(J32+I32+K32)</f>
        <v>0</v>
      </c>
      <c r="O32" s="19" t="n">
        <f aca="false">IF(M32&gt;M32,1,0)</f>
        <v>0</v>
      </c>
      <c r="P32" s="18" t="str">
        <f aca="false">IF(H32&lt;0,"SHORT","ok")</f>
        <v>ok</v>
      </c>
      <c r="R32" s="19" t="n">
        <v>25</v>
      </c>
      <c r="S32" s="19" t="n">
        <f aca="false">S31+1</f>
        <v>82</v>
      </c>
      <c r="T32" s="19" t="n">
        <f aca="false">T31+1</f>
        <v>2050</v>
      </c>
      <c r="U32" s="13" t="n">
        <f aca="false">IF(Inputs!$B$15="B",Inputs!$D$43,Inputs!$C$43)</f>
        <v>0.38</v>
      </c>
      <c r="V32" s="11" t="n">
        <f aca="false">Z31</f>
        <v>0</v>
      </c>
      <c r="W32" s="11" t="n">
        <f aca="false">IF(R32&lt;=$W$4,V32/($W$4-R32+1),0)</f>
        <v>0</v>
      </c>
      <c r="X32" s="11" t="n">
        <f aca="false">W32*U32</f>
        <v>0</v>
      </c>
      <c r="Y32" s="11" t="n">
        <f aca="false">AB31-X32</f>
        <v>2893886.94490196</v>
      </c>
      <c r="Z32" s="11" t="n">
        <f aca="false">(V32-W32)*(1+Inputs!$B$4)</f>
        <v>0</v>
      </c>
      <c r="AA32" s="11" t="n">
        <f aca="false">(AA31+W32)*(1+Inputs!$B$4)</f>
        <v>12459911.8348966</v>
      </c>
      <c r="AB32" s="11" t="n">
        <f aca="false">Y32*(1+Inputs!$B$4*(1-Inputs!$B$8))</f>
        <v>3168806.20466764</v>
      </c>
      <c r="AC32" s="11" t="n">
        <f aca="false">IF(AB31&lt;=0,0,AC31*Y32/AB31)</f>
        <v>327750</v>
      </c>
      <c r="AD32" s="11" t="n">
        <f aca="false">AA32+Z32*(1-Inputs!$B$6)+AB32-(AB32-AC32)*Inputs!$B$9</f>
        <v>14890043.4263507</v>
      </c>
      <c r="AE32" s="12" t="n">
        <f aca="false">AA32/(AA32+Z32+AB32)</f>
        <v>0.797244649455843</v>
      </c>
      <c r="AF32" s="19" t="n">
        <f aca="false">IF(AD32&gt;M32,1,0)</f>
        <v>1</v>
      </c>
      <c r="AG32" s="18" t="str">
        <f aca="false">IF(Y32&lt;0,"SHORT","ok")</f>
        <v>ok</v>
      </c>
      <c r="AI32" s="19" t="n">
        <v>25</v>
      </c>
      <c r="AJ32" s="19" t="n">
        <f aca="false">AJ31+1</f>
        <v>82</v>
      </c>
      <c r="AK32" s="19" t="n">
        <f aca="false">AK31+1</f>
        <v>2050</v>
      </c>
      <c r="AL32" s="13" t="n">
        <f aca="false">IF(Inputs!$B$15="B",Inputs!$D$43,Inputs!$C$43)</f>
        <v>0.38</v>
      </c>
      <c r="AM32" s="11" t="n">
        <f aca="false">AQ31</f>
        <v>0</v>
      </c>
      <c r="AN32" s="11" t="n">
        <f aca="false">IF(AI32&lt;=$AN$4,AM32/($AN$4-AI32+1),0)</f>
        <v>0</v>
      </c>
      <c r="AO32" s="11" t="n">
        <f aca="false">AN32*AL32</f>
        <v>0</v>
      </c>
      <c r="AP32" s="11" t="n">
        <f aca="false">AS31-AO32</f>
        <v>2876241.33367853</v>
      </c>
      <c r="AQ32" s="11" t="n">
        <f aca="false">(AM32-AN32)*(1+Inputs!$B$4)</f>
        <v>0</v>
      </c>
      <c r="AR32" s="11" t="n">
        <f aca="false">(AR31+AN32)*(1+Inputs!$B$4)</f>
        <v>12459911.8348967</v>
      </c>
      <c r="AS32" s="11" t="n">
        <f aca="false">AP32*(1+Inputs!$B$4*(1-Inputs!$B$8))</f>
        <v>3149484.26037799</v>
      </c>
      <c r="AT32" s="11" t="n">
        <f aca="false">IF(AS31&lt;=0,0,AT31*AP32/AS31)</f>
        <v>325751.529020107</v>
      </c>
      <c r="AU32" s="11" t="n">
        <f aca="false">AR32+AQ32*(1-Inputs!$B$6)+AS32-(AS32-AT32)*Inputs!$B$9</f>
        <v>14875225.5851216</v>
      </c>
      <c r="AV32" s="12" t="n">
        <f aca="false">AR32/(AR32+AQ32+AS32)</f>
        <v>0.798231511254211</v>
      </c>
      <c r="AW32" s="19" t="n">
        <f aca="false">IF(AU32&gt;M32,1,0)</f>
        <v>1</v>
      </c>
      <c r="AX32" s="18" t="str">
        <f aca="false">IF(AP32&lt;0,"SHORT","ok")</f>
        <v>ok</v>
      </c>
      <c r="AZ32" s="19" t="n">
        <v>25</v>
      </c>
      <c r="BA32" s="19" t="n">
        <f aca="false">BA31+1</f>
        <v>82</v>
      </c>
      <c r="BB32" s="19" t="n">
        <f aca="false">BB31+1</f>
        <v>2050</v>
      </c>
      <c r="BC32" s="13" t="n">
        <f aca="false">IF(Inputs!$B$15="B",Inputs!$D$43,Inputs!$C$43)</f>
        <v>0.38</v>
      </c>
      <c r="BD32" s="11" t="n">
        <f aca="false">BH31</f>
        <v>0</v>
      </c>
      <c r="BE32" s="11" t="n">
        <f aca="false">IF(AZ32&lt;=$BE$4,BD32/($BE$4-AZ32+1),0)</f>
        <v>0</v>
      </c>
      <c r="BF32" s="11" t="n">
        <f aca="false">BE32*BC32</f>
        <v>0</v>
      </c>
      <c r="BG32" s="11" t="n">
        <f aca="false">BJ31-BF32</f>
        <v>2858488.08660959</v>
      </c>
      <c r="BH32" s="11" t="n">
        <f aca="false">(BD32-BE32)*(1+Inputs!$B$4)</f>
        <v>0</v>
      </c>
      <c r="BI32" s="11" t="n">
        <f aca="false">(BI31+BE32)*(1+Inputs!$B$4)</f>
        <v>12459911.8348967</v>
      </c>
      <c r="BJ32" s="11" t="n">
        <f aca="false">BG32*(1+Inputs!$B$4*(1-Inputs!$B$8))</f>
        <v>3130044.4548375</v>
      </c>
      <c r="BK32" s="11" t="n">
        <f aca="false">IF(BJ31&lt;=0,0,BK31*BG32/BJ31)</f>
        <v>323740.86763712</v>
      </c>
      <c r="BL32" s="11" t="n">
        <f aca="false">BI32+BH32*(1-Inputs!$B$6)+BJ32-(BJ32-BK32)*Inputs!$B$9</f>
        <v>14860317.3570621</v>
      </c>
      <c r="BM32" s="12" t="n">
        <f aca="false">BI32/(BI32+BH32+BJ32)</f>
        <v>0.799226861405724</v>
      </c>
      <c r="BN32" s="19" t="n">
        <f aca="false">IF(BL32&gt;M32,1,0)</f>
        <v>1</v>
      </c>
      <c r="BO32" s="18" t="str">
        <f aca="false">IF(BG32&lt;0,"SHORT","ok")</f>
        <v>ok</v>
      </c>
      <c r="BQ32" s="19" t="n">
        <v>25</v>
      </c>
      <c r="BR32" s="19" t="n">
        <f aca="false">BR31+1</f>
        <v>82</v>
      </c>
      <c r="BS32" s="19" t="n">
        <f aca="false">BS31+1</f>
        <v>2050</v>
      </c>
      <c r="BT32" s="13" t="n">
        <f aca="false">IF(Inputs!$B$15="B",Inputs!$D$43,Inputs!$C$43)</f>
        <v>0.38</v>
      </c>
      <c r="BU32" s="11" t="n">
        <f aca="false">BY31</f>
        <v>0</v>
      </c>
      <c r="BV32" s="11" t="n">
        <f aca="false">IF(BQ32&lt;=$BV$4,BU32/($BV$4-BQ32+1),0)</f>
        <v>0</v>
      </c>
      <c r="BW32" s="11" t="n">
        <f aca="false">BV32*BT32</f>
        <v>0</v>
      </c>
      <c r="BX32" s="11" t="n">
        <f aca="false">CA31-BW32</f>
        <v>2831654.78130925</v>
      </c>
      <c r="BY32" s="11" t="n">
        <f aca="false">(BU32-BV32)*(1+Inputs!$B$4)</f>
        <v>0</v>
      </c>
      <c r="BZ32" s="11" t="n">
        <f aca="false">(BZ31+BV32)*(1+Inputs!$B$4)</f>
        <v>12459911.8348967</v>
      </c>
      <c r="CA32" s="11" t="n">
        <f aca="false">BX32*(1+Inputs!$B$4*(1-Inputs!$B$8))</f>
        <v>3100661.98553363</v>
      </c>
      <c r="CB32" s="11" t="n">
        <f aca="false">IF(CA31&lt;=0,0,CB31*BX32/CA31)</f>
        <v>320701.835366809</v>
      </c>
      <c r="CC32" s="11" t="n">
        <f aca="false">BZ32+BY32*(1-Inputs!$B$6)+CA32-(CA32-CB32)*Inputs!$B$9</f>
        <v>14837784.1813869</v>
      </c>
      <c r="CD32" s="12" t="n">
        <f aca="false">BZ32/(BZ32+BY32+CA32)</f>
        <v>0.800736012610113</v>
      </c>
      <c r="CE32" s="19" t="n">
        <f aca="false">IF(CC32&gt;M32,1,0)</f>
        <v>1</v>
      </c>
      <c r="CF32" s="18" t="str">
        <f aca="false">IF(BX32&lt;0,"SHORT","ok")</f>
        <v>ok</v>
      </c>
      <c r="CH32" s="19" t="n">
        <v>25</v>
      </c>
      <c r="CI32" s="19" t="n">
        <f aca="false">CI31+1</f>
        <v>82</v>
      </c>
      <c r="CJ32" s="19" t="n">
        <f aca="false">CJ31+1</f>
        <v>2050</v>
      </c>
      <c r="CK32" s="13" t="n">
        <f aca="false">IF(Inputs!$B$15="B",Inputs!$D$43,Inputs!$C$43)</f>
        <v>0.38</v>
      </c>
      <c r="CL32" s="11" t="n">
        <f aca="false">CP31</f>
        <v>0</v>
      </c>
      <c r="CM32" s="11" t="n">
        <f aca="false">IF(CH32&lt;=$CM$4,CL32/($CM$4-CH32+1),0)</f>
        <v>0</v>
      </c>
      <c r="CN32" s="11" t="n">
        <f aca="false">CM32*CK32</f>
        <v>0</v>
      </c>
      <c r="CO32" s="11" t="n">
        <f aca="false">CR31-CN32</f>
        <v>2813629.20076609</v>
      </c>
      <c r="CP32" s="11" t="n">
        <f aca="false">(CL32-CM32)*(1+Inputs!$B$4)</f>
        <v>0</v>
      </c>
      <c r="CQ32" s="11" t="n">
        <f aca="false">(CQ31+CM32)*(1+Inputs!$B$4)</f>
        <v>12459911.8348966</v>
      </c>
      <c r="CR32" s="11" t="n">
        <f aca="false">CO32*(1+Inputs!$B$4*(1-Inputs!$B$8))</f>
        <v>3080923.97483887</v>
      </c>
      <c r="CS32" s="11" t="n">
        <f aca="false">IF(CR31&lt;=0,0,CS31*CO32/CR31)</f>
        <v>318660.330589497</v>
      </c>
      <c r="CT32" s="11" t="n">
        <f aca="false">CQ32+CP32*(1-Inputs!$B$6)+CR32-(CR32-CS32)*Inputs!$B$9</f>
        <v>14822647.2622307</v>
      </c>
      <c r="CU32" s="12" t="n">
        <f aca="false">CQ32/(CQ32+CP32+CR32)</f>
        <v>0.801753006559092</v>
      </c>
      <c r="CV32" s="19" t="n">
        <f aca="false">IF(CT32&gt;M32,1,0)</f>
        <v>1</v>
      </c>
      <c r="CW32" s="18" t="str">
        <f aca="false">IF(CO32&lt;0,"SHORT","ok")</f>
        <v>ok</v>
      </c>
    </row>
    <row r="33" customFormat="false" ht="15" hidden="false" customHeight="false" outlineLevel="0" collapsed="false">
      <c r="A33" s="19" t="n">
        <v>26</v>
      </c>
      <c r="B33" s="19" t="n">
        <f aca="false">B32+1</f>
        <v>83</v>
      </c>
      <c r="C33" s="19" t="n">
        <f aca="false">C32+1</f>
        <v>2051</v>
      </c>
      <c r="D33" s="13" t="n">
        <f aca="false">IF(Inputs!$B$15="B",Inputs!$D$44,Inputs!$C$44)</f>
        <v>0.38</v>
      </c>
      <c r="E33" s="11" t="n">
        <f aca="false">I32</f>
        <v>12459911.8348966</v>
      </c>
      <c r="F33" s="11" t="n">
        <f aca="false">IF(A33&lt;=$F$4,E33/($F$4-A33+1),0)</f>
        <v>0</v>
      </c>
      <c r="G33" s="11" t="n">
        <f aca="false">F33*D33</f>
        <v>0</v>
      </c>
      <c r="H33" s="11" t="n">
        <f aca="false">K32-G33</f>
        <v>7393881.1442245</v>
      </c>
      <c r="I33" s="11" t="n">
        <f aca="false">(E33-F33)*(1+Inputs!$B$4)</f>
        <v>13705903.0183863</v>
      </c>
      <c r="J33" s="11" t="n">
        <f aca="false">(J32+F33)*(1+Inputs!$B$4)</f>
        <v>0</v>
      </c>
      <c r="K33" s="11" t="n">
        <f aca="false">H33*(1+Inputs!$B$4*(1-Inputs!$B$8))</f>
        <v>8096299.85292583</v>
      </c>
      <c r="L33" s="11" t="n">
        <f aca="false">IF(K32&lt;=0,0,L32*H33/K32)</f>
        <v>764750</v>
      </c>
      <c r="M33" s="11" t="n">
        <f aca="false">J33+I33*(1-Inputs!$B$6)+K33-(K33-L33)*Inputs!$B$9</f>
        <v>15784229.0040355</v>
      </c>
      <c r="N33" s="12" t="n">
        <f aca="false">J33/(J33+I33+K33)</f>
        <v>0</v>
      </c>
      <c r="O33" s="19" t="n">
        <f aca="false">IF(M33&gt;M33,1,0)</f>
        <v>0</v>
      </c>
      <c r="P33" s="18" t="str">
        <f aca="false">IF(H33&lt;0,"SHORT","ok")</f>
        <v>ok</v>
      </c>
      <c r="R33" s="19" t="n">
        <v>26</v>
      </c>
      <c r="S33" s="19" t="n">
        <f aca="false">S32+1</f>
        <v>83</v>
      </c>
      <c r="T33" s="19" t="n">
        <f aca="false">T32+1</f>
        <v>2051</v>
      </c>
      <c r="U33" s="13" t="n">
        <f aca="false">IF(Inputs!$B$15="B",Inputs!$D$44,Inputs!$C$44)</f>
        <v>0.38</v>
      </c>
      <c r="V33" s="11" t="n">
        <f aca="false">Z32</f>
        <v>0</v>
      </c>
      <c r="W33" s="11" t="n">
        <f aca="false">IF(R33&lt;=$W$4,V33/($W$4-R33+1),0)</f>
        <v>0</v>
      </c>
      <c r="X33" s="11" t="n">
        <f aca="false">W33*U33</f>
        <v>0</v>
      </c>
      <c r="Y33" s="11" t="n">
        <f aca="false">AB32-X33</f>
        <v>3168806.20466764</v>
      </c>
      <c r="Z33" s="11" t="n">
        <f aca="false">(V33-W33)*(1+Inputs!$B$4)</f>
        <v>0</v>
      </c>
      <c r="AA33" s="11" t="n">
        <f aca="false">(AA32+W33)*(1+Inputs!$B$4)</f>
        <v>13705903.0183863</v>
      </c>
      <c r="AB33" s="11" t="n">
        <f aca="false">Y33*(1+Inputs!$B$4*(1-Inputs!$B$8))</f>
        <v>3469842.79411107</v>
      </c>
      <c r="AC33" s="11" t="n">
        <f aca="false">IF(AB32&lt;=0,0,AC32*Y33/AB32)</f>
        <v>327750</v>
      </c>
      <c r="AD33" s="11" t="n">
        <f aca="false">AA33+Z33*(1-Inputs!$B$6)+AB33-(AB33-AC33)*Inputs!$B$9</f>
        <v>16358801.6860285</v>
      </c>
      <c r="AE33" s="12" t="n">
        <f aca="false">AA33/(AA33+Z33+AB33)</f>
        <v>0.797980080050652</v>
      </c>
      <c r="AF33" s="19" t="n">
        <f aca="false">IF(AD33&gt;M33,1,0)</f>
        <v>1</v>
      </c>
      <c r="AG33" s="18" t="str">
        <f aca="false">IF(Y33&lt;0,"SHORT","ok")</f>
        <v>ok</v>
      </c>
      <c r="AI33" s="19" t="n">
        <v>26</v>
      </c>
      <c r="AJ33" s="19" t="n">
        <f aca="false">AJ32+1</f>
        <v>83</v>
      </c>
      <c r="AK33" s="19" t="n">
        <f aca="false">AK32+1</f>
        <v>2051</v>
      </c>
      <c r="AL33" s="13" t="n">
        <f aca="false">IF(Inputs!$B$15="B",Inputs!$D$44,Inputs!$C$44)</f>
        <v>0.38</v>
      </c>
      <c r="AM33" s="11" t="n">
        <f aca="false">AQ32</f>
        <v>0</v>
      </c>
      <c r="AN33" s="11" t="n">
        <f aca="false">IF(AI33&lt;=$AN$4,AM33/($AN$4-AI33+1),0)</f>
        <v>0</v>
      </c>
      <c r="AO33" s="11" t="n">
        <f aca="false">AN33*AL33</f>
        <v>0</v>
      </c>
      <c r="AP33" s="11" t="n">
        <f aca="false">AS32-AO33</f>
        <v>3149484.26037799</v>
      </c>
      <c r="AQ33" s="11" t="n">
        <f aca="false">(AM33-AN33)*(1+Inputs!$B$4)</f>
        <v>0</v>
      </c>
      <c r="AR33" s="11" t="n">
        <f aca="false">(AR32+AN33)*(1+Inputs!$B$4)</f>
        <v>13705903.0183863</v>
      </c>
      <c r="AS33" s="11" t="n">
        <f aca="false">AP33*(1+Inputs!$B$4*(1-Inputs!$B$8))</f>
        <v>3448685.26511389</v>
      </c>
      <c r="AT33" s="11" t="n">
        <f aca="false">IF(AS32&lt;=0,0,AT32*AP33/AS32)</f>
        <v>325751.529020107</v>
      </c>
      <c r="AU33" s="11" t="n">
        <f aca="false">AR33+AQ33*(1-Inputs!$B$6)+AS33-(AS33-AT33)*Inputs!$B$9</f>
        <v>16342625.5121158</v>
      </c>
      <c r="AV33" s="12" t="n">
        <f aca="false">AR33/(AR33+AQ33+AS33)</f>
        <v>0.798964264946484</v>
      </c>
      <c r="AW33" s="19" t="n">
        <f aca="false">IF(AU33&gt;M33,1,0)</f>
        <v>1</v>
      </c>
      <c r="AX33" s="18" t="str">
        <f aca="false">IF(AP33&lt;0,"SHORT","ok")</f>
        <v>ok</v>
      </c>
      <c r="AZ33" s="19" t="n">
        <v>26</v>
      </c>
      <c r="BA33" s="19" t="n">
        <f aca="false">BA32+1</f>
        <v>83</v>
      </c>
      <c r="BB33" s="19" t="n">
        <f aca="false">BB32+1</f>
        <v>2051</v>
      </c>
      <c r="BC33" s="13" t="n">
        <f aca="false">IF(Inputs!$B$15="B",Inputs!$D$44,Inputs!$C$44)</f>
        <v>0.38</v>
      </c>
      <c r="BD33" s="11" t="n">
        <f aca="false">BH32</f>
        <v>0</v>
      </c>
      <c r="BE33" s="11" t="n">
        <f aca="false">IF(AZ33&lt;=$BE$4,BD33/($BE$4-AZ33+1),0)</f>
        <v>0</v>
      </c>
      <c r="BF33" s="11" t="n">
        <f aca="false">BE33*BC33</f>
        <v>0</v>
      </c>
      <c r="BG33" s="11" t="n">
        <f aca="false">BJ32-BF33</f>
        <v>3130044.4548375</v>
      </c>
      <c r="BH33" s="11" t="n">
        <f aca="false">(BD33-BE33)*(1+Inputs!$B$4)</f>
        <v>0</v>
      </c>
      <c r="BI33" s="11" t="n">
        <f aca="false">(BI32+BE33)*(1+Inputs!$B$4)</f>
        <v>13705903.0183863</v>
      </c>
      <c r="BJ33" s="11" t="n">
        <f aca="false">BG33*(1+Inputs!$B$4*(1-Inputs!$B$8))</f>
        <v>3427398.67804706</v>
      </c>
      <c r="BK33" s="11" t="n">
        <f aca="false">IF(BJ32&lt;=0,0,BK32*BG33/BJ32)</f>
        <v>323740.86763712</v>
      </c>
      <c r="BL33" s="11" t="n">
        <f aca="false">BI33+BH33*(1-Inputs!$B$6)+BJ33-(BJ33-BK33)*Inputs!$B$9</f>
        <v>16326350.6657268</v>
      </c>
      <c r="BM33" s="12" t="n">
        <f aca="false">BI33/(BI33+BH33+BJ33)</f>
        <v>0.799956906218459</v>
      </c>
      <c r="BN33" s="19" t="n">
        <f aca="false">IF(BL33&gt;M33,1,0)</f>
        <v>1</v>
      </c>
      <c r="BO33" s="18" t="str">
        <f aca="false">IF(BG33&lt;0,"SHORT","ok")</f>
        <v>ok</v>
      </c>
      <c r="BQ33" s="19" t="n">
        <v>26</v>
      </c>
      <c r="BR33" s="19" t="n">
        <f aca="false">BR32+1</f>
        <v>83</v>
      </c>
      <c r="BS33" s="19" t="n">
        <f aca="false">BS32+1</f>
        <v>2051</v>
      </c>
      <c r="BT33" s="13" t="n">
        <f aca="false">IF(Inputs!$B$15="B",Inputs!$D$44,Inputs!$C$44)</f>
        <v>0.38</v>
      </c>
      <c r="BU33" s="11" t="n">
        <f aca="false">BY32</f>
        <v>0</v>
      </c>
      <c r="BV33" s="11" t="n">
        <f aca="false">IF(BQ33&lt;=$BV$4,BU33/($BV$4-BQ33+1),0)</f>
        <v>0</v>
      </c>
      <c r="BW33" s="11" t="n">
        <f aca="false">BV33*BT33</f>
        <v>0</v>
      </c>
      <c r="BX33" s="11" t="n">
        <f aca="false">CA32-BW33</f>
        <v>3100661.98553363</v>
      </c>
      <c r="BY33" s="11" t="n">
        <f aca="false">(BU33-BV33)*(1+Inputs!$B$4)</f>
        <v>0</v>
      </c>
      <c r="BZ33" s="11" t="n">
        <f aca="false">(BZ32+BV33)*(1+Inputs!$B$4)</f>
        <v>13705903.0183863</v>
      </c>
      <c r="CA33" s="11" t="n">
        <f aca="false">BX33*(1+Inputs!$B$4*(1-Inputs!$B$8))</f>
        <v>3395224.87415932</v>
      </c>
      <c r="CB33" s="11" t="n">
        <f aca="false">IF(CA32&lt;=0,0,CB32*BX33/CA32)</f>
        <v>320701.835366809</v>
      </c>
      <c r="CC33" s="11" t="n">
        <f aca="false">BZ33+BY33*(1-Inputs!$B$6)+CA33-(CA33-CB33)*Inputs!$B$9</f>
        <v>16301751.9024596</v>
      </c>
      <c r="CD33" s="12" t="n">
        <f aca="false">BZ33/(BZ33+BY33+CA33)</f>
        <v>0.801461933067041</v>
      </c>
      <c r="CE33" s="19" t="n">
        <f aca="false">IF(CC33&gt;M33,1,0)</f>
        <v>1</v>
      </c>
      <c r="CF33" s="18" t="str">
        <f aca="false">IF(BX33&lt;0,"SHORT","ok")</f>
        <v>ok</v>
      </c>
      <c r="CH33" s="19" t="n">
        <v>26</v>
      </c>
      <c r="CI33" s="19" t="n">
        <f aca="false">CI32+1</f>
        <v>83</v>
      </c>
      <c r="CJ33" s="19" t="n">
        <f aca="false">CJ32+1</f>
        <v>2051</v>
      </c>
      <c r="CK33" s="13" t="n">
        <f aca="false">IF(Inputs!$B$15="B",Inputs!$D$44,Inputs!$C$44)</f>
        <v>0.38</v>
      </c>
      <c r="CL33" s="11" t="n">
        <f aca="false">CP32</f>
        <v>0</v>
      </c>
      <c r="CM33" s="11" t="n">
        <f aca="false">IF(CH33&lt;=$CM$4,CL33/($CM$4-CH33+1),0)</f>
        <v>0</v>
      </c>
      <c r="CN33" s="11" t="n">
        <f aca="false">CM33*CK33</f>
        <v>0</v>
      </c>
      <c r="CO33" s="11" t="n">
        <f aca="false">CR32-CN33</f>
        <v>3080923.97483887</v>
      </c>
      <c r="CP33" s="11" t="n">
        <f aca="false">(CL33-CM33)*(1+Inputs!$B$4)</f>
        <v>0</v>
      </c>
      <c r="CQ33" s="11" t="n">
        <f aca="false">(CQ32+CM33)*(1+Inputs!$B$4)</f>
        <v>13705903.0183863</v>
      </c>
      <c r="CR33" s="11" t="n">
        <f aca="false">CO33*(1+Inputs!$B$4*(1-Inputs!$B$8))</f>
        <v>3373611.75244856</v>
      </c>
      <c r="CS33" s="11" t="n">
        <f aca="false">IF(CR32&lt;=0,0,CS32*CO33/CR32)</f>
        <v>318660.330589497</v>
      </c>
      <c r="CT33" s="11" t="n">
        <f aca="false">CQ33+CP33*(1-Inputs!$B$6)+CR33-(CR33-CS33)*Inputs!$B$9</f>
        <v>16285227.4011515</v>
      </c>
      <c r="CU33" s="12" t="n">
        <f aca="false">CQ33/(CQ33+CP33+CR33)</f>
        <v>0.802476136019428</v>
      </c>
      <c r="CV33" s="19" t="n">
        <f aca="false">IF(CT33&gt;M33,1,0)</f>
        <v>1</v>
      </c>
      <c r="CW33" s="18" t="str">
        <f aca="false">IF(CO33&lt;0,"SHORT","ok")</f>
        <v>ok</v>
      </c>
    </row>
    <row r="34" customFormat="false" ht="15" hidden="false" customHeight="false" outlineLevel="0" collapsed="false">
      <c r="A34" s="19" t="n">
        <v>27</v>
      </c>
      <c r="B34" s="19" t="n">
        <f aca="false">B33+1</f>
        <v>84</v>
      </c>
      <c r="C34" s="19" t="n">
        <f aca="false">C33+1</f>
        <v>2052</v>
      </c>
      <c r="D34" s="13" t="n">
        <f aca="false">IF(Inputs!$B$15="B",Inputs!$D$45,Inputs!$C$45)</f>
        <v>0.38</v>
      </c>
      <c r="E34" s="11" t="n">
        <f aca="false">I33</f>
        <v>13705903.0183863</v>
      </c>
      <c r="F34" s="11" t="n">
        <f aca="false">IF(A34&lt;=$F$4,E34/($F$4-A34+1),0)</f>
        <v>0</v>
      </c>
      <c r="G34" s="11" t="n">
        <f aca="false">F34*D34</f>
        <v>0</v>
      </c>
      <c r="H34" s="11" t="n">
        <f aca="false">K33-G34</f>
        <v>8096299.85292583</v>
      </c>
      <c r="I34" s="11" t="n">
        <f aca="false">(E34-F34)*(1+Inputs!$B$4)</f>
        <v>15076493.3202249</v>
      </c>
      <c r="J34" s="11" t="n">
        <f aca="false">(J33+F34)*(1+Inputs!$B$4)</f>
        <v>0</v>
      </c>
      <c r="K34" s="11" t="n">
        <f aca="false">H34*(1+Inputs!$B$4*(1-Inputs!$B$8))</f>
        <v>8865448.33895378</v>
      </c>
      <c r="L34" s="11" t="n">
        <f aca="false">IF(K33&lt;=0,0,L33*H34/K33)</f>
        <v>764750</v>
      </c>
      <c r="M34" s="11" t="n">
        <f aca="false">J34+I34*(1-Inputs!$B$6)+K34-(K34-L34)*Inputs!$B$9</f>
        <v>17312812.0949833</v>
      </c>
      <c r="N34" s="12" t="n">
        <f aca="false">J34/(J34+I34+K34)</f>
        <v>0</v>
      </c>
      <c r="O34" s="19" t="n">
        <f aca="false">IF(M34&gt;M34,1,0)</f>
        <v>0</v>
      </c>
      <c r="P34" s="18" t="str">
        <f aca="false">IF(H34&lt;0,"SHORT","ok")</f>
        <v>ok</v>
      </c>
      <c r="R34" s="19" t="n">
        <v>27</v>
      </c>
      <c r="S34" s="19" t="n">
        <f aca="false">S33+1</f>
        <v>84</v>
      </c>
      <c r="T34" s="19" t="n">
        <f aca="false">T33+1</f>
        <v>2052</v>
      </c>
      <c r="U34" s="13" t="n">
        <f aca="false">IF(Inputs!$B$15="B",Inputs!$D$45,Inputs!$C$45)</f>
        <v>0.38</v>
      </c>
      <c r="V34" s="11" t="n">
        <f aca="false">Z33</f>
        <v>0</v>
      </c>
      <c r="W34" s="11" t="n">
        <f aca="false">IF(R34&lt;=$W$4,V34/($W$4-R34+1),0)</f>
        <v>0</v>
      </c>
      <c r="X34" s="11" t="n">
        <f aca="false">W34*U34</f>
        <v>0</v>
      </c>
      <c r="Y34" s="11" t="n">
        <f aca="false">AB33-X34</f>
        <v>3469842.79411107</v>
      </c>
      <c r="Z34" s="11" t="n">
        <f aca="false">(V34-W34)*(1+Inputs!$B$4)</f>
        <v>0</v>
      </c>
      <c r="AA34" s="11" t="n">
        <f aca="false">(AA33+W34)*(1+Inputs!$B$4)</f>
        <v>15076493.3202249</v>
      </c>
      <c r="AB34" s="11" t="n">
        <f aca="false">Y34*(1+Inputs!$B$4*(1-Inputs!$B$8))</f>
        <v>3799477.85955162</v>
      </c>
      <c r="AC34" s="11" t="n">
        <f aca="false">IF(AB33&lt;=0,0,AC33*Y34/AB33)</f>
        <v>327750</v>
      </c>
      <c r="AD34" s="11" t="n">
        <f aca="false">AA34+Z34*(1-Inputs!$B$6)+AB34-(AB34-AC34)*Inputs!$B$9</f>
        <v>17973321.9362931</v>
      </c>
      <c r="AE34" s="12" t="n">
        <f aca="false">AA34/(AA34+Z34+AB34)</f>
        <v>0.798713516599224</v>
      </c>
      <c r="AF34" s="19" t="n">
        <f aca="false">IF(AD34&gt;M34,1,0)</f>
        <v>1</v>
      </c>
      <c r="AG34" s="18" t="str">
        <f aca="false">IF(Y34&lt;0,"SHORT","ok")</f>
        <v>ok</v>
      </c>
      <c r="AI34" s="19" t="n">
        <v>27</v>
      </c>
      <c r="AJ34" s="19" t="n">
        <f aca="false">AJ33+1</f>
        <v>84</v>
      </c>
      <c r="AK34" s="19" t="n">
        <f aca="false">AK33+1</f>
        <v>2052</v>
      </c>
      <c r="AL34" s="13" t="n">
        <f aca="false">IF(Inputs!$B$15="B",Inputs!$D$45,Inputs!$C$45)</f>
        <v>0.38</v>
      </c>
      <c r="AM34" s="11" t="n">
        <f aca="false">AQ33</f>
        <v>0</v>
      </c>
      <c r="AN34" s="11" t="n">
        <f aca="false">IF(AI34&lt;=$AN$4,AM34/($AN$4-AI34+1),0)</f>
        <v>0</v>
      </c>
      <c r="AO34" s="11" t="n">
        <f aca="false">AN34*AL34</f>
        <v>0</v>
      </c>
      <c r="AP34" s="11" t="n">
        <f aca="false">AS33-AO34</f>
        <v>3448685.26511389</v>
      </c>
      <c r="AQ34" s="11" t="n">
        <f aca="false">(AM34-AN34)*(1+Inputs!$B$4)</f>
        <v>0</v>
      </c>
      <c r="AR34" s="11" t="n">
        <f aca="false">(AR33+AN34)*(1+Inputs!$B$4)</f>
        <v>15076493.320225</v>
      </c>
      <c r="AS34" s="11" t="n">
        <f aca="false">AP34*(1+Inputs!$B$4*(1-Inputs!$B$8))</f>
        <v>3776310.36529971</v>
      </c>
      <c r="AT34" s="11" t="n">
        <f aca="false">IF(AS33&lt;=0,0,AT33*AP34/AS33)</f>
        <v>325751.529020107</v>
      </c>
      <c r="AU34" s="11" t="n">
        <f aca="false">AR34+AQ34*(1-Inputs!$B$6)+AS34-(AS34-AT34)*Inputs!$B$9</f>
        <v>17955658.388092</v>
      </c>
      <c r="AV34" s="12" t="n">
        <f aca="false">AR34/(AR34+AQ34+AS34)</f>
        <v>0.799695025297527</v>
      </c>
      <c r="AW34" s="19" t="n">
        <f aca="false">IF(AU34&gt;M34,1,0)</f>
        <v>1</v>
      </c>
      <c r="AX34" s="18" t="str">
        <f aca="false">IF(AP34&lt;0,"SHORT","ok")</f>
        <v>ok</v>
      </c>
      <c r="AZ34" s="19" t="n">
        <v>27</v>
      </c>
      <c r="BA34" s="19" t="n">
        <f aca="false">BA33+1</f>
        <v>84</v>
      </c>
      <c r="BB34" s="19" t="n">
        <f aca="false">BB33+1</f>
        <v>2052</v>
      </c>
      <c r="BC34" s="13" t="n">
        <f aca="false">IF(Inputs!$B$15="B",Inputs!$D$45,Inputs!$C$45)</f>
        <v>0.38</v>
      </c>
      <c r="BD34" s="11" t="n">
        <f aca="false">BH33</f>
        <v>0</v>
      </c>
      <c r="BE34" s="11" t="n">
        <f aca="false">IF(AZ34&lt;=$BE$4,BD34/($BE$4-AZ34+1),0)</f>
        <v>0</v>
      </c>
      <c r="BF34" s="11" t="n">
        <f aca="false">BE34*BC34</f>
        <v>0</v>
      </c>
      <c r="BG34" s="11" t="n">
        <f aca="false">BJ33-BF34</f>
        <v>3427398.67804706</v>
      </c>
      <c r="BH34" s="11" t="n">
        <f aca="false">(BD34-BE34)*(1+Inputs!$B$4)</f>
        <v>0</v>
      </c>
      <c r="BI34" s="11" t="n">
        <f aca="false">(BI33+BE34)*(1+Inputs!$B$4)</f>
        <v>15076493.320225</v>
      </c>
      <c r="BJ34" s="11" t="n">
        <f aca="false">BG34*(1+Inputs!$B$4*(1-Inputs!$B$8))</f>
        <v>3753001.55246153</v>
      </c>
      <c r="BK34" s="11" t="n">
        <f aca="false">IF(BJ33&lt;=0,0,BK33*BG34/BJ33)</f>
        <v>323740.86763712</v>
      </c>
      <c r="BL34" s="11" t="n">
        <f aca="false">BI34+BH34*(1-Inputs!$B$6)+BJ34-(BJ34-BK34)*Inputs!$B$9</f>
        <v>17937887.0946322</v>
      </c>
      <c r="BM34" s="12" t="n">
        <f aca="false">BI34/(BI34+BH34+BJ34)</f>
        <v>0.800684958474084</v>
      </c>
      <c r="BN34" s="19" t="n">
        <f aca="false">IF(BL34&gt;M34,1,0)</f>
        <v>1</v>
      </c>
      <c r="BO34" s="18" t="str">
        <f aca="false">IF(BG34&lt;0,"SHORT","ok")</f>
        <v>ok</v>
      </c>
      <c r="BQ34" s="19" t="n">
        <v>27</v>
      </c>
      <c r="BR34" s="19" t="n">
        <f aca="false">BR33+1</f>
        <v>84</v>
      </c>
      <c r="BS34" s="19" t="n">
        <f aca="false">BS33+1</f>
        <v>2052</v>
      </c>
      <c r="BT34" s="13" t="n">
        <f aca="false">IF(Inputs!$B$15="B",Inputs!$D$45,Inputs!$C$45)</f>
        <v>0.38</v>
      </c>
      <c r="BU34" s="11" t="n">
        <f aca="false">BY33</f>
        <v>0</v>
      </c>
      <c r="BV34" s="11" t="n">
        <f aca="false">IF(BQ34&lt;=$BV$4,BU34/($BV$4-BQ34+1),0)</f>
        <v>0</v>
      </c>
      <c r="BW34" s="11" t="n">
        <f aca="false">BV34*BT34</f>
        <v>0</v>
      </c>
      <c r="BX34" s="11" t="n">
        <f aca="false">CA33-BW34</f>
        <v>3395224.87415932</v>
      </c>
      <c r="BY34" s="11" t="n">
        <f aca="false">(BU34-BV34)*(1+Inputs!$B$4)</f>
        <v>0</v>
      </c>
      <c r="BZ34" s="11" t="n">
        <f aca="false">(BZ33+BV34)*(1+Inputs!$B$4)</f>
        <v>15076493.320225</v>
      </c>
      <c r="CA34" s="11" t="n">
        <f aca="false">BX34*(1+Inputs!$B$4*(1-Inputs!$B$8))</f>
        <v>3717771.23720446</v>
      </c>
      <c r="CB34" s="11" t="n">
        <f aca="false">IF(CA33&lt;=0,0,CB33*BX34/CA33)</f>
        <v>320701.835366809</v>
      </c>
      <c r="CC34" s="11" t="n">
        <f aca="false">BZ34+BY34*(1-Inputs!$B$6)+CA34-(CA34-CB34)*Inputs!$B$9</f>
        <v>17911026.5129516</v>
      </c>
      <c r="CD34" s="12" t="n">
        <f aca="false">BZ34/(BZ34+BY34+CA34)</f>
        <v>0.802185862296229</v>
      </c>
      <c r="CE34" s="19" t="n">
        <f aca="false">IF(CC34&gt;M34,1,0)</f>
        <v>1</v>
      </c>
      <c r="CF34" s="18" t="str">
        <f aca="false">IF(BX34&lt;0,"SHORT","ok")</f>
        <v>ok</v>
      </c>
      <c r="CH34" s="19" t="n">
        <v>27</v>
      </c>
      <c r="CI34" s="19" t="n">
        <f aca="false">CI33+1</f>
        <v>84</v>
      </c>
      <c r="CJ34" s="19" t="n">
        <f aca="false">CJ33+1</f>
        <v>2052</v>
      </c>
      <c r="CK34" s="13" t="n">
        <f aca="false">IF(Inputs!$B$15="B",Inputs!$D$45,Inputs!$C$45)</f>
        <v>0.38</v>
      </c>
      <c r="CL34" s="11" t="n">
        <f aca="false">CP33</f>
        <v>0</v>
      </c>
      <c r="CM34" s="11" t="n">
        <f aca="false">IF(CH34&lt;=$CM$4,CL34/($CM$4-CH34+1),0)</f>
        <v>0</v>
      </c>
      <c r="CN34" s="11" t="n">
        <f aca="false">CM34*CK34</f>
        <v>0</v>
      </c>
      <c r="CO34" s="11" t="n">
        <f aca="false">CR33-CN34</f>
        <v>3373611.75244856</v>
      </c>
      <c r="CP34" s="11" t="n">
        <f aca="false">(CL34-CM34)*(1+Inputs!$B$4)</f>
        <v>0</v>
      </c>
      <c r="CQ34" s="11" t="n">
        <f aca="false">(CQ33+CM34)*(1+Inputs!$B$4)</f>
        <v>15076493.3202249</v>
      </c>
      <c r="CR34" s="11" t="n">
        <f aca="false">CO34*(1+Inputs!$B$4*(1-Inputs!$B$8))</f>
        <v>3694104.86893117</v>
      </c>
      <c r="CS34" s="11" t="n">
        <f aca="false">IF(CR33&lt;=0,0,CS33*CO34/CR33)</f>
        <v>318660.330589497</v>
      </c>
      <c r="CT34" s="11" t="n">
        <f aca="false">CQ34+CP34*(1-Inputs!$B$6)+CR34-(CR34-CS34)*Inputs!$B$9</f>
        <v>17892982.6091873</v>
      </c>
      <c r="CU34" s="12" t="n">
        <f aca="false">CQ34/(CQ34+CP34+CR34)</f>
        <v>0.803197275243722</v>
      </c>
      <c r="CV34" s="19" t="n">
        <f aca="false">IF(CT34&gt;M34,1,0)</f>
        <v>1</v>
      </c>
      <c r="CW34" s="18" t="str">
        <f aca="false">IF(CO34&lt;0,"SHORT","ok")</f>
        <v>ok</v>
      </c>
    </row>
    <row r="35" customFormat="false" ht="15" hidden="false" customHeight="false" outlineLevel="0" collapsed="false">
      <c r="A35" s="19" t="n">
        <v>28</v>
      </c>
      <c r="B35" s="19" t="n">
        <f aca="false">B34+1</f>
        <v>85</v>
      </c>
      <c r="C35" s="19" t="n">
        <f aca="false">C34+1</f>
        <v>2053</v>
      </c>
      <c r="D35" s="13" t="n">
        <f aca="false">IF(Inputs!$B$15="B",Inputs!$D$46,Inputs!$C$46)</f>
        <v>0.38</v>
      </c>
      <c r="E35" s="11" t="n">
        <f aca="false">I34</f>
        <v>15076493.3202249</v>
      </c>
      <c r="F35" s="11" t="n">
        <f aca="false">IF(A35&lt;=$F$4,E35/($F$4-A35+1),0)</f>
        <v>0</v>
      </c>
      <c r="G35" s="11" t="n">
        <f aca="false">F35*D35</f>
        <v>0</v>
      </c>
      <c r="H35" s="11" t="n">
        <f aca="false">K34-G35</f>
        <v>8865448.33895378</v>
      </c>
      <c r="I35" s="11" t="n">
        <f aca="false">(E35-F35)*(1+Inputs!$B$4)</f>
        <v>16584142.6522474</v>
      </c>
      <c r="J35" s="11" t="n">
        <f aca="false">(J34+F35)*(1+Inputs!$B$4)</f>
        <v>0</v>
      </c>
      <c r="K35" s="11" t="n">
        <f aca="false">H35*(1+Inputs!$B$4*(1-Inputs!$B$8))</f>
        <v>9707665.93115439</v>
      </c>
      <c r="L35" s="11" t="n">
        <f aca="false">IF(K34&lt;=0,0,L34*H35/K34)</f>
        <v>764750</v>
      </c>
      <c r="M35" s="11" t="n">
        <f aca="false">J35+I35*(1-Inputs!$B$6)+K35-(K35-L35)*Inputs!$B$9</f>
        <v>18991407.6456275</v>
      </c>
      <c r="N35" s="12" t="n">
        <f aca="false">J35/(J35+I35+K35)</f>
        <v>0</v>
      </c>
      <c r="O35" s="19" t="n">
        <f aca="false">IF(M35&gt;M35,1,0)</f>
        <v>0</v>
      </c>
      <c r="P35" s="18" t="str">
        <f aca="false">IF(H35&lt;0,"SHORT","ok")</f>
        <v>ok</v>
      </c>
      <c r="R35" s="19" t="n">
        <v>28</v>
      </c>
      <c r="S35" s="19" t="n">
        <f aca="false">S34+1</f>
        <v>85</v>
      </c>
      <c r="T35" s="19" t="n">
        <f aca="false">T34+1</f>
        <v>2053</v>
      </c>
      <c r="U35" s="13" t="n">
        <f aca="false">IF(Inputs!$B$15="B",Inputs!$D$46,Inputs!$C$46)</f>
        <v>0.38</v>
      </c>
      <c r="V35" s="11" t="n">
        <f aca="false">Z34</f>
        <v>0</v>
      </c>
      <c r="W35" s="11" t="n">
        <f aca="false">IF(R35&lt;=$W$4,V35/($W$4-R35+1),0)</f>
        <v>0</v>
      </c>
      <c r="X35" s="11" t="n">
        <f aca="false">W35*U35</f>
        <v>0</v>
      </c>
      <c r="Y35" s="11" t="n">
        <f aca="false">AB34-X35</f>
        <v>3799477.85955162</v>
      </c>
      <c r="Z35" s="11" t="n">
        <f aca="false">(V35-W35)*(1+Inputs!$B$4)</f>
        <v>0</v>
      </c>
      <c r="AA35" s="11" t="n">
        <f aca="false">(AA34+W35)*(1+Inputs!$B$4)</f>
        <v>16584142.6522474</v>
      </c>
      <c r="AB35" s="11" t="n">
        <f aca="false">Y35*(1+Inputs!$B$4*(1-Inputs!$B$8))</f>
        <v>4160428.25620902</v>
      </c>
      <c r="AC35" s="11" t="n">
        <f aca="false">IF(AB34&lt;=0,0,AC34*Y35/AB34)</f>
        <v>327750</v>
      </c>
      <c r="AD35" s="11" t="n">
        <f aca="false">AA35+Z35*(1-Inputs!$B$6)+AB35-(AB35-AC35)*Inputs!$B$9</f>
        <v>19748074.5618421</v>
      </c>
      <c r="AE35" s="12" t="n">
        <f aca="false">AA35/(AA35+Z35+AB35)</f>
        <v>0.799444959620108</v>
      </c>
      <c r="AF35" s="19" t="n">
        <f aca="false">IF(AD35&gt;M35,1,0)</f>
        <v>1</v>
      </c>
      <c r="AG35" s="18" t="str">
        <f aca="false">IF(Y35&lt;0,"SHORT","ok")</f>
        <v>ok</v>
      </c>
      <c r="AI35" s="19" t="n">
        <v>28</v>
      </c>
      <c r="AJ35" s="19" t="n">
        <f aca="false">AJ34+1</f>
        <v>85</v>
      </c>
      <c r="AK35" s="19" t="n">
        <f aca="false">AK34+1</f>
        <v>2053</v>
      </c>
      <c r="AL35" s="13" t="n">
        <f aca="false">IF(Inputs!$B$15="B",Inputs!$D$46,Inputs!$C$46)</f>
        <v>0.38</v>
      </c>
      <c r="AM35" s="11" t="n">
        <f aca="false">AQ34</f>
        <v>0</v>
      </c>
      <c r="AN35" s="11" t="n">
        <f aca="false">IF(AI35&lt;=$AN$4,AM35/($AN$4-AI35+1),0)</f>
        <v>0</v>
      </c>
      <c r="AO35" s="11" t="n">
        <f aca="false">AN35*AL35</f>
        <v>0</v>
      </c>
      <c r="AP35" s="11" t="n">
        <f aca="false">AS34-AO35</f>
        <v>3776310.36529971</v>
      </c>
      <c r="AQ35" s="11" t="n">
        <f aca="false">(AM35-AN35)*(1+Inputs!$B$4)</f>
        <v>0</v>
      </c>
      <c r="AR35" s="11" t="n">
        <f aca="false">(AR34+AN35)*(1+Inputs!$B$4)</f>
        <v>16584142.6522475</v>
      </c>
      <c r="AS35" s="11" t="n">
        <f aca="false">AP35*(1+Inputs!$B$4*(1-Inputs!$B$8))</f>
        <v>4135059.85000319</v>
      </c>
      <c r="AT35" s="11" t="n">
        <f aca="false">IF(AS34&lt;=0,0,AT34*AP35/AS34)</f>
        <v>325751.529020107</v>
      </c>
      <c r="AU35" s="11" t="n">
        <f aca="false">AR35+AQ35*(1-Inputs!$B$6)+AS35-(AS35-AT35)*Inputs!$B$9</f>
        <v>19728782.338795</v>
      </c>
      <c r="AV35" s="12" t="n">
        <f aca="false">AR35/(AR35+AQ35+AS35)</f>
        <v>0.800423792877452</v>
      </c>
      <c r="AW35" s="19" t="n">
        <f aca="false">IF(AU35&gt;M35,1,0)</f>
        <v>1</v>
      </c>
      <c r="AX35" s="18" t="str">
        <f aca="false">IF(AP35&lt;0,"SHORT","ok")</f>
        <v>ok</v>
      </c>
      <c r="AZ35" s="19" t="n">
        <v>28</v>
      </c>
      <c r="BA35" s="19" t="n">
        <f aca="false">BA34+1</f>
        <v>85</v>
      </c>
      <c r="BB35" s="19" t="n">
        <f aca="false">BB34+1</f>
        <v>2053</v>
      </c>
      <c r="BC35" s="13" t="n">
        <f aca="false">IF(Inputs!$B$15="B",Inputs!$D$46,Inputs!$C$46)</f>
        <v>0.38</v>
      </c>
      <c r="BD35" s="11" t="n">
        <f aca="false">BH34</f>
        <v>0</v>
      </c>
      <c r="BE35" s="11" t="n">
        <f aca="false">IF(AZ35&lt;=$BE$4,BD35/($BE$4-AZ35+1),0)</f>
        <v>0</v>
      </c>
      <c r="BF35" s="11" t="n">
        <f aca="false">BE35*BC35</f>
        <v>0</v>
      </c>
      <c r="BG35" s="11" t="n">
        <f aca="false">BJ34-BF35</f>
        <v>3753001.55246153</v>
      </c>
      <c r="BH35" s="11" t="n">
        <f aca="false">(BD35-BE35)*(1+Inputs!$B$4)</f>
        <v>0</v>
      </c>
      <c r="BI35" s="11" t="n">
        <f aca="false">(BI34+BE35)*(1+Inputs!$B$4)</f>
        <v>16584142.6522475</v>
      </c>
      <c r="BJ35" s="11" t="n">
        <f aca="false">BG35*(1+Inputs!$B$4*(1-Inputs!$B$8))</f>
        <v>4109536.69994538</v>
      </c>
      <c r="BK35" s="11" t="n">
        <f aca="false">IF(BJ34&lt;=0,0,BK34*BG35/BJ34)</f>
        <v>323740.86763712</v>
      </c>
      <c r="BL35" s="11" t="n">
        <f aca="false">BI35+BH35*(1-Inputs!$B$6)+BJ35-(BJ35-BK35)*Inputs!$B$9</f>
        <v>19709372.4357927</v>
      </c>
      <c r="BM35" s="12" t="n">
        <f aca="false">BI35/(BI35+BH35+BJ35)</f>
        <v>0.801411018794495</v>
      </c>
      <c r="BN35" s="19" t="n">
        <f aca="false">IF(BL35&gt;M35,1,0)</f>
        <v>1</v>
      </c>
      <c r="BO35" s="18" t="str">
        <f aca="false">IF(BG35&lt;0,"SHORT","ok")</f>
        <v>ok</v>
      </c>
      <c r="BQ35" s="19" t="n">
        <v>28</v>
      </c>
      <c r="BR35" s="19" t="n">
        <f aca="false">BR34+1</f>
        <v>85</v>
      </c>
      <c r="BS35" s="19" t="n">
        <f aca="false">BS34+1</f>
        <v>2053</v>
      </c>
      <c r="BT35" s="13" t="n">
        <f aca="false">IF(Inputs!$B$15="B",Inputs!$D$46,Inputs!$C$46)</f>
        <v>0.38</v>
      </c>
      <c r="BU35" s="11" t="n">
        <f aca="false">BY34</f>
        <v>0</v>
      </c>
      <c r="BV35" s="11" t="n">
        <f aca="false">IF(BQ35&lt;=$BV$4,BU35/($BV$4-BQ35+1),0)</f>
        <v>0</v>
      </c>
      <c r="BW35" s="11" t="n">
        <f aca="false">BV35*BT35</f>
        <v>0</v>
      </c>
      <c r="BX35" s="11" t="n">
        <f aca="false">CA34-BW35</f>
        <v>3717771.23720446</v>
      </c>
      <c r="BY35" s="11" t="n">
        <f aca="false">(BU35-BV35)*(1+Inputs!$B$4)</f>
        <v>0</v>
      </c>
      <c r="BZ35" s="11" t="n">
        <f aca="false">(BZ34+BV35)*(1+Inputs!$B$4)</f>
        <v>16584142.6522475</v>
      </c>
      <c r="CA35" s="11" t="n">
        <f aca="false">BX35*(1+Inputs!$B$4*(1-Inputs!$B$8))</f>
        <v>4070959.50473888</v>
      </c>
      <c r="CB35" s="11" t="n">
        <f aca="false">IF(CA34&lt;=0,0,CB34*BX35/CA34)</f>
        <v>320701.835366809</v>
      </c>
      <c r="CC35" s="11" t="n">
        <f aca="false">BZ35+BY35*(1-Inputs!$B$6)+CA35-(CA35-CB35)*Inputs!$B$9</f>
        <v>19680035.1629496</v>
      </c>
      <c r="CD35" s="12" t="n">
        <f aca="false">BZ35/(BZ35+BY35+CA35)</f>
        <v>0.802907800997638</v>
      </c>
      <c r="CE35" s="19" t="n">
        <f aca="false">IF(CC35&gt;M35,1,0)</f>
        <v>1</v>
      </c>
      <c r="CF35" s="18" t="str">
        <f aca="false">IF(BX35&lt;0,"SHORT","ok")</f>
        <v>ok</v>
      </c>
      <c r="CH35" s="19" t="n">
        <v>28</v>
      </c>
      <c r="CI35" s="19" t="n">
        <f aca="false">CI34+1</f>
        <v>85</v>
      </c>
      <c r="CJ35" s="19" t="n">
        <f aca="false">CJ34+1</f>
        <v>2053</v>
      </c>
      <c r="CK35" s="13" t="n">
        <f aca="false">IF(Inputs!$B$15="B",Inputs!$D$46,Inputs!$C$46)</f>
        <v>0.38</v>
      </c>
      <c r="CL35" s="11" t="n">
        <f aca="false">CP34</f>
        <v>0</v>
      </c>
      <c r="CM35" s="11" t="n">
        <f aca="false">IF(CH35&lt;=$CM$4,CL35/($CM$4-CH35+1),0)</f>
        <v>0</v>
      </c>
      <c r="CN35" s="11" t="n">
        <f aca="false">CM35*CK35</f>
        <v>0</v>
      </c>
      <c r="CO35" s="11" t="n">
        <f aca="false">CR34-CN35</f>
        <v>3694104.86893117</v>
      </c>
      <c r="CP35" s="11" t="n">
        <f aca="false">(CL35-CM35)*(1+Inputs!$B$4)</f>
        <v>0</v>
      </c>
      <c r="CQ35" s="11" t="n">
        <f aca="false">(CQ34+CM35)*(1+Inputs!$B$4)</f>
        <v>16584142.6522474</v>
      </c>
      <c r="CR35" s="11" t="n">
        <f aca="false">CO35*(1+Inputs!$B$4*(1-Inputs!$B$8))</f>
        <v>4045044.83147964</v>
      </c>
      <c r="CS35" s="11" t="n">
        <f aca="false">IF(CR34&lt;=0,0,CS34*CO35/CR34)</f>
        <v>318660.330589497</v>
      </c>
      <c r="CT35" s="11" t="n">
        <f aca="false">CQ35+CP35*(1-Inputs!$B$6)+CR35-(CR35-CS35)*Inputs!$B$9</f>
        <v>19660327.5134956</v>
      </c>
      <c r="CU35" s="12" t="n">
        <f aca="false">CQ35/(CQ35+CP35+CR35)</f>
        <v>0.803916424984237</v>
      </c>
      <c r="CV35" s="19" t="n">
        <f aca="false">IF(CT35&gt;M35,1,0)</f>
        <v>1</v>
      </c>
      <c r="CW35" s="18" t="str">
        <f aca="false">IF(CO35&lt;0,"SHORT","ok")</f>
        <v>ok</v>
      </c>
    </row>
    <row r="36" customFormat="false" ht="15" hidden="false" customHeight="false" outlineLevel="0" collapsed="false">
      <c r="A36" s="19" t="n">
        <v>29</v>
      </c>
      <c r="B36" s="19" t="n">
        <f aca="false">B35+1</f>
        <v>86</v>
      </c>
      <c r="C36" s="19" t="n">
        <f aca="false">C35+1</f>
        <v>2054</v>
      </c>
      <c r="D36" s="13" t="n">
        <f aca="false">IF(Inputs!$B$15="B",Inputs!$D$47,Inputs!$C$47)</f>
        <v>0.38</v>
      </c>
      <c r="E36" s="11" t="n">
        <f aca="false">I35</f>
        <v>16584142.6522474</v>
      </c>
      <c r="F36" s="11" t="n">
        <f aca="false">IF(A36&lt;=$F$4,E36/($F$4-A36+1),0)</f>
        <v>0</v>
      </c>
      <c r="G36" s="11" t="n">
        <f aca="false">F36*D36</f>
        <v>0</v>
      </c>
      <c r="H36" s="11" t="n">
        <f aca="false">K35-G36</f>
        <v>9707665.93115439</v>
      </c>
      <c r="I36" s="11" t="n">
        <f aca="false">(E36-F36)*(1+Inputs!$B$4)</f>
        <v>18242556.9174722</v>
      </c>
      <c r="J36" s="11" t="n">
        <f aca="false">(J35+F36)*(1+Inputs!$B$4)</f>
        <v>0</v>
      </c>
      <c r="K36" s="11" t="n">
        <f aca="false">H36*(1+Inputs!$B$4*(1-Inputs!$B$8))</f>
        <v>10629894.1946141</v>
      </c>
      <c r="L36" s="11" t="n">
        <f aca="false">IF(K35&lt;=0,0,L35*H36/K35)</f>
        <v>764750</v>
      </c>
      <c r="M36" s="11" t="n">
        <f aca="false">J36+I36*(1-Inputs!$B$6)+K36-(K36-L36)*Inputs!$B$9</f>
        <v>20834746.5462449</v>
      </c>
      <c r="N36" s="12" t="n">
        <f aca="false">J36/(J36+I36+K36)</f>
        <v>0</v>
      </c>
      <c r="O36" s="19" t="n">
        <f aca="false">IF(M36&gt;M36,1,0)</f>
        <v>0</v>
      </c>
      <c r="P36" s="18" t="str">
        <f aca="false">IF(H36&lt;0,"SHORT","ok")</f>
        <v>ok</v>
      </c>
      <c r="R36" s="19" t="n">
        <v>29</v>
      </c>
      <c r="S36" s="19" t="n">
        <f aca="false">S35+1</f>
        <v>86</v>
      </c>
      <c r="T36" s="19" t="n">
        <f aca="false">T35+1</f>
        <v>2054</v>
      </c>
      <c r="U36" s="13" t="n">
        <f aca="false">IF(Inputs!$B$15="B",Inputs!$D$47,Inputs!$C$47)</f>
        <v>0.38</v>
      </c>
      <c r="V36" s="11" t="n">
        <f aca="false">Z35</f>
        <v>0</v>
      </c>
      <c r="W36" s="11" t="n">
        <f aca="false">IF(R36&lt;=$W$4,V36/($W$4-R36+1),0)</f>
        <v>0</v>
      </c>
      <c r="X36" s="11" t="n">
        <f aca="false">W36*U36</f>
        <v>0</v>
      </c>
      <c r="Y36" s="11" t="n">
        <f aca="false">AB35-X36</f>
        <v>4160428.25620902</v>
      </c>
      <c r="Z36" s="11" t="n">
        <f aca="false">(V36-W36)*(1+Inputs!$B$4)</f>
        <v>0</v>
      </c>
      <c r="AA36" s="11" t="n">
        <f aca="false">(AA35+W36)*(1+Inputs!$B$4)</f>
        <v>18242556.9174722</v>
      </c>
      <c r="AB36" s="11" t="n">
        <f aca="false">Y36*(1+Inputs!$B$4*(1-Inputs!$B$8))</f>
        <v>4555668.94054888</v>
      </c>
      <c r="AC36" s="11" t="n">
        <f aca="false">IF(AB35&lt;=0,0,AC35*Y36/AB35)</f>
        <v>327750</v>
      </c>
      <c r="AD36" s="11" t="n">
        <f aca="false">AA36+Z36*(1-Inputs!$B$6)+AB36-(AB36-AC36)*Inputs!$B$9</f>
        <v>21698966.9334784</v>
      </c>
      <c r="AE36" s="12" t="n">
        <f aca="false">AA36/(AA36+Z36+AB36)</f>
        <v>0.8001744096703</v>
      </c>
      <c r="AF36" s="19" t="n">
        <f aca="false">IF(AD36&gt;M36,1,0)</f>
        <v>1</v>
      </c>
      <c r="AG36" s="18" t="str">
        <f aca="false">IF(Y36&lt;0,"SHORT","ok")</f>
        <v>ok</v>
      </c>
      <c r="AI36" s="19" t="n">
        <v>29</v>
      </c>
      <c r="AJ36" s="19" t="n">
        <f aca="false">AJ35+1</f>
        <v>86</v>
      </c>
      <c r="AK36" s="19" t="n">
        <f aca="false">AK35+1</f>
        <v>2054</v>
      </c>
      <c r="AL36" s="13" t="n">
        <f aca="false">IF(Inputs!$B$15="B",Inputs!$D$47,Inputs!$C$47)</f>
        <v>0.38</v>
      </c>
      <c r="AM36" s="11" t="n">
        <f aca="false">AQ35</f>
        <v>0</v>
      </c>
      <c r="AN36" s="11" t="n">
        <f aca="false">IF(AI36&lt;=$AN$4,AM36/($AN$4-AI36+1),0)</f>
        <v>0</v>
      </c>
      <c r="AO36" s="11" t="n">
        <f aca="false">AN36*AL36</f>
        <v>0</v>
      </c>
      <c r="AP36" s="11" t="n">
        <f aca="false">AS35-AO36</f>
        <v>4135059.85000319</v>
      </c>
      <c r="AQ36" s="11" t="n">
        <f aca="false">(AM36-AN36)*(1+Inputs!$B$4)</f>
        <v>0</v>
      </c>
      <c r="AR36" s="11" t="n">
        <f aca="false">(AR35+AN36)*(1+Inputs!$B$4)</f>
        <v>18242556.9174722</v>
      </c>
      <c r="AS36" s="11" t="n">
        <f aca="false">AP36*(1+Inputs!$B$4*(1-Inputs!$B$8))</f>
        <v>4527890.53575349</v>
      </c>
      <c r="AT36" s="11" t="n">
        <f aca="false">IF(AS35&lt;=0,0,AT35*AP36/AS35)</f>
        <v>325751.529020107</v>
      </c>
      <c r="AU36" s="11" t="n">
        <f aca="false">AR36+AQ36*(1-Inputs!$B$6)+AS36-(AS36-AT36)*Inputs!$B$9</f>
        <v>21677891.311475</v>
      </c>
      <c r="AV36" s="12" t="n">
        <f aca="false">AR36/(AR36+AQ36+AS36)</f>
        <v>0.801150568294517</v>
      </c>
      <c r="AW36" s="19" t="n">
        <f aca="false">IF(AU36&gt;M36,1,0)</f>
        <v>1</v>
      </c>
      <c r="AX36" s="18" t="str">
        <f aca="false">IF(AP36&lt;0,"SHORT","ok")</f>
        <v>ok</v>
      </c>
      <c r="AZ36" s="19" t="n">
        <v>29</v>
      </c>
      <c r="BA36" s="19" t="n">
        <f aca="false">BA35+1</f>
        <v>86</v>
      </c>
      <c r="BB36" s="19" t="n">
        <f aca="false">BB35+1</f>
        <v>2054</v>
      </c>
      <c r="BC36" s="13" t="n">
        <f aca="false">IF(Inputs!$B$15="B",Inputs!$D$47,Inputs!$C$47)</f>
        <v>0.38</v>
      </c>
      <c r="BD36" s="11" t="n">
        <f aca="false">BH35</f>
        <v>0</v>
      </c>
      <c r="BE36" s="11" t="n">
        <f aca="false">IF(AZ36&lt;=$BE$4,BD36/($BE$4-AZ36+1),0)</f>
        <v>0</v>
      </c>
      <c r="BF36" s="11" t="n">
        <f aca="false">BE36*BC36</f>
        <v>0</v>
      </c>
      <c r="BG36" s="11" t="n">
        <f aca="false">BJ35-BF36</f>
        <v>4109536.69994538</v>
      </c>
      <c r="BH36" s="11" t="n">
        <f aca="false">(BD36-BE36)*(1+Inputs!$B$4)</f>
        <v>0</v>
      </c>
      <c r="BI36" s="11" t="n">
        <f aca="false">(BI35+BE36)*(1+Inputs!$B$4)</f>
        <v>18242556.9174722</v>
      </c>
      <c r="BJ36" s="11" t="n">
        <f aca="false">BG36*(1+Inputs!$B$4*(1-Inputs!$B$8))</f>
        <v>4499942.68644019</v>
      </c>
      <c r="BK36" s="11" t="n">
        <f aca="false">IF(BJ35&lt;=0,0,BK35*BG36/BJ35)</f>
        <v>323740.86763712</v>
      </c>
      <c r="BL36" s="11" t="n">
        <f aca="false">BI36+BH36*(1-Inputs!$B$6)+BJ36-(BJ36-BK36)*Inputs!$B$9</f>
        <v>21656687.1310236</v>
      </c>
      <c r="BM36" s="12" t="n">
        <f aca="false">BI36/(BI36+BH36+BJ36)</f>
        <v>0.802135087839418</v>
      </c>
      <c r="BN36" s="19" t="n">
        <f aca="false">IF(BL36&gt;M36,1,0)</f>
        <v>1</v>
      </c>
      <c r="BO36" s="18" t="str">
        <f aca="false">IF(BG36&lt;0,"SHORT","ok")</f>
        <v>ok</v>
      </c>
      <c r="BQ36" s="19" t="n">
        <v>29</v>
      </c>
      <c r="BR36" s="19" t="n">
        <f aca="false">BR35+1</f>
        <v>86</v>
      </c>
      <c r="BS36" s="19" t="n">
        <f aca="false">BS35+1</f>
        <v>2054</v>
      </c>
      <c r="BT36" s="13" t="n">
        <f aca="false">IF(Inputs!$B$15="B",Inputs!$D$47,Inputs!$C$47)</f>
        <v>0.38</v>
      </c>
      <c r="BU36" s="11" t="n">
        <f aca="false">BY35</f>
        <v>0</v>
      </c>
      <c r="BV36" s="11" t="n">
        <f aca="false">IF(BQ36&lt;=$BV$4,BU36/($BV$4-BQ36+1),0)</f>
        <v>0</v>
      </c>
      <c r="BW36" s="11" t="n">
        <f aca="false">BV36*BT36</f>
        <v>0</v>
      </c>
      <c r="BX36" s="11" t="n">
        <f aca="false">CA35-BW36</f>
        <v>4070959.50473888</v>
      </c>
      <c r="BY36" s="11" t="n">
        <f aca="false">(BU36-BV36)*(1+Inputs!$B$4)</f>
        <v>0</v>
      </c>
      <c r="BZ36" s="11" t="n">
        <f aca="false">(BZ35+BV36)*(1+Inputs!$B$4)</f>
        <v>18242556.9174722</v>
      </c>
      <c r="CA36" s="11" t="n">
        <f aca="false">BX36*(1+Inputs!$B$4*(1-Inputs!$B$8))</f>
        <v>4457700.65768907</v>
      </c>
      <c r="CB36" s="11" t="n">
        <f aca="false">IF(CA35&lt;=0,0,CB35*BX36/CA35)</f>
        <v>320701.835366809</v>
      </c>
      <c r="CC36" s="11" t="n">
        <f aca="false">BZ36+BY36*(1-Inputs!$B$6)+CA36-(CA36-CB36)*Inputs!$B$9</f>
        <v>21624637.8813575</v>
      </c>
      <c r="CD36" s="12" t="n">
        <f aca="false">BZ36/(BZ36+BY36+CA36)</f>
        <v>0.803627749908587</v>
      </c>
      <c r="CE36" s="19" t="n">
        <f aca="false">IF(CC36&gt;M36,1,0)</f>
        <v>1</v>
      </c>
      <c r="CF36" s="18" t="str">
        <f aca="false">IF(BX36&lt;0,"SHORT","ok")</f>
        <v>ok</v>
      </c>
      <c r="CH36" s="19" t="n">
        <v>29</v>
      </c>
      <c r="CI36" s="19" t="n">
        <f aca="false">CI35+1</f>
        <v>86</v>
      </c>
      <c r="CJ36" s="19" t="n">
        <f aca="false">CJ35+1</f>
        <v>2054</v>
      </c>
      <c r="CK36" s="13" t="n">
        <f aca="false">IF(Inputs!$B$15="B",Inputs!$D$47,Inputs!$C$47)</f>
        <v>0.38</v>
      </c>
      <c r="CL36" s="11" t="n">
        <f aca="false">CP35</f>
        <v>0</v>
      </c>
      <c r="CM36" s="11" t="n">
        <f aca="false">IF(CH36&lt;=$CM$4,CL36/($CM$4-CH36+1),0)</f>
        <v>0</v>
      </c>
      <c r="CN36" s="11" t="n">
        <f aca="false">CM36*CK36</f>
        <v>0</v>
      </c>
      <c r="CO36" s="11" t="n">
        <f aca="false">CR35-CN36</f>
        <v>4045044.83147964</v>
      </c>
      <c r="CP36" s="11" t="n">
        <f aca="false">(CL36-CM36)*(1+Inputs!$B$4)</f>
        <v>0</v>
      </c>
      <c r="CQ36" s="11" t="n">
        <f aca="false">(CQ35+CM36)*(1+Inputs!$B$4)</f>
        <v>18242556.9174722</v>
      </c>
      <c r="CR36" s="11" t="n">
        <f aca="false">CO36*(1+Inputs!$B$4*(1-Inputs!$B$8))</f>
        <v>4429324.0904702</v>
      </c>
      <c r="CS36" s="11" t="n">
        <f aca="false">IF(CR35&lt;=0,0,CS35*CO36/CR35)</f>
        <v>318660.330589497</v>
      </c>
      <c r="CT36" s="11" t="n">
        <f aca="false">CQ36+CP36*(1-Inputs!$B$6)+CR36-(CR36-CS36)*Inputs!$B$9</f>
        <v>21603108.4303734</v>
      </c>
      <c r="CU36" s="12" t="n">
        <f aca="false">CQ36/(CQ36+CP36+CR36)</f>
        <v>0.804633586030267</v>
      </c>
      <c r="CV36" s="19" t="n">
        <f aca="false">IF(CT36&gt;M36,1,0)</f>
        <v>1</v>
      </c>
      <c r="CW36" s="18" t="str">
        <f aca="false">IF(CO36&lt;0,"SHORT","ok")</f>
        <v>ok</v>
      </c>
    </row>
    <row r="37" customFormat="false" ht="15" hidden="false" customHeight="false" outlineLevel="0" collapsed="false">
      <c r="A37" s="19" t="n">
        <v>30</v>
      </c>
      <c r="B37" s="19" t="n">
        <f aca="false">B36+1</f>
        <v>87</v>
      </c>
      <c r="C37" s="19" t="n">
        <f aca="false">C36+1</f>
        <v>2055</v>
      </c>
      <c r="D37" s="13" t="n">
        <f aca="false">IF(Inputs!$B$15="B",Inputs!$D$48,Inputs!$C$48)</f>
        <v>0.38</v>
      </c>
      <c r="E37" s="11" t="n">
        <f aca="false">I36</f>
        <v>18242556.9174722</v>
      </c>
      <c r="F37" s="11" t="n">
        <f aca="false">IF(A37&lt;=$F$4,E37/($F$4-A37+1),0)</f>
        <v>0</v>
      </c>
      <c r="G37" s="11" t="n">
        <f aca="false">F37*D37</f>
        <v>0</v>
      </c>
      <c r="H37" s="11" t="n">
        <f aca="false">K36-G37</f>
        <v>10629894.1946141</v>
      </c>
      <c r="I37" s="11" t="n">
        <f aca="false">(E37-F37)*(1+Inputs!$B$4)</f>
        <v>20066812.6092194</v>
      </c>
      <c r="J37" s="11" t="n">
        <f aca="false">(J36+F37)*(1+Inputs!$B$4)</f>
        <v>0</v>
      </c>
      <c r="K37" s="11" t="n">
        <f aca="false">H37*(1+Inputs!$B$4*(1-Inputs!$B$8))</f>
        <v>11639734.1431024</v>
      </c>
      <c r="L37" s="11" t="n">
        <f aca="false">IF(K36&lt;=0,0,L36*H37/K36)</f>
        <v>764750</v>
      </c>
      <c r="M37" s="11" t="n">
        <f aca="false">J37+I37*(1-Inputs!$B$6)+K37-(K37-L37)*Inputs!$B$9</f>
        <v>22859007.0923494</v>
      </c>
      <c r="N37" s="12" t="n">
        <f aca="false">J37/(J37+I37+K37)</f>
        <v>0</v>
      </c>
      <c r="O37" s="19" t="n">
        <f aca="false">IF(M37&gt;M37,1,0)</f>
        <v>0</v>
      </c>
      <c r="P37" s="18" t="str">
        <f aca="false">IF(H37&lt;0,"SHORT","ok")</f>
        <v>ok</v>
      </c>
      <c r="R37" s="19" t="n">
        <v>30</v>
      </c>
      <c r="S37" s="19" t="n">
        <f aca="false">S36+1</f>
        <v>87</v>
      </c>
      <c r="T37" s="19" t="n">
        <f aca="false">T36+1</f>
        <v>2055</v>
      </c>
      <c r="U37" s="13" t="n">
        <f aca="false">IF(Inputs!$B$15="B",Inputs!$D$48,Inputs!$C$48)</f>
        <v>0.38</v>
      </c>
      <c r="V37" s="11" t="n">
        <f aca="false">Z36</f>
        <v>0</v>
      </c>
      <c r="W37" s="11" t="n">
        <f aca="false">IF(R37&lt;=$W$4,V37/($W$4-R37+1),0)</f>
        <v>0</v>
      </c>
      <c r="X37" s="11" t="n">
        <f aca="false">W37*U37</f>
        <v>0</v>
      </c>
      <c r="Y37" s="11" t="n">
        <f aca="false">AB36-X37</f>
        <v>4555668.94054888</v>
      </c>
      <c r="Z37" s="11" t="n">
        <f aca="false">(V37-W37)*(1+Inputs!$B$4)</f>
        <v>0</v>
      </c>
      <c r="AA37" s="11" t="n">
        <f aca="false">(AA36+W37)*(1+Inputs!$B$4)</f>
        <v>20066812.6092194</v>
      </c>
      <c r="AB37" s="11" t="n">
        <f aca="false">Y37*(1+Inputs!$B$4*(1-Inputs!$B$8))</f>
        <v>4988457.48990103</v>
      </c>
      <c r="AC37" s="11" t="n">
        <f aca="false">IF(AB36&lt;=0,0,AC36*Y37/AB36)</f>
        <v>327750</v>
      </c>
      <c r="AD37" s="11" t="n">
        <f aca="false">AA37+Z37*(1-Inputs!$B$6)+AB37-(AB37-AC37)*Inputs!$B$9</f>
        <v>23843486.1517462</v>
      </c>
      <c r="AE37" s="12" t="n">
        <f aca="false">AA37/(AA37+Z37+AB37)</f>
        <v>0.80090186734502</v>
      </c>
      <c r="AF37" s="19" t="n">
        <f aca="false">IF(AD37&gt;M37,1,0)</f>
        <v>1</v>
      </c>
      <c r="AG37" s="18" t="str">
        <f aca="false">IF(Y37&lt;0,"SHORT","ok")</f>
        <v>ok</v>
      </c>
      <c r="AI37" s="19" t="n">
        <v>30</v>
      </c>
      <c r="AJ37" s="19" t="n">
        <f aca="false">AJ36+1</f>
        <v>87</v>
      </c>
      <c r="AK37" s="19" t="n">
        <f aca="false">AK36+1</f>
        <v>2055</v>
      </c>
      <c r="AL37" s="13" t="n">
        <f aca="false">IF(Inputs!$B$15="B",Inputs!$D$48,Inputs!$C$48)</f>
        <v>0.38</v>
      </c>
      <c r="AM37" s="11" t="n">
        <f aca="false">AQ36</f>
        <v>0</v>
      </c>
      <c r="AN37" s="11" t="n">
        <f aca="false">IF(AI37&lt;=$AN$4,AM37/($AN$4-AI37+1),0)</f>
        <v>0</v>
      </c>
      <c r="AO37" s="11" t="n">
        <f aca="false">AN37*AL37</f>
        <v>0</v>
      </c>
      <c r="AP37" s="11" t="n">
        <f aca="false">AS36-AO37</f>
        <v>4527890.53575349</v>
      </c>
      <c r="AQ37" s="11" t="n">
        <f aca="false">(AM37-AN37)*(1+Inputs!$B$4)</f>
        <v>0</v>
      </c>
      <c r="AR37" s="11" t="n">
        <f aca="false">(AR36+AN37)*(1+Inputs!$B$4)</f>
        <v>20066812.6092194</v>
      </c>
      <c r="AS37" s="11" t="n">
        <f aca="false">AP37*(1+Inputs!$B$4*(1-Inputs!$B$8))</f>
        <v>4958040.13665007</v>
      </c>
      <c r="AT37" s="11" t="n">
        <f aca="false">IF(AS36&lt;=0,0,AT36*AP37/AS36)</f>
        <v>325751.529020107</v>
      </c>
      <c r="AU37" s="11" t="n">
        <f aca="false">AR37+AQ37*(1-Inputs!$B$6)+AS37-(AS37-AT37)*Inputs!$B$9</f>
        <v>23820457.7078857</v>
      </c>
      <c r="AV37" s="12" t="n">
        <f aca="false">AR37/(AR37+AQ37+AS37)</f>
        <v>0.801875352194893</v>
      </c>
      <c r="AW37" s="19" t="n">
        <f aca="false">IF(AU37&gt;M37,1,0)</f>
        <v>1</v>
      </c>
      <c r="AX37" s="18" t="str">
        <f aca="false">IF(AP37&lt;0,"SHORT","ok")</f>
        <v>ok</v>
      </c>
      <c r="AZ37" s="19" t="n">
        <v>30</v>
      </c>
      <c r="BA37" s="19" t="n">
        <f aca="false">BA36+1</f>
        <v>87</v>
      </c>
      <c r="BB37" s="19" t="n">
        <f aca="false">BB36+1</f>
        <v>2055</v>
      </c>
      <c r="BC37" s="13" t="n">
        <f aca="false">IF(Inputs!$B$15="B",Inputs!$D$48,Inputs!$C$48)</f>
        <v>0.38</v>
      </c>
      <c r="BD37" s="11" t="n">
        <f aca="false">BH36</f>
        <v>0</v>
      </c>
      <c r="BE37" s="11" t="n">
        <f aca="false">IF(AZ37&lt;=$BE$4,BD37/($BE$4-AZ37+1),0)</f>
        <v>0</v>
      </c>
      <c r="BF37" s="11" t="n">
        <f aca="false">BE37*BC37</f>
        <v>0</v>
      </c>
      <c r="BG37" s="11" t="n">
        <f aca="false">BJ36-BF37</f>
        <v>4499942.68644019</v>
      </c>
      <c r="BH37" s="11" t="n">
        <f aca="false">(BD37-BE37)*(1+Inputs!$B$4)</f>
        <v>0</v>
      </c>
      <c r="BI37" s="11" t="n">
        <f aca="false">(BI36+BE37)*(1+Inputs!$B$4)</f>
        <v>20066812.6092194</v>
      </c>
      <c r="BJ37" s="11" t="n">
        <f aca="false">BG37*(1+Inputs!$B$4*(1-Inputs!$B$8))</f>
        <v>4927437.24165201</v>
      </c>
      <c r="BK37" s="11" t="n">
        <f aca="false">IF(BJ36&lt;=0,0,BK36*BG37/BJ36)</f>
        <v>323740.86763712</v>
      </c>
      <c r="BL37" s="11" t="n">
        <f aca="false">BI37+BH37*(1-Inputs!$B$6)+BJ37-(BJ37-BK37)*Inputs!$B$9</f>
        <v>23797288.7936276</v>
      </c>
      <c r="BM37" s="12" t="n">
        <f aca="false">BI37/(BI37+BH37+BJ37)</f>
        <v>0.802857166306185</v>
      </c>
      <c r="BN37" s="19" t="n">
        <f aca="false">IF(BL37&gt;M37,1,0)</f>
        <v>1</v>
      </c>
      <c r="BO37" s="18" t="str">
        <f aca="false">IF(BG37&lt;0,"SHORT","ok")</f>
        <v>ok</v>
      </c>
      <c r="BQ37" s="19" t="n">
        <v>30</v>
      </c>
      <c r="BR37" s="19" t="n">
        <f aca="false">BR36+1</f>
        <v>87</v>
      </c>
      <c r="BS37" s="19" t="n">
        <f aca="false">BS36+1</f>
        <v>2055</v>
      </c>
      <c r="BT37" s="13" t="n">
        <f aca="false">IF(Inputs!$B$15="B",Inputs!$D$48,Inputs!$C$48)</f>
        <v>0.38</v>
      </c>
      <c r="BU37" s="11" t="n">
        <f aca="false">BY36</f>
        <v>0</v>
      </c>
      <c r="BV37" s="11" t="n">
        <f aca="false">IF(BQ37&lt;=$BV$4,BU37/($BV$4-BQ37+1),0)</f>
        <v>0</v>
      </c>
      <c r="BW37" s="11" t="n">
        <f aca="false">BV37*BT37</f>
        <v>0</v>
      </c>
      <c r="BX37" s="11" t="n">
        <f aca="false">CA36-BW37</f>
        <v>4457700.65768907</v>
      </c>
      <c r="BY37" s="11" t="n">
        <f aca="false">(BU37-BV37)*(1+Inputs!$B$4)</f>
        <v>0</v>
      </c>
      <c r="BZ37" s="11" t="n">
        <f aca="false">(BZ36+BV37)*(1+Inputs!$B$4)</f>
        <v>20066812.6092194</v>
      </c>
      <c r="CA37" s="11" t="n">
        <f aca="false">BX37*(1+Inputs!$B$4*(1-Inputs!$B$8))</f>
        <v>4881182.22016953</v>
      </c>
      <c r="CB37" s="11" t="n">
        <f aca="false">IF(CA36&lt;=0,0,CB36*BX37/CA36)</f>
        <v>320701.835366809</v>
      </c>
      <c r="CC37" s="11" t="n">
        <f aca="false">BZ37+BY37*(1-Inputs!$B$6)+CA37-(CA37-CB37)*Inputs!$B$9</f>
        <v>23762269.9293403</v>
      </c>
      <c r="CD37" s="12" t="n">
        <f aca="false">BZ37/(BZ37+BY37+CA37)</f>
        <v>0.804345709803521</v>
      </c>
      <c r="CE37" s="19" t="n">
        <f aca="false">IF(CC37&gt;M37,1,0)</f>
        <v>1</v>
      </c>
      <c r="CF37" s="18" t="str">
        <f aca="false">IF(BX37&lt;0,"SHORT","ok")</f>
        <v>ok</v>
      </c>
      <c r="CH37" s="19" t="n">
        <v>30</v>
      </c>
      <c r="CI37" s="19" t="n">
        <f aca="false">CI36+1</f>
        <v>87</v>
      </c>
      <c r="CJ37" s="19" t="n">
        <f aca="false">CJ36+1</f>
        <v>2055</v>
      </c>
      <c r="CK37" s="13" t="n">
        <f aca="false">IF(Inputs!$B$15="B",Inputs!$D$48,Inputs!$C$48)</f>
        <v>0.38</v>
      </c>
      <c r="CL37" s="11" t="n">
        <f aca="false">CP36</f>
        <v>0</v>
      </c>
      <c r="CM37" s="11" t="n">
        <f aca="false">IF(CH37&lt;=$CM$4,CL37/($CM$4-CH37+1),0)</f>
        <v>0</v>
      </c>
      <c r="CN37" s="11" t="n">
        <f aca="false">CM37*CK37</f>
        <v>0</v>
      </c>
      <c r="CO37" s="11" t="n">
        <f aca="false">CR36-CN37</f>
        <v>4429324.0904702</v>
      </c>
      <c r="CP37" s="11" t="n">
        <f aca="false">(CL37-CM37)*(1+Inputs!$B$4)</f>
        <v>0</v>
      </c>
      <c r="CQ37" s="11" t="n">
        <f aca="false">(CQ36+CM37)*(1+Inputs!$B$4)</f>
        <v>20066812.6092194</v>
      </c>
      <c r="CR37" s="11" t="n">
        <f aca="false">CO37*(1+Inputs!$B$4*(1-Inputs!$B$8))</f>
        <v>4850109.87906487</v>
      </c>
      <c r="CS37" s="11" t="n">
        <f aca="false">IF(CR36&lt;=0,0,CS36*CO37/CR36)</f>
        <v>318660.330589497</v>
      </c>
      <c r="CT37" s="11" t="n">
        <f aca="false">CQ37+CP37*(1-Inputs!$B$6)+CR37-(CR37-CS37)*Inputs!$B$9</f>
        <v>23738745.6056807</v>
      </c>
      <c r="CU37" s="12" t="n">
        <f aca="false">CQ37/(CQ37+CP37+CR37)</f>
        <v>0.80534875920791</v>
      </c>
      <c r="CV37" s="19" t="n">
        <f aca="false">IF(CT37&gt;M37,1,0)</f>
        <v>1</v>
      </c>
      <c r="CW37" s="18" t="str">
        <f aca="false">IF(CO37&lt;0,"SHORT","ok")</f>
        <v>ok</v>
      </c>
    </row>
    <row r="38" customFormat="false" ht="15" hidden="false" customHeight="false" outlineLevel="0" collapsed="false">
      <c r="A38" s="19" t="n">
        <v>31</v>
      </c>
      <c r="B38" s="19" t="n">
        <f aca="false">B37+1</f>
        <v>88</v>
      </c>
      <c r="C38" s="19" t="n">
        <f aca="false">C37+1</f>
        <v>2056</v>
      </c>
      <c r="D38" s="13" t="n">
        <f aca="false">IF(Inputs!$B$15="B",Inputs!$D$49,Inputs!$C$49)</f>
        <v>0.38</v>
      </c>
      <c r="E38" s="11" t="n">
        <f aca="false">I37</f>
        <v>20066812.6092194</v>
      </c>
      <c r="F38" s="11" t="n">
        <f aca="false">IF(A38&lt;=$F$4,E38/($F$4-A38+1),0)</f>
        <v>0</v>
      </c>
      <c r="G38" s="11" t="n">
        <f aca="false">F38*D38</f>
        <v>0</v>
      </c>
      <c r="H38" s="11" t="n">
        <f aca="false">K37-G38</f>
        <v>11639734.1431024</v>
      </c>
      <c r="I38" s="11" t="n">
        <f aca="false">(E38-F38)*(1+Inputs!$B$4)</f>
        <v>22073493.8701414</v>
      </c>
      <c r="J38" s="11" t="n">
        <f aca="false">(J37+F38)*(1+Inputs!$B$4)</f>
        <v>0</v>
      </c>
      <c r="K38" s="11" t="n">
        <f aca="false">H38*(1+Inputs!$B$4*(1-Inputs!$B$8))</f>
        <v>12745508.8866971</v>
      </c>
      <c r="L38" s="11" t="n">
        <f aca="false">IF(K37&lt;=0,0,L37*H38/K37)</f>
        <v>764750</v>
      </c>
      <c r="M38" s="11" t="n">
        <f aca="false">J38+I38*(1-Inputs!$B$6)+K38-(K38-L38)*Inputs!$B$9</f>
        <v>25081957.2852548</v>
      </c>
      <c r="N38" s="12" t="n">
        <f aca="false">J38/(J38+I38+K38)</f>
        <v>0</v>
      </c>
      <c r="O38" s="19" t="n">
        <f aca="false">IF(M38&gt;M38,1,0)</f>
        <v>0</v>
      </c>
      <c r="P38" s="18" t="str">
        <f aca="false">IF(H38&lt;0,"SHORT","ok")</f>
        <v>ok</v>
      </c>
      <c r="R38" s="19" t="n">
        <v>31</v>
      </c>
      <c r="S38" s="19" t="n">
        <f aca="false">S37+1</f>
        <v>88</v>
      </c>
      <c r="T38" s="19" t="n">
        <f aca="false">T37+1</f>
        <v>2056</v>
      </c>
      <c r="U38" s="13" t="n">
        <f aca="false">IF(Inputs!$B$15="B",Inputs!$D$49,Inputs!$C$49)</f>
        <v>0.38</v>
      </c>
      <c r="V38" s="11" t="n">
        <f aca="false">Z37</f>
        <v>0</v>
      </c>
      <c r="W38" s="11" t="n">
        <f aca="false">IF(R38&lt;=$W$4,V38/($W$4-R38+1),0)</f>
        <v>0</v>
      </c>
      <c r="X38" s="11" t="n">
        <f aca="false">W38*U38</f>
        <v>0</v>
      </c>
      <c r="Y38" s="11" t="n">
        <f aca="false">AB37-X38</f>
        <v>4988457.48990103</v>
      </c>
      <c r="Z38" s="11" t="n">
        <f aca="false">(V38-W38)*(1+Inputs!$B$4)</f>
        <v>0</v>
      </c>
      <c r="AA38" s="11" t="n">
        <f aca="false">(AA37+W38)*(1+Inputs!$B$4)</f>
        <v>22073493.8701414</v>
      </c>
      <c r="AB38" s="11" t="n">
        <f aca="false">Y38*(1+Inputs!$B$4*(1-Inputs!$B$8))</f>
        <v>5462360.95144162</v>
      </c>
      <c r="AC38" s="11" t="n">
        <f aca="false">IF(AB37&lt;=0,0,AC37*Y38/AB37)</f>
        <v>327750</v>
      </c>
      <c r="AD38" s="11" t="n">
        <f aca="false">AA38+Z38*(1-Inputs!$B$6)+AB38-(AB38-AC38)*Inputs!$B$9</f>
        <v>26200855.9742082</v>
      </c>
      <c r="AE38" s="12" t="n">
        <f aca="false">AA38/(AA38+Z38+AB38)</f>
        <v>0.801627333277478</v>
      </c>
      <c r="AF38" s="19" t="n">
        <f aca="false">IF(AD38&gt;M38,1,0)</f>
        <v>1</v>
      </c>
      <c r="AG38" s="18" t="str">
        <f aca="false">IF(Y38&lt;0,"SHORT","ok")</f>
        <v>ok</v>
      </c>
      <c r="AI38" s="19" t="n">
        <v>31</v>
      </c>
      <c r="AJ38" s="19" t="n">
        <f aca="false">AJ37+1</f>
        <v>88</v>
      </c>
      <c r="AK38" s="19" t="n">
        <f aca="false">AK37+1</f>
        <v>2056</v>
      </c>
      <c r="AL38" s="13" t="n">
        <f aca="false">IF(Inputs!$B$15="B",Inputs!$D$49,Inputs!$C$49)</f>
        <v>0.38</v>
      </c>
      <c r="AM38" s="11" t="n">
        <f aca="false">AQ37</f>
        <v>0</v>
      </c>
      <c r="AN38" s="11" t="n">
        <f aca="false">IF(AI38&lt;=$AN$4,AM38/($AN$4-AI38+1),0)</f>
        <v>0</v>
      </c>
      <c r="AO38" s="11" t="n">
        <f aca="false">AN38*AL38</f>
        <v>0</v>
      </c>
      <c r="AP38" s="11" t="n">
        <f aca="false">AS37-AO38</f>
        <v>4958040.13665007</v>
      </c>
      <c r="AQ38" s="11" t="n">
        <f aca="false">(AM38-AN38)*(1+Inputs!$B$4)</f>
        <v>0</v>
      </c>
      <c r="AR38" s="11" t="n">
        <f aca="false">(AR37+AN38)*(1+Inputs!$B$4)</f>
        <v>22073493.8701414</v>
      </c>
      <c r="AS38" s="11" t="n">
        <f aca="false">AP38*(1+Inputs!$B$4*(1-Inputs!$B$8))</f>
        <v>5429053.94963183</v>
      </c>
      <c r="AT38" s="11" t="n">
        <f aca="false">IF(AS37&lt;=0,0,AT37*AP38/AS37)</f>
        <v>325751.529020107</v>
      </c>
      <c r="AU38" s="11" t="n">
        <f aca="false">AR38+AQ38*(1-Inputs!$B$6)+AS38-(AS38-AT38)*Inputs!$B$9</f>
        <v>26175689.1904142</v>
      </c>
      <c r="AV38" s="12" t="n">
        <f aca="false">AR38/(AR38+AQ38+AS38)</f>
        <v>0.802598145262434</v>
      </c>
      <c r="AW38" s="19" t="n">
        <f aca="false">IF(AU38&gt;M38,1,0)</f>
        <v>1</v>
      </c>
      <c r="AX38" s="18" t="str">
        <f aca="false">IF(AP38&lt;0,"SHORT","ok")</f>
        <v>ok</v>
      </c>
      <c r="AZ38" s="19" t="n">
        <v>31</v>
      </c>
      <c r="BA38" s="19" t="n">
        <f aca="false">BA37+1</f>
        <v>88</v>
      </c>
      <c r="BB38" s="19" t="n">
        <f aca="false">BB37+1</f>
        <v>2056</v>
      </c>
      <c r="BC38" s="13" t="n">
        <f aca="false">IF(Inputs!$B$15="B",Inputs!$D$49,Inputs!$C$49)</f>
        <v>0.38</v>
      </c>
      <c r="BD38" s="11" t="n">
        <f aca="false">BH37</f>
        <v>0</v>
      </c>
      <c r="BE38" s="11" t="n">
        <f aca="false">IF(AZ38&lt;=$BE$4,BD38/($BE$4-AZ38+1),0)</f>
        <v>0</v>
      </c>
      <c r="BF38" s="11" t="n">
        <f aca="false">BE38*BC38</f>
        <v>0</v>
      </c>
      <c r="BG38" s="11" t="n">
        <f aca="false">BJ37-BF38</f>
        <v>4927437.24165201</v>
      </c>
      <c r="BH38" s="11" t="n">
        <f aca="false">(BD38-BE38)*(1+Inputs!$B$4)</f>
        <v>0</v>
      </c>
      <c r="BI38" s="11" t="n">
        <f aca="false">(BI37+BE38)*(1+Inputs!$B$4)</f>
        <v>22073493.8701414</v>
      </c>
      <c r="BJ38" s="11" t="n">
        <f aca="false">BG38*(1+Inputs!$B$4*(1-Inputs!$B$8))</f>
        <v>5395543.77960895</v>
      </c>
      <c r="BK38" s="11" t="n">
        <f aca="false">IF(BJ37&lt;=0,0,BK37*BG38/BJ37)</f>
        <v>323740.86763712</v>
      </c>
      <c r="BL38" s="11" t="n">
        <f aca="false">BI38+BH38*(1-Inputs!$B$6)+BJ38-(BJ38-BK38)*Inputs!$B$9</f>
        <v>26150368.8926376</v>
      </c>
      <c r="BM38" s="12" t="n">
        <f aca="false">BI38/(BI38+BH38+BJ38)</f>
        <v>0.803577254929497</v>
      </c>
      <c r="BN38" s="19" t="n">
        <f aca="false">IF(BL38&gt;M38,1,0)</f>
        <v>1</v>
      </c>
      <c r="BO38" s="18" t="str">
        <f aca="false">IF(BG38&lt;0,"SHORT","ok")</f>
        <v>ok</v>
      </c>
      <c r="BQ38" s="19" t="n">
        <v>31</v>
      </c>
      <c r="BR38" s="19" t="n">
        <f aca="false">BR37+1</f>
        <v>88</v>
      </c>
      <c r="BS38" s="19" t="n">
        <f aca="false">BS37+1</f>
        <v>2056</v>
      </c>
      <c r="BT38" s="13" t="n">
        <f aca="false">IF(Inputs!$B$15="B",Inputs!$D$49,Inputs!$C$49)</f>
        <v>0.38</v>
      </c>
      <c r="BU38" s="11" t="n">
        <f aca="false">BY37</f>
        <v>0</v>
      </c>
      <c r="BV38" s="11" t="n">
        <f aca="false">IF(BQ38&lt;=$BV$4,BU38/($BV$4-BQ38+1),0)</f>
        <v>0</v>
      </c>
      <c r="BW38" s="11" t="n">
        <f aca="false">BV38*BT38</f>
        <v>0</v>
      </c>
      <c r="BX38" s="11" t="n">
        <f aca="false">CA37-BW38</f>
        <v>4881182.22016953</v>
      </c>
      <c r="BY38" s="11" t="n">
        <f aca="false">(BU38-BV38)*(1+Inputs!$B$4)</f>
        <v>0</v>
      </c>
      <c r="BZ38" s="11" t="n">
        <f aca="false">(BZ37+BV38)*(1+Inputs!$B$4)</f>
        <v>22073493.8701414</v>
      </c>
      <c r="CA38" s="11" t="n">
        <f aca="false">BX38*(1+Inputs!$B$4*(1-Inputs!$B$8))</f>
        <v>5344894.53108564</v>
      </c>
      <c r="CB38" s="11" t="n">
        <f aca="false">IF(CA37&lt;=0,0,CB37*BX38/CA37)</f>
        <v>320701.835366809</v>
      </c>
      <c r="CC38" s="11" t="n">
        <f aca="false">BZ38+BY38*(1-Inputs!$B$6)+CA38-(CA38-CB38)*Inputs!$B$9</f>
        <v>26112098.3003401</v>
      </c>
      <c r="CD38" s="12" t="n">
        <f aca="false">BZ38/(BZ38+BY38+CA38)</f>
        <v>0.80506168149378</v>
      </c>
      <c r="CE38" s="19" t="n">
        <f aca="false">IF(CC38&gt;M38,1,0)</f>
        <v>1</v>
      </c>
      <c r="CF38" s="18" t="str">
        <f aca="false">IF(BX38&lt;0,"SHORT","ok")</f>
        <v>ok</v>
      </c>
      <c r="CH38" s="19" t="n">
        <v>31</v>
      </c>
      <c r="CI38" s="19" t="n">
        <f aca="false">CI37+1</f>
        <v>88</v>
      </c>
      <c r="CJ38" s="19" t="n">
        <f aca="false">CJ37+1</f>
        <v>2056</v>
      </c>
      <c r="CK38" s="13" t="n">
        <f aca="false">IF(Inputs!$B$15="B",Inputs!$D$49,Inputs!$C$49)</f>
        <v>0.38</v>
      </c>
      <c r="CL38" s="11" t="n">
        <f aca="false">CP37</f>
        <v>0</v>
      </c>
      <c r="CM38" s="11" t="n">
        <f aca="false">IF(CH38&lt;=$CM$4,CL38/($CM$4-CH38+1),0)</f>
        <v>0</v>
      </c>
      <c r="CN38" s="11" t="n">
        <f aca="false">CM38*CK38</f>
        <v>0</v>
      </c>
      <c r="CO38" s="11" t="n">
        <f aca="false">CR37-CN38</f>
        <v>4850109.87906487</v>
      </c>
      <c r="CP38" s="11" t="n">
        <f aca="false">(CL38-CM38)*(1+Inputs!$B$4)</f>
        <v>0</v>
      </c>
      <c r="CQ38" s="11" t="n">
        <f aca="false">(CQ37+CM38)*(1+Inputs!$B$4)</f>
        <v>22073493.8701414</v>
      </c>
      <c r="CR38" s="11" t="n">
        <f aca="false">CO38*(1+Inputs!$B$4*(1-Inputs!$B$8))</f>
        <v>5310870.31757603</v>
      </c>
      <c r="CS38" s="11" t="n">
        <f aca="false">IF(CR37&lt;=0,0,CS37*CO38/CR37)</f>
        <v>318660.330589497</v>
      </c>
      <c r="CT38" s="11" t="n">
        <f aca="false">CQ38+CP38*(1-Inputs!$B$6)+CR38-(CR38-CS38)*Inputs!$B$9</f>
        <v>26086389.5911009</v>
      </c>
      <c r="CU38" s="12" t="n">
        <f aca="false">CQ38/(CQ38+CP38+CR38)</f>
        <v>0.806061945379835</v>
      </c>
      <c r="CV38" s="19" t="n">
        <f aca="false">IF(CT38&gt;M38,1,0)</f>
        <v>1</v>
      </c>
      <c r="CW38" s="18" t="str">
        <f aca="false">IF(CO38&lt;0,"SHORT","ok")</f>
        <v>ok</v>
      </c>
    </row>
    <row r="39" customFormat="false" ht="15" hidden="false" customHeight="false" outlineLevel="0" collapsed="false">
      <c r="A39" s="19" t="n">
        <v>32</v>
      </c>
      <c r="B39" s="19" t="n">
        <f aca="false">B38+1</f>
        <v>89</v>
      </c>
      <c r="C39" s="19" t="n">
        <f aca="false">C38+1</f>
        <v>2057</v>
      </c>
      <c r="D39" s="13" t="n">
        <f aca="false">IF(Inputs!$B$15="B",Inputs!$D$50,Inputs!$C$50)</f>
        <v>0.38</v>
      </c>
      <c r="E39" s="11" t="n">
        <f aca="false">I38</f>
        <v>22073493.8701414</v>
      </c>
      <c r="F39" s="11" t="n">
        <f aca="false">IF(A39&lt;=$F$4,E39/($F$4-A39+1),0)</f>
        <v>0</v>
      </c>
      <c r="G39" s="11" t="n">
        <f aca="false">F39*D39</f>
        <v>0</v>
      </c>
      <c r="H39" s="11" t="n">
        <f aca="false">K38-G39</f>
        <v>12745508.8866971</v>
      </c>
      <c r="I39" s="11" t="n">
        <f aca="false">(E39-F39)*(1+Inputs!$B$4)</f>
        <v>24280843.2571555</v>
      </c>
      <c r="J39" s="11" t="n">
        <f aca="false">(J38+F39)*(1+Inputs!$B$4)</f>
        <v>0</v>
      </c>
      <c r="K39" s="11" t="n">
        <f aca="false">H39*(1+Inputs!$B$4*(1-Inputs!$B$8))</f>
        <v>13956332.2309333</v>
      </c>
      <c r="L39" s="11" t="n">
        <f aca="false">IF(K38&lt;=0,0,L38*H39/K38)</f>
        <v>764750</v>
      </c>
      <c r="M39" s="11" t="n">
        <f aca="false">J39+I39*(1-Inputs!$B$6)+K39-(K39-L39)*Inputs!$B$9</f>
        <v>27523111.1308995</v>
      </c>
      <c r="N39" s="12" t="n">
        <f aca="false">J39/(J39+I39+K39)</f>
        <v>0</v>
      </c>
      <c r="O39" s="19" t="n">
        <f aca="false">IF(M39&gt;M39,1,0)</f>
        <v>0</v>
      </c>
      <c r="P39" s="18" t="str">
        <f aca="false">IF(H39&lt;0,"SHORT","ok")</f>
        <v>ok</v>
      </c>
      <c r="R39" s="19" t="n">
        <v>32</v>
      </c>
      <c r="S39" s="19" t="n">
        <f aca="false">S38+1</f>
        <v>89</v>
      </c>
      <c r="T39" s="19" t="n">
        <f aca="false">T38+1</f>
        <v>2057</v>
      </c>
      <c r="U39" s="13" t="n">
        <f aca="false">IF(Inputs!$B$15="B",Inputs!$D$50,Inputs!$C$50)</f>
        <v>0.38</v>
      </c>
      <c r="V39" s="11" t="n">
        <f aca="false">Z38</f>
        <v>0</v>
      </c>
      <c r="W39" s="11" t="n">
        <f aca="false">IF(R39&lt;=$W$4,V39/($W$4-R39+1),0)</f>
        <v>0</v>
      </c>
      <c r="X39" s="11" t="n">
        <f aca="false">W39*U39</f>
        <v>0</v>
      </c>
      <c r="Y39" s="11" t="n">
        <f aca="false">AB38-X39</f>
        <v>5462360.95144162</v>
      </c>
      <c r="Z39" s="11" t="n">
        <f aca="false">(V39-W39)*(1+Inputs!$B$4)</f>
        <v>0</v>
      </c>
      <c r="AA39" s="11" t="n">
        <f aca="false">(AA38+W39)*(1+Inputs!$B$4)</f>
        <v>24280843.2571555</v>
      </c>
      <c r="AB39" s="11" t="n">
        <f aca="false">Y39*(1+Inputs!$B$4*(1-Inputs!$B$8))</f>
        <v>5981285.24182858</v>
      </c>
      <c r="AC39" s="11" t="n">
        <f aca="false">IF(AB38&lt;=0,0,AC38*Y39/AB38)</f>
        <v>327750</v>
      </c>
      <c r="AD39" s="11" t="n">
        <f aca="false">AA39+Z39*(1-Inputs!$B$6)+AB39-(AB39-AC39)*Inputs!$B$9</f>
        <v>28792209.3361086</v>
      </c>
      <c r="AE39" s="12" t="n">
        <f aca="false">AA39/(AA39+Z39+AB39)</f>
        <v>0.802350808138648</v>
      </c>
      <c r="AF39" s="19" t="n">
        <f aca="false">IF(AD39&gt;M39,1,0)</f>
        <v>1</v>
      </c>
      <c r="AG39" s="18" t="str">
        <f aca="false">IF(Y39&lt;0,"SHORT","ok")</f>
        <v>ok</v>
      </c>
      <c r="AI39" s="19" t="n">
        <v>32</v>
      </c>
      <c r="AJ39" s="19" t="n">
        <f aca="false">AJ38+1</f>
        <v>89</v>
      </c>
      <c r="AK39" s="19" t="n">
        <f aca="false">AK38+1</f>
        <v>2057</v>
      </c>
      <c r="AL39" s="13" t="n">
        <f aca="false">IF(Inputs!$B$15="B",Inputs!$D$50,Inputs!$C$50)</f>
        <v>0.38</v>
      </c>
      <c r="AM39" s="11" t="n">
        <f aca="false">AQ38</f>
        <v>0</v>
      </c>
      <c r="AN39" s="11" t="n">
        <f aca="false">IF(AI39&lt;=$AN$4,AM39/($AN$4-AI39+1),0)</f>
        <v>0</v>
      </c>
      <c r="AO39" s="11" t="n">
        <f aca="false">AN39*AL39</f>
        <v>0</v>
      </c>
      <c r="AP39" s="11" t="n">
        <f aca="false">AS38-AO39</f>
        <v>5429053.94963183</v>
      </c>
      <c r="AQ39" s="11" t="n">
        <f aca="false">(AM39-AN39)*(1+Inputs!$B$4)</f>
        <v>0</v>
      </c>
      <c r="AR39" s="11" t="n">
        <f aca="false">(AR38+AN39)*(1+Inputs!$B$4)</f>
        <v>24280843.2571555</v>
      </c>
      <c r="AS39" s="11" t="n">
        <f aca="false">AP39*(1+Inputs!$B$4*(1-Inputs!$B$8))</f>
        <v>5944814.07484685</v>
      </c>
      <c r="AT39" s="11" t="n">
        <f aca="false">IF(AS38&lt;=0,0,AT38*AP39/AS38)</f>
        <v>325751.529020107</v>
      </c>
      <c r="AU39" s="11" t="n">
        <f aca="false">AR39+AQ39*(1-Inputs!$B$6)+AS39-(AS39-AT39)*Inputs!$B$9</f>
        <v>28764701.0700874</v>
      </c>
      <c r="AV39" s="12" t="n">
        <f aca="false">AR39/(AR39+AQ39+AS39)</f>
        <v>0.803318948218453</v>
      </c>
      <c r="AW39" s="19" t="n">
        <f aca="false">IF(AU39&gt;M39,1,0)</f>
        <v>1</v>
      </c>
      <c r="AX39" s="18" t="str">
        <f aca="false">IF(AP39&lt;0,"SHORT","ok")</f>
        <v>ok</v>
      </c>
      <c r="AZ39" s="19" t="n">
        <v>32</v>
      </c>
      <c r="BA39" s="19" t="n">
        <f aca="false">BA38+1</f>
        <v>89</v>
      </c>
      <c r="BB39" s="19" t="n">
        <f aca="false">BB38+1</f>
        <v>2057</v>
      </c>
      <c r="BC39" s="13" t="n">
        <f aca="false">IF(Inputs!$B$15="B",Inputs!$D$50,Inputs!$C$50)</f>
        <v>0.38</v>
      </c>
      <c r="BD39" s="11" t="n">
        <f aca="false">BH38</f>
        <v>0</v>
      </c>
      <c r="BE39" s="11" t="n">
        <f aca="false">IF(AZ39&lt;=$BE$4,BD39/($BE$4-AZ39+1),0)</f>
        <v>0</v>
      </c>
      <c r="BF39" s="11" t="n">
        <f aca="false">BE39*BC39</f>
        <v>0</v>
      </c>
      <c r="BG39" s="11" t="n">
        <f aca="false">BJ38-BF39</f>
        <v>5395543.77960895</v>
      </c>
      <c r="BH39" s="11" t="n">
        <f aca="false">(BD39-BE39)*(1+Inputs!$B$4)</f>
        <v>0</v>
      </c>
      <c r="BI39" s="11" t="n">
        <f aca="false">(BI38+BE39)*(1+Inputs!$B$4)</f>
        <v>24280843.2571555</v>
      </c>
      <c r="BJ39" s="11" t="n">
        <f aca="false">BG39*(1+Inputs!$B$4*(1-Inputs!$B$8))</f>
        <v>5908120.4386718</v>
      </c>
      <c r="BK39" s="11" t="n">
        <f aca="false">IF(BJ38&lt;=0,0,BK38*BG39/BJ38)</f>
        <v>323740.86763712</v>
      </c>
      <c r="BL39" s="11" t="n">
        <f aca="false">BI39+BH39*(1-Inputs!$B$6)+BJ39-(BJ39-BK39)*Inputs!$B$9</f>
        <v>28737025.0073583</v>
      </c>
      <c r="BM39" s="12" t="n">
        <f aca="false">BI39/(BI39+BH39+BJ39)</f>
        <v>0.8042953544812</v>
      </c>
      <c r="BN39" s="19" t="n">
        <f aca="false">IF(BL39&gt;M39,1,0)</f>
        <v>1</v>
      </c>
      <c r="BO39" s="18" t="str">
        <f aca="false">IF(BG39&lt;0,"SHORT","ok")</f>
        <v>ok</v>
      </c>
      <c r="BQ39" s="19" t="n">
        <v>32</v>
      </c>
      <c r="BR39" s="19" t="n">
        <f aca="false">BR38+1</f>
        <v>89</v>
      </c>
      <c r="BS39" s="19" t="n">
        <f aca="false">BS38+1</f>
        <v>2057</v>
      </c>
      <c r="BT39" s="13" t="n">
        <f aca="false">IF(Inputs!$B$15="B",Inputs!$D$50,Inputs!$C$50)</f>
        <v>0.38</v>
      </c>
      <c r="BU39" s="11" t="n">
        <f aca="false">BY38</f>
        <v>0</v>
      </c>
      <c r="BV39" s="11" t="n">
        <f aca="false">IF(BQ39&lt;=$BV$4,BU39/($BV$4-BQ39+1),0)</f>
        <v>0</v>
      </c>
      <c r="BW39" s="11" t="n">
        <f aca="false">BV39*BT39</f>
        <v>0</v>
      </c>
      <c r="BX39" s="11" t="n">
        <f aca="false">CA38-BW39</f>
        <v>5344894.53108564</v>
      </c>
      <c r="BY39" s="11" t="n">
        <f aca="false">(BU39-BV39)*(1+Inputs!$B$4)</f>
        <v>0</v>
      </c>
      <c r="BZ39" s="11" t="n">
        <f aca="false">(BZ38+BV39)*(1+Inputs!$B$4)</f>
        <v>24280843.2571555</v>
      </c>
      <c r="CA39" s="11" t="n">
        <f aca="false">BX39*(1+Inputs!$B$4*(1-Inputs!$B$8))</f>
        <v>5852659.51153878</v>
      </c>
      <c r="CB39" s="11" t="n">
        <f aca="false">IF(CA38&lt;=0,0,CB38*BX39/CA38)</f>
        <v>320701.835366809</v>
      </c>
      <c r="CC39" s="11" t="n">
        <f aca="false">BZ39+BY39*(1-Inputs!$B$6)+CA39-(CA39-CB39)*Inputs!$B$9</f>
        <v>28695193.7728896</v>
      </c>
      <c r="CD39" s="12" t="n">
        <f aca="false">BZ39/(BZ39+BY39+CA39)</f>
        <v>0.805775665827369</v>
      </c>
      <c r="CE39" s="19" t="n">
        <f aca="false">IF(CC39&gt;M39,1,0)</f>
        <v>1</v>
      </c>
      <c r="CF39" s="18" t="str">
        <f aca="false">IF(BX39&lt;0,"SHORT","ok")</f>
        <v>ok</v>
      </c>
      <c r="CH39" s="19" t="n">
        <v>32</v>
      </c>
      <c r="CI39" s="19" t="n">
        <f aca="false">CI38+1</f>
        <v>89</v>
      </c>
      <c r="CJ39" s="19" t="n">
        <f aca="false">CJ38+1</f>
        <v>2057</v>
      </c>
      <c r="CK39" s="13" t="n">
        <f aca="false">IF(Inputs!$B$15="B",Inputs!$D$50,Inputs!$C$50)</f>
        <v>0.38</v>
      </c>
      <c r="CL39" s="11" t="n">
        <f aca="false">CP38</f>
        <v>0</v>
      </c>
      <c r="CM39" s="11" t="n">
        <f aca="false">IF(CH39&lt;=$CM$4,CL39/($CM$4-CH39+1),0)</f>
        <v>0</v>
      </c>
      <c r="CN39" s="11" t="n">
        <f aca="false">CM39*CK39</f>
        <v>0</v>
      </c>
      <c r="CO39" s="11" t="n">
        <f aca="false">CR38-CN39</f>
        <v>5310870.31757603</v>
      </c>
      <c r="CP39" s="11" t="n">
        <f aca="false">(CL39-CM39)*(1+Inputs!$B$4)</f>
        <v>0</v>
      </c>
      <c r="CQ39" s="11" t="n">
        <f aca="false">(CQ38+CM39)*(1+Inputs!$B$4)</f>
        <v>24280843.2571555</v>
      </c>
      <c r="CR39" s="11" t="n">
        <f aca="false">CO39*(1+Inputs!$B$4*(1-Inputs!$B$8))</f>
        <v>5815402.99774576</v>
      </c>
      <c r="CS39" s="11" t="n">
        <f aca="false">IF(CR38&lt;=0,0,CS38*CO39/CR38)</f>
        <v>318660.330589497</v>
      </c>
      <c r="CT39" s="11" t="n">
        <f aca="false">CQ39+CP39*(1-Inputs!$B$6)+CR39-(CR39-CS39)*Inputs!$B$9</f>
        <v>28667093.1614406</v>
      </c>
      <c r="CU39" s="12" t="n">
        <f aca="false">CQ39/(CQ39+CP39+CR39)</f>
        <v>0.80677314544505</v>
      </c>
      <c r="CV39" s="19" t="n">
        <f aca="false">IF(CT39&gt;M39,1,0)</f>
        <v>1</v>
      </c>
      <c r="CW39" s="18" t="str">
        <f aca="false">IF(CO39&lt;0,"SHORT","ok")</f>
        <v>ok</v>
      </c>
    </row>
    <row r="40" customFormat="false" ht="15" hidden="false" customHeight="false" outlineLevel="0" collapsed="false">
      <c r="A40" s="19" t="n">
        <v>33</v>
      </c>
      <c r="B40" s="19" t="n">
        <f aca="false">B39+1</f>
        <v>90</v>
      </c>
      <c r="C40" s="19" t="n">
        <f aca="false">C39+1</f>
        <v>2058</v>
      </c>
      <c r="D40" s="13" t="n">
        <f aca="false">IF(Inputs!$B$15="B",Inputs!$D$51,Inputs!$C$51)</f>
        <v>0.38</v>
      </c>
      <c r="E40" s="11" t="n">
        <f aca="false">I39</f>
        <v>24280843.2571555</v>
      </c>
      <c r="F40" s="11" t="n">
        <f aca="false">IF(A40&lt;=$F$4,E40/($F$4-A40+1),0)</f>
        <v>0</v>
      </c>
      <c r="G40" s="11" t="n">
        <f aca="false">F40*D40</f>
        <v>0</v>
      </c>
      <c r="H40" s="11" t="n">
        <f aca="false">K39-G40</f>
        <v>13956332.2309333</v>
      </c>
      <c r="I40" s="11" t="n">
        <f aca="false">(E40-F40)*(1+Inputs!$B$4)</f>
        <v>26708927.582871</v>
      </c>
      <c r="J40" s="11" t="n">
        <f aca="false">(J39+F40)*(1+Inputs!$B$4)</f>
        <v>0</v>
      </c>
      <c r="K40" s="11" t="n">
        <f aca="false">H40*(1+Inputs!$B$4*(1-Inputs!$B$8))</f>
        <v>15282183.792872</v>
      </c>
      <c r="L40" s="11" t="n">
        <f aca="false">IF(K39&lt;=0,0,L39*H40/K39)</f>
        <v>764750</v>
      </c>
      <c r="M40" s="11" t="n">
        <f aca="false">J40+I40*(1-Inputs!$B$6)+K40-(K40-L40)*Inputs!$B$9</f>
        <v>30203900.314735</v>
      </c>
      <c r="N40" s="12" t="n">
        <f aca="false">J40/(J40+I40+K40)</f>
        <v>0</v>
      </c>
      <c r="O40" s="19" t="n">
        <f aca="false">IF(M40&gt;M40,1,0)</f>
        <v>0</v>
      </c>
      <c r="P40" s="18" t="str">
        <f aca="false">IF(H40&lt;0,"SHORT","ok")</f>
        <v>ok</v>
      </c>
      <c r="R40" s="19" t="n">
        <v>33</v>
      </c>
      <c r="S40" s="19" t="n">
        <f aca="false">S39+1</f>
        <v>90</v>
      </c>
      <c r="T40" s="19" t="n">
        <f aca="false">T39+1</f>
        <v>2058</v>
      </c>
      <c r="U40" s="13" t="n">
        <f aca="false">IF(Inputs!$B$15="B",Inputs!$D$51,Inputs!$C$51)</f>
        <v>0.38</v>
      </c>
      <c r="V40" s="11" t="n">
        <f aca="false">Z39</f>
        <v>0</v>
      </c>
      <c r="W40" s="11" t="n">
        <f aca="false">IF(R40&lt;=$W$4,V40/($W$4-R40+1),0)</f>
        <v>0</v>
      </c>
      <c r="X40" s="11" t="n">
        <f aca="false">W40*U40</f>
        <v>0</v>
      </c>
      <c r="Y40" s="11" t="n">
        <f aca="false">AB39-X40</f>
        <v>5981285.24182858</v>
      </c>
      <c r="Z40" s="11" t="n">
        <f aca="false">(V40-W40)*(1+Inputs!$B$4)</f>
        <v>0</v>
      </c>
      <c r="AA40" s="11" t="n">
        <f aca="false">(AA39+W40)*(1+Inputs!$B$4)</f>
        <v>26708927.582871</v>
      </c>
      <c r="AB40" s="11" t="n">
        <f aca="false">Y40*(1+Inputs!$B$4*(1-Inputs!$B$8))</f>
        <v>6549507.33980229</v>
      </c>
      <c r="AC40" s="11" t="n">
        <f aca="false">IF(AB39&lt;=0,0,AC39*Y40/AB39)</f>
        <v>327750</v>
      </c>
      <c r="AD40" s="11" t="n">
        <f aca="false">AA40+Z40*(1-Inputs!$B$6)+AB40-(AB40-AC40)*Inputs!$B$9</f>
        <v>31640778.0143247</v>
      </c>
      <c r="AE40" s="12" t="n">
        <f aca="false">AA40/(AA40+Z40+AB40)</f>
        <v>0.803072292637039</v>
      </c>
      <c r="AF40" s="19" t="n">
        <f aca="false">IF(AD40&gt;M40,1,0)</f>
        <v>1</v>
      </c>
      <c r="AG40" s="18" t="str">
        <f aca="false">IF(Y40&lt;0,"SHORT","ok")</f>
        <v>ok</v>
      </c>
      <c r="AI40" s="19" t="n">
        <v>33</v>
      </c>
      <c r="AJ40" s="19" t="n">
        <f aca="false">AJ39+1</f>
        <v>90</v>
      </c>
      <c r="AK40" s="19" t="n">
        <f aca="false">AK39+1</f>
        <v>2058</v>
      </c>
      <c r="AL40" s="13" t="n">
        <f aca="false">IF(Inputs!$B$15="B",Inputs!$D$51,Inputs!$C$51)</f>
        <v>0.38</v>
      </c>
      <c r="AM40" s="11" t="n">
        <f aca="false">AQ39</f>
        <v>0</v>
      </c>
      <c r="AN40" s="11" t="n">
        <f aca="false">IF(AI40&lt;=$AN$4,AM40/($AN$4-AI40+1),0)</f>
        <v>0</v>
      </c>
      <c r="AO40" s="11" t="n">
        <f aca="false">AN40*AL40</f>
        <v>0</v>
      </c>
      <c r="AP40" s="11" t="n">
        <f aca="false">AS39-AO40</f>
        <v>5944814.07484685</v>
      </c>
      <c r="AQ40" s="11" t="n">
        <f aca="false">(AM40-AN40)*(1+Inputs!$B$4)</f>
        <v>0</v>
      </c>
      <c r="AR40" s="11" t="n">
        <f aca="false">(AR39+AN40)*(1+Inputs!$B$4)</f>
        <v>26708927.5828711</v>
      </c>
      <c r="AS40" s="11" t="n">
        <f aca="false">AP40*(1+Inputs!$B$4*(1-Inputs!$B$8))</f>
        <v>6509571.4119573</v>
      </c>
      <c r="AT40" s="11" t="n">
        <f aca="false">IF(AS39&lt;=0,0,AT39*AP40/AS39)</f>
        <v>325751.529020107</v>
      </c>
      <c r="AU40" s="11" t="n">
        <f aca="false">AR40+AQ40*(1-Inputs!$B$6)+AS40-(AS40-AT40)*Inputs!$B$9</f>
        <v>31610705.8252647</v>
      </c>
      <c r="AV40" s="12" t="n">
        <f aca="false">AR40/(AR40+AQ40+AS40)</f>
        <v>0.804037761821486</v>
      </c>
      <c r="AW40" s="19" t="n">
        <f aca="false">IF(AU40&gt;M40,1,0)</f>
        <v>1</v>
      </c>
      <c r="AX40" s="18" t="str">
        <f aca="false">IF(AP40&lt;0,"SHORT","ok")</f>
        <v>ok</v>
      </c>
      <c r="AZ40" s="19" t="n">
        <v>33</v>
      </c>
      <c r="BA40" s="19" t="n">
        <f aca="false">BA39+1</f>
        <v>90</v>
      </c>
      <c r="BB40" s="19" t="n">
        <f aca="false">BB39+1</f>
        <v>2058</v>
      </c>
      <c r="BC40" s="13" t="n">
        <f aca="false">IF(Inputs!$B$15="B",Inputs!$D$51,Inputs!$C$51)</f>
        <v>0.38</v>
      </c>
      <c r="BD40" s="11" t="n">
        <f aca="false">BH39</f>
        <v>0</v>
      </c>
      <c r="BE40" s="11" t="n">
        <f aca="false">IF(AZ40&lt;=$BE$4,BD40/($BE$4-AZ40+1),0)</f>
        <v>0</v>
      </c>
      <c r="BF40" s="11" t="n">
        <f aca="false">BE40*BC40</f>
        <v>0</v>
      </c>
      <c r="BG40" s="11" t="n">
        <f aca="false">BJ39-BF40</f>
        <v>5908120.4386718</v>
      </c>
      <c r="BH40" s="11" t="n">
        <f aca="false">(BD40-BE40)*(1+Inputs!$B$4)</f>
        <v>0</v>
      </c>
      <c r="BI40" s="11" t="n">
        <f aca="false">(BI39+BE40)*(1+Inputs!$B$4)</f>
        <v>26708927.5828711</v>
      </c>
      <c r="BJ40" s="11" t="n">
        <f aca="false">BG40*(1+Inputs!$B$4*(1-Inputs!$B$8))</f>
        <v>6469391.88034562</v>
      </c>
      <c r="BK40" s="11" t="n">
        <f aca="false">IF(BJ39&lt;=0,0,BK39*BG40/BJ39)</f>
        <v>323740.86763712</v>
      </c>
      <c r="BL40" s="11" t="n">
        <f aca="false">BI40+BH40*(1-Inputs!$B$6)+BJ40-(BJ40-BK40)*Inputs!$B$9</f>
        <v>31580450.1999125</v>
      </c>
      <c r="BM40" s="12" t="n">
        <f aca="false">BI40/(BI40+BH40+BJ40)</f>
        <v>0.805011465770051</v>
      </c>
      <c r="BN40" s="19" t="n">
        <f aca="false">IF(BL40&gt;M40,1,0)</f>
        <v>1</v>
      </c>
      <c r="BO40" s="18" t="str">
        <f aca="false">IF(BG40&lt;0,"SHORT","ok")</f>
        <v>ok</v>
      </c>
      <c r="BQ40" s="19" t="n">
        <v>33</v>
      </c>
      <c r="BR40" s="19" t="n">
        <f aca="false">BR39+1</f>
        <v>90</v>
      </c>
      <c r="BS40" s="19" t="n">
        <f aca="false">BS39+1</f>
        <v>2058</v>
      </c>
      <c r="BT40" s="13" t="n">
        <f aca="false">IF(Inputs!$B$15="B",Inputs!$D$51,Inputs!$C$51)</f>
        <v>0.38</v>
      </c>
      <c r="BU40" s="11" t="n">
        <f aca="false">BY39</f>
        <v>0</v>
      </c>
      <c r="BV40" s="11" t="n">
        <f aca="false">IF(BQ40&lt;=$BV$4,BU40/($BV$4-BQ40+1),0)</f>
        <v>0</v>
      </c>
      <c r="BW40" s="11" t="n">
        <f aca="false">BV40*BT40</f>
        <v>0</v>
      </c>
      <c r="BX40" s="11" t="n">
        <f aca="false">CA39-BW40</f>
        <v>5852659.51153878</v>
      </c>
      <c r="BY40" s="11" t="n">
        <f aca="false">(BU40-BV40)*(1+Inputs!$B$4)</f>
        <v>0</v>
      </c>
      <c r="BZ40" s="11" t="n">
        <f aca="false">(BZ39+BV40)*(1+Inputs!$B$4)</f>
        <v>26708927.5828711</v>
      </c>
      <c r="CA40" s="11" t="n">
        <f aca="false">BX40*(1+Inputs!$B$4*(1-Inputs!$B$8))</f>
        <v>6408662.16513496</v>
      </c>
      <c r="CB40" s="11" t="n">
        <f aca="false">IF(CA39&lt;=0,0,CB39*BX40/CA39)</f>
        <v>320701.835366809</v>
      </c>
      <c r="CC40" s="11" t="n">
        <f aca="false">BZ40+BY40*(1-Inputs!$B$6)+CA40-(CA40-CB40)*Inputs!$B$9</f>
        <v>31534720.0622663</v>
      </c>
      <c r="CD40" s="12" t="n">
        <f aca="false">BZ40/(BZ40+BY40+CA40)</f>
        <v>0.806487663688726</v>
      </c>
      <c r="CE40" s="19" t="n">
        <f aca="false">IF(CC40&gt;M40,1,0)</f>
        <v>1</v>
      </c>
      <c r="CF40" s="18" t="str">
        <f aca="false">IF(BX40&lt;0,"SHORT","ok")</f>
        <v>ok</v>
      </c>
      <c r="CH40" s="19" t="n">
        <v>33</v>
      </c>
      <c r="CI40" s="19" t="n">
        <f aca="false">CI39+1</f>
        <v>90</v>
      </c>
      <c r="CJ40" s="19" t="n">
        <f aca="false">CJ39+1</f>
        <v>2058</v>
      </c>
      <c r="CK40" s="13" t="n">
        <f aca="false">IF(Inputs!$B$15="B",Inputs!$D$51,Inputs!$C$51)</f>
        <v>0.38</v>
      </c>
      <c r="CL40" s="11" t="n">
        <f aca="false">CP39</f>
        <v>0</v>
      </c>
      <c r="CM40" s="11" t="n">
        <f aca="false">IF(CH40&lt;=$CM$4,CL40/($CM$4-CH40+1),0)</f>
        <v>0</v>
      </c>
      <c r="CN40" s="11" t="n">
        <f aca="false">CM40*CK40</f>
        <v>0</v>
      </c>
      <c r="CO40" s="11" t="n">
        <f aca="false">CR39-CN40</f>
        <v>5815402.99774576</v>
      </c>
      <c r="CP40" s="11" t="n">
        <f aca="false">(CL40-CM40)*(1+Inputs!$B$4)</f>
        <v>0</v>
      </c>
      <c r="CQ40" s="11" t="n">
        <f aca="false">(CQ39+CM40)*(1+Inputs!$B$4)</f>
        <v>26708927.582871</v>
      </c>
      <c r="CR40" s="11" t="n">
        <f aca="false">CO40*(1+Inputs!$B$4*(1-Inputs!$B$8))</f>
        <v>6367866.2825316</v>
      </c>
      <c r="CS40" s="11" t="n">
        <f aca="false">IF(CR39&lt;=0,0,CS39*CO40/CR39)</f>
        <v>318660.330589497</v>
      </c>
      <c r="CT40" s="11" t="n">
        <f aca="false">CQ40+CP40*(1-Inputs!$B$6)+CR40-(CR40-CS40)*Inputs!$B$9</f>
        <v>31504000.3178977</v>
      </c>
      <c r="CU40" s="12" t="n">
        <f aca="false">CQ40/(CQ40+CP40+CR40)</f>
        <v>0.807482360338672</v>
      </c>
      <c r="CV40" s="19" t="n">
        <f aca="false">IF(CT40&gt;M40,1,0)</f>
        <v>1</v>
      </c>
      <c r="CW40" s="18" t="str">
        <f aca="false">IF(CO40&lt;0,"SHORT","ok")</f>
        <v>ok</v>
      </c>
    </row>
    <row r="41" customFormat="false" ht="15" hidden="false" customHeight="false" outlineLevel="0" collapsed="false">
      <c r="A41" s="19" t="n">
        <v>34</v>
      </c>
      <c r="B41" s="19" t="n">
        <f aca="false">B40+1</f>
        <v>91</v>
      </c>
      <c r="C41" s="19" t="n">
        <f aca="false">C40+1</f>
        <v>2059</v>
      </c>
      <c r="D41" s="13" t="n">
        <f aca="false">IF(Inputs!$B$15="B",Inputs!$D$52,Inputs!$C$52)</f>
        <v>0.38</v>
      </c>
      <c r="E41" s="11" t="n">
        <f aca="false">I40</f>
        <v>26708927.582871</v>
      </c>
      <c r="F41" s="11" t="n">
        <f aca="false">IF(A41&lt;=$F$4,E41/($F$4-A41+1),0)</f>
        <v>0</v>
      </c>
      <c r="G41" s="11" t="n">
        <f aca="false">F41*D41</f>
        <v>0</v>
      </c>
      <c r="H41" s="11" t="n">
        <f aca="false">K40-G41</f>
        <v>15282183.792872</v>
      </c>
      <c r="I41" s="11" t="n">
        <f aca="false">(E41-F41)*(1+Inputs!$B$4)</f>
        <v>29379820.3411581</v>
      </c>
      <c r="J41" s="11" t="n">
        <f aca="false">(J40+F41)*(1+Inputs!$B$4)</f>
        <v>0</v>
      </c>
      <c r="K41" s="11" t="n">
        <f aca="false">H41*(1+Inputs!$B$4*(1-Inputs!$B$8))</f>
        <v>16733991.2531949</v>
      </c>
      <c r="L41" s="11" t="n">
        <f aca="false">IF(K40&lt;=0,0,L40*H41/K40)</f>
        <v>764750</v>
      </c>
      <c r="M41" s="11" t="n">
        <f aca="false">J41+I41*(1-Inputs!$B$6)+K41-(K41-L41)*Inputs!$B$9</f>
        <v>33147862.7661749</v>
      </c>
      <c r="N41" s="12" t="n">
        <f aca="false">J41/(J41+I41+K41)</f>
        <v>0</v>
      </c>
      <c r="O41" s="19" t="n">
        <f aca="false">IF(M41&gt;M41,1,0)</f>
        <v>0</v>
      </c>
      <c r="P41" s="18" t="str">
        <f aca="false">IF(H41&lt;0,"SHORT","ok")</f>
        <v>ok</v>
      </c>
      <c r="R41" s="19" t="n">
        <v>34</v>
      </c>
      <c r="S41" s="19" t="n">
        <f aca="false">S40+1</f>
        <v>91</v>
      </c>
      <c r="T41" s="19" t="n">
        <f aca="false">T40+1</f>
        <v>2059</v>
      </c>
      <c r="U41" s="13" t="n">
        <f aca="false">IF(Inputs!$B$15="B",Inputs!$D$52,Inputs!$C$52)</f>
        <v>0.38</v>
      </c>
      <c r="V41" s="11" t="n">
        <f aca="false">Z40</f>
        <v>0</v>
      </c>
      <c r="W41" s="11" t="n">
        <f aca="false">IF(R41&lt;=$W$4,V41/($W$4-R41+1),0)</f>
        <v>0</v>
      </c>
      <c r="X41" s="11" t="n">
        <f aca="false">W41*U41</f>
        <v>0</v>
      </c>
      <c r="Y41" s="11" t="n">
        <f aca="false">AB40-X41</f>
        <v>6549507.33980229</v>
      </c>
      <c r="Z41" s="11" t="n">
        <f aca="false">(V41-W41)*(1+Inputs!$B$4)</f>
        <v>0</v>
      </c>
      <c r="AA41" s="11" t="n">
        <f aca="false">(AA40+W41)*(1+Inputs!$B$4)</f>
        <v>29379820.3411581</v>
      </c>
      <c r="AB41" s="11" t="n">
        <f aca="false">Y41*(1+Inputs!$B$4*(1-Inputs!$B$8))</f>
        <v>7171710.53708351</v>
      </c>
      <c r="AC41" s="11" t="n">
        <f aca="false">IF(AB40&lt;=0,0,AC40*Y41/AB40)</f>
        <v>327750</v>
      </c>
      <c r="AD41" s="11" t="n">
        <f aca="false">AA41+Z41*(1-Inputs!$B$6)+AB41-(AB41-AC41)*Inputs!$B$9</f>
        <v>34772101.1385999</v>
      </c>
      <c r="AE41" s="12" t="n">
        <f aca="false">AA41/(AA41+Z41+AB41)</f>
        <v>0.803791787518463</v>
      </c>
      <c r="AF41" s="19" t="n">
        <f aca="false">IF(AD41&gt;M41,1,0)</f>
        <v>1</v>
      </c>
      <c r="AG41" s="18" t="str">
        <f aca="false">IF(Y41&lt;0,"SHORT","ok")</f>
        <v>ok</v>
      </c>
      <c r="AI41" s="19" t="n">
        <v>34</v>
      </c>
      <c r="AJ41" s="19" t="n">
        <f aca="false">AJ40+1</f>
        <v>91</v>
      </c>
      <c r="AK41" s="19" t="n">
        <f aca="false">AK40+1</f>
        <v>2059</v>
      </c>
      <c r="AL41" s="13" t="n">
        <f aca="false">IF(Inputs!$B$15="B",Inputs!$D$52,Inputs!$C$52)</f>
        <v>0.38</v>
      </c>
      <c r="AM41" s="11" t="n">
        <f aca="false">AQ40</f>
        <v>0</v>
      </c>
      <c r="AN41" s="11" t="n">
        <f aca="false">IF(AI41&lt;=$AN$4,AM41/($AN$4-AI41+1),0)</f>
        <v>0</v>
      </c>
      <c r="AO41" s="11" t="n">
        <f aca="false">AN41*AL41</f>
        <v>0</v>
      </c>
      <c r="AP41" s="11" t="n">
        <f aca="false">AS40-AO41</f>
        <v>6509571.4119573</v>
      </c>
      <c r="AQ41" s="11" t="n">
        <f aca="false">(AM41-AN41)*(1+Inputs!$B$4)</f>
        <v>0</v>
      </c>
      <c r="AR41" s="11" t="n">
        <f aca="false">(AR40+AN41)*(1+Inputs!$B$4)</f>
        <v>29379820.3411582</v>
      </c>
      <c r="AS41" s="11" t="n">
        <f aca="false">AP41*(1+Inputs!$B$4*(1-Inputs!$B$8))</f>
        <v>7127980.69609324</v>
      </c>
      <c r="AT41" s="11" t="n">
        <f aca="false">IF(AS40&lt;=0,0,AT40*AP41/AS40)</f>
        <v>325751.529020107</v>
      </c>
      <c r="AU41" s="11" t="n">
        <f aca="false">AR41+AQ41*(1-Inputs!$B$6)+AS41-(AS41-AT41)*Inputs!$B$9</f>
        <v>34739221.4538124</v>
      </c>
      <c r="AV41" s="12" t="n">
        <f aca="false">AR41/(AR41+AQ41+AS41)</f>
        <v>0.804754586867062</v>
      </c>
      <c r="AW41" s="19" t="n">
        <f aca="false">IF(AU41&gt;M41,1,0)</f>
        <v>1</v>
      </c>
      <c r="AX41" s="18" t="str">
        <f aca="false">IF(AP41&lt;0,"SHORT","ok")</f>
        <v>ok</v>
      </c>
      <c r="AZ41" s="19" t="n">
        <v>34</v>
      </c>
      <c r="BA41" s="19" t="n">
        <f aca="false">BA40+1</f>
        <v>91</v>
      </c>
      <c r="BB41" s="19" t="n">
        <f aca="false">BB40+1</f>
        <v>2059</v>
      </c>
      <c r="BC41" s="13" t="n">
        <f aca="false">IF(Inputs!$B$15="B",Inputs!$D$52,Inputs!$C$52)</f>
        <v>0.38</v>
      </c>
      <c r="BD41" s="11" t="n">
        <f aca="false">BH40</f>
        <v>0</v>
      </c>
      <c r="BE41" s="11" t="n">
        <f aca="false">IF(AZ41&lt;=$BE$4,BD41/($BE$4-AZ41+1),0)</f>
        <v>0</v>
      </c>
      <c r="BF41" s="11" t="n">
        <f aca="false">BE41*BC41</f>
        <v>0</v>
      </c>
      <c r="BG41" s="11" t="n">
        <f aca="false">BJ40-BF41</f>
        <v>6469391.88034562</v>
      </c>
      <c r="BH41" s="11" t="n">
        <f aca="false">(BD41-BE41)*(1+Inputs!$B$4)</f>
        <v>0</v>
      </c>
      <c r="BI41" s="11" t="n">
        <f aca="false">(BI40+BE41)*(1+Inputs!$B$4)</f>
        <v>29379820.3411582</v>
      </c>
      <c r="BJ41" s="11" t="n">
        <f aca="false">BG41*(1+Inputs!$B$4*(1-Inputs!$B$8))</f>
        <v>7083984.10897845</v>
      </c>
      <c r="BK41" s="11" t="n">
        <f aca="false">IF(BJ40&lt;=0,0,BK40*BG41/BJ40)</f>
        <v>323740.86763712</v>
      </c>
      <c r="BL41" s="11" t="n">
        <f aca="false">BI41+BH41*(1-Inputs!$B$6)+BJ41-(BJ41-BK41)*Inputs!$B$9</f>
        <v>34706141.2073879</v>
      </c>
      <c r="BM41" s="12" t="n">
        <f aca="false">BI41/(BI41+BH41+BJ41)</f>
        <v>0.805725589641486</v>
      </c>
      <c r="BN41" s="19" t="n">
        <f aca="false">IF(BL41&gt;M41,1,0)</f>
        <v>1</v>
      </c>
      <c r="BO41" s="18" t="str">
        <f aca="false">IF(BG41&lt;0,"SHORT","ok")</f>
        <v>ok</v>
      </c>
      <c r="BQ41" s="19" t="n">
        <v>34</v>
      </c>
      <c r="BR41" s="19" t="n">
        <f aca="false">BR40+1</f>
        <v>91</v>
      </c>
      <c r="BS41" s="19" t="n">
        <f aca="false">BS40+1</f>
        <v>2059</v>
      </c>
      <c r="BT41" s="13" t="n">
        <f aca="false">IF(Inputs!$B$15="B",Inputs!$D$52,Inputs!$C$52)</f>
        <v>0.38</v>
      </c>
      <c r="BU41" s="11" t="n">
        <f aca="false">BY40</f>
        <v>0</v>
      </c>
      <c r="BV41" s="11" t="n">
        <f aca="false">IF(BQ41&lt;=$BV$4,BU41/($BV$4-BQ41+1),0)</f>
        <v>0</v>
      </c>
      <c r="BW41" s="11" t="n">
        <f aca="false">BV41*BT41</f>
        <v>0</v>
      </c>
      <c r="BX41" s="11" t="n">
        <f aca="false">CA40-BW41</f>
        <v>6408662.16513496</v>
      </c>
      <c r="BY41" s="11" t="n">
        <f aca="false">(BU41-BV41)*(1+Inputs!$B$4)</f>
        <v>0</v>
      </c>
      <c r="BZ41" s="11" t="n">
        <f aca="false">(BZ40+BV41)*(1+Inputs!$B$4)</f>
        <v>29379820.3411582</v>
      </c>
      <c r="CA41" s="11" t="n">
        <f aca="false">BX41*(1+Inputs!$B$4*(1-Inputs!$B$8))</f>
        <v>7017485.07082278</v>
      </c>
      <c r="CB41" s="11" t="n">
        <f aca="false">IF(CA40&lt;=0,0,CB40*BX41/CA40)</f>
        <v>320701.835366809</v>
      </c>
      <c r="CC41" s="11" t="n">
        <f aca="false">BZ41+BY41*(1-Inputs!$B$6)+CA41-(CA41-CB41)*Inputs!$B$9</f>
        <v>34656141.7707624</v>
      </c>
      <c r="CD41" s="12" t="n">
        <f aca="false">BZ41/(BZ41+BY41+CA41)</f>
        <v>0.807197675998487</v>
      </c>
      <c r="CE41" s="19" t="n">
        <f aca="false">IF(CC41&gt;M41,1,0)</f>
        <v>1</v>
      </c>
      <c r="CF41" s="18" t="str">
        <f aca="false">IF(BX41&lt;0,"SHORT","ok")</f>
        <v>ok</v>
      </c>
      <c r="CH41" s="19" t="n">
        <v>34</v>
      </c>
      <c r="CI41" s="19" t="n">
        <f aca="false">CI40+1</f>
        <v>91</v>
      </c>
      <c r="CJ41" s="19" t="n">
        <f aca="false">CJ40+1</f>
        <v>2059</v>
      </c>
      <c r="CK41" s="13" t="n">
        <f aca="false">IF(Inputs!$B$15="B",Inputs!$D$52,Inputs!$C$52)</f>
        <v>0.38</v>
      </c>
      <c r="CL41" s="11" t="n">
        <f aca="false">CP40</f>
        <v>0</v>
      </c>
      <c r="CM41" s="11" t="n">
        <f aca="false">IF(CH41&lt;=$CM$4,CL41/($CM$4-CH41+1),0)</f>
        <v>0</v>
      </c>
      <c r="CN41" s="11" t="n">
        <f aca="false">CM41*CK41</f>
        <v>0</v>
      </c>
      <c r="CO41" s="11" t="n">
        <f aca="false">CR40-CN41</f>
        <v>6367866.2825316</v>
      </c>
      <c r="CP41" s="11" t="n">
        <f aca="false">(CL41-CM41)*(1+Inputs!$B$4)</f>
        <v>0</v>
      </c>
      <c r="CQ41" s="11" t="n">
        <f aca="false">(CQ40+CM41)*(1+Inputs!$B$4)</f>
        <v>29379820.3411581</v>
      </c>
      <c r="CR41" s="11" t="n">
        <f aca="false">CO41*(1+Inputs!$B$4*(1-Inputs!$B$8))</f>
        <v>6972813.5793721</v>
      </c>
      <c r="CS41" s="11" t="n">
        <f aca="false">IF(CR40&lt;=0,0,CS40*CO41/CR40)</f>
        <v>318660.330589497</v>
      </c>
      <c r="CT41" s="11" t="n">
        <f aca="false">CQ41+CP41*(1-Inputs!$B$6)+CR41-(CR41-CS41)*Inputs!$B$9</f>
        <v>34622554.0758468</v>
      </c>
      <c r="CU41" s="12" t="n">
        <f aca="false">CQ41/(CQ41+CP41+CR41)</f>
        <v>0.808189591031692</v>
      </c>
      <c r="CV41" s="19" t="n">
        <f aca="false">IF(CT41&gt;M41,1,0)</f>
        <v>1</v>
      </c>
      <c r="CW41" s="18" t="str">
        <f aca="false">IF(CO41&lt;0,"SHORT","ok")</f>
        <v>ok</v>
      </c>
    </row>
    <row r="42" customFormat="false" ht="15" hidden="false" customHeight="false" outlineLevel="0" collapsed="false">
      <c r="A42" s="19" t="n">
        <v>35</v>
      </c>
      <c r="B42" s="19" t="n">
        <f aca="false">B41+1</f>
        <v>92</v>
      </c>
      <c r="C42" s="19" t="n">
        <f aca="false">C41+1</f>
        <v>2060</v>
      </c>
      <c r="D42" s="13" t="n">
        <f aca="false">IF(Inputs!$B$15="B",Inputs!$D$53,Inputs!$C$53)</f>
        <v>0.38</v>
      </c>
      <c r="E42" s="11" t="n">
        <f aca="false">I41</f>
        <v>29379820.3411581</v>
      </c>
      <c r="F42" s="11" t="n">
        <f aca="false">IF(A42&lt;=$F$4,E42/($F$4-A42+1),0)</f>
        <v>0</v>
      </c>
      <c r="G42" s="11" t="n">
        <f aca="false">F42*D42</f>
        <v>0</v>
      </c>
      <c r="H42" s="11" t="n">
        <f aca="false">K41-G42</f>
        <v>16733991.2531949</v>
      </c>
      <c r="I42" s="11" t="n">
        <f aca="false">(E42-F42)*(1+Inputs!$B$4)</f>
        <v>32317802.375274</v>
      </c>
      <c r="J42" s="11" t="n">
        <f aca="false">(J41+F42)*(1+Inputs!$B$4)</f>
        <v>0</v>
      </c>
      <c r="K42" s="11" t="n">
        <f aca="false">H42*(1+Inputs!$B$4*(1-Inputs!$B$8))</f>
        <v>18323720.4222484</v>
      </c>
      <c r="L42" s="11" t="n">
        <f aca="false">IF(K41&lt;=0,0,L41*H42/K41)</f>
        <v>764750</v>
      </c>
      <c r="M42" s="11" t="n">
        <f aca="false">J42+I42*(1-Inputs!$B$6)+K42-(K42-L42)*Inputs!$B$9</f>
        <v>36380849.7751556</v>
      </c>
      <c r="N42" s="12" t="n">
        <f aca="false">J42/(J42+I42+K42)</f>
        <v>0</v>
      </c>
      <c r="O42" s="19" t="n">
        <f aca="false">IF(M42&gt;M42,1,0)</f>
        <v>0</v>
      </c>
      <c r="P42" s="18" t="str">
        <f aca="false">IF(H42&lt;0,"SHORT","ok")</f>
        <v>ok</v>
      </c>
      <c r="R42" s="19" t="n">
        <v>35</v>
      </c>
      <c r="S42" s="19" t="n">
        <f aca="false">S41+1</f>
        <v>92</v>
      </c>
      <c r="T42" s="19" t="n">
        <f aca="false">T41+1</f>
        <v>2060</v>
      </c>
      <c r="U42" s="13" t="n">
        <f aca="false">IF(Inputs!$B$15="B",Inputs!$D$53,Inputs!$C$53)</f>
        <v>0.38</v>
      </c>
      <c r="V42" s="11" t="n">
        <f aca="false">Z41</f>
        <v>0</v>
      </c>
      <c r="W42" s="11" t="n">
        <f aca="false">IF(R42&lt;=$W$4,V42/($W$4-R42+1),0)</f>
        <v>0</v>
      </c>
      <c r="X42" s="11" t="n">
        <f aca="false">W42*U42</f>
        <v>0</v>
      </c>
      <c r="Y42" s="11" t="n">
        <f aca="false">AB41-X42</f>
        <v>7171710.53708351</v>
      </c>
      <c r="Z42" s="11" t="n">
        <f aca="false">(V42-W42)*(1+Inputs!$B$4)</f>
        <v>0</v>
      </c>
      <c r="AA42" s="11" t="n">
        <f aca="false">(AA41+W42)*(1+Inputs!$B$4)</f>
        <v>32317802.375274</v>
      </c>
      <c r="AB42" s="11" t="n">
        <f aca="false">Y42*(1+Inputs!$B$4*(1-Inputs!$B$8))</f>
        <v>7853023.03810644</v>
      </c>
      <c r="AC42" s="11" t="n">
        <f aca="false">IF(AB41&lt;=0,0,AC41*Y42/AB41)</f>
        <v>327750</v>
      </c>
      <c r="AD42" s="11" t="n">
        <f aca="false">AA42+Z42*(1-Inputs!$B$6)+AB42-(AB42-AC42)*Inputs!$B$9</f>
        <v>38214254.4234727</v>
      </c>
      <c r="AE42" s="12" t="n">
        <f aca="false">AA42/(AA42+Z42+AB42)</f>
        <v>0.804509293565805</v>
      </c>
      <c r="AF42" s="19" t="n">
        <f aca="false">IF(AD42&gt;M42,1,0)</f>
        <v>1</v>
      </c>
      <c r="AG42" s="18" t="str">
        <f aca="false">IF(Y42&lt;0,"SHORT","ok")</f>
        <v>ok</v>
      </c>
      <c r="AI42" s="19" t="n">
        <v>35</v>
      </c>
      <c r="AJ42" s="19" t="n">
        <f aca="false">AJ41+1</f>
        <v>92</v>
      </c>
      <c r="AK42" s="19" t="n">
        <f aca="false">AK41+1</f>
        <v>2060</v>
      </c>
      <c r="AL42" s="13" t="n">
        <f aca="false">IF(Inputs!$B$15="B",Inputs!$D$53,Inputs!$C$53)</f>
        <v>0.38</v>
      </c>
      <c r="AM42" s="11" t="n">
        <f aca="false">AQ41</f>
        <v>0</v>
      </c>
      <c r="AN42" s="11" t="n">
        <f aca="false">IF(AI42&lt;=$AN$4,AM42/($AN$4-AI42+1),0)</f>
        <v>0</v>
      </c>
      <c r="AO42" s="11" t="n">
        <f aca="false">AN42*AL42</f>
        <v>0</v>
      </c>
      <c r="AP42" s="11" t="n">
        <f aca="false">AS41-AO42</f>
        <v>7127980.69609324</v>
      </c>
      <c r="AQ42" s="11" t="n">
        <f aca="false">(AM42-AN42)*(1+Inputs!$B$4)</f>
        <v>0</v>
      </c>
      <c r="AR42" s="11" t="n">
        <f aca="false">(AR41+AN42)*(1+Inputs!$B$4)</f>
        <v>32317802.375274</v>
      </c>
      <c r="AS42" s="11" t="n">
        <f aca="false">AP42*(1+Inputs!$B$4*(1-Inputs!$B$8))</f>
        <v>7805138.8622221</v>
      </c>
      <c r="AT42" s="11" t="n">
        <f aca="false">IF(AS41&lt;=0,0,AT41*AP42/AS41)</f>
        <v>325751.529020107</v>
      </c>
      <c r="AU42" s="11" t="n">
        <f aca="false">AR42+AQ42*(1-Inputs!$B$6)+AS42-(AS42-AT42)*Inputs!$B$9</f>
        <v>38178300.5308636</v>
      </c>
      <c r="AV42" s="12" t="n">
        <f aca="false">AR42/(AR42+AQ42+AS42)</f>
        <v>0.805469424187478</v>
      </c>
      <c r="AW42" s="19" t="n">
        <f aca="false">IF(AU42&gt;M42,1,0)</f>
        <v>1</v>
      </c>
      <c r="AX42" s="18" t="str">
        <f aca="false">IF(AP42&lt;0,"SHORT","ok")</f>
        <v>ok</v>
      </c>
      <c r="AZ42" s="19" t="n">
        <v>35</v>
      </c>
      <c r="BA42" s="19" t="n">
        <f aca="false">BA41+1</f>
        <v>92</v>
      </c>
      <c r="BB42" s="19" t="n">
        <f aca="false">BB41+1</f>
        <v>2060</v>
      </c>
      <c r="BC42" s="13" t="n">
        <f aca="false">IF(Inputs!$B$15="B",Inputs!$D$53,Inputs!$C$53)</f>
        <v>0.38</v>
      </c>
      <c r="BD42" s="11" t="n">
        <f aca="false">BH41</f>
        <v>0</v>
      </c>
      <c r="BE42" s="11" t="n">
        <f aca="false">IF(AZ42&lt;=$BE$4,BD42/($BE$4-AZ42+1),0)</f>
        <v>0</v>
      </c>
      <c r="BF42" s="11" t="n">
        <f aca="false">BE42*BC42</f>
        <v>0</v>
      </c>
      <c r="BG42" s="11" t="n">
        <f aca="false">BJ41-BF42</f>
        <v>7083984.10897845</v>
      </c>
      <c r="BH42" s="11" t="n">
        <f aca="false">(BD42-BE42)*(1+Inputs!$B$4)</f>
        <v>0</v>
      </c>
      <c r="BI42" s="11" t="n">
        <f aca="false">(BI41+BE42)*(1+Inputs!$B$4)</f>
        <v>32317802.375274</v>
      </c>
      <c r="BJ42" s="11" t="n">
        <f aca="false">BG42*(1+Inputs!$B$4*(1-Inputs!$B$8))</f>
        <v>7756962.59933141</v>
      </c>
      <c r="BK42" s="11" t="n">
        <f aca="false">IF(BJ41&lt;=0,0,BK41*BG42/BJ41)</f>
        <v>323740.86763712</v>
      </c>
      <c r="BL42" s="11" t="n">
        <f aca="false">BI42+BH42*(1-Inputs!$B$6)+BJ42-(BJ42-BK42)*Inputs!$B$9</f>
        <v>38142127.3243649</v>
      </c>
      <c r="BM42" s="12" t="n">
        <f aca="false">BI42/(BI42+BH42+BJ42)</f>
        <v>0.806437726977392</v>
      </c>
      <c r="BN42" s="19" t="n">
        <f aca="false">IF(BL42&gt;M42,1,0)</f>
        <v>1</v>
      </c>
      <c r="BO42" s="18" t="str">
        <f aca="false">IF(BG42&lt;0,"SHORT","ok")</f>
        <v>ok</v>
      </c>
      <c r="BQ42" s="19" t="n">
        <v>35</v>
      </c>
      <c r="BR42" s="19" t="n">
        <f aca="false">BR41+1</f>
        <v>92</v>
      </c>
      <c r="BS42" s="19" t="n">
        <f aca="false">BS41+1</f>
        <v>2060</v>
      </c>
      <c r="BT42" s="13" t="n">
        <f aca="false">IF(Inputs!$B$15="B",Inputs!$D$53,Inputs!$C$53)</f>
        <v>0.38</v>
      </c>
      <c r="BU42" s="11" t="n">
        <f aca="false">BY41</f>
        <v>0</v>
      </c>
      <c r="BV42" s="11" t="n">
        <f aca="false">IF(BQ42&lt;=$BV$4,BU42/($BV$4-BQ42+1),0)</f>
        <v>0</v>
      </c>
      <c r="BW42" s="11" t="n">
        <f aca="false">BV42*BT42</f>
        <v>0</v>
      </c>
      <c r="BX42" s="11" t="n">
        <f aca="false">CA41-BW42</f>
        <v>7017485.07082278</v>
      </c>
      <c r="BY42" s="11" t="n">
        <f aca="false">(BU42-BV42)*(1+Inputs!$B$4)</f>
        <v>0</v>
      </c>
      <c r="BZ42" s="11" t="n">
        <f aca="false">(BZ41+BV42)*(1+Inputs!$B$4)</f>
        <v>32317802.375274</v>
      </c>
      <c r="CA42" s="11" t="n">
        <f aca="false">BX42*(1+Inputs!$B$4*(1-Inputs!$B$8))</f>
        <v>7684146.15255094</v>
      </c>
      <c r="CB42" s="11" t="n">
        <f aca="false">IF(CA41&lt;=0,0,CB41*BX42/CA41)</f>
        <v>320701.835366809</v>
      </c>
      <c r="CC42" s="11" t="n">
        <f aca="false">BZ42+BY42*(1-Inputs!$B$6)+CA42-(CA42-CB42)*Inputs!$B$9</f>
        <v>38087453.0053571</v>
      </c>
      <c r="CD42" s="12" t="n">
        <f aca="false">BZ42/(BZ42+BY42+CA42)</f>
        <v>0.80790570371326</v>
      </c>
      <c r="CE42" s="19" t="n">
        <f aca="false">IF(CC42&gt;M42,1,0)</f>
        <v>1</v>
      </c>
      <c r="CF42" s="18" t="str">
        <f aca="false">IF(BX42&lt;0,"SHORT","ok")</f>
        <v>ok</v>
      </c>
      <c r="CH42" s="19" t="n">
        <v>35</v>
      </c>
      <c r="CI42" s="19" t="n">
        <f aca="false">CI41+1</f>
        <v>92</v>
      </c>
      <c r="CJ42" s="19" t="n">
        <f aca="false">CJ41+1</f>
        <v>2060</v>
      </c>
      <c r="CK42" s="13" t="n">
        <f aca="false">IF(Inputs!$B$15="B",Inputs!$D$53,Inputs!$C$53)</f>
        <v>0.38</v>
      </c>
      <c r="CL42" s="11" t="n">
        <f aca="false">CP41</f>
        <v>0</v>
      </c>
      <c r="CM42" s="11" t="n">
        <f aca="false">IF(CH42&lt;=$CM$4,CL42/($CM$4-CH42+1),0)</f>
        <v>0</v>
      </c>
      <c r="CN42" s="11" t="n">
        <f aca="false">CM42*CK42</f>
        <v>0</v>
      </c>
      <c r="CO42" s="11" t="n">
        <f aca="false">CR41-CN42</f>
        <v>6972813.5793721</v>
      </c>
      <c r="CP42" s="11" t="n">
        <f aca="false">(CL42-CM42)*(1+Inputs!$B$4)</f>
        <v>0</v>
      </c>
      <c r="CQ42" s="11" t="n">
        <f aca="false">(CQ41+CM42)*(1+Inputs!$B$4)</f>
        <v>32317802.375274</v>
      </c>
      <c r="CR42" s="11" t="n">
        <f aca="false">CO42*(1+Inputs!$B$4*(1-Inputs!$B$8))</f>
        <v>7635230.86941245</v>
      </c>
      <c r="CS42" s="11" t="n">
        <f aca="false">IF(CR41&lt;=0,0,CS41*CO42/CR41)</f>
        <v>318660.330589497</v>
      </c>
      <c r="CT42" s="11" t="n">
        <f aca="false">CQ42+CP42*(1-Inputs!$B$6)+CR42-(CR42-CS42)*Inputs!$B$9</f>
        <v>38050724.9045925</v>
      </c>
      <c r="CU42" s="12" t="n">
        <f aca="false">CQ42/(CQ42+CP42+CR42)</f>
        <v>0.808894838530741</v>
      </c>
      <c r="CV42" s="19" t="n">
        <f aca="false">IF(CT42&gt;M42,1,0)</f>
        <v>1</v>
      </c>
      <c r="CW42" s="18" t="str">
        <f aca="false">IF(CO42&lt;0,"SHORT","ok")</f>
        <v>ok</v>
      </c>
    </row>
    <row r="43" customFormat="false" ht="15" hidden="false" customHeight="false" outlineLevel="0" collapsed="false">
      <c r="A43" s="19" t="n">
        <v>36</v>
      </c>
      <c r="B43" s="19" t="n">
        <f aca="false">B42+1</f>
        <v>93</v>
      </c>
      <c r="C43" s="19" t="n">
        <f aca="false">C42+1</f>
        <v>2061</v>
      </c>
      <c r="D43" s="13" t="n">
        <f aca="false">IF(Inputs!$B$15="B",Inputs!$D$54,Inputs!$C$54)</f>
        <v>0.38</v>
      </c>
      <c r="E43" s="11" t="n">
        <f aca="false">I42</f>
        <v>32317802.375274</v>
      </c>
      <c r="F43" s="11" t="n">
        <f aca="false">IF(A43&lt;=$F$4,E43/($F$4-A43+1),0)</f>
        <v>0</v>
      </c>
      <c r="G43" s="11" t="n">
        <f aca="false">F43*D43</f>
        <v>0</v>
      </c>
      <c r="H43" s="11" t="n">
        <f aca="false">K42-G43</f>
        <v>18323720.4222484</v>
      </c>
      <c r="I43" s="11" t="n">
        <f aca="false">(E43-F43)*(1+Inputs!$B$4)</f>
        <v>35549582.6128014</v>
      </c>
      <c r="J43" s="11" t="n">
        <f aca="false">(J42+F43)*(1+Inputs!$B$4)</f>
        <v>0</v>
      </c>
      <c r="K43" s="11" t="n">
        <f aca="false">H43*(1+Inputs!$B$4*(1-Inputs!$B$8))</f>
        <v>20064473.862362</v>
      </c>
      <c r="L43" s="11" t="n">
        <f aca="false">IF(K42&lt;=0,0,L42*H43/K42)</f>
        <v>764750</v>
      </c>
      <c r="M43" s="11" t="n">
        <f aca="false">J43+I43*(1-Inputs!$B$6)+K43-(K43-L43)*Inputs!$B$9</f>
        <v>39931253.4871088</v>
      </c>
      <c r="N43" s="12" t="n">
        <f aca="false">J43/(J43+I43+K43)</f>
        <v>0</v>
      </c>
      <c r="O43" s="19" t="n">
        <f aca="false">IF(M43&gt;M43,1,0)</f>
        <v>0</v>
      </c>
      <c r="P43" s="18" t="str">
        <f aca="false">IF(H43&lt;0,"SHORT","ok")</f>
        <v>ok</v>
      </c>
      <c r="R43" s="19" t="n">
        <v>36</v>
      </c>
      <c r="S43" s="19" t="n">
        <f aca="false">S42+1</f>
        <v>93</v>
      </c>
      <c r="T43" s="19" t="n">
        <f aca="false">T42+1</f>
        <v>2061</v>
      </c>
      <c r="U43" s="13" t="n">
        <f aca="false">IF(Inputs!$B$15="B",Inputs!$D$54,Inputs!$C$54)</f>
        <v>0.38</v>
      </c>
      <c r="V43" s="11" t="n">
        <f aca="false">Z42</f>
        <v>0</v>
      </c>
      <c r="W43" s="11" t="n">
        <f aca="false">IF(R43&lt;=$W$4,V43/($W$4-R43+1),0)</f>
        <v>0</v>
      </c>
      <c r="X43" s="11" t="n">
        <f aca="false">W43*U43</f>
        <v>0</v>
      </c>
      <c r="Y43" s="11" t="n">
        <f aca="false">AB42-X43</f>
        <v>7853023.03810644</v>
      </c>
      <c r="Z43" s="11" t="n">
        <f aca="false">(V43-W43)*(1+Inputs!$B$4)</f>
        <v>0</v>
      </c>
      <c r="AA43" s="11" t="n">
        <f aca="false">(AA42+W43)*(1+Inputs!$B$4)</f>
        <v>35549582.6128014</v>
      </c>
      <c r="AB43" s="11" t="n">
        <f aca="false">Y43*(1+Inputs!$B$4*(1-Inputs!$B$8))</f>
        <v>8599060.22672655</v>
      </c>
      <c r="AC43" s="11" t="n">
        <f aca="false">IF(AB42&lt;=0,0,AC42*Y43/AB42)</f>
        <v>327750</v>
      </c>
      <c r="AD43" s="11" t="n">
        <f aca="false">AA43+Z43*(1-Inputs!$B$6)+AB43-(AB43-AC43)*Inputs!$B$9</f>
        <v>41998102.180579</v>
      </c>
      <c r="AE43" s="12" t="n">
        <f aca="false">AA43/(AA43+Z43+AB43)</f>
        <v>0.805224811598795</v>
      </c>
      <c r="AF43" s="19" t="n">
        <f aca="false">IF(AD43&gt;M43,1,0)</f>
        <v>1</v>
      </c>
      <c r="AG43" s="18" t="str">
        <f aca="false">IF(Y43&lt;0,"SHORT","ok")</f>
        <v>ok</v>
      </c>
      <c r="AI43" s="19" t="n">
        <v>36</v>
      </c>
      <c r="AJ43" s="19" t="n">
        <f aca="false">AJ42+1</f>
        <v>93</v>
      </c>
      <c r="AK43" s="19" t="n">
        <f aca="false">AK42+1</f>
        <v>2061</v>
      </c>
      <c r="AL43" s="13" t="n">
        <f aca="false">IF(Inputs!$B$15="B",Inputs!$D$54,Inputs!$C$54)</f>
        <v>0.38</v>
      </c>
      <c r="AM43" s="11" t="n">
        <f aca="false">AQ42</f>
        <v>0</v>
      </c>
      <c r="AN43" s="11" t="n">
        <f aca="false">IF(AI43&lt;=$AN$4,AM43/($AN$4-AI43+1),0)</f>
        <v>0</v>
      </c>
      <c r="AO43" s="11" t="n">
        <f aca="false">AN43*AL43</f>
        <v>0</v>
      </c>
      <c r="AP43" s="11" t="n">
        <f aca="false">AS42-AO43</f>
        <v>7805138.8622221</v>
      </c>
      <c r="AQ43" s="11" t="n">
        <f aca="false">(AM43-AN43)*(1+Inputs!$B$4)</f>
        <v>0</v>
      </c>
      <c r="AR43" s="11" t="n">
        <f aca="false">(AR42+AN43)*(1+Inputs!$B$4)</f>
        <v>35549582.6128014</v>
      </c>
      <c r="AS43" s="11" t="n">
        <f aca="false">AP43*(1+Inputs!$B$4*(1-Inputs!$B$8))</f>
        <v>8546627.0541332</v>
      </c>
      <c r="AT43" s="11" t="n">
        <f aca="false">IF(AS42&lt;=0,0,AT42*AP43/AS42)</f>
        <v>325751.529020107</v>
      </c>
      <c r="AU43" s="11" t="n">
        <f aca="false">AR43+AQ43*(1-Inputs!$B$6)+AS43-(AS43-AT43)*Inputs!$B$9</f>
        <v>41958782.0304052</v>
      </c>
      <c r="AV43" s="12" t="n">
        <f aca="false">AR43/(AR43+AQ43+AS43)</f>
        <v>0.806182274651559</v>
      </c>
      <c r="AW43" s="19" t="n">
        <f aca="false">IF(AU43&gt;M43,1,0)</f>
        <v>1</v>
      </c>
      <c r="AX43" s="18" t="str">
        <f aca="false">IF(AP43&lt;0,"SHORT","ok")</f>
        <v>ok</v>
      </c>
      <c r="AZ43" s="19" t="n">
        <v>36</v>
      </c>
      <c r="BA43" s="19" t="n">
        <f aca="false">BA42+1</f>
        <v>93</v>
      </c>
      <c r="BB43" s="19" t="n">
        <f aca="false">BB42+1</f>
        <v>2061</v>
      </c>
      <c r="BC43" s="13" t="n">
        <f aca="false">IF(Inputs!$B$15="B",Inputs!$D$54,Inputs!$C$54)</f>
        <v>0.38</v>
      </c>
      <c r="BD43" s="11" t="n">
        <f aca="false">BH42</f>
        <v>0</v>
      </c>
      <c r="BE43" s="11" t="n">
        <f aca="false">IF(AZ43&lt;=$BE$4,BD43/($BE$4-AZ43+1),0)</f>
        <v>0</v>
      </c>
      <c r="BF43" s="11" t="n">
        <f aca="false">BE43*BC43</f>
        <v>0</v>
      </c>
      <c r="BG43" s="11" t="n">
        <f aca="false">BJ42-BF43</f>
        <v>7756962.59933141</v>
      </c>
      <c r="BH43" s="11" t="n">
        <f aca="false">(BD43-BE43)*(1+Inputs!$B$4)</f>
        <v>0</v>
      </c>
      <c r="BI43" s="11" t="n">
        <f aca="false">(BI42+BE43)*(1+Inputs!$B$4)</f>
        <v>35549582.6128014</v>
      </c>
      <c r="BJ43" s="11" t="n">
        <f aca="false">BG43*(1+Inputs!$B$4*(1-Inputs!$B$8))</f>
        <v>8493874.04626789</v>
      </c>
      <c r="BK43" s="11" t="n">
        <f aca="false">IF(BJ42&lt;=0,0,BK42*BG43/BJ42)</f>
        <v>323740.86763712</v>
      </c>
      <c r="BL43" s="11" t="n">
        <f aca="false">BI43+BH43*(1-Inputs!$B$6)+BJ43-(BJ43-BK43)*Inputs!$B$9</f>
        <v>41919222.0326253</v>
      </c>
      <c r="BM43" s="12" t="n">
        <f aca="false">BI43/(BI43+BH43+BJ43)</f>
        <v>0.807147878695873</v>
      </c>
      <c r="BN43" s="19" t="n">
        <f aca="false">IF(BL43&gt;M43,1,0)</f>
        <v>1</v>
      </c>
      <c r="BO43" s="18" t="str">
        <f aca="false">IF(BG43&lt;0,"SHORT","ok")</f>
        <v>ok</v>
      </c>
      <c r="BQ43" s="19" t="n">
        <v>36</v>
      </c>
      <c r="BR43" s="19" t="n">
        <f aca="false">BR42+1</f>
        <v>93</v>
      </c>
      <c r="BS43" s="19" t="n">
        <f aca="false">BS42+1</f>
        <v>2061</v>
      </c>
      <c r="BT43" s="13" t="n">
        <f aca="false">IF(Inputs!$B$15="B",Inputs!$D$54,Inputs!$C$54)</f>
        <v>0.38</v>
      </c>
      <c r="BU43" s="11" t="n">
        <f aca="false">BY42</f>
        <v>0</v>
      </c>
      <c r="BV43" s="11" t="n">
        <f aca="false">IF(BQ43&lt;=$BV$4,BU43/($BV$4-BQ43+1),0)</f>
        <v>0</v>
      </c>
      <c r="BW43" s="11" t="n">
        <f aca="false">BV43*BT43</f>
        <v>0</v>
      </c>
      <c r="BX43" s="11" t="n">
        <f aca="false">CA42-BW43</f>
        <v>7684146.15255094</v>
      </c>
      <c r="BY43" s="11" t="n">
        <f aca="false">(BU43-BV43)*(1+Inputs!$B$4)</f>
        <v>0</v>
      </c>
      <c r="BZ43" s="11" t="n">
        <f aca="false">(BZ42+BV43)*(1+Inputs!$B$4)</f>
        <v>35549582.6128014</v>
      </c>
      <c r="CA43" s="11" t="n">
        <f aca="false">BX43*(1+Inputs!$B$4*(1-Inputs!$B$8))</f>
        <v>8414140.03704328</v>
      </c>
      <c r="CB43" s="11" t="n">
        <f aca="false">IF(CA42&lt;=0,0,CB42*BX43/CA42)</f>
        <v>320701.835366809</v>
      </c>
      <c r="CC43" s="11" t="n">
        <f aca="false">BZ43+BY43*(1-Inputs!$B$6)+CA43-(CA43-CB43)*Inputs!$B$9</f>
        <v>41859428.7174088</v>
      </c>
      <c r="CD43" s="12" t="n">
        <f aca="false">BZ43/(BZ43+BY43+CA43)</f>
        <v>0.808611747825386</v>
      </c>
      <c r="CE43" s="19" t="n">
        <f aca="false">IF(CC43&gt;M43,1,0)</f>
        <v>1</v>
      </c>
      <c r="CF43" s="18" t="str">
        <f aca="false">IF(BX43&lt;0,"SHORT","ok")</f>
        <v>ok</v>
      </c>
      <c r="CH43" s="19" t="n">
        <v>36</v>
      </c>
      <c r="CI43" s="19" t="n">
        <f aca="false">CI42+1</f>
        <v>93</v>
      </c>
      <c r="CJ43" s="19" t="n">
        <f aca="false">CJ42+1</f>
        <v>2061</v>
      </c>
      <c r="CK43" s="13" t="n">
        <f aca="false">IF(Inputs!$B$15="B",Inputs!$D$54,Inputs!$C$54)</f>
        <v>0.38</v>
      </c>
      <c r="CL43" s="11" t="n">
        <f aca="false">CP42</f>
        <v>0</v>
      </c>
      <c r="CM43" s="11" t="n">
        <f aca="false">IF(CH43&lt;=$CM$4,CL43/($CM$4-CH43+1),0)</f>
        <v>0</v>
      </c>
      <c r="CN43" s="11" t="n">
        <f aca="false">CM43*CK43</f>
        <v>0</v>
      </c>
      <c r="CO43" s="11" t="n">
        <f aca="false">CR42-CN43</f>
        <v>7635230.86941245</v>
      </c>
      <c r="CP43" s="11" t="n">
        <f aca="false">(CL43-CM43)*(1+Inputs!$B$4)</f>
        <v>0</v>
      </c>
      <c r="CQ43" s="11" t="n">
        <f aca="false">(CQ42+CM43)*(1+Inputs!$B$4)</f>
        <v>35549582.6128014</v>
      </c>
      <c r="CR43" s="11" t="n">
        <f aca="false">CO43*(1+Inputs!$B$4*(1-Inputs!$B$8))</f>
        <v>8360577.80200664</v>
      </c>
      <c r="CS43" s="11" t="n">
        <f aca="false">IF(CR42&lt;=0,0,CS42*CO43/CR42)</f>
        <v>318660.330589497</v>
      </c>
      <c r="CT43" s="11" t="n">
        <f aca="false">CQ43+CP43*(1-Inputs!$B$6)+CR43-(CR43-CS43)*Inputs!$B$9</f>
        <v>41819261.8722395</v>
      </c>
      <c r="CU43" s="12" t="n">
        <f aca="false">CQ43/(CQ43+CP43+CR43)</f>
        <v>0.809598103877863</v>
      </c>
      <c r="CV43" s="19" t="n">
        <f aca="false">IF(CT43&gt;M43,1,0)</f>
        <v>1</v>
      </c>
      <c r="CW43" s="18" t="str">
        <f aca="false">IF(CO43&lt;0,"SHORT","ok")</f>
        <v>ok</v>
      </c>
    </row>
    <row r="44" customFormat="false" ht="15" hidden="false" customHeight="false" outlineLevel="0" collapsed="false">
      <c r="A44" s="19" t="n">
        <v>37</v>
      </c>
      <c r="B44" s="19" t="n">
        <f aca="false">B43+1</f>
        <v>94</v>
      </c>
      <c r="C44" s="19" t="n">
        <f aca="false">C43+1</f>
        <v>2062</v>
      </c>
      <c r="D44" s="13" t="n">
        <f aca="false">IF(Inputs!$B$15="B",Inputs!$D$55,Inputs!$C$55)</f>
        <v>0.38</v>
      </c>
      <c r="E44" s="11" t="n">
        <f aca="false">I43</f>
        <v>35549582.6128014</v>
      </c>
      <c r="F44" s="11" t="n">
        <f aca="false">IF(A44&lt;=$F$4,E44/($F$4-A44+1),0)</f>
        <v>0</v>
      </c>
      <c r="G44" s="11" t="n">
        <f aca="false">F44*D44</f>
        <v>0</v>
      </c>
      <c r="H44" s="11" t="n">
        <f aca="false">K43-G44</f>
        <v>20064473.862362</v>
      </c>
      <c r="I44" s="11" t="n">
        <f aca="false">(E44-F44)*(1+Inputs!$B$4)</f>
        <v>39104540.8740815</v>
      </c>
      <c r="J44" s="11" t="n">
        <f aca="false">(J43+F44)*(1+Inputs!$B$4)</f>
        <v>0</v>
      </c>
      <c r="K44" s="11" t="n">
        <f aca="false">H44*(1+Inputs!$B$4*(1-Inputs!$B$8))</f>
        <v>21970598.8792863</v>
      </c>
      <c r="L44" s="11" t="n">
        <f aca="false">IF(K43&lt;=0,0,L43*H44/K43)</f>
        <v>764750</v>
      </c>
      <c r="M44" s="11" t="n">
        <f aca="false">J44+I44*(1-Inputs!$B$6)+K44-(K44-L44)*Inputs!$B$9</f>
        <v>43830256.7825289</v>
      </c>
      <c r="N44" s="12" t="n">
        <f aca="false">J44/(J44+I44+K44)</f>
        <v>0</v>
      </c>
      <c r="O44" s="19" t="n">
        <f aca="false">IF(M44&gt;M44,1,0)</f>
        <v>0</v>
      </c>
      <c r="P44" s="18" t="str">
        <f aca="false">IF(H44&lt;0,"SHORT","ok")</f>
        <v>ok</v>
      </c>
      <c r="R44" s="19" t="n">
        <v>37</v>
      </c>
      <c r="S44" s="19" t="n">
        <f aca="false">S43+1</f>
        <v>94</v>
      </c>
      <c r="T44" s="19" t="n">
        <f aca="false">T43+1</f>
        <v>2062</v>
      </c>
      <c r="U44" s="13" t="n">
        <f aca="false">IF(Inputs!$B$15="B",Inputs!$D$55,Inputs!$C$55)</f>
        <v>0.38</v>
      </c>
      <c r="V44" s="11" t="n">
        <f aca="false">Z43</f>
        <v>0</v>
      </c>
      <c r="W44" s="11" t="n">
        <f aca="false">IF(R44&lt;=$W$4,V44/($W$4-R44+1),0)</f>
        <v>0</v>
      </c>
      <c r="X44" s="11" t="n">
        <f aca="false">W44*U44</f>
        <v>0</v>
      </c>
      <c r="Y44" s="11" t="n">
        <f aca="false">AB43-X44</f>
        <v>8599060.22672655</v>
      </c>
      <c r="Z44" s="11" t="n">
        <f aca="false">(V44-W44)*(1+Inputs!$B$4)</f>
        <v>0</v>
      </c>
      <c r="AA44" s="11" t="n">
        <f aca="false">(AA43+W44)*(1+Inputs!$B$4)</f>
        <v>39104540.8740815</v>
      </c>
      <c r="AB44" s="11" t="n">
        <f aca="false">Y44*(1+Inputs!$B$4*(1-Inputs!$B$8))</f>
        <v>9415970.94826558</v>
      </c>
      <c r="AC44" s="11" t="n">
        <f aca="false">IF(AB43&lt;=0,0,AC43*Y44/AB43)</f>
        <v>327750</v>
      </c>
      <c r="AD44" s="11" t="n">
        <f aca="false">AA44+Z44*(1-Inputs!$B$6)+AB44-(AB44-AC44)*Inputs!$B$9</f>
        <v>46157574.375798</v>
      </c>
      <c r="AE44" s="12" t="n">
        <f aca="false">AA44/(AA44+Z44+AB44)</f>
        <v>0.805938342473773</v>
      </c>
      <c r="AF44" s="19" t="n">
        <f aca="false">IF(AD44&gt;M44,1,0)</f>
        <v>1</v>
      </c>
      <c r="AG44" s="18" t="str">
        <f aca="false">IF(Y44&lt;0,"SHORT","ok")</f>
        <v>ok</v>
      </c>
      <c r="AI44" s="19" t="n">
        <v>37</v>
      </c>
      <c r="AJ44" s="19" t="n">
        <f aca="false">AJ43+1</f>
        <v>94</v>
      </c>
      <c r="AK44" s="19" t="n">
        <f aca="false">AK43+1</f>
        <v>2062</v>
      </c>
      <c r="AL44" s="13" t="n">
        <f aca="false">IF(Inputs!$B$15="B",Inputs!$D$55,Inputs!$C$55)</f>
        <v>0.38</v>
      </c>
      <c r="AM44" s="11" t="n">
        <f aca="false">AQ43</f>
        <v>0</v>
      </c>
      <c r="AN44" s="11" t="n">
        <f aca="false">IF(AI44&lt;=$AN$4,AM44/($AN$4-AI44+1),0)</f>
        <v>0</v>
      </c>
      <c r="AO44" s="11" t="n">
        <f aca="false">AN44*AL44</f>
        <v>0</v>
      </c>
      <c r="AP44" s="11" t="n">
        <f aca="false">AS43-AO44</f>
        <v>8546627.0541332</v>
      </c>
      <c r="AQ44" s="11" t="n">
        <f aca="false">(AM44-AN44)*(1+Inputs!$B$4)</f>
        <v>0</v>
      </c>
      <c r="AR44" s="11" t="n">
        <f aca="false">(AR43+AN44)*(1+Inputs!$B$4)</f>
        <v>39104540.8740815</v>
      </c>
      <c r="AS44" s="11" t="n">
        <f aca="false">AP44*(1+Inputs!$B$4*(1-Inputs!$B$8))</f>
        <v>9358556.62427586</v>
      </c>
      <c r="AT44" s="11" t="n">
        <f aca="false">IF(AS43&lt;=0,0,AT43*AP44/AS43)</f>
        <v>325751.529020107</v>
      </c>
      <c r="AU44" s="11" t="n">
        <f aca="false">AR44+AQ44*(1-Inputs!$B$6)+AS44-(AS44-AT44)*Inputs!$B$9</f>
        <v>46114568.1735909</v>
      </c>
      <c r="AV44" s="12" t="n">
        <f aca="false">AR44/(AR44+AQ44+AS44)</f>
        <v>0.806893139164432</v>
      </c>
      <c r="AW44" s="19" t="n">
        <f aca="false">IF(AU44&gt;M44,1,0)</f>
        <v>1</v>
      </c>
      <c r="AX44" s="18" t="str">
        <f aca="false">IF(AP44&lt;0,"SHORT","ok")</f>
        <v>ok</v>
      </c>
      <c r="AZ44" s="19" t="n">
        <v>37</v>
      </c>
      <c r="BA44" s="19" t="n">
        <f aca="false">BA43+1</f>
        <v>94</v>
      </c>
      <c r="BB44" s="19" t="n">
        <f aca="false">BB43+1</f>
        <v>2062</v>
      </c>
      <c r="BC44" s="13" t="n">
        <f aca="false">IF(Inputs!$B$15="B",Inputs!$D$55,Inputs!$C$55)</f>
        <v>0.38</v>
      </c>
      <c r="BD44" s="11" t="n">
        <f aca="false">BH43</f>
        <v>0</v>
      </c>
      <c r="BE44" s="11" t="n">
        <f aca="false">IF(AZ44&lt;=$BE$4,BD44/($BE$4-AZ44+1),0)</f>
        <v>0</v>
      </c>
      <c r="BF44" s="11" t="n">
        <f aca="false">BE44*BC44</f>
        <v>0</v>
      </c>
      <c r="BG44" s="11" t="n">
        <f aca="false">BJ43-BF44</f>
        <v>8493874.04626789</v>
      </c>
      <c r="BH44" s="11" t="n">
        <f aca="false">(BD44-BE44)*(1+Inputs!$B$4)</f>
        <v>0</v>
      </c>
      <c r="BI44" s="11" t="n">
        <f aca="false">(BI43+BE44)*(1+Inputs!$B$4)</f>
        <v>39104540.8740815</v>
      </c>
      <c r="BJ44" s="11" t="n">
        <f aca="false">BG44*(1+Inputs!$B$4*(1-Inputs!$B$8))</f>
        <v>9300792.08066334</v>
      </c>
      <c r="BK44" s="11" t="n">
        <f aca="false">IF(BJ43&lt;=0,0,BK43*BG44/BJ43)</f>
        <v>323740.86763712</v>
      </c>
      <c r="BL44" s="11" t="n">
        <f aca="false">BI44+BH44*(1-Inputs!$B$6)+BJ44-(BJ44-BK44)*Inputs!$B$9</f>
        <v>46071299.6393581</v>
      </c>
      <c r="BM44" s="12" t="n">
        <f aca="false">BI44/(BI44+BH44+BJ44)</f>
        <v>0.807856045751016</v>
      </c>
      <c r="BN44" s="19" t="n">
        <f aca="false">IF(BL44&gt;M44,1,0)</f>
        <v>1</v>
      </c>
      <c r="BO44" s="18" t="str">
        <f aca="false">IF(BG44&lt;0,"SHORT","ok")</f>
        <v>ok</v>
      </c>
      <c r="BQ44" s="19" t="n">
        <v>37</v>
      </c>
      <c r="BR44" s="19" t="n">
        <f aca="false">BR43+1</f>
        <v>94</v>
      </c>
      <c r="BS44" s="19" t="n">
        <f aca="false">BS43+1</f>
        <v>2062</v>
      </c>
      <c r="BT44" s="13" t="n">
        <f aca="false">IF(Inputs!$B$15="B",Inputs!$D$55,Inputs!$C$55)</f>
        <v>0.38</v>
      </c>
      <c r="BU44" s="11" t="n">
        <f aca="false">BY43</f>
        <v>0</v>
      </c>
      <c r="BV44" s="11" t="n">
        <f aca="false">IF(BQ44&lt;=$BV$4,BU44/($BV$4-BQ44+1),0)</f>
        <v>0</v>
      </c>
      <c r="BW44" s="11" t="n">
        <f aca="false">BV44*BT44</f>
        <v>0</v>
      </c>
      <c r="BX44" s="11" t="n">
        <f aca="false">CA43-BW44</f>
        <v>8414140.03704328</v>
      </c>
      <c r="BY44" s="11" t="n">
        <f aca="false">(BU44-BV44)*(1+Inputs!$B$4)</f>
        <v>0</v>
      </c>
      <c r="BZ44" s="11" t="n">
        <f aca="false">(BZ43+BV44)*(1+Inputs!$B$4)</f>
        <v>39104540.8740815</v>
      </c>
      <c r="CA44" s="11" t="n">
        <f aca="false">BX44*(1+Inputs!$B$4*(1-Inputs!$B$8))</f>
        <v>9213483.34056239</v>
      </c>
      <c r="CB44" s="11" t="n">
        <f aca="false">IF(CA43&lt;=0,0,CB43*BX44/CA43)</f>
        <v>320701.835366809</v>
      </c>
      <c r="CC44" s="11" t="n">
        <f aca="false">BZ44+BY44*(1-Inputs!$B$6)+CA44-(CA44-CB44)*Inputs!$B$9</f>
        <v>46005901.0232931</v>
      </c>
      <c r="CD44" s="12" t="n">
        <f aca="false">BZ44/(BZ44+BY44+CA44)</f>
        <v>0.809315809362709</v>
      </c>
      <c r="CE44" s="19" t="n">
        <f aca="false">IF(CC44&gt;M44,1,0)</f>
        <v>1</v>
      </c>
      <c r="CF44" s="18" t="str">
        <f aca="false">IF(BX44&lt;0,"SHORT","ok")</f>
        <v>ok</v>
      </c>
      <c r="CH44" s="19" t="n">
        <v>37</v>
      </c>
      <c r="CI44" s="19" t="n">
        <f aca="false">CI43+1</f>
        <v>94</v>
      </c>
      <c r="CJ44" s="19" t="n">
        <f aca="false">CJ43+1</f>
        <v>2062</v>
      </c>
      <c r="CK44" s="13" t="n">
        <f aca="false">IF(Inputs!$B$15="B",Inputs!$D$55,Inputs!$C$55)</f>
        <v>0.38</v>
      </c>
      <c r="CL44" s="11" t="n">
        <f aca="false">CP43</f>
        <v>0</v>
      </c>
      <c r="CM44" s="11" t="n">
        <f aca="false">IF(CH44&lt;=$CM$4,CL44/($CM$4-CH44+1),0)</f>
        <v>0</v>
      </c>
      <c r="CN44" s="11" t="n">
        <f aca="false">CM44*CK44</f>
        <v>0</v>
      </c>
      <c r="CO44" s="11" t="n">
        <f aca="false">CR43-CN44</f>
        <v>8360577.80200664</v>
      </c>
      <c r="CP44" s="11" t="n">
        <f aca="false">(CL44-CM44)*(1+Inputs!$B$4)</f>
        <v>0</v>
      </c>
      <c r="CQ44" s="11" t="n">
        <f aca="false">(CQ43+CM44)*(1+Inputs!$B$4)</f>
        <v>39104540.8740815</v>
      </c>
      <c r="CR44" s="11" t="n">
        <f aca="false">CO44*(1+Inputs!$B$4*(1-Inputs!$B$8))</f>
        <v>9154832.69319727</v>
      </c>
      <c r="CS44" s="11" t="n">
        <f aca="false">IF(CR43&lt;=0,0,CS43*CO44/CR43)</f>
        <v>318660.330589497</v>
      </c>
      <c r="CT44" s="11" t="n">
        <f aca="false">CQ44+CP44*(1-Inputs!$B$6)+CR44-(CR44-CS44)*Inputs!$B$9</f>
        <v>45961968.7530007</v>
      </c>
      <c r="CU44" s="12" t="n">
        <f aca="false">CQ44/(CQ44+CP44+CR44)</f>
        <v>0.810299388150274</v>
      </c>
      <c r="CV44" s="19" t="n">
        <f aca="false">IF(CT44&gt;M44,1,0)</f>
        <v>1</v>
      </c>
      <c r="CW44" s="18" t="str">
        <f aca="false">IF(CO44&lt;0,"SHORT","ok")</f>
        <v>ok</v>
      </c>
    </row>
    <row r="45" customFormat="false" ht="15" hidden="false" customHeight="false" outlineLevel="0" collapsed="false">
      <c r="A45" s="19" t="n">
        <v>38</v>
      </c>
      <c r="B45" s="19" t="n">
        <f aca="false">B44+1</f>
        <v>95</v>
      </c>
      <c r="C45" s="19" t="n">
        <f aca="false">C44+1</f>
        <v>2063</v>
      </c>
      <c r="D45" s="13" t="n">
        <f aca="false">IF(Inputs!$B$15="B",Inputs!$D$56,Inputs!$C$56)</f>
        <v>0.38</v>
      </c>
      <c r="E45" s="11" t="n">
        <f aca="false">I44</f>
        <v>39104540.8740815</v>
      </c>
      <c r="F45" s="11" t="n">
        <f aca="false">IF(A45&lt;=$F$4,E45/($F$4-A45+1),0)</f>
        <v>0</v>
      </c>
      <c r="G45" s="11" t="n">
        <f aca="false">F45*D45</f>
        <v>0</v>
      </c>
      <c r="H45" s="11" t="n">
        <f aca="false">K44-G45</f>
        <v>21970598.8792863</v>
      </c>
      <c r="I45" s="11" t="n">
        <f aca="false">(E45-F45)*(1+Inputs!$B$4)</f>
        <v>43014994.9614897</v>
      </c>
      <c r="J45" s="11" t="n">
        <f aca="false">(J44+F45)*(1+Inputs!$B$4)</f>
        <v>0</v>
      </c>
      <c r="K45" s="11" t="n">
        <f aca="false">H45*(1+Inputs!$B$4*(1-Inputs!$B$8))</f>
        <v>24057805.7728185</v>
      </c>
      <c r="L45" s="11" t="n">
        <f aca="false">IF(K44&lt;=0,0,L44*H45/K44)</f>
        <v>764750</v>
      </c>
      <c r="M45" s="11" t="n">
        <f aca="false">J45+I45*(1-Inputs!$B$6)+K45-(K45-L45)*Inputs!$B$9</f>
        <v>48112107.7449285</v>
      </c>
      <c r="N45" s="12" t="n">
        <f aca="false">J45/(J45+I45+K45)</f>
        <v>0</v>
      </c>
      <c r="O45" s="19" t="n">
        <f aca="false">IF(M45&gt;M45,1,0)</f>
        <v>0</v>
      </c>
      <c r="P45" s="18" t="str">
        <f aca="false">IF(H45&lt;0,"SHORT","ok")</f>
        <v>ok</v>
      </c>
      <c r="R45" s="19" t="n">
        <v>38</v>
      </c>
      <c r="S45" s="19" t="n">
        <f aca="false">S44+1</f>
        <v>95</v>
      </c>
      <c r="T45" s="19" t="n">
        <f aca="false">T44+1</f>
        <v>2063</v>
      </c>
      <c r="U45" s="13" t="n">
        <f aca="false">IF(Inputs!$B$15="B",Inputs!$D$56,Inputs!$C$56)</f>
        <v>0.38</v>
      </c>
      <c r="V45" s="11" t="n">
        <f aca="false">Z44</f>
        <v>0</v>
      </c>
      <c r="W45" s="11" t="n">
        <f aca="false">IF(R45&lt;=$W$4,V45/($W$4-R45+1),0)</f>
        <v>0</v>
      </c>
      <c r="X45" s="11" t="n">
        <f aca="false">W45*U45</f>
        <v>0</v>
      </c>
      <c r="Y45" s="11" t="n">
        <f aca="false">AB44-X45</f>
        <v>9415970.94826558</v>
      </c>
      <c r="Z45" s="11" t="n">
        <f aca="false">(V45-W45)*(1+Inputs!$B$4)</f>
        <v>0</v>
      </c>
      <c r="AA45" s="11" t="n">
        <f aca="false">(AA44+W45)*(1+Inputs!$B$4)</f>
        <v>43014994.9614897</v>
      </c>
      <c r="AB45" s="11" t="n">
        <f aca="false">Y45*(1+Inputs!$B$4*(1-Inputs!$B$8))</f>
        <v>10310488.1883508</v>
      </c>
      <c r="AC45" s="11" t="n">
        <f aca="false">IF(AB44&lt;=0,0,AC44*Y45/AB44)</f>
        <v>327750</v>
      </c>
      <c r="AD45" s="11" t="n">
        <f aca="false">AA45+Z45*(1-Inputs!$B$6)+AB45-(AB45-AC45)*Inputs!$B$9</f>
        <v>50729971.2208693</v>
      </c>
      <c r="AE45" s="12" t="n">
        <f aca="false">AA45/(AA45+Z45+AB45)</f>
        <v>0.806649887083458</v>
      </c>
      <c r="AF45" s="19" t="n">
        <f aca="false">IF(AD45&gt;M45,1,0)</f>
        <v>1</v>
      </c>
      <c r="AG45" s="18" t="str">
        <f aca="false">IF(Y45&lt;0,"SHORT","ok")</f>
        <v>ok</v>
      </c>
      <c r="AI45" s="19" t="n">
        <v>38</v>
      </c>
      <c r="AJ45" s="19" t="n">
        <f aca="false">AJ44+1</f>
        <v>95</v>
      </c>
      <c r="AK45" s="19" t="n">
        <f aca="false">AK44+1</f>
        <v>2063</v>
      </c>
      <c r="AL45" s="13" t="n">
        <f aca="false">IF(Inputs!$B$15="B",Inputs!$D$56,Inputs!$C$56)</f>
        <v>0.38</v>
      </c>
      <c r="AM45" s="11" t="n">
        <f aca="false">AQ44</f>
        <v>0</v>
      </c>
      <c r="AN45" s="11" t="n">
        <f aca="false">IF(AI45&lt;=$AN$4,AM45/($AN$4-AI45+1),0)</f>
        <v>0</v>
      </c>
      <c r="AO45" s="11" t="n">
        <f aca="false">AN45*AL45</f>
        <v>0</v>
      </c>
      <c r="AP45" s="11" t="n">
        <f aca="false">AS44-AO45</f>
        <v>9358556.62427586</v>
      </c>
      <c r="AQ45" s="11" t="n">
        <f aca="false">(AM45-AN45)*(1+Inputs!$B$4)</f>
        <v>0</v>
      </c>
      <c r="AR45" s="11" t="n">
        <f aca="false">(AR44+AN45)*(1+Inputs!$B$4)</f>
        <v>43014994.9614897</v>
      </c>
      <c r="AS45" s="11" t="n">
        <f aca="false">AP45*(1+Inputs!$B$4*(1-Inputs!$B$8))</f>
        <v>10247619.5035821</v>
      </c>
      <c r="AT45" s="11" t="n">
        <f aca="false">IF(AS44&lt;=0,0,AT44*AP45/AS44)</f>
        <v>325751.529020107</v>
      </c>
      <c r="AU45" s="11" t="n">
        <f aca="false">AR45+AQ45*(1-Inputs!$B$6)+AS45-(AS45-AT45)*Inputs!$B$9</f>
        <v>50682928.7916856</v>
      </c>
      <c r="AV45" s="12" t="n">
        <f aca="false">AR45/(AR45+AQ45+AS45)</f>
        <v>0.807602018667293</v>
      </c>
      <c r="AW45" s="19" t="n">
        <f aca="false">IF(AU45&gt;M45,1,0)</f>
        <v>1</v>
      </c>
      <c r="AX45" s="18" t="str">
        <f aca="false">IF(AP45&lt;0,"SHORT","ok")</f>
        <v>ok</v>
      </c>
      <c r="AZ45" s="19" t="n">
        <v>38</v>
      </c>
      <c r="BA45" s="19" t="n">
        <f aca="false">BA44+1</f>
        <v>95</v>
      </c>
      <c r="BB45" s="19" t="n">
        <f aca="false">BB44+1</f>
        <v>2063</v>
      </c>
      <c r="BC45" s="13" t="n">
        <f aca="false">IF(Inputs!$B$15="B",Inputs!$D$56,Inputs!$C$56)</f>
        <v>0.38</v>
      </c>
      <c r="BD45" s="11" t="n">
        <f aca="false">BH44</f>
        <v>0</v>
      </c>
      <c r="BE45" s="11" t="n">
        <f aca="false">IF(AZ45&lt;=$BE$4,BD45/($BE$4-AZ45+1),0)</f>
        <v>0</v>
      </c>
      <c r="BF45" s="11" t="n">
        <f aca="false">BE45*BC45</f>
        <v>0</v>
      </c>
      <c r="BG45" s="11" t="n">
        <f aca="false">BJ44-BF45</f>
        <v>9300792.08066334</v>
      </c>
      <c r="BH45" s="11" t="n">
        <f aca="false">(BD45-BE45)*(1+Inputs!$B$4)</f>
        <v>0</v>
      </c>
      <c r="BI45" s="11" t="n">
        <f aca="false">(BI44+BE45)*(1+Inputs!$B$4)</f>
        <v>43014994.9614897</v>
      </c>
      <c r="BJ45" s="11" t="n">
        <f aca="false">BG45*(1+Inputs!$B$4*(1-Inputs!$B$8))</f>
        <v>10184367.3283264</v>
      </c>
      <c r="BK45" s="11" t="n">
        <f aca="false">IF(BJ44&lt;=0,0,BK44*BG45/BJ44)</f>
        <v>323740.86763712</v>
      </c>
      <c r="BL45" s="11" t="n">
        <f aca="false">BI45+BH45*(1-Inputs!$B$6)+BJ45-(BJ45-BK45)*Inputs!$B$9</f>
        <v>50635599.4100369</v>
      </c>
      <c r="BM45" s="12" t="n">
        <f aca="false">BI45/(BI45+BH45+BJ45)</f>
        <v>0.808562229132661</v>
      </c>
      <c r="BN45" s="19" t="n">
        <f aca="false">IF(BL45&gt;M45,1,0)</f>
        <v>1</v>
      </c>
      <c r="BO45" s="18" t="str">
        <f aca="false">IF(BG45&lt;0,"SHORT","ok")</f>
        <v>ok</v>
      </c>
      <c r="BQ45" s="19" t="n">
        <v>38</v>
      </c>
      <c r="BR45" s="19" t="n">
        <f aca="false">BR44+1</f>
        <v>95</v>
      </c>
      <c r="BS45" s="19" t="n">
        <f aca="false">BS44+1</f>
        <v>2063</v>
      </c>
      <c r="BT45" s="13" t="n">
        <f aca="false">IF(Inputs!$B$15="B",Inputs!$D$56,Inputs!$C$56)</f>
        <v>0.38</v>
      </c>
      <c r="BU45" s="11" t="n">
        <f aca="false">BY44</f>
        <v>0</v>
      </c>
      <c r="BV45" s="11" t="n">
        <f aca="false">IF(BQ45&lt;=$BV$4,BU45/($BV$4-BQ45+1),0)</f>
        <v>0</v>
      </c>
      <c r="BW45" s="11" t="n">
        <f aca="false">BV45*BT45</f>
        <v>0</v>
      </c>
      <c r="BX45" s="11" t="n">
        <f aca="false">CA44-BW45</f>
        <v>9213483.34056239</v>
      </c>
      <c r="BY45" s="11" t="n">
        <f aca="false">(BU45-BV45)*(1+Inputs!$B$4)</f>
        <v>0</v>
      </c>
      <c r="BZ45" s="11" t="n">
        <f aca="false">(BZ44+BV45)*(1+Inputs!$B$4)</f>
        <v>43014994.9614897</v>
      </c>
      <c r="CA45" s="11" t="n">
        <f aca="false">BX45*(1+Inputs!$B$4*(1-Inputs!$B$8))</f>
        <v>10088764.2579158</v>
      </c>
      <c r="CB45" s="11" t="n">
        <f aca="false">IF(CA44&lt;=0,0,CB44*BX45/CA44)</f>
        <v>320701.835366809</v>
      </c>
      <c r="CC45" s="11" t="n">
        <f aca="false">BZ45+BY45*(1-Inputs!$B$6)+CA45-(CA45-CB45)*Inputs!$B$9</f>
        <v>50564062.9895428</v>
      </c>
      <c r="CD45" s="12" t="n">
        <f aca="false">BZ45/(BZ45+BY45+CA45)</f>
        <v>0.810017889388344</v>
      </c>
      <c r="CE45" s="19" t="n">
        <f aca="false">IF(CC45&gt;M45,1,0)</f>
        <v>1</v>
      </c>
      <c r="CF45" s="18" t="str">
        <f aca="false">IF(BX45&lt;0,"SHORT","ok")</f>
        <v>ok</v>
      </c>
      <c r="CH45" s="19" t="n">
        <v>38</v>
      </c>
      <c r="CI45" s="19" t="n">
        <f aca="false">CI44+1</f>
        <v>95</v>
      </c>
      <c r="CJ45" s="19" t="n">
        <f aca="false">CJ44+1</f>
        <v>2063</v>
      </c>
      <c r="CK45" s="13" t="n">
        <f aca="false">IF(Inputs!$B$15="B",Inputs!$D$56,Inputs!$C$56)</f>
        <v>0.38</v>
      </c>
      <c r="CL45" s="11" t="n">
        <f aca="false">CP44</f>
        <v>0</v>
      </c>
      <c r="CM45" s="11" t="n">
        <f aca="false">IF(CH45&lt;=$CM$4,CL45/($CM$4-CH45+1),0)</f>
        <v>0</v>
      </c>
      <c r="CN45" s="11" t="n">
        <f aca="false">CM45*CK45</f>
        <v>0</v>
      </c>
      <c r="CO45" s="11" t="n">
        <f aca="false">CR44-CN45</f>
        <v>9154832.69319727</v>
      </c>
      <c r="CP45" s="11" t="n">
        <f aca="false">(CL45-CM45)*(1+Inputs!$B$4)</f>
        <v>0</v>
      </c>
      <c r="CQ45" s="11" t="n">
        <f aca="false">(CQ44+CM45)*(1+Inputs!$B$4)</f>
        <v>43014994.9614897</v>
      </c>
      <c r="CR45" s="11" t="n">
        <f aca="false">CO45*(1+Inputs!$B$4*(1-Inputs!$B$8))</f>
        <v>10024541.799051</v>
      </c>
      <c r="CS45" s="11" t="n">
        <f aca="false">IF(CR44&lt;=0,0,CS44*CO45/CR44)</f>
        <v>318660.330589497</v>
      </c>
      <c r="CT45" s="11" t="n">
        <f aca="false">CQ45+CP45*(1-Inputs!$B$6)+CR45-(CR45-CS45)*Inputs!$B$9</f>
        <v>50516007.5787407</v>
      </c>
      <c r="CU45" s="12" t="n">
        <f aca="false">CQ45/(CQ45+CP45+CR45)</f>
        <v>0.810998692460133</v>
      </c>
      <c r="CV45" s="19" t="n">
        <f aca="false">IF(CT45&gt;M45,1,0)</f>
        <v>1</v>
      </c>
      <c r="CW45" s="18" t="str">
        <f aca="false">IF(CO45&lt;0,"SHORT","ok")</f>
        <v>ok</v>
      </c>
    </row>
    <row r="46" customFormat="false" ht="15" hidden="false" customHeight="false" outlineLevel="0" collapsed="false">
      <c r="A46" s="19" t="n">
        <v>39</v>
      </c>
      <c r="B46" s="19" t="n">
        <f aca="false">B45+1</f>
        <v>96</v>
      </c>
      <c r="C46" s="19" t="n">
        <f aca="false">C45+1</f>
        <v>2064</v>
      </c>
      <c r="D46" s="13" t="n">
        <f aca="false">IF(Inputs!$B$15="B",Inputs!$D$57,Inputs!$C$57)</f>
        <v>0.38</v>
      </c>
      <c r="E46" s="11" t="n">
        <f aca="false">I45</f>
        <v>43014994.9614897</v>
      </c>
      <c r="F46" s="11" t="n">
        <f aca="false">IF(A46&lt;=$F$4,E46/($F$4-A46+1),0)</f>
        <v>0</v>
      </c>
      <c r="G46" s="11" t="n">
        <f aca="false">F46*D46</f>
        <v>0</v>
      </c>
      <c r="H46" s="11" t="n">
        <f aca="false">K45-G46</f>
        <v>24057805.7728185</v>
      </c>
      <c r="I46" s="11" t="n">
        <f aca="false">(E46-F46)*(1+Inputs!$B$4)</f>
        <v>47316494.4576386</v>
      </c>
      <c r="J46" s="11" t="n">
        <f aca="false">(J45+F46)*(1+Inputs!$B$4)</f>
        <v>0</v>
      </c>
      <c r="K46" s="11" t="n">
        <f aca="false">H46*(1+Inputs!$B$4*(1-Inputs!$B$8))</f>
        <v>26343297.3212363</v>
      </c>
      <c r="L46" s="11" t="n">
        <f aca="false">IF(K45&lt;=0,0,L45*H46/K45)</f>
        <v>764750</v>
      </c>
      <c r="M46" s="11" t="n">
        <f aca="false">J46+I46*(1-Inputs!$B$6)+K46-(K46-L46)*Inputs!$B$9</f>
        <v>52814421.1380619</v>
      </c>
      <c r="N46" s="12" t="n">
        <f aca="false">J46/(J46+I46+K46)</f>
        <v>0</v>
      </c>
      <c r="O46" s="19" t="n">
        <f aca="false">IF(M46&gt;M46,1,0)</f>
        <v>0</v>
      </c>
      <c r="P46" s="18" t="str">
        <f aca="false">IF(H46&lt;0,"SHORT","ok")</f>
        <v>ok</v>
      </c>
      <c r="R46" s="19" t="n">
        <v>39</v>
      </c>
      <c r="S46" s="19" t="n">
        <f aca="false">S45+1</f>
        <v>96</v>
      </c>
      <c r="T46" s="19" t="n">
        <f aca="false">T45+1</f>
        <v>2064</v>
      </c>
      <c r="U46" s="13" t="n">
        <f aca="false">IF(Inputs!$B$15="B",Inputs!$D$57,Inputs!$C$57)</f>
        <v>0.38</v>
      </c>
      <c r="V46" s="11" t="n">
        <f aca="false">Z45</f>
        <v>0</v>
      </c>
      <c r="W46" s="11" t="n">
        <f aca="false">IF(R46&lt;=$W$4,V46/($W$4-R46+1),0)</f>
        <v>0</v>
      </c>
      <c r="X46" s="11" t="n">
        <f aca="false">W46*U46</f>
        <v>0</v>
      </c>
      <c r="Y46" s="11" t="n">
        <f aca="false">AB45-X46</f>
        <v>10310488.1883508</v>
      </c>
      <c r="Z46" s="11" t="n">
        <f aca="false">(V46-W46)*(1+Inputs!$B$4)</f>
        <v>0</v>
      </c>
      <c r="AA46" s="11" t="n">
        <f aca="false">(AA45+W46)*(1+Inputs!$B$4)</f>
        <v>47316494.4576386</v>
      </c>
      <c r="AB46" s="11" t="n">
        <f aca="false">Y46*(1+Inputs!$B$4*(1-Inputs!$B$8))</f>
        <v>11289984.5662441</v>
      </c>
      <c r="AC46" s="11" t="n">
        <f aca="false">IF(AB45&lt;=0,0,AC45*Y46/AB45)</f>
        <v>327750</v>
      </c>
      <c r="AD46" s="11" t="n">
        <f aca="false">AA46+Z46*(1-Inputs!$B$6)+AB46-(AB46-AC46)*Inputs!$B$9</f>
        <v>55756298.0366593</v>
      </c>
      <c r="AE46" s="12" t="n">
        <f aca="false">AA46/(AA46+Z46+AB46)</f>
        <v>0.807359446356719</v>
      </c>
      <c r="AF46" s="19" t="n">
        <f aca="false">IF(AD46&gt;M46,1,0)</f>
        <v>1</v>
      </c>
      <c r="AG46" s="18" t="str">
        <f aca="false">IF(Y46&lt;0,"SHORT","ok")</f>
        <v>ok</v>
      </c>
      <c r="AI46" s="19" t="n">
        <v>39</v>
      </c>
      <c r="AJ46" s="19" t="n">
        <f aca="false">AJ45+1</f>
        <v>96</v>
      </c>
      <c r="AK46" s="19" t="n">
        <f aca="false">AK45+1</f>
        <v>2064</v>
      </c>
      <c r="AL46" s="13" t="n">
        <f aca="false">IF(Inputs!$B$15="B",Inputs!$D$57,Inputs!$C$57)</f>
        <v>0.38</v>
      </c>
      <c r="AM46" s="11" t="n">
        <f aca="false">AQ45</f>
        <v>0</v>
      </c>
      <c r="AN46" s="11" t="n">
        <f aca="false">IF(AI46&lt;=$AN$4,AM46/($AN$4-AI46+1),0)</f>
        <v>0</v>
      </c>
      <c r="AO46" s="11" t="n">
        <f aca="false">AN46*AL46</f>
        <v>0</v>
      </c>
      <c r="AP46" s="11" t="n">
        <f aca="false">AS45-AO46</f>
        <v>10247619.5035821</v>
      </c>
      <c r="AQ46" s="11" t="n">
        <f aca="false">(AM46-AN46)*(1+Inputs!$B$4)</f>
        <v>0</v>
      </c>
      <c r="AR46" s="11" t="n">
        <f aca="false">(AR45+AN46)*(1+Inputs!$B$4)</f>
        <v>47316494.4576387</v>
      </c>
      <c r="AS46" s="11" t="n">
        <f aca="false">AP46*(1+Inputs!$B$4*(1-Inputs!$B$8))</f>
        <v>11221143.3564224</v>
      </c>
      <c r="AT46" s="11" t="n">
        <f aca="false">IF(AS45&lt;=0,0,AT45*AP46/AS45)</f>
        <v>325751.529020107</v>
      </c>
      <c r="AU46" s="11" t="n">
        <f aca="false">AR46+AQ46*(1-Inputs!$B$6)+AS46-(AS46-AT46)*Inputs!$B$9</f>
        <v>55704835.9389364</v>
      </c>
      <c r="AV46" s="12" t="n">
        <f aca="false">AR46/(AR46+AQ46+AS46)</f>
        <v>0.808308914137171</v>
      </c>
      <c r="AW46" s="19" t="n">
        <f aca="false">IF(AU46&gt;M46,1,0)</f>
        <v>1</v>
      </c>
      <c r="AX46" s="18" t="str">
        <f aca="false">IF(AP46&lt;0,"SHORT","ok")</f>
        <v>ok</v>
      </c>
      <c r="AZ46" s="19" t="n">
        <v>39</v>
      </c>
      <c r="BA46" s="19" t="n">
        <f aca="false">BA45+1</f>
        <v>96</v>
      </c>
      <c r="BB46" s="19" t="n">
        <f aca="false">BB45+1</f>
        <v>2064</v>
      </c>
      <c r="BC46" s="13" t="n">
        <f aca="false">IF(Inputs!$B$15="B",Inputs!$D$57,Inputs!$C$57)</f>
        <v>0.38</v>
      </c>
      <c r="BD46" s="11" t="n">
        <f aca="false">BH45</f>
        <v>0</v>
      </c>
      <c r="BE46" s="11" t="n">
        <f aca="false">IF(AZ46&lt;=$BE$4,BD46/($BE$4-AZ46+1),0)</f>
        <v>0</v>
      </c>
      <c r="BF46" s="11" t="n">
        <f aca="false">BE46*BC46</f>
        <v>0</v>
      </c>
      <c r="BG46" s="11" t="n">
        <f aca="false">BJ45-BF46</f>
        <v>10184367.3283264</v>
      </c>
      <c r="BH46" s="11" t="n">
        <f aca="false">(BD46-BE46)*(1+Inputs!$B$4)</f>
        <v>0</v>
      </c>
      <c r="BI46" s="11" t="n">
        <f aca="false">(BI45+BE46)*(1+Inputs!$B$4)</f>
        <v>47316494.4576387</v>
      </c>
      <c r="BJ46" s="11" t="n">
        <f aca="false">BG46*(1+Inputs!$B$4*(1-Inputs!$B$8))</f>
        <v>11151882.2245174</v>
      </c>
      <c r="BK46" s="11" t="n">
        <f aca="false">IF(BJ45&lt;=0,0,BK45*BG46/BJ45)</f>
        <v>323740.86763712</v>
      </c>
      <c r="BL46" s="11" t="n">
        <f aca="false">BI46+BH46*(1-Inputs!$B$6)+BJ46-(BJ46-BK46)*Inputs!$B$9</f>
        <v>55653059.9293672</v>
      </c>
      <c r="BM46" s="12" t="n">
        <f aca="false">BI46/(BI46+BH46+BJ46)</f>
        <v>0.809266429866167</v>
      </c>
      <c r="BN46" s="19" t="n">
        <f aca="false">IF(BL46&gt;M46,1,0)</f>
        <v>1</v>
      </c>
      <c r="BO46" s="18" t="str">
        <f aca="false">IF(BG46&lt;0,"SHORT","ok")</f>
        <v>ok</v>
      </c>
      <c r="BQ46" s="19" t="n">
        <v>39</v>
      </c>
      <c r="BR46" s="19" t="n">
        <f aca="false">BR45+1</f>
        <v>96</v>
      </c>
      <c r="BS46" s="19" t="n">
        <f aca="false">BS45+1</f>
        <v>2064</v>
      </c>
      <c r="BT46" s="13" t="n">
        <f aca="false">IF(Inputs!$B$15="B",Inputs!$D$57,Inputs!$C$57)</f>
        <v>0.38</v>
      </c>
      <c r="BU46" s="11" t="n">
        <f aca="false">BY45</f>
        <v>0</v>
      </c>
      <c r="BV46" s="11" t="n">
        <f aca="false">IF(BQ46&lt;=$BV$4,BU46/($BV$4-BQ46+1),0)</f>
        <v>0</v>
      </c>
      <c r="BW46" s="11" t="n">
        <f aca="false">BV46*BT46</f>
        <v>0</v>
      </c>
      <c r="BX46" s="11" t="n">
        <f aca="false">CA45-BW46</f>
        <v>10088764.2579158</v>
      </c>
      <c r="BY46" s="11" t="n">
        <f aca="false">(BU46-BV46)*(1+Inputs!$B$4)</f>
        <v>0</v>
      </c>
      <c r="BZ46" s="11" t="n">
        <f aca="false">(BZ45+BV46)*(1+Inputs!$B$4)</f>
        <v>47316494.4576387</v>
      </c>
      <c r="CA46" s="11" t="n">
        <f aca="false">BX46*(1+Inputs!$B$4*(1-Inputs!$B$8))</f>
        <v>11047196.8624178</v>
      </c>
      <c r="CB46" s="11" t="n">
        <f aca="false">IF(CA45&lt;=0,0,CB45*BX46/CA45)</f>
        <v>320701.835366809</v>
      </c>
      <c r="CC46" s="11" t="n">
        <f aca="false">BZ46+BY46*(1-Inputs!$B$6)+CA46-(CA46-CB46)*Inputs!$B$9</f>
        <v>55574802.6130232</v>
      </c>
      <c r="CD46" s="12" t="n">
        <f aca="false">BZ46/(BZ46+BY46+CA46)</f>
        <v>0.810717989000441</v>
      </c>
      <c r="CE46" s="19" t="n">
        <f aca="false">IF(CC46&gt;M46,1,0)</f>
        <v>1</v>
      </c>
      <c r="CF46" s="18" t="str">
        <f aca="false">IF(BX46&lt;0,"SHORT","ok")</f>
        <v>ok</v>
      </c>
      <c r="CH46" s="19" t="n">
        <v>39</v>
      </c>
      <c r="CI46" s="19" t="n">
        <f aca="false">CI45+1</f>
        <v>96</v>
      </c>
      <c r="CJ46" s="19" t="n">
        <f aca="false">CJ45+1</f>
        <v>2064</v>
      </c>
      <c r="CK46" s="13" t="n">
        <f aca="false">IF(Inputs!$B$15="B",Inputs!$D$57,Inputs!$C$57)</f>
        <v>0.38</v>
      </c>
      <c r="CL46" s="11" t="n">
        <f aca="false">CP45</f>
        <v>0</v>
      </c>
      <c r="CM46" s="11" t="n">
        <f aca="false">IF(CH46&lt;=$CM$4,CL46/($CM$4-CH46+1),0)</f>
        <v>0</v>
      </c>
      <c r="CN46" s="11" t="n">
        <f aca="false">CM46*CK46</f>
        <v>0</v>
      </c>
      <c r="CO46" s="11" t="n">
        <f aca="false">CR45-CN46</f>
        <v>10024541.799051</v>
      </c>
      <c r="CP46" s="11" t="n">
        <f aca="false">(CL46-CM46)*(1+Inputs!$B$4)</f>
        <v>0</v>
      </c>
      <c r="CQ46" s="11" t="n">
        <f aca="false">(CQ45+CM46)*(1+Inputs!$B$4)</f>
        <v>47316494.4576386</v>
      </c>
      <c r="CR46" s="11" t="n">
        <f aca="false">CO46*(1+Inputs!$B$4*(1-Inputs!$B$8))</f>
        <v>10976873.2699609</v>
      </c>
      <c r="CS46" s="11" t="n">
        <f aca="false">IF(CR45&lt;=0,0,CS45*CO46/CR45)</f>
        <v>318660.330589497</v>
      </c>
      <c r="CT46" s="11" t="n">
        <f aca="false">CQ46+CP46*(1-Inputs!$B$6)+CR46-(CR46-CS46)*Inputs!$B$9</f>
        <v>55522232.3633629</v>
      </c>
      <c r="CU46" s="12" t="n">
        <f aca="false">CQ46/(CQ46+CP46+CR46)</f>
        <v>0.811696017954307</v>
      </c>
      <c r="CV46" s="19" t="n">
        <f aca="false">IF(CT46&gt;M46,1,0)</f>
        <v>1</v>
      </c>
      <c r="CW46" s="18" t="str">
        <f aca="false">IF(CO46&lt;0,"SHORT","ok")</f>
        <v>ok</v>
      </c>
    </row>
    <row r="47" customFormat="false" ht="15" hidden="false" customHeight="false" outlineLevel="0" collapsed="false">
      <c r="A47" s="19" t="n">
        <v>40</v>
      </c>
      <c r="B47" s="19" t="n">
        <f aca="false">B46+1</f>
        <v>97</v>
      </c>
      <c r="C47" s="19" t="n">
        <f aca="false">C46+1</f>
        <v>2065</v>
      </c>
      <c r="D47" s="13" t="n">
        <f aca="false">IF(Inputs!$B$15="B",Inputs!$D$58,Inputs!$C$58)</f>
        <v>0.38</v>
      </c>
      <c r="E47" s="11" t="n">
        <f aca="false">I46</f>
        <v>47316494.4576386</v>
      </c>
      <c r="F47" s="11" t="n">
        <f aca="false">IF(A47&lt;=$F$4,E47/($F$4-A47+1),0)</f>
        <v>0</v>
      </c>
      <c r="G47" s="11" t="n">
        <f aca="false">F47*D47</f>
        <v>0</v>
      </c>
      <c r="H47" s="11" t="n">
        <f aca="false">K46-G47</f>
        <v>26343297.3212363</v>
      </c>
      <c r="I47" s="11" t="n">
        <f aca="false">(E47-F47)*(1+Inputs!$B$4)</f>
        <v>52048143.9034025</v>
      </c>
      <c r="J47" s="11" t="n">
        <f aca="false">(J46+F47)*(1+Inputs!$B$4)</f>
        <v>0</v>
      </c>
      <c r="K47" s="11" t="n">
        <f aca="false">H47*(1+Inputs!$B$4*(1-Inputs!$B$8))</f>
        <v>28845910.5667538</v>
      </c>
      <c r="L47" s="11" t="n">
        <f aca="false">IF(K46&lt;=0,0,L46*H47/K46)</f>
        <v>764750</v>
      </c>
      <c r="M47" s="11" t="n">
        <f aca="false">J47+I47*(1-Inputs!$B$6)+K47-(K47-L47)*Inputs!$B$9</f>
        <v>57978509.5517795</v>
      </c>
      <c r="N47" s="12" t="n">
        <f aca="false">J47/(J47+I47+K47)</f>
        <v>0</v>
      </c>
      <c r="O47" s="19" t="n">
        <f aca="false">IF(M47&gt;M47,1,0)</f>
        <v>0</v>
      </c>
      <c r="P47" s="18" t="str">
        <f aca="false">IF(H47&lt;0,"SHORT","ok")</f>
        <v>ok</v>
      </c>
      <c r="R47" s="19" t="n">
        <v>40</v>
      </c>
      <c r="S47" s="19" t="n">
        <f aca="false">S46+1</f>
        <v>97</v>
      </c>
      <c r="T47" s="19" t="n">
        <f aca="false">T46+1</f>
        <v>2065</v>
      </c>
      <c r="U47" s="13" t="n">
        <f aca="false">IF(Inputs!$B$15="B",Inputs!$D$58,Inputs!$C$58)</f>
        <v>0.38</v>
      </c>
      <c r="V47" s="11" t="n">
        <f aca="false">Z46</f>
        <v>0</v>
      </c>
      <c r="W47" s="11" t="n">
        <f aca="false">IF(R47&lt;=$W$4,V47/($W$4-R47+1),0)</f>
        <v>0</v>
      </c>
      <c r="X47" s="11" t="n">
        <f aca="false">W47*U47</f>
        <v>0</v>
      </c>
      <c r="Y47" s="11" t="n">
        <f aca="false">AB46-X47</f>
        <v>11289984.5662441</v>
      </c>
      <c r="Z47" s="11" t="n">
        <f aca="false">(V47-W47)*(1+Inputs!$B$4)</f>
        <v>0</v>
      </c>
      <c r="AA47" s="11" t="n">
        <f aca="false">(AA46+W47)*(1+Inputs!$B$4)</f>
        <v>52048143.9034025</v>
      </c>
      <c r="AB47" s="11" t="n">
        <f aca="false">Y47*(1+Inputs!$B$4*(1-Inputs!$B$8))</f>
        <v>12362533.1000373</v>
      </c>
      <c r="AC47" s="11" t="n">
        <f aca="false">IF(AB46&lt;=0,0,AC46*Y47/AB46)</f>
        <v>327750</v>
      </c>
      <c r="AD47" s="11" t="n">
        <f aca="false">AA47+Z47*(1-Inputs!$B$6)+AB47-(AB47-AC47)*Inputs!$B$9</f>
        <v>61281633.3974301</v>
      </c>
      <c r="AE47" s="12" t="n">
        <f aca="false">AA47/(AA47+Z47+AB47)</f>
        <v>0.808067021258337</v>
      </c>
      <c r="AF47" s="19" t="n">
        <f aca="false">IF(AD47&gt;M47,1,0)</f>
        <v>1</v>
      </c>
      <c r="AG47" s="18" t="str">
        <f aca="false">IF(Y47&lt;0,"SHORT","ok")</f>
        <v>ok</v>
      </c>
      <c r="AI47" s="19" t="n">
        <v>40</v>
      </c>
      <c r="AJ47" s="19" t="n">
        <f aca="false">AJ46+1</f>
        <v>97</v>
      </c>
      <c r="AK47" s="19" t="n">
        <f aca="false">AK46+1</f>
        <v>2065</v>
      </c>
      <c r="AL47" s="13" t="n">
        <f aca="false">IF(Inputs!$B$15="B",Inputs!$D$58,Inputs!$C$58)</f>
        <v>0.38</v>
      </c>
      <c r="AM47" s="11" t="n">
        <f aca="false">AQ46</f>
        <v>0</v>
      </c>
      <c r="AN47" s="11" t="n">
        <f aca="false">IF(AI47&lt;=$AN$4,AM47/($AN$4-AI47+1),0)</f>
        <v>0</v>
      </c>
      <c r="AO47" s="11" t="n">
        <f aca="false">AN47*AL47</f>
        <v>0</v>
      </c>
      <c r="AP47" s="11" t="n">
        <f aca="false">AS46-AO47</f>
        <v>11221143.3564224</v>
      </c>
      <c r="AQ47" s="11" t="n">
        <f aca="false">(AM47-AN47)*(1+Inputs!$B$4)</f>
        <v>0</v>
      </c>
      <c r="AR47" s="11" t="n">
        <f aca="false">(AR46+AN47)*(1+Inputs!$B$4)</f>
        <v>52048143.9034025</v>
      </c>
      <c r="AS47" s="11" t="n">
        <f aca="false">AP47*(1+Inputs!$B$4*(1-Inputs!$B$8))</f>
        <v>12287151.9752825</v>
      </c>
      <c r="AT47" s="11" t="n">
        <f aca="false">IF(AS46&lt;=0,0,AT46*AP47/AS46)</f>
        <v>325751.529020107</v>
      </c>
      <c r="AU47" s="11" t="n">
        <f aca="false">AR47+AQ47*(1-Inputs!$B$6)+AS47-(AS47-AT47)*Inputs!$B$9</f>
        <v>61225331.7626568</v>
      </c>
      <c r="AV47" s="12" t="n">
        <f aca="false">AR47/(AR47+AQ47+AS47)</f>
        <v>0.8090138265867</v>
      </c>
      <c r="AW47" s="19" t="n">
        <f aca="false">IF(AU47&gt;M47,1,0)</f>
        <v>1</v>
      </c>
      <c r="AX47" s="18" t="str">
        <f aca="false">IF(AP47&lt;0,"SHORT","ok")</f>
        <v>ok</v>
      </c>
      <c r="AZ47" s="19" t="n">
        <v>40</v>
      </c>
      <c r="BA47" s="19" t="n">
        <f aca="false">BA46+1</f>
        <v>97</v>
      </c>
      <c r="BB47" s="19" t="n">
        <f aca="false">BB46+1</f>
        <v>2065</v>
      </c>
      <c r="BC47" s="13" t="n">
        <f aca="false">IF(Inputs!$B$15="B",Inputs!$D$58,Inputs!$C$58)</f>
        <v>0.38</v>
      </c>
      <c r="BD47" s="11" t="n">
        <f aca="false">BH46</f>
        <v>0</v>
      </c>
      <c r="BE47" s="11" t="n">
        <f aca="false">IF(AZ47&lt;=$BE$4,BD47/($BE$4-AZ47+1),0)</f>
        <v>0</v>
      </c>
      <c r="BF47" s="11" t="n">
        <f aca="false">BE47*BC47</f>
        <v>0</v>
      </c>
      <c r="BG47" s="11" t="n">
        <f aca="false">BJ46-BF47</f>
        <v>11151882.2245174</v>
      </c>
      <c r="BH47" s="11" t="n">
        <f aca="false">(BD47-BE47)*(1+Inputs!$B$4)</f>
        <v>0</v>
      </c>
      <c r="BI47" s="11" t="n">
        <f aca="false">(BI46+BE47)*(1+Inputs!$B$4)</f>
        <v>52048143.9034025</v>
      </c>
      <c r="BJ47" s="11" t="n">
        <f aca="false">BG47*(1+Inputs!$B$4*(1-Inputs!$B$8))</f>
        <v>12211311.0358465</v>
      </c>
      <c r="BK47" s="11" t="n">
        <f aca="false">IF(BJ46&lt;=0,0,BK46*BG47/BJ46)</f>
        <v>323740.86763712</v>
      </c>
      <c r="BL47" s="11" t="n">
        <f aca="false">BI47+BH47*(1-Inputs!$B$6)+BJ47-(BJ47-BK47)*Inputs!$B$9</f>
        <v>61168686.6955146</v>
      </c>
      <c r="BM47" s="12" t="n">
        <f aca="false">BI47/(BI47+BH47+BJ47)</f>
        <v>0.809968649012179</v>
      </c>
      <c r="BN47" s="19" t="n">
        <f aca="false">IF(BL47&gt;M47,1,0)</f>
        <v>1</v>
      </c>
      <c r="BO47" s="18" t="str">
        <f aca="false">IF(BG47&lt;0,"SHORT","ok")</f>
        <v>ok</v>
      </c>
      <c r="BQ47" s="19" t="n">
        <v>40</v>
      </c>
      <c r="BR47" s="19" t="n">
        <f aca="false">BR46+1</f>
        <v>97</v>
      </c>
      <c r="BS47" s="19" t="n">
        <f aca="false">BS46+1</f>
        <v>2065</v>
      </c>
      <c r="BT47" s="13" t="n">
        <f aca="false">IF(Inputs!$B$15="B",Inputs!$D$58,Inputs!$C$58)</f>
        <v>0.38</v>
      </c>
      <c r="BU47" s="11" t="n">
        <f aca="false">BY46</f>
        <v>0</v>
      </c>
      <c r="BV47" s="11" t="n">
        <f aca="false">IF(BQ47&lt;=$BV$4,BU47/($BV$4-BQ47+1),0)</f>
        <v>0</v>
      </c>
      <c r="BW47" s="11" t="n">
        <f aca="false">BV47*BT47</f>
        <v>0</v>
      </c>
      <c r="BX47" s="11" t="n">
        <f aca="false">CA46-BW47</f>
        <v>11047196.8624178</v>
      </c>
      <c r="BY47" s="11" t="n">
        <f aca="false">(BU47-BV47)*(1+Inputs!$B$4)</f>
        <v>0</v>
      </c>
      <c r="BZ47" s="11" t="n">
        <f aca="false">(BZ46+BV47)*(1+Inputs!$B$4)</f>
        <v>52048143.9034025</v>
      </c>
      <c r="CA47" s="11" t="n">
        <f aca="false">BX47*(1+Inputs!$B$4*(1-Inputs!$B$8))</f>
        <v>12096680.5643475</v>
      </c>
      <c r="CB47" s="11" t="n">
        <f aca="false">IF(CA46&lt;=0,0,CB46*BX47/CA46)</f>
        <v>320701.835366809</v>
      </c>
      <c r="CC47" s="11" t="n">
        <f aca="false">BZ47+BY47*(1-Inputs!$B$6)+CA47-(CA47-CB47)*Inputs!$B$9</f>
        <v>61083069.9982151</v>
      </c>
      <c r="CD47" s="12" t="n">
        <f aca="false">BZ47/(BZ47+BY47+CA47)</f>
        <v>0.811416109331949</v>
      </c>
      <c r="CE47" s="19" t="n">
        <f aca="false">IF(CC47&gt;M47,1,0)</f>
        <v>1</v>
      </c>
      <c r="CF47" s="18" t="str">
        <f aca="false">IF(BX47&lt;0,"SHORT","ok")</f>
        <v>ok</v>
      </c>
      <c r="CH47" s="19" t="n">
        <v>40</v>
      </c>
      <c r="CI47" s="19" t="n">
        <f aca="false">CI46+1</f>
        <v>97</v>
      </c>
      <c r="CJ47" s="19" t="n">
        <f aca="false">CJ46+1</f>
        <v>2065</v>
      </c>
      <c r="CK47" s="13" t="n">
        <f aca="false">IF(Inputs!$B$15="B",Inputs!$D$58,Inputs!$C$58)</f>
        <v>0.38</v>
      </c>
      <c r="CL47" s="11" t="n">
        <f aca="false">CP46</f>
        <v>0</v>
      </c>
      <c r="CM47" s="11" t="n">
        <f aca="false">IF(CH47&lt;=$CM$4,CL47/($CM$4-CH47+1),0)</f>
        <v>0</v>
      </c>
      <c r="CN47" s="11" t="n">
        <f aca="false">CM47*CK47</f>
        <v>0</v>
      </c>
      <c r="CO47" s="11" t="n">
        <f aca="false">CR46-CN47</f>
        <v>10976873.2699609</v>
      </c>
      <c r="CP47" s="11" t="n">
        <f aca="false">(CL47-CM47)*(1+Inputs!$B$4)</f>
        <v>0</v>
      </c>
      <c r="CQ47" s="11" t="n">
        <f aca="false">(CQ46+CM47)*(1+Inputs!$B$4)</f>
        <v>52048143.9034025</v>
      </c>
      <c r="CR47" s="11" t="n">
        <f aca="false">CO47*(1+Inputs!$B$4*(1-Inputs!$B$8))</f>
        <v>12019676.2306071</v>
      </c>
      <c r="CS47" s="11" t="n">
        <f aca="false">IF(CR46&lt;=0,0,CS46*CO47/CR46)</f>
        <v>318660.330589497</v>
      </c>
      <c r="CT47" s="11" t="n">
        <f aca="false">CQ47+CP47*(1-Inputs!$B$6)+CR47-(CR47-CS47)*Inputs!$B$9</f>
        <v>61025556.000005</v>
      </c>
      <c r="CU47" s="12" t="n">
        <f aca="false">CQ47/(CQ47+CP47+CR47)</f>
        <v>0.812391365814136</v>
      </c>
      <c r="CV47" s="19" t="n">
        <f aca="false">IF(CT47&gt;M47,1,0)</f>
        <v>1</v>
      </c>
      <c r="CW47" s="18" t="str">
        <f aca="false">IF(CO47&lt;0,"SHORT","ok")</f>
        <v>ok</v>
      </c>
    </row>
    <row r="49" customFormat="false" ht="15" hidden="false" customHeight="false" outlineLevel="0" collapsed="false">
      <c r="E49" s="8" t="s">
        <v>115</v>
      </c>
      <c r="F49" s="20" t="n">
        <f aca="false">SUM(F8:F47)</f>
        <v>0</v>
      </c>
      <c r="G49" s="20" t="n">
        <f aca="false">SUM(G8:G47)</f>
        <v>0</v>
      </c>
      <c r="H49" s="6" t="s">
        <v>116</v>
      </c>
      <c r="V49" s="8" t="s">
        <v>115</v>
      </c>
      <c r="W49" s="20" t="n">
        <f aca="false">SUM(W8:W47)</f>
        <v>1150000</v>
      </c>
      <c r="X49" s="20" t="n">
        <f aca="false">SUM(X8:X47)</f>
        <v>437000</v>
      </c>
      <c r="Y49" s="6" t="s">
        <v>116</v>
      </c>
      <c r="AM49" s="8" t="s">
        <v>115</v>
      </c>
      <c r="AN49" s="20" t="n">
        <f aca="false">SUM(AN8:AN47)</f>
        <v>1268833.33333333</v>
      </c>
      <c r="AO49" s="20" t="n">
        <f aca="false">SUM(AO8:AO47)</f>
        <v>482156.666666667</v>
      </c>
      <c r="AP49" s="6" t="s">
        <v>116</v>
      </c>
      <c r="BD49" s="8" t="s">
        <v>115</v>
      </c>
      <c r="BE49" s="20" t="n">
        <f aca="false">SUM(BE8:BE47)</f>
        <v>1404173</v>
      </c>
      <c r="BF49" s="20" t="n">
        <f aca="false">SUM(BF8:BF47)</f>
        <v>533585.74</v>
      </c>
      <c r="BG49" s="6" t="s">
        <v>116</v>
      </c>
      <c r="BU49" s="8" t="s">
        <v>115</v>
      </c>
      <c r="BV49" s="20" t="n">
        <f aca="false">SUM(BV8:BV47)</f>
        <v>1643908.914375</v>
      </c>
      <c r="BW49" s="20" t="n">
        <f aca="false">SUM(BW8:BW47)</f>
        <v>624685.3874625</v>
      </c>
      <c r="BX49" s="6" t="s">
        <v>116</v>
      </c>
      <c r="CL49" s="8" t="s">
        <v>115</v>
      </c>
      <c r="CM49" s="20" t="n">
        <f aca="false">SUM(CM8:CM47)</f>
        <v>1832803.829115</v>
      </c>
      <c r="CN49" s="20" t="n">
        <f aca="false">SUM(CN8:CN47)</f>
        <v>696465.4550637</v>
      </c>
      <c r="CO49" s="6" t="s">
        <v>116</v>
      </c>
    </row>
    <row r="50" customFormat="false" ht="15" hidden="false" customHeight="false" outlineLevel="0" collapsed="false">
      <c r="E50" s="18" t="s">
        <v>117</v>
      </c>
      <c r="F50" s="12" t="n">
        <f aca="false">IF(F49=0,0,G49/F49)</f>
        <v>0</v>
      </c>
      <c r="V50" s="18" t="s">
        <v>117</v>
      </c>
      <c r="W50" s="12" t="n">
        <f aca="false">IF(W49=0,0,X49/W49)</f>
        <v>0.38</v>
      </c>
      <c r="AM50" s="18" t="s">
        <v>117</v>
      </c>
      <c r="AN50" s="12" t="n">
        <f aca="false">IF(AN49=0,0,AO49/AN49)</f>
        <v>0.38</v>
      </c>
      <c r="BD50" s="18" t="s">
        <v>117</v>
      </c>
      <c r="BE50" s="12" t="n">
        <f aca="false">IF(BE49=0,0,BF49/BE49)</f>
        <v>0.38</v>
      </c>
      <c r="BU50" s="18" t="s">
        <v>117</v>
      </c>
      <c r="BV50" s="12" t="n">
        <f aca="false">IF(BV49=0,0,BW49/BV49)</f>
        <v>0.38</v>
      </c>
      <c r="CL50" s="18" t="s">
        <v>117</v>
      </c>
      <c r="CM50" s="12" t="n">
        <f aca="false">IF(CM49=0,0,CN49/CM49)</f>
        <v>0.38</v>
      </c>
    </row>
    <row r="51" customFormat="false" ht="15" hidden="false" customHeight="false" outlineLevel="0" collapsed="false">
      <c r="E51" s="18" t="s">
        <v>118</v>
      </c>
      <c r="F51" s="18" t="str">
        <f aca="false">IFERROR(INDEX(A8:A47,MATCH(1,O8:O47,0)),"never")</f>
        <v>never</v>
      </c>
      <c r="V51" s="18" t="s">
        <v>118</v>
      </c>
      <c r="W51" s="19" t="n">
        <f aca="false">IFERROR(INDEX(R8:R47,MATCH(1,AF8:AF47,0)),"never")</f>
        <v>12</v>
      </c>
      <c r="AM51" s="18" t="s">
        <v>118</v>
      </c>
      <c r="AN51" s="19" t="n">
        <f aca="false">IFERROR(INDEX(AI8:AI47,MATCH(1,AW8:AW47,0)),"never")</f>
        <v>12</v>
      </c>
      <c r="BD51" s="18" t="s">
        <v>118</v>
      </c>
      <c r="BE51" s="19" t="n">
        <f aca="false">IFERROR(INDEX(AZ8:AZ47,MATCH(1,BN8:BN47,0)),"never")</f>
        <v>13</v>
      </c>
      <c r="BU51" s="18" t="s">
        <v>118</v>
      </c>
      <c r="BV51" s="19" t="n">
        <f aca="false">IFERROR(INDEX(BQ8:BQ47,MATCH(1,CE8:CE47,0)),"never")</f>
        <v>13</v>
      </c>
      <c r="CL51" s="18" t="s">
        <v>118</v>
      </c>
      <c r="CM51" s="19" t="n">
        <f aca="false">IFERROR(INDEX(CH8:CH47,MATCH(1,CV8:CV47,0)),"never")</f>
        <v>13</v>
      </c>
    </row>
    <row r="52" customFormat="false" ht="15" hidden="false" customHeight="false" outlineLevel="0" collapsed="false">
      <c r="E52" s="18" t="s">
        <v>119</v>
      </c>
      <c r="F52" s="19" t="n">
        <f aca="false">COUNTIF(P8:P47,"SHORT")</f>
        <v>0</v>
      </c>
      <c r="V52" s="18" t="s">
        <v>119</v>
      </c>
      <c r="W52" s="19" t="n">
        <f aca="false">COUNTIF(AG8:AG47,"SHORT")</f>
        <v>0</v>
      </c>
      <c r="AM52" s="18" t="s">
        <v>119</v>
      </c>
      <c r="AN52" s="19" t="n">
        <f aca="false">COUNTIF(AX8:AX47,"SHORT")</f>
        <v>0</v>
      </c>
      <c r="BD52" s="18" t="s">
        <v>119</v>
      </c>
      <c r="BE52" s="19" t="n">
        <f aca="false">COUNTIF(BO8:BO47,"SHORT")</f>
        <v>0</v>
      </c>
      <c r="BU52" s="18" t="s">
        <v>119</v>
      </c>
      <c r="BV52" s="19" t="n">
        <f aca="false">COUNTIF(CF8:CF47,"SHORT")</f>
        <v>0</v>
      </c>
      <c r="CL52" s="18" t="s">
        <v>119</v>
      </c>
      <c r="CM52" s="19" t="n">
        <f aca="false">COUNTIF(CW8:CW47,"SHORT")</f>
        <v>0</v>
      </c>
    </row>
  </sheetData>
  <conditionalFormatting sqref="P8:P47">
    <cfRule type="cellIs" priority="2" operator="equal" aboveAverage="0" equalAverage="0" bottom="0" percent="0" rank="0" text="" dxfId="0">
      <formula>"SHORT"</formula>
    </cfRule>
  </conditionalFormatting>
  <conditionalFormatting sqref="AG8:AG47">
    <cfRule type="cellIs" priority="3" operator="equal" aboveAverage="0" equalAverage="0" bottom="0" percent="0" rank="0" text="" dxfId="0">
      <formula>"SHORT"</formula>
    </cfRule>
  </conditionalFormatting>
  <conditionalFormatting sqref="AX8:AX47">
    <cfRule type="cellIs" priority="4" operator="equal" aboveAverage="0" equalAverage="0" bottom="0" percent="0" rank="0" text="" dxfId="0">
      <formula>"SHORT"</formula>
    </cfRule>
  </conditionalFormatting>
  <conditionalFormatting sqref="BO8:BO47">
    <cfRule type="cellIs" priority="5" operator="equal" aboveAverage="0" equalAverage="0" bottom="0" percent="0" rank="0" text="" dxfId="0">
      <formula>"SHORT"</formula>
    </cfRule>
  </conditionalFormatting>
  <conditionalFormatting sqref="CF8:CF47">
    <cfRule type="cellIs" priority="6" operator="equal" aboveAverage="0" equalAverage="0" bottom="0" percent="0" rank="0" text="" dxfId="0">
      <formula>"SHORT"</formula>
    </cfRule>
  </conditionalFormatting>
  <conditionalFormatting sqref="CW8:CW47">
    <cfRule type="cellIs" priority="7" operator="equal" aboveAverage="0" equalAverage="0" bottom="0" percent="0" rank="0" text="" dxfId="0">
      <formula>"SHORT"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8" min="2" style="0" width="14"/>
  </cols>
  <sheetData>
    <row r="1" customFormat="false" ht="16.15" hidden="false" customHeight="false" outlineLevel="0" collapsed="false">
      <c r="A1" s="5" t="s">
        <v>120</v>
      </c>
    </row>
    <row r="2" customFormat="false" ht="15" hidden="false" customHeight="false" outlineLevel="0" collapsed="false">
      <c r="A2" s="6" t="s">
        <v>121</v>
      </c>
    </row>
    <row r="4" customFormat="false" ht="15" hidden="false" customHeight="false" outlineLevel="0" collapsed="false">
      <c r="A4" s="17" t="s">
        <v>122</v>
      </c>
      <c r="B4" s="26" t="n">
        <v>0.05</v>
      </c>
      <c r="C4" s="26" t="n">
        <v>0.06</v>
      </c>
      <c r="D4" s="26" t="n">
        <v>0.07</v>
      </c>
      <c r="E4" s="26" t="n">
        <v>0.08</v>
      </c>
      <c r="F4" s="26" t="n">
        <v>0.1</v>
      </c>
      <c r="G4" s="26" t="n">
        <v>0.12</v>
      </c>
    </row>
    <row r="5" customFormat="false" ht="15" hidden="false" customHeight="false" outlineLevel="0" collapsed="false">
      <c r="A5" s="26" t="n">
        <v>0.2</v>
      </c>
      <c r="B5" s="11" t="n">
        <f aca="false">Inputs!$B$3*(1+B$4)^Inputs!$B$10-(Inputs!$B$3*(1+B$4)^Inputs!$B$10*(1-$A5)+Inputs!$B$3*Inputs!$B$5*(1+B$4*(1-Inputs!$B$8))^Inputs!$B$10-(Inputs!$B$3*Inputs!$B$5*(1+B$4*(1-Inputs!$B$8))^Inputs!$B$10-Inputs!$B$3*Inputs!$B$5)*Inputs!$B$9)</f>
        <v>-253317.99314944</v>
      </c>
      <c r="C5" s="11" t="n">
        <f aca="false">Inputs!$B$3*(1+C$4)^Inputs!$B$10-(Inputs!$B$3*(1+C$4)^Inputs!$B$10*(1-$A5)+Inputs!$B$3*Inputs!$B$5*(1+C$4*(1-Inputs!$B$8))^Inputs!$B$10-(Inputs!$B$3*Inputs!$B$5*(1+C$4*(1-Inputs!$B$8))^Inputs!$B$10-Inputs!$B$3*Inputs!$B$5)*Inputs!$B$9)</f>
        <v>-264666.223605384</v>
      </c>
      <c r="D5" s="11" t="n">
        <f aca="false">Inputs!$B$3*(1+D$4)^Inputs!$B$10-(Inputs!$B$3*(1+D$4)^Inputs!$B$10*(1-$A5)+Inputs!$B$3*Inputs!$B$5*(1+D$4*(1-Inputs!$B$8))^Inputs!$B$10-(Inputs!$B$3*Inputs!$B$5*(1+D$4*(1-Inputs!$B$8))^Inputs!$B$10-Inputs!$B$3*Inputs!$B$5)*Inputs!$B$9)</f>
        <v>-276807.993799656</v>
      </c>
      <c r="E5" s="11" t="n">
        <f aca="false">Inputs!$B$3*(1+E$4)^Inputs!$B$10-(Inputs!$B$3*(1+E$4)^Inputs!$B$10*(1-$A5)+Inputs!$B$3*Inputs!$B$5*(1+E$4*(1-Inputs!$B$8))^Inputs!$B$10-(Inputs!$B$3*Inputs!$B$5*(1+E$4*(1-Inputs!$B$8))^Inputs!$B$10-Inputs!$B$3*Inputs!$B$5)*Inputs!$B$9)</f>
        <v>-289789.621419793</v>
      </c>
      <c r="F5" s="11" t="n">
        <f aca="false">Inputs!$B$3*(1+F$4)^Inputs!$B$10-(Inputs!$B$3*(1+F$4)^Inputs!$B$10*(1-$A5)+Inputs!$B$3*Inputs!$B$5*(1+F$4*(1-Inputs!$B$8))^Inputs!$B$10-(Inputs!$B$3*Inputs!$B$5*(1+F$4*(1-Inputs!$B$8))^Inputs!$B$10-Inputs!$B$3*Inputs!$B$5)*Inputs!$B$9)</f>
        <v>-318468.479817256</v>
      </c>
      <c r="G5" s="11" t="n">
        <f aca="false">Inputs!$B$3*(1+G$4)^Inputs!$B$10-(Inputs!$B$3*(1+G$4)^Inputs!$B$10*(1-$A5)+Inputs!$B$3*Inputs!$B$5*(1+G$4*(1-Inputs!$B$8))^Inputs!$B$10-(Inputs!$B$3*Inputs!$B$5*(1+G$4*(1-Inputs!$B$8))^Inputs!$B$10-Inputs!$B$3*Inputs!$B$5)*Inputs!$B$9)</f>
        <v>-351117.352528423</v>
      </c>
    </row>
    <row r="6" customFormat="false" ht="15" hidden="false" customHeight="false" outlineLevel="0" collapsed="false">
      <c r="A6" s="26" t="n">
        <v>0.25</v>
      </c>
      <c r="B6" s="11" t="n">
        <f aca="false">Inputs!$B$3*(1+B$4)^Inputs!$B$10-(Inputs!$B$3*(1+B$4)^Inputs!$B$10*(1-$A6)+Inputs!$B$3*Inputs!$B$5*(1+B$4*(1-Inputs!$B$8))^Inputs!$B$10-(Inputs!$B$3*Inputs!$B$5*(1+B$4*(1-Inputs!$B$8))^Inputs!$B$10-Inputs!$B$3*Inputs!$B$5)*Inputs!$B$9)</f>
        <v>-159656.552109737</v>
      </c>
      <c r="C6" s="11" t="n">
        <f aca="false">Inputs!$B$3*(1+C$4)^Inputs!$B$10-(Inputs!$B$3*(1+C$4)^Inputs!$B$10*(1-$A6)+Inputs!$B$3*Inputs!$B$5*(1+C$4*(1-Inputs!$B$8))^Inputs!$B$10-(Inputs!$B$3*Inputs!$B$5*(1+C$4*(1-Inputs!$B$8))^Inputs!$B$10-Inputs!$B$3*Inputs!$B$5)*Inputs!$B$9)</f>
        <v>-161692.48105417</v>
      </c>
      <c r="D6" s="11" t="n">
        <f aca="false">Inputs!$B$3*(1+D$4)^Inputs!$B$10-(Inputs!$B$3*(1+D$4)^Inputs!$B$10*(1-$A6)+Inputs!$B$3*Inputs!$B$5*(1+D$4*(1-Inputs!$B$8))^Inputs!$B$10-(Inputs!$B$3*Inputs!$B$5*(1+D$4*(1-Inputs!$B$8))^Inputs!$B$10-Inputs!$B$3*Inputs!$B$5)*Inputs!$B$9)</f>
        <v>-163696.790755506</v>
      </c>
      <c r="E6" s="11" t="n">
        <f aca="false">Inputs!$B$3*(1+E$4)^Inputs!$B$10-(Inputs!$B$3*(1+E$4)^Inputs!$B$10*(1-$A6)+Inputs!$B$3*Inputs!$B$5*(1+E$4*(1-Inputs!$B$8))^Inputs!$B$10-(Inputs!$B$3*Inputs!$B$5*(1+E$4*(1-Inputs!$B$8))^Inputs!$B$10-Inputs!$B$3*Inputs!$B$5)*Inputs!$B$9)</f>
        <v>-165651.434076608</v>
      </c>
      <c r="F6" s="11" t="n">
        <f aca="false">Inputs!$B$3*(1+F$4)^Inputs!$B$10-(Inputs!$B$3*(1+F$4)^Inputs!$B$10*(1-$A6)+Inputs!$B$3*Inputs!$B$5*(1+F$4*(1-Inputs!$B$8))^Inputs!$B$10-(Inputs!$B$3*Inputs!$B$5*(1+F$4*(1-Inputs!$B$8))^Inputs!$B$10-Inputs!$B$3*Inputs!$B$5)*Inputs!$B$9)</f>
        <v>-169328.288361506</v>
      </c>
      <c r="G6" s="11" t="n">
        <f aca="false">Inputs!$B$3*(1+G$4)^Inputs!$B$10-(Inputs!$B$3*(1+G$4)^Inputs!$B$10*(1-$A6)+Inputs!$B$3*Inputs!$B$5*(1+G$4*(1-Inputs!$B$8))^Inputs!$B$10-(Inputs!$B$3*Inputs!$B$5*(1+G$4*(1-Inputs!$B$8))^Inputs!$B$10-Inputs!$B$3*Inputs!$B$5)*Inputs!$B$9)</f>
        <v>-172531.080548631</v>
      </c>
    </row>
    <row r="7" customFormat="false" ht="15" hidden="false" customHeight="false" outlineLevel="0" collapsed="false">
      <c r="A7" s="26" t="n">
        <v>0.3</v>
      </c>
      <c r="B7" s="11" t="n">
        <f aca="false">Inputs!$B$3*(1+B$4)^Inputs!$B$10-(Inputs!$B$3*(1+B$4)^Inputs!$B$10*(1-$A7)+Inputs!$B$3*Inputs!$B$5*(1+B$4*(1-Inputs!$B$8))^Inputs!$B$10-(Inputs!$B$3*Inputs!$B$5*(1+B$4*(1-Inputs!$B$8))^Inputs!$B$10-Inputs!$B$3*Inputs!$B$5)*Inputs!$B$9)</f>
        <v>-65995.1110700339</v>
      </c>
      <c r="C7" s="11" t="n">
        <f aca="false">Inputs!$B$3*(1+C$4)^Inputs!$B$10-(Inputs!$B$3*(1+C$4)^Inputs!$B$10*(1-$A7)+Inputs!$B$3*Inputs!$B$5*(1+C$4*(1-Inputs!$B$8))^Inputs!$B$10-(Inputs!$B$3*Inputs!$B$5*(1+C$4*(1-Inputs!$B$8))^Inputs!$B$10-Inputs!$B$3*Inputs!$B$5)*Inputs!$B$9)</f>
        <v>-58718.7385029558</v>
      </c>
      <c r="D7" s="11" t="n">
        <f aca="false">Inputs!$B$3*(1+D$4)^Inputs!$B$10-(Inputs!$B$3*(1+D$4)^Inputs!$B$10*(1-$A7)+Inputs!$B$3*Inputs!$B$5*(1+D$4*(1-Inputs!$B$8))^Inputs!$B$10-(Inputs!$B$3*Inputs!$B$5*(1+D$4*(1-Inputs!$B$8))^Inputs!$B$10-Inputs!$B$3*Inputs!$B$5)*Inputs!$B$9)</f>
        <v>-50585.5877113552</v>
      </c>
      <c r="E7" s="11" t="n">
        <f aca="false">Inputs!$B$3*(1+E$4)^Inputs!$B$10-(Inputs!$B$3*(1+E$4)^Inputs!$B$10*(1-$A7)+Inputs!$B$3*Inputs!$B$5*(1+E$4*(1-Inputs!$B$8))^Inputs!$B$10-(Inputs!$B$3*Inputs!$B$5*(1+E$4*(1-Inputs!$B$8))^Inputs!$B$10-Inputs!$B$3*Inputs!$B$5)*Inputs!$B$9)</f>
        <v>-41513.2467334219</v>
      </c>
      <c r="F7" s="11" t="n">
        <f aca="false">Inputs!$B$3*(1+F$4)^Inputs!$B$10-(Inputs!$B$3*(1+F$4)^Inputs!$B$10*(1-$A7)+Inputs!$B$3*Inputs!$B$5*(1+F$4*(1-Inputs!$B$8))^Inputs!$B$10-(Inputs!$B$3*Inputs!$B$5*(1+F$4*(1-Inputs!$B$8))^Inputs!$B$10-Inputs!$B$3*Inputs!$B$5)*Inputs!$B$9)</f>
        <v>-20188.0969057558</v>
      </c>
      <c r="G7" s="11" t="n">
        <f aca="false">Inputs!$B$3*(1+G$4)^Inputs!$B$10-(Inputs!$B$3*(1+G$4)^Inputs!$B$10*(1-$A7)+Inputs!$B$3*Inputs!$B$5*(1+G$4*(1-Inputs!$B$8))^Inputs!$B$10-(Inputs!$B$3*Inputs!$B$5*(1+G$4*(1-Inputs!$B$8))^Inputs!$B$10-Inputs!$B$3*Inputs!$B$5)*Inputs!$B$9)</f>
        <v>6055.19143116148</v>
      </c>
    </row>
    <row r="8" customFormat="false" ht="15" hidden="false" customHeight="false" outlineLevel="0" collapsed="false">
      <c r="A8" s="26" t="n">
        <v>0.35</v>
      </c>
      <c r="B8" s="11" t="n">
        <f aca="false">Inputs!$B$3*(1+B$4)^Inputs!$B$10-(Inputs!$B$3*(1+B$4)^Inputs!$B$10*(1-$A8)+Inputs!$B$3*Inputs!$B$5*(1+B$4*(1-Inputs!$B$8))^Inputs!$B$10-(Inputs!$B$3*Inputs!$B$5*(1+B$4*(1-Inputs!$B$8))^Inputs!$B$10-Inputs!$B$3*Inputs!$B$5)*Inputs!$B$9)</f>
        <v>27666.329969669</v>
      </c>
      <c r="C8" s="11" t="n">
        <f aca="false">Inputs!$B$3*(1+C$4)^Inputs!$B$10-(Inputs!$B$3*(1+C$4)^Inputs!$B$10*(1-$A8)+Inputs!$B$3*Inputs!$B$5*(1+C$4*(1-Inputs!$B$8))^Inputs!$B$10-(Inputs!$B$3*Inputs!$B$5*(1+C$4*(1-Inputs!$B$8))^Inputs!$B$10-Inputs!$B$3*Inputs!$B$5)*Inputs!$B$9)</f>
        <v>44255.0040482583</v>
      </c>
      <c r="D8" s="11" t="n">
        <f aca="false">Inputs!$B$3*(1+D$4)^Inputs!$B$10-(Inputs!$B$3*(1+D$4)^Inputs!$B$10*(1-$A8)+Inputs!$B$3*Inputs!$B$5*(1+D$4*(1-Inputs!$B$8))^Inputs!$B$10-(Inputs!$B$3*Inputs!$B$5*(1+D$4*(1-Inputs!$B$8))^Inputs!$B$10-Inputs!$B$3*Inputs!$B$5)*Inputs!$B$9)</f>
        <v>62525.6153327944</v>
      </c>
      <c r="E8" s="11" t="n">
        <f aca="false">Inputs!$B$3*(1+E$4)^Inputs!$B$10-(Inputs!$B$3*(1+E$4)^Inputs!$B$10*(1-$A8)+Inputs!$B$3*Inputs!$B$5*(1+E$4*(1-Inputs!$B$8))^Inputs!$B$10-(Inputs!$B$3*Inputs!$B$5*(1+E$4*(1-Inputs!$B$8))^Inputs!$B$10-Inputs!$B$3*Inputs!$B$5)*Inputs!$B$9)</f>
        <v>82624.9406097629</v>
      </c>
      <c r="F8" s="11" t="n">
        <f aca="false">Inputs!$B$3*(1+F$4)^Inputs!$B$10-(Inputs!$B$3*(1+F$4)^Inputs!$B$10*(1-$A8)+Inputs!$B$3*Inputs!$B$5*(1+F$4*(1-Inputs!$B$8))^Inputs!$B$10-(Inputs!$B$3*Inputs!$B$5*(1+F$4*(1-Inputs!$B$8))^Inputs!$B$10-Inputs!$B$3*Inputs!$B$5)*Inputs!$B$9)</f>
        <v>128952.094549994</v>
      </c>
      <c r="G8" s="11" t="n">
        <f aca="false">Inputs!$B$3*(1+G$4)^Inputs!$B$10-(Inputs!$B$3*(1+G$4)^Inputs!$B$10*(1-$A8)+Inputs!$B$3*Inputs!$B$5*(1+G$4*(1-Inputs!$B$8))^Inputs!$B$10-(Inputs!$B$3*Inputs!$B$5*(1+G$4*(1-Inputs!$B$8))^Inputs!$B$10-Inputs!$B$3*Inputs!$B$5)*Inputs!$B$9)</f>
        <v>184641.463410954</v>
      </c>
    </row>
    <row r="9" customFormat="false" ht="15" hidden="false" customHeight="false" outlineLevel="0" collapsed="false">
      <c r="A9" s="26" t="n">
        <v>0.4</v>
      </c>
      <c r="B9" s="11" t="n">
        <f aca="false">Inputs!$B$3*(1+B$4)^Inputs!$B$10-(Inputs!$B$3*(1+B$4)^Inputs!$B$10*(1-$A9)+Inputs!$B$3*Inputs!$B$5*(1+B$4*(1-Inputs!$B$8))^Inputs!$B$10-(Inputs!$B$3*Inputs!$B$5*(1+B$4*(1-Inputs!$B$8))^Inputs!$B$10-Inputs!$B$3*Inputs!$B$5)*Inputs!$B$9)</f>
        <v>121327.771009372</v>
      </c>
      <c r="C9" s="11" t="n">
        <f aca="false">Inputs!$B$3*(1+C$4)^Inputs!$B$10-(Inputs!$B$3*(1+C$4)^Inputs!$B$10*(1-$A9)+Inputs!$B$3*Inputs!$B$5*(1+C$4*(1-Inputs!$B$8))^Inputs!$B$10-(Inputs!$B$3*Inputs!$B$5*(1+C$4*(1-Inputs!$B$8))^Inputs!$B$10-Inputs!$B$3*Inputs!$B$5)*Inputs!$B$9)</f>
        <v>147228.746599473</v>
      </c>
      <c r="D9" s="11" t="n">
        <f aca="false">Inputs!$B$3*(1+D$4)^Inputs!$B$10-(Inputs!$B$3*(1+D$4)^Inputs!$B$10*(1-$A9)+Inputs!$B$3*Inputs!$B$5*(1+D$4*(1-Inputs!$B$8))^Inputs!$B$10-(Inputs!$B$3*Inputs!$B$5*(1+D$4*(1-Inputs!$B$8))^Inputs!$B$10-Inputs!$B$3*Inputs!$B$5)*Inputs!$B$9)</f>
        <v>175636.818376945</v>
      </c>
      <c r="E9" s="11" t="n">
        <f aca="false">Inputs!$B$3*(1+E$4)^Inputs!$B$10-(Inputs!$B$3*(1+E$4)^Inputs!$B$10*(1-$A9)+Inputs!$B$3*Inputs!$B$5*(1+E$4*(1-Inputs!$B$8))^Inputs!$B$10-(Inputs!$B$3*Inputs!$B$5*(1+E$4*(1-Inputs!$B$8))^Inputs!$B$10-Inputs!$B$3*Inputs!$B$5)*Inputs!$B$9)</f>
        <v>206763.127952949</v>
      </c>
      <c r="F9" s="11" t="n">
        <f aca="false">Inputs!$B$3*(1+F$4)^Inputs!$B$10-(Inputs!$B$3*(1+F$4)^Inputs!$B$10*(1-$A9)+Inputs!$B$3*Inputs!$B$5*(1+F$4*(1-Inputs!$B$8))^Inputs!$B$10-(Inputs!$B$3*Inputs!$B$5*(1+F$4*(1-Inputs!$B$8))^Inputs!$B$10-Inputs!$B$3*Inputs!$B$5)*Inputs!$B$9)</f>
        <v>278092.286005744</v>
      </c>
      <c r="G9" s="11" t="n">
        <f aca="false">Inputs!$B$3*(1+G$4)^Inputs!$B$10-(Inputs!$B$3*(1+G$4)^Inputs!$B$10*(1-$A9)+Inputs!$B$3*Inputs!$B$5*(1+G$4*(1-Inputs!$B$8))^Inputs!$B$10-(Inputs!$B$3*Inputs!$B$5*(1+G$4*(1-Inputs!$B$8))^Inputs!$B$10-Inputs!$B$3*Inputs!$B$5)*Inputs!$B$9)</f>
        <v>363227.735390746</v>
      </c>
    </row>
    <row r="10" customFormat="false" ht="15" hidden="false" customHeight="false" outlineLevel="0" collapsed="false">
      <c r="A10" s="26" t="n">
        <v>0.45</v>
      </c>
      <c r="B10" s="11" t="n">
        <f aca="false">Inputs!$B$3*(1+B$4)^Inputs!$B$10-(Inputs!$B$3*(1+B$4)^Inputs!$B$10*(1-$A10)+Inputs!$B$3*Inputs!$B$5*(1+B$4*(1-Inputs!$B$8))^Inputs!$B$10-(Inputs!$B$3*Inputs!$B$5*(1+B$4*(1-Inputs!$B$8))^Inputs!$B$10-Inputs!$B$3*Inputs!$B$5)*Inputs!$B$9)</f>
        <v>214989.212049075</v>
      </c>
      <c r="C10" s="11" t="n">
        <f aca="false">Inputs!$B$3*(1+C$4)^Inputs!$B$10-(Inputs!$B$3*(1+C$4)^Inputs!$B$10*(1-$A10)+Inputs!$B$3*Inputs!$B$5*(1+C$4*(1-Inputs!$B$8))^Inputs!$B$10-(Inputs!$B$3*Inputs!$B$5*(1+C$4*(1-Inputs!$B$8))^Inputs!$B$10-Inputs!$B$3*Inputs!$B$5)*Inputs!$B$9)</f>
        <v>250202.489150687</v>
      </c>
      <c r="D10" s="11" t="n">
        <f aca="false">Inputs!$B$3*(1+D$4)^Inputs!$B$10-(Inputs!$B$3*(1+D$4)^Inputs!$B$10*(1-$A10)+Inputs!$B$3*Inputs!$B$5*(1+D$4*(1-Inputs!$B$8))^Inputs!$B$10-(Inputs!$B$3*Inputs!$B$5*(1+D$4*(1-Inputs!$B$8))^Inputs!$B$10-Inputs!$B$3*Inputs!$B$5)*Inputs!$B$9)</f>
        <v>288748.021421095</v>
      </c>
      <c r="E10" s="11" t="n">
        <f aca="false">Inputs!$B$3*(1+E$4)^Inputs!$B$10-(Inputs!$B$3*(1+E$4)^Inputs!$B$10*(1-$A10)+Inputs!$B$3*Inputs!$B$5*(1+E$4*(1-Inputs!$B$8))^Inputs!$B$10-(Inputs!$B$3*Inputs!$B$5*(1+E$4*(1-Inputs!$B$8))^Inputs!$B$10-Inputs!$B$3*Inputs!$B$5)*Inputs!$B$9)</f>
        <v>330901.315296134</v>
      </c>
      <c r="F10" s="11" t="n">
        <f aca="false">Inputs!$B$3*(1+F$4)^Inputs!$B$10-(Inputs!$B$3*(1+F$4)^Inputs!$B$10*(1-$A10)+Inputs!$B$3*Inputs!$B$5*(1+F$4*(1-Inputs!$B$8))^Inputs!$B$10-(Inputs!$B$3*Inputs!$B$5*(1+F$4*(1-Inputs!$B$8))^Inputs!$B$10-Inputs!$B$3*Inputs!$B$5)*Inputs!$B$9)</f>
        <v>427232.477461494</v>
      </c>
      <c r="G10" s="11" t="n">
        <f aca="false">Inputs!$B$3*(1+G$4)^Inputs!$B$10-(Inputs!$B$3*(1+G$4)^Inputs!$B$10*(1-$A10)+Inputs!$B$3*Inputs!$B$5*(1+G$4*(1-Inputs!$B$8))^Inputs!$B$10-(Inputs!$B$3*Inputs!$B$5*(1+G$4*(1-Inputs!$B$8))^Inputs!$B$10-Inputs!$B$3*Inputs!$B$5)*Inputs!$B$9)</f>
        <v>541814.007370538</v>
      </c>
    </row>
    <row r="13" customFormat="false" ht="15" hidden="false" customHeight="false" outlineLevel="0" collapsed="false">
      <c r="A13" s="8" t="s">
        <v>123</v>
      </c>
    </row>
    <row r="14" customFormat="false" ht="15" hidden="false" customHeight="false" outlineLevel="0" collapsed="false">
      <c r="A14" s="6" t="s">
        <v>124</v>
      </c>
    </row>
    <row r="16" customFormat="false" ht="15" hidden="false" customHeight="false" outlineLevel="0" collapsed="false">
      <c r="A16" s="17" t="s">
        <v>125</v>
      </c>
      <c r="B16" s="27" t="n">
        <v>5</v>
      </c>
      <c r="C16" s="27" t="n">
        <v>10</v>
      </c>
      <c r="D16" s="27" t="n">
        <v>15</v>
      </c>
      <c r="E16" s="27" t="n">
        <v>20</v>
      </c>
      <c r="F16" s="27" t="n">
        <v>25</v>
      </c>
      <c r="G16" s="27" t="n">
        <v>30</v>
      </c>
    </row>
    <row r="17" customFormat="false" ht="15" hidden="false" customHeight="false" outlineLevel="0" collapsed="false">
      <c r="A17" s="26" t="n">
        <v>0.25</v>
      </c>
      <c r="B17" s="12" t="n">
        <f aca="false">($A17*(1+Inputs!$B$4*(1-Inputs!$B$8))^B$16*(1-Inputs!$B$9)+$A17*Inputs!$B$9)/(1+Inputs!$B$4)^B$16</f>
        <v>0.221193390337756</v>
      </c>
      <c r="C17" s="12" t="n">
        <f aca="false">($A17*(1+Inputs!$B$4*(1-Inputs!$B$8))^C$16*(1-Inputs!$B$9)+$A17*Inputs!$B$9)/(1+Inputs!$B$4)^C$16</f>
        <v>0.201821158631789</v>
      </c>
      <c r="D17" s="12" t="n">
        <f aca="false">($A17*(1+Inputs!$B$4*(1-Inputs!$B$8))^D$16*(1-Inputs!$B$9)+$A17*Inputs!$B$9)/(1+Inputs!$B$4)^D$16</f>
        <v>0.18834039130901</v>
      </c>
      <c r="E17" s="12" t="n">
        <f aca="false">($A17*(1+Inputs!$B$4*(1-Inputs!$B$8))^E$16*(1-Inputs!$B$9)+$A17*Inputs!$B$9)/(1+Inputs!$B$4)^E$16</f>
        <v>0.178550464259842</v>
      </c>
      <c r="F17" s="12" t="n">
        <f aca="false">($A17*(1+Inputs!$B$4*(1-Inputs!$B$8))^F$16*(1-Inputs!$B$9)+$A17*Inputs!$B$9)/(1+Inputs!$B$4)^F$16</f>
        <v>0.171084226494942</v>
      </c>
      <c r="G17" s="12" t="n">
        <f aca="false">($A17*(1+Inputs!$B$4*(1-Inputs!$B$8))^G$16*(1-Inputs!$B$9)+$A17*Inputs!$B$9)/(1+Inputs!$B$4)^G$16</f>
        <v>0.165092064845923</v>
      </c>
    </row>
    <row r="18" customFormat="false" ht="15" hidden="false" customHeight="false" outlineLevel="0" collapsed="false">
      <c r="A18" s="26" t="n">
        <v>0.3</v>
      </c>
      <c r="B18" s="12" t="n">
        <f aca="false">($A18*(1+Inputs!$B$4*(1-Inputs!$B$8))^B$16*(1-Inputs!$B$9)+$A18*Inputs!$B$9)/(1+Inputs!$B$4)^B$16</f>
        <v>0.265432068405307</v>
      </c>
      <c r="C18" s="12" t="n">
        <f aca="false">($A18*(1+Inputs!$B$4*(1-Inputs!$B$8))^C$16*(1-Inputs!$B$9)+$A18*Inputs!$B$9)/(1+Inputs!$B$4)^C$16</f>
        <v>0.242185390358147</v>
      </c>
      <c r="D18" s="12" t="n">
        <f aca="false">($A18*(1+Inputs!$B$4*(1-Inputs!$B$8))^D$16*(1-Inputs!$B$9)+$A18*Inputs!$B$9)/(1+Inputs!$B$4)^D$16</f>
        <v>0.226008469570812</v>
      </c>
      <c r="E18" s="12" t="n">
        <f aca="false">($A18*(1+Inputs!$B$4*(1-Inputs!$B$8))^E$16*(1-Inputs!$B$9)+$A18*Inputs!$B$9)/(1+Inputs!$B$4)^E$16</f>
        <v>0.214260557111811</v>
      </c>
      <c r="F18" s="12" t="n">
        <f aca="false">($A18*(1+Inputs!$B$4*(1-Inputs!$B$8))^F$16*(1-Inputs!$B$9)+$A18*Inputs!$B$9)/(1+Inputs!$B$4)^F$16</f>
        <v>0.205301071793931</v>
      </c>
      <c r="G18" s="12" t="n">
        <f aca="false">($A18*(1+Inputs!$B$4*(1-Inputs!$B$8))^G$16*(1-Inputs!$B$9)+$A18*Inputs!$B$9)/(1+Inputs!$B$4)^G$16</f>
        <v>0.198110477815108</v>
      </c>
    </row>
    <row r="19" customFormat="false" ht="15" hidden="false" customHeight="false" outlineLevel="0" collapsed="false">
      <c r="A19" s="26" t="n">
        <v>0.35</v>
      </c>
      <c r="B19" s="12" t="n">
        <f aca="false">($A19*(1+Inputs!$B$4*(1-Inputs!$B$8))^B$16*(1-Inputs!$B$9)+$A19*Inputs!$B$9)/(1+Inputs!$B$4)^B$16</f>
        <v>0.309670746472858</v>
      </c>
      <c r="C19" s="12" t="n">
        <f aca="false">($A19*(1+Inputs!$B$4*(1-Inputs!$B$8))^C$16*(1-Inputs!$B$9)+$A19*Inputs!$B$9)/(1+Inputs!$B$4)^C$16</f>
        <v>0.282549622084505</v>
      </c>
      <c r="D19" s="12" t="n">
        <f aca="false">($A19*(1+Inputs!$B$4*(1-Inputs!$B$8))^D$16*(1-Inputs!$B$9)+$A19*Inputs!$B$9)/(1+Inputs!$B$4)^D$16</f>
        <v>0.263676547832613</v>
      </c>
      <c r="E19" s="12" t="n">
        <f aca="false">($A19*(1+Inputs!$B$4*(1-Inputs!$B$8))^E$16*(1-Inputs!$B$9)+$A19*Inputs!$B$9)/(1+Inputs!$B$4)^E$16</f>
        <v>0.249970649963779</v>
      </c>
      <c r="F19" s="12" t="n">
        <f aca="false">($A19*(1+Inputs!$B$4*(1-Inputs!$B$8))^F$16*(1-Inputs!$B$9)+$A19*Inputs!$B$9)/(1+Inputs!$B$4)^F$16</f>
        <v>0.239517917092919</v>
      </c>
      <c r="G19" s="12" t="n">
        <f aca="false">($A19*(1+Inputs!$B$4*(1-Inputs!$B$8))^G$16*(1-Inputs!$B$9)+$A19*Inputs!$B$9)/(1+Inputs!$B$4)^G$16</f>
        <v>0.231128890784293</v>
      </c>
    </row>
    <row r="20" customFormat="false" ht="15" hidden="false" customHeight="false" outlineLevel="0" collapsed="false">
      <c r="A20" s="26" t="n">
        <v>0.38</v>
      </c>
      <c r="B20" s="12" t="n">
        <f aca="false">($A20*(1+Inputs!$B$4*(1-Inputs!$B$8))^B$16*(1-Inputs!$B$9)+$A20*Inputs!$B$9)/(1+Inputs!$B$4)^B$16</f>
        <v>0.336213953313389</v>
      </c>
      <c r="C20" s="12" t="n">
        <f aca="false">($A20*(1+Inputs!$B$4*(1-Inputs!$B$8))^C$16*(1-Inputs!$B$9)+$A20*Inputs!$B$9)/(1+Inputs!$B$4)^C$16</f>
        <v>0.306768161120319</v>
      </c>
      <c r="D20" s="12" t="n">
        <f aca="false">($A20*(1+Inputs!$B$4*(1-Inputs!$B$8))^D$16*(1-Inputs!$B$9)+$A20*Inputs!$B$9)/(1+Inputs!$B$4)^D$16</f>
        <v>0.286277394789695</v>
      </c>
      <c r="E20" s="12" t="n">
        <f aca="false">($A20*(1+Inputs!$B$4*(1-Inputs!$B$8))^E$16*(1-Inputs!$B$9)+$A20*Inputs!$B$9)/(1+Inputs!$B$4)^E$16</f>
        <v>0.27139670567496</v>
      </c>
      <c r="F20" s="12" t="n">
        <f aca="false">($A20*(1+Inputs!$B$4*(1-Inputs!$B$8))^F$16*(1-Inputs!$B$9)+$A20*Inputs!$B$9)/(1+Inputs!$B$4)^F$16</f>
        <v>0.260048024272312</v>
      </c>
      <c r="G20" s="12" t="n">
        <f aca="false">($A20*(1+Inputs!$B$4*(1-Inputs!$B$8))^G$16*(1-Inputs!$B$9)+$A20*Inputs!$B$9)/(1+Inputs!$B$4)^G$16</f>
        <v>0.250939938565804</v>
      </c>
    </row>
    <row r="21" customFormat="false" ht="15" hidden="false" customHeight="false" outlineLevel="0" collapsed="false">
      <c r="A21" s="26" t="n">
        <v>0.42</v>
      </c>
      <c r="B21" s="12" t="n">
        <f aca="false">($A21*(1+Inputs!$B$4*(1-Inputs!$B$8))^B$16*(1-Inputs!$B$9)+$A21*Inputs!$B$9)/(1+Inputs!$B$4)^B$16</f>
        <v>0.37160489576743</v>
      </c>
      <c r="C21" s="12" t="n">
        <f aca="false">($A21*(1+Inputs!$B$4*(1-Inputs!$B$8))^C$16*(1-Inputs!$B$9)+$A21*Inputs!$B$9)/(1+Inputs!$B$4)^C$16</f>
        <v>0.339059546501406</v>
      </c>
      <c r="D21" s="12" t="n">
        <f aca="false">($A21*(1+Inputs!$B$4*(1-Inputs!$B$8))^D$16*(1-Inputs!$B$9)+$A21*Inputs!$B$9)/(1+Inputs!$B$4)^D$16</f>
        <v>0.316411857399136</v>
      </c>
      <c r="E21" s="12" t="n">
        <f aca="false">($A21*(1+Inputs!$B$4*(1-Inputs!$B$8))^E$16*(1-Inputs!$B$9)+$A21*Inputs!$B$9)/(1+Inputs!$B$4)^E$16</f>
        <v>0.299964779956535</v>
      </c>
      <c r="F21" s="12" t="n">
        <f aca="false">($A21*(1+Inputs!$B$4*(1-Inputs!$B$8))^F$16*(1-Inputs!$B$9)+$A21*Inputs!$B$9)/(1+Inputs!$B$4)^F$16</f>
        <v>0.287421500511503</v>
      </c>
      <c r="G21" s="12" t="n">
        <f aca="false">($A21*(1+Inputs!$B$4*(1-Inputs!$B$8))^G$16*(1-Inputs!$B$9)+$A21*Inputs!$B$9)/(1+Inputs!$B$4)^G$16</f>
        <v>0.277354668941151</v>
      </c>
    </row>
    <row r="22" customFormat="false" ht="15" hidden="false" customHeight="false" outlineLevel="0" collapsed="false">
      <c r="A22" s="26" t="n">
        <v>0.45</v>
      </c>
      <c r="B22" s="12" t="n">
        <f aca="false">($A22*(1+Inputs!$B$4*(1-Inputs!$B$8))^B$16*(1-Inputs!$B$9)+$A22*Inputs!$B$9)/(1+Inputs!$B$4)^B$16</f>
        <v>0.398148102607961</v>
      </c>
      <c r="C22" s="12" t="n">
        <f aca="false">($A22*(1+Inputs!$B$4*(1-Inputs!$B$8))^C$16*(1-Inputs!$B$9)+$A22*Inputs!$B$9)/(1+Inputs!$B$4)^C$16</f>
        <v>0.36327808553722</v>
      </c>
      <c r="D22" s="12" t="n">
        <f aca="false">($A22*(1+Inputs!$B$4*(1-Inputs!$B$8))^D$16*(1-Inputs!$B$9)+$A22*Inputs!$B$9)/(1+Inputs!$B$4)^D$16</f>
        <v>0.339012704356217</v>
      </c>
      <c r="E22" s="12" t="n">
        <f aca="false">($A22*(1+Inputs!$B$4*(1-Inputs!$B$8))^E$16*(1-Inputs!$B$9)+$A22*Inputs!$B$9)/(1+Inputs!$B$4)^E$16</f>
        <v>0.321390835667716</v>
      </c>
      <c r="F22" s="12" t="n">
        <f aca="false">($A22*(1+Inputs!$B$4*(1-Inputs!$B$8))^F$16*(1-Inputs!$B$9)+$A22*Inputs!$B$9)/(1+Inputs!$B$4)^F$16</f>
        <v>0.307951607690896</v>
      </c>
      <c r="G22" s="12" t="n">
        <f aca="false">($A22*(1+Inputs!$B$4*(1-Inputs!$B$8))^G$16*(1-Inputs!$B$9)+$A22*Inputs!$B$9)/(1+Inputs!$B$4)^G$16</f>
        <v>0.297165716722662</v>
      </c>
    </row>
    <row r="25" customFormat="false" ht="43.5" hidden="false" customHeight="true" outlineLevel="0" collapsed="false">
      <c r="A25" s="16" t="s">
        <v>126</v>
      </c>
      <c r="B25" s="16"/>
      <c r="C25" s="16"/>
      <c r="D25" s="16"/>
      <c r="E25" s="16"/>
      <c r="F25" s="16"/>
      <c r="G25" s="16"/>
    </row>
  </sheetData>
  <mergeCells count="1">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8"/>
    <col collapsed="false" customWidth="true" hidden="false" outlineLevel="0" max="4" min="4" style="0" width="60"/>
  </cols>
  <sheetData>
    <row r="1" customFormat="false" ht="16.15" hidden="false" customHeight="false" outlineLevel="0" collapsed="false">
      <c r="A1" s="5" t="s">
        <v>127</v>
      </c>
    </row>
    <row r="3" customFormat="false" ht="15" hidden="false" customHeight="false" outlineLevel="0" collapsed="false">
      <c r="A3" s="18" t="s">
        <v>128</v>
      </c>
      <c r="B3" s="19" t="n">
        <f aca="false">MAX(0,75-Inputs!$B$12)</f>
        <v>18</v>
      </c>
    </row>
    <row r="4" customFormat="false" ht="15" hidden="false" customHeight="false" outlineLevel="0" collapsed="false">
      <c r="A4" s="18" t="s">
        <v>129</v>
      </c>
      <c r="B4" s="10" t="n">
        <f aca="false">INDEX(Engine!I7:I47,MIN(40,B3)+1)</f>
        <v>6393904.91051607</v>
      </c>
    </row>
    <row r="5" customFormat="false" ht="22.35" hidden="false" customHeight="false" outlineLevel="0" collapsed="false">
      <c r="A5" s="18" t="s">
        <v>130</v>
      </c>
      <c r="B5" s="11" t="n">
        <f aca="false">B4/Inputs!$B$14</f>
        <v>259914.833760816</v>
      </c>
      <c r="D5" s="4" t="s">
        <v>131</v>
      </c>
    </row>
    <row r="6" customFormat="false" ht="15" hidden="false" customHeight="false" outlineLevel="0" collapsed="false">
      <c r="A6" s="18" t="s">
        <v>132</v>
      </c>
      <c r="B6" s="11" t="n">
        <f aca="false">B5*Inputs!$B$6</f>
        <v>77974.4501282448</v>
      </c>
    </row>
    <row r="7" customFormat="false" ht="15" hidden="false" customHeight="false" outlineLevel="0" collapsed="false">
      <c r="A7" s="18" t="s">
        <v>133</v>
      </c>
      <c r="B7" s="10" t="n">
        <f aca="false">INDEX(Engine!AA7:AA47,MIN(40,B3)+1)</f>
        <v>6393904.91051607</v>
      </c>
    </row>
    <row r="9" customFormat="false" ht="15" hidden="false" customHeight="false" outlineLevel="0" collapsed="false">
      <c r="A9" s="8" t="s">
        <v>134</v>
      </c>
    </row>
    <row r="10" customFormat="false" ht="15" hidden="false" customHeight="false" outlineLevel="0" collapsed="false">
      <c r="A10" s="17" t="s">
        <v>22</v>
      </c>
      <c r="B10" s="17" t="s">
        <v>135</v>
      </c>
      <c r="C10" s="17" t="s">
        <v>136</v>
      </c>
      <c r="D10" s="17" t="s">
        <v>137</v>
      </c>
    </row>
    <row r="11" customFormat="false" ht="15" hidden="false" customHeight="false" outlineLevel="0" collapsed="false">
      <c r="A11" s="18" t="s">
        <v>31</v>
      </c>
      <c r="B11" s="10" t="n">
        <f aca="false">INDEX(Engine!I7:I47,Inputs!$B$10+1)</f>
        <v>2982803.829115</v>
      </c>
      <c r="C11" s="10" t="n">
        <f aca="false">INDEX(Engine!J7:J47,Inputs!$B$10+1)</f>
        <v>0</v>
      </c>
      <c r="D11" s="11" t="n">
        <f aca="false">B11*(1-Inputs!$B$13)+C11+INDEX(Engine!K7:K47,Inputs!$B$10+1)-(INDEX(Engine!K7:K47,Inputs!$B$10+1)-INDEX(Engine!L7:L47,Inputs!$B$10+1))*Inputs!$B$9</f>
        <v>3540123.6687952</v>
      </c>
    </row>
    <row r="12" customFormat="false" ht="15" hidden="false" customHeight="false" outlineLevel="0" collapsed="false">
      <c r="A12" s="18" t="s">
        <v>32</v>
      </c>
      <c r="B12" s="10" t="n">
        <f aca="false">INDEX(Engine!Z7:Z47,Inputs!$B$10+1)</f>
        <v>0</v>
      </c>
      <c r="C12" s="10" t="n">
        <f aca="false">INDEX(Engine!AA7:AA47,Inputs!$B$10+1)</f>
        <v>2982803.829115</v>
      </c>
      <c r="D12" s="11" t="n">
        <f aca="false">B12*(1-Inputs!$B$13)+C12+INDEX(Engine!AB7:AB47,Inputs!$B$10+1)-(INDEX(Engine!AB7:AB47,Inputs!$B$10+1)-INDEX(Engine!AC7:AC47,Inputs!$B$10+1))*Inputs!$B$9</f>
        <v>3669075.76334519</v>
      </c>
    </row>
    <row r="13" customFormat="false" ht="15" hidden="false" customHeight="false" outlineLevel="0" collapsed="false">
      <c r="A13" s="18" t="s">
        <v>33</v>
      </c>
      <c r="B13" s="10" t="n">
        <f aca="false">INDEX(Engine!AQ7:AQ47,Inputs!$B$10+1)</f>
        <v>0</v>
      </c>
      <c r="C13" s="10" t="n">
        <f aca="false">INDEX(Engine!AR7:AR47,Inputs!$B$10+1)</f>
        <v>2982803.829115</v>
      </c>
      <c r="D13" s="11" t="n">
        <f aca="false">B13*(1-Inputs!$B$13)+C13+INDEX(Engine!AS7:AS47,Inputs!$B$10+1)-(INDEX(Engine!AS7:AS47,Inputs!$B$10+1)-INDEX(Engine!AT7:AT47,Inputs!$B$10+1))*Inputs!$B$9</f>
        <v>3664891.18807479</v>
      </c>
    </row>
    <row r="14" customFormat="false" ht="15" hidden="false" customHeight="false" outlineLevel="0" collapsed="false">
      <c r="A14" s="18" t="s">
        <v>34</v>
      </c>
      <c r="B14" s="10" t="n">
        <f aca="false">INDEX(Engine!BH7:BH47,Inputs!$B$10+1)</f>
        <v>0</v>
      </c>
      <c r="C14" s="10" t="n">
        <f aca="false">INDEX(Engine!BI7:BI47,Inputs!$B$10+1)</f>
        <v>2982803.829115</v>
      </c>
      <c r="D14" s="11" t="n">
        <f aca="false">B14*(1-Inputs!$B$13)+C14+INDEX(Engine!BJ7:BJ47,Inputs!$B$10+1)-(INDEX(Engine!BJ7:BJ47,Inputs!$B$10+1)-INDEX(Engine!BK7:BK47,Inputs!$B$10+1))*Inputs!$B$9</f>
        <v>3660681.08746035</v>
      </c>
    </row>
    <row r="15" customFormat="false" ht="15" hidden="false" customHeight="false" outlineLevel="0" collapsed="false">
      <c r="A15" s="18" t="s">
        <v>35</v>
      </c>
      <c r="B15" s="10" t="n">
        <f aca="false">INDEX(Engine!BY7:BY47,Inputs!$B$10+1)</f>
        <v>0</v>
      </c>
      <c r="C15" s="10" t="n">
        <f aca="false">INDEX(Engine!BZ7:BZ47,Inputs!$B$10+1)</f>
        <v>2982803.829115</v>
      </c>
      <c r="D15" s="11" t="n">
        <f aca="false">B15*(1-Inputs!$B$13)+C15+INDEX(Engine!CA7:CA47,Inputs!$B$10+1)-(INDEX(Engine!CA7:CA47,Inputs!$B$10+1)-INDEX(Engine!CB7:CB47,Inputs!$B$10+1))*Inputs!$B$9</f>
        <v>3654317.69293912</v>
      </c>
    </row>
    <row r="16" customFormat="false" ht="15" hidden="false" customHeight="false" outlineLevel="0" collapsed="false">
      <c r="A16" s="18" t="s">
        <v>36</v>
      </c>
      <c r="B16" s="10" t="n">
        <f aca="false">INDEX(Engine!CP7:CP47,Inputs!$B$10+1)</f>
        <v>0</v>
      </c>
      <c r="C16" s="10" t="n">
        <f aca="false">INDEX(Engine!CQ7:CQ47,Inputs!$B$10+1)</f>
        <v>2982803.829115</v>
      </c>
      <c r="D16" s="11" t="n">
        <f aca="false">B16*(1-Inputs!$B$13)+C16+INDEX(Engine!CR7:CR47,Inputs!$B$10+1)-(INDEX(Engine!CR7:CR47,Inputs!$B$10+1)-INDEX(Engine!CS7:CS47,Inputs!$B$10+1))*Inputs!$B$9</f>
        <v>3650043.00969803</v>
      </c>
    </row>
    <row r="18" customFormat="false" ht="43.5" hidden="false" customHeight="true" outlineLevel="0" collapsed="false">
      <c r="A18" s="16" t="s">
        <v>138</v>
      </c>
      <c r="B18" s="16"/>
      <c r="C18" s="16"/>
      <c r="D18" s="16"/>
    </row>
  </sheetData>
  <mergeCells count="1">
    <mergeCell ref="A18:D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2026-10-08T18:26:40Z</dcterms:created>
  <dc:creator>openpyxl</dc:creator>
  <dc:description/>
  <dc:language>en-US</dc:language>
  <cp:lastModifiedBy/>
  <dcterms:modified xsi:type="dcterms:W3CDTF">2026-10-08T18:26:42Z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